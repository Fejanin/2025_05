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C5252F41-BDAA-4B08-9833-3C7B1AD84951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едогруз 24,08" sheetId="2" r:id="rId2"/>
  </sheets>
  <externalReferences>
    <externalReference r:id="rId3"/>
  </externalReferences>
  <definedNames>
    <definedName name="_xlnm._FilterDatabase" localSheetId="0" hidden="1">Sheet!$A$3:$AN$129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O89" i="1" l="1"/>
  <c r="AO88" i="1"/>
  <c r="W59" i="1"/>
  <c r="AN59" i="1" s="1"/>
  <c r="W39" i="1"/>
  <c r="AO39" i="1" s="1"/>
  <c r="AO16" i="1"/>
  <c r="AO128" i="1"/>
  <c r="AO127" i="1"/>
  <c r="AO125" i="1"/>
  <c r="AO124" i="1"/>
  <c r="AO121" i="1"/>
  <c r="AO111" i="1"/>
  <c r="AO110" i="1"/>
  <c r="AO109" i="1"/>
  <c r="AO106" i="1"/>
  <c r="AO105" i="1"/>
  <c r="AO104" i="1"/>
  <c r="AO94" i="1"/>
  <c r="AO93" i="1"/>
  <c r="AO91" i="1"/>
  <c r="AO68" i="1"/>
  <c r="AO67" i="1"/>
  <c r="AO66" i="1"/>
  <c r="AO65" i="1"/>
  <c r="AO64" i="1"/>
  <c r="AO61" i="1"/>
  <c r="AO54" i="1"/>
  <c r="AO53" i="1"/>
  <c r="AO50" i="1"/>
  <c r="AO46" i="1"/>
  <c r="AO45" i="1"/>
  <c r="AO43" i="1"/>
  <c r="AO40" i="1"/>
  <c r="AO36" i="1"/>
  <c r="AO34" i="1"/>
  <c r="AO32" i="1"/>
  <c r="AO30" i="1"/>
  <c r="AO29" i="1"/>
  <c r="AO27" i="1"/>
  <c r="AO24" i="1"/>
  <c r="AO13" i="1"/>
  <c r="AN52" i="1"/>
  <c r="AN79" i="1"/>
  <c r="AO9" i="1"/>
  <c r="AO12" i="1"/>
  <c r="AO14" i="1"/>
  <c r="AO17" i="1"/>
  <c r="AO18" i="1"/>
  <c r="AO19" i="1"/>
  <c r="AO21" i="1"/>
  <c r="AO22" i="1"/>
  <c r="AO23" i="1"/>
  <c r="AO25" i="1"/>
  <c r="AO31" i="1"/>
  <c r="AO33" i="1"/>
  <c r="AO37" i="1"/>
  <c r="AO38" i="1"/>
  <c r="AO41" i="1"/>
  <c r="AO42" i="1"/>
  <c r="AO44" i="1"/>
  <c r="AO47" i="1"/>
  <c r="AO48" i="1"/>
  <c r="AO52" i="1"/>
  <c r="AO55" i="1"/>
  <c r="AO58" i="1"/>
  <c r="AO60" i="1"/>
  <c r="AO69" i="1"/>
  <c r="AO70" i="1"/>
  <c r="AO71" i="1"/>
  <c r="AO72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90" i="1"/>
  <c r="AO92" i="1"/>
  <c r="AO95" i="1"/>
  <c r="AO96" i="1"/>
  <c r="AO97" i="1"/>
  <c r="AO98" i="1"/>
  <c r="AO99" i="1"/>
  <c r="AO100" i="1"/>
  <c r="AO101" i="1"/>
  <c r="AO102" i="1"/>
  <c r="AO103" i="1"/>
  <c r="AO107" i="1"/>
  <c r="AO108" i="1"/>
  <c r="AO112" i="1"/>
  <c r="AO113" i="1"/>
  <c r="AO114" i="1"/>
  <c r="AO115" i="1"/>
  <c r="AO116" i="1"/>
  <c r="AO117" i="1"/>
  <c r="AO119" i="1"/>
  <c r="AO120" i="1"/>
  <c r="AO122" i="1"/>
  <c r="AO126" i="1"/>
  <c r="AO129" i="1"/>
  <c r="AN39" i="1" l="1"/>
  <c r="AO59" i="1"/>
  <c r="Y52" i="1"/>
  <c r="S52" i="1"/>
  <c r="Z52" i="1" s="1"/>
  <c r="U9" i="1"/>
  <c r="U13" i="1"/>
  <c r="U22" i="1"/>
  <c r="U23" i="1"/>
  <c r="U25" i="1"/>
  <c r="U27" i="1"/>
  <c r="U29" i="1"/>
  <c r="U30" i="1"/>
  <c r="U33" i="1"/>
  <c r="U34" i="1"/>
  <c r="U36" i="1"/>
  <c r="U37" i="1"/>
  <c r="U40" i="1"/>
  <c r="U41" i="1"/>
  <c r="U42" i="1"/>
  <c r="U43" i="1"/>
  <c r="U44" i="1"/>
  <c r="U46" i="1"/>
  <c r="U50" i="1"/>
  <c r="U53" i="1"/>
  <c r="U54" i="1"/>
  <c r="U58" i="1"/>
  <c r="U61" i="1"/>
  <c r="U64" i="1"/>
  <c r="U65" i="1"/>
  <c r="U66" i="1"/>
  <c r="U67" i="1"/>
  <c r="U68" i="1"/>
  <c r="U69" i="1"/>
  <c r="U71" i="1"/>
  <c r="U80" i="1"/>
  <c r="U81" i="1"/>
  <c r="U82" i="1"/>
  <c r="U83" i="1"/>
  <c r="U84" i="1"/>
  <c r="U86" i="1"/>
  <c r="U90" i="1"/>
  <c r="U91" i="1"/>
  <c r="U92" i="1"/>
  <c r="U93" i="1"/>
  <c r="U94" i="1"/>
  <c r="U96" i="1"/>
  <c r="U98" i="1"/>
  <c r="U99" i="1"/>
  <c r="U100" i="1"/>
  <c r="U103" i="1"/>
  <c r="U104" i="1"/>
  <c r="U105" i="1"/>
  <c r="U106" i="1"/>
  <c r="U107" i="1"/>
  <c r="U108" i="1"/>
  <c r="U109" i="1"/>
  <c r="U110" i="1"/>
  <c r="U111" i="1"/>
  <c r="U113" i="1"/>
  <c r="U114" i="1"/>
  <c r="U115" i="1"/>
  <c r="U116" i="1"/>
  <c r="U120" i="1"/>
  <c r="U121" i="1"/>
  <c r="U122" i="1"/>
  <c r="U125" i="1"/>
  <c r="U126" i="1"/>
  <c r="U127" i="1"/>
  <c r="U128" i="1"/>
  <c r="U129" i="1"/>
  <c r="Y19" i="1"/>
  <c r="Y21" i="1"/>
  <c r="Y24" i="1"/>
  <c r="Y32" i="1"/>
  <c r="Y38" i="1"/>
  <c r="Y39" i="1"/>
  <c r="Y45" i="1"/>
  <c r="Y49" i="1"/>
  <c r="Y55" i="1"/>
  <c r="Y56" i="1"/>
  <c r="Y57" i="1"/>
  <c r="Y59" i="1"/>
  <c r="Y73" i="1"/>
  <c r="Y74" i="1"/>
  <c r="Y75" i="1"/>
  <c r="Y79" i="1"/>
  <c r="Y97" i="1"/>
  <c r="Y102" i="1"/>
  <c r="X19" i="1"/>
  <c r="U19" i="1" s="1"/>
  <c r="X21" i="1"/>
  <c r="U21" i="1" s="1"/>
  <c r="X24" i="1"/>
  <c r="U24" i="1" s="1"/>
  <c r="X32" i="1"/>
  <c r="U32" i="1" s="1"/>
  <c r="X38" i="1"/>
  <c r="U38" i="1" s="1"/>
  <c r="X39" i="1"/>
  <c r="X45" i="1"/>
  <c r="U45" i="1" s="1"/>
  <c r="X49" i="1"/>
  <c r="U49" i="1" s="1"/>
  <c r="X55" i="1"/>
  <c r="U55" i="1" s="1"/>
  <c r="X56" i="1"/>
  <c r="U56" i="1" s="1"/>
  <c r="X57" i="1"/>
  <c r="U57" i="1" s="1"/>
  <c r="X59" i="1"/>
  <c r="X73" i="1"/>
  <c r="U73" i="1" s="1"/>
  <c r="X74" i="1"/>
  <c r="U74" i="1" s="1"/>
  <c r="X75" i="1"/>
  <c r="U75" i="1" s="1"/>
  <c r="X95" i="1"/>
  <c r="U95" i="1" s="1"/>
  <c r="X97" i="1"/>
  <c r="U97" i="1" s="1"/>
  <c r="X102" i="1"/>
  <c r="U102" i="1" s="1"/>
  <c r="W74" i="1" l="1"/>
  <c r="AO74" i="1" s="1"/>
  <c r="W56" i="1"/>
  <c r="AO56" i="1" s="1"/>
  <c r="W49" i="1"/>
  <c r="AO49" i="1" s="1"/>
  <c r="W73" i="1"/>
  <c r="AO73" i="1" s="1"/>
  <c r="W57" i="1"/>
  <c r="AO57" i="1" s="1"/>
  <c r="AN122" i="1"/>
  <c r="AN97" i="1"/>
  <c r="AN75" i="1"/>
  <c r="AN55" i="1"/>
  <c r="AN45" i="1"/>
  <c r="AN38" i="1"/>
  <c r="AN24" i="1"/>
  <c r="AN19" i="1"/>
  <c r="AN128" i="1"/>
  <c r="AN126" i="1"/>
  <c r="AN120" i="1"/>
  <c r="AN115" i="1"/>
  <c r="AN113" i="1"/>
  <c r="AN110" i="1"/>
  <c r="AN108" i="1"/>
  <c r="AN106" i="1"/>
  <c r="AN104" i="1"/>
  <c r="AN100" i="1"/>
  <c r="AN98" i="1"/>
  <c r="AN94" i="1"/>
  <c r="AN92" i="1"/>
  <c r="AN90" i="1"/>
  <c r="AN84" i="1"/>
  <c r="AN82" i="1"/>
  <c r="AN80" i="1"/>
  <c r="AN69" i="1"/>
  <c r="AN67" i="1"/>
  <c r="AN65" i="1"/>
  <c r="AN61" i="1"/>
  <c r="AN54" i="1"/>
  <c r="AN50" i="1"/>
  <c r="AN46" i="1"/>
  <c r="AN43" i="1"/>
  <c r="AN41" i="1"/>
  <c r="AN37" i="1"/>
  <c r="AN34" i="1"/>
  <c r="AN30" i="1"/>
  <c r="AN27" i="1"/>
  <c r="AN23" i="1"/>
  <c r="AN13" i="1"/>
  <c r="AN102" i="1"/>
  <c r="AN95" i="1"/>
  <c r="AN32" i="1"/>
  <c r="AN21" i="1"/>
  <c r="AN129" i="1"/>
  <c r="AN127" i="1"/>
  <c r="AN125" i="1"/>
  <c r="AN121" i="1"/>
  <c r="AN116" i="1"/>
  <c r="AN114" i="1"/>
  <c r="AN111" i="1"/>
  <c r="AN109" i="1"/>
  <c r="AN107" i="1"/>
  <c r="AN105" i="1"/>
  <c r="AN103" i="1"/>
  <c r="AN99" i="1"/>
  <c r="AN96" i="1"/>
  <c r="AN93" i="1"/>
  <c r="AN91" i="1"/>
  <c r="AN86" i="1"/>
  <c r="AN83" i="1"/>
  <c r="AN81" i="1"/>
  <c r="AN71" i="1"/>
  <c r="AN68" i="1"/>
  <c r="AN66" i="1"/>
  <c r="AN64" i="1"/>
  <c r="AN58" i="1"/>
  <c r="AN53" i="1"/>
  <c r="AN44" i="1"/>
  <c r="AN42" i="1"/>
  <c r="AN40" i="1"/>
  <c r="AN36" i="1"/>
  <c r="AN33" i="1"/>
  <c r="AN29" i="1"/>
  <c r="AN25" i="1"/>
  <c r="AN22" i="1"/>
  <c r="AN9" i="1"/>
  <c r="X35" i="1"/>
  <c r="U35" i="1" s="1"/>
  <c r="X51" i="1"/>
  <c r="U51" i="1" s="1"/>
  <c r="X52" i="1"/>
  <c r="X72" i="1"/>
  <c r="U72" i="1" s="1"/>
  <c r="X76" i="1"/>
  <c r="U76" i="1" s="1"/>
  <c r="X79" i="1"/>
  <c r="X101" i="1"/>
  <c r="U101" i="1" s="1"/>
  <c r="X117" i="1"/>
  <c r="U117" i="1" s="1"/>
  <c r="X118" i="1"/>
  <c r="U118" i="1" s="1"/>
  <c r="X124" i="1"/>
  <c r="U124" i="1" s="1"/>
  <c r="W51" i="1" l="1"/>
  <c r="AO51" i="1" s="1"/>
  <c r="W118" i="1"/>
  <c r="AO118" i="1" s="1"/>
  <c r="W35" i="1"/>
  <c r="AO35" i="1" s="1"/>
  <c r="AN57" i="1"/>
  <c r="AN73" i="1"/>
  <c r="AN49" i="1"/>
  <c r="AN56" i="1"/>
  <c r="AN74" i="1"/>
  <c r="AN124" i="1"/>
  <c r="AN117" i="1"/>
  <c r="AN72" i="1"/>
  <c r="AN101" i="1"/>
  <c r="AN76" i="1"/>
  <c r="H27" i="2"/>
  <c r="H26" i="2"/>
  <c r="B26" i="2"/>
  <c r="H25" i="2"/>
  <c r="B25" i="2"/>
  <c r="H24" i="2"/>
  <c r="B24" i="2"/>
  <c r="H23" i="2"/>
  <c r="B23" i="2"/>
  <c r="H22" i="2"/>
  <c r="B22" i="2"/>
  <c r="H21" i="2"/>
  <c r="B21" i="2"/>
  <c r="H20" i="2"/>
  <c r="B20" i="2"/>
  <c r="H19" i="2"/>
  <c r="B19" i="2"/>
  <c r="H18" i="2"/>
  <c r="B18" i="2"/>
  <c r="H17" i="2"/>
  <c r="B17" i="2"/>
  <c r="H16" i="2"/>
  <c r="B16" i="2"/>
  <c r="H15" i="2"/>
  <c r="B15" i="2"/>
  <c r="H14" i="2"/>
  <c r="B14" i="2"/>
  <c r="H13" i="2"/>
  <c r="B13" i="2"/>
  <c r="H12" i="2"/>
  <c r="B12" i="2"/>
  <c r="H11" i="2"/>
  <c r="B11" i="2"/>
  <c r="H10" i="2"/>
  <c r="B10" i="2"/>
  <c r="H9" i="2"/>
  <c r="B9" i="2"/>
  <c r="H8" i="2"/>
  <c r="B8" i="2"/>
  <c r="H7" i="2"/>
  <c r="B7" i="2"/>
  <c r="H6" i="2"/>
  <c r="B6" i="2"/>
  <c r="H5" i="2"/>
  <c r="B5" i="2"/>
  <c r="H4" i="2"/>
  <c r="B4" i="2"/>
  <c r="H3" i="2"/>
  <c r="B3" i="2"/>
  <c r="H2" i="2"/>
  <c r="B2" i="2"/>
  <c r="H1" i="2"/>
  <c r="B1" i="2"/>
  <c r="S129" i="1"/>
  <c r="Z129" i="1" s="1"/>
  <c r="L129" i="1"/>
  <c r="S128" i="1"/>
  <c r="Z128" i="1" s="1"/>
  <c r="L128" i="1"/>
  <c r="S127" i="1"/>
  <c r="Z127" i="1" s="1"/>
  <c r="L127" i="1"/>
  <c r="S126" i="1"/>
  <c r="Z126" i="1" s="1"/>
  <c r="L126" i="1"/>
  <c r="S125" i="1"/>
  <c r="Z125" i="1" s="1"/>
  <c r="L125" i="1"/>
  <c r="S124" i="1"/>
  <c r="Z124" i="1" s="1"/>
  <c r="L124" i="1"/>
  <c r="S123" i="1"/>
  <c r="AA123" i="1" s="1"/>
  <c r="L123" i="1"/>
  <c r="F122" i="1"/>
  <c r="E122" i="1"/>
  <c r="S122" i="1" s="1"/>
  <c r="S121" i="1"/>
  <c r="Z121" i="1" s="1"/>
  <c r="L121" i="1"/>
  <c r="S120" i="1"/>
  <c r="Z120" i="1" s="1"/>
  <c r="L120" i="1"/>
  <c r="S119" i="1"/>
  <c r="AA119" i="1" s="1"/>
  <c r="L119" i="1"/>
  <c r="S118" i="1"/>
  <c r="AA118" i="1" s="1"/>
  <c r="L118" i="1"/>
  <c r="S117" i="1"/>
  <c r="Z117" i="1" s="1"/>
  <c r="L117" i="1"/>
  <c r="S116" i="1"/>
  <c r="Z116" i="1" s="1"/>
  <c r="L116" i="1"/>
  <c r="S115" i="1"/>
  <c r="Z115" i="1" s="1"/>
  <c r="L115" i="1"/>
  <c r="S114" i="1"/>
  <c r="Z114" i="1" s="1"/>
  <c r="L114" i="1"/>
  <c r="S113" i="1"/>
  <c r="Z113" i="1" s="1"/>
  <c r="L113" i="1"/>
  <c r="S112" i="1"/>
  <c r="AA112" i="1" s="1"/>
  <c r="L112" i="1"/>
  <c r="S111" i="1"/>
  <c r="Z111" i="1" s="1"/>
  <c r="L111" i="1"/>
  <c r="S110" i="1"/>
  <c r="Z110" i="1" s="1"/>
  <c r="L110" i="1"/>
  <c r="S109" i="1"/>
  <c r="Z109" i="1" s="1"/>
  <c r="L109" i="1"/>
  <c r="S108" i="1"/>
  <c r="Z108" i="1" s="1"/>
  <c r="L108" i="1"/>
  <c r="S107" i="1"/>
  <c r="Z107" i="1" s="1"/>
  <c r="L107" i="1"/>
  <c r="S106" i="1"/>
  <c r="Z106" i="1" s="1"/>
  <c r="L106" i="1"/>
  <c r="S105" i="1"/>
  <c r="Z105" i="1" s="1"/>
  <c r="L105" i="1"/>
  <c r="S104" i="1"/>
  <c r="Z104" i="1" s="1"/>
  <c r="L104" i="1"/>
  <c r="S103" i="1"/>
  <c r="Z103" i="1" s="1"/>
  <c r="L103" i="1"/>
  <c r="S102" i="1"/>
  <c r="Z102" i="1" s="1"/>
  <c r="L102" i="1"/>
  <c r="S101" i="1"/>
  <c r="Z101" i="1" s="1"/>
  <c r="L101" i="1"/>
  <c r="S100" i="1"/>
  <c r="Z100" i="1" s="1"/>
  <c r="L100" i="1"/>
  <c r="S99" i="1"/>
  <c r="Z99" i="1" s="1"/>
  <c r="L99" i="1"/>
  <c r="S98" i="1"/>
  <c r="Z98" i="1" s="1"/>
  <c r="L98" i="1"/>
  <c r="S97" i="1"/>
  <c r="Z97" i="1" s="1"/>
  <c r="L97" i="1"/>
  <c r="S96" i="1"/>
  <c r="Z96" i="1" s="1"/>
  <c r="L96" i="1"/>
  <c r="S95" i="1"/>
  <c r="L95" i="1"/>
  <c r="S94" i="1"/>
  <c r="Z94" i="1" s="1"/>
  <c r="L94" i="1"/>
  <c r="S93" i="1"/>
  <c r="Z93" i="1" s="1"/>
  <c r="L93" i="1"/>
  <c r="S92" i="1"/>
  <c r="Z92" i="1" s="1"/>
  <c r="L92" i="1"/>
  <c r="S91" i="1"/>
  <c r="Z91" i="1" s="1"/>
  <c r="L91" i="1"/>
  <c r="S90" i="1"/>
  <c r="Z90" i="1" s="1"/>
  <c r="L90" i="1"/>
  <c r="S89" i="1"/>
  <c r="AA89" i="1" s="1"/>
  <c r="L89" i="1"/>
  <c r="S88" i="1"/>
  <c r="AA88" i="1" s="1"/>
  <c r="L88" i="1"/>
  <c r="S87" i="1"/>
  <c r="AA87" i="1" s="1"/>
  <c r="L87" i="1"/>
  <c r="S86" i="1"/>
  <c r="Z86" i="1" s="1"/>
  <c r="L86" i="1"/>
  <c r="S85" i="1"/>
  <c r="AA85" i="1" s="1"/>
  <c r="L85" i="1"/>
  <c r="S84" i="1"/>
  <c r="Z84" i="1" s="1"/>
  <c r="L84" i="1"/>
  <c r="S83" i="1"/>
  <c r="Z83" i="1" s="1"/>
  <c r="L83" i="1"/>
  <c r="S82" i="1"/>
  <c r="Z82" i="1" s="1"/>
  <c r="L82" i="1"/>
  <c r="S81" i="1"/>
  <c r="Z81" i="1" s="1"/>
  <c r="L81" i="1"/>
  <c r="S80" i="1"/>
  <c r="Z80" i="1" s="1"/>
  <c r="L80" i="1"/>
  <c r="S79" i="1"/>
  <c r="L79" i="1"/>
  <c r="S78" i="1"/>
  <c r="T78" i="1" s="1"/>
  <c r="U78" i="1" s="1"/>
  <c r="L78" i="1"/>
  <c r="S77" i="1"/>
  <c r="L77" i="1"/>
  <c r="S76" i="1"/>
  <c r="Z76" i="1" s="1"/>
  <c r="L76" i="1"/>
  <c r="S75" i="1"/>
  <c r="L75" i="1"/>
  <c r="S74" i="1"/>
  <c r="L74" i="1"/>
  <c r="S73" i="1"/>
  <c r="L73" i="1"/>
  <c r="S72" i="1"/>
  <c r="Z72" i="1" s="1"/>
  <c r="L72" i="1"/>
  <c r="S71" i="1"/>
  <c r="Z71" i="1" s="1"/>
  <c r="L71" i="1"/>
  <c r="S70" i="1"/>
  <c r="AA70" i="1" s="1"/>
  <c r="L70" i="1"/>
  <c r="S69" i="1"/>
  <c r="Z69" i="1" s="1"/>
  <c r="L69" i="1"/>
  <c r="S68" i="1"/>
  <c r="Z68" i="1" s="1"/>
  <c r="L68" i="1"/>
  <c r="S67" i="1"/>
  <c r="Z67" i="1" s="1"/>
  <c r="L67" i="1"/>
  <c r="S66" i="1"/>
  <c r="Z66" i="1" s="1"/>
  <c r="L66" i="1"/>
  <c r="S65" i="1"/>
  <c r="Z65" i="1" s="1"/>
  <c r="L65" i="1"/>
  <c r="S64" i="1"/>
  <c r="Z64" i="1" s="1"/>
  <c r="L64" i="1"/>
  <c r="S63" i="1"/>
  <c r="AA63" i="1" s="1"/>
  <c r="L63" i="1"/>
  <c r="S62" i="1"/>
  <c r="AA62" i="1" s="1"/>
  <c r="L62" i="1"/>
  <c r="S61" i="1"/>
  <c r="Z61" i="1" s="1"/>
  <c r="L61" i="1"/>
  <c r="S60" i="1"/>
  <c r="AA60" i="1" s="1"/>
  <c r="L60" i="1"/>
  <c r="S59" i="1"/>
  <c r="L59" i="1"/>
  <c r="S58" i="1"/>
  <c r="Z58" i="1" s="1"/>
  <c r="L58" i="1"/>
  <c r="S57" i="1"/>
  <c r="L57" i="1"/>
  <c r="S56" i="1"/>
  <c r="L56" i="1"/>
  <c r="S55" i="1"/>
  <c r="Z55" i="1" s="1"/>
  <c r="L55" i="1"/>
  <c r="S54" i="1"/>
  <c r="Z54" i="1" s="1"/>
  <c r="L54" i="1"/>
  <c r="S53" i="1"/>
  <c r="Z53" i="1" s="1"/>
  <c r="L53" i="1"/>
  <c r="L52" i="1"/>
  <c r="S51" i="1"/>
  <c r="AA51" i="1" s="1"/>
  <c r="L51" i="1"/>
  <c r="S50" i="1"/>
  <c r="Z50" i="1" s="1"/>
  <c r="L50" i="1"/>
  <c r="S49" i="1"/>
  <c r="L49" i="1"/>
  <c r="S48" i="1"/>
  <c r="AA48" i="1" s="1"/>
  <c r="L48" i="1"/>
  <c r="S47" i="1"/>
  <c r="L47" i="1"/>
  <c r="S46" i="1"/>
  <c r="Z46" i="1" s="1"/>
  <c r="L46" i="1"/>
  <c r="S45" i="1"/>
  <c r="Z45" i="1" s="1"/>
  <c r="L45" i="1"/>
  <c r="S44" i="1"/>
  <c r="Z44" i="1" s="1"/>
  <c r="L44" i="1"/>
  <c r="S43" i="1"/>
  <c r="Z43" i="1" s="1"/>
  <c r="L43" i="1"/>
  <c r="S42" i="1"/>
  <c r="Z42" i="1" s="1"/>
  <c r="L42" i="1"/>
  <c r="S41" i="1"/>
  <c r="Z41" i="1" s="1"/>
  <c r="L41" i="1"/>
  <c r="S40" i="1"/>
  <c r="Z40" i="1" s="1"/>
  <c r="L40" i="1"/>
  <c r="S39" i="1"/>
  <c r="L39" i="1"/>
  <c r="S38" i="1"/>
  <c r="Z38" i="1" s="1"/>
  <c r="L38" i="1"/>
  <c r="S37" i="1"/>
  <c r="Z37" i="1" s="1"/>
  <c r="L37" i="1"/>
  <c r="S36" i="1"/>
  <c r="Z36" i="1" s="1"/>
  <c r="L36" i="1"/>
  <c r="S35" i="1"/>
  <c r="L35" i="1"/>
  <c r="S34" i="1"/>
  <c r="Z34" i="1" s="1"/>
  <c r="L34" i="1"/>
  <c r="S33" i="1"/>
  <c r="Z33" i="1" s="1"/>
  <c r="L33" i="1"/>
  <c r="S32" i="1"/>
  <c r="Z32" i="1" s="1"/>
  <c r="L32" i="1"/>
  <c r="S31" i="1"/>
  <c r="AA31" i="1" s="1"/>
  <c r="L31" i="1"/>
  <c r="S30" i="1"/>
  <c r="Z30" i="1" s="1"/>
  <c r="L30" i="1"/>
  <c r="S29" i="1"/>
  <c r="Z29" i="1" s="1"/>
  <c r="L29" i="1"/>
  <c r="S28" i="1"/>
  <c r="AA28" i="1" s="1"/>
  <c r="L28" i="1"/>
  <c r="S27" i="1"/>
  <c r="Z27" i="1" s="1"/>
  <c r="L27" i="1"/>
  <c r="S26" i="1"/>
  <c r="AA26" i="1" s="1"/>
  <c r="L26" i="1"/>
  <c r="S25" i="1"/>
  <c r="Z25" i="1" s="1"/>
  <c r="L25" i="1"/>
  <c r="S24" i="1"/>
  <c r="Z24" i="1" s="1"/>
  <c r="L24" i="1"/>
  <c r="S23" i="1"/>
  <c r="Z23" i="1" s="1"/>
  <c r="L23" i="1"/>
  <c r="S22" i="1"/>
  <c r="Z22" i="1" s="1"/>
  <c r="L22" i="1"/>
  <c r="S21" i="1"/>
  <c r="L21" i="1"/>
  <c r="S20" i="1"/>
  <c r="AA20" i="1" s="1"/>
  <c r="L20" i="1"/>
  <c r="S19" i="1"/>
  <c r="L19" i="1"/>
  <c r="S18" i="1"/>
  <c r="AA18" i="1" s="1"/>
  <c r="L18" i="1"/>
  <c r="S17" i="1"/>
  <c r="AA17" i="1" s="1"/>
  <c r="L17" i="1"/>
  <c r="S16" i="1"/>
  <c r="AA16" i="1" s="1"/>
  <c r="L16" i="1"/>
  <c r="S15" i="1"/>
  <c r="AA15" i="1" s="1"/>
  <c r="L15" i="1"/>
  <c r="S14" i="1"/>
  <c r="AA14" i="1" s="1"/>
  <c r="L14" i="1"/>
  <c r="S13" i="1"/>
  <c r="Z13" i="1" s="1"/>
  <c r="L13" i="1"/>
  <c r="S12" i="1"/>
  <c r="AA12" i="1" s="1"/>
  <c r="L12" i="1"/>
  <c r="S11" i="1"/>
  <c r="AA11" i="1" s="1"/>
  <c r="L11" i="1"/>
  <c r="S10" i="1"/>
  <c r="AA10" i="1" s="1"/>
  <c r="L10" i="1"/>
  <c r="S9" i="1"/>
  <c r="Z9" i="1" s="1"/>
  <c r="L9" i="1"/>
  <c r="S8" i="1"/>
  <c r="L8" i="1"/>
  <c r="S7" i="1"/>
  <c r="L7" i="1"/>
  <c r="S6" i="1"/>
  <c r="AA6" i="1" s="1"/>
  <c r="L6" i="1"/>
  <c r="AL5" i="1"/>
  <c r="AK5" i="1"/>
  <c r="AJ5" i="1"/>
  <c r="AI5" i="1"/>
  <c r="AH5" i="1"/>
  <c r="AG5" i="1"/>
  <c r="AF5" i="1"/>
  <c r="AE5" i="1"/>
  <c r="AD5" i="1"/>
  <c r="AC5" i="1"/>
  <c r="AB5" i="1"/>
  <c r="R5" i="1"/>
  <c r="Q5" i="1"/>
  <c r="P5" i="1"/>
  <c r="O5" i="1"/>
  <c r="N5" i="1"/>
  <c r="M5" i="1"/>
  <c r="K5" i="1"/>
  <c r="Z56" i="1" l="1"/>
  <c r="AN35" i="1"/>
  <c r="AN118" i="1"/>
  <c r="AN51" i="1"/>
  <c r="U47" i="1"/>
  <c r="AN47" i="1" s="1"/>
  <c r="Z122" i="1"/>
  <c r="AA57" i="1"/>
  <c r="Z57" i="1"/>
  <c r="T59" i="1"/>
  <c r="Z59" i="1"/>
  <c r="AA73" i="1"/>
  <c r="Z73" i="1"/>
  <c r="AA74" i="1"/>
  <c r="Z74" i="1"/>
  <c r="AA75" i="1"/>
  <c r="Z75" i="1"/>
  <c r="AN78" i="1"/>
  <c r="Z78" i="1"/>
  <c r="AA79" i="1"/>
  <c r="Z79" i="1"/>
  <c r="AA95" i="1"/>
  <c r="Z95" i="1"/>
  <c r="AA19" i="1"/>
  <c r="Z19" i="1"/>
  <c r="AA21" i="1"/>
  <c r="Z21" i="1"/>
  <c r="AA39" i="1"/>
  <c r="Z39" i="1"/>
  <c r="T49" i="1"/>
  <c r="Z49" i="1"/>
  <c r="AA13" i="1"/>
  <c r="AA22" i="1"/>
  <c r="AA23" i="1"/>
  <c r="AA24" i="1"/>
  <c r="AA25" i="1"/>
  <c r="AA27" i="1"/>
  <c r="AA29" i="1"/>
  <c r="AA30" i="1"/>
  <c r="AA33" i="1"/>
  <c r="AA34" i="1"/>
  <c r="AA35" i="1"/>
  <c r="AA38" i="1"/>
  <c r="AA41" i="1"/>
  <c r="AA42" i="1"/>
  <c r="AA44" i="1"/>
  <c r="AA46" i="1"/>
  <c r="AA47" i="1"/>
  <c r="AA50" i="1"/>
  <c r="AA52" i="1"/>
  <c r="AA54" i="1"/>
  <c r="AA56" i="1"/>
  <c r="AA58" i="1"/>
  <c r="AA64" i="1"/>
  <c r="AA66" i="1"/>
  <c r="AA68" i="1"/>
  <c r="AA71" i="1"/>
  <c r="AA83" i="1"/>
  <c r="AA84" i="1"/>
  <c r="AA86" i="1"/>
  <c r="AA92" i="1"/>
  <c r="AA93" i="1"/>
  <c r="AA94" i="1"/>
  <c r="AA96" i="1"/>
  <c r="AA97" i="1"/>
  <c r="AA98" i="1"/>
  <c r="AA100" i="1"/>
  <c r="AA103" i="1"/>
  <c r="AA104" i="1"/>
  <c r="AA105" i="1"/>
  <c r="AA107" i="1"/>
  <c r="AA109" i="1"/>
  <c r="AA110" i="1"/>
  <c r="AA111" i="1"/>
  <c r="AA113" i="1"/>
  <c r="AA114" i="1"/>
  <c r="AA115" i="1"/>
  <c r="AA116" i="1"/>
  <c r="AA117" i="1"/>
  <c r="AA120" i="1"/>
  <c r="AA121" i="1"/>
  <c r="F5" i="1"/>
  <c r="AA125" i="1"/>
  <c r="AA126" i="1"/>
  <c r="AA127" i="1"/>
  <c r="AA129" i="1"/>
  <c r="E5" i="1"/>
  <c r="T28" i="1"/>
  <c r="U28" i="1" s="1"/>
  <c r="T57" i="1"/>
  <c r="AA76" i="1"/>
  <c r="T14" i="1"/>
  <c r="U14" i="1" s="1"/>
  <c r="T19" i="1"/>
  <c r="T20" i="1"/>
  <c r="T79" i="1"/>
  <c r="T87" i="1"/>
  <c r="U87" i="1" s="1"/>
  <c r="T89" i="1"/>
  <c r="T123" i="1"/>
  <c r="T15" i="1"/>
  <c r="AA124" i="1"/>
  <c r="T16" i="1"/>
  <c r="T17" i="1"/>
  <c r="U17" i="1" s="1"/>
  <c r="T112" i="1"/>
  <c r="U112" i="1" s="1"/>
  <c r="T18" i="1"/>
  <c r="U18" i="1" s="1"/>
  <c r="T39" i="1"/>
  <c r="T60" i="1"/>
  <c r="U60" i="1" s="1"/>
  <c r="T85" i="1"/>
  <c r="U85" i="1" s="1"/>
  <c r="T62" i="1"/>
  <c r="U62" i="1" s="1"/>
  <c r="T88" i="1"/>
  <c r="T21" i="1"/>
  <c r="T63" i="1"/>
  <c r="AA72" i="1"/>
  <c r="T118" i="1"/>
  <c r="AA101" i="1"/>
  <c r="AA106" i="1"/>
  <c r="T119" i="1"/>
  <c r="U119" i="1" s="1"/>
  <c r="T26" i="1"/>
  <c r="U26" i="1" s="1"/>
  <c r="T95" i="1"/>
  <c r="T48" i="1"/>
  <c r="U48" i="1" s="1"/>
  <c r="T6" i="1"/>
  <c r="T70" i="1"/>
  <c r="U70" i="1" s="1"/>
  <c r="AA102" i="1"/>
  <c r="T7" i="1"/>
  <c r="T8" i="1"/>
  <c r="T51" i="1"/>
  <c r="AA128" i="1"/>
  <c r="T10" i="1"/>
  <c r="T31" i="1"/>
  <c r="U31" i="1" s="1"/>
  <c r="T73" i="1"/>
  <c r="T11" i="1"/>
  <c r="T74" i="1"/>
  <c r="AA40" i="1"/>
  <c r="T12" i="1"/>
  <c r="U12" i="1" s="1"/>
  <c r="T75" i="1"/>
  <c r="T77" i="1"/>
  <c r="U77" i="1" s="1"/>
  <c r="AA32" i="1"/>
  <c r="AA37" i="1"/>
  <c r="AA90" i="1"/>
  <c r="AA7" i="1"/>
  <c r="AA80" i="1"/>
  <c r="AA36" i="1"/>
  <c r="AA122" i="1"/>
  <c r="AA61" i="1"/>
  <c r="AA78" i="1"/>
  <c r="AA108" i="1"/>
  <c r="AA81" i="1"/>
  <c r="AA53" i="1"/>
  <c r="AA9" i="1"/>
  <c r="AA82" i="1"/>
  <c r="AA91" i="1"/>
  <c r="AA8" i="1"/>
  <c r="AA43" i="1"/>
  <c r="AA55" i="1"/>
  <c r="AA59" i="1"/>
  <c r="AA67" i="1"/>
  <c r="S5" i="1"/>
  <c r="L122" i="1"/>
  <c r="L5" i="1" s="1"/>
  <c r="AA77" i="1"/>
  <c r="AA45" i="1"/>
  <c r="AA69" i="1"/>
  <c r="AA49" i="1"/>
  <c r="AA65" i="1"/>
  <c r="AA99" i="1"/>
  <c r="Z51" i="1" l="1"/>
  <c r="W26" i="1"/>
  <c r="AO26" i="1" s="1"/>
  <c r="W28" i="1"/>
  <c r="AO28" i="1" s="1"/>
  <c r="W62" i="1"/>
  <c r="AO62" i="1" s="1"/>
  <c r="W87" i="1"/>
  <c r="AO87" i="1" s="1"/>
  <c r="Z118" i="1"/>
  <c r="Z35" i="1"/>
  <c r="U10" i="1"/>
  <c r="U7" i="1"/>
  <c r="U63" i="1"/>
  <c r="U15" i="1"/>
  <c r="U11" i="1"/>
  <c r="U8" i="1"/>
  <c r="U6" i="1"/>
  <c r="U123" i="1"/>
  <c r="U20" i="1"/>
  <c r="Z47" i="1"/>
  <c r="AN77" i="1"/>
  <c r="Z77" i="1"/>
  <c r="AN12" i="1"/>
  <c r="Z12" i="1"/>
  <c r="AN70" i="1"/>
  <c r="Z70" i="1"/>
  <c r="AN48" i="1"/>
  <c r="Z48" i="1"/>
  <c r="AN88" i="1"/>
  <c r="Z88" i="1"/>
  <c r="AN85" i="1"/>
  <c r="Z85" i="1"/>
  <c r="AN112" i="1"/>
  <c r="Z112" i="1"/>
  <c r="AN16" i="1"/>
  <c r="Z16" i="1"/>
  <c r="AN89" i="1"/>
  <c r="Z89" i="1"/>
  <c r="AN31" i="1"/>
  <c r="Z31" i="1"/>
  <c r="AN119" i="1"/>
  <c r="Z119" i="1"/>
  <c r="AN60" i="1"/>
  <c r="Z60" i="1"/>
  <c r="AN18" i="1"/>
  <c r="Z18" i="1"/>
  <c r="AN17" i="1"/>
  <c r="Z17" i="1"/>
  <c r="AN14" i="1"/>
  <c r="Z14" i="1"/>
  <c r="T5" i="1"/>
  <c r="U5" i="1" l="1"/>
  <c r="AO20" i="1"/>
  <c r="W6" i="1"/>
  <c r="AN6" i="1" s="1"/>
  <c r="AO11" i="1"/>
  <c r="AO63" i="1"/>
  <c r="AO10" i="1"/>
  <c r="AO123" i="1"/>
  <c r="AO8" i="1"/>
  <c r="AO15" i="1"/>
  <c r="AO7" i="1"/>
  <c r="Z26" i="1" l="1"/>
  <c r="AN26" i="1"/>
  <c r="Z62" i="1"/>
  <c r="AN62" i="1"/>
  <c r="AN63" i="1"/>
  <c r="Z28" i="1"/>
  <c r="AN28" i="1"/>
  <c r="Z87" i="1"/>
  <c r="AN87" i="1"/>
  <c r="Z6" i="1"/>
  <c r="AO6" i="1"/>
  <c r="AO5" i="1" s="1"/>
  <c r="AO1" i="1" s="1"/>
  <c r="W5" i="1"/>
  <c r="Z63" i="1" l="1"/>
  <c r="Z20" i="1"/>
  <c r="AN20" i="1"/>
  <c r="AN123" i="1"/>
  <c r="Z123" i="1"/>
  <c r="Z15" i="1"/>
  <c r="AN15" i="1"/>
  <c r="V5" i="1"/>
  <c r="AN11" i="1"/>
  <c r="Z11" i="1"/>
  <c r="AN10" i="1"/>
  <c r="Z10" i="1"/>
  <c r="Z8" i="1"/>
  <c r="AN8" i="1"/>
  <c r="Z7" i="1"/>
  <c r="AN7" i="1"/>
  <c r="AN5" i="1" l="1"/>
  <c r="AN1" i="1" s="1"/>
</calcChain>
</file>

<file path=xl/sharedStrings.xml><?xml version="1.0" encoding="utf-8"?>
<sst xmlns="http://schemas.openxmlformats.org/spreadsheetml/2006/main" count="642" uniqueCount="288">
  <si>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</si>
  <si>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</si>
  <si>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</si>
  <si>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</si>
  <si>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</si>
  <si>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</si>
  <si>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</si>
  <si>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</si>
  <si>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</si>
  <si>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</si>
  <si>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</si>
  <si>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</si>
  <si>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</si>
  <si>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</si>
  <si>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</si>
  <si>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</si>
  <si>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</si>
  <si>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</si>
  <si>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</si>
  <si>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</si>
  <si>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</si>
  <si>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</si>
  <si>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24,08,</t>
  </si>
  <si>
    <t>24,08,недогр</t>
  </si>
  <si>
    <t>24,08,доз</t>
  </si>
  <si>
    <t>29,08,</t>
  </si>
  <si>
    <t>27,08,</t>
  </si>
  <si>
    <t>25,08,</t>
  </si>
  <si>
    <t>20,08,</t>
  </si>
  <si>
    <t>18,08,</t>
  </si>
  <si>
    <t>13,08,</t>
  </si>
  <si>
    <t>11,08,</t>
  </si>
  <si>
    <t>06,08,</t>
  </si>
  <si>
    <t>04,08,</t>
  </si>
  <si>
    <t>30,07,</t>
  </si>
  <si>
    <t>28,07,</t>
  </si>
  <si>
    <t>23,07,</t>
  </si>
  <si>
    <t>21,07,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</si>
  <si>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</si>
  <si>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</si>
  <si>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</si>
  <si>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</si>
  <si>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</si>
  <si>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</si>
  <si>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</si>
  <si>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</si>
  <si>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</si>
  <si>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</si>
  <si>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</si>
  <si>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</si>
  <si>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</si>
  <si>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</si>
  <si>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</si>
  <si>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</si>
  <si>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</si>
  <si>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</si>
  <si>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</si>
  <si>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</si>
  <si>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</si>
  <si>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</si>
  <si>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</si>
  <si>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</si>
  <si>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</si>
  <si>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</si>
  <si>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>заказываем с 22,07,26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</si>
  <si>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</si>
  <si>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</si>
  <si>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</si>
  <si>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</si>
  <si>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</si>
  <si>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</si>
  <si>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</si>
  <si>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</si>
  <si>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</si>
  <si>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</si>
  <si>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</si>
  <si>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</si>
  <si>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</si>
  <si>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</si>
  <si>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</si>
  <si>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</si>
  <si>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>не в матрице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</si>
  <si>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</si>
  <si>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</si>
  <si>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</si>
  <si>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</si>
  <si>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</si>
  <si>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</si>
  <si>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</si>
  <si>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</si>
  <si>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</si>
  <si>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</si>
  <si>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</si>
  <si>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</si>
  <si>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</si>
  <si>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</si>
  <si>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>нужно увеличить продажи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</si>
  <si>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</si>
  <si>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</si>
  <si>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</si>
  <si>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</si>
  <si>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</si>
  <si>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</si>
  <si>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80кг под задачи ТК (31,07,26)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</si>
  <si>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</si>
  <si>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</si>
  <si>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</si>
  <si>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</si>
  <si>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</si>
  <si>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</si>
  <si>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</si>
  <si>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</si>
  <si>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</si>
  <si>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</si>
  <si>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</si>
  <si>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</si>
  <si>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</si>
  <si>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</si>
  <si>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</si>
  <si>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</si>
  <si>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</si>
  <si>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</si>
  <si>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</si>
  <si>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</si>
  <si>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</si>
  <si>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</si>
  <si>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</si>
  <si>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</si>
  <si>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</si>
  <si>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</si>
  <si>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</si>
  <si>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</si>
  <si>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</si>
  <si>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</si>
  <si>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</si>
  <si>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</si>
  <si>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80шт сеть Молоко (07,08,26)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</si>
  <si>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</si>
  <si>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</si>
  <si>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</si>
  <si>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</si>
  <si>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</si>
  <si>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нужно увеличить продажи / 46кг списание сроки (11,08,26)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</si>
  <si>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</si>
  <si>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</si>
  <si>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</si>
  <si>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>70шт сеть Молоко (07,08,26)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</si>
  <si>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</si>
  <si>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</si>
  <si>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</si>
  <si>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</si>
  <si>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</si>
  <si>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</si>
  <si>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</si>
  <si>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</si>
  <si>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</si>
  <si>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</si>
  <si>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</si>
  <si>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</si>
  <si>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</si>
  <si>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</si>
  <si>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</si>
  <si>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</si>
  <si>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</si>
  <si>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</si>
  <si>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</si>
  <si>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</si>
  <si>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новинка / 500шт Боярко (07,08,26)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</si>
  <si>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</si>
  <si>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</si>
  <si>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</si>
  <si>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</si>
  <si>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</si>
  <si>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</si>
  <si>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</si>
  <si>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</si>
  <si>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</si>
  <si>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 SU002151 </t>
  </si>
  <si>
    <t> В/к колбасы «Сервелат Запеченный» Весовые Вектор ТМ «Дугушка» </t>
  </si>
  <si>
    <t> 190 </t>
  </si>
  <si>
    <t> 0 </t>
  </si>
  <si>
    <t> -190 </t>
  </si>
  <si>
    <t> SU002158 </t>
  </si>
  <si>
    <t> В/к колбасы «Салями Запеченая» Весовые ТМ «Дугушка» </t>
  </si>
  <si>
    <t> 238 </t>
  </si>
  <si>
    <t> -238 </t>
  </si>
  <si>
    <t> SU002205 </t>
  </si>
  <si>
    <t> Сосиски «Молочные для завтрака» Фикс.вес 0,4 П/а мгс ТМ «Особый рецепт» </t>
  </si>
  <si>
    <t> 12 </t>
  </si>
  <si>
    <t> -12 </t>
  </si>
  <si>
    <t> SU002252 </t>
  </si>
  <si>
    <t> П/к колбасы Кракушка пряная с сальцем Бавария Фикс.вес 0,3 н/о в/у Стародворье </t>
  </si>
  <si>
    <t> 9 </t>
  </si>
  <si>
    <t> -9 </t>
  </si>
  <si>
    <t> SU002287 </t>
  </si>
  <si>
    <t> Сардельки «Сочные» Весовой п/а ТМ «Особый рецепт» </t>
  </si>
  <si>
    <t> 36 </t>
  </si>
  <si>
    <t> -36 </t>
  </si>
  <si>
    <t> SU002612 </t>
  </si>
  <si>
    <t> Копченые колбасы «Балыкбургская» Весовой фиброуз ТМ «Баварушка» </t>
  </si>
  <si>
    <t> 130 </t>
  </si>
  <si>
    <t> 93 </t>
  </si>
  <si>
    <t> -37 </t>
  </si>
  <si>
    <t> SU002621 </t>
  </si>
  <si>
    <t> Сосиски «Сочинки с сочным окороком» Фикс.вес 0,4 П/а мгс ТМ «Стародворье» </t>
  </si>
  <si>
    <t> 55 </t>
  </si>
  <si>
    <t> -55 </t>
  </si>
  <si>
    <t> SU002655 </t>
  </si>
  <si>
    <t> Сосиски «Датские» Весовой п/а ТМ «Зареченские продукты» </t>
  </si>
  <si>
    <t> 45 </t>
  </si>
  <si>
    <t> -45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</si>
  <si>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</si>
  <si>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</si>
  <si>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11 </t>
  </si>
  <si>
    <t> -11 </t>
  </si>
  <si>
    <t> SU002756 </t>
  </si>
  <si>
    <t> Колбаса Мясорубская ТМ Стародворье с рубленой грудинкой в оболочке фиброуз в вакуумной упаковке </t>
  </si>
  <si>
    <t> 21 </t>
  </si>
  <si>
    <t> -21 </t>
  </si>
  <si>
    <t> SU002847 </t>
  </si>
  <si>
    <t> В/к колбасы Сервелат Мясорубский с мелкорубленным окороком Бордо Весовой фиброуз Стародворье </t>
  </si>
  <si>
    <t> 25 </t>
  </si>
  <si>
    <t> -25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</si>
  <si>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</si>
  <si>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</si>
  <si>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SU002941 </t>
  </si>
  <si>
    <t> В/к колбасы «Сочинка по-европейски с сочной грудинкой» Весовой фиброуз ТМ «Стародворье» </t>
  </si>
  <si>
    <t> 211 </t>
  </si>
  <si>
    <t> -211 </t>
  </si>
  <si>
    <t> SU002942 </t>
  </si>
  <si>
    <t> В/к колбасы «Сочинка по-фински с сочным окороком» срез Фикс.вес 0,3 фиброуз ТМ «Стародворье» </t>
  </si>
  <si>
    <t> SU002943 </t>
  </si>
  <si>
    <t> В/к колбасы «Сочинка по-фински с сочным окороком» Весовой фиброуз ТМ «Стародворье» </t>
  </si>
  <si>
    <t> 103 </t>
  </si>
  <si>
    <t> -103 </t>
  </si>
  <si>
    <t> SU002944 </t>
  </si>
  <si>
    <t> В/к колбасы «Сочинка по-европейски с сочной грудинкой» срез Фикс.вес 0,3 фиброуз ТМ «Стародворье» </t>
  </si>
  <si>
    <t> 13 </t>
  </si>
  <si>
    <t> -13 </t>
  </si>
  <si>
    <t> SU002947 </t>
  </si>
  <si>
    <t> П/к колбасы «Сочинка рубленая с сочным окороком» Весовой фиброуз ТМ «Стародворье» </t>
  </si>
  <si>
    <t> 221 </t>
  </si>
  <si>
    <t> -221 </t>
  </si>
  <si>
    <t> SU002948 </t>
  </si>
  <si>
    <t> П/к колбасы «Сочинка рубленая с сочным окороком» срез Фикс.вес 0,3 фиброуз ТМ «Стародворье» </t>
  </si>
  <si>
    <t> SU003829 </t>
  </si>
  <si>
    <t> Копченые колбасы «Сервелат Мясорубский Делюкс» Фикс.вес 0,3 фиброуз ТМ «Стародворье» </t>
  </si>
  <si>
    <t> SU003893 </t>
  </si>
  <si>
    <t> Сырокопченые колбасы «Сальчичон» Фикс.вес 0,07 нарезка ТМ «Стародворье» </t>
  </si>
  <si>
    <t> 10 </t>
  </si>
  <si>
    <t> -10 </t>
  </si>
  <si>
    <t> SU003921 </t>
  </si>
  <si>
    <t> Деликатесы в/к «Грудинка копчено-вареная» Фикс.вес 0,12 нарезка ТМ «Стародворье» </t>
  </si>
  <si>
    <t> 4 </t>
  </si>
  <si>
    <t> -4 </t>
  </si>
  <si>
    <t> SU004039 </t>
  </si>
  <si>
    <t> Копченые колбасы «Балыковая» Фикс.вес 0,28 фиброуз срез ТМ «Вязанка» </t>
  </si>
  <si>
    <t> SU004041 </t>
  </si>
  <si>
    <t> Копченые колбасы «Балыковая» Весовой фиброуз ТМ «Вязанка» </t>
  </si>
  <si>
    <t> 28 </t>
  </si>
  <si>
    <t> -28 </t>
  </si>
  <si>
    <t> SU004042 </t>
  </si>
  <si>
    <t> Копченые колбасы «Сервелат Ореховый» Фикс.вес 0,28 фиброуз срез ТМ «Вязанка» </t>
  </si>
  <si>
    <t> SU004044 </t>
  </si>
  <si>
    <t> Копченые колбасы «Сервелат Ореховый» Весовой фиброуз ТМ «Вязанка» </t>
  </si>
  <si>
    <t> SU004045 </t>
  </si>
  <si>
    <t> Копченые колбасы «Сервелат Финский» Фикс.вес 0,28 фиброуз срез ТМ «Вязанка» </t>
  </si>
  <si>
    <t> ИТОГО </t>
  </si>
  <si>
    <t> 10 936 </t>
  </si>
  <si>
    <t> 9 588 </t>
  </si>
  <si>
    <t> 9 591 </t>
  </si>
  <si>
    <t> -1 345 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</si>
  <si>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70шт сеть Молоко (07,08,26)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</si>
  <si>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14шт списание сроки (11,08,26) / 70шт сеть Молоко (07,08,26)</t>
    </r>
  </si>
  <si>
    <t>нужно увеличить продажи!!!</t>
  </si>
  <si>
    <t>ТК</t>
  </si>
  <si>
    <t>ком ТК</t>
  </si>
  <si>
    <t>Боярко</t>
  </si>
  <si>
    <t>ПРОМО сентябрь</t>
  </si>
  <si>
    <t>ПРОМО сентябрь / 181кг списание (11,08,26)</t>
  </si>
  <si>
    <t>ПРОМО сентябрь / нужно увеличить продажи</t>
  </si>
  <si>
    <t>заказываем с 28,08,26</t>
  </si>
  <si>
    <t>итого</t>
  </si>
  <si>
    <t>заказ</t>
  </si>
  <si>
    <t>31,08,</t>
  </si>
  <si>
    <t>01,09,</t>
  </si>
  <si>
    <t>дн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</si>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</sst>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2C2D2E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0" fontId="4" fillId="4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right" vertical="center" wrapText="1"/>
    </xf>
    <xf numFmtId="0" fontId="0" fillId="0" borderId="1" xfId="0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5" fillId="7" borderId="1" xfId="1" applyNumberFormat="1" applyFont="1" applyFill="1"/>
    <xf numFmtId="164" fontId="1" fillId="8" borderId="1" xfId="1" applyNumberFormat="1" applyFill="1"/>
    <xf numFmtId="164" fontId="7" fillId="8" borderId="1" xfId="1" applyNumberFormat="1" applyFont="1" applyFill="1"/>
    <xf numFmtId="164" fontId="7" fillId="0" borderId="1" xfId="1" applyNumberFormat="1" applyFont="1"/>
    <xf numFmtId="164" fontId="6" fillId="8" borderId="1" xfId="1" applyNumberFormat="1" applyFont="1" applyFill="1"/>
    <xf numFmtId="164" fontId="1" fillId="0" borderId="1" xfId="1" applyNumberFormat="1" applyBorder="1"/>
    <xf numFmtId="0" fontId="0" fillId="0" borderId="1" xfId="0" applyBorder="1"/>
    <xf numFmtId="164" fontId="1" fillId="9" borderId="1" xfId="1" applyNumberFormat="1" applyFill="1" applyBorder="1"/>
    <xf numFmtId="165" fontId="1" fillId="0" borderId="1" xfId="1" applyNumberFormat="1"/>
    <xf numFmtId="0" fontId="4" fillId="4" borderId="2" xfId="0" applyFont="1" applyFill="1" applyBorder="1" applyAlignment="1">
      <alignment horizontal="right" vertical="center" wrapText="1"/>
    </xf>
    <xf numFmtId="0" fontId="0" fillId="0" borderId="4" xfId="0" applyBorder="1"/>
    <xf numFmtId="0" fontId="0" fillId="0" borderId="3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0;&#1086;&#1087;&#1080;&#1103;%20&#1076;&#1074;%20270826%20&#1073;&#1088;&#1088;&#1089;&#1095;%20&#1087;&#1086;%20&#1082;&#1080;%20(&#1041;&#1086;&#1103;&#1088;&#1082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  <sheetName val="Лист1"/>
      <sheetName val="недогруз 24,08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ср нов</v>
          </cell>
          <cell r="T3" t="str">
            <v>расчет</v>
          </cell>
        </row>
        <row r="4">
          <cell r="O4" t="str">
            <v>24,08,</v>
          </cell>
          <cell r="P4" t="str">
            <v>24,08,недогр</v>
          </cell>
          <cell r="Q4" t="str">
            <v>24,08,доз</v>
          </cell>
          <cell r="R4" t="str">
            <v>29,08,</v>
          </cell>
          <cell r="S4" t="str">
            <v>27,08,</v>
          </cell>
        </row>
        <row r="5">
          <cell r="E5">
            <v>18215.670999999998</v>
          </cell>
          <cell r="F5">
            <v>9215.3319999999967</v>
          </cell>
          <cell r="K5">
            <v>22485.904000000002</v>
          </cell>
          <cell r="L5">
            <v>-4270.2330000000002</v>
          </cell>
          <cell r="M5">
            <v>0</v>
          </cell>
          <cell r="N5">
            <v>0</v>
          </cell>
          <cell r="O5">
            <v>13845.357700000002</v>
          </cell>
          <cell r="P5">
            <v>-1920.738095238095</v>
          </cell>
          <cell r="Q5">
            <v>1550</v>
          </cell>
          <cell r="R5">
            <v>9542.0365139999994</v>
          </cell>
          <cell r="S5">
            <v>3643.1342000000018</v>
          </cell>
          <cell r="T5">
            <v>14480.991912000003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188.10300000000001</v>
          </cell>
          <cell r="D6">
            <v>422.721</v>
          </cell>
          <cell r="E6">
            <v>252.77500000000001</v>
          </cell>
          <cell r="F6">
            <v>243.14400000000001</v>
          </cell>
          <cell r="G6">
            <v>1</v>
          </cell>
          <cell r="H6">
            <v>50</v>
          </cell>
          <cell r="I6" t="str">
            <v>матрица</v>
          </cell>
          <cell r="K6">
            <v>236.09399999999999</v>
          </cell>
          <cell r="L6">
            <v>16.681000000000012</v>
          </cell>
          <cell r="O6">
            <v>182.27207200000001</v>
          </cell>
          <cell r="R6">
            <v>0</v>
          </cell>
          <cell r="S6">
            <v>50.555</v>
          </cell>
          <cell r="T6">
            <v>181.24392799999998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540.31799999999998</v>
          </cell>
          <cell r="D7">
            <v>399.71300000000002</v>
          </cell>
          <cell r="E7">
            <v>653.41</v>
          </cell>
          <cell r="F7">
            <v>102.50700000000001</v>
          </cell>
          <cell r="G7">
            <v>1</v>
          </cell>
          <cell r="H7">
            <v>45</v>
          </cell>
          <cell r="I7" t="str">
            <v>матрица</v>
          </cell>
          <cell r="K7">
            <v>689.9</v>
          </cell>
          <cell r="L7">
            <v>-36.490000000000009</v>
          </cell>
          <cell r="O7">
            <v>37.594408000000207</v>
          </cell>
          <cell r="R7">
            <v>874.63539199999968</v>
          </cell>
          <cell r="S7">
            <v>130.68199999999999</v>
          </cell>
          <cell r="T7">
            <v>553.44719999999984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637.67499999999995</v>
          </cell>
          <cell r="D8">
            <v>541.44899999999996</v>
          </cell>
          <cell r="E8">
            <v>508.42099999999999</v>
          </cell>
          <cell r="F8">
            <v>499.21600000000001</v>
          </cell>
          <cell r="G8">
            <v>1</v>
          </cell>
          <cell r="H8">
            <v>45</v>
          </cell>
          <cell r="I8" t="str">
            <v>матрица</v>
          </cell>
          <cell r="K8">
            <v>542.37699999999995</v>
          </cell>
          <cell r="L8">
            <v>-33.95599999999996</v>
          </cell>
          <cell r="O8">
            <v>0</v>
          </cell>
          <cell r="R8">
            <v>351.69100000000009</v>
          </cell>
          <cell r="S8">
            <v>101.6842</v>
          </cell>
          <cell r="T8">
            <v>369.3033999999999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G9">
            <v>0</v>
          </cell>
          <cell r="I9" t="str">
            <v>матрица</v>
          </cell>
          <cell r="L9">
            <v>0</v>
          </cell>
          <cell r="O9">
            <v>0</v>
          </cell>
          <cell r="R9">
            <v>0</v>
          </cell>
          <cell r="S9">
            <v>0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293</v>
          </cell>
          <cell r="D10">
            <v>697</v>
          </cell>
          <cell r="E10">
            <v>382</v>
          </cell>
          <cell r="F10">
            <v>403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736</v>
          </cell>
          <cell r="L10">
            <v>-354</v>
          </cell>
          <cell r="O10">
            <v>0</v>
          </cell>
          <cell r="R10">
            <v>0</v>
          </cell>
          <cell r="S10">
            <v>76.400000000000006</v>
          </cell>
          <cell r="T10">
            <v>513.80000000000007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93</v>
          </cell>
          <cell r="D11">
            <v>779</v>
          </cell>
          <cell r="E11">
            <v>502</v>
          </cell>
          <cell r="F11">
            <v>120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747</v>
          </cell>
          <cell r="L11">
            <v>-245</v>
          </cell>
          <cell r="O11">
            <v>904.702</v>
          </cell>
          <cell r="R11">
            <v>31.698000000000089</v>
          </cell>
          <cell r="S11">
            <v>100.4</v>
          </cell>
          <cell r="T11">
            <v>148.40000000000009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-3</v>
          </cell>
          <cell r="D12">
            <v>105</v>
          </cell>
          <cell r="E12">
            <v>38</v>
          </cell>
          <cell r="F12">
            <v>41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38</v>
          </cell>
          <cell r="L12">
            <v>0</v>
          </cell>
          <cell r="O12">
            <v>17.100000000000009</v>
          </cell>
          <cell r="R12">
            <v>0</v>
          </cell>
          <cell r="S12">
            <v>7.6</v>
          </cell>
          <cell r="T12">
            <v>33.09999999999998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6</v>
          </cell>
          <cell r="E13">
            <v>17</v>
          </cell>
          <cell r="F13">
            <v>3</v>
          </cell>
          <cell r="G13">
            <v>0.3</v>
          </cell>
          <cell r="H13">
            <v>40</v>
          </cell>
          <cell r="I13" t="str">
            <v>НЕДОГРУЗ / матрица</v>
          </cell>
          <cell r="K13">
            <v>70</v>
          </cell>
          <cell r="L13">
            <v>-53</v>
          </cell>
          <cell r="O13">
            <v>30</v>
          </cell>
          <cell r="P13">
            <v>-30</v>
          </cell>
          <cell r="R13">
            <v>42</v>
          </cell>
          <cell r="S13">
            <v>3.4</v>
          </cell>
          <cell r="T13">
            <v>50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224</v>
          </cell>
          <cell r="D14">
            <v>310</v>
          </cell>
          <cell r="E14">
            <v>246</v>
          </cell>
          <cell r="F14">
            <v>258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244</v>
          </cell>
          <cell r="L14">
            <v>2</v>
          </cell>
          <cell r="O14">
            <v>0</v>
          </cell>
          <cell r="R14">
            <v>238.4</v>
          </cell>
          <cell r="S14">
            <v>49.2</v>
          </cell>
          <cell r="T14">
            <v>94.000000000000114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507.65499999999997</v>
          </cell>
          <cell r="D15">
            <v>374.28500000000003</v>
          </cell>
          <cell r="E15">
            <v>433.78699999999998</v>
          </cell>
          <cell r="F15">
            <v>379.15800000000002</v>
          </cell>
          <cell r="G15">
            <v>1</v>
          </cell>
          <cell r="H15">
            <v>70</v>
          </cell>
          <cell r="I15" t="str">
            <v>матрица</v>
          </cell>
          <cell r="K15">
            <v>403.54</v>
          </cell>
          <cell r="L15">
            <v>30.246999999999957</v>
          </cell>
          <cell r="O15">
            <v>13.43869800000007</v>
          </cell>
          <cell r="R15">
            <v>327.32030200000003</v>
          </cell>
          <cell r="S15">
            <v>86.75739999999999</v>
          </cell>
          <cell r="T15">
            <v>321.17179999999985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2263.0709999999999</v>
          </cell>
          <cell r="D16">
            <v>1399.442</v>
          </cell>
          <cell r="E16">
            <v>2108.29</v>
          </cell>
          <cell r="F16">
            <v>665.68399999999997</v>
          </cell>
          <cell r="G16">
            <v>1</v>
          </cell>
          <cell r="H16">
            <v>50</v>
          </cell>
          <cell r="I16" t="str">
            <v>матрица</v>
          </cell>
          <cell r="K16">
            <v>2125.241</v>
          </cell>
          <cell r="L16">
            <v>-16.951000000000022</v>
          </cell>
          <cell r="O16">
            <v>1758.497486</v>
          </cell>
          <cell r="Q16">
            <v>450</v>
          </cell>
          <cell r="R16">
            <v>550</v>
          </cell>
          <cell r="S16">
            <v>421.65800000000002</v>
          </cell>
          <cell r="T16">
            <v>1635.7145140000005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22.131</v>
          </cell>
          <cell r="D17">
            <v>89.406000000000006</v>
          </cell>
          <cell r="E17">
            <v>67.203999999999994</v>
          </cell>
          <cell r="F17">
            <v>38.192999999999998</v>
          </cell>
          <cell r="G17">
            <v>1</v>
          </cell>
          <cell r="H17">
            <v>60</v>
          </cell>
          <cell r="I17" t="str">
            <v>матрица</v>
          </cell>
          <cell r="K17">
            <v>71.5</v>
          </cell>
          <cell r="L17">
            <v>-4.2960000000000065</v>
          </cell>
          <cell r="O17">
            <v>50.121237999999991</v>
          </cell>
          <cell r="R17">
            <v>28.90616200000002</v>
          </cell>
          <cell r="S17">
            <v>13.440799999999999</v>
          </cell>
          <cell r="T17">
            <v>44.069199999999995</v>
          </cell>
        </row>
        <row r="18">
          <cell r="A18" t="str">
            <v xml:space="preserve"> 225  Колбаса Дугушка со шпиком, ВЕС, ТМ Стародворье   ПОКОМ</v>
          </cell>
          <cell r="B18" t="str">
            <v>кг</v>
          </cell>
          <cell r="C18">
            <v>48.323</v>
          </cell>
          <cell r="E18">
            <v>40.427999999999997</v>
          </cell>
          <cell r="F18">
            <v>0.93899999999999995</v>
          </cell>
          <cell r="G18">
            <v>1</v>
          </cell>
          <cell r="H18">
            <v>60</v>
          </cell>
          <cell r="I18" t="str">
            <v>матрица</v>
          </cell>
          <cell r="K18">
            <v>34.9</v>
          </cell>
          <cell r="L18">
            <v>5.5279999999999987</v>
          </cell>
          <cell r="O18">
            <v>39.327599999999997</v>
          </cell>
          <cell r="R18">
            <v>21.379799999999999</v>
          </cell>
          <cell r="S18">
            <v>8.0855999999999995</v>
          </cell>
          <cell r="T18">
            <v>35.380799999999994</v>
          </cell>
        </row>
        <row r="19">
          <cell r="A19" t="str">
            <v xml:space="preserve"> 226  Колбаса Княжеская, с/к белков.обол в термоусад. пакете, ВЕС, ТМ Стародворье ПОКОМ</v>
          </cell>
          <cell r="B19" t="str">
            <v>кг</v>
          </cell>
          <cell r="C19">
            <v>27.722000000000001</v>
          </cell>
          <cell r="D19">
            <v>22.085000000000001</v>
          </cell>
          <cell r="E19">
            <v>30.602</v>
          </cell>
          <cell r="F19">
            <v>12.244</v>
          </cell>
          <cell r="G19">
            <v>1</v>
          </cell>
          <cell r="H19">
            <v>180</v>
          </cell>
          <cell r="I19" t="str">
            <v>матрица</v>
          </cell>
          <cell r="K19">
            <v>27.13</v>
          </cell>
          <cell r="L19">
            <v>3.4720000000000013</v>
          </cell>
          <cell r="O19">
            <v>11.591999999999979</v>
          </cell>
          <cell r="R19">
            <v>16.924000000000031</v>
          </cell>
          <cell r="S19">
            <v>6.1204000000000001</v>
          </cell>
          <cell r="T19">
            <v>32.684799999999989</v>
          </cell>
          <cell r="U19">
            <v>50</v>
          </cell>
          <cell r="V19" t="str">
            <v>Большие сроки, увеличиваем продажи</v>
          </cell>
        </row>
        <row r="20">
          <cell r="A20" t="str">
            <v xml:space="preserve"> 229  Колбаса Молочная Дугушка, в/у, ВЕС, ТМ Стародворье   ПОКОМ</v>
          </cell>
          <cell r="B20" t="str">
            <v>кг</v>
          </cell>
          <cell r="C20">
            <v>103.63500000000001</v>
          </cell>
          <cell r="D20">
            <v>411.404</v>
          </cell>
          <cell r="E20">
            <v>305.166</v>
          </cell>
          <cell r="F20">
            <v>174.34700000000001</v>
          </cell>
          <cell r="G20">
            <v>1</v>
          </cell>
          <cell r="H20">
            <v>60</v>
          </cell>
          <cell r="I20" t="str">
            <v>матрица</v>
          </cell>
          <cell r="K20">
            <v>321.2</v>
          </cell>
          <cell r="L20">
            <v>-16.033999999999992</v>
          </cell>
          <cell r="O20">
            <v>343.26337199999989</v>
          </cell>
          <cell r="R20">
            <v>0</v>
          </cell>
          <cell r="S20">
            <v>61.033200000000001</v>
          </cell>
          <cell r="T20">
            <v>214.78802800000014</v>
          </cell>
        </row>
        <row r="21">
          <cell r="A21" t="str">
            <v xml:space="preserve"> 236  Колбаса Рубленая ЗАПЕЧ. Дугушка ТМ Стародворье, вектор, в/к    ПОКОМ</v>
          </cell>
          <cell r="B21" t="str">
            <v>кг</v>
          </cell>
          <cell r="C21">
            <v>123.371</v>
          </cell>
          <cell r="D21">
            <v>32.427</v>
          </cell>
          <cell r="E21">
            <v>99.85</v>
          </cell>
          <cell r="F21">
            <v>33.256</v>
          </cell>
          <cell r="G21">
            <v>1</v>
          </cell>
          <cell r="H21">
            <v>70</v>
          </cell>
          <cell r="I21" t="str">
            <v>матрица</v>
          </cell>
          <cell r="K21">
            <v>104.4</v>
          </cell>
          <cell r="L21">
            <v>-4.5500000000000114</v>
          </cell>
          <cell r="O21">
            <v>21.02104999999997</v>
          </cell>
          <cell r="R21">
            <v>162.49295000000009</v>
          </cell>
          <cell r="S21">
            <v>19.97</v>
          </cell>
          <cell r="T21">
            <v>22.869999999999919</v>
          </cell>
          <cell r="U21">
            <v>100</v>
          </cell>
          <cell r="V21" t="str">
            <v>Сети</v>
          </cell>
        </row>
        <row r="22">
          <cell r="A22" t="str">
            <v xml:space="preserve"> 239  Колбаса Салями запеч Дугушка, оболочка вектор, ВЕС, ТМ Стародворье  ПОКОМ</v>
          </cell>
          <cell r="B22" t="str">
            <v>кг</v>
          </cell>
          <cell r="C22">
            <v>39</v>
          </cell>
          <cell r="D22">
            <v>200.31700000000001</v>
          </cell>
          <cell r="E22">
            <v>131.06700000000001</v>
          </cell>
          <cell r="F22">
            <v>61.686999999999998</v>
          </cell>
          <cell r="G22">
            <v>1</v>
          </cell>
          <cell r="H22">
            <v>70</v>
          </cell>
          <cell r="I22" t="str">
            <v>НЕДОГРУЗ / матрица</v>
          </cell>
          <cell r="K22">
            <v>153.69999999999999</v>
          </cell>
          <cell r="L22">
            <v>-22.632999999999981</v>
          </cell>
          <cell r="O22">
            <v>234.842062</v>
          </cell>
          <cell r="P22">
            <v>-238</v>
          </cell>
          <cell r="R22">
            <v>70</v>
          </cell>
          <cell r="S22">
            <v>26.2134</v>
          </cell>
          <cell r="T22">
            <v>90</v>
          </cell>
        </row>
        <row r="23">
          <cell r="A23" t="str">
            <v xml:space="preserve"> 240  Колбаса Салями охотничья, ВЕС. ПОКОМ</v>
          </cell>
          <cell r="B23" t="str">
            <v>кг</v>
          </cell>
          <cell r="C23">
            <v>56.646999999999998</v>
          </cell>
          <cell r="D23">
            <v>61.338000000000001</v>
          </cell>
          <cell r="E23">
            <v>26.789000000000001</v>
          </cell>
          <cell r="F23">
            <v>86.325000000000003</v>
          </cell>
          <cell r="G23">
            <v>1</v>
          </cell>
          <cell r="H23">
            <v>180</v>
          </cell>
          <cell r="I23" t="str">
            <v>матрица</v>
          </cell>
          <cell r="K23">
            <v>25.28</v>
          </cell>
          <cell r="L23">
            <v>1.5090000000000003</v>
          </cell>
          <cell r="O23">
            <v>0</v>
          </cell>
          <cell r="R23">
            <v>0</v>
          </cell>
          <cell r="S23">
            <v>5.3578000000000001</v>
          </cell>
        </row>
        <row r="24">
          <cell r="A24" t="str">
            <v xml:space="preserve"> 242  Колбаса Сервелат ЗАПЕЧ.Дугушка ТМ Стародворье, вектор, в/к     ПОКОМ</v>
          </cell>
          <cell r="B24" t="str">
            <v>кг</v>
          </cell>
          <cell r="C24">
            <v>154.22999999999999</v>
          </cell>
          <cell r="D24">
            <v>162.30600000000001</v>
          </cell>
          <cell r="E24">
            <v>180.70500000000001</v>
          </cell>
          <cell r="F24">
            <v>106.133</v>
          </cell>
          <cell r="G24">
            <v>1</v>
          </cell>
          <cell r="H24">
            <v>70</v>
          </cell>
          <cell r="I24" t="str">
            <v>НЕДОГРУЗ / матрица</v>
          </cell>
          <cell r="K24">
            <v>178.2</v>
          </cell>
          <cell r="L24">
            <v>2.5050000000000239</v>
          </cell>
          <cell r="O24">
            <v>188.37696199999999</v>
          </cell>
          <cell r="P24">
            <v>-190</v>
          </cell>
          <cell r="R24">
            <v>70</v>
          </cell>
          <cell r="S24">
            <v>36.141000000000005</v>
          </cell>
          <cell r="T24">
            <v>90</v>
          </cell>
          <cell r="U24">
            <v>300</v>
          </cell>
          <cell r="V24" t="str">
            <v>Промо на сентябрь</v>
          </cell>
        </row>
        <row r="25">
          <cell r="A25" t="str">
            <v xml:space="preserve"> 244  Колбаса Сервелат Кремлевский, ВЕС. ПОКОМ</v>
          </cell>
          <cell r="B25" t="str">
            <v>кг</v>
          </cell>
          <cell r="G25">
            <v>0</v>
          </cell>
          <cell r="I25" t="str">
            <v>матрица</v>
          </cell>
          <cell r="L25">
            <v>0</v>
          </cell>
          <cell r="O25">
            <v>0</v>
          </cell>
          <cell r="R25">
            <v>0</v>
          </cell>
          <cell r="S25">
            <v>0</v>
          </cell>
        </row>
        <row r="26">
          <cell r="A26" t="str">
            <v xml:space="preserve"> 247  Сардельки Нежные, ВЕС.  ПОКОМ</v>
          </cell>
          <cell r="B26" t="str">
            <v>кг</v>
          </cell>
          <cell r="C26">
            <v>244.36199999999999</v>
          </cell>
          <cell r="D26">
            <v>8.5609999999999999</v>
          </cell>
          <cell r="E26">
            <v>201.595</v>
          </cell>
          <cell r="F26">
            <v>24.396000000000001</v>
          </cell>
          <cell r="G26">
            <v>1</v>
          </cell>
          <cell r="I26" t="str">
            <v>матрица</v>
          </cell>
          <cell r="K26">
            <v>189.6</v>
          </cell>
          <cell r="L26">
            <v>11.995000000000005</v>
          </cell>
          <cell r="O26">
            <v>0</v>
          </cell>
          <cell r="R26">
            <v>270.10860000000002</v>
          </cell>
          <cell r="S26">
            <v>40.319000000000003</v>
          </cell>
          <cell r="T26">
            <v>189.32339999999999</v>
          </cell>
        </row>
        <row r="27">
          <cell r="A27" t="str">
            <v xml:space="preserve"> 248  Сардельки Сочные ТМ Особый рецепт,   ПОКОМ</v>
          </cell>
          <cell r="B27" t="str">
            <v>кг</v>
          </cell>
          <cell r="C27">
            <v>-2.5000000000000001E-2</v>
          </cell>
          <cell r="E27">
            <v>-1.5549999999999999</v>
          </cell>
          <cell r="F27">
            <v>-2.5000000000000001E-2</v>
          </cell>
          <cell r="G27">
            <v>1</v>
          </cell>
          <cell r="H27">
            <v>40</v>
          </cell>
          <cell r="I27" t="str">
            <v>НЕДОГРУЗ / матрица</v>
          </cell>
          <cell r="K27">
            <v>10.199999999999999</v>
          </cell>
          <cell r="L27">
            <v>-11.754999999999999</v>
          </cell>
          <cell r="O27">
            <v>31.5</v>
          </cell>
          <cell r="P27">
            <v>-36</v>
          </cell>
          <cell r="R27">
            <v>70</v>
          </cell>
          <cell r="S27">
            <v>-0.311</v>
          </cell>
          <cell r="T27">
            <v>90</v>
          </cell>
        </row>
        <row r="28">
          <cell r="A28" t="str">
            <v xml:space="preserve"> 250  Сардельки стародворские с говядиной в обол. NDX, ВЕС. ПОКОМ</v>
          </cell>
          <cell r="B28" t="str">
            <v>кг</v>
          </cell>
          <cell r="C28">
            <v>58.14</v>
          </cell>
          <cell r="D28">
            <v>242</v>
          </cell>
          <cell r="E28">
            <v>155.62799999999999</v>
          </cell>
          <cell r="F28">
            <v>8.218</v>
          </cell>
          <cell r="G28">
            <v>1</v>
          </cell>
          <cell r="H28">
            <v>30</v>
          </cell>
          <cell r="I28" t="str">
            <v>матрица</v>
          </cell>
          <cell r="K28">
            <v>236.01599999999999</v>
          </cell>
          <cell r="L28">
            <v>-80.388000000000005</v>
          </cell>
          <cell r="O28">
            <v>90</v>
          </cell>
          <cell r="R28">
            <v>36.886399999999981</v>
          </cell>
          <cell r="S28">
            <v>31.125599999999999</v>
          </cell>
          <cell r="T28">
            <v>207.27720000000002</v>
          </cell>
        </row>
        <row r="29">
          <cell r="A29" t="str">
            <v xml:space="preserve"> 255  Сосиски Молочные для завтрака ТМ Особый рецепт, п/а МГС, ВЕС, ТМ Стародворье  ПОКОМ</v>
          </cell>
          <cell r="B29" t="str">
            <v>кг</v>
          </cell>
          <cell r="C29">
            <v>1.518</v>
          </cell>
          <cell r="E29">
            <v>-0.77100000000000002</v>
          </cell>
          <cell r="F29">
            <v>1.518</v>
          </cell>
          <cell r="G29">
            <v>1</v>
          </cell>
          <cell r="H29">
            <v>40</v>
          </cell>
          <cell r="I29" t="str">
            <v>НЕДОГРУЗ / матрица</v>
          </cell>
          <cell r="K29">
            <v>78.8</v>
          </cell>
          <cell r="L29">
            <v>-79.570999999999998</v>
          </cell>
          <cell r="O29">
            <v>135</v>
          </cell>
          <cell r="R29">
            <v>280</v>
          </cell>
          <cell r="S29">
            <v>-0.1542</v>
          </cell>
          <cell r="T29">
            <v>360</v>
          </cell>
        </row>
        <row r="30">
          <cell r="A30" t="str">
            <v xml:space="preserve"> 257  Сосиски Молочные оригинальные ТМ Особый рецепт, ВЕС.   ПОКОМ</v>
          </cell>
          <cell r="B30" t="str">
            <v>кг</v>
          </cell>
          <cell r="C30">
            <v>-0.03</v>
          </cell>
          <cell r="F30">
            <v>-0.03</v>
          </cell>
          <cell r="G30">
            <v>1</v>
          </cell>
          <cell r="H30">
            <v>40</v>
          </cell>
          <cell r="I30" t="str">
            <v>НЕДОГРУЗ / матрица</v>
          </cell>
          <cell r="L30">
            <v>0</v>
          </cell>
          <cell r="O30">
            <v>10</v>
          </cell>
          <cell r="R30">
            <v>10</v>
          </cell>
          <cell r="S30">
            <v>0</v>
          </cell>
          <cell r="T30">
            <v>10</v>
          </cell>
        </row>
        <row r="31">
          <cell r="A31" t="str">
            <v xml:space="preserve"> 263  Шпикачки Стародворские, ВЕС.  ПОКОМ</v>
          </cell>
          <cell r="B31" t="str">
            <v>кг</v>
          </cell>
          <cell r="C31">
            <v>152.22</v>
          </cell>
          <cell r="D31">
            <v>1.4419999999999999</v>
          </cell>
          <cell r="E31">
            <v>78.679000000000002</v>
          </cell>
          <cell r="F31">
            <v>32.463000000000001</v>
          </cell>
          <cell r="G31">
            <v>1</v>
          </cell>
          <cell r="H31">
            <v>30</v>
          </cell>
          <cell r="I31" t="str">
            <v>матрица</v>
          </cell>
          <cell r="K31">
            <v>80.3</v>
          </cell>
          <cell r="L31">
            <v>-1.6209999999999951</v>
          </cell>
          <cell r="O31">
            <v>0</v>
          </cell>
          <cell r="R31">
            <v>116.123</v>
          </cell>
          <cell r="S31">
            <v>15.735800000000001</v>
          </cell>
          <cell r="T31">
            <v>40.243600000000022</v>
          </cell>
        </row>
        <row r="32">
          <cell r="A32" t="str">
            <v xml:space="preserve"> 265  Колбаса Балыкбургская, ВЕС, ТМ Баварушка  ПОКОМ</v>
          </cell>
          <cell r="B32" t="str">
            <v>кг</v>
          </cell>
          <cell r="C32">
            <v>74.352999999999994</v>
          </cell>
          <cell r="D32">
            <v>6.3680000000000003</v>
          </cell>
          <cell r="E32">
            <v>10.128</v>
          </cell>
          <cell r="F32">
            <v>18.972000000000001</v>
          </cell>
          <cell r="G32">
            <v>1</v>
          </cell>
          <cell r="H32">
            <v>50</v>
          </cell>
          <cell r="I32" t="str">
            <v>НЕДОГРУЗ / матрица</v>
          </cell>
          <cell r="K32">
            <v>87.2</v>
          </cell>
          <cell r="L32">
            <v>-77.072000000000003</v>
          </cell>
          <cell r="O32">
            <v>127.560588</v>
          </cell>
          <cell r="P32">
            <v>-37</v>
          </cell>
          <cell r="R32">
            <v>0</v>
          </cell>
          <cell r="S32">
            <v>2.0255999999999998</v>
          </cell>
          <cell r="T32">
            <v>30</v>
          </cell>
          <cell r="U32">
            <v>100</v>
          </cell>
          <cell r="V32" t="str">
            <v>Промо на сентябрь</v>
          </cell>
        </row>
        <row r="33">
          <cell r="A33" t="str">
            <v xml:space="preserve"> 267  Колбаса Салями Филейбургская зернистая, оболочка фиброуз, ВЕС, ТМ Баварушка  ПОКОМ</v>
          </cell>
          <cell r="B33" t="str">
            <v>кг</v>
          </cell>
          <cell r="C33">
            <v>83.65</v>
          </cell>
          <cell r="D33">
            <v>5.4050000000000002</v>
          </cell>
          <cell r="E33">
            <v>67.881</v>
          </cell>
          <cell r="F33">
            <v>6.1639999999999997</v>
          </cell>
          <cell r="G33">
            <v>1</v>
          </cell>
          <cell r="H33">
            <v>50</v>
          </cell>
          <cell r="I33" t="str">
            <v>матрица</v>
          </cell>
          <cell r="K33">
            <v>61.5</v>
          </cell>
          <cell r="L33">
            <v>6.3810000000000002</v>
          </cell>
          <cell r="O33">
            <v>70.642722000000006</v>
          </cell>
          <cell r="R33">
            <v>123.816278</v>
          </cell>
          <cell r="S33">
            <v>13.5762</v>
          </cell>
        </row>
        <row r="34">
          <cell r="A34" t="str">
            <v xml:space="preserve"> 273  Сосиски Сочинки с сочной грудинкой, МГС 0.4кг,   ПОКОМ</v>
          </cell>
          <cell r="B34" t="str">
            <v>шт</v>
          </cell>
          <cell r="C34">
            <v>51.505000000000003</v>
          </cell>
          <cell r="D34">
            <v>1614</v>
          </cell>
          <cell r="E34">
            <v>847</v>
          </cell>
          <cell r="F34">
            <v>284.505</v>
          </cell>
          <cell r="G34">
            <v>0.4</v>
          </cell>
          <cell r="H34">
            <v>45</v>
          </cell>
          <cell r="I34" t="str">
            <v>НЕДОГРУЗ / матрица</v>
          </cell>
          <cell r="K34">
            <v>1522</v>
          </cell>
          <cell r="L34">
            <v>-675</v>
          </cell>
          <cell r="O34">
            <v>591.29775000000018</v>
          </cell>
          <cell r="R34">
            <v>420</v>
          </cell>
          <cell r="S34">
            <v>169.4</v>
          </cell>
          <cell r="T34">
            <v>550</v>
          </cell>
        </row>
        <row r="35">
          <cell r="A35" t="str">
            <v xml:space="preserve"> 276  Колбаса Сливушка ТМ Вязанка в оболочке полиамид 0,45 кг  ПОКОМ</v>
          </cell>
          <cell r="B35" t="str">
            <v>шт</v>
          </cell>
          <cell r="C35">
            <v>378</v>
          </cell>
          <cell r="D35">
            <v>2</v>
          </cell>
          <cell r="E35">
            <v>235</v>
          </cell>
          <cell r="F35">
            <v>-56</v>
          </cell>
          <cell r="G35">
            <v>0.45</v>
          </cell>
          <cell r="H35">
            <v>50</v>
          </cell>
          <cell r="I35" t="str">
            <v>матрица</v>
          </cell>
          <cell r="K35">
            <v>240</v>
          </cell>
          <cell r="L35">
            <v>-5</v>
          </cell>
          <cell r="O35">
            <v>382.28</v>
          </cell>
          <cell r="R35">
            <v>329.12000000000012</v>
          </cell>
          <cell r="S35">
            <v>47</v>
          </cell>
          <cell r="U35">
            <v>116</v>
          </cell>
        </row>
        <row r="36">
          <cell r="A36" t="str">
            <v xml:space="preserve"> 278  Сосиски Сочинки с сочным окороком, МГС 0.4кг,   ПОКОМ</v>
          </cell>
          <cell r="B36" t="str">
            <v>шт</v>
          </cell>
          <cell r="C36">
            <v>-14</v>
          </cell>
          <cell r="D36">
            <v>2</v>
          </cell>
          <cell r="E36">
            <v>1</v>
          </cell>
          <cell r="F36">
            <v>-14</v>
          </cell>
          <cell r="G36">
            <v>0.4</v>
          </cell>
          <cell r="H36">
            <v>45</v>
          </cell>
          <cell r="I36" t="str">
            <v>НЕДОГРУЗ / матрица</v>
          </cell>
          <cell r="K36">
            <v>121</v>
          </cell>
          <cell r="L36">
            <v>-120</v>
          </cell>
          <cell r="O36">
            <v>135</v>
          </cell>
          <cell r="P36">
            <v>-137.5</v>
          </cell>
          <cell r="R36">
            <v>175</v>
          </cell>
          <cell r="S36">
            <v>0.2</v>
          </cell>
          <cell r="T36">
            <v>230</v>
          </cell>
        </row>
        <row r="37">
          <cell r="A37" t="str">
            <v xml:space="preserve"> 281  Сосиски Молочные для завтрака ТМ Особый рецепт, 0,4кг  ПОКОМ</v>
          </cell>
          <cell r="B37" t="str">
            <v>шт</v>
          </cell>
          <cell r="C37">
            <v>-6</v>
          </cell>
          <cell r="D37">
            <v>42</v>
          </cell>
          <cell r="E37">
            <v>28</v>
          </cell>
          <cell r="F37">
            <v>4</v>
          </cell>
          <cell r="G37">
            <v>0.4</v>
          </cell>
          <cell r="H37">
            <v>40</v>
          </cell>
          <cell r="I37" t="str">
            <v>НЕДОГРУЗ / матрица</v>
          </cell>
          <cell r="K37">
            <v>84</v>
          </cell>
          <cell r="L37">
            <v>-56</v>
          </cell>
          <cell r="O37">
            <v>25</v>
          </cell>
          <cell r="P37">
            <v>-30</v>
          </cell>
          <cell r="R37">
            <v>42</v>
          </cell>
          <cell r="S37">
            <v>5.6</v>
          </cell>
          <cell r="T37">
            <v>50</v>
          </cell>
        </row>
        <row r="38">
          <cell r="A38" t="str">
            <v xml:space="preserve"> 283  Сосиски Сочинки, ВЕС, ТМ Стародворье ПОКОМ</v>
          </cell>
          <cell r="B38" t="str">
            <v>кг</v>
          </cell>
          <cell r="C38">
            <v>39.874000000000002</v>
          </cell>
          <cell r="E38">
            <v>48.18</v>
          </cell>
          <cell r="F38">
            <v>1.2509999999999999</v>
          </cell>
          <cell r="G38">
            <v>1</v>
          </cell>
          <cell r="H38">
            <v>45</v>
          </cell>
          <cell r="I38" t="str">
            <v>матрица</v>
          </cell>
          <cell r="K38">
            <v>52.3</v>
          </cell>
          <cell r="L38">
            <v>-4.1199999999999974</v>
          </cell>
          <cell r="O38">
            <v>33.590000000000003</v>
          </cell>
          <cell r="R38">
            <v>89.600599999999986</v>
          </cell>
          <cell r="S38">
            <v>9.6359999999999992</v>
          </cell>
          <cell r="U38">
            <v>100</v>
          </cell>
          <cell r="V38" t="str">
            <v>Промо на сентябрь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B39" t="str">
            <v>шт</v>
          </cell>
          <cell r="C39">
            <v>230</v>
          </cell>
          <cell r="E39">
            <v>103</v>
          </cell>
          <cell r="F39">
            <v>103</v>
          </cell>
          <cell r="G39">
            <v>0.1</v>
          </cell>
          <cell r="H39">
            <v>731</v>
          </cell>
          <cell r="I39" t="str">
            <v>матрица</v>
          </cell>
          <cell r="K39">
            <v>106</v>
          </cell>
          <cell r="L39">
            <v>-3</v>
          </cell>
          <cell r="O39">
            <v>0</v>
          </cell>
          <cell r="R39">
            <v>33.800000000000011</v>
          </cell>
          <cell r="S39">
            <v>20.6</v>
          </cell>
          <cell r="T39">
            <v>110.4</v>
          </cell>
          <cell r="U39" t="str">
            <v>500шт</v>
          </cell>
          <cell r="V39" t="str">
            <v>Промо N+1 на сентябрь</v>
          </cell>
        </row>
        <row r="40">
          <cell r="A40" t="str">
            <v xml:space="preserve"> 296  Колбаса Мясорубская с рубленой грудинкой 0,35кг срез ТМ Стародворье  ПОКОМ</v>
          </cell>
          <cell r="B40" t="str">
            <v>шт</v>
          </cell>
          <cell r="E40">
            <v>-12</v>
          </cell>
          <cell r="G40">
            <v>0.35</v>
          </cell>
          <cell r="H40">
            <v>40</v>
          </cell>
          <cell r="I40" t="str">
            <v>НЕДОГРУЗ / матрица</v>
          </cell>
          <cell r="K40">
            <v>24</v>
          </cell>
          <cell r="L40">
            <v>-36</v>
          </cell>
          <cell r="O40">
            <v>25</v>
          </cell>
          <cell r="P40">
            <v>-31.428571428571431</v>
          </cell>
          <cell r="R40">
            <v>42</v>
          </cell>
          <cell r="S40">
            <v>-2.4</v>
          </cell>
          <cell r="T40">
            <v>50</v>
          </cell>
          <cell r="U40">
            <v>0</v>
          </cell>
        </row>
        <row r="41">
          <cell r="A41" t="str">
            <v xml:space="preserve"> 297  Колбаса Мясорубская с рубленой грудинкой ВЕС ТМ Стародворье  ПОКОМ</v>
          </cell>
          <cell r="B41" t="str">
            <v>кг</v>
          </cell>
          <cell r="C41">
            <v>23.353000000000002</v>
          </cell>
          <cell r="E41">
            <v>27.029</v>
          </cell>
          <cell r="F41">
            <v>4.3559999999999999</v>
          </cell>
          <cell r="G41">
            <v>1</v>
          </cell>
          <cell r="H41">
            <v>40</v>
          </cell>
          <cell r="I41" t="str">
            <v>НЕДОГРУЗ / матрица</v>
          </cell>
          <cell r="K41">
            <v>49.8</v>
          </cell>
          <cell r="L41">
            <v>-22.770999999999997</v>
          </cell>
          <cell r="O41">
            <v>20</v>
          </cell>
          <cell r="P41">
            <v>-21</v>
          </cell>
          <cell r="R41">
            <v>30</v>
          </cell>
          <cell r="S41">
            <v>5.4058000000000002</v>
          </cell>
          <cell r="T41">
            <v>40</v>
          </cell>
        </row>
        <row r="42">
          <cell r="A42" t="str">
            <v xml:space="preserve"> 298  Колбаса Сливушка ТМ Вязанка, 0,375кг,  ПОКОМ</v>
          </cell>
          <cell r="B42" t="str">
            <v>шт</v>
          </cell>
          <cell r="C42">
            <v>-1</v>
          </cell>
          <cell r="D42">
            <v>3</v>
          </cell>
          <cell r="F42">
            <v>1</v>
          </cell>
          <cell r="G42">
            <v>0</v>
          </cell>
          <cell r="H42">
            <v>50</v>
          </cell>
          <cell r="I42" t="str">
            <v>не в матрице</v>
          </cell>
          <cell r="K42">
            <v>13</v>
          </cell>
          <cell r="L42">
            <v>-13</v>
          </cell>
          <cell r="O42">
            <v>0</v>
          </cell>
          <cell r="R42">
            <v>0</v>
          </cell>
          <cell r="S42">
            <v>0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B43" t="str">
            <v>шт</v>
          </cell>
          <cell r="C43">
            <v>60</v>
          </cell>
          <cell r="D43">
            <v>43</v>
          </cell>
          <cell r="E43">
            <v>44</v>
          </cell>
          <cell r="F43">
            <v>54</v>
          </cell>
          <cell r="G43">
            <v>0.4</v>
          </cell>
          <cell r="H43">
            <v>40</v>
          </cell>
          <cell r="I43" t="str">
            <v>НЕДОГРУЗ / матрица</v>
          </cell>
          <cell r="K43">
            <v>227</v>
          </cell>
          <cell r="L43">
            <v>-183</v>
          </cell>
          <cell r="O43">
            <v>30</v>
          </cell>
          <cell r="R43">
            <v>70</v>
          </cell>
          <cell r="S43">
            <v>8.8000000000000007</v>
          </cell>
          <cell r="T43">
            <v>50</v>
          </cell>
          <cell r="U43">
            <v>0</v>
          </cell>
        </row>
        <row r="44">
          <cell r="A44" t="str">
            <v xml:space="preserve"> 302  Сосиски Сочинки по-баварски,  0.4кг, ТМ Стародворье  ПОКОМ</v>
          </cell>
          <cell r="B44" t="str">
            <v>шт</v>
          </cell>
          <cell r="C44">
            <v>202</v>
          </cell>
          <cell r="D44">
            <v>159</v>
          </cell>
          <cell r="E44">
            <v>212</v>
          </cell>
          <cell r="F44">
            <v>101</v>
          </cell>
          <cell r="G44">
            <v>0.4</v>
          </cell>
          <cell r="H44">
            <v>45</v>
          </cell>
          <cell r="I44" t="str">
            <v>НЕДОГРУЗ / матрица</v>
          </cell>
          <cell r="K44">
            <v>240</v>
          </cell>
          <cell r="L44">
            <v>-28</v>
          </cell>
          <cell r="O44">
            <v>45</v>
          </cell>
          <cell r="R44">
            <v>84</v>
          </cell>
          <cell r="S44">
            <v>42.4</v>
          </cell>
          <cell r="T44">
            <v>150</v>
          </cell>
          <cell r="U44">
            <v>0</v>
          </cell>
        </row>
        <row r="45">
          <cell r="A45" t="str">
            <v xml:space="preserve"> 305  Колбаса Сервелат Мясорубский с мелкорубленным окороком в/у  ТМ Стародворье ВЕС   ПОКОМ</v>
          </cell>
          <cell r="B45" t="str">
            <v>кг</v>
          </cell>
          <cell r="C45">
            <v>-5.0670000000000002</v>
          </cell>
          <cell r="E45">
            <v>8.7449999999999992</v>
          </cell>
          <cell r="F45">
            <v>-9.4359999999999999</v>
          </cell>
          <cell r="G45">
            <v>1</v>
          </cell>
          <cell r="H45">
            <v>40</v>
          </cell>
          <cell r="I45" t="str">
            <v>НЕДОГРУЗ / матрица</v>
          </cell>
          <cell r="K45">
            <v>22.7</v>
          </cell>
          <cell r="L45">
            <v>-13.955</v>
          </cell>
          <cell r="O45">
            <v>25</v>
          </cell>
          <cell r="P45">
            <v>-25</v>
          </cell>
          <cell r="R45">
            <v>42</v>
          </cell>
          <cell r="S45">
            <v>1.7489999999999999</v>
          </cell>
          <cell r="T45">
            <v>55</v>
          </cell>
          <cell r="U45">
            <v>100</v>
          </cell>
          <cell r="V45" t="str">
            <v>Промо на сентябрь</v>
          </cell>
        </row>
        <row r="46">
          <cell r="A46" t="str">
            <v xml:space="preserve"> 307  Колбаса Сервелат Мясорубский с мелкорубленным окороком 0,35 кг срез ТМ Стародворье   Поком</v>
          </cell>
          <cell r="B46" t="str">
            <v>шт</v>
          </cell>
          <cell r="C46">
            <v>48</v>
          </cell>
          <cell r="D46">
            <v>1</v>
          </cell>
          <cell r="E46">
            <v>69</v>
          </cell>
          <cell r="F46">
            <v>-12</v>
          </cell>
          <cell r="G46">
            <v>0.35</v>
          </cell>
          <cell r="H46">
            <v>40</v>
          </cell>
          <cell r="I46" t="str">
            <v>НЕДОГРУЗ / матрица</v>
          </cell>
          <cell r="K46">
            <v>139</v>
          </cell>
          <cell r="L46">
            <v>-70</v>
          </cell>
          <cell r="O46">
            <v>54</v>
          </cell>
          <cell r="P46">
            <v>-60.000000000000007</v>
          </cell>
          <cell r="R46">
            <v>105</v>
          </cell>
          <cell r="S46">
            <v>13.8</v>
          </cell>
          <cell r="T46">
            <v>140</v>
          </cell>
        </row>
        <row r="47">
          <cell r="A47" t="str">
            <v xml:space="preserve"> 309  Сосиски Сочинки с сыром 0,4 кг ТМ Стародворье  ПОКОМ</v>
          </cell>
          <cell r="B47" t="str">
            <v>шт</v>
          </cell>
          <cell r="C47">
            <v>141</v>
          </cell>
          <cell r="D47">
            <v>161</v>
          </cell>
          <cell r="E47">
            <v>297</v>
          </cell>
          <cell r="F47">
            <v>7</v>
          </cell>
          <cell r="G47">
            <v>0.4</v>
          </cell>
          <cell r="H47">
            <v>40</v>
          </cell>
          <cell r="I47" t="str">
            <v>матрица</v>
          </cell>
          <cell r="K47">
            <v>379</v>
          </cell>
          <cell r="L47">
            <v>-82</v>
          </cell>
          <cell r="O47">
            <v>298.42400000000009</v>
          </cell>
          <cell r="R47">
            <v>422.976</v>
          </cell>
          <cell r="S47">
            <v>59.4</v>
          </cell>
        </row>
        <row r="48">
          <cell r="A48" t="str">
            <v xml:space="preserve"> 312  Ветчина Филейская ВЕС ТМ  Вязанка ТС Столичная  ПОКОМ</v>
          </cell>
          <cell r="B48" t="str">
            <v>кг</v>
          </cell>
          <cell r="C48">
            <v>47.493000000000002</v>
          </cell>
          <cell r="D48">
            <v>109.432</v>
          </cell>
          <cell r="E48">
            <v>79.418999999999997</v>
          </cell>
          <cell r="F48">
            <v>62.136000000000003</v>
          </cell>
          <cell r="G48">
            <v>1</v>
          </cell>
          <cell r="H48">
            <v>50</v>
          </cell>
          <cell r="I48" t="str">
            <v>матрица</v>
          </cell>
          <cell r="K48">
            <v>75.7</v>
          </cell>
          <cell r="L48">
            <v>3.7189999999999941</v>
          </cell>
          <cell r="O48">
            <v>45.780527999999983</v>
          </cell>
          <cell r="R48">
            <v>0</v>
          </cell>
          <cell r="S48">
            <v>15.883799999999999</v>
          </cell>
          <cell r="T48">
            <v>82.68907200000001</v>
          </cell>
        </row>
        <row r="49">
          <cell r="A49" t="str">
            <v xml:space="preserve"> 315  Колбаса вареная Молокуша ТМ Вязанка ВЕС, ПОКОМ</v>
          </cell>
          <cell r="B49" t="str">
            <v>кг</v>
          </cell>
          <cell r="C49">
            <v>28.358000000000001</v>
          </cell>
          <cell r="D49">
            <v>86.129000000000005</v>
          </cell>
          <cell r="E49">
            <v>81.900000000000006</v>
          </cell>
          <cell r="F49">
            <v>28.436</v>
          </cell>
          <cell r="G49">
            <v>1</v>
          </cell>
          <cell r="H49">
            <v>50</v>
          </cell>
          <cell r="I49" t="str">
            <v>матрица</v>
          </cell>
          <cell r="K49">
            <v>167.7</v>
          </cell>
          <cell r="L49">
            <v>-85.799999999999983</v>
          </cell>
          <cell r="O49">
            <v>0</v>
          </cell>
          <cell r="R49">
            <v>0</v>
          </cell>
          <cell r="S49">
            <v>16.380000000000003</v>
          </cell>
          <cell r="T49">
            <v>118.98400000000001</v>
          </cell>
          <cell r="U49">
            <v>200</v>
          </cell>
          <cell r="V49" t="str">
            <v>Промо на сентябрь</v>
          </cell>
        </row>
        <row r="50">
          <cell r="A50" t="str">
            <v xml:space="preserve"> 318  Сосиски Датские ТМ Зареченские, ВЕС  ПОКОМ</v>
          </cell>
          <cell r="B50" t="str">
            <v>кг</v>
          </cell>
          <cell r="C50">
            <v>0.434</v>
          </cell>
          <cell r="E50">
            <v>-4.1429999999999998</v>
          </cell>
          <cell r="F50">
            <v>0.434</v>
          </cell>
          <cell r="G50">
            <v>1</v>
          </cell>
          <cell r="H50">
            <v>45</v>
          </cell>
          <cell r="I50" t="str">
            <v>НЕДОГРУЗ / матрица</v>
          </cell>
          <cell r="K50">
            <v>19.899999999999999</v>
          </cell>
          <cell r="L50">
            <v>-24.042999999999999</v>
          </cell>
          <cell r="O50">
            <v>45</v>
          </cell>
          <cell r="P50">
            <v>-45</v>
          </cell>
          <cell r="R50">
            <v>84</v>
          </cell>
          <cell r="S50">
            <v>-0.8286</v>
          </cell>
          <cell r="T50">
            <v>110</v>
          </cell>
        </row>
        <row r="51">
          <cell r="A51" t="str">
            <v xml:space="preserve"> 319  Колбаса вареная Филейская ТМ Вязанка ТС Классическая, 0,45 кг. ПОКОМ</v>
          </cell>
          <cell r="B51" t="str">
            <v>шт</v>
          </cell>
          <cell r="C51">
            <v>118</v>
          </cell>
          <cell r="D51">
            <v>51</v>
          </cell>
          <cell r="E51">
            <v>157</v>
          </cell>
          <cell r="F51">
            <v>-4</v>
          </cell>
          <cell r="G51">
            <v>0.45</v>
          </cell>
          <cell r="H51">
            <v>50</v>
          </cell>
          <cell r="I51" t="str">
            <v>матрица</v>
          </cell>
          <cell r="K51">
            <v>169</v>
          </cell>
          <cell r="L51">
            <v>-12</v>
          </cell>
          <cell r="O51">
            <v>182.78</v>
          </cell>
          <cell r="R51">
            <v>137.62</v>
          </cell>
          <cell r="S51">
            <v>31.4</v>
          </cell>
          <cell r="T51">
            <v>60.399999999999949</v>
          </cell>
          <cell r="U51">
            <v>133</v>
          </cell>
        </row>
        <row r="52">
          <cell r="A52" t="str">
            <v xml:space="preserve"> 322  Колбаса вареная Молокуша 0,45кг ТМ Вязанка  ПОКОМ</v>
          </cell>
          <cell r="B52" t="str">
            <v>шт</v>
          </cell>
          <cell r="C52">
            <v>187</v>
          </cell>
          <cell r="D52">
            <v>75</v>
          </cell>
          <cell r="E52">
            <v>90</v>
          </cell>
          <cell r="F52">
            <v>-37</v>
          </cell>
          <cell r="G52">
            <v>0.45</v>
          </cell>
          <cell r="H52">
            <v>50</v>
          </cell>
          <cell r="I52" t="str">
            <v>матрица</v>
          </cell>
          <cell r="K52">
            <v>126</v>
          </cell>
          <cell r="L52">
            <v>-36</v>
          </cell>
          <cell r="O52">
            <v>357.81599999999997</v>
          </cell>
          <cell r="R52">
            <v>76.384000000000071</v>
          </cell>
          <cell r="S52">
            <v>18</v>
          </cell>
          <cell r="U52">
            <v>252</v>
          </cell>
          <cell r="V52" t="str">
            <v>убрать</v>
          </cell>
        </row>
        <row r="53">
          <cell r="A53" t="str">
            <v xml:space="preserve"> 328  Сардельки Сочинки Стародворье ТМ  0,4 кг ПОКОМ</v>
          </cell>
          <cell r="B53" t="str">
            <v>шт</v>
          </cell>
          <cell r="C53">
            <v>98</v>
          </cell>
          <cell r="E53">
            <v>71</v>
          </cell>
          <cell r="F53">
            <v>19</v>
          </cell>
          <cell r="G53">
            <v>0.4</v>
          </cell>
          <cell r="H53">
            <v>40</v>
          </cell>
          <cell r="I53" t="str">
            <v>НЕДОГРУЗ / матрица</v>
          </cell>
          <cell r="K53">
            <v>70</v>
          </cell>
          <cell r="L53">
            <v>1</v>
          </cell>
          <cell r="O53">
            <v>0</v>
          </cell>
          <cell r="R53">
            <v>35</v>
          </cell>
          <cell r="S53">
            <v>14.2</v>
          </cell>
          <cell r="T53">
            <v>50</v>
          </cell>
          <cell r="U53">
            <v>0</v>
          </cell>
        </row>
        <row r="54">
          <cell r="A54" t="str">
            <v xml:space="preserve"> 329  Сардельки Сочинки с сыром Стародворье ТМ, 0,4 кг. ПОКОМ</v>
          </cell>
          <cell r="B54" t="str">
            <v>шт</v>
          </cell>
          <cell r="C54">
            <v>42</v>
          </cell>
          <cell r="D54">
            <v>24</v>
          </cell>
          <cell r="E54">
            <v>41</v>
          </cell>
          <cell r="F54">
            <v>15</v>
          </cell>
          <cell r="G54">
            <v>0.4</v>
          </cell>
          <cell r="H54">
            <v>40</v>
          </cell>
          <cell r="I54" t="str">
            <v>НЕДОГРУЗ / матрица</v>
          </cell>
          <cell r="K54">
            <v>48</v>
          </cell>
          <cell r="L54">
            <v>-7</v>
          </cell>
          <cell r="O54">
            <v>14.900000000000009</v>
          </cell>
          <cell r="R54">
            <v>35</v>
          </cell>
          <cell r="S54">
            <v>8.1999999999999993</v>
          </cell>
          <cell r="T54">
            <v>50</v>
          </cell>
          <cell r="U54">
            <v>0</v>
          </cell>
        </row>
        <row r="55">
          <cell r="A55" t="str">
            <v xml:space="preserve"> 330  Колбаса вареная Филейская ТМ Вязанка ТС Классическая ВЕС  ПОКОМ</v>
          </cell>
          <cell r="B55" t="str">
            <v>кг</v>
          </cell>
          <cell r="C55">
            <v>30.876999999999999</v>
          </cell>
          <cell r="D55">
            <v>33.503999999999998</v>
          </cell>
          <cell r="E55">
            <v>28.332999999999998</v>
          </cell>
          <cell r="F55">
            <v>2.3730000000000002</v>
          </cell>
          <cell r="G55">
            <v>1</v>
          </cell>
          <cell r="H55">
            <v>50</v>
          </cell>
          <cell r="I55" t="str">
            <v>матрица</v>
          </cell>
          <cell r="K55">
            <v>36.4</v>
          </cell>
          <cell r="L55">
            <v>-8.0670000000000002</v>
          </cell>
          <cell r="O55">
            <v>86.923036000000025</v>
          </cell>
          <cell r="R55">
            <v>0</v>
          </cell>
          <cell r="S55">
            <v>5.6665999999999999</v>
          </cell>
          <cell r="U55">
            <v>100</v>
          </cell>
          <cell r="V55" t="str">
            <v>Промо на сентябрь</v>
          </cell>
        </row>
        <row r="56">
          <cell r="A56" t="str">
            <v xml:space="preserve"> 334  Паштет Любительский ТМ Стародворье ламистер 0,1 кг  ПОКОМ</v>
          </cell>
          <cell r="B56" t="str">
            <v>шт</v>
          </cell>
          <cell r="C56">
            <v>252</v>
          </cell>
          <cell r="E56">
            <v>59</v>
          </cell>
          <cell r="F56">
            <v>176</v>
          </cell>
          <cell r="G56">
            <v>0.1</v>
          </cell>
          <cell r="H56">
            <v>731</v>
          </cell>
          <cell r="I56" t="str">
            <v>матрица</v>
          </cell>
          <cell r="K56">
            <v>62</v>
          </cell>
          <cell r="L56">
            <v>-3</v>
          </cell>
          <cell r="O56">
            <v>0</v>
          </cell>
          <cell r="R56">
            <v>0</v>
          </cell>
          <cell r="S56">
            <v>11.8</v>
          </cell>
          <cell r="U56">
            <v>750</v>
          </cell>
          <cell r="V56" t="str">
            <v>Промо на сентябрь</v>
          </cell>
        </row>
        <row r="57">
          <cell r="A57" t="str">
            <v xml:space="preserve"> 335  Колбаса Сливушка ТМ Вязанка. ВЕС.  ПОКОМ </v>
          </cell>
          <cell r="B57" t="str">
            <v>кг</v>
          </cell>
          <cell r="C57">
            <v>44.87</v>
          </cell>
          <cell r="D57">
            <v>209.822</v>
          </cell>
          <cell r="E57">
            <v>131.68</v>
          </cell>
          <cell r="F57">
            <v>92.942999999999998</v>
          </cell>
          <cell r="G57">
            <v>1</v>
          </cell>
          <cell r="H57">
            <v>50</v>
          </cell>
          <cell r="I57" t="str">
            <v>матрица</v>
          </cell>
          <cell r="K57">
            <v>137.30000000000001</v>
          </cell>
          <cell r="L57">
            <v>-5.6200000000000045</v>
          </cell>
          <cell r="O57">
            <v>20.703184</v>
          </cell>
          <cell r="R57">
            <v>0</v>
          </cell>
          <cell r="S57">
            <v>26.336000000000002</v>
          </cell>
          <cell r="T57">
            <v>176.04981600000002</v>
          </cell>
          <cell r="U57">
            <v>300</v>
          </cell>
          <cell r="V57" t="str">
            <v>Промо на сентябрь</v>
          </cell>
        </row>
        <row r="58">
          <cell r="A58" t="str">
            <v xml:space="preserve"> 336  Ветчина Сливушка с индейкой ТМ Вязанка. ВЕС  ПОКОМ</v>
          </cell>
          <cell r="B58" t="str">
            <v>кг</v>
          </cell>
          <cell r="C58">
            <v>43.71</v>
          </cell>
          <cell r="D58">
            <v>10.741</v>
          </cell>
          <cell r="E58">
            <v>27.184000000000001</v>
          </cell>
          <cell r="F58">
            <v>17.635999999999999</v>
          </cell>
          <cell r="G58">
            <v>1</v>
          </cell>
          <cell r="H58">
            <v>55</v>
          </cell>
          <cell r="I58" t="str">
            <v>матрица</v>
          </cell>
          <cell r="K58">
            <v>26</v>
          </cell>
          <cell r="L58">
            <v>1.1840000000000011</v>
          </cell>
          <cell r="O58">
            <v>30.352399999999999</v>
          </cell>
          <cell r="R58">
            <v>14.319399999999989</v>
          </cell>
          <cell r="S58">
            <v>5.4367999999999999</v>
          </cell>
          <cell r="T58">
            <v>4</v>
          </cell>
        </row>
        <row r="59">
          <cell r="A59" t="str">
            <v xml:space="preserve"> 338  Паштет печеночный с морковью ТМ Стародворье ламистер 0,1 кг.  ПОКОМ</v>
          </cell>
          <cell r="B59" t="str">
            <v>шт</v>
          </cell>
          <cell r="C59">
            <v>165</v>
          </cell>
          <cell r="E59">
            <v>66</v>
          </cell>
          <cell r="F59">
            <v>85</v>
          </cell>
          <cell r="G59">
            <v>0.1</v>
          </cell>
          <cell r="H59">
            <v>731</v>
          </cell>
          <cell r="I59" t="str">
            <v>матрица</v>
          </cell>
          <cell r="K59">
            <v>66</v>
          </cell>
          <cell r="L59">
            <v>0</v>
          </cell>
          <cell r="O59">
            <v>0</v>
          </cell>
          <cell r="R59">
            <v>55.199999999999989</v>
          </cell>
          <cell r="S59">
            <v>13.2</v>
          </cell>
          <cell r="T59">
            <v>550</v>
          </cell>
          <cell r="U59" t="str">
            <v>550шт</v>
          </cell>
          <cell r="V59" t="str">
            <v>Промо на сентябрь</v>
          </cell>
        </row>
        <row r="60">
          <cell r="A60" t="str">
            <v xml:space="preserve"> 339  Колбаса вареная Филейская ТМ Вязанка ТС Классическая, 0,40 кг.  ПОКОМ</v>
          </cell>
          <cell r="B60" t="str">
            <v>шт</v>
          </cell>
          <cell r="C60">
            <v>16</v>
          </cell>
          <cell r="E60">
            <v>15</v>
          </cell>
          <cell r="G60">
            <v>0.4</v>
          </cell>
          <cell r="H60">
            <v>50</v>
          </cell>
          <cell r="I60" t="str">
            <v>матрица</v>
          </cell>
          <cell r="K60">
            <v>34</v>
          </cell>
          <cell r="L60">
            <v>-19</v>
          </cell>
          <cell r="O60">
            <v>8.6000000000000014</v>
          </cell>
          <cell r="R60">
            <v>21</v>
          </cell>
          <cell r="S60">
            <v>3</v>
          </cell>
          <cell r="T60">
            <v>6.3999999999999986</v>
          </cell>
        </row>
        <row r="61">
          <cell r="A61" t="str">
            <v xml:space="preserve"> 340  Сосиски Сочинки Молочные ТМ Стародворье, ВЕС ПОКОМ</v>
          </cell>
          <cell r="B61" t="str">
            <v>кг</v>
          </cell>
          <cell r="C61">
            <v>37.08</v>
          </cell>
          <cell r="D61">
            <v>3.2690000000000001</v>
          </cell>
          <cell r="E61">
            <v>71.981999999999999</v>
          </cell>
          <cell r="F61">
            <v>-19.175999999999998</v>
          </cell>
          <cell r="G61">
            <v>1</v>
          </cell>
          <cell r="H61">
            <v>40</v>
          </cell>
          <cell r="I61" t="str">
            <v>НЕДОГРУЗ / матрица</v>
          </cell>
          <cell r="K61">
            <v>61.6</v>
          </cell>
          <cell r="L61">
            <v>10.381999999999998</v>
          </cell>
          <cell r="O61">
            <v>58.5</v>
          </cell>
          <cell r="R61">
            <v>105</v>
          </cell>
          <cell r="S61">
            <v>14.3964</v>
          </cell>
          <cell r="T61">
            <v>60</v>
          </cell>
        </row>
        <row r="62">
          <cell r="A62" t="str">
            <v xml:space="preserve"> 341 Сосиски Сочинки Сливочные ТМ Стародворье ВЕС ПОКОМ</v>
          </cell>
          <cell r="B62" t="str">
            <v>кг</v>
          </cell>
          <cell r="C62">
            <v>76.606999999999999</v>
          </cell>
          <cell r="D62">
            <v>48.162999999999997</v>
          </cell>
          <cell r="E62">
            <v>139.64500000000001</v>
          </cell>
          <cell r="F62">
            <v>-8.2989999999999995</v>
          </cell>
          <cell r="G62">
            <v>1</v>
          </cell>
          <cell r="H62">
            <v>40</v>
          </cell>
          <cell r="I62" t="str">
            <v>матрица</v>
          </cell>
          <cell r="K62">
            <v>146.69999999999999</v>
          </cell>
          <cell r="L62">
            <v>-7.0549999999999784</v>
          </cell>
          <cell r="O62">
            <v>21.69334999999997</v>
          </cell>
          <cell r="R62">
            <v>172.49244999999999</v>
          </cell>
          <cell r="S62">
            <v>27.929000000000002</v>
          </cell>
          <cell r="T62">
            <v>149.26120000000006</v>
          </cell>
        </row>
        <row r="63">
          <cell r="A63" t="str">
            <v xml:space="preserve"> 342 Сосиски Сочинки Молочные ТМ Стародворье 0,4 кг ПОКОМ</v>
          </cell>
          <cell r="B63" t="str">
            <v>шт</v>
          </cell>
          <cell r="C63">
            <v>297</v>
          </cell>
          <cell r="D63">
            <v>551</v>
          </cell>
          <cell r="E63">
            <v>398</v>
          </cell>
          <cell r="F63">
            <v>113</v>
          </cell>
          <cell r="G63">
            <v>0.4</v>
          </cell>
          <cell r="H63">
            <v>40</v>
          </cell>
          <cell r="I63" t="str">
            <v>матрица</v>
          </cell>
          <cell r="K63">
            <v>705</v>
          </cell>
          <cell r="L63">
            <v>-307</v>
          </cell>
          <cell r="O63">
            <v>415.50200000000001</v>
          </cell>
          <cell r="R63">
            <v>0</v>
          </cell>
          <cell r="S63">
            <v>79.599999999999994</v>
          </cell>
          <cell r="T63">
            <v>426.69799999999987</v>
          </cell>
        </row>
        <row r="64">
          <cell r="A64" t="str">
            <v xml:space="preserve"> 343 Сосиски Сочинки Сливочные ТМ Стародворье  0,4 кг ПОКОМ</v>
          </cell>
          <cell r="B64" t="str">
            <v>шт</v>
          </cell>
          <cell r="C64">
            <v>55</v>
          </cell>
          <cell r="D64">
            <v>311</v>
          </cell>
          <cell r="E64">
            <v>217</v>
          </cell>
          <cell r="F64">
            <v>12</v>
          </cell>
          <cell r="G64">
            <v>0.4</v>
          </cell>
          <cell r="H64">
            <v>40</v>
          </cell>
          <cell r="I64" t="str">
            <v>НЕДОГРУЗ / матрица</v>
          </cell>
          <cell r="K64">
            <v>354</v>
          </cell>
          <cell r="L64">
            <v>-137</v>
          </cell>
          <cell r="O64">
            <v>84.780000000000015</v>
          </cell>
          <cell r="R64">
            <v>118.59399999999999</v>
          </cell>
          <cell r="S64">
            <v>43.4</v>
          </cell>
          <cell r="T64">
            <v>200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B65" t="str">
            <v>кг</v>
          </cell>
          <cell r="C65">
            <v>-7.5179999999999998</v>
          </cell>
          <cell r="D65">
            <v>134.86500000000001</v>
          </cell>
          <cell r="E65">
            <v>103.31</v>
          </cell>
          <cell r="F65">
            <v>15.021000000000001</v>
          </cell>
          <cell r="G65">
            <v>1</v>
          </cell>
          <cell r="H65">
            <v>40</v>
          </cell>
          <cell r="I65" t="str">
            <v>НЕДОГРУЗ / матрица</v>
          </cell>
          <cell r="K65">
            <v>95.3</v>
          </cell>
          <cell r="L65">
            <v>8.0100000000000051</v>
          </cell>
          <cell r="O65">
            <v>205.625788</v>
          </cell>
          <cell r="P65">
            <v>-211</v>
          </cell>
          <cell r="R65">
            <v>70</v>
          </cell>
          <cell r="S65">
            <v>20.661999999999999</v>
          </cell>
          <cell r="T65">
            <v>90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B66" t="str">
            <v>кг</v>
          </cell>
          <cell r="C66">
            <v>17.106000000000002</v>
          </cell>
          <cell r="D66">
            <v>86.49</v>
          </cell>
          <cell r="E66">
            <v>62.374000000000002</v>
          </cell>
          <cell r="F66">
            <v>12.417999999999999</v>
          </cell>
          <cell r="G66">
            <v>1</v>
          </cell>
          <cell r="H66">
            <v>40</v>
          </cell>
          <cell r="I66" t="str">
            <v>НЕДОГРУЗ / матрица</v>
          </cell>
          <cell r="K66">
            <v>144.209</v>
          </cell>
          <cell r="L66">
            <v>-81.835000000000008</v>
          </cell>
          <cell r="O66">
            <v>99.934201999999971</v>
          </cell>
          <cell r="P66">
            <v>-103</v>
          </cell>
          <cell r="R66">
            <v>49</v>
          </cell>
          <cell r="S66">
            <v>12.4748</v>
          </cell>
          <cell r="T66">
            <v>60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B67" t="str">
            <v>кг</v>
          </cell>
          <cell r="C67">
            <v>275.084</v>
          </cell>
          <cell r="D67">
            <v>444.66699999999997</v>
          </cell>
          <cell r="E67">
            <v>480.17099999999999</v>
          </cell>
          <cell r="F67">
            <v>65.328999999999994</v>
          </cell>
          <cell r="G67">
            <v>1</v>
          </cell>
          <cell r="H67">
            <v>40</v>
          </cell>
          <cell r="I67" t="str">
            <v>НЕДОГРУЗ / матрица</v>
          </cell>
          <cell r="K67">
            <v>467.10199999999998</v>
          </cell>
          <cell r="L67">
            <v>13.069000000000017</v>
          </cell>
          <cell r="O67">
            <v>0</v>
          </cell>
          <cell r="R67">
            <v>280</v>
          </cell>
          <cell r="S67">
            <v>96.034199999999998</v>
          </cell>
          <cell r="T67">
            <v>360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B68" t="str">
            <v>кг</v>
          </cell>
          <cell r="C68">
            <v>9.3160000000000007</v>
          </cell>
          <cell r="D68">
            <v>228.68799999999999</v>
          </cell>
          <cell r="E68">
            <v>177.435</v>
          </cell>
          <cell r="F68">
            <v>52.923000000000002</v>
          </cell>
          <cell r="G68">
            <v>1</v>
          </cell>
          <cell r="H68">
            <v>40</v>
          </cell>
          <cell r="I68" t="str">
            <v>НЕДОГРУЗ / матрица</v>
          </cell>
          <cell r="K68">
            <v>266.70699999999999</v>
          </cell>
          <cell r="L68">
            <v>-89.271999999999991</v>
          </cell>
          <cell r="O68">
            <v>220.32820599999991</v>
          </cell>
          <cell r="P68">
            <v>-221</v>
          </cell>
          <cell r="R68">
            <v>70</v>
          </cell>
          <cell r="S68">
            <v>35.487000000000002</v>
          </cell>
          <cell r="T68">
            <v>90</v>
          </cell>
        </row>
        <row r="69">
          <cell r="A69" t="str">
            <v xml:space="preserve"> 355  Колбаса Сервелат запеченный ТМ Стародворье ТС Дугушка. 0,6 кг. ПОКОМ</v>
          </cell>
          <cell r="B69" t="str">
            <v>шт</v>
          </cell>
          <cell r="G69">
            <v>0</v>
          </cell>
          <cell r="I69" t="str">
            <v>матрица</v>
          </cell>
          <cell r="L69">
            <v>0</v>
          </cell>
          <cell r="O69">
            <v>0</v>
          </cell>
          <cell r="R69">
            <v>0</v>
          </cell>
          <cell r="S69">
            <v>0</v>
          </cell>
        </row>
        <row r="70">
          <cell r="A70" t="str">
            <v xml:space="preserve"> 364  Сардельки Филейские Вязанка ВЕС NDX ТМ Вязанка  ПОКОМ</v>
          </cell>
          <cell r="B70" t="str">
            <v>кг</v>
          </cell>
          <cell r="C70">
            <v>253.00800000000001</v>
          </cell>
          <cell r="D70">
            <v>13.194000000000001</v>
          </cell>
          <cell r="E70">
            <v>145.37799999999999</v>
          </cell>
          <cell r="F70">
            <v>99.566000000000003</v>
          </cell>
          <cell r="G70">
            <v>1</v>
          </cell>
          <cell r="H70">
            <v>30</v>
          </cell>
          <cell r="I70" t="str">
            <v>матрица</v>
          </cell>
          <cell r="K70">
            <v>165.7</v>
          </cell>
          <cell r="L70">
            <v>-20.322000000000003</v>
          </cell>
          <cell r="O70">
            <v>0</v>
          </cell>
          <cell r="R70">
            <v>204.42599999999999</v>
          </cell>
          <cell r="S70">
            <v>29.075599999999998</v>
          </cell>
          <cell r="T70">
            <v>44.915199999999999</v>
          </cell>
        </row>
        <row r="71">
          <cell r="A71" t="str">
            <v xml:space="preserve"> 376  Колбаса Докторская Дугушка 0,6кг ГОСТ ТМ Стародворье  ПОКОМ </v>
          </cell>
          <cell r="B71" t="str">
            <v>шт</v>
          </cell>
          <cell r="C71">
            <v>9</v>
          </cell>
          <cell r="D71">
            <v>144</v>
          </cell>
          <cell r="E71">
            <v>43</v>
          </cell>
          <cell r="F71">
            <v>52</v>
          </cell>
          <cell r="G71">
            <v>0.6</v>
          </cell>
          <cell r="H71">
            <v>60</v>
          </cell>
          <cell r="I71" t="str">
            <v>матрица</v>
          </cell>
          <cell r="K71">
            <v>46</v>
          </cell>
          <cell r="L71">
            <v>-3</v>
          </cell>
          <cell r="O71">
            <v>81.680000000000049</v>
          </cell>
          <cell r="R71">
            <v>0</v>
          </cell>
          <cell r="S71">
            <v>8.6</v>
          </cell>
        </row>
        <row r="72">
          <cell r="A72" t="str">
            <v xml:space="preserve"> 377  Колбаса Молочная Дугушка 0,6кг ТМ Стародворье  ПОКОМ</v>
          </cell>
          <cell r="B72" t="str">
            <v>шт</v>
          </cell>
          <cell r="C72">
            <v>87</v>
          </cell>
          <cell r="D72">
            <v>208</v>
          </cell>
          <cell r="E72">
            <v>92</v>
          </cell>
          <cell r="F72">
            <v>125</v>
          </cell>
          <cell r="G72">
            <v>0.6</v>
          </cell>
          <cell r="H72">
            <v>60</v>
          </cell>
          <cell r="I72" t="str">
            <v>матрица</v>
          </cell>
          <cell r="K72">
            <v>79</v>
          </cell>
          <cell r="L72">
            <v>13</v>
          </cell>
          <cell r="O72">
            <v>24.875999999999969</v>
          </cell>
          <cell r="R72">
            <v>74.124000000000024</v>
          </cell>
          <cell r="S72">
            <v>18.399999999999999</v>
          </cell>
          <cell r="U72">
            <v>70</v>
          </cell>
        </row>
        <row r="73">
          <cell r="A73" t="str">
            <v xml:space="preserve"> 387  Колбаса вареная Мусульманская Халяль ТМ Вязанка, 0,4 кг ПОКОМ</v>
          </cell>
          <cell r="B73" t="str">
            <v>шт</v>
          </cell>
          <cell r="C73">
            <v>69</v>
          </cell>
          <cell r="D73">
            <v>63</v>
          </cell>
          <cell r="E73">
            <v>121</v>
          </cell>
          <cell r="F73">
            <v>5</v>
          </cell>
          <cell r="G73">
            <v>0.4</v>
          </cell>
          <cell r="H73">
            <v>90</v>
          </cell>
          <cell r="I73" t="str">
            <v>матрица</v>
          </cell>
          <cell r="K73">
            <v>126</v>
          </cell>
          <cell r="L73">
            <v>-5</v>
          </cell>
          <cell r="O73">
            <v>130.97200000000001</v>
          </cell>
          <cell r="R73">
            <v>81.22799999999998</v>
          </cell>
          <cell r="S73">
            <v>24.2</v>
          </cell>
          <cell r="T73">
            <v>73.199999999999989</v>
          </cell>
          <cell r="U73">
            <v>180</v>
          </cell>
          <cell r="V73" t="str">
            <v>Хорошие сроки</v>
          </cell>
        </row>
        <row r="74">
          <cell r="A74" t="str">
            <v xml:space="preserve"> 388  Сосиски Восточные Халяль ТМ Вязанка 0,33 кг АК. ПОКОМ</v>
          </cell>
          <cell r="B74" t="str">
            <v>шт</v>
          </cell>
          <cell r="C74">
            <v>144</v>
          </cell>
          <cell r="D74">
            <v>117</v>
          </cell>
          <cell r="E74">
            <v>232</v>
          </cell>
          <cell r="F74">
            <v>9</v>
          </cell>
          <cell r="G74">
            <v>0.33</v>
          </cell>
          <cell r="H74">
            <v>60</v>
          </cell>
          <cell r="I74" t="str">
            <v>матрица</v>
          </cell>
          <cell r="K74">
            <v>242</v>
          </cell>
          <cell r="L74">
            <v>-10</v>
          </cell>
          <cell r="O74">
            <v>173.726</v>
          </cell>
          <cell r="R74">
            <v>268.87400000000002</v>
          </cell>
          <cell r="S74">
            <v>46.4</v>
          </cell>
          <cell r="T74">
            <v>105.19999999999993</v>
          </cell>
          <cell r="U74">
            <v>150</v>
          </cell>
          <cell r="V74" t="str">
            <v>Хорошие сроки</v>
          </cell>
        </row>
        <row r="75">
          <cell r="A75" t="str">
            <v xml:space="preserve"> 394 Колбаса полукопченая Аль-Ислами халяль ТМ Вязанка оболочка фиброуз в в/у 0,35 кг  ПОКОМ</v>
          </cell>
          <cell r="B75" t="str">
            <v>шт</v>
          </cell>
          <cell r="C75">
            <v>217</v>
          </cell>
          <cell r="D75">
            <v>15</v>
          </cell>
          <cell r="E75">
            <v>136</v>
          </cell>
          <cell r="F75">
            <v>81</v>
          </cell>
          <cell r="G75">
            <v>0.35</v>
          </cell>
          <cell r="H75">
            <v>90</v>
          </cell>
          <cell r="I75" t="str">
            <v>матрица</v>
          </cell>
          <cell r="K75">
            <v>141</v>
          </cell>
          <cell r="L75">
            <v>-5</v>
          </cell>
          <cell r="O75">
            <v>59.911999999999807</v>
          </cell>
          <cell r="R75">
            <v>120.8880000000002</v>
          </cell>
          <cell r="S75">
            <v>27.2</v>
          </cell>
          <cell r="T75">
            <v>64.599999999999966</v>
          </cell>
          <cell r="U75">
            <v>100</v>
          </cell>
          <cell r="V75" t="str">
            <v>Хорошие сроки</v>
          </cell>
        </row>
        <row r="76">
          <cell r="A76" t="str">
            <v xml:space="preserve"> 395  Колбаса Докторская ГОСТ ТМ Вязанка в оболочке полиамид 0,37 кг. ПОКОМ</v>
          </cell>
          <cell r="B76" t="str">
            <v>шт</v>
          </cell>
          <cell r="G76">
            <v>0</v>
          </cell>
          <cell r="I76" t="str">
            <v>матрица</v>
          </cell>
          <cell r="L76">
            <v>0</v>
          </cell>
          <cell r="O76">
            <v>0</v>
          </cell>
          <cell r="R76">
            <v>0</v>
          </cell>
          <cell r="S76">
            <v>0</v>
          </cell>
          <cell r="U76">
            <v>23</v>
          </cell>
        </row>
        <row r="77">
          <cell r="A77" t="str">
            <v xml:space="preserve"> 397  Ветчина Дугушка ТМ Стародворье ТС Дугушка в полиамидной оболочке 0,6 кг. ПОКОМ</v>
          </cell>
          <cell r="B77" t="str">
            <v>шт</v>
          </cell>
          <cell r="C77">
            <v>104</v>
          </cell>
          <cell r="D77">
            <v>16</v>
          </cell>
          <cell r="E77">
            <v>42</v>
          </cell>
          <cell r="F77">
            <v>60</v>
          </cell>
          <cell r="G77">
            <v>0.6</v>
          </cell>
          <cell r="H77">
            <v>70</v>
          </cell>
          <cell r="I77" t="str">
            <v>матрица</v>
          </cell>
          <cell r="K77">
            <v>44</v>
          </cell>
          <cell r="L77">
            <v>-2</v>
          </cell>
          <cell r="O77">
            <v>24</v>
          </cell>
          <cell r="R77">
            <v>6.8000000000000114</v>
          </cell>
          <cell r="S77">
            <v>8.4</v>
          </cell>
          <cell r="T77">
            <v>10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B78" t="str">
            <v>шт</v>
          </cell>
          <cell r="C78">
            <v>104</v>
          </cell>
          <cell r="D78">
            <v>21</v>
          </cell>
          <cell r="E78">
            <v>55</v>
          </cell>
          <cell r="F78">
            <v>38</v>
          </cell>
          <cell r="G78">
            <v>0.33</v>
          </cell>
          <cell r="H78">
            <v>40</v>
          </cell>
          <cell r="I78" t="str">
            <v>матрица</v>
          </cell>
          <cell r="K78">
            <v>69</v>
          </cell>
          <cell r="L78">
            <v>-14</v>
          </cell>
          <cell r="O78">
            <v>0</v>
          </cell>
          <cell r="R78">
            <v>77.800000000000011</v>
          </cell>
          <cell r="S78">
            <v>11</v>
          </cell>
          <cell r="T78">
            <v>16.199999999999989</v>
          </cell>
        </row>
        <row r="79">
          <cell r="A79" t="str">
            <v xml:space="preserve"> 408  Ветчина Сливушка с индейкой ТМ Вязанка, 0,4кг  ПОКОМ</v>
          </cell>
          <cell r="B79" t="str">
            <v>шт</v>
          </cell>
          <cell r="C79">
            <v>91</v>
          </cell>
          <cell r="E79">
            <v>31</v>
          </cell>
          <cell r="F79">
            <v>25</v>
          </cell>
          <cell r="G79">
            <v>0.4</v>
          </cell>
          <cell r="H79">
            <v>55</v>
          </cell>
          <cell r="I79" t="str">
            <v>матрица</v>
          </cell>
          <cell r="K79">
            <v>61</v>
          </cell>
          <cell r="L79">
            <v>-30</v>
          </cell>
          <cell r="O79">
            <v>0</v>
          </cell>
          <cell r="R79">
            <v>22</v>
          </cell>
          <cell r="S79">
            <v>6.2</v>
          </cell>
          <cell r="U79">
            <v>266</v>
          </cell>
          <cell r="V79">
            <v>100</v>
          </cell>
        </row>
        <row r="80">
          <cell r="A80" t="str">
            <v xml:space="preserve"> 410  Сосиски Баварские с сыром ТМ Стародворье 0,35 кг. ПОКОМ</v>
          </cell>
          <cell r="B80" t="str">
            <v>шт</v>
          </cell>
          <cell r="C80">
            <v>-3</v>
          </cell>
          <cell r="D80">
            <v>24</v>
          </cell>
          <cell r="E80">
            <v>5</v>
          </cell>
          <cell r="F80">
            <v>15</v>
          </cell>
          <cell r="G80">
            <v>0.35</v>
          </cell>
          <cell r="H80">
            <v>40</v>
          </cell>
          <cell r="I80" t="str">
            <v>матрица</v>
          </cell>
          <cell r="K80">
            <v>5</v>
          </cell>
          <cell r="L80">
            <v>0</v>
          </cell>
          <cell r="O80">
            <v>0</v>
          </cell>
          <cell r="R80">
            <v>0</v>
          </cell>
          <cell r="S80">
            <v>1</v>
          </cell>
        </row>
        <row r="81">
          <cell r="A81" t="str">
            <v xml:space="preserve"> 412  Сосиски Баварские ТМ Стародворье 0,35 кг ПОКОМ</v>
          </cell>
          <cell r="B81" t="str">
            <v>шт</v>
          </cell>
          <cell r="C81">
            <v>67</v>
          </cell>
          <cell r="D81">
            <v>60</v>
          </cell>
          <cell r="E81">
            <v>47</v>
          </cell>
          <cell r="F81">
            <v>72</v>
          </cell>
          <cell r="G81">
            <v>0.35</v>
          </cell>
          <cell r="H81">
            <v>45</v>
          </cell>
          <cell r="I81" t="str">
            <v>матрица</v>
          </cell>
          <cell r="K81">
            <v>48</v>
          </cell>
          <cell r="L81">
            <v>-1</v>
          </cell>
          <cell r="O81">
            <v>75.659999999999982</v>
          </cell>
          <cell r="R81">
            <v>0</v>
          </cell>
          <cell r="S81">
            <v>9.4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B82" t="str">
            <v>шт</v>
          </cell>
          <cell r="G82">
            <v>0</v>
          </cell>
          <cell r="I82" t="str">
            <v>матрица</v>
          </cell>
          <cell r="L82">
            <v>0</v>
          </cell>
          <cell r="O82">
            <v>0</v>
          </cell>
          <cell r="R82">
            <v>0</v>
          </cell>
          <cell r="S82">
            <v>0</v>
          </cell>
        </row>
        <row r="83">
          <cell r="A83" t="str">
            <v xml:space="preserve"> 433 Колбаса Стародворская со шпиком  в оболочке полиамид. ТМ Стародворье ВЕС ПОКОМ</v>
          </cell>
          <cell r="B83" t="str">
            <v>кг</v>
          </cell>
          <cell r="G83">
            <v>0</v>
          </cell>
          <cell r="I83" t="str">
            <v>матрица</v>
          </cell>
          <cell r="L83">
            <v>0</v>
          </cell>
          <cell r="O83">
            <v>0</v>
          </cell>
          <cell r="R83">
            <v>0</v>
          </cell>
          <cell r="S83">
            <v>0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B84" t="str">
            <v>кг</v>
          </cell>
          <cell r="G84">
            <v>0</v>
          </cell>
          <cell r="I84" t="str">
            <v>матрица</v>
          </cell>
          <cell r="L84">
            <v>0</v>
          </cell>
          <cell r="O84">
            <v>0</v>
          </cell>
          <cell r="R84">
            <v>0</v>
          </cell>
          <cell r="S84">
            <v>0</v>
          </cell>
        </row>
        <row r="85">
          <cell r="A85" t="str">
            <v xml:space="preserve"> 449  Колбаса Дугушка Стародворская ВЕС ТС Дугушка ПОКОМ</v>
          </cell>
          <cell r="B85" t="str">
            <v>кг</v>
          </cell>
          <cell r="C85">
            <v>161.529</v>
          </cell>
          <cell r="D85">
            <v>137.74600000000001</v>
          </cell>
          <cell r="E85">
            <v>164.61799999999999</v>
          </cell>
          <cell r="F85">
            <v>112.962</v>
          </cell>
          <cell r="G85">
            <v>1</v>
          </cell>
          <cell r="H85">
            <v>60</v>
          </cell>
          <cell r="I85" t="str">
            <v>матрица</v>
          </cell>
          <cell r="K85">
            <v>165.8</v>
          </cell>
          <cell r="L85">
            <v>-1.1820000000000164</v>
          </cell>
          <cell r="O85">
            <v>80.011245999999971</v>
          </cell>
          <cell r="R85">
            <v>120.8653540000001</v>
          </cell>
          <cell r="S85">
            <v>32.9236</v>
          </cell>
          <cell r="T85">
            <v>81.244599999999977</v>
          </cell>
        </row>
        <row r="86">
          <cell r="A86" t="str">
            <v xml:space="preserve"> 451 Сосиски Филейские ТМ Вязанка в оболочке целлофан 0,3 кг. ПОКОМ</v>
          </cell>
          <cell r="B86" t="str">
            <v>шт</v>
          </cell>
          <cell r="G86">
            <v>0</v>
          </cell>
          <cell r="I86" t="str">
            <v>матрица</v>
          </cell>
          <cell r="L86">
            <v>0</v>
          </cell>
          <cell r="O86">
            <v>0</v>
          </cell>
          <cell r="R86">
            <v>0</v>
          </cell>
          <cell r="S86">
            <v>0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B87" t="str">
            <v>кг</v>
          </cell>
          <cell r="C87">
            <v>1777.1669999999999</v>
          </cell>
          <cell r="D87">
            <v>1027.96</v>
          </cell>
          <cell r="E87">
            <v>1412.952</v>
          </cell>
          <cell r="F87">
            <v>594.94200000000001</v>
          </cell>
          <cell r="G87">
            <v>1</v>
          </cell>
          <cell r="H87">
            <v>60</v>
          </cell>
          <cell r="I87" t="str">
            <v>матрица</v>
          </cell>
          <cell r="K87">
            <v>1420.1590000000001</v>
          </cell>
          <cell r="L87">
            <v>-7.2070000000001073</v>
          </cell>
          <cell r="O87">
            <v>1227.13635</v>
          </cell>
          <cell r="Q87">
            <v>300</v>
          </cell>
          <cell r="R87">
            <v>0</v>
          </cell>
          <cell r="S87">
            <v>282.59039999999999</v>
          </cell>
          <cell r="T87">
            <v>1269.0064499999996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B88" t="str">
            <v>кг</v>
          </cell>
          <cell r="C88">
            <v>1667.742</v>
          </cell>
          <cell r="D88">
            <v>462.20400000000001</v>
          </cell>
          <cell r="E88">
            <v>805.375</v>
          </cell>
          <cell r="F88">
            <v>835.08799999999997</v>
          </cell>
          <cell r="G88">
            <v>1</v>
          </cell>
          <cell r="H88">
            <v>60</v>
          </cell>
          <cell r="I88" t="str">
            <v>матрица</v>
          </cell>
          <cell r="K88">
            <v>819.52099999999996</v>
          </cell>
          <cell r="L88">
            <v>-14.145999999999958</v>
          </cell>
          <cell r="O88">
            <v>229.23418799999979</v>
          </cell>
          <cell r="Q88">
            <v>200</v>
          </cell>
          <cell r="R88">
            <v>0</v>
          </cell>
          <cell r="S88">
            <v>161.07499999999999</v>
          </cell>
          <cell r="T88">
            <v>668.57781200000022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B89" t="str">
            <v>кг</v>
          </cell>
          <cell r="C89">
            <v>3137.7260000000001</v>
          </cell>
          <cell r="D89">
            <v>523.09699999999998</v>
          </cell>
          <cell r="E89">
            <v>1745.365</v>
          </cell>
          <cell r="F89">
            <v>1239.674</v>
          </cell>
          <cell r="G89">
            <v>1</v>
          </cell>
          <cell r="H89">
            <v>60</v>
          </cell>
          <cell r="I89" t="str">
            <v>матрица</v>
          </cell>
          <cell r="K89">
            <v>1834.414</v>
          </cell>
          <cell r="L89">
            <v>-89.048999999999978</v>
          </cell>
          <cell r="O89">
            <v>1528.9199080000001</v>
          </cell>
          <cell r="Q89">
            <v>400</v>
          </cell>
          <cell r="R89">
            <v>0</v>
          </cell>
          <cell r="S89">
            <v>349.07299999999998</v>
          </cell>
          <cell r="T89">
            <v>1020.2820920000004</v>
          </cell>
        </row>
        <row r="90">
          <cell r="A90" t="str">
            <v xml:space="preserve"> 460  Колбаса Стародворская Традиционная ВЕС ТМ Стародворье в оболочке полиамид. ПОКОМ</v>
          </cell>
          <cell r="B90" t="str">
            <v>кг</v>
          </cell>
          <cell r="G90">
            <v>0</v>
          </cell>
          <cell r="I90" t="str">
            <v>матрица</v>
          </cell>
          <cell r="L90">
            <v>0</v>
          </cell>
          <cell r="O90">
            <v>0</v>
          </cell>
          <cell r="R90">
            <v>0</v>
          </cell>
          <cell r="S90">
            <v>0</v>
          </cell>
        </row>
        <row r="91">
          <cell r="A91" t="str">
            <v xml:space="preserve"> 498  Колбаса Сочинка рубленая с сочным окороком 0,3кг ТМ Стародворье  ПОКОМ</v>
          </cell>
          <cell r="B91" t="str">
            <v>шт</v>
          </cell>
          <cell r="C91">
            <v>-4</v>
          </cell>
          <cell r="D91">
            <v>1</v>
          </cell>
          <cell r="E91">
            <v>-6</v>
          </cell>
          <cell r="F91">
            <v>-3</v>
          </cell>
          <cell r="G91">
            <v>0.3</v>
          </cell>
          <cell r="H91">
            <v>40</v>
          </cell>
          <cell r="I91" t="str">
            <v>НЕДОГРУЗ / матрица</v>
          </cell>
          <cell r="K91">
            <v>22</v>
          </cell>
          <cell r="L91">
            <v>-28</v>
          </cell>
          <cell r="O91">
            <v>25</v>
          </cell>
          <cell r="P91">
            <v>-30</v>
          </cell>
          <cell r="R91">
            <v>42</v>
          </cell>
          <cell r="S91">
            <v>-1.2</v>
          </cell>
          <cell r="T91">
            <v>55</v>
          </cell>
        </row>
        <row r="92">
          <cell r="A92" t="str">
            <v xml:space="preserve"> 517  Сосиски С сыром ТМ Ядрена копоть 0,3кг  ПОКОМ</v>
          </cell>
          <cell r="B92" t="str">
            <v>шт</v>
          </cell>
          <cell r="G92">
            <v>0</v>
          </cell>
          <cell r="I92" t="str">
            <v>матрица</v>
          </cell>
          <cell r="L92">
            <v>0</v>
          </cell>
          <cell r="O92">
            <v>0</v>
          </cell>
          <cell r="R92">
            <v>0</v>
          </cell>
          <cell r="S92">
            <v>0</v>
          </cell>
          <cell r="U92">
            <v>0</v>
          </cell>
        </row>
        <row r="93">
          <cell r="A93" t="str">
            <v xml:space="preserve"> 523  Колбаса Сальчичон нарезка 0,07кг ТМ Стародворье  ПОКОМ </v>
          </cell>
          <cell r="B93" t="str">
            <v>шт</v>
          </cell>
          <cell r="C93">
            <v>132</v>
          </cell>
          <cell r="D93">
            <v>10</v>
          </cell>
          <cell r="E93">
            <v>106</v>
          </cell>
          <cell r="F93">
            <v>6</v>
          </cell>
          <cell r="G93">
            <v>7.0000000000000007E-2</v>
          </cell>
          <cell r="H93">
            <v>90</v>
          </cell>
          <cell r="I93" t="str">
            <v>НЕДОГРУЗ / матрица</v>
          </cell>
          <cell r="K93">
            <v>117</v>
          </cell>
          <cell r="L93">
            <v>-11</v>
          </cell>
          <cell r="O93">
            <v>137.11199999999999</v>
          </cell>
          <cell r="P93">
            <v>-142.8571428571428</v>
          </cell>
          <cell r="R93">
            <v>49</v>
          </cell>
          <cell r="S93">
            <v>21.2</v>
          </cell>
          <cell r="T93">
            <v>60</v>
          </cell>
        </row>
        <row r="94">
          <cell r="A94" t="str">
            <v xml:space="preserve"> 524  Колбаса Сервелат Ореховый нарезка 0,07кг ТМ Стародворье  ПОКОМ</v>
          </cell>
          <cell r="B94" t="str">
            <v>шт</v>
          </cell>
          <cell r="C94">
            <v>81</v>
          </cell>
          <cell r="D94">
            <v>5</v>
          </cell>
          <cell r="E94">
            <v>63</v>
          </cell>
          <cell r="F94">
            <v>15</v>
          </cell>
          <cell r="G94">
            <v>7.0000000000000007E-2</v>
          </cell>
          <cell r="H94">
            <v>90</v>
          </cell>
          <cell r="I94" t="str">
            <v>НЕДОГРУЗ / матрица</v>
          </cell>
          <cell r="K94">
            <v>145</v>
          </cell>
          <cell r="L94">
            <v>-82</v>
          </cell>
          <cell r="O94">
            <v>15</v>
          </cell>
          <cell r="R94">
            <v>56</v>
          </cell>
          <cell r="S94">
            <v>12.6</v>
          </cell>
          <cell r="T94">
            <v>70</v>
          </cell>
        </row>
        <row r="95">
          <cell r="A95" t="str">
            <v xml:space="preserve"> 525  Колбаса Фуэт нарезка 0,07кг ТМ Стародворье  ПОКОМ</v>
          </cell>
          <cell r="B95" t="str">
            <v>шт</v>
          </cell>
          <cell r="C95">
            <v>154</v>
          </cell>
          <cell r="D95">
            <v>2</v>
          </cell>
          <cell r="E95">
            <v>87</v>
          </cell>
          <cell r="F95">
            <v>40</v>
          </cell>
          <cell r="G95">
            <v>7.0000000000000007E-2</v>
          </cell>
          <cell r="H95">
            <v>90</v>
          </cell>
          <cell r="I95" t="str">
            <v>матрица</v>
          </cell>
          <cell r="K95">
            <v>89</v>
          </cell>
          <cell r="L95">
            <v>-2</v>
          </cell>
          <cell r="O95">
            <v>120.94199999999999</v>
          </cell>
          <cell r="R95">
            <v>0</v>
          </cell>
          <cell r="S95">
            <v>17.399999999999999</v>
          </cell>
          <cell r="T95">
            <v>47.85799999999999</v>
          </cell>
          <cell r="U95">
            <v>100</v>
          </cell>
        </row>
        <row r="96">
          <cell r="A96" t="str">
            <v xml:space="preserve"> 526  Корейка вяленая выдержанная нарезка 0,05кг ТМ Стародворье  ПОКОМ</v>
          </cell>
          <cell r="B96" t="str">
            <v>шт</v>
          </cell>
          <cell r="C96">
            <v>2</v>
          </cell>
          <cell r="D96">
            <v>2</v>
          </cell>
          <cell r="E96">
            <v>7</v>
          </cell>
          <cell r="F96">
            <v>1</v>
          </cell>
          <cell r="G96">
            <v>0</v>
          </cell>
          <cell r="H96">
            <v>90</v>
          </cell>
          <cell r="I96" t="str">
            <v>не в матрице</v>
          </cell>
          <cell r="K96">
            <v>31</v>
          </cell>
          <cell r="L96">
            <v>-24</v>
          </cell>
          <cell r="O96">
            <v>0</v>
          </cell>
          <cell r="R96">
            <v>0</v>
          </cell>
          <cell r="S96">
            <v>1.4</v>
          </cell>
        </row>
        <row r="97">
          <cell r="A97" t="str">
            <v xml:space="preserve"> 544  Сосиски Мясные для гриля ТС Ядрена копоть 0,3 кг  ПОКОМ</v>
          </cell>
          <cell r="B97" t="str">
            <v>шт</v>
          </cell>
          <cell r="G97">
            <v>0</v>
          </cell>
          <cell r="I97" t="str">
            <v>матрица</v>
          </cell>
          <cell r="L97">
            <v>0</v>
          </cell>
          <cell r="O97">
            <v>0</v>
          </cell>
          <cell r="R97">
            <v>0</v>
          </cell>
          <cell r="S97">
            <v>0</v>
          </cell>
          <cell r="U97">
            <v>80</v>
          </cell>
          <cell r="V97" t="str">
            <v>Сети</v>
          </cell>
        </row>
        <row r="98">
          <cell r="A98" t="str">
            <v xml:space="preserve"> 547  Колбаса Мясная Классическая ТМ Вязанка в оболочке полиамид. ВЕС  ПОКОМ</v>
          </cell>
          <cell r="B98" t="str">
            <v>кг</v>
          </cell>
          <cell r="C98">
            <v>4.0960000000000001</v>
          </cell>
          <cell r="D98">
            <v>12.22</v>
          </cell>
          <cell r="E98">
            <v>2.0390000000000001</v>
          </cell>
          <cell r="F98">
            <v>14.276999999999999</v>
          </cell>
          <cell r="G98">
            <v>1</v>
          </cell>
          <cell r="H98">
            <v>55</v>
          </cell>
          <cell r="I98" t="str">
            <v>матрица</v>
          </cell>
          <cell r="K98">
            <v>2.6</v>
          </cell>
          <cell r="L98">
            <v>-0.56099999999999994</v>
          </cell>
          <cell r="O98">
            <v>0</v>
          </cell>
          <cell r="R98">
            <v>0</v>
          </cell>
          <cell r="S98">
            <v>0.40780000000000005</v>
          </cell>
        </row>
        <row r="99">
          <cell r="A99" t="str">
            <v xml:space="preserve"> 551  Колбаса Сливушка ТМ Вязанка в модифицированной газовой среде 0,11 кг нарезка  ПОКОМ</v>
          </cell>
          <cell r="B99" t="str">
            <v>шт</v>
          </cell>
          <cell r="C99">
            <v>53</v>
          </cell>
          <cell r="E99">
            <v>2</v>
          </cell>
          <cell r="F99">
            <v>48</v>
          </cell>
          <cell r="G99">
            <v>0.11</v>
          </cell>
          <cell r="H99">
            <v>30</v>
          </cell>
          <cell r="I99" t="str">
            <v>матрица</v>
          </cell>
          <cell r="K99">
            <v>12</v>
          </cell>
          <cell r="L99">
            <v>-10</v>
          </cell>
          <cell r="O99">
            <v>69.778000000000006</v>
          </cell>
          <cell r="R99">
            <v>0</v>
          </cell>
          <cell r="S99">
            <v>0.4</v>
          </cell>
        </row>
        <row r="100">
          <cell r="A100" t="str">
            <v xml:space="preserve"> 552  Ветчина Сливушка с индейкой ТМ Вязанка в модифицированной газовой среде 0,1 кг нарезка  ПОКОМ</v>
          </cell>
          <cell r="B100" t="str">
            <v>шт</v>
          </cell>
          <cell r="G100">
            <v>0</v>
          </cell>
          <cell r="I100" t="str">
            <v>матрица</v>
          </cell>
          <cell r="L100">
            <v>0</v>
          </cell>
          <cell r="O100">
            <v>0</v>
          </cell>
          <cell r="R100">
            <v>0</v>
          </cell>
          <cell r="S100">
            <v>0</v>
          </cell>
        </row>
        <row r="101">
          <cell r="A101" t="str">
            <v xml:space="preserve"> 553  Ассорти колбас Мясорубская коллекция: Сервелат Делюкс, С балыком 0,08 кг нарезка  ПОКОМ</v>
          </cell>
          <cell r="B101" t="str">
            <v>шт</v>
          </cell>
          <cell r="C101">
            <v>117</v>
          </cell>
          <cell r="D101">
            <v>57</v>
          </cell>
          <cell r="E101">
            <v>72</v>
          </cell>
          <cell r="F101">
            <v>76</v>
          </cell>
          <cell r="G101">
            <v>0.08</v>
          </cell>
          <cell r="H101">
            <v>45</v>
          </cell>
          <cell r="I101" t="str">
            <v>матрица</v>
          </cell>
          <cell r="K101">
            <v>81</v>
          </cell>
          <cell r="L101">
            <v>-9</v>
          </cell>
          <cell r="O101">
            <v>131.17400000000001</v>
          </cell>
          <cell r="R101">
            <v>0</v>
          </cell>
          <cell r="S101">
            <v>14.4</v>
          </cell>
          <cell r="U101">
            <v>48</v>
          </cell>
        </row>
        <row r="102">
          <cell r="A102" t="str">
            <v xml:space="preserve"> 554  Колбаса Сервелат Мясорубский ТМ Стародворье в упаковке скин 0,08 кг нарезка  ПОКОМ</v>
          </cell>
          <cell r="B102" t="str">
            <v>шт</v>
          </cell>
          <cell r="C102">
            <v>165</v>
          </cell>
          <cell r="D102">
            <v>10</v>
          </cell>
          <cell r="E102">
            <v>58</v>
          </cell>
          <cell r="F102">
            <v>102</v>
          </cell>
          <cell r="G102">
            <v>0.08</v>
          </cell>
          <cell r="H102">
            <v>45</v>
          </cell>
          <cell r="I102" t="str">
            <v>матрица</v>
          </cell>
          <cell r="K102">
            <v>66</v>
          </cell>
          <cell r="L102">
            <v>-8</v>
          </cell>
          <cell r="O102">
            <v>37.200000000000017</v>
          </cell>
          <cell r="R102">
            <v>0</v>
          </cell>
          <cell r="S102">
            <v>11.6</v>
          </cell>
          <cell r="U102">
            <v>50</v>
          </cell>
          <cell r="V102" t="str">
            <v>Сети</v>
          </cell>
        </row>
        <row r="103">
          <cell r="A103" t="str">
            <v xml:space="preserve"> 555  Колбаса Молокуша ТМ Вязанка в модифицированной газовой среде 0,17 кг нарезка  ПОКОМ</v>
          </cell>
          <cell r="B103" t="str">
            <v>шт</v>
          </cell>
          <cell r="C103">
            <v>63</v>
          </cell>
          <cell r="D103">
            <v>10</v>
          </cell>
          <cell r="E103">
            <v>2</v>
          </cell>
          <cell r="F103">
            <v>67</v>
          </cell>
          <cell r="G103">
            <v>0.17</v>
          </cell>
          <cell r="H103">
            <v>30</v>
          </cell>
          <cell r="I103" t="str">
            <v>матрица</v>
          </cell>
          <cell r="K103">
            <v>13</v>
          </cell>
          <cell r="L103">
            <v>-11</v>
          </cell>
          <cell r="O103">
            <v>0</v>
          </cell>
          <cell r="R103">
            <v>0</v>
          </cell>
          <cell r="S103">
            <v>0.4</v>
          </cell>
        </row>
        <row r="104">
          <cell r="A104" t="str">
            <v xml:space="preserve"> 556  Колбаса Сервелат Ореховый ТМ Вязанка в оболочке фиброуз в вакуумной упаковке, ВЕС  ПОКОМ</v>
          </cell>
          <cell r="B104" t="str">
            <v>кг</v>
          </cell>
          <cell r="C104">
            <v>-21.622</v>
          </cell>
          <cell r="E104">
            <v>5.75</v>
          </cell>
          <cell r="F104">
            <v>-37.613</v>
          </cell>
          <cell r="G104">
            <v>1</v>
          </cell>
          <cell r="H104">
            <v>40</v>
          </cell>
          <cell r="I104" t="str">
            <v>НЕДОГРУЗ / матрица</v>
          </cell>
          <cell r="K104">
            <v>30.4</v>
          </cell>
          <cell r="L104">
            <v>-24.65</v>
          </cell>
          <cell r="O104">
            <v>25</v>
          </cell>
          <cell r="P104">
            <v>-28</v>
          </cell>
          <cell r="R104">
            <v>70</v>
          </cell>
          <cell r="S104">
            <v>1.1499999999999999</v>
          </cell>
          <cell r="T104">
            <v>60</v>
          </cell>
        </row>
        <row r="105">
          <cell r="A105" t="str">
            <v xml:space="preserve"> 557  Колбаса Сервелат Финский ТМ Вязанка в оболочке фиброуз в вакуумной упаковке, ВЕС  ПОКОМ</v>
          </cell>
          <cell r="B105" t="str">
            <v>кг</v>
          </cell>
          <cell r="C105">
            <v>30</v>
          </cell>
          <cell r="D105">
            <v>6.9359999999999999</v>
          </cell>
          <cell r="E105">
            <v>26.809000000000001</v>
          </cell>
          <cell r="F105">
            <v>3.0009999999999999</v>
          </cell>
          <cell r="G105">
            <v>1</v>
          </cell>
          <cell r="H105">
            <v>40</v>
          </cell>
          <cell r="I105" t="str">
            <v>НЕДОГРУЗ / матрица</v>
          </cell>
          <cell r="K105">
            <v>50.7</v>
          </cell>
          <cell r="L105">
            <v>-23.891000000000002</v>
          </cell>
          <cell r="O105">
            <v>25</v>
          </cell>
          <cell r="R105">
            <v>56</v>
          </cell>
          <cell r="S105">
            <v>5.3618000000000006</v>
          </cell>
          <cell r="T105">
            <v>70</v>
          </cell>
        </row>
        <row r="106">
          <cell r="A106" t="str">
            <v xml:space="preserve"> 558  Колбаса Балыковая НОВАЯ ВЕС Вязанка фиброуз в/у ПОКОМ</v>
          </cell>
          <cell r="B106" t="str">
            <v>кг</v>
          </cell>
          <cell r="C106">
            <v>3.3460000000000001</v>
          </cell>
          <cell r="D106">
            <v>39.023000000000003</v>
          </cell>
          <cell r="E106">
            <v>20.495999999999999</v>
          </cell>
          <cell r="F106">
            <v>1.91</v>
          </cell>
          <cell r="G106">
            <v>1</v>
          </cell>
          <cell r="H106">
            <v>40</v>
          </cell>
          <cell r="I106" t="str">
            <v>НЕДОГРУЗ / матрица</v>
          </cell>
          <cell r="K106">
            <v>46.3</v>
          </cell>
          <cell r="L106">
            <v>-25.803999999999998</v>
          </cell>
          <cell r="O106">
            <v>25</v>
          </cell>
          <cell r="P106">
            <v>-28</v>
          </cell>
          <cell r="R106">
            <v>56</v>
          </cell>
          <cell r="S106">
            <v>4.0991999999999997</v>
          </cell>
          <cell r="T106">
            <v>70</v>
          </cell>
        </row>
        <row r="107">
          <cell r="A107" t="str">
            <v xml:space="preserve"> 564  Сосиски Сочные 0,3 кг ТМ Вязанка  ПОКОМ</v>
          </cell>
          <cell r="B107" t="str">
            <v>шт</v>
          </cell>
          <cell r="G107">
            <v>0</v>
          </cell>
          <cell r="I107" t="str">
            <v>матрица</v>
          </cell>
          <cell r="L107">
            <v>0</v>
          </cell>
          <cell r="O107">
            <v>0</v>
          </cell>
          <cell r="R107">
            <v>0</v>
          </cell>
          <cell r="S107">
            <v>0</v>
          </cell>
        </row>
        <row r="108">
          <cell r="A108" t="str">
            <v xml:space="preserve"> 567 Колбаса Со шпиком Стародворская ТМ Стародворье в оболочке полиамид ВЕС  ПОКОМ</v>
          </cell>
          <cell r="B108" t="str">
            <v>кг</v>
          </cell>
          <cell r="G108">
            <v>0</v>
          </cell>
          <cell r="I108" t="str">
            <v>матрица</v>
          </cell>
          <cell r="L108">
            <v>0</v>
          </cell>
          <cell r="O108">
            <v>0</v>
          </cell>
          <cell r="R108">
            <v>0</v>
          </cell>
          <cell r="S108">
            <v>0</v>
          </cell>
        </row>
        <row r="109">
          <cell r="A109" t="str">
            <v xml:space="preserve"> 569  Колбаса Балыковая ТМ Вязанка в оболочке фиброуз в вакуумной упаковке 0,28 кг срез.  ПОКОМ</v>
          </cell>
          <cell r="B109" t="str">
            <v>шт</v>
          </cell>
          <cell r="C109">
            <v>25</v>
          </cell>
          <cell r="D109">
            <v>3</v>
          </cell>
          <cell r="E109">
            <v>-17</v>
          </cell>
          <cell r="F109">
            <v>3</v>
          </cell>
          <cell r="G109">
            <v>0.28000000000000003</v>
          </cell>
          <cell r="H109">
            <v>40</v>
          </cell>
          <cell r="I109" t="str">
            <v>НЕДОГРУЗ / матрица</v>
          </cell>
          <cell r="K109">
            <v>132</v>
          </cell>
          <cell r="L109">
            <v>-149</v>
          </cell>
          <cell r="O109">
            <v>45</v>
          </cell>
          <cell r="P109">
            <v>-46.428571428571423</v>
          </cell>
          <cell r="R109">
            <v>70</v>
          </cell>
          <cell r="S109">
            <v>-3.4</v>
          </cell>
          <cell r="T109">
            <v>90</v>
          </cell>
        </row>
        <row r="110">
          <cell r="A110" t="str">
            <v xml:space="preserve"> 570  Колбаса Сервелат Финский ТМ Вязанка в оболочке фиброуз в вак. упаковке 0,28 кг срез  ПОКОМ</v>
          </cell>
          <cell r="B110" t="str">
            <v>шт</v>
          </cell>
          <cell r="C110">
            <v>3</v>
          </cell>
          <cell r="E110">
            <v>-7</v>
          </cell>
          <cell r="F110">
            <v>1</v>
          </cell>
          <cell r="G110">
            <v>0.28000000000000003</v>
          </cell>
          <cell r="H110">
            <v>40</v>
          </cell>
          <cell r="I110" t="str">
            <v>НЕДОГРУЗ / матрица</v>
          </cell>
          <cell r="K110">
            <v>58</v>
          </cell>
          <cell r="L110">
            <v>-65</v>
          </cell>
          <cell r="O110">
            <v>45</v>
          </cell>
          <cell r="P110">
            <v>-46.428571428571423</v>
          </cell>
          <cell r="R110">
            <v>70</v>
          </cell>
          <cell r="S110">
            <v>-1.4</v>
          </cell>
          <cell r="T110">
            <v>90</v>
          </cell>
        </row>
        <row r="111">
          <cell r="A111" t="str">
            <v xml:space="preserve"> 571  Колбаса Сервелат Ореховый ТМ Вязанка в оболочке фиброуз в вак. упаковке 0,28 кг срез  ПОКОМ</v>
          </cell>
          <cell r="B111" t="str">
            <v>шт</v>
          </cell>
          <cell r="C111">
            <v>4</v>
          </cell>
          <cell r="E111">
            <v>6</v>
          </cell>
          <cell r="F111">
            <v>-6</v>
          </cell>
          <cell r="G111">
            <v>0.28000000000000003</v>
          </cell>
          <cell r="H111">
            <v>40</v>
          </cell>
          <cell r="I111" t="str">
            <v>НЕДОГРУЗ / матрица</v>
          </cell>
          <cell r="K111">
            <v>77</v>
          </cell>
          <cell r="L111">
            <v>-71</v>
          </cell>
          <cell r="O111">
            <v>45</v>
          </cell>
          <cell r="P111">
            <v>-46.428571428571423</v>
          </cell>
          <cell r="R111">
            <v>49</v>
          </cell>
          <cell r="S111">
            <v>1.2</v>
          </cell>
          <cell r="T111">
            <v>60</v>
          </cell>
        </row>
        <row r="112">
          <cell r="A112" t="str">
            <v xml:space="preserve"> 574  Колбаса Сервелат Финский ТМ Вязанка в упаковке скин 0,09 кг нарезка  ПОКОМ</v>
          </cell>
          <cell r="B112" t="str">
            <v>шт</v>
          </cell>
          <cell r="C112">
            <v>104</v>
          </cell>
          <cell r="D112">
            <v>52</v>
          </cell>
          <cell r="E112">
            <v>50</v>
          </cell>
          <cell r="F112">
            <v>80</v>
          </cell>
          <cell r="G112">
            <v>0.09</v>
          </cell>
          <cell r="H112">
            <v>45</v>
          </cell>
          <cell r="I112" t="str">
            <v>матрица</v>
          </cell>
          <cell r="K112">
            <v>49</v>
          </cell>
          <cell r="L112">
            <v>1</v>
          </cell>
          <cell r="O112">
            <v>0</v>
          </cell>
          <cell r="R112">
            <v>0</v>
          </cell>
          <cell r="S112">
            <v>10</v>
          </cell>
          <cell r="T112">
            <v>40</v>
          </cell>
        </row>
        <row r="113">
          <cell r="A113" t="str">
            <v xml:space="preserve"> 579  Колбаса Ветчинно-рубленая ТМ Особый рецепт в оболочке полиамид.ВЕС  ПОКОМ</v>
          </cell>
          <cell r="B113" t="str">
            <v>кг</v>
          </cell>
          <cell r="C113">
            <v>94.930999999999997</v>
          </cell>
          <cell r="E113">
            <v>35.034999999999997</v>
          </cell>
          <cell r="F113">
            <v>55.14</v>
          </cell>
          <cell r="G113">
            <v>1</v>
          </cell>
          <cell r="H113">
            <v>60</v>
          </cell>
          <cell r="I113" t="str">
            <v>матрица</v>
          </cell>
          <cell r="K113">
            <v>32.514000000000003</v>
          </cell>
          <cell r="L113">
            <v>2.5209999999999937</v>
          </cell>
          <cell r="O113">
            <v>47.600199999999987</v>
          </cell>
          <cell r="R113">
            <v>0</v>
          </cell>
          <cell r="S113">
            <v>7.0069999999999997</v>
          </cell>
        </row>
        <row r="114">
          <cell r="A114" t="str">
            <v xml:space="preserve"> 580  Ветчина Нежная с индейкой ТМ Особый рецепт в оболочке полиамид.ВЕС  ПОКОМ</v>
          </cell>
          <cell r="B114" t="str">
            <v>кг</v>
          </cell>
          <cell r="C114">
            <v>49.859000000000002</v>
          </cell>
          <cell r="D114">
            <v>29.864999999999998</v>
          </cell>
          <cell r="E114">
            <v>32.406999999999996</v>
          </cell>
          <cell r="F114">
            <v>34.905000000000001</v>
          </cell>
          <cell r="G114">
            <v>1</v>
          </cell>
          <cell r="H114">
            <v>50</v>
          </cell>
          <cell r="I114" t="str">
            <v>матрица</v>
          </cell>
          <cell r="K114">
            <v>30</v>
          </cell>
          <cell r="L114">
            <v>2.4069999999999965</v>
          </cell>
          <cell r="O114">
            <v>117.28619999999999</v>
          </cell>
          <cell r="R114">
            <v>0</v>
          </cell>
          <cell r="S114">
            <v>6.4813999999999989</v>
          </cell>
        </row>
        <row r="115">
          <cell r="A115" t="str">
            <v xml:space="preserve"> 583  Колбаса Балыковая ТМ Вязанка в упаковке скин 0,09 кг нарезка  ПОКОМ</v>
          </cell>
          <cell r="B115" t="str">
            <v>шт</v>
          </cell>
          <cell r="C115">
            <v>88</v>
          </cell>
          <cell r="D115">
            <v>20</v>
          </cell>
          <cell r="E115">
            <v>35</v>
          </cell>
          <cell r="F115">
            <v>55</v>
          </cell>
          <cell r="G115">
            <v>0.09</v>
          </cell>
          <cell r="H115">
            <v>45</v>
          </cell>
          <cell r="I115" t="str">
            <v>матрица</v>
          </cell>
          <cell r="K115">
            <v>37</v>
          </cell>
          <cell r="L115">
            <v>-2</v>
          </cell>
          <cell r="O115">
            <v>31</v>
          </cell>
          <cell r="R115">
            <v>0</v>
          </cell>
          <cell r="S115">
            <v>7</v>
          </cell>
          <cell r="U115">
            <v>0</v>
          </cell>
        </row>
        <row r="116">
          <cell r="A116" t="str">
            <v xml:space="preserve"> 584  Колбаса Сервелат Ореховый ТМ Вязанка в упаковке скин 0,09 кг нарезка  ПОКОМ</v>
          </cell>
          <cell r="B116" t="str">
            <v>шт</v>
          </cell>
          <cell r="C116">
            <v>54</v>
          </cell>
          <cell r="D116">
            <v>100</v>
          </cell>
          <cell r="E116">
            <v>46</v>
          </cell>
          <cell r="F116">
            <v>80</v>
          </cell>
          <cell r="G116">
            <v>0.09</v>
          </cell>
          <cell r="H116">
            <v>45</v>
          </cell>
          <cell r="I116" t="str">
            <v>матрица</v>
          </cell>
          <cell r="K116">
            <v>57</v>
          </cell>
          <cell r="L116">
            <v>-11</v>
          </cell>
          <cell r="O116">
            <v>0</v>
          </cell>
          <cell r="R116">
            <v>33.199999999999989</v>
          </cell>
          <cell r="S116">
            <v>9.1999999999999993</v>
          </cell>
        </row>
        <row r="117">
          <cell r="A117" t="str">
            <v xml:space="preserve"> 585  Колбаса Молочная ТМ Стародворье в оболочке вектор НД ВЕС.  ПОКОМ</v>
          </cell>
          <cell r="B117" t="str">
            <v>кг</v>
          </cell>
          <cell r="C117">
            <v>36.042999999999999</v>
          </cell>
          <cell r="D117">
            <v>59.15</v>
          </cell>
          <cell r="E117">
            <v>49.884</v>
          </cell>
          <cell r="F117">
            <v>24.207999999999998</v>
          </cell>
          <cell r="G117">
            <v>1</v>
          </cell>
          <cell r="H117">
            <v>60</v>
          </cell>
          <cell r="I117" t="str">
            <v>матрица</v>
          </cell>
          <cell r="K117">
            <v>46</v>
          </cell>
          <cell r="L117">
            <v>3.8840000000000003</v>
          </cell>
          <cell r="O117">
            <v>113.9771319999999</v>
          </cell>
          <cell r="R117">
            <v>0</v>
          </cell>
          <cell r="S117">
            <v>9.9768000000000008</v>
          </cell>
          <cell r="U117">
            <v>21.829000000000001</v>
          </cell>
        </row>
        <row r="118">
          <cell r="A118" t="str">
            <v xml:space="preserve"> 586  Колбаса Мясная ТМ Стародворье в оболочке вектор НД ВЕС.  ПОКОМ</v>
          </cell>
          <cell r="B118" t="str">
            <v>кг</v>
          </cell>
          <cell r="C118">
            <v>118.46599999999999</v>
          </cell>
          <cell r="D118">
            <v>150.33799999999999</v>
          </cell>
          <cell r="E118">
            <v>137.25200000000001</v>
          </cell>
          <cell r="F118">
            <v>81.775999999999996</v>
          </cell>
          <cell r="G118">
            <v>1</v>
          </cell>
          <cell r="H118">
            <v>60</v>
          </cell>
          <cell r="I118" t="str">
            <v>матрица</v>
          </cell>
          <cell r="K118">
            <v>142.4</v>
          </cell>
          <cell r="L118">
            <v>-5.1479999999999961</v>
          </cell>
          <cell r="O118">
            <v>0</v>
          </cell>
          <cell r="R118">
            <v>89.335400000000021</v>
          </cell>
          <cell r="S118">
            <v>27.450400000000002</v>
          </cell>
          <cell r="T118">
            <v>158.29340000000002</v>
          </cell>
          <cell r="U118">
            <v>182.96799999999999</v>
          </cell>
        </row>
        <row r="119">
          <cell r="A119" t="str">
            <v xml:space="preserve"> 588 Колбаса Со шпиком ТМ Стародворье в оболочке вектор ВЕС  ПОКОМ</v>
          </cell>
          <cell r="B119" t="str">
            <v>кг</v>
          </cell>
          <cell r="C119">
            <v>55.319000000000003</v>
          </cell>
          <cell r="D119">
            <v>8.4580000000000002</v>
          </cell>
          <cell r="E119">
            <v>36.499000000000002</v>
          </cell>
          <cell r="F119">
            <v>9.1430000000000007</v>
          </cell>
          <cell r="G119">
            <v>1</v>
          </cell>
          <cell r="H119">
            <v>60</v>
          </cell>
          <cell r="I119" t="str">
            <v>матрица</v>
          </cell>
          <cell r="K119">
            <v>37.700000000000003</v>
          </cell>
          <cell r="L119">
            <v>-1.2010000000000005</v>
          </cell>
          <cell r="O119">
            <v>9.7018000000000058</v>
          </cell>
          <cell r="R119">
            <v>48.038400000000003</v>
          </cell>
          <cell r="S119">
            <v>7.2998000000000003</v>
          </cell>
          <cell r="T119">
            <v>20.714399999999991</v>
          </cell>
        </row>
        <row r="120">
          <cell r="A120" t="str">
            <v xml:space="preserve"> 597  Колбаса Классическая ТМ Особый рецепт в оболочке полиамид ВЕС. ПОКОМ</v>
          </cell>
          <cell r="B120" t="str">
            <v>кг</v>
          </cell>
          <cell r="C120">
            <v>1052.8050000000001</v>
          </cell>
          <cell r="D120">
            <v>4.9889999999999999</v>
          </cell>
          <cell r="E120">
            <v>507.053</v>
          </cell>
          <cell r="F120">
            <v>540.75599999999997</v>
          </cell>
          <cell r="G120">
            <v>1</v>
          </cell>
          <cell r="H120">
            <v>60</v>
          </cell>
          <cell r="I120" t="str">
            <v>матрица</v>
          </cell>
          <cell r="K120">
            <v>817.5</v>
          </cell>
          <cell r="L120">
            <v>-310.447</v>
          </cell>
          <cell r="O120">
            <v>1120.4055739999999</v>
          </cell>
          <cell r="Q120">
            <v>200</v>
          </cell>
          <cell r="R120">
            <v>30.169026000000031</v>
          </cell>
          <cell r="S120">
            <v>101.4106</v>
          </cell>
        </row>
        <row r="121">
          <cell r="A121" t="str">
            <v xml:space="preserve"> 614  Буженина в пряном маринаде 0,25 кг консервы из мяса индейки ТМ Стародворье  ПОКОМ</v>
          </cell>
          <cell r="B121" t="str">
            <v>шт</v>
          </cell>
          <cell r="C121">
            <v>146</v>
          </cell>
          <cell r="D121">
            <v>3</v>
          </cell>
          <cell r="E121">
            <v>141</v>
          </cell>
          <cell r="F121">
            <v>5</v>
          </cell>
          <cell r="G121">
            <v>0.25</v>
          </cell>
          <cell r="H121">
            <v>1096</v>
          </cell>
          <cell r="I121" t="str">
            <v>НЕДОГРУЗ / матрица</v>
          </cell>
          <cell r="K121">
            <v>177</v>
          </cell>
          <cell r="L121">
            <v>-36</v>
          </cell>
          <cell r="O121">
            <v>25</v>
          </cell>
          <cell r="R121">
            <v>140</v>
          </cell>
          <cell r="S121">
            <v>28.2</v>
          </cell>
          <cell r="T121">
            <v>180</v>
          </cell>
          <cell r="U121">
            <v>0</v>
          </cell>
        </row>
        <row r="122">
          <cell r="A122" t="str">
            <v xml:space="preserve"> 615  Гречка по-купечески с говядиной и овощами 0,325кг ТМ Стародворье  ПОКОМ</v>
          </cell>
          <cell r="B122" t="str">
            <v>шт</v>
          </cell>
          <cell r="C122">
            <v>68</v>
          </cell>
          <cell r="D122">
            <v>108</v>
          </cell>
          <cell r="E122">
            <v>100</v>
          </cell>
          <cell r="F122">
            <v>41</v>
          </cell>
          <cell r="G122">
            <v>0.32500000000000001</v>
          </cell>
          <cell r="H122">
            <v>1096</v>
          </cell>
          <cell r="I122" t="str">
            <v>НЕДОГРУЗ / матрица</v>
          </cell>
          <cell r="K122">
            <v>63</v>
          </cell>
          <cell r="L122">
            <v>37</v>
          </cell>
          <cell r="O122">
            <v>0</v>
          </cell>
          <cell r="R122">
            <v>87.399999999999977</v>
          </cell>
          <cell r="S122">
            <v>20</v>
          </cell>
          <cell r="T122">
            <v>110</v>
          </cell>
          <cell r="U122">
            <v>0</v>
          </cell>
        </row>
        <row r="123">
          <cell r="A123" t="str">
            <v xml:space="preserve"> 616  Индейка томлёная в собственном соку 0,25кг ТМ Стародлворье Консервый из мяс.птицы  ПОКОМ</v>
          </cell>
          <cell r="B123" t="str">
            <v>шт</v>
          </cell>
          <cell r="C123">
            <v>464</v>
          </cell>
          <cell r="E123">
            <v>314</v>
          </cell>
          <cell r="F123">
            <v>84</v>
          </cell>
          <cell r="G123">
            <v>0.25</v>
          </cell>
          <cell r="H123">
            <v>1096</v>
          </cell>
          <cell r="I123" t="str">
            <v>матрица</v>
          </cell>
          <cell r="K123">
            <v>312</v>
          </cell>
          <cell r="L123">
            <v>2</v>
          </cell>
          <cell r="O123">
            <v>0</v>
          </cell>
          <cell r="R123">
            <v>480.4</v>
          </cell>
          <cell r="S123">
            <v>62.8</v>
          </cell>
          <cell r="T123">
            <v>189.19999999999993</v>
          </cell>
        </row>
        <row r="124">
          <cell r="A124" t="str">
            <v>495  Колбаса Сочинка по-европейски с сочной грудинкой 0,3кг ТМ Стародворье  ПОКОМ</v>
          </cell>
          <cell r="B124" t="str">
            <v>шт</v>
          </cell>
          <cell r="C124">
            <v>96</v>
          </cell>
          <cell r="D124">
            <v>6</v>
          </cell>
          <cell r="E124">
            <v>109</v>
          </cell>
          <cell r="F124">
            <v>-13</v>
          </cell>
          <cell r="G124">
            <v>0.3</v>
          </cell>
          <cell r="H124">
            <v>40</v>
          </cell>
          <cell r="I124" t="str">
            <v>НЕДОГРУЗ / матрица</v>
          </cell>
          <cell r="K124">
            <v>158</v>
          </cell>
          <cell r="L124">
            <v>-49</v>
          </cell>
          <cell r="O124">
            <v>36</v>
          </cell>
          <cell r="P124">
            <v>-43.333333333333343</v>
          </cell>
          <cell r="R124">
            <v>84</v>
          </cell>
          <cell r="S124">
            <v>21.8</v>
          </cell>
          <cell r="T124">
            <v>110</v>
          </cell>
          <cell r="U124">
            <v>36</v>
          </cell>
        </row>
        <row r="125">
          <cell r="A125" t="str">
            <v>496  Колбаса Сочинка по-фински с сочным окроком 0,3кг ТМ Стародворье  ПОКОМ</v>
          </cell>
          <cell r="B125" t="str">
            <v>шт</v>
          </cell>
          <cell r="C125">
            <v>5</v>
          </cell>
          <cell r="E125">
            <v>-10</v>
          </cell>
          <cell r="F125">
            <v>3</v>
          </cell>
          <cell r="G125">
            <v>0.3</v>
          </cell>
          <cell r="H125">
            <v>40</v>
          </cell>
          <cell r="I125" t="str">
            <v>НЕДОГРУЗ / матрица</v>
          </cell>
          <cell r="K125">
            <v>85</v>
          </cell>
          <cell r="L125">
            <v>-95</v>
          </cell>
          <cell r="O125">
            <v>30</v>
          </cell>
          <cell r="P125">
            <v>-30</v>
          </cell>
          <cell r="R125">
            <v>49</v>
          </cell>
          <cell r="S125">
            <v>-2</v>
          </cell>
          <cell r="T125">
            <v>60</v>
          </cell>
        </row>
        <row r="126">
          <cell r="A126" t="str">
            <v>503 Колбаса Филейская со шпиком ТМ Вязанка в оболочке полиамид.ПОКОМ</v>
          </cell>
          <cell r="B126" t="str">
            <v>кг</v>
          </cell>
          <cell r="C126">
            <v>8.31</v>
          </cell>
          <cell r="E126">
            <v>9.4359999999999999</v>
          </cell>
          <cell r="F126">
            <v>0.23799999999999999</v>
          </cell>
          <cell r="G126">
            <v>1</v>
          </cell>
          <cell r="H126">
            <v>50</v>
          </cell>
          <cell r="I126" t="str">
            <v>матрица</v>
          </cell>
          <cell r="K126">
            <v>10.7</v>
          </cell>
          <cell r="L126">
            <v>-1.2639999999999993</v>
          </cell>
          <cell r="O126">
            <v>33.590400000000002</v>
          </cell>
          <cell r="R126">
            <v>0</v>
          </cell>
          <cell r="S126">
            <v>1.8872</v>
          </cell>
        </row>
        <row r="127">
          <cell r="A127" t="str">
            <v>515  Колбаса Сервелат Мясорубский Делюкс 0,3кг ТМ Стародворье  ПОКОМ</v>
          </cell>
          <cell r="B127" t="str">
            <v>шт</v>
          </cell>
          <cell r="C127">
            <v>80</v>
          </cell>
          <cell r="D127">
            <v>7</v>
          </cell>
          <cell r="E127">
            <v>89</v>
          </cell>
          <cell r="F127">
            <v>2</v>
          </cell>
          <cell r="G127">
            <v>0.3</v>
          </cell>
          <cell r="H127">
            <v>40</v>
          </cell>
          <cell r="I127" t="str">
            <v>НЕДОГРУЗ / матрица</v>
          </cell>
          <cell r="K127">
            <v>97</v>
          </cell>
          <cell r="L127">
            <v>-8</v>
          </cell>
          <cell r="O127">
            <v>25</v>
          </cell>
          <cell r="P127">
            <v>-30</v>
          </cell>
          <cell r="R127">
            <v>70</v>
          </cell>
          <cell r="S127">
            <v>17.8</v>
          </cell>
          <cell r="T127">
            <v>90</v>
          </cell>
        </row>
        <row r="128">
          <cell r="A128" t="str">
            <v>519  Грудинка 0,12 кг нарезка ТМ Стародворье  ПОКОМ</v>
          </cell>
          <cell r="B128" t="str">
            <v>шт</v>
          </cell>
          <cell r="C128">
            <v>38</v>
          </cell>
          <cell r="D128">
            <v>45</v>
          </cell>
          <cell r="E128">
            <v>47</v>
          </cell>
          <cell r="F128">
            <v>23</v>
          </cell>
          <cell r="G128">
            <v>0.12</v>
          </cell>
          <cell r="H128">
            <v>45</v>
          </cell>
          <cell r="I128" t="str">
            <v>НЕДОГРУЗ / матрица</v>
          </cell>
          <cell r="K128">
            <v>47</v>
          </cell>
          <cell r="L128">
            <v>0</v>
          </cell>
          <cell r="O128">
            <v>12.8</v>
          </cell>
          <cell r="P128">
            <v>-33.333333333333343</v>
          </cell>
          <cell r="R128">
            <v>34</v>
          </cell>
          <cell r="S128">
            <v>9.4</v>
          </cell>
          <cell r="T128">
            <v>70</v>
          </cell>
          <cell r="U128">
            <v>0</v>
          </cell>
        </row>
        <row r="129">
          <cell r="A129" t="str">
            <v>БОНУС_615  Гречка по-купечески с говядиной и овощами 0,325кг ТМ Стародворье  ПОКОМ</v>
          </cell>
          <cell r="B129" t="str">
            <v>шт</v>
          </cell>
          <cell r="C129">
            <v>-21</v>
          </cell>
          <cell r="E129">
            <v>45</v>
          </cell>
          <cell r="F129">
            <v>-76</v>
          </cell>
          <cell r="G129">
            <v>0</v>
          </cell>
          <cell r="I129" t="str">
            <v>бонус</v>
          </cell>
          <cell r="J129" t="str">
            <v xml:space="preserve"> 615  Гречка по-купечески с говядиной и овощами 0,325кг ТМ Стародворье  ПОКОМ</v>
          </cell>
          <cell r="K129">
            <v>57</v>
          </cell>
          <cell r="L129">
            <v>-12</v>
          </cell>
          <cell r="O129">
            <v>0</v>
          </cell>
          <cell r="R129">
            <v>0</v>
          </cell>
          <cell r="S129">
            <v>9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P8" sqref="AP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0.28515625" customWidth="1"/>
    <col min="10" max="10" width="1" customWidth="1"/>
    <col min="11" max="12" width="7" customWidth="1"/>
    <col min="13" max="14" width="0.28515625" customWidth="1"/>
    <col min="15" max="23" width="7" customWidth="1"/>
    <col min="24" max="24" width="7" style="22" customWidth="1"/>
    <col min="25" max="25" width="10.140625" style="22" customWidth="1"/>
    <col min="26" max="27" width="5" customWidth="1"/>
    <col min="28" max="39" width="6" customWidth="1"/>
    <col min="40" max="41" width="7" customWidth="1"/>
  </cols>
  <sheetData>
    <row r="1" spans="1:4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4">
        <v>1.5</v>
      </c>
      <c r="V1" s="1"/>
      <c r="W1" s="24">
        <v>0.53900000000000003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>
        <f>AN2-AN5</f>
        <v>-5</v>
      </c>
      <c r="AO1" s="1">
        <f>AO2-AO5</f>
        <v>4436</v>
      </c>
    </row>
    <row r="2" spans="1:4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 t="s">
        <v>286</v>
      </c>
      <c r="V2" s="1"/>
      <c r="W2" s="1" t="s">
        <v>287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>
        <v>8500</v>
      </c>
      <c r="AO2" s="1">
        <v>8000</v>
      </c>
    </row>
    <row r="3" spans="1:4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282</v>
      </c>
      <c r="V3" s="3" t="s">
        <v>283</v>
      </c>
      <c r="W3" s="3" t="s">
        <v>283</v>
      </c>
      <c r="X3" s="3" t="s">
        <v>275</v>
      </c>
      <c r="Y3" s="3" t="s">
        <v>276</v>
      </c>
      <c r="Z3" s="2" t="s">
        <v>17</v>
      </c>
      <c r="AA3" s="2" t="s">
        <v>18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19</v>
      </c>
      <c r="AL3" s="2" t="s">
        <v>19</v>
      </c>
      <c r="AM3" s="2" t="s">
        <v>20</v>
      </c>
      <c r="AN3" s="2" t="s">
        <v>21</v>
      </c>
      <c r="AO3" s="2" t="s">
        <v>21</v>
      </c>
    </row>
    <row r="4" spans="1:4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/>
      <c r="V4" s="1" t="s">
        <v>284</v>
      </c>
      <c r="W4" s="1" t="s">
        <v>285</v>
      </c>
      <c r="X4" s="1" t="s">
        <v>277</v>
      </c>
      <c r="Y4" s="1"/>
      <c r="Z4" s="1"/>
      <c r="AA4" s="1"/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 t="s">
        <v>35</v>
      </c>
      <c r="AK4" s="1" t="s">
        <v>36</v>
      </c>
      <c r="AL4" s="1" t="s">
        <v>37</v>
      </c>
      <c r="AM4" s="1"/>
      <c r="AN4" s="1" t="s">
        <v>284</v>
      </c>
      <c r="AO4" s="1" t="s">
        <v>285</v>
      </c>
    </row>
    <row r="5" spans="1:41" x14ac:dyDescent="0.25">
      <c r="A5" s="1"/>
      <c r="B5" s="1"/>
      <c r="C5" s="1"/>
      <c r="D5" s="1"/>
      <c r="E5" s="4">
        <f>SUM(E6:E499)</f>
        <v>18215.670999999998</v>
      </c>
      <c r="F5" s="4">
        <f>SUM(F6:F499)</f>
        <v>9215.3319999999967</v>
      </c>
      <c r="G5" s="7"/>
      <c r="H5" s="1"/>
      <c r="I5" s="1"/>
      <c r="J5" s="1"/>
      <c r="K5" s="4">
        <f t="shared" ref="K5:V5" si="0">SUM(K6:K499)</f>
        <v>22485.904000000002</v>
      </c>
      <c r="L5" s="4">
        <f t="shared" si="0"/>
        <v>-4270.2330000000002</v>
      </c>
      <c r="M5" s="4">
        <f t="shared" si="0"/>
        <v>0</v>
      </c>
      <c r="N5" s="4">
        <f t="shared" si="0"/>
        <v>0</v>
      </c>
      <c r="O5" s="4">
        <f t="shared" si="0"/>
        <v>13845.357700000002</v>
      </c>
      <c r="P5" s="4">
        <f t="shared" si="0"/>
        <v>-1920.738095238095</v>
      </c>
      <c r="Q5" s="4">
        <f t="shared" si="0"/>
        <v>1550</v>
      </c>
      <c r="R5" s="4">
        <f t="shared" si="0"/>
        <v>9542.0365139999994</v>
      </c>
      <c r="S5" s="4">
        <f t="shared" si="0"/>
        <v>3643.1342000000018</v>
      </c>
      <c r="T5" s="4">
        <f t="shared" si="0"/>
        <v>13976.591912000002</v>
      </c>
      <c r="U5" s="4">
        <f t="shared" si="0"/>
        <v>19235.642178000006</v>
      </c>
      <c r="V5" s="4">
        <f t="shared" si="0"/>
        <v>12201.823529065998</v>
      </c>
      <c r="W5" s="4">
        <f t="shared" ref="W5" si="1">SUM(W6:W499)</f>
        <v>4837.178933442</v>
      </c>
      <c r="X5" s="4"/>
      <c r="Y5" s="4"/>
      <c r="Z5" s="1"/>
      <c r="AA5" s="1"/>
      <c r="AB5" s="4">
        <f t="shared" ref="AB5:AL5" si="2">SUM(AB6:AB499)</f>
        <v>4217.0311999999985</v>
      </c>
      <c r="AC5" s="4">
        <f t="shared" si="2"/>
        <v>4217.0490000000009</v>
      </c>
      <c r="AD5" s="4">
        <f t="shared" si="2"/>
        <v>3809.9485999999984</v>
      </c>
      <c r="AE5" s="4">
        <f t="shared" si="2"/>
        <v>4467.6592000000001</v>
      </c>
      <c r="AF5" s="4">
        <f t="shared" si="2"/>
        <v>4046.9829999999988</v>
      </c>
      <c r="AG5" s="4">
        <f t="shared" si="2"/>
        <v>3390.857199999999</v>
      </c>
      <c r="AH5" s="4">
        <f t="shared" si="2"/>
        <v>3745.7852000000003</v>
      </c>
      <c r="AI5" s="4">
        <f t="shared" si="2"/>
        <v>4644.2882000000009</v>
      </c>
      <c r="AJ5" s="4">
        <f t="shared" si="2"/>
        <v>4604.8541999999989</v>
      </c>
      <c r="AK5" s="4">
        <f t="shared" si="2"/>
        <v>4923.7491999999984</v>
      </c>
      <c r="AL5" s="4">
        <f t="shared" si="2"/>
        <v>4846.7421999999979</v>
      </c>
      <c r="AM5" s="1"/>
      <c r="AN5" s="4">
        <f>SUM(AN6:AN499)</f>
        <v>8505</v>
      </c>
      <c r="AO5" s="4">
        <f>SUM(AO6:AO499)</f>
        <v>3564</v>
      </c>
    </row>
    <row r="6" spans="1:41" x14ac:dyDescent="0.25">
      <c r="A6" s="1" t="s">
        <v>38</v>
      </c>
      <c r="B6" s="1" t="s">
        <v>39</v>
      </c>
      <c r="C6" s="1">
        <v>188.10300000000001</v>
      </c>
      <c r="D6" s="1">
        <v>422.721</v>
      </c>
      <c r="E6" s="1">
        <v>252.77500000000001</v>
      </c>
      <c r="F6" s="1">
        <v>243.14400000000001</v>
      </c>
      <c r="G6" s="7">
        <v>1</v>
      </c>
      <c r="H6" s="1">
        <v>50</v>
      </c>
      <c r="I6" s="1" t="s">
        <v>40</v>
      </c>
      <c r="J6" s="1"/>
      <c r="K6" s="1">
        <v>236.09399999999999</v>
      </c>
      <c r="L6" s="1">
        <f t="shared" ref="L6:L37" si="3">E6-K6</f>
        <v>16.681000000000012</v>
      </c>
      <c r="M6" s="1"/>
      <c r="N6" s="1"/>
      <c r="O6" s="1">
        <v>182.27207200000001</v>
      </c>
      <c r="P6" s="1"/>
      <c r="Q6" s="1"/>
      <c r="R6" s="1">
        <v>0</v>
      </c>
      <c r="S6" s="1">
        <f t="shared" ref="S6:S37" si="4">E6/5</f>
        <v>50.555</v>
      </c>
      <c r="T6" s="5">
        <f>12*S6-R6-Q6-P6-O6-F6</f>
        <v>181.24392799999998</v>
      </c>
      <c r="U6" s="5">
        <f>T6+S6*$U$1</f>
        <v>257.07642799999996</v>
      </c>
      <c r="V6" s="5">
        <v>118.51223330799996</v>
      </c>
      <c r="W6" s="5">
        <f>U6*$W$1</f>
        <v>138.564194692</v>
      </c>
      <c r="X6" s="21"/>
      <c r="Y6" s="21"/>
      <c r="Z6" s="1">
        <f>(F6+O6+P6+Q6+R6+V6+W6)/S6</f>
        <v>13.499999999999998</v>
      </c>
      <c r="AA6" s="1">
        <f t="shared" ref="AA6:AA37" si="5">(F6+O6+P6+Q6+R6)/S6</f>
        <v>8.4149158738008101</v>
      </c>
      <c r="AB6" s="1">
        <v>49.53</v>
      </c>
      <c r="AC6" s="1">
        <v>63.962800000000001</v>
      </c>
      <c r="AD6" s="1">
        <v>58.955199999999998</v>
      </c>
      <c r="AE6" s="1">
        <v>54.327599999999997</v>
      </c>
      <c r="AF6" s="1">
        <v>47.706800000000001</v>
      </c>
      <c r="AG6" s="1">
        <v>28.063800000000001</v>
      </c>
      <c r="AH6" s="1">
        <v>26.715599999999998</v>
      </c>
      <c r="AI6" s="1">
        <v>48.6646</v>
      </c>
      <c r="AJ6" s="1">
        <v>55.111400000000003</v>
      </c>
      <c r="AK6" s="1">
        <v>50.386399999999988</v>
      </c>
      <c r="AL6" s="1">
        <v>51.108400000000003</v>
      </c>
      <c r="AM6" s="1"/>
      <c r="AN6" s="1">
        <f>ROUND(G6*V6,0)</f>
        <v>119</v>
      </c>
      <c r="AO6" s="1">
        <f>ROUND(G6*W6,0)</f>
        <v>139</v>
      </c>
    </row>
    <row r="7" spans="1:41" x14ac:dyDescent="0.25">
      <c r="A7" s="1" t="s">
        <v>41</v>
      </c>
      <c r="B7" s="1" t="s">
        <v>39</v>
      </c>
      <c r="C7" s="1">
        <v>540.31799999999998</v>
      </c>
      <c r="D7" s="1">
        <v>399.71300000000002</v>
      </c>
      <c r="E7" s="1">
        <v>653.41</v>
      </c>
      <c r="F7" s="1">
        <v>102.50700000000001</v>
      </c>
      <c r="G7" s="7">
        <v>1</v>
      </c>
      <c r="H7" s="1">
        <v>45</v>
      </c>
      <c r="I7" s="1" t="s">
        <v>40</v>
      </c>
      <c r="J7" s="1"/>
      <c r="K7" s="1">
        <v>689.9</v>
      </c>
      <c r="L7" s="1">
        <f t="shared" si="3"/>
        <v>-36.490000000000009</v>
      </c>
      <c r="M7" s="1"/>
      <c r="N7" s="1"/>
      <c r="O7" s="1">
        <v>37.594408000000207</v>
      </c>
      <c r="P7" s="1"/>
      <c r="Q7" s="1"/>
      <c r="R7" s="1">
        <v>874.63539199999968</v>
      </c>
      <c r="S7" s="1">
        <f t="shared" si="4"/>
        <v>130.68199999999999</v>
      </c>
      <c r="T7" s="5">
        <f t="shared" ref="T7:T8" si="6">12*S7-R7-Q7-P7-O7-F7</f>
        <v>553.44719999999984</v>
      </c>
      <c r="U7" s="5">
        <f t="shared" ref="U7:U8" si="7">T7+S7*$U$1</f>
        <v>749.47019999999975</v>
      </c>
      <c r="V7" s="5">
        <v>345.50576219999988</v>
      </c>
      <c r="W7" s="5">
        <v>200</v>
      </c>
      <c r="X7" s="21"/>
      <c r="Y7" s="21"/>
      <c r="Z7" s="1">
        <f t="shared" ref="Z7:Z70" si="8">(F7+O7+P7+Q7+R7+V7+W7)/S7</f>
        <v>11.939230821383205</v>
      </c>
      <c r="AA7" s="1">
        <f t="shared" si="5"/>
        <v>7.7649316661820293</v>
      </c>
      <c r="AB7" s="1">
        <v>153.03919999999999</v>
      </c>
      <c r="AC7" s="1">
        <v>75.238799999999998</v>
      </c>
      <c r="AD7" s="1">
        <v>35.7254</v>
      </c>
      <c r="AE7" s="1">
        <v>94.933799999999991</v>
      </c>
      <c r="AF7" s="1">
        <v>81.040400000000005</v>
      </c>
      <c r="AG7" s="1">
        <v>58.811599999999999</v>
      </c>
      <c r="AH7" s="1">
        <v>63.0702</v>
      </c>
      <c r="AI7" s="1">
        <v>39.780999999999999</v>
      </c>
      <c r="AJ7" s="1">
        <v>30.569600000000001</v>
      </c>
      <c r="AK7" s="1">
        <v>17.161999999999999</v>
      </c>
      <c r="AL7" s="1">
        <v>29.265599999999999</v>
      </c>
      <c r="AM7" s="1"/>
      <c r="AN7" s="1">
        <f t="shared" ref="AN7:AN70" si="9">ROUND(G7*V7,0)</f>
        <v>346</v>
      </c>
      <c r="AO7" s="1">
        <f t="shared" ref="AO7:AO70" si="10">ROUND(G7*W7,0)</f>
        <v>200</v>
      </c>
    </row>
    <row r="8" spans="1:41" x14ac:dyDescent="0.25">
      <c r="A8" s="1" t="s">
        <v>42</v>
      </c>
      <c r="B8" s="1" t="s">
        <v>39</v>
      </c>
      <c r="C8" s="1">
        <v>637.67499999999995</v>
      </c>
      <c r="D8" s="1">
        <v>541.44899999999996</v>
      </c>
      <c r="E8" s="1">
        <v>508.42099999999999</v>
      </c>
      <c r="F8" s="1">
        <v>499.21600000000001</v>
      </c>
      <c r="G8" s="7">
        <v>1</v>
      </c>
      <c r="H8" s="1">
        <v>45</v>
      </c>
      <c r="I8" s="1" t="s">
        <v>40</v>
      </c>
      <c r="J8" s="1"/>
      <c r="K8" s="1">
        <v>542.37699999999995</v>
      </c>
      <c r="L8" s="1">
        <f t="shared" si="3"/>
        <v>-33.95599999999996</v>
      </c>
      <c r="M8" s="1"/>
      <c r="N8" s="1"/>
      <c r="O8" s="1">
        <v>0</v>
      </c>
      <c r="P8" s="1"/>
      <c r="Q8" s="1"/>
      <c r="R8" s="1">
        <v>351.69100000000009</v>
      </c>
      <c r="S8" s="1">
        <f t="shared" si="4"/>
        <v>101.6842</v>
      </c>
      <c r="T8" s="5">
        <f t="shared" si="6"/>
        <v>369.3033999999999</v>
      </c>
      <c r="U8" s="5">
        <f t="shared" si="7"/>
        <v>521.82969999999989</v>
      </c>
      <c r="V8" s="5">
        <v>240.56349169999993</v>
      </c>
      <c r="W8" s="5">
        <v>80</v>
      </c>
      <c r="X8" s="21"/>
      <c r="Y8" s="21"/>
      <c r="Z8" s="1">
        <f t="shared" si="8"/>
        <v>11.520673730038689</v>
      </c>
      <c r="AA8" s="1">
        <f t="shared" si="5"/>
        <v>8.3681338890407773</v>
      </c>
      <c r="AB8" s="1">
        <v>112.5746</v>
      </c>
      <c r="AC8" s="1">
        <v>76.619600000000005</v>
      </c>
      <c r="AD8" s="1">
        <v>58.682200000000002</v>
      </c>
      <c r="AE8" s="1">
        <v>110.33499999999999</v>
      </c>
      <c r="AF8" s="1">
        <v>93.042000000000002</v>
      </c>
      <c r="AG8" s="1">
        <v>68.473199999999991</v>
      </c>
      <c r="AH8" s="1">
        <v>73.171999999999997</v>
      </c>
      <c r="AI8" s="1">
        <v>62.864999999999988</v>
      </c>
      <c r="AJ8" s="1">
        <v>52.998600000000003</v>
      </c>
      <c r="AK8" s="1">
        <v>41.674400000000013</v>
      </c>
      <c r="AL8" s="1">
        <v>95.290599999999998</v>
      </c>
      <c r="AM8" s="1"/>
      <c r="AN8" s="1">
        <f t="shared" si="9"/>
        <v>241</v>
      </c>
      <c r="AO8" s="1">
        <f t="shared" si="10"/>
        <v>80</v>
      </c>
    </row>
    <row r="9" spans="1:41" x14ac:dyDescent="0.25">
      <c r="A9" s="12" t="s">
        <v>43</v>
      </c>
      <c r="B9" s="12" t="s">
        <v>44</v>
      </c>
      <c r="C9" s="12"/>
      <c r="D9" s="12"/>
      <c r="E9" s="12"/>
      <c r="F9" s="12"/>
      <c r="G9" s="13">
        <v>0</v>
      </c>
      <c r="H9" s="12"/>
      <c r="I9" s="12" t="s">
        <v>40</v>
      </c>
      <c r="J9" s="12"/>
      <c r="K9" s="12"/>
      <c r="L9" s="12">
        <f t="shared" si="3"/>
        <v>0</v>
      </c>
      <c r="M9" s="12"/>
      <c r="N9" s="12"/>
      <c r="O9" s="12">
        <v>0</v>
      </c>
      <c r="P9" s="12"/>
      <c r="Q9" s="12"/>
      <c r="R9" s="12">
        <v>0</v>
      </c>
      <c r="S9" s="12">
        <f t="shared" si="4"/>
        <v>0</v>
      </c>
      <c r="T9" s="14"/>
      <c r="U9" s="5">
        <f t="shared" ref="U9:U70" si="11">T9</f>
        <v>0</v>
      </c>
      <c r="V9" s="5">
        <v>0</v>
      </c>
      <c r="W9" s="5"/>
      <c r="X9" s="21"/>
      <c r="Y9" s="21"/>
      <c r="Z9" s="1" t="e">
        <f t="shared" si="8"/>
        <v>#DIV/0!</v>
      </c>
      <c r="AA9" s="12" t="e">
        <f t="shared" si="5"/>
        <v>#DIV/0!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 t="s">
        <v>45</v>
      </c>
      <c r="AN9" s="1">
        <f t="shared" si="9"/>
        <v>0</v>
      </c>
      <c r="AO9" s="1">
        <f t="shared" si="10"/>
        <v>0</v>
      </c>
    </row>
    <row r="10" spans="1:41" x14ac:dyDescent="0.25">
      <c r="A10" s="1" t="s">
        <v>46</v>
      </c>
      <c r="B10" s="1" t="s">
        <v>44</v>
      </c>
      <c r="C10" s="1">
        <v>293</v>
      </c>
      <c r="D10" s="1">
        <v>697</v>
      </c>
      <c r="E10" s="1">
        <v>382</v>
      </c>
      <c r="F10" s="1">
        <v>403</v>
      </c>
      <c r="G10" s="7">
        <v>0.45</v>
      </c>
      <c r="H10" s="1">
        <v>45</v>
      </c>
      <c r="I10" s="1" t="s">
        <v>40</v>
      </c>
      <c r="J10" s="1"/>
      <c r="K10" s="1">
        <v>736</v>
      </c>
      <c r="L10" s="1">
        <f t="shared" si="3"/>
        <v>-354</v>
      </c>
      <c r="M10" s="1"/>
      <c r="N10" s="1"/>
      <c r="O10" s="1">
        <v>0</v>
      </c>
      <c r="P10" s="1"/>
      <c r="Q10" s="1"/>
      <c r="R10" s="1">
        <v>0</v>
      </c>
      <c r="S10" s="1">
        <f t="shared" si="4"/>
        <v>76.400000000000006</v>
      </c>
      <c r="T10" s="5">
        <f t="shared" ref="T10:T21" si="12">12*S10-R10-Q10-P10-O10-F10</f>
        <v>513.80000000000007</v>
      </c>
      <c r="U10" s="5">
        <f t="shared" ref="U10:U11" si="13">T10+S10*$U$1</f>
        <v>628.40000000000009</v>
      </c>
      <c r="V10" s="5">
        <v>289.69240000000002</v>
      </c>
      <c r="W10" s="5">
        <v>150</v>
      </c>
      <c r="X10" s="21"/>
      <c r="Y10" s="21"/>
      <c r="Z10" s="1">
        <f t="shared" si="8"/>
        <v>11.030005235602093</v>
      </c>
      <c r="AA10" s="1">
        <f t="shared" si="5"/>
        <v>5.2748691099476437</v>
      </c>
      <c r="AB10" s="1">
        <v>41.6</v>
      </c>
      <c r="AC10" s="1">
        <v>60.6</v>
      </c>
      <c r="AD10" s="1">
        <v>118.4</v>
      </c>
      <c r="AE10" s="1">
        <v>112.2</v>
      </c>
      <c r="AF10" s="1">
        <v>85.6</v>
      </c>
      <c r="AG10" s="1">
        <v>78.400000000000006</v>
      </c>
      <c r="AH10" s="1">
        <v>92.6</v>
      </c>
      <c r="AI10" s="1">
        <v>123.8</v>
      </c>
      <c r="AJ10" s="1">
        <v>121.2</v>
      </c>
      <c r="AK10" s="1">
        <v>130.4</v>
      </c>
      <c r="AL10" s="1">
        <v>130.80000000000001</v>
      </c>
      <c r="AM10" s="1"/>
      <c r="AN10" s="1">
        <f t="shared" si="9"/>
        <v>130</v>
      </c>
      <c r="AO10" s="1">
        <f t="shared" si="10"/>
        <v>68</v>
      </c>
    </row>
    <row r="11" spans="1:41" x14ac:dyDescent="0.25">
      <c r="A11" s="1" t="s">
        <v>47</v>
      </c>
      <c r="B11" s="1" t="s">
        <v>44</v>
      </c>
      <c r="C11" s="1">
        <v>93</v>
      </c>
      <c r="D11" s="1">
        <v>779</v>
      </c>
      <c r="E11" s="1">
        <v>502</v>
      </c>
      <c r="F11" s="1">
        <v>120</v>
      </c>
      <c r="G11" s="7">
        <v>0.45</v>
      </c>
      <c r="H11" s="1">
        <v>45</v>
      </c>
      <c r="I11" s="1" t="s">
        <v>40</v>
      </c>
      <c r="J11" s="1"/>
      <c r="K11" s="1">
        <v>747</v>
      </c>
      <c r="L11" s="1">
        <f t="shared" si="3"/>
        <v>-245</v>
      </c>
      <c r="M11" s="1"/>
      <c r="N11" s="1"/>
      <c r="O11" s="1">
        <v>904.702</v>
      </c>
      <c r="P11" s="1"/>
      <c r="Q11" s="1"/>
      <c r="R11" s="1">
        <v>31.698000000000089</v>
      </c>
      <c r="S11" s="1">
        <f t="shared" si="4"/>
        <v>100.4</v>
      </c>
      <c r="T11" s="5">
        <f t="shared" si="12"/>
        <v>148.40000000000009</v>
      </c>
      <c r="U11" s="5">
        <f t="shared" si="13"/>
        <v>299.00000000000011</v>
      </c>
      <c r="V11" s="5">
        <v>137.83900000000006</v>
      </c>
      <c r="W11" s="5"/>
      <c r="X11" s="21"/>
      <c r="Y11" s="21"/>
      <c r="Z11" s="1">
        <f t="shared" si="8"/>
        <v>11.894810756972111</v>
      </c>
      <c r="AA11" s="1">
        <f t="shared" si="5"/>
        <v>10.52191235059761</v>
      </c>
      <c r="AB11" s="1">
        <v>145.4</v>
      </c>
      <c r="AC11" s="1">
        <v>163</v>
      </c>
      <c r="AD11" s="1">
        <v>152.80000000000001</v>
      </c>
      <c r="AE11" s="1">
        <v>151.19999999999999</v>
      </c>
      <c r="AF11" s="1">
        <v>121.8</v>
      </c>
      <c r="AG11" s="1">
        <v>115.2</v>
      </c>
      <c r="AH11" s="1">
        <v>136.4</v>
      </c>
      <c r="AI11" s="1">
        <v>154.6</v>
      </c>
      <c r="AJ11" s="1">
        <v>104</v>
      </c>
      <c r="AK11" s="1">
        <v>95.2</v>
      </c>
      <c r="AL11" s="1">
        <v>133.4</v>
      </c>
      <c r="AM11" s="1"/>
      <c r="AN11" s="1">
        <f t="shared" si="9"/>
        <v>62</v>
      </c>
      <c r="AO11" s="1">
        <f t="shared" si="10"/>
        <v>0</v>
      </c>
    </row>
    <row r="12" spans="1:41" x14ac:dyDescent="0.25">
      <c r="A12" s="1" t="s">
        <v>48</v>
      </c>
      <c r="B12" s="1" t="s">
        <v>44</v>
      </c>
      <c r="C12" s="1">
        <v>-3</v>
      </c>
      <c r="D12" s="1">
        <v>105</v>
      </c>
      <c r="E12" s="1">
        <v>38</v>
      </c>
      <c r="F12" s="1">
        <v>41</v>
      </c>
      <c r="G12" s="7">
        <v>0.17</v>
      </c>
      <c r="H12" s="1">
        <v>180</v>
      </c>
      <c r="I12" s="1" t="s">
        <v>40</v>
      </c>
      <c r="J12" s="1"/>
      <c r="K12" s="1">
        <v>38</v>
      </c>
      <c r="L12" s="1">
        <f t="shared" si="3"/>
        <v>0</v>
      </c>
      <c r="M12" s="1"/>
      <c r="N12" s="1"/>
      <c r="O12" s="1">
        <v>17.100000000000009</v>
      </c>
      <c r="P12" s="1"/>
      <c r="Q12" s="1"/>
      <c r="R12" s="1">
        <v>0</v>
      </c>
      <c r="S12" s="1">
        <f t="shared" si="4"/>
        <v>7.6</v>
      </c>
      <c r="T12" s="5">
        <f t="shared" si="12"/>
        <v>33.09999999999998</v>
      </c>
      <c r="U12" s="5">
        <f t="shared" si="11"/>
        <v>33.09999999999998</v>
      </c>
      <c r="V12" s="5">
        <v>33.09999999999998</v>
      </c>
      <c r="W12" s="5"/>
      <c r="X12" s="21"/>
      <c r="Y12" s="21"/>
      <c r="Z12" s="1">
        <f t="shared" si="8"/>
        <v>11.999999999999998</v>
      </c>
      <c r="AA12" s="1">
        <f t="shared" si="5"/>
        <v>7.6447368421052646</v>
      </c>
      <c r="AB12" s="1">
        <v>9</v>
      </c>
      <c r="AC12" s="1">
        <v>9.1999999999999993</v>
      </c>
      <c r="AD12" s="1">
        <v>6.6</v>
      </c>
      <c r="AE12" s="1">
        <v>19.399999999999999</v>
      </c>
      <c r="AF12" s="1">
        <v>18</v>
      </c>
      <c r="AG12" s="1">
        <v>11.6</v>
      </c>
      <c r="AH12" s="1">
        <v>15</v>
      </c>
      <c r="AI12" s="1">
        <v>14</v>
      </c>
      <c r="AJ12" s="1">
        <v>14.8</v>
      </c>
      <c r="AK12" s="1">
        <v>20</v>
      </c>
      <c r="AL12" s="1">
        <v>20.2</v>
      </c>
      <c r="AM12" s="1"/>
      <c r="AN12" s="1">
        <f t="shared" si="9"/>
        <v>6</v>
      </c>
      <c r="AO12" s="1">
        <f t="shared" si="10"/>
        <v>0</v>
      </c>
    </row>
    <row r="13" spans="1:41" x14ac:dyDescent="0.25">
      <c r="A13" s="1" t="s">
        <v>49</v>
      </c>
      <c r="B13" s="1" t="s">
        <v>44</v>
      </c>
      <c r="C13" s="1">
        <v>6</v>
      </c>
      <c r="D13" s="1"/>
      <c r="E13" s="1">
        <v>17</v>
      </c>
      <c r="F13" s="1">
        <v>3</v>
      </c>
      <c r="G13" s="7">
        <v>0.3</v>
      </c>
      <c r="H13" s="1">
        <v>40</v>
      </c>
      <c r="I13" s="15" t="s">
        <v>50</v>
      </c>
      <c r="J13" s="1"/>
      <c r="K13" s="1">
        <v>70</v>
      </c>
      <c r="L13" s="1">
        <f t="shared" si="3"/>
        <v>-53</v>
      </c>
      <c r="M13" s="1"/>
      <c r="N13" s="1"/>
      <c r="O13" s="1">
        <v>30</v>
      </c>
      <c r="P13" s="1">
        <v>-30</v>
      </c>
      <c r="Q13" s="1"/>
      <c r="R13" s="1">
        <v>42</v>
      </c>
      <c r="S13" s="1">
        <f t="shared" si="4"/>
        <v>3.4</v>
      </c>
      <c r="T13" s="5">
        <v>50</v>
      </c>
      <c r="U13" s="5">
        <f t="shared" si="11"/>
        <v>50</v>
      </c>
      <c r="V13" s="5">
        <v>50</v>
      </c>
      <c r="W13" s="5"/>
      <c r="X13" s="21"/>
      <c r="Y13" s="21"/>
      <c r="Z13" s="1">
        <f t="shared" si="8"/>
        <v>27.941176470588236</v>
      </c>
      <c r="AA13" s="1">
        <f t="shared" si="5"/>
        <v>13.23529411764706</v>
      </c>
      <c r="AB13" s="1">
        <v>16.2</v>
      </c>
      <c r="AC13" s="1">
        <v>21.6</v>
      </c>
      <c r="AD13" s="1">
        <v>18.399999999999999</v>
      </c>
      <c r="AE13" s="1">
        <v>34.4</v>
      </c>
      <c r="AF13" s="1">
        <v>29.2</v>
      </c>
      <c r="AG13" s="1">
        <v>16.399999999999999</v>
      </c>
      <c r="AH13" s="1">
        <v>19.8</v>
      </c>
      <c r="AI13" s="1">
        <v>23.6</v>
      </c>
      <c r="AJ13" s="1">
        <v>21</v>
      </c>
      <c r="AK13" s="1">
        <v>13.6</v>
      </c>
      <c r="AL13" s="1">
        <v>30.4</v>
      </c>
      <c r="AM13" s="1"/>
      <c r="AN13" s="1">
        <f t="shared" si="9"/>
        <v>15</v>
      </c>
      <c r="AO13" s="1">
        <f t="shared" si="10"/>
        <v>0</v>
      </c>
    </row>
    <row r="14" spans="1:41" x14ac:dyDescent="0.25">
      <c r="A14" s="1" t="s">
        <v>51</v>
      </c>
      <c r="B14" s="1" t="s">
        <v>44</v>
      </c>
      <c r="C14" s="1">
        <v>224</v>
      </c>
      <c r="D14" s="1">
        <v>310</v>
      </c>
      <c r="E14" s="1">
        <v>246</v>
      </c>
      <c r="F14" s="1">
        <v>258</v>
      </c>
      <c r="G14" s="7">
        <v>0.17</v>
      </c>
      <c r="H14" s="1">
        <v>180</v>
      </c>
      <c r="I14" s="1" t="s">
        <v>40</v>
      </c>
      <c r="J14" s="1"/>
      <c r="K14" s="1">
        <v>244</v>
      </c>
      <c r="L14" s="1">
        <f t="shared" si="3"/>
        <v>2</v>
      </c>
      <c r="M14" s="1"/>
      <c r="N14" s="1"/>
      <c r="O14" s="1">
        <v>0</v>
      </c>
      <c r="P14" s="1"/>
      <c r="Q14" s="1"/>
      <c r="R14" s="1">
        <v>238.4</v>
      </c>
      <c r="S14" s="1">
        <f t="shared" si="4"/>
        <v>49.2</v>
      </c>
      <c r="T14" s="5">
        <f t="shared" si="12"/>
        <v>94.000000000000114</v>
      </c>
      <c r="U14" s="5">
        <f t="shared" si="11"/>
        <v>94.000000000000114</v>
      </c>
      <c r="V14" s="5">
        <v>94.000000000000114</v>
      </c>
      <c r="W14" s="5"/>
      <c r="X14" s="21"/>
      <c r="Y14" s="21"/>
      <c r="Z14" s="1">
        <f t="shared" si="8"/>
        <v>12.000000000000002</v>
      </c>
      <c r="AA14" s="1">
        <f t="shared" si="5"/>
        <v>10.089430894308942</v>
      </c>
      <c r="AB14" s="1">
        <v>54.4</v>
      </c>
      <c r="AC14" s="1">
        <v>24</v>
      </c>
      <c r="AD14" s="1">
        <v>26.8</v>
      </c>
      <c r="AE14" s="1">
        <v>45.6</v>
      </c>
      <c r="AF14" s="1">
        <v>32</v>
      </c>
      <c r="AG14" s="1">
        <v>21.4</v>
      </c>
      <c r="AH14" s="1">
        <v>18.2</v>
      </c>
      <c r="AI14" s="1">
        <v>21.2</v>
      </c>
      <c r="AJ14" s="1">
        <v>27.6</v>
      </c>
      <c r="AK14" s="1">
        <v>28.6</v>
      </c>
      <c r="AL14" s="1">
        <v>30.2</v>
      </c>
      <c r="AM14" s="1"/>
      <c r="AN14" s="1">
        <f t="shared" si="9"/>
        <v>16</v>
      </c>
      <c r="AO14" s="1">
        <f t="shared" si="10"/>
        <v>0</v>
      </c>
    </row>
    <row r="15" spans="1:41" x14ac:dyDescent="0.25">
      <c r="A15" s="1" t="s">
        <v>52</v>
      </c>
      <c r="B15" s="1" t="s">
        <v>39</v>
      </c>
      <c r="C15" s="1">
        <v>507.65499999999997</v>
      </c>
      <c r="D15" s="1">
        <v>374.28500000000003</v>
      </c>
      <c r="E15" s="1">
        <v>433.78699999999998</v>
      </c>
      <c r="F15" s="1">
        <v>379.15800000000002</v>
      </c>
      <c r="G15" s="7">
        <v>1</v>
      </c>
      <c r="H15" s="1">
        <v>70</v>
      </c>
      <c r="I15" s="1" t="s">
        <v>40</v>
      </c>
      <c r="J15" s="1"/>
      <c r="K15" s="1">
        <v>403.54</v>
      </c>
      <c r="L15" s="1">
        <f t="shared" si="3"/>
        <v>30.246999999999957</v>
      </c>
      <c r="M15" s="1"/>
      <c r="N15" s="1"/>
      <c r="O15" s="1">
        <v>13.43869800000007</v>
      </c>
      <c r="P15" s="1"/>
      <c r="Q15" s="1"/>
      <c r="R15" s="1">
        <v>327.32030200000003</v>
      </c>
      <c r="S15" s="1">
        <f t="shared" si="4"/>
        <v>86.75739999999999</v>
      </c>
      <c r="T15" s="5">
        <f t="shared" si="12"/>
        <v>321.17179999999985</v>
      </c>
      <c r="U15" s="5">
        <f>T15+S15*$U$1</f>
        <v>451.30789999999985</v>
      </c>
      <c r="V15" s="5">
        <v>208.05294189999992</v>
      </c>
      <c r="W15" s="5">
        <v>80</v>
      </c>
      <c r="X15" s="21"/>
      <c r="Y15" s="21"/>
      <c r="Z15" s="1">
        <f t="shared" si="8"/>
        <v>11.618258983095393</v>
      </c>
      <c r="AA15" s="1">
        <f t="shared" si="5"/>
        <v>8.2980471982793418</v>
      </c>
      <c r="AB15" s="1">
        <v>84.37</v>
      </c>
      <c r="AC15" s="1">
        <v>79.335000000000008</v>
      </c>
      <c r="AD15" s="1">
        <v>73.63</v>
      </c>
      <c r="AE15" s="1">
        <v>79.357799999999997</v>
      </c>
      <c r="AF15" s="1">
        <v>76.665199999999999</v>
      </c>
      <c r="AG15" s="1">
        <v>60.802999999999997</v>
      </c>
      <c r="AH15" s="1">
        <v>75.010400000000004</v>
      </c>
      <c r="AI15" s="1">
        <v>103.798</v>
      </c>
      <c r="AJ15" s="1">
        <v>100.63639999999999</v>
      </c>
      <c r="AK15" s="1">
        <v>101.03440000000001</v>
      </c>
      <c r="AL15" s="1">
        <v>101.12820000000001</v>
      </c>
      <c r="AM15" s="1"/>
      <c r="AN15" s="1">
        <f t="shared" si="9"/>
        <v>208</v>
      </c>
      <c r="AO15" s="1">
        <f t="shared" si="10"/>
        <v>80</v>
      </c>
    </row>
    <row r="16" spans="1:41" x14ac:dyDescent="0.25">
      <c r="A16" s="1" t="s">
        <v>53</v>
      </c>
      <c r="B16" s="1" t="s">
        <v>39</v>
      </c>
      <c r="C16" s="1">
        <v>2263.0709999999999</v>
      </c>
      <c r="D16" s="1">
        <v>1399.442</v>
      </c>
      <c r="E16" s="1">
        <v>2108.29</v>
      </c>
      <c r="F16" s="1">
        <v>665.68399999999997</v>
      </c>
      <c r="G16" s="7">
        <v>1</v>
      </c>
      <c r="H16" s="1">
        <v>50</v>
      </c>
      <c r="I16" s="1" t="s">
        <v>40</v>
      </c>
      <c r="J16" s="1"/>
      <c r="K16" s="1">
        <v>2125.241</v>
      </c>
      <c r="L16" s="1">
        <f t="shared" si="3"/>
        <v>-16.951000000000022</v>
      </c>
      <c r="M16" s="1"/>
      <c r="N16" s="1"/>
      <c r="O16" s="1">
        <v>1758.497486</v>
      </c>
      <c r="P16" s="1"/>
      <c r="Q16" s="1">
        <v>450</v>
      </c>
      <c r="R16" s="1">
        <v>550</v>
      </c>
      <c r="S16" s="1">
        <f t="shared" si="4"/>
        <v>421.65800000000002</v>
      </c>
      <c r="T16" s="5">
        <f t="shared" si="12"/>
        <v>1635.7145140000005</v>
      </c>
      <c r="U16" s="5">
        <v>2000</v>
      </c>
      <c r="V16" s="5">
        <v>922</v>
      </c>
      <c r="W16" s="5">
        <v>600</v>
      </c>
      <c r="X16" s="21"/>
      <c r="Y16" s="21"/>
      <c r="Z16" s="1">
        <f t="shared" si="8"/>
        <v>11.730315767754909</v>
      </c>
      <c r="AA16" s="1">
        <f t="shared" si="5"/>
        <v>8.1207554131547361</v>
      </c>
      <c r="AB16" s="1">
        <v>435.88019999999989</v>
      </c>
      <c r="AC16" s="1">
        <v>443.73180000000002</v>
      </c>
      <c r="AD16" s="1">
        <v>379.55279999999999</v>
      </c>
      <c r="AE16" s="1">
        <v>332.78500000000003</v>
      </c>
      <c r="AF16" s="1">
        <v>290.48419999999999</v>
      </c>
      <c r="AG16" s="1">
        <v>294.3408</v>
      </c>
      <c r="AH16" s="1">
        <v>370.44220000000001</v>
      </c>
      <c r="AI16" s="1">
        <v>447.33139999999997</v>
      </c>
      <c r="AJ16" s="1">
        <v>426.28320000000002</v>
      </c>
      <c r="AK16" s="1">
        <v>485.00200000000012</v>
      </c>
      <c r="AL16" s="1">
        <v>444.64399999999989</v>
      </c>
      <c r="AM16" s="1"/>
      <c r="AN16" s="1">
        <f t="shared" si="9"/>
        <v>922</v>
      </c>
      <c r="AO16" s="1">
        <f t="shared" si="10"/>
        <v>600</v>
      </c>
    </row>
    <row r="17" spans="1:41" x14ac:dyDescent="0.25">
      <c r="A17" s="1" t="s">
        <v>54</v>
      </c>
      <c r="B17" s="1" t="s">
        <v>39</v>
      </c>
      <c r="C17" s="1">
        <v>22.131</v>
      </c>
      <c r="D17" s="1">
        <v>89.406000000000006</v>
      </c>
      <c r="E17" s="1">
        <v>67.203999999999994</v>
      </c>
      <c r="F17" s="1">
        <v>38.192999999999998</v>
      </c>
      <c r="G17" s="7">
        <v>1</v>
      </c>
      <c r="H17" s="1">
        <v>60</v>
      </c>
      <c r="I17" s="1" t="s">
        <v>40</v>
      </c>
      <c r="J17" s="1"/>
      <c r="K17" s="1">
        <v>71.5</v>
      </c>
      <c r="L17" s="1">
        <f t="shared" si="3"/>
        <v>-4.2960000000000065</v>
      </c>
      <c r="M17" s="1"/>
      <c r="N17" s="1"/>
      <c r="O17" s="1">
        <v>50.121237999999991</v>
      </c>
      <c r="P17" s="1"/>
      <c r="Q17" s="1"/>
      <c r="R17" s="1">
        <v>28.90616200000002</v>
      </c>
      <c r="S17" s="1">
        <f t="shared" si="4"/>
        <v>13.440799999999999</v>
      </c>
      <c r="T17" s="5">
        <f t="shared" si="12"/>
        <v>44.069199999999995</v>
      </c>
      <c r="U17" s="5">
        <f t="shared" si="11"/>
        <v>44.069199999999995</v>
      </c>
      <c r="V17" s="5">
        <v>44.069199999999995</v>
      </c>
      <c r="W17" s="5"/>
      <c r="X17" s="21"/>
      <c r="Y17" s="21"/>
      <c r="Z17" s="1">
        <f t="shared" si="8"/>
        <v>12.000000000000002</v>
      </c>
      <c r="AA17" s="1">
        <f t="shared" si="5"/>
        <v>8.7212368311410042</v>
      </c>
      <c r="AB17" s="1">
        <v>13.439399999999999</v>
      </c>
      <c r="AC17" s="1">
        <v>14.009399999999999</v>
      </c>
      <c r="AD17" s="1">
        <v>15.593999999999999</v>
      </c>
      <c r="AE17" s="1">
        <v>14.525</v>
      </c>
      <c r="AF17" s="1">
        <v>9.8002000000000002</v>
      </c>
      <c r="AG17" s="1">
        <v>6.9792000000000014</v>
      </c>
      <c r="AH17" s="1">
        <v>11.373200000000001</v>
      </c>
      <c r="AI17" s="1">
        <v>21.314399999999999</v>
      </c>
      <c r="AJ17" s="1">
        <v>17.635999999999999</v>
      </c>
      <c r="AK17" s="1">
        <v>7.6536</v>
      </c>
      <c r="AL17" s="1">
        <v>10.663399999999999</v>
      </c>
      <c r="AM17" s="1"/>
      <c r="AN17" s="1">
        <f t="shared" si="9"/>
        <v>44</v>
      </c>
      <c r="AO17" s="1">
        <f t="shared" si="10"/>
        <v>0</v>
      </c>
    </row>
    <row r="18" spans="1:41" x14ac:dyDescent="0.25">
      <c r="A18" s="1" t="s">
        <v>55</v>
      </c>
      <c r="B18" s="1" t="s">
        <v>39</v>
      </c>
      <c r="C18" s="1">
        <v>48.323</v>
      </c>
      <c r="D18" s="1"/>
      <c r="E18" s="1">
        <v>40.427999999999997</v>
      </c>
      <c r="F18" s="1">
        <v>0.93899999999999995</v>
      </c>
      <c r="G18" s="7">
        <v>1</v>
      </c>
      <c r="H18" s="1">
        <v>60</v>
      </c>
      <c r="I18" s="1" t="s">
        <v>40</v>
      </c>
      <c r="J18" s="1"/>
      <c r="K18" s="1">
        <v>34.9</v>
      </c>
      <c r="L18" s="1">
        <f t="shared" si="3"/>
        <v>5.5279999999999987</v>
      </c>
      <c r="M18" s="1"/>
      <c r="N18" s="1"/>
      <c r="O18" s="1">
        <v>39.327599999999997</v>
      </c>
      <c r="P18" s="1"/>
      <c r="Q18" s="1"/>
      <c r="R18" s="1">
        <v>21.379799999999999</v>
      </c>
      <c r="S18" s="1">
        <f t="shared" si="4"/>
        <v>8.0855999999999995</v>
      </c>
      <c r="T18" s="5">
        <f t="shared" si="12"/>
        <v>35.380799999999994</v>
      </c>
      <c r="U18" s="5">
        <f t="shared" si="11"/>
        <v>35.380799999999994</v>
      </c>
      <c r="V18" s="5">
        <v>35.380799999999994</v>
      </c>
      <c r="W18" s="5"/>
      <c r="X18" s="21"/>
      <c r="Y18" s="21"/>
      <c r="Z18" s="1">
        <f t="shared" si="8"/>
        <v>12</v>
      </c>
      <c r="AA18" s="1">
        <f t="shared" si="5"/>
        <v>7.6242208370436337</v>
      </c>
      <c r="AB18" s="1">
        <v>8.6264000000000003</v>
      </c>
      <c r="AC18" s="1">
        <v>7.2308000000000003</v>
      </c>
      <c r="AD18" s="1">
        <v>4.5262000000000002</v>
      </c>
      <c r="AE18" s="1">
        <v>6.3393999999999986</v>
      </c>
      <c r="AF18" s="1">
        <v>6.4408000000000003</v>
      </c>
      <c r="AG18" s="1">
        <v>6.5603999999999996</v>
      </c>
      <c r="AH18" s="1">
        <v>4.7707999999999986</v>
      </c>
      <c r="AI18" s="1">
        <v>6.2031999999999998</v>
      </c>
      <c r="AJ18" s="1">
        <v>6.2096</v>
      </c>
      <c r="AK18" s="1">
        <v>4.9654000000000007</v>
      </c>
      <c r="AL18" s="1">
        <v>3.7240000000000002</v>
      </c>
      <c r="AM18" s="1"/>
      <c r="AN18" s="1">
        <f t="shared" si="9"/>
        <v>35</v>
      </c>
      <c r="AO18" s="1">
        <f t="shared" si="10"/>
        <v>0</v>
      </c>
    </row>
    <row r="19" spans="1:41" x14ac:dyDescent="0.25">
      <c r="A19" s="1" t="s">
        <v>56</v>
      </c>
      <c r="B19" s="1" t="s">
        <v>39</v>
      </c>
      <c r="C19" s="1">
        <v>27.722000000000001</v>
      </c>
      <c r="D19" s="1">
        <v>22.085000000000001</v>
      </c>
      <c r="E19" s="1">
        <v>30.602</v>
      </c>
      <c r="F19" s="1">
        <v>12.244</v>
      </c>
      <c r="G19" s="7">
        <v>1</v>
      </c>
      <c r="H19" s="1">
        <v>180</v>
      </c>
      <c r="I19" s="1" t="s">
        <v>40</v>
      </c>
      <c r="J19" s="1"/>
      <c r="K19" s="1">
        <v>27.13</v>
      </c>
      <c r="L19" s="1">
        <f t="shared" si="3"/>
        <v>3.4720000000000013</v>
      </c>
      <c r="M19" s="1"/>
      <c r="N19" s="1"/>
      <c r="O19" s="1">
        <v>11.591999999999979</v>
      </c>
      <c r="P19" s="1"/>
      <c r="Q19" s="1"/>
      <c r="R19" s="1">
        <v>16.924000000000031</v>
      </c>
      <c r="S19" s="1">
        <f t="shared" si="4"/>
        <v>6.1204000000000001</v>
      </c>
      <c r="T19" s="5">
        <f t="shared" si="12"/>
        <v>32.684799999999989</v>
      </c>
      <c r="U19" s="5">
        <f>X19</f>
        <v>50</v>
      </c>
      <c r="V19" s="5">
        <v>50</v>
      </c>
      <c r="W19" s="5"/>
      <c r="X19" s="21">
        <f>VLOOKUP(A19,[1]Sheet!$A:$U,21,0)</f>
        <v>50</v>
      </c>
      <c r="Y19" s="21" t="str">
        <f>VLOOKUP(A19,[1]Sheet!$A:$V,22,0)</f>
        <v>Большие сроки, увеличиваем продажи</v>
      </c>
      <c r="Z19" s="1">
        <f t="shared" si="8"/>
        <v>14.829096137507353</v>
      </c>
      <c r="AA19" s="1">
        <f t="shared" si="5"/>
        <v>6.6596954447421748</v>
      </c>
      <c r="AB19" s="1">
        <v>5.7140000000000004</v>
      </c>
      <c r="AC19" s="1">
        <v>5.0237999999999996</v>
      </c>
      <c r="AD19" s="1">
        <v>4.1154000000000002</v>
      </c>
      <c r="AE19" s="1">
        <v>5.633</v>
      </c>
      <c r="AF19" s="1">
        <v>5.0154000000000014</v>
      </c>
      <c r="AG19" s="1">
        <v>2.7675999999999998</v>
      </c>
      <c r="AH19" s="1">
        <v>2.0844</v>
      </c>
      <c r="AI19" s="1">
        <v>1.048</v>
      </c>
      <c r="AJ19" s="1">
        <v>2.5106000000000002</v>
      </c>
      <c r="AK19" s="1">
        <v>4.2141999999999999</v>
      </c>
      <c r="AL19" s="1">
        <v>3.7368000000000001</v>
      </c>
      <c r="AM19" s="1"/>
      <c r="AN19" s="1">
        <f t="shared" si="9"/>
        <v>50</v>
      </c>
      <c r="AO19" s="1">
        <f t="shared" si="10"/>
        <v>0</v>
      </c>
    </row>
    <row r="20" spans="1:41" x14ac:dyDescent="0.25">
      <c r="A20" s="1" t="s">
        <v>57</v>
      </c>
      <c r="B20" s="1" t="s">
        <v>39</v>
      </c>
      <c r="C20" s="1">
        <v>103.63500000000001</v>
      </c>
      <c r="D20" s="1">
        <v>411.404</v>
      </c>
      <c r="E20" s="1">
        <v>305.166</v>
      </c>
      <c r="F20" s="1">
        <v>174.34700000000001</v>
      </c>
      <c r="G20" s="7">
        <v>1</v>
      </c>
      <c r="H20" s="1">
        <v>60</v>
      </c>
      <c r="I20" s="1" t="s">
        <v>40</v>
      </c>
      <c r="J20" s="1"/>
      <c r="K20" s="1">
        <v>321.2</v>
      </c>
      <c r="L20" s="1">
        <f t="shared" si="3"/>
        <v>-16.033999999999992</v>
      </c>
      <c r="M20" s="1"/>
      <c r="N20" s="1"/>
      <c r="O20" s="1">
        <v>343.26337199999989</v>
      </c>
      <c r="P20" s="1"/>
      <c r="Q20" s="1"/>
      <c r="R20" s="1">
        <v>0</v>
      </c>
      <c r="S20" s="1">
        <f t="shared" si="4"/>
        <v>61.033200000000001</v>
      </c>
      <c r="T20" s="5">
        <f t="shared" si="12"/>
        <v>214.78802800000014</v>
      </c>
      <c r="U20" s="5">
        <f>T20+S20*$U$1</f>
        <v>306.33782800000017</v>
      </c>
      <c r="V20" s="5">
        <v>141.22173870800006</v>
      </c>
      <c r="W20" s="5">
        <v>100</v>
      </c>
      <c r="X20" s="21"/>
      <c r="Y20" s="21"/>
      <c r="Z20" s="1">
        <f t="shared" si="8"/>
        <v>12.433103797736313</v>
      </c>
      <c r="AA20" s="1">
        <f t="shared" si="5"/>
        <v>8.4808001546699145</v>
      </c>
      <c r="AB20" s="1">
        <v>58.342399999999998</v>
      </c>
      <c r="AC20" s="1">
        <v>75.671999999999997</v>
      </c>
      <c r="AD20" s="1">
        <v>73.896600000000007</v>
      </c>
      <c r="AE20" s="1">
        <v>72.609400000000008</v>
      </c>
      <c r="AF20" s="1">
        <v>53.276200000000003</v>
      </c>
      <c r="AG20" s="1">
        <v>50.758800000000001</v>
      </c>
      <c r="AH20" s="1">
        <v>59.435799999999993</v>
      </c>
      <c r="AI20" s="1">
        <v>77.672799999999995</v>
      </c>
      <c r="AJ20" s="1">
        <v>76.057199999999995</v>
      </c>
      <c r="AK20" s="1">
        <v>82.202399999999997</v>
      </c>
      <c r="AL20" s="1">
        <v>88.697599999999994</v>
      </c>
      <c r="AM20" s="1"/>
      <c r="AN20" s="1">
        <f t="shared" si="9"/>
        <v>141</v>
      </c>
      <c r="AO20" s="1">
        <f t="shared" si="10"/>
        <v>100</v>
      </c>
    </row>
    <row r="21" spans="1:41" x14ac:dyDescent="0.25">
      <c r="A21" s="1" t="s">
        <v>58</v>
      </c>
      <c r="B21" s="1" t="s">
        <v>39</v>
      </c>
      <c r="C21" s="1">
        <v>123.371</v>
      </c>
      <c r="D21" s="1">
        <v>32.427</v>
      </c>
      <c r="E21" s="1">
        <v>99.85</v>
      </c>
      <c r="F21" s="1">
        <v>33.256</v>
      </c>
      <c r="G21" s="7">
        <v>1</v>
      </c>
      <c r="H21" s="1">
        <v>70</v>
      </c>
      <c r="I21" s="1" t="s">
        <v>40</v>
      </c>
      <c r="J21" s="1"/>
      <c r="K21" s="1">
        <v>104.4</v>
      </c>
      <c r="L21" s="1">
        <f t="shared" si="3"/>
        <v>-4.5500000000000114</v>
      </c>
      <c r="M21" s="1"/>
      <c r="N21" s="1"/>
      <c r="O21" s="1">
        <v>21.02104999999997</v>
      </c>
      <c r="P21" s="1"/>
      <c r="Q21" s="1"/>
      <c r="R21" s="1">
        <v>162.49295000000009</v>
      </c>
      <c r="S21" s="1">
        <f t="shared" si="4"/>
        <v>19.97</v>
      </c>
      <c r="T21" s="5">
        <f t="shared" si="12"/>
        <v>22.869999999999919</v>
      </c>
      <c r="U21" s="5">
        <f>X21</f>
        <v>100</v>
      </c>
      <c r="V21" s="5">
        <v>100</v>
      </c>
      <c r="W21" s="5"/>
      <c r="X21" s="21">
        <f>VLOOKUP(A21,[1]Sheet!$A:$U,21,0)</f>
        <v>100</v>
      </c>
      <c r="Y21" s="21" t="str">
        <f>VLOOKUP(A21,[1]Sheet!$A:$V,22,0)</f>
        <v>Сети</v>
      </c>
      <c r="Z21" s="1">
        <f t="shared" si="8"/>
        <v>15.862293440160245</v>
      </c>
      <c r="AA21" s="1">
        <f t="shared" si="5"/>
        <v>10.854782173259894</v>
      </c>
      <c r="AB21" s="1">
        <v>26.1326</v>
      </c>
      <c r="AC21" s="1">
        <v>13.5192</v>
      </c>
      <c r="AD21" s="1">
        <v>6.452</v>
      </c>
      <c r="AE21" s="1">
        <v>17.515000000000001</v>
      </c>
      <c r="AF21" s="1">
        <v>20.354600000000001</v>
      </c>
      <c r="AG21" s="1">
        <v>12.7774</v>
      </c>
      <c r="AH21" s="1">
        <v>14.9056</v>
      </c>
      <c r="AI21" s="1">
        <v>21.267399999999999</v>
      </c>
      <c r="AJ21" s="1">
        <v>15.830399999999999</v>
      </c>
      <c r="AK21" s="1">
        <v>19.5242</v>
      </c>
      <c r="AL21" s="1">
        <v>23.744399999999999</v>
      </c>
      <c r="AM21" s="1"/>
      <c r="AN21" s="1">
        <f t="shared" si="9"/>
        <v>100</v>
      </c>
      <c r="AO21" s="1">
        <f t="shared" si="10"/>
        <v>0</v>
      </c>
    </row>
    <row r="22" spans="1:41" x14ac:dyDescent="0.25">
      <c r="A22" s="1" t="s">
        <v>59</v>
      </c>
      <c r="B22" s="1" t="s">
        <v>39</v>
      </c>
      <c r="C22" s="1">
        <v>39</v>
      </c>
      <c r="D22" s="1">
        <v>200.31700000000001</v>
      </c>
      <c r="E22" s="1">
        <v>131.06700000000001</v>
      </c>
      <c r="F22" s="1">
        <v>61.686999999999998</v>
      </c>
      <c r="G22" s="7">
        <v>1</v>
      </c>
      <c r="H22" s="1">
        <v>70</v>
      </c>
      <c r="I22" s="15" t="s">
        <v>50</v>
      </c>
      <c r="J22" s="1"/>
      <c r="K22" s="1">
        <v>153.69999999999999</v>
      </c>
      <c r="L22" s="1">
        <f t="shared" si="3"/>
        <v>-22.632999999999981</v>
      </c>
      <c r="M22" s="1"/>
      <c r="N22" s="1"/>
      <c r="O22" s="1">
        <v>234.842062</v>
      </c>
      <c r="P22" s="1">
        <v>-238</v>
      </c>
      <c r="Q22" s="1"/>
      <c r="R22" s="1">
        <v>70</v>
      </c>
      <c r="S22" s="1">
        <f t="shared" si="4"/>
        <v>26.2134</v>
      </c>
      <c r="T22" s="5">
        <v>90</v>
      </c>
      <c r="U22" s="5">
        <f t="shared" si="11"/>
        <v>90</v>
      </c>
      <c r="V22" s="5">
        <v>90</v>
      </c>
      <c r="W22" s="5"/>
      <c r="X22" s="21"/>
      <c r="Y22" s="21"/>
      <c r="Z22" s="1">
        <f t="shared" si="8"/>
        <v>8.3365401664797396</v>
      </c>
      <c r="AA22" s="1">
        <f t="shared" si="5"/>
        <v>4.9031816551839906</v>
      </c>
      <c r="AB22" s="1">
        <v>29.136800000000001</v>
      </c>
      <c r="AC22" s="1">
        <v>41.977400000000003</v>
      </c>
      <c r="AD22" s="1">
        <v>38.621600000000001</v>
      </c>
      <c r="AE22" s="1">
        <v>36.080399999999997</v>
      </c>
      <c r="AF22" s="1">
        <v>27.281199999999998</v>
      </c>
      <c r="AG22" s="1">
        <v>19.441600000000001</v>
      </c>
      <c r="AH22" s="1">
        <v>26.1462</v>
      </c>
      <c r="AI22" s="1">
        <v>35.3934</v>
      </c>
      <c r="AJ22" s="1">
        <v>33.106000000000002</v>
      </c>
      <c r="AK22" s="1">
        <v>38.613</v>
      </c>
      <c r="AL22" s="1">
        <v>42.749600000000001</v>
      </c>
      <c r="AM22" s="1"/>
      <c r="AN22" s="1">
        <f t="shared" si="9"/>
        <v>90</v>
      </c>
      <c r="AO22" s="1">
        <f t="shared" si="10"/>
        <v>0</v>
      </c>
    </row>
    <row r="23" spans="1:41" x14ac:dyDescent="0.25">
      <c r="A23" s="1" t="s">
        <v>60</v>
      </c>
      <c r="B23" s="1" t="s">
        <v>39</v>
      </c>
      <c r="C23" s="1">
        <v>56.646999999999998</v>
      </c>
      <c r="D23" s="1">
        <v>61.338000000000001</v>
      </c>
      <c r="E23" s="1">
        <v>26.789000000000001</v>
      </c>
      <c r="F23" s="1">
        <v>86.325000000000003</v>
      </c>
      <c r="G23" s="7">
        <v>1</v>
      </c>
      <c r="H23" s="1">
        <v>180</v>
      </c>
      <c r="I23" s="1" t="s">
        <v>40</v>
      </c>
      <c r="J23" s="1"/>
      <c r="K23" s="1">
        <v>25.28</v>
      </c>
      <c r="L23" s="1">
        <f t="shared" si="3"/>
        <v>1.5090000000000003</v>
      </c>
      <c r="M23" s="1"/>
      <c r="N23" s="1"/>
      <c r="O23" s="1">
        <v>0</v>
      </c>
      <c r="P23" s="1"/>
      <c r="Q23" s="1"/>
      <c r="R23" s="1">
        <v>0</v>
      </c>
      <c r="S23" s="1">
        <f t="shared" si="4"/>
        <v>5.3578000000000001</v>
      </c>
      <c r="T23" s="5"/>
      <c r="U23" s="5">
        <f t="shared" si="11"/>
        <v>0</v>
      </c>
      <c r="V23" s="5">
        <v>0</v>
      </c>
      <c r="W23" s="5"/>
      <c r="X23" s="21"/>
      <c r="Y23" s="21"/>
      <c r="Z23" s="1">
        <f t="shared" si="8"/>
        <v>16.112023591772743</v>
      </c>
      <c r="AA23" s="1">
        <f t="shared" si="5"/>
        <v>16.112023591772743</v>
      </c>
      <c r="AB23" s="1">
        <v>2.327</v>
      </c>
      <c r="AC23" s="1">
        <v>0.27739999999999998</v>
      </c>
      <c r="AD23" s="1">
        <v>1.9434</v>
      </c>
      <c r="AE23" s="1">
        <v>9.5144000000000002</v>
      </c>
      <c r="AF23" s="1">
        <v>7.9891999999999994</v>
      </c>
      <c r="AG23" s="1">
        <v>1.3806</v>
      </c>
      <c r="AH23" s="1">
        <v>1.7283999999999999</v>
      </c>
      <c r="AI23" s="1">
        <v>4.5865999999999998</v>
      </c>
      <c r="AJ23" s="1">
        <v>6.9908000000000001</v>
      </c>
      <c r="AK23" s="1">
        <v>5.9451999999999998</v>
      </c>
      <c r="AL23" s="1">
        <v>3.044</v>
      </c>
      <c r="AM23" s="1"/>
      <c r="AN23" s="1">
        <f t="shared" si="9"/>
        <v>0</v>
      </c>
      <c r="AO23" s="1">
        <f t="shared" si="10"/>
        <v>0</v>
      </c>
    </row>
    <row r="24" spans="1:41" x14ac:dyDescent="0.25">
      <c r="A24" s="1" t="s">
        <v>61</v>
      </c>
      <c r="B24" s="1" t="s">
        <v>39</v>
      </c>
      <c r="C24" s="1">
        <v>154.22999999999999</v>
      </c>
      <c r="D24" s="1">
        <v>162.30600000000001</v>
      </c>
      <c r="E24" s="1">
        <v>180.70500000000001</v>
      </c>
      <c r="F24" s="1">
        <v>106.133</v>
      </c>
      <c r="G24" s="7">
        <v>1</v>
      </c>
      <c r="H24" s="1">
        <v>70</v>
      </c>
      <c r="I24" s="15" t="s">
        <v>50</v>
      </c>
      <c r="J24" s="1"/>
      <c r="K24" s="1">
        <v>178.2</v>
      </c>
      <c r="L24" s="1">
        <f t="shared" si="3"/>
        <v>2.5050000000000239</v>
      </c>
      <c r="M24" s="1"/>
      <c r="N24" s="1"/>
      <c r="O24" s="1">
        <v>188.37696199999999</v>
      </c>
      <c r="P24" s="1">
        <v>-190</v>
      </c>
      <c r="Q24" s="1"/>
      <c r="R24" s="1">
        <v>70</v>
      </c>
      <c r="S24" s="1">
        <f t="shared" si="4"/>
        <v>36.141000000000005</v>
      </c>
      <c r="T24" s="5">
        <v>90</v>
      </c>
      <c r="U24" s="5">
        <f>X24</f>
        <v>300</v>
      </c>
      <c r="V24" s="5">
        <v>300</v>
      </c>
      <c r="W24" s="5"/>
      <c r="X24" s="21">
        <f>VLOOKUP(A24,[1]Sheet!$A:$U,21,0)</f>
        <v>300</v>
      </c>
      <c r="Y24" s="21" t="str">
        <f>VLOOKUP(A24,[1]Sheet!$A:$V,22,0)</f>
        <v>Промо на сентябрь</v>
      </c>
      <c r="Z24" s="1">
        <f t="shared" si="8"/>
        <v>13.129408760133916</v>
      </c>
      <c r="AA24" s="1">
        <f t="shared" si="5"/>
        <v>4.8285869787775644</v>
      </c>
      <c r="AB24" s="1">
        <v>39.828000000000003</v>
      </c>
      <c r="AC24" s="1">
        <v>44.405000000000001</v>
      </c>
      <c r="AD24" s="1">
        <v>38.7042</v>
      </c>
      <c r="AE24" s="1">
        <v>38.443199999999997</v>
      </c>
      <c r="AF24" s="1">
        <v>28.137799999999999</v>
      </c>
      <c r="AG24" s="1">
        <v>28.372</v>
      </c>
      <c r="AH24" s="1">
        <v>35.245800000000003</v>
      </c>
      <c r="AI24" s="1">
        <v>48.939599999999999</v>
      </c>
      <c r="AJ24" s="1">
        <v>43.491199999999999</v>
      </c>
      <c r="AK24" s="1">
        <v>38.692599999999999</v>
      </c>
      <c r="AL24" s="1">
        <v>45.932200000000002</v>
      </c>
      <c r="AM24" s="1" t="s">
        <v>278</v>
      </c>
      <c r="AN24" s="1">
        <f t="shared" si="9"/>
        <v>300</v>
      </c>
      <c r="AO24" s="1">
        <f t="shared" si="10"/>
        <v>0</v>
      </c>
    </row>
    <row r="25" spans="1:41" x14ac:dyDescent="0.25">
      <c r="A25" s="12" t="s">
        <v>62</v>
      </c>
      <c r="B25" s="12" t="s">
        <v>39</v>
      </c>
      <c r="C25" s="12"/>
      <c r="D25" s="12"/>
      <c r="E25" s="12"/>
      <c r="F25" s="12"/>
      <c r="G25" s="13">
        <v>0</v>
      </c>
      <c r="H25" s="12"/>
      <c r="I25" s="12" t="s">
        <v>40</v>
      </c>
      <c r="J25" s="12"/>
      <c r="K25" s="12"/>
      <c r="L25" s="12">
        <f t="shared" si="3"/>
        <v>0</v>
      </c>
      <c r="M25" s="12"/>
      <c r="N25" s="12"/>
      <c r="O25" s="12">
        <v>0</v>
      </c>
      <c r="P25" s="12"/>
      <c r="Q25" s="12"/>
      <c r="R25" s="12">
        <v>0</v>
      </c>
      <c r="S25" s="12">
        <f t="shared" si="4"/>
        <v>0</v>
      </c>
      <c r="T25" s="14"/>
      <c r="U25" s="5">
        <f t="shared" si="11"/>
        <v>0</v>
      </c>
      <c r="V25" s="5">
        <v>0</v>
      </c>
      <c r="W25" s="5"/>
      <c r="X25" s="21"/>
      <c r="Y25" s="21"/>
      <c r="Z25" s="1" t="e">
        <f t="shared" si="8"/>
        <v>#DIV/0!</v>
      </c>
      <c r="AA25" s="12" t="e">
        <f t="shared" si="5"/>
        <v>#DIV/0!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 t="s">
        <v>45</v>
      </c>
      <c r="AN25" s="1">
        <f t="shared" si="9"/>
        <v>0</v>
      </c>
      <c r="AO25" s="1">
        <f t="shared" si="10"/>
        <v>0</v>
      </c>
    </row>
    <row r="26" spans="1:41" x14ac:dyDescent="0.25">
      <c r="A26" s="1" t="s">
        <v>63</v>
      </c>
      <c r="B26" s="1" t="s">
        <v>39</v>
      </c>
      <c r="C26" s="1">
        <v>244.36199999999999</v>
      </c>
      <c r="D26" s="1">
        <v>8.5609999999999999</v>
      </c>
      <c r="E26" s="1">
        <v>201.595</v>
      </c>
      <c r="F26" s="1">
        <v>24.396000000000001</v>
      </c>
      <c r="G26" s="7">
        <v>1</v>
      </c>
      <c r="H26" s="1"/>
      <c r="I26" s="1" t="s">
        <v>40</v>
      </c>
      <c r="J26" s="1"/>
      <c r="K26" s="1">
        <v>189.6</v>
      </c>
      <c r="L26" s="1">
        <f t="shared" si="3"/>
        <v>11.995000000000005</v>
      </c>
      <c r="M26" s="1"/>
      <c r="N26" s="1"/>
      <c r="O26" s="1">
        <v>0</v>
      </c>
      <c r="P26" s="1"/>
      <c r="Q26" s="1"/>
      <c r="R26" s="1">
        <v>270.10860000000002</v>
      </c>
      <c r="S26" s="1">
        <f t="shared" si="4"/>
        <v>40.319000000000003</v>
      </c>
      <c r="T26" s="5">
        <f t="shared" ref="T26:T39" si="14">12*S26-R26-Q26-P26-O26-F26</f>
        <v>189.32339999999999</v>
      </c>
      <c r="U26" s="5">
        <f t="shared" si="11"/>
        <v>189.32339999999999</v>
      </c>
      <c r="V26" s="5">
        <v>87.27808739999999</v>
      </c>
      <c r="W26" s="5">
        <f>U26*$W$1</f>
        <v>102.0453126</v>
      </c>
      <c r="X26" s="21"/>
      <c r="Y26" s="21"/>
      <c r="Z26" s="1">
        <f t="shared" si="8"/>
        <v>12</v>
      </c>
      <c r="AA26" s="1">
        <f t="shared" si="5"/>
        <v>7.3043627074084183</v>
      </c>
      <c r="AB26" s="1">
        <v>42.488399999999999</v>
      </c>
      <c r="AC26" s="1">
        <v>14.019600000000001</v>
      </c>
      <c r="AD26" s="1">
        <v>0.69540000000000002</v>
      </c>
      <c r="AE26" s="1">
        <v>3.7128000000000001</v>
      </c>
      <c r="AF26" s="1">
        <v>7.3063999999999991</v>
      </c>
      <c r="AG26" s="1">
        <v>22.351600000000001</v>
      </c>
      <c r="AH26" s="1">
        <v>23.732600000000001</v>
      </c>
      <c r="AI26" s="1">
        <v>5.7994000000000003</v>
      </c>
      <c r="AJ26" s="1">
        <v>0</v>
      </c>
      <c r="AK26" s="1">
        <v>0</v>
      </c>
      <c r="AL26" s="1">
        <v>0</v>
      </c>
      <c r="AM26" s="1" t="s">
        <v>64</v>
      </c>
      <c r="AN26" s="1">
        <f t="shared" si="9"/>
        <v>87</v>
      </c>
      <c r="AO26" s="1">
        <f t="shared" si="10"/>
        <v>102</v>
      </c>
    </row>
    <row r="27" spans="1:41" x14ac:dyDescent="0.25">
      <c r="A27" s="1" t="s">
        <v>65</v>
      </c>
      <c r="B27" s="1" t="s">
        <v>39</v>
      </c>
      <c r="C27" s="1">
        <v>-2.5000000000000001E-2</v>
      </c>
      <c r="D27" s="1"/>
      <c r="E27" s="1">
        <v>-1.5549999999999999</v>
      </c>
      <c r="F27" s="1">
        <v>-2.5000000000000001E-2</v>
      </c>
      <c r="G27" s="7">
        <v>1</v>
      </c>
      <c r="H27" s="1">
        <v>40</v>
      </c>
      <c r="I27" s="15" t="s">
        <v>50</v>
      </c>
      <c r="J27" s="1"/>
      <c r="K27" s="1">
        <v>10.199999999999999</v>
      </c>
      <c r="L27" s="1">
        <f t="shared" si="3"/>
        <v>-11.754999999999999</v>
      </c>
      <c r="M27" s="1"/>
      <c r="N27" s="1"/>
      <c r="O27" s="1">
        <v>31.5</v>
      </c>
      <c r="P27" s="1">
        <v>-36</v>
      </c>
      <c r="Q27" s="1"/>
      <c r="R27" s="1">
        <v>70</v>
      </c>
      <c r="S27" s="1">
        <f t="shared" si="4"/>
        <v>-0.311</v>
      </c>
      <c r="T27" s="5">
        <v>90</v>
      </c>
      <c r="U27" s="5">
        <f t="shared" si="11"/>
        <v>90</v>
      </c>
      <c r="V27" s="5">
        <v>90</v>
      </c>
      <c r="W27" s="5"/>
      <c r="X27" s="21"/>
      <c r="Y27" s="21"/>
      <c r="Z27" s="1">
        <f t="shared" si="8"/>
        <v>-499.91961414790995</v>
      </c>
      <c r="AA27" s="1">
        <f t="shared" si="5"/>
        <v>-210.53054662379421</v>
      </c>
      <c r="AB27" s="1">
        <v>-0.96479999999999999</v>
      </c>
      <c r="AC27" s="1">
        <v>-1.163</v>
      </c>
      <c r="AD27" s="1">
        <v>-0.50919999999999999</v>
      </c>
      <c r="AE27" s="1">
        <v>-0.21679999999999999</v>
      </c>
      <c r="AF27" s="1">
        <v>-0.21679999999999999</v>
      </c>
      <c r="AG27" s="1">
        <v>9.5777999999999999</v>
      </c>
      <c r="AH27" s="1">
        <v>37.691400000000002</v>
      </c>
      <c r="AI27" s="1">
        <v>56.543799999999997</v>
      </c>
      <c r="AJ27" s="1">
        <v>34.541200000000003</v>
      </c>
      <c r="AK27" s="1">
        <v>38.505600000000001</v>
      </c>
      <c r="AL27" s="1">
        <v>32.977800000000002</v>
      </c>
      <c r="AM27" s="1"/>
      <c r="AN27" s="1">
        <f t="shared" si="9"/>
        <v>90</v>
      </c>
      <c r="AO27" s="1">
        <f t="shared" si="10"/>
        <v>0</v>
      </c>
    </row>
    <row r="28" spans="1:41" x14ac:dyDescent="0.25">
      <c r="A28" s="1" t="s">
        <v>66</v>
      </c>
      <c r="B28" s="1" t="s">
        <v>39</v>
      </c>
      <c r="C28" s="1">
        <v>58.14</v>
      </c>
      <c r="D28" s="1">
        <v>242</v>
      </c>
      <c r="E28" s="1">
        <v>155.62799999999999</v>
      </c>
      <c r="F28" s="1">
        <v>8.218</v>
      </c>
      <c r="G28" s="7">
        <v>1</v>
      </c>
      <c r="H28" s="1">
        <v>30</v>
      </c>
      <c r="I28" s="1" t="s">
        <v>40</v>
      </c>
      <c r="J28" s="1"/>
      <c r="K28" s="1">
        <v>236.01599999999999</v>
      </c>
      <c r="L28" s="1">
        <f t="shared" si="3"/>
        <v>-80.388000000000005</v>
      </c>
      <c r="M28" s="1"/>
      <c r="N28" s="1"/>
      <c r="O28" s="1">
        <v>90</v>
      </c>
      <c r="P28" s="1"/>
      <c r="Q28" s="1"/>
      <c r="R28" s="1">
        <v>36.886399999999981</v>
      </c>
      <c r="S28" s="1">
        <f t="shared" si="4"/>
        <v>31.125599999999999</v>
      </c>
      <c r="T28" s="5">
        <f>11*S28-R28-Q28-P28-O28-F28</f>
        <v>207.27720000000002</v>
      </c>
      <c r="U28" s="5">
        <f t="shared" si="11"/>
        <v>207.27720000000002</v>
      </c>
      <c r="V28" s="5">
        <v>95.554789200000002</v>
      </c>
      <c r="W28" s="5">
        <f>U28*$W$1</f>
        <v>111.72241080000002</v>
      </c>
      <c r="X28" s="21"/>
      <c r="Y28" s="21"/>
      <c r="Z28" s="1">
        <f t="shared" si="8"/>
        <v>11.000000000000002</v>
      </c>
      <c r="AA28" s="1">
        <f t="shared" si="5"/>
        <v>4.3406199398565812</v>
      </c>
      <c r="AB28" s="1">
        <v>27.609400000000001</v>
      </c>
      <c r="AC28" s="1">
        <v>42.514200000000002</v>
      </c>
      <c r="AD28" s="1">
        <v>44.266199999999998</v>
      </c>
      <c r="AE28" s="1">
        <v>41.836200000000012</v>
      </c>
      <c r="AF28" s="1">
        <v>28.0486</v>
      </c>
      <c r="AG28" s="1">
        <v>11.816000000000001</v>
      </c>
      <c r="AH28" s="1">
        <v>3.6137999999999999</v>
      </c>
      <c r="AI28" s="1">
        <v>28.007400000000001</v>
      </c>
      <c r="AJ28" s="1">
        <v>35.287799999999997</v>
      </c>
      <c r="AK28" s="1">
        <v>16.3886</v>
      </c>
      <c r="AL28" s="1">
        <v>14.622999999999999</v>
      </c>
      <c r="AM28" s="1"/>
      <c r="AN28" s="1">
        <f t="shared" si="9"/>
        <v>96</v>
      </c>
      <c r="AO28" s="1">
        <f t="shared" si="10"/>
        <v>112</v>
      </c>
    </row>
    <row r="29" spans="1:41" x14ac:dyDescent="0.25">
      <c r="A29" s="1" t="s">
        <v>67</v>
      </c>
      <c r="B29" s="1" t="s">
        <v>39</v>
      </c>
      <c r="C29" s="1">
        <v>1.518</v>
      </c>
      <c r="D29" s="1"/>
      <c r="E29" s="1">
        <v>-0.77100000000000002</v>
      </c>
      <c r="F29" s="1">
        <v>1.518</v>
      </c>
      <c r="G29" s="7">
        <v>1</v>
      </c>
      <c r="H29" s="1">
        <v>40</v>
      </c>
      <c r="I29" s="15" t="s">
        <v>50</v>
      </c>
      <c r="J29" s="1"/>
      <c r="K29" s="1">
        <v>78.8</v>
      </c>
      <c r="L29" s="1">
        <f t="shared" si="3"/>
        <v>-79.570999999999998</v>
      </c>
      <c r="M29" s="1"/>
      <c r="N29" s="1"/>
      <c r="O29" s="1">
        <v>135</v>
      </c>
      <c r="P29" s="1"/>
      <c r="Q29" s="1"/>
      <c r="R29" s="1">
        <v>280</v>
      </c>
      <c r="S29" s="1">
        <f t="shared" si="4"/>
        <v>-0.1542</v>
      </c>
      <c r="T29" s="5">
        <v>360</v>
      </c>
      <c r="U29" s="5">
        <f t="shared" si="11"/>
        <v>360</v>
      </c>
      <c r="V29" s="5">
        <v>360</v>
      </c>
      <c r="W29" s="5"/>
      <c r="X29" s="21"/>
      <c r="Y29" s="21"/>
      <c r="Z29" s="1">
        <f t="shared" si="8"/>
        <v>-5035.7846952010377</v>
      </c>
      <c r="AA29" s="1">
        <f t="shared" si="5"/>
        <v>-2701.1543450064851</v>
      </c>
      <c r="AB29" s="1">
        <v>-1.585</v>
      </c>
      <c r="AC29" s="1">
        <v>-2.5497999999999998</v>
      </c>
      <c r="AD29" s="1">
        <v>-1.9388000000000001</v>
      </c>
      <c r="AE29" s="1">
        <v>2.0426000000000002</v>
      </c>
      <c r="AF29" s="1">
        <v>72.69919999999999</v>
      </c>
      <c r="AG29" s="1">
        <v>116.389</v>
      </c>
      <c r="AH29" s="1">
        <v>99.9422</v>
      </c>
      <c r="AI29" s="1">
        <v>194.2286</v>
      </c>
      <c r="AJ29" s="1">
        <v>221.15479999999999</v>
      </c>
      <c r="AK29" s="1">
        <v>290.73820000000001</v>
      </c>
      <c r="AL29" s="1">
        <v>221.20740000000001</v>
      </c>
      <c r="AM29" s="1"/>
      <c r="AN29" s="1">
        <f t="shared" si="9"/>
        <v>360</v>
      </c>
      <c r="AO29" s="1">
        <f t="shared" si="10"/>
        <v>0</v>
      </c>
    </row>
    <row r="30" spans="1:41" x14ac:dyDescent="0.25">
      <c r="A30" s="1" t="s">
        <v>68</v>
      </c>
      <c r="B30" s="1" t="s">
        <v>39</v>
      </c>
      <c r="C30" s="1">
        <v>-0.03</v>
      </c>
      <c r="D30" s="1"/>
      <c r="E30" s="1"/>
      <c r="F30" s="1">
        <v>-0.03</v>
      </c>
      <c r="G30" s="7">
        <v>1</v>
      </c>
      <c r="H30" s="1">
        <v>40</v>
      </c>
      <c r="I30" s="15" t="s">
        <v>50</v>
      </c>
      <c r="J30" s="1"/>
      <c r="K30" s="1"/>
      <c r="L30" s="1">
        <f t="shared" si="3"/>
        <v>0</v>
      </c>
      <c r="M30" s="1"/>
      <c r="N30" s="1"/>
      <c r="O30" s="1">
        <v>10</v>
      </c>
      <c r="P30" s="1"/>
      <c r="Q30" s="1"/>
      <c r="R30" s="1">
        <v>10</v>
      </c>
      <c r="S30" s="1">
        <f t="shared" si="4"/>
        <v>0</v>
      </c>
      <c r="T30" s="5">
        <v>10</v>
      </c>
      <c r="U30" s="5">
        <f t="shared" si="11"/>
        <v>10</v>
      </c>
      <c r="V30" s="5">
        <v>10</v>
      </c>
      <c r="W30" s="5"/>
      <c r="X30" s="21"/>
      <c r="Y30" s="21"/>
      <c r="Z30" s="1" t="e">
        <f t="shared" si="8"/>
        <v>#DIV/0!</v>
      </c>
      <c r="AA30" s="1" t="e">
        <f t="shared" si="5"/>
        <v>#DIV/0!</v>
      </c>
      <c r="AB30" s="1">
        <v>0</v>
      </c>
      <c r="AC30" s="1">
        <v>0.48099999999999998</v>
      </c>
      <c r="AD30" s="1">
        <v>1.6794</v>
      </c>
      <c r="AE30" s="1">
        <v>6.8876000000000008</v>
      </c>
      <c r="AF30" s="1">
        <v>7.1876000000000007</v>
      </c>
      <c r="AG30" s="1">
        <v>1.4984</v>
      </c>
      <c r="AH30" s="1">
        <v>0</v>
      </c>
      <c r="AI30" s="1">
        <v>0</v>
      </c>
      <c r="AJ30" s="1">
        <v>0.90600000000000003</v>
      </c>
      <c r="AK30" s="1">
        <v>5.2767999999999997</v>
      </c>
      <c r="AL30" s="1">
        <v>4.3708</v>
      </c>
      <c r="AM30" s="1"/>
      <c r="AN30" s="1">
        <f t="shared" si="9"/>
        <v>10</v>
      </c>
      <c r="AO30" s="1">
        <f t="shared" si="10"/>
        <v>0</v>
      </c>
    </row>
    <row r="31" spans="1:41" x14ac:dyDescent="0.25">
      <c r="A31" s="1" t="s">
        <v>69</v>
      </c>
      <c r="B31" s="1" t="s">
        <v>39</v>
      </c>
      <c r="C31" s="1">
        <v>152.22</v>
      </c>
      <c r="D31" s="1">
        <v>1.4419999999999999</v>
      </c>
      <c r="E31" s="1">
        <v>78.679000000000002</v>
      </c>
      <c r="F31" s="1">
        <v>32.463000000000001</v>
      </c>
      <c r="G31" s="7">
        <v>1</v>
      </c>
      <c r="H31" s="1">
        <v>30</v>
      </c>
      <c r="I31" s="1" t="s">
        <v>40</v>
      </c>
      <c r="J31" s="1"/>
      <c r="K31" s="1">
        <v>80.3</v>
      </c>
      <c r="L31" s="1">
        <f t="shared" si="3"/>
        <v>-1.6209999999999951</v>
      </c>
      <c r="M31" s="1"/>
      <c r="N31" s="1"/>
      <c r="O31" s="1">
        <v>0</v>
      </c>
      <c r="P31" s="1"/>
      <c r="Q31" s="1"/>
      <c r="R31" s="1">
        <v>116.123</v>
      </c>
      <c r="S31" s="1">
        <f t="shared" si="4"/>
        <v>15.735800000000001</v>
      </c>
      <c r="T31" s="5">
        <f t="shared" si="14"/>
        <v>40.243600000000022</v>
      </c>
      <c r="U31" s="5">
        <f t="shared" si="11"/>
        <v>40.243600000000022</v>
      </c>
      <c r="V31" s="5">
        <v>40.243600000000022</v>
      </c>
      <c r="W31" s="5"/>
      <c r="X31" s="21"/>
      <c r="Y31" s="21"/>
      <c r="Z31" s="1">
        <f t="shared" si="8"/>
        <v>12.000000000000002</v>
      </c>
      <c r="AA31" s="1">
        <f t="shared" si="5"/>
        <v>9.442545024720701</v>
      </c>
      <c r="AB31" s="1">
        <v>19.2578</v>
      </c>
      <c r="AC31" s="1">
        <v>9.5378000000000007</v>
      </c>
      <c r="AD31" s="1">
        <v>4.1444000000000001</v>
      </c>
      <c r="AE31" s="1">
        <v>12.799799999999999</v>
      </c>
      <c r="AF31" s="1">
        <v>20.229199999999999</v>
      </c>
      <c r="AG31" s="1">
        <v>9.969199999999999</v>
      </c>
      <c r="AH31" s="1">
        <v>5.0338000000000003</v>
      </c>
      <c r="AI31" s="1">
        <v>7.6532</v>
      </c>
      <c r="AJ31" s="1">
        <v>15.609400000000001</v>
      </c>
      <c r="AK31" s="1">
        <v>19.0808</v>
      </c>
      <c r="AL31" s="1">
        <v>10.242800000000001</v>
      </c>
      <c r="AM31" s="1"/>
      <c r="AN31" s="1">
        <f t="shared" si="9"/>
        <v>40</v>
      </c>
      <c r="AO31" s="1">
        <f t="shared" si="10"/>
        <v>0</v>
      </c>
    </row>
    <row r="32" spans="1:41" x14ac:dyDescent="0.25">
      <c r="A32" s="1" t="s">
        <v>70</v>
      </c>
      <c r="B32" s="1" t="s">
        <v>39</v>
      </c>
      <c r="C32" s="1">
        <v>74.352999999999994</v>
      </c>
      <c r="D32" s="1">
        <v>6.3680000000000003</v>
      </c>
      <c r="E32" s="1">
        <v>10.128</v>
      </c>
      <c r="F32" s="1">
        <v>18.972000000000001</v>
      </c>
      <c r="G32" s="7">
        <v>1</v>
      </c>
      <c r="H32" s="1">
        <v>50</v>
      </c>
      <c r="I32" s="15" t="s">
        <v>50</v>
      </c>
      <c r="J32" s="1"/>
      <c r="K32" s="1">
        <v>87.2</v>
      </c>
      <c r="L32" s="1">
        <f t="shared" si="3"/>
        <v>-77.072000000000003</v>
      </c>
      <c r="M32" s="1"/>
      <c r="N32" s="1"/>
      <c r="O32" s="1">
        <v>127.560588</v>
      </c>
      <c r="P32" s="1">
        <v>-37</v>
      </c>
      <c r="Q32" s="1"/>
      <c r="R32" s="1">
        <v>0</v>
      </c>
      <c r="S32" s="1">
        <f t="shared" si="4"/>
        <v>2.0255999999999998</v>
      </c>
      <c r="T32" s="5">
        <v>30</v>
      </c>
      <c r="U32" s="5">
        <f>X32</f>
        <v>100</v>
      </c>
      <c r="V32" s="5">
        <v>100</v>
      </c>
      <c r="W32" s="5"/>
      <c r="X32" s="21">
        <f>VLOOKUP(A32,[1]Sheet!$A:$U,21,0)</f>
        <v>100</v>
      </c>
      <c r="Y32" s="21" t="str">
        <f>VLOOKUP(A32,[1]Sheet!$A:$V,22,0)</f>
        <v>Промо на сентябрь</v>
      </c>
      <c r="Z32" s="1">
        <f t="shared" si="8"/>
        <v>103.44223341232228</v>
      </c>
      <c r="AA32" s="1">
        <f t="shared" si="5"/>
        <v>54.074144944707747</v>
      </c>
      <c r="AB32" s="1">
        <v>11.801600000000001</v>
      </c>
      <c r="AC32" s="1">
        <v>21.644400000000001</v>
      </c>
      <c r="AD32" s="1">
        <v>16.348800000000001</v>
      </c>
      <c r="AE32" s="1">
        <v>13.0716</v>
      </c>
      <c r="AF32" s="1">
        <v>12.183</v>
      </c>
      <c r="AG32" s="1">
        <v>16.6722</v>
      </c>
      <c r="AH32" s="1">
        <v>19.813600000000001</v>
      </c>
      <c r="AI32" s="1">
        <v>12.786799999999999</v>
      </c>
      <c r="AJ32" s="1">
        <v>7.3365999999999998</v>
      </c>
      <c r="AK32" s="1">
        <v>20.953199999999999</v>
      </c>
      <c r="AL32" s="1">
        <v>32.764400000000002</v>
      </c>
      <c r="AM32" s="1" t="s">
        <v>278</v>
      </c>
      <c r="AN32" s="1">
        <f t="shared" si="9"/>
        <v>100</v>
      </c>
      <c r="AO32" s="1">
        <f t="shared" si="10"/>
        <v>0</v>
      </c>
    </row>
    <row r="33" spans="1:41" x14ac:dyDescent="0.25">
      <c r="A33" s="1" t="s">
        <v>71</v>
      </c>
      <c r="B33" s="1" t="s">
        <v>39</v>
      </c>
      <c r="C33" s="1">
        <v>83.65</v>
      </c>
      <c r="D33" s="1">
        <v>5.4050000000000002</v>
      </c>
      <c r="E33" s="1">
        <v>67.881</v>
      </c>
      <c r="F33" s="1">
        <v>6.1639999999999997</v>
      </c>
      <c r="G33" s="7">
        <v>1</v>
      </c>
      <c r="H33" s="1">
        <v>50</v>
      </c>
      <c r="I33" s="1" t="s">
        <v>40</v>
      </c>
      <c r="J33" s="1"/>
      <c r="K33" s="1">
        <v>61.5</v>
      </c>
      <c r="L33" s="1">
        <f t="shared" si="3"/>
        <v>6.3810000000000002</v>
      </c>
      <c r="M33" s="1"/>
      <c r="N33" s="1"/>
      <c r="O33" s="1">
        <v>70.642722000000006</v>
      </c>
      <c r="P33" s="1"/>
      <c r="Q33" s="1"/>
      <c r="R33" s="1">
        <v>123.816278</v>
      </c>
      <c r="S33" s="1">
        <f t="shared" si="4"/>
        <v>13.5762</v>
      </c>
      <c r="T33" s="5"/>
      <c r="U33" s="5">
        <f t="shared" si="11"/>
        <v>0</v>
      </c>
      <c r="V33" s="5">
        <v>0</v>
      </c>
      <c r="W33" s="5"/>
      <c r="X33" s="21"/>
      <c r="Y33" s="21"/>
      <c r="Z33" s="1">
        <f t="shared" si="8"/>
        <v>14.777551892282082</v>
      </c>
      <c r="AA33" s="1">
        <f t="shared" si="5"/>
        <v>14.777551892282082</v>
      </c>
      <c r="AB33" s="1">
        <v>20.1646</v>
      </c>
      <c r="AC33" s="1">
        <v>12.2386</v>
      </c>
      <c r="AD33" s="1">
        <v>7.5937999999999999</v>
      </c>
      <c r="AE33" s="1">
        <v>11.585599999999999</v>
      </c>
      <c r="AF33" s="1">
        <v>11.974</v>
      </c>
      <c r="AG33" s="1">
        <v>13.573399999999999</v>
      </c>
      <c r="AH33" s="1">
        <v>14.6586</v>
      </c>
      <c r="AI33" s="1">
        <v>12.297599999999999</v>
      </c>
      <c r="AJ33" s="1">
        <v>10.6524</v>
      </c>
      <c r="AK33" s="1">
        <v>7.8666</v>
      </c>
      <c r="AL33" s="1">
        <v>12.2232</v>
      </c>
      <c r="AM33" s="1"/>
      <c r="AN33" s="1">
        <f t="shared" si="9"/>
        <v>0</v>
      </c>
      <c r="AO33" s="1">
        <f t="shared" si="10"/>
        <v>0</v>
      </c>
    </row>
    <row r="34" spans="1:41" x14ac:dyDescent="0.25">
      <c r="A34" s="1" t="s">
        <v>72</v>
      </c>
      <c r="B34" s="1" t="s">
        <v>44</v>
      </c>
      <c r="C34" s="1">
        <v>51.505000000000003</v>
      </c>
      <c r="D34" s="1">
        <v>1614</v>
      </c>
      <c r="E34" s="1">
        <v>847</v>
      </c>
      <c r="F34" s="1">
        <v>284.505</v>
      </c>
      <c r="G34" s="7">
        <v>0.4</v>
      </c>
      <c r="H34" s="1">
        <v>45</v>
      </c>
      <c r="I34" s="15" t="s">
        <v>50</v>
      </c>
      <c r="J34" s="1"/>
      <c r="K34" s="1">
        <v>1522</v>
      </c>
      <c r="L34" s="1">
        <f t="shared" si="3"/>
        <v>-675</v>
      </c>
      <c r="M34" s="1"/>
      <c r="N34" s="1"/>
      <c r="O34" s="1">
        <v>591.29775000000018</v>
      </c>
      <c r="P34" s="1"/>
      <c r="Q34" s="1"/>
      <c r="R34" s="1">
        <v>420</v>
      </c>
      <c r="S34" s="1">
        <f t="shared" si="4"/>
        <v>169.4</v>
      </c>
      <c r="T34" s="5">
        <v>550</v>
      </c>
      <c r="U34" s="5">
        <f t="shared" si="11"/>
        <v>550</v>
      </c>
      <c r="V34" s="5">
        <v>550</v>
      </c>
      <c r="W34" s="5"/>
      <c r="X34" s="21"/>
      <c r="Y34" s="21"/>
      <c r="Z34" s="1">
        <f t="shared" si="8"/>
        <v>10.89612012987013</v>
      </c>
      <c r="AA34" s="1">
        <f t="shared" si="5"/>
        <v>7.6493668831168842</v>
      </c>
      <c r="AB34" s="1">
        <v>158.80000000000001</v>
      </c>
      <c r="AC34" s="1">
        <v>244.8</v>
      </c>
      <c r="AD34" s="1">
        <v>275.8</v>
      </c>
      <c r="AE34" s="1">
        <v>345</v>
      </c>
      <c r="AF34" s="1">
        <v>296.8</v>
      </c>
      <c r="AG34" s="1">
        <v>241.8</v>
      </c>
      <c r="AH34" s="1">
        <v>278.8</v>
      </c>
      <c r="AI34" s="1">
        <v>324.39999999999998</v>
      </c>
      <c r="AJ34" s="1">
        <v>336.4</v>
      </c>
      <c r="AK34" s="1">
        <v>363</v>
      </c>
      <c r="AL34" s="1">
        <v>355.6</v>
      </c>
      <c r="AM34" s="1"/>
      <c r="AN34" s="1">
        <f t="shared" si="9"/>
        <v>220</v>
      </c>
      <c r="AO34" s="1">
        <f t="shared" si="10"/>
        <v>0</v>
      </c>
    </row>
    <row r="35" spans="1:41" x14ac:dyDescent="0.25">
      <c r="A35" s="1" t="s">
        <v>73</v>
      </c>
      <c r="B35" s="1" t="s">
        <v>44</v>
      </c>
      <c r="C35" s="1">
        <v>378</v>
      </c>
      <c r="D35" s="1">
        <v>2</v>
      </c>
      <c r="E35" s="1">
        <v>235</v>
      </c>
      <c r="F35" s="1">
        <v>-56</v>
      </c>
      <c r="G35" s="7">
        <v>0.45</v>
      </c>
      <c r="H35" s="1">
        <v>50</v>
      </c>
      <c r="I35" s="1" t="s">
        <v>40</v>
      </c>
      <c r="J35" s="1"/>
      <c r="K35" s="1">
        <v>240</v>
      </c>
      <c r="L35" s="1">
        <f t="shared" si="3"/>
        <v>-5</v>
      </c>
      <c r="M35" s="1"/>
      <c r="N35" s="1"/>
      <c r="O35" s="1">
        <v>382.28</v>
      </c>
      <c r="P35" s="1"/>
      <c r="Q35" s="1"/>
      <c r="R35" s="1">
        <v>329.12000000000012</v>
      </c>
      <c r="S35" s="1">
        <f t="shared" si="4"/>
        <v>47</v>
      </c>
      <c r="T35" s="5"/>
      <c r="U35" s="5">
        <f>X35</f>
        <v>116</v>
      </c>
      <c r="V35" s="5">
        <v>53.475999999999999</v>
      </c>
      <c r="W35" s="5">
        <f>U35*$W$1</f>
        <v>62.524000000000001</v>
      </c>
      <c r="X35" s="21">
        <f>VLOOKUP(A35,[1]Sheet!$A:$U,21,0)</f>
        <v>116</v>
      </c>
      <c r="Y35" s="21"/>
      <c r="Z35" s="1">
        <f t="shared" si="8"/>
        <v>16.412765957446812</v>
      </c>
      <c r="AA35" s="1">
        <f t="shared" si="5"/>
        <v>13.944680851063831</v>
      </c>
      <c r="AB35" s="1">
        <v>69.400000000000006</v>
      </c>
      <c r="AC35" s="1">
        <v>64</v>
      </c>
      <c r="AD35" s="1">
        <v>59.8</v>
      </c>
      <c r="AE35" s="1">
        <v>55.6</v>
      </c>
      <c r="AF35" s="1">
        <v>41.6</v>
      </c>
      <c r="AG35" s="1">
        <v>39.4</v>
      </c>
      <c r="AH35" s="1">
        <v>68.8</v>
      </c>
      <c r="AI35" s="1">
        <v>92.6</v>
      </c>
      <c r="AJ35" s="1">
        <v>61</v>
      </c>
      <c r="AK35" s="1">
        <v>66.8</v>
      </c>
      <c r="AL35" s="1">
        <v>81</v>
      </c>
      <c r="AM35" s="1"/>
      <c r="AN35" s="1">
        <f t="shared" si="9"/>
        <v>24</v>
      </c>
      <c r="AO35" s="1">
        <f t="shared" si="10"/>
        <v>28</v>
      </c>
    </row>
    <row r="36" spans="1:41" x14ac:dyDescent="0.25">
      <c r="A36" s="1" t="s">
        <v>74</v>
      </c>
      <c r="B36" s="1" t="s">
        <v>44</v>
      </c>
      <c r="C36" s="1">
        <v>-14</v>
      </c>
      <c r="D36" s="1">
        <v>2</v>
      </c>
      <c r="E36" s="1">
        <v>1</v>
      </c>
      <c r="F36" s="1">
        <v>-14</v>
      </c>
      <c r="G36" s="7">
        <v>0.4</v>
      </c>
      <c r="H36" s="1">
        <v>45</v>
      </c>
      <c r="I36" s="15" t="s">
        <v>50</v>
      </c>
      <c r="J36" s="1"/>
      <c r="K36" s="1">
        <v>121</v>
      </c>
      <c r="L36" s="1">
        <f t="shared" si="3"/>
        <v>-120</v>
      </c>
      <c r="M36" s="1"/>
      <c r="N36" s="1"/>
      <c r="O36" s="1">
        <v>135</v>
      </c>
      <c r="P36" s="1">
        <v>-137.5</v>
      </c>
      <c r="Q36" s="1"/>
      <c r="R36" s="1">
        <v>175</v>
      </c>
      <c r="S36" s="1">
        <f t="shared" si="4"/>
        <v>0.2</v>
      </c>
      <c r="T36" s="5">
        <v>230</v>
      </c>
      <c r="U36" s="5">
        <f t="shared" si="11"/>
        <v>230</v>
      </c>
      <c r="V36" s="5">
        <v>230</v>
      </c>
      <c r="W36" s="5"/>
      <c r="X36" s="21"/>
      <c r="Y36" s="21"/>
      <c r="Z36" s="1">
        <f t="shared" si="8"/>
        <v>1942.5</v>
      </c>
      <c r="AA36" s="1">
        <f t="shared" si="5"/>
        <v>792.5</v>
      </c>
      <c r="AB36" s="1">
        <v>60.2</v>
      </c>
      <c r="AC36" s="1">
        <v>66.2</v>
      </c>
      <c r="AD36" s="1">
        <v>45.2</v>
      </c>
      <c r="AE36" s="1">
        <v>106.8</v>
      </c>
      <c r="AF36" s="1">
        <v>113.8</v>
      </c>
      <c r="AG36" s="1">
        <v>107</v>
      </c>
      <c r="AH36" s="1">
        <v>101.8</v>
      </c>
      <c r="AI36" s="1">
        <v>124.8</v>
      </c>
      <c r="AJ36" s="1">
        <v>136.80000000000001</v>
      </c>
      <c r="AK36" s="1">
        <v>134</v>
      </c>
      <c r="AL36" s="1">
        <v>123.8</v>
      </c>
      <c r="AM36" s="1"/>
      <c r="AN36" s="1">
        <f t="shared" si="9"/>
        <v>92</v>
      </c>
      <c r="AO36" s="1">
        <f t="shared" si="10"/>
        <v>0</v>
      </c>
    </row>
    <row r="37" spans="1:41" x14ac:dyDescent="0.25">
      <c r="A37" s="1" t="s">
        <v>75</v>
      </c>
      <c r="B37" s="1" t="s">
        <v>44</v>
      </c>
      <c r="C37" s="1">
        <v>-6</v>
      </c>
      <c r="D37" s="1">
        <v>42</v>
      </c>
      <c r="E37" s="1">
        <v>28</v>
      </c>
      <c r="F37" s="1">
        <v>4</v>
      </c>
      <c r="G37" s="7">
        <v>0.4</v>
      </c>
      <c r="H37" s="1">
        <v>40</v>
      </c>
      <c r="I37" s="15" t="s">
        <v>50</v>
      </c>
      <c r="J37" s="1"/>
      <c r="K37" s="1">
        <v>84</v>
      </c>
      <c r="L37" s="1">
        <f t="shared" si="3"/>
        <v>-56</v>
      </c>
      <c r="M37" s="1"/>
      <c r="N37" s="1"/>
      <c r="O37" s="1">
        <v>25</v>
      </c>
      <c r="P37" s="1">
        <v>-30</v>
      </c>
      <c r="Q37" s="1"/>
      <c r="R37" s="1">
        <v>42</v>
      </c>
      <c r="S37" s="1">
        <f t="shared" si="4"/>
        <v>5.6</v>
      </c>
      <c r="T37" s="5">
        <v>50</v>
      </c>
      <c r="U37" s="5">
        <f t="shared" si="11"/>
        <v>50</v>
      </c>
      <c r="V37" s="5">
        <v>50</v>
      </c>
      <c r="W37" s="5"/>
      <c r="X37" s="21"/>
      <c r="Y37" s="21"/>
      <c r="Z37" s="1">
        <f t="shared" si="8"/>
        <v>16.25</v>
      </c>
      <c r="AA37" s="1">
        <f t="shared" si="5"/>
        <v>7.3214285714285721</v>
      </c>
      <c r="AB37" s="1">
        <v>12.6</v>
      </c>
      <c r="AC37" s="1">
        <v>17.600000000000001</v>
      </c>
      <c r="AD37" s="1">
        <v>16.8</v>
      </c>
      <c r="AE37" s="1">
        <v>16.2</v>
      </c>
      <c r="AF37" s="1">
        <v>11.8</v>
      </c>
      <c r="AG37" s="1">
        <v>10.6</v>
      </c>
      <c r="AH37" s="1">
        <v>20.6</v>
      </c>
      <c r="AI37" s="1">
        <v>26</v>
      </c>
      <c r="AJ37" s="1">
        <v>27.2</v>
      </c>
      <c r="AK37" s="1">
        <v>26</v>
      </c>
      <c r="AL37" s="1">
        <v>11</v>
      </c>
      <c r="AM37" s="1"/>
      <c r="AN37" s="1">
        <f t="shared" si="9"/>
        <v>20</v>
      </c>
      <c r="AO37" s="1">
        <f t="shared" si="10"/>
        <v>0</v>
      </c>
    </row>
    <row r="38" spans="1:41" x14ac:dyDescent="0.25">
      <c r="A38" s="1" t="s">
        <v>76</v>
      </c>
      <c r="B38" s="1" t="s">
        <v>39</v>
      </c>
      <c r="C38" s="1">
        <v>39.874000000000002</v>
      </c>
      <c r="D38" s="1"/>
      <c r="E38" s="1">
        <v>48.18</v>
      </c>
      <c r="F38" s="1">
        <v>1.2509999999999999</v>
      </c>
      <c r="G38" s="7">
        <v>1</v>
      </c>
      <c r="H38" s="1">
        <v>45</v>
      </c>
      <c r="I38" s="1" t="s">
        <v>40</v>
      </c>
      <c r="J38" s="1"/>
      <c r="K38" s="1">
        <v>52.3</v>
      </c>
      <c r="L38" s="1">
        <f t="shared" ref="L38:L69" si="15">E38-K38</f>
        <v>-4.1199999999999974</v>
      </c>
      <c r="M38" s="1"/>
      <c r="N38" s="1"/>
      <c r="O38" s="1">
        <v>33.590000000000003</v>
      </c>
      <c r="P38" s="1"/>
      <c r="Q38" s="1"/>
      <c r="R38" s="1">
        <v>89.600599999999986</v>
      </c>
      <c r="S38" s="1">
        <f t="shared" ref="S38:S69" si="16">E38/5</f>
        <v>9.6359999999999992</v>
      </c>
      <c r="T38" s="5"/>
      <c r="U38" s="5">
        <f t="shared" ref="U38" si="17">X38</f>
        <v>100</v>
      </c>
      <c r="V38" s="5">
        <v>100</v>
      </c>
      <c r="W38" s="5"/>
      <c r="X38" s="21">
        <f>VLOOKUP(A38,[1]Sheet!$A:$U,21,0)</f>
        <v>100</v>
      </c>
      <c r="Y38" s="21" t="str">
        <f>VLOOKUP(A38,[1]Sheet!$A:$V,22,0)</f>
        <v>Промо на сентябрь</v>
      </c>
      <c r="Z38" s="1">
        <f t="shared" si="8"/>
        <v>23.291988376919885</v>
      </c>
      <c r="AA38" s="1">
        <f t="shared" ref="AA38:AA69" si="18">(F38+O38+P38+Q38+R38)/S38</f>
        <v>12.914238273142383</v>
      </c>
      <c r="AB38" s="1">
        <v>15.555199999999999</v>
      </c>
      <c r="AC38" s="1">
        <v>6.1219999999999999</v>
      </c>
      <c r="AD38" s="1">
        <v>-6.3E-2</v>
      </c>
      <c r="AE38" s="1">
        <v>5.2148000000000003</v>
      </c>
      <c r="AF38" s="1">
        <v>6.1369999999999996</v>
      </c>
      <c r="AG38" s="1">
        <v>4.6671999999999993</v>
      </c>
      <c r="AH38" s="1">
        <v>6.0350000000000001</v>
      </c>
      <c r="AI38" s="1">
        <v>5.3391999999999999</v>
      </c>
      <c r="AJ38" s="1">
        <v>4.4689999999999994</v>
      </c>
      <c r="AK38" s="1">
        <v>1.9303999999999999</v>
      </c>
      <c r="AL38" s="1">
        <v>2.2482000000000002</v>
      </c>
      <c r="AM38" s="1" t="s">
        <v>278</v>
      </c>
      <c r="AN38" s="1">
        <f t="shared" si="9"/>
        <v>100</v>
      </c>
      <c r="AO38" s="1">
        <f t="shared" si="10"/>
        <v>0</v>
      </c>
    </row>
    <row r="39" spans="1:41" x14ac:dyDescent="0.25">
      <c r="A39" s="1" t="s">
        <v>77</v>
      </c>
      <c r="B39" s="1" t="s">
        <v>44</v>
      </c>
      <c r="C39" s="1">
        <v>230</v>
      </c>
      <c r="D39" s="1"/>
      <c r="E39" s="1">
        <v>103</v>
      </c>
      <c r="F39" s="1">
        <v>103</v>
      </c>
      <c r="G39" s="7">
        <v>0.1</v>
      </c>
      <c r="H39" s="1">
        <v>731</v>
      </c>
      <c r="I39" s="1" t="s">
        <v>40</v>
      </c>
      <c r="J39" s="1"/>
      <c r="K39" s="1">
        <v>106</v>
      </c>
      <c r="L39" s="1">
        <f t="shared" si="15"/>
        <v>-3</v>
      </c>
      <c r="M39" s="1"/>
      <c r="N39" s="1"/>
      <c r="O39" s="1">
        <v>0</v>
      </c>
      <c r="P39" s="1"/>
      <c r="Q39" s="1"/>
      <c r="R39" s="1">
        <v>33.800000000000011</v>
      </c>
      <c r="S39" s="1">
        <f t="shared" si="16"/>
        <v>20.6</v>
      </c>
      <c r="T39" s="5">
        <f t="shared" si="14"/>
        <v>110.4</v>
      </c>
      <c r="U39" s="5">
        <v>500</v>
      </c>
      <c r="V39" s="5">
        <v>230.5</v>
      </c>
      <c r="W39" s="5">
        <f>U39*$W$1</f>
        <v>269.5</v>
      </c>
      <c r="X39" s="21" t="str">
        <f>VLOOKUP(A39,[1]Sheet!$A:$U,21,0)</f>
        <v>500шт</v>
      </c>
      <c r="Y39" s="21" t="str">
        <f>VLOOKUP(A39,[1]Sheet!$A:$V,22,0)</f>
        <v>Промо N+1 на сентябрь</v>
      </c>
      <c r="Z39" s="1">
        <f t="shared" si="8"/>
        <v>30.912621359223298</v>
      </c>
      <c r="AA39" s="1">
        <f t="shared" si="18"/>
        <v>6.6407766990291259</v>
      </c>
      <c r="AB39" s="1">
        <v>18.8</v>
      </c>
      <c r="AC39" s="1">
        <v>12.2</v>
      </c>
      <c r="AD39" s="1">
        <v>7.6</v>
      </c>
      <c r="AE39" s="1">
        <v>11.8</v>
      </c>
      <c r="AF39" s="1">
        <v>17.600000000000001</v>
      </c>
      <c r="AG39" s="1">
        <v>22.8</v>
      </c>
      <c r="AH39" s="1">
        <v>20.2</v>
      </c>
      <c r="AI39" s="1">
        <v>22</v>
      </c>
      <c r="AJ39" s="1">
        <v>19.399999999999999</v>
      </c>
      <c r="AK39" s="1">
        <v>23.4</v>
      </c>
      <c r="AL39" s="1">
        <v>27.4</v>
      </c>
      <c r="AM39" s="1" t="s">
        <v>278</v>
      </c>
      <c r="AN39" s="1">
        <f t="shared" si="9"/>
        <v>23</v>
      </c>
      <c r="AO39" s="1">
        <f t="shared" si="10"/>
        <v>27</v>
      </c>
    </row>
    <row r="40" spans="1:41" x14ac:dyDescent="0.25">
      <c r="A40" s="1" t="s">
        <v>78</v>
      </c>
      <c r="B40" s="1" t="s">
        <v>44</v>
      </c>
      <c r="C40" s="1"/>
      <c r="D40" s="1"/>
      <c r="E40" s="1">
        <v>-12</v>
      </c>
      <c r="F40" s="1"/>
      <c r="G40" s="7">
        <v>0.35</v>
      </c>
      <c r="H40" s="1">
        <v>40</v>
      </c>
      <c r="I40" s="15" t="s">
        <v>50</v>
      </c>
      <c r="J40" s="1"/>
      <c r="K40" s="1">
        <v>24</v>
      </c>
      <c r="L40" s="1">
        <f t="shared" si="15"/>
        <v>-36</v>
      </c>
      <c r="M40" s="1"/>
      <c r="N40" s="1"/>
      <c r="O40" s="1">
        <v>25</v>
      </c>
      <c r="P40" s="1">
        <v>-31.428571428571431</v>
      </c>
      <c r="Q40" s="1"/>
      <c r="R40" s="1">
        <v>42</v>
      </c>
      <c r="S40" s="1">
        <f t="shared" si="16"/>
        <v>-2.4</v>
      </c>
      <c r="T40" s="5">
        <v>50</v>
      </c>
      <c r="U40" s="5">
        <f t="shared" si="11"/>
        <v>50</v>
      </c>
      <c r="V40" s="5">
        <v>50</v>
      </c>
      <c r="W40" s="5"/>
      <c r="X40" s="21"/>
      <c r="Y40" s="21"/>
      <c r="Z40" s="1">
        <f t="shared" si="8"/>
        <v>-35.654761904761905</v>
      </c>
      <c r="AA40" s="1">
        <f t="shared" si="18"/>
        <v>-14.821428571428571</v>
      </c>
      <c r="AB40" s="1">
        <v>-2.8</v>
      </c>
      <c r="AC40" s="1">
        <v>-1.6</v>
      </c>
      <c r="AD40" s="1">
        <v>-1</v>
      </c>
      <c r="AE40" s="1">
        <v>-1.4</v>
      </c>
      <c r="AF40" s="1">
        <v>-0.8</v>
      </c>
      <c r="AG40" s="1">
        <v>10.8</v>
      </c>
      <c r="AH40" s="1">
        <v>15.8</v>
      </c>
      <c r="AI40" s="1">
        <v>20.2</v>
      </c>
      <c r="AJ40" s="1">
        <v>28.4</v>
      </c>
      <c r="AK40" s="1">
        <v>33</v>
      </c>
      <c r="AL40" s="1">
        <v>19.600000000000001</v>
      </c>
      <c r="AM40" s="1"/>
      <c r="AN40" s="1">
        <f t="shared" si="9"/>
        <v>18</v>
      </c>
      <c r="AO40" s="1">
        <f t="shared" si="10"/>
        <v>0</v>
      </c>
    </row>
    <row r="41" spans="1:41" x14ac:dyDescent="0.25">
      <c r="A41" s="1" t="s">
        <v>79</v>
      </c>
      <c r="B41" s="1" t="s">
        <v>39</v>
      </c>
      <c r="C41" s="1">
        <v>23.353000000000002</v>
      </c>
      <c r="D41" s="1"/>
      <c r="E41" s="1">
        <v>27.029</v>
      </c>
      <c r="F41" s="1">
        <v>4.3559999999999999</v>
      </c>
      <c r="G41" s="7">
        <v>1</v>
      </c>
      <c r="H41" s="1">
        <v>40</v>
      </c>
      <c r="I41" s="15" t="s">
        <v>50</v>
      </c>
      <c r="J41" s="1"/>
      <c r="K41" s="1">
        <v>49.8</v>
      </c>
      <c r="L41" s="1">
        <f t="shared" si="15"/>
        <v>-22.770999999999997</v>
      </c>
      <c r="M41" s="1"/>
      <c r="N41" s="1"/>
      <c r="O41" s="1">
        <v>20</v>
      </c>
      <c r="P41" s="1">
        <v>-21</v>
      </c>
      <c r="Q41" s="1"/>
      <c r="R41" s="1">
        <v>30</v>
      </c>
      <c r="S41" s="1">
        <f t="shared" si="16"/>
        <v>5.4058000000000002</v>
      </c>
      <c r="T41" s="5">
        <v>40</v>
      </c>
      <c r="U41" s="5">
        <f t="shared" si="11"/>
        <v>40</v>
      </c>
      <c r="V41" s="5">
        <v>40</v>
      </c>
      <c r="W41" s="5"/>
      <c r="X41" s="21"/>
      <c r="Y41" s="21"/>
      <c r="Z41" s="1">
        <f t="shared" si="8"/>
        <v>13.569869399533832</v>
      </c>
      <c r="AA41" s="1">
        <f t="shared" si="18"/>
        <v>6.1704095601021125</v>
      </c>
      <c r="AB41" s="1">
        <v>14.0082</v>
      </c>
      <c r="AC41" s="1">
        <v>16.4742</v>
      </c>
      <c r="AD41" s="1">
        <v>12.819800000000001</v>
      </c>
      <c r="AE41" s="1">
        <v>11.537800000000001</v>
      </c>
      <c r="AF41" s="1">
        <v>8.0475999999999992</v>
      </c>
      <c r="AG41" s="1">
        <v>10.005599999999999</v>
      </c>
      <c r="AH41" s="1">
        <v>12.919600000000001</v>
      </c>
      <c r="AI41" s="1">
        <v>11.806800000000001</v>
      </c>
      <c r="AJ41" s="1">
        <v>7.1319999999999997</v>
      </c>
      <c r="AK41" s="1">
        <v>-0.14000000000000001</v>
      </c>
      <c r="AL41" s="1">
        <v>1.7484</v>
      </c>
      <c r="AM41" s="1"/>
      <c r="AN41" s="1">
        <f t="shared" si="9"/>
        <v>40</v>
      </c>
      <c r="AO41" s="1">
        <f t="shared" si="10"/>
        <v>0</v>
      </c>
    </row>
    <row r="42" spans="1:41" x14ac:dyDescent="0.25">
      <c r="A42" s="12" t="s">
        <v>80</v>
      </c>
      <c r="B42" s="12" t="s">
        <v>44</v>
      </c>
      <c r="C42" s="12">
        <v>-1</v>
      </c>
      <c r="D42" s="12">
        <v>3</v>
      </c>
      <c r="E42" s="12"/>
      <c r="F42" s="12">
        <v>1</v>
      </c>
      <c r="G42" s="13">
        <v>0</v>
      </c>
      <c r="H42" s="12">
        <v>50</v>
      </c>
      <c r="I42" s="12" t="s">
        <v>81</v>
      </c>
      <c r="J42" s="12"/>
      <c r="K42" s="12">
        <v>13</v>
      </c>
      <c r="L42" s="12">
        <f t="shared" si="15"/>
        <v>-13</v>
      </c>
      <c r="M42" s="12"/>
      <c r="N42" s="12"/>
      <c r="O42" s="12">
        <v>0</v>
      </c>
      <c r="P42" s="12"/>
      <c r="Q42" s="12"/>
      <c r="R42" s="12">
        <v>0</v>
      </c>
      <c r="S42" s="12">
        <f t="shared" si="16"/>
        <v>0</v>
      </c>
      <c r="T42" s="14"/>
      <c r="U42" s="5">
        <f t="shared" si="11"/>
        <v>0</v>
      </c>
      <c r="V42" s="5">
        <v>0</v>
      </c>
      <c r="W42" s="5"/>
      <c r="X42" s="21"/>
      <c r="Y42" s="21"/>
      <c r="Z42" s="1" t="e">
        <f t="shared" si="8"/>
        <v>#DIV/0!</v>
      </c>
      <c r="AA42" s="12" t="e">
        <f t="shared" si="18"/>
        <v>#DIV/0!</v>
      </c>
      <c r="AB42" s="12">
        <v>1.4</v>
      </c>
      <c r="AC42" s="12">
        <v>2.6</v>
      </c>
      <c r="AD42" s="12">
        <v>2.2000000000000002</v>
      </c>
      <c r="AE42" s="12">
        <v>4.4000000000000004</v>
      </c>
      <c r="AF42" s="12">
        <v>4</v>
      </c>
      <c r="AG42" s="12">
        <v>2.2000000000000002</v>
      </c>
      <c r="AH42" s="12">
        <v>3.2</v>
      </c>
      <c r="AI42" s="12">
        <v>7</v>
      </c>
      <c r="AJ42" s="12">
        <v>7</v>
      </c>
      <c r="AK42" s="12">
        <v>4.5999999999999996</v>
      </c>
      <c r="AL42" s="12">
        <v>4.5999999999999996</v>
      </c>
      <c r="AM42" s="12"/>
      <c r="AN42" s="1">
        <f t="shared" si="9"/>
        <v>0</v>
      </c>
      <c r="AO42" s="1">
        <f t="shared" si="10"/>
        <v>0</v>
      </c>
    </row>
    <row r="43" spans="1:41" x14ac:dyDescent="0.25">
      <c r="A43" s="1" t="s">
        <v>82</v>
      </c>
      <c r="B43" s="1" t="s">
        <v>44</v>
      </c>
      <c r="C43" s="1">
        <v>60</v>
      </c>
      <c r="D43" s="1">
        <v>43</v>
      </c>
      <c r="E43" s="1">
        <v>44</v>
      </c>
      <c r="F43" s="1">
        <v>54</v>
      </c>
      <c r="G43" s="7">
        <v>0.4</v>
      </c>
      <c r="H43" s="1">
        <v>40</v>
      </c>
      <c r="I43" s="15" t="s">
        <v>50</v>
      </c>
      <c r="J43" s="1"/>
      <c r="K43" s="1">
        <v>227</v>
      </c>
      <c r="L43" s="1">
        <f t="shared" si="15"/>
        <v>-183</v>
      </c>
      <c r="M43" s="1"/>
      <c r="N43" s="1"/>
      <c r="O43" s="1">
        <v>30</v>
      </c>
      <c r="P43" s="1"/>
      <c r="Q43" s="1"/>
      <c r="R43" s="1">
        <v>70</v>
      </c>
      <c r="S43" s="1">
        <f t="shared" si="16"/>
        <v>8.8000000000000007</v>
      </c>
      <c r="T43" s="5">
        <v>50</v>
      </c>
      <c r="U43" s="5">
        <f t="shared" si="11"/>
        <v>50</v>
      </c>
      <c r="V43" s="5">
        <v>50</v>
      </c>
      <c r="W43" s="5"/>
      <c r="X43" s="21"/>
      <c r="Y43" s="21"/>
      <c r="Z43" s="1">
        <f t="shared" si="8"/>
        <v>23.18181818181818</v>
      </c>
      <c r="AA43" s="1">
        <f t="shared" si="18"/>
        <v>17.5</v>
      </c>
      <c r="AB43" s="1">
        <v>24.4</v>
      </c>
      <c r="AC43" s="1">
        <v>15.4</v>
      </c>
      <c r="AD43" s="1">
        <v>-2.2000000000000002</v>
      </c>
      <c r="AE43" s="1">
        <v>-2.4</v>
      </c>
      <c r="AF43" s="1">
        <v>-3.6</v>
      </c>
      <c r="AG43" s="1">
        <v>-4.2</v>
      </c>
      <c r="AH43" s="1">
        <v>-3</v>
      </c>
      <c r="AI43" s="1">
        <v>8.4</v>
      </c>
      <c r="AJ43" s="1">
        <v>11.2</v>
      </c>
      <c r="AK43" s="1">
        <v>18.8</v>
      </c>
      <c r="AL43" s="1">
        <v>25.6</v>
      </c>
      <c r="AM43" s="1"/>
      <c r="AN43" s="1">
        <f t="shared" si="9"/>
        <v>20</v>
      </c>
      <c r="AO43" s="1">
        <f t="shared" si="10"/>
        <v>0</v>
      </c>
    </row>
    <row r="44" spans="1:41" x14ac:dyDescent="0.25">
      <c r="A44" s="1" t="s">
        <v>83</v>
      </c>
      <c r="B44" s="1" t="s">
        <v>44</v>
      </c>
      <c r="C44" s="1">
        <v>202</v>
      </c>
      <c r="D44" s="1">
        <v>159</v>
      </c>
      <c r="E44" s="1">
        <v>212</v>
      </c>
      <c r="F44" s="1">
        <v>101</v>
      </c>
      <c r="G44" s="7">
        <v>0.4</v>
      </c>
      <c r="H44" s="1">
        <v>45</v>
      </c>
      <c r="I44" s="15" t="s">
        <v>50</v>
      </c>
      <c r="J44" s="1"/>
      <c r="K44" s="1">
        <v>240</v>
      </c>
      <c r="L44" s="1">
        <f t="shared" si="15"/>
        <v>-28</v>
      </c>
      <c r="M44" s="1"/>
      <c r="N44" s="1"/>
      <c r="O44" s="1">
        <v>45</v>
      </c>
      <c r="P44" s="1"/>
      <c r="Q44" s="1"/>
      <c r="R44" s="1">
        <v>84</v>
      </c>
      <c r="S44" s="1">
        <f t="shared" si="16"/>
        <v>42.4</v>
      </c>
      <c r="T44" s="5">
        <v>150</v>
      </c>
      <c r="U44" s="5">
        <f t="shared" si="11"/>
        <v>150</v>
      </c>
      <c r="V44" s="5">
        <v>150</v>
      </c>
      <c r="W44" s="5"/>
      <c r="X44" s="21"/>
      <c r="Y44" s="21"/>
      <c r="Z44" s="1">
        <f t="shared" si="8"/>
        <v>8.9622641509433958</v>
      </c>
      <c r="AA44" s="1">
        <f t="shared" si="18"/>
        <v>5.4245283018867925</v>
      </c>
      <c r="AB44" s="1">
        <v>40.799999999999997</v>
      </c>
      <c r="AC44" s="1">
        <v>18.2</v>
      </c>
      <c r="AD44" s="1">
        <v>29.8</v>
      </c>
      <c r="AE44" s="1">
        <v>45.4</v>
      </c>
      <c r="AF44" s="1">
        <v>46.2</v>
      </c>
      <c r="AG44" s="1">
        <v>24.8</v>
      </c>
      <c r="AH44" s="1">
        <v>1</v>
      </c>
      <c r="AI44" s="1">
        <v>13.4</v>
      </c>
      <c r="AJ44" s="1">
        <v>25.4</v>
      </c>
      <c r="AK44" s="1">
        <v>53.4</v>
      </c>
      <c r="AL44" s="1">
        <v>48.2</v>
      </c>
      <c r="AM44" s="1"/>
      <c r="AN44" s="1">
        <f t="shared" si="9"/>
        <v>60</v>
      </c>
      <c r="AO44" s="1">
        <f t="shared" si="10"/>
        <v>0</v>
      </c>
    </row>
    <row r="45" spans="1:41" x14ac:dyDescent="0.25">
      <c r="A45" s="1" t="s">
        <v>84</v>
      </c>
      <c r="B45" s="1" t="s">
        <v>39</v>
      </c>
      <c r="C45" s="1">
        <v>-5.0670000000000002</v>
      </c>
      <c r="D45" s="1"/>
      <c r="E45" s="1">
        <v>8.7449999999999992</v>
      </c>
      <c r="F45" s="1">
        <v>-9.4359999999999999</v>
      </c>
      <c r="G45" s="7">
        <v>1</v>
      </c>
      <c r="H45" s="1">
        <v>40</v>
      </c>
      <c r="I45" s="15" t="s">
        <v>50</v>
      </c>
      <c r="J45" s="1"/>
      <c r="K45" s="1">
        <v>22.7</v>
      </c>
      <c r="L45" s="1">
        <f t="shared" si="15"/>
        <v>-13.955</v>
      </c>
      <c r="M45" s="1"/>
      <c r="N45" s="1"/>
      <c r="O45" s="1">
        <v>25</v>
      </c>
      <c r="P45" s="1">
        <v>-25</v>
      </c>
      <c r="Q45" s="1"/>
      <c r="R45" s="1">
        <v>42</v>
      </c>
      <c r="S45" s="1">
        <f t="shared" si="16"/>
        <v>1.7489999999999999</v>
      </c>
      <c r="T45" s="5">
        <v>55</v>
      </c>
      <c r="U45" s="5">
        <f>X45</f>
        <v>100</v>
      </c>
      <c r="V45" s="5">
        <v>100</v>
      </c>
      <c r="W45" s="5"/>
      <c r="X45" s="21">
        <f>VLOOKUP(A45,[1]Sheet!$A:$U,21,0)</f>
        <v>100</v>
      </c>
      <c r="Y45" s="21" t="str">
        <f>VLOOKUP(A45,[1]Sheet!$A:$V,22,0)</f>
        <v>Промо на сентябрь</v>
      </c>
      <c r="Z45" s="1">
        <f t="shared" si="8"/>
        <v>75.794168096054889</v>
      </c>
      <c r="AA45" s="1">
        <f t="shared" si="18"/>
        <v>18.61863922241281</v>
      </c>
      <c r="AB45" s="1">
        <v>10.768800000000001</v>
      </c>
      <c r="AC45" s="1">
        <v>16.7926</v>
      </c>
      <c r="AD45" s="1">
        <v>16.431999999999999</v>
      </c>
      <c r="AE45" s="1">
        <v>25.953600000000002</v>
      </c>
      <c r="AF45" s="1">
        <v>18.532599999999999</v>
      </c>
      <c r="AG45" s="1">
        <v>11.743399999999999</v>
      </c>
      <c r="AH45" s="1">
        <v>20.163799999999998</v>
      </c>
      <c r="AI45" s="1">
        <v>20.949200000000001</v>
      </c>
      <c r="AJ45" s="1">
        <v>12.702400000000001</v>
      </c>
      <c r="AK45" s="1">
        <v>19.9008</v>
      </c>
      <c r="AL45" s="1">
        <v>25.02</v>
      </c>
      <c r="AM45" s="1" t="s">
        <v>278</v>
      </c>
      <c r="AN45" s="1">
        <f t="shared" si="9"/>
        <v>100</v>
      </c>
      <c r="AO45" s="1">
        <f t="shared" si="10"/>
        <v>0</v>
      </c>
    </row>
    <row r="46" spans="1:41" x14ac:dyDescent="0.25">
      <c r="A46" s="1" t="s">
        <v>85</v>
      </c>
      <c r="B46" s="1" t="s">
        <v>44</v>
      </c>
      <c r="C46" s="1">
        <v>48</v>
      </c>
      <c r="D46" s="1">
        <v>1</v>
      </c>
      <c r="E46" s="1">
        <v>69</v>
      </c>
      <c r="F46" s="1">
        <v>-12</v>
      </c>
      <c r="G46" s="7">
        <v>0.35</v>
      </c>
      <c r="H46" s="1">
        <v>40</v>
      </c>
      <c r="I46" s="15" t="s">
        <v>50</v>
      </c>
      <c r="J46" s="1"/>
      <c r="K46" s="1">
        <v>139</v>
      </c>
      <c r="L46" s="1">
        <f t="shared" si="15"/>
        <v>-70</v>
      </c>
      <c r="M46" s="1"/>
      <c r="N46" s="1"/>
      <c r="O46" s="1">
        <v>54</v>
      </c>
      <c r="P46" s="1">
        <v>-60.000000000000007</v>
      </c>
      <c r="Q46" s="1"/>
      <c r="R46" s="1">
        <v>105</v>
      </c>
      <c r="S46" s="1">
        <f t="shared" si="16"/>
        <v>13.8</v>
      </c>
      <c r="T46" s="5">
        <v>140</v>
      </c>
      <c r="U46" s="5">
        <f t="shared" si="11"/>
        <v>140</v>
      </c>
      <c r="V46" s="5">
        <v>140</v>
      </c>
      <c r="W46" s="5"/>
      <c r="X46" s="21"/>
      <c r="Y46" s="21"/>
      <c r="Z46" s="1">
        <f t="shared" si="8"/>
        <v>16.44927536231884</v>
      </c>
      <c r="AA46" s="1">
        <f t="shared" si="18"/>
        <v>6.3043478260869561</v>
      </c>
      <c r="AB46" s="1">
        <v>44.6</v>
      </c>
      <c r="AC46" s="1">
        <v>77</v>
      </c>
      <c r="AD46" s="1">
        <v>65.400000000000006</v>
      </c>
      <c r="AE46" s="1">
        <v>53.2</v>
      </c>
      <c r="AF46" s="1">
        <v>48.8</v>
      </c>
      <c r="AG46" s="1">
        <v>40.6</v>
      </c>
      <c r="AH46" s="1">
        <v>37.200000000000003</v>
      </c>
      <c r="AI46" s="1">
        <v>44</v>
      </c>
      <c r="AJ46" s="1">
        <v>52.6</v>
      </c>
      <c r="AK46" s="1">
        <v>65.599999999999994</v>
      </c>
      <c r="AL46" s="1">
        <v>46.2</v>
      </c>
      <c r="AM46" s="1"/>
      <c r="AN46" s="1">
        <f t="shared" si="9"/>
        <v>49</v>
      </c>
      <c r="AO46" s="1">
        <f t="shared" si="10"/>
        <v>0</v>
      </c>
    </row>
    <row r="47" spans="1:41" x14ac:dyDescent="0.25">
      <c r="A47" s="1" t="s">
        <v>86</v>
      </c>
      <c r="B47" s="1" t="s">
        <v>44</v>
      </c>
      <c r="C47" s="1">
        <v>141</v>
      </c>
      <c r="D47" s="1">
        <v>161</v>
      </c>
      <c r="E47" s="1">
        <v>297</v>
      </c>
      <c r="F47" s="1">
        <v>7</v>
      </c>
      <c r="G47" s="7">
        <v>0.4</v>
      </c>
      <c r="H47" s="1">
        <v>40</v>
      </c>
      <c r="I47" s="1" t="s">
        <v>40</v>
      </c>
      <c r="J47" s="1"/>
      <c r="K47" s="1">
        <v>379</v>
      </c>
      <c r="L47" s="1">
        <f t="shared" si="15"/>
        <v>-82</v>
      </c>
      <c r="M47" s="1"/>
      <c r="N47" s="1"/>
      <c r="O47" s="1">
        <v>298.42400000000009</v>
      </c>
      <c r="P47" s="1"/>
      <c r="Q47" s="1"/>
      <c r="R47" s="1">
        <v>422.976</v>
      </c>
      <c r="S47" s="1">
        <f t="shared" si="16"/>
        <v>59.4</v>
      </c>
      <c r="T47" s="5"/>
      <c r="U47" s="5">
        <f>T47+S47*$U$1</f>
        <v>89.1</v>
      </c>
      <c r="V47" s="5">
        <v>89.1</v>
      </c>
      <c r="W47" s="5"/>
      <c r="X47" s="21"/>
      <c r="Y47" s="21"/>
      <c r="Z47" s="1">
        <f t="shared" si="8"/>
        <v>13.762626262626265</v>
      </c>
      <c r="AA47" s="1">
        <f t="shared" si="18"/>
        <v>12.262626262626265</v>
      </c>
      <c r="AB47" s="1">
        <v>74.400000000000006</v>
      </c>
      <c r="AC47" s="1">
        <v>51.2</v>
      </c>
      <c r="AD47" s="1">
        <v>37.4</v>
      </c>
      <c r="AE47" s="1">
        <v>52.2</v>
      </c>
      <c r="AF47" s="1">
        <v>49.4</v>
      </c>
      <c r="AG47" s="1">
        <v>36</v>
      </c>
      <c r="AH47" s="1">
        <v>40.799999999999997</v>
      </c>
      <c r="AI47" s="1">
        <v>54</v>
      </c>
      <c r="AJ47" s="1">
        <v>35.799999999999997</v>
      </c>
      <c r="AK47" s="1">
        <v>5.6</v>
      </c>
      <c r="AL47" s="1">
        <v>1</v>
      </c>
      <c r="AM47" s="1"/>
      <c r="AN47" s="1">
        <f t="shared" si="9"/>
        <v>36</v>
      </c>
      <c r="AO47" s="1">
        <f t="shared" si="10"/>
        <v>0</v>
      </c>
    </row>
    <row r="48" spans="1:41" x14ac:dyDescent="0.25">
      <c r="A48" s="1" t="s">
        <v>87</v>
      </c>
      <c r="B48" s="1" t="s">
        <v>39</v>
      </c>
      <c r="C48" s="1">
        <v>47.493000000000002</v>
      </c>
      <c r="D48" s="1">
        <v>109.432</v>
      </c>
      <c r="E48" s="1">
        <v>79.418999999999997</v>
      </c>
      <c r="F48" s="1">
        <v>62.136000000000003</v>
      </c>
      <c r="G48" s="7">
        <v>1</v>
      </c>
      <c r="H48" s="1">
        <v>50</v>
      </c>
      <c r="I48" s="1" t="s">
        <v>40</v>
      </c>
      <c r="J48" s="1"/>
      <c r="K48" s="1">
        <v>75.7</v>
      </c>
      <c r="L48" s="1">
        <f t="shared" si="15"/>
        <v>3.7189999999999941</v>
      </c>
      <c r="M48" s="1"/>
      <c r="N48" s="1"/>
      <c r="O48" s="1">
        <v>45.780527999999983</v>
      </c>
      <c r="P48" s="1"/>
      <c r="Q48" s="1"/>
      <c r="R48" s="1">
        <v>0</v>
      </c>
      <c r="S48" s="1">
        <f t="shared" si="16"/>
        <v>15.883799999999999</v>
      </c>
      <c r="T48" s="5">
        <f t="shared" ref="T48:T63" si="19">12*S48-R48-Q48-P48-O48-F48</f>
        <v>82.68907200000001</v>
      </c>
      <c r="U48" s="5">
        <f t="shared" si="11"/>
        <v>82.68907200000001</v>
      </c>
      <c r="V48" s="5">
        <v>82.68907200000001</v>
      </c>
      <c r="W48" s="5"/>
      <c r="X48" s="21"/>
      <c r="Y48" s="21"/>
      <c r="Z48" s="1">
        <f t="shared" si="8"/>
        <v>12</v>
      </c>
      <c r="AA48" s="1">
        <f t="shared" si="18"/>
        <v>6.7941253352472328</v>
      </c>
      <c r="AB48" s="1">
        <v>13.0962</v>
      </c>
      <c r="AC48" s="1">
        <v>16.213799999999999</v>
      </c>
      <c r="AD48" s="1">
        <v>20.591200000000001</v>
      </c>
      <c r="AE48" s="1">
        <v>19.520800000000001</v>
      </c>
      <c r="AF48" s="1">
        <v>15.0738</v>
      </c>
      <c r="AG48" s="1">
        <v>11.8742</v>
      </c>
      <c r="AH48" s="1">
        <v>13.991400000000001</v>
      </c>
      <c r="AI48" s="1">
        <v>17.976199999999999</v>
      </c>
      <c r="AJ48" s="1">
        <v>14.181800000000001</v>
      </c>
      <c r="AK48" s="1">
        <v>13.4892</v>
      </c>
      <c r="AL48" s="1">
        <v>18.758400000000002</v>
      </c>
      <c r="AM48" s="1"/>
      <c r="AN48" s="1">
        <f t="shared" si="9"/>
        <v>83</v>
      </c>
      <c r="AO48" s="1">
        <f t="shared" si="10"/>
        <v>0</v>
      </c>
    </row>
    <row r="49" spans="1:41" x14ac:dyDescent="0.25">
      <c r="A49" s="1" t="s">
        <v>88</v>
      </c>
      <c r="B49" s="1" t="s">
        <v>39</v>
      </c>
      <c r="C49" s="1">
        <v>28.358000000000001</v>
      </c>
      <c r="D49" s="1">
        <v>86.129000000000005</v>
      </c>
      <c r="E49" s="1">
        <v>81.900000000000006</v>
      </c>
      <c r="F49" s="1">
        <v>28.436</v>
      </c>
      <c r="G49" s="7">
        <v>1</v>
      </c>
      <c r="H49" s="1">
        <v>50</v>
      </c>
      <c r="I49" s="1" t="s">
        <v>40</v>
      </c>
      <c r="J49" s="1"/>
      <c r="K49" s="1">
        <v>167.7</v>
      </c>
      <c r="L49" s="1">
        <f t="shared" si="15"/>
        <v>-85.799999999999983</v>
      </c>
      <c r="M49" s="1"/>
      <c r="N49" s="1"/>
      <c r="O49" s="1">
        <v>0</v>
      </c>
      <c r="P49" s="1"/>
      <c r="Q49" s="1"/>
      <c r="R49" s="1">
        <v>0</v>
      </c>
      <c r="S49" s="1">
        <f t="shared" si="16"/>
        <v>16.380000000000003</v>
      </c>
      <c r="T49" s="5">
        <f>9*S49-R49-Q49-P49-O49-F49</f>
        <v>118.98400000000001</v>
      </c>
      <c r="U49" s="5">
        <f>X49</f>
        <v>200</v>
      </c>
      <c r="V49" s="5">
        <v>92.199999999999989</v>
      </c>
      <c r="W49" s="5">
        <f>U49*$W$1</f>
        <v>107.80000000000001</v>
      </c>
      <c r="X49" s="21">
        <f>VLOOKUP(A49,[1]Sheet!$A:$U,21,0)</f>
        <v>200</v>
      </c>
      <c r="Y49" s="21" t="str">
        <f>VLOOKUP(A49,[1]Sheet!$A:$V,22,0)</f>
        <v>Промо на сентябрь</v>
      </c>
      <c r="Z49" s="1">
        <f t="shared" si="8"/>
        <v>13.946031746031744</v>
      </c>
      <c r="AA49" s="1">
        <f t="shared" si="18"/>
        <v>1.7360195360195358</v>
      </c>
      <c r="AB49" s="1">
        <v>5.3814000000000002</v>
      </c>
      <c r="AC49" s="1">
        <v>-1.0511999999999999</v>
      </c>
      <c r="AD49" s="1">
        <v>-0.624</v>
      </c>
      <c r="AE49" s="1">
        <v>14.5092</v>
      </c>
      <c r="AF49" s="1">
        <v>18.899000000000001</v>
      </c>
      <c r="AG49" s="1">
        <v>16.585999999999999</v>
      </c>
      <c r="AH49" s="1">
        <v>22.036000000000001</v>
      </c>
      <c r="AI49" s="1">
        <v>27.9922</v>
      </c>
      <c r="AJ49" s="1">
        <v>30.0686</v>
      </c>
      <c r="AK49" s="1">
        <v>29.352599999999999</v>
      </c>
      <c r="AL49" s="1">
        <v>27.397400000000001</v>
      </c>
      <c r="AM49" s="1" t="s">
        <v>279</v>
      </c>
      <c r="AN49" s="1">
        <f t="shared" si="9"/>
        <v>92</v>
      </c>
      <c r="AO49" s="1">
        <f t="shared" si="10"/>
        <v>108</v>
      </c>
    </row>
    <row r="50" spans="1:41" x14ac:dyDescent="0.25">
      <c r="A50" s="1" t="s">
        <v>89</v>
      </c>
      <c r="B50" s="1" t="s">
        <v>39</v>
      </c>
      <c r="C50" s="1">
        <v>0.434</v>
      </c>
      <c r="D50" s="1"/>
      <c r="E50" s="1">
        <v>-4.1429999999999998</v>
      </c>
      <c r="F50" s="1">
        <v>0.434</v>
      </c>
      <c r="G50" s="7">
        <v>1</v>
      </c>
      <c r="H50" s="1">
        <v>45</v>
      </c>
      <c r="I50" s="15" t="s">
        <v>50</v>
      </c>
      <c r="J50" s="1"/>
      <c r="K50" s="1">
        <v>19.899999999999999</v>
      </c>
      <c r="L50" s="1">
        <f t="shared" si="15"/>
        <v>-24.042999999999999</v>
      </c>
      <c r="M50" s="1"/>
      <c r="N50" s="1"/>
      <c r="O50" s="1">
        <v>45</v>
      </c>
      <c r="P50" s="1">
        <v>-45</v>
      </c>
      <c r="Q50" s="1"/>
      <c r="R50" s="1">
        <v>84</v>
      </c>
      <c r="S50" s="1">
        <f t="shared" si="16"/>
        <v>-0.8286</v>
      </c>
      <c r="T50" s="5">
        <v>110</v>
      </c>
      <c r="U50" s="5">
        <f t="shared" si="11"/>
        <v>110</v>
      </c>
      <c r="V50" s="5">
        <v>110</v>
      </c>
      <c r="W50" s="5"/>
      <c r="X50" s="21"/>
      <c r="Y50" s="21"/>
      <c r="Z50" s="1">
        <f t="shared" si="8"/>
        <v>-234.65363263335746</v>
      </c>
      <c r="AA50" s="1">
        <f t="shared" si="18"/>
        <v>-101.89958966932174</v>
      </c>
      <c r="AB50" s="1">
        <v>-1.7338</v>
      </c>
      <c r="AC50" s="1">
        <v>-0.9052</v>
      </c>
      <c r="AD50" s="1">
        <v>-0.41320000000000001</v>
      </c>
      <c r="AE50" s="1">
        <v>43.441600000000001</v>
      </c>
      <c r="AF50" s="1">
        <v>47.674599999999998</v>
      </c>
      <c r="AG50" s="1">
        <v>5.6109999999999998</v>
      </c>
      <c r="AH50" s="1">
        <v>1.4787999999999999</v>
      </c>
      <c r="AI50" s="1">
        <v>26.138999999999999</v>
      </c>
      <c r="AJ50" s="1">
        <v>35.246200000000002</v>
      </c>
      <c r="AK50" s="1">
        <v>41.248800000000003</v>
      </c>
      <c r="AL50" s="1">
        <v>33.955399999999997</v>
      </c>
      <c r="AM50" s="1"/>
      <c r="AN50" s="1">
        <f t="shared" si="9"/>
        <v>110</v>
      </c>
      <c r="AO50" s="1">
        <f t="shared" si="10"/>
        <v>0</v>
      </c>
    </row>
    <row r="51" spans="1:41" x14ac:dyDescent="0.25">
      <c r="A51" s="1" t="s">
        <v>90</v>
      </c>
      <c r="B51" s="1" t="s">
        <v>44</v>
      </c>
      <c r="C51" s="1">
        <v>118</v>
      </c>
      <c r="D51" s="1">
        <v>51</v>
      </c>
      <c r="E51" s="1">
        <v>157</v>
      </c>
      <c r="F51" s="1">
        <v>-4</v>
      </c>
      <c r="G51" s="7">
        <v>0.45</v>
      </c>
      <c r="H51" s="1">
        <v>50</v>
      </c>
      <c r="I51" s="1" t="s">
        <v>40</v>
      </c>
      <c r="J51" s="1"/>
      <c r="K51" s="1">
        <v>169</v>
      </c>
      <c r="L51" s="1">
        <f t="shared" si="15"/>
        <v>-12</v>
      </c>
      <c r="M51" s="1"/>
      <c r="N51" s="1"/>
      <c r="O51" s="1">
        <v>182.78</v>
      </c>
      <c r="P51" s="1"/>
      <c r="Q51" s="1"/>
      <c r="R51" s="1">
        <v>137.62</v>
      </c>
      <c r="S51" s="1">
        <f t="shared" si="16"/>
        <v>31.4</v>
      </c>
      <c r="T51" s="5">
        <f t="shared" si="19"/>
        <v>60.399999999999949</v>
      </c>
      <c r="U51" s="5">
        <f t="shared" ref="U51" si="20">X51</f>
        <v>133</v>
      </c>
      <c r="V51" s="5">
        <v>61.313000000000002</v>
      </c>
      <c r="W51" s="5">
        <f>U51*$W$1</f>
        <v>71.686999999999998</v>
      </c>
      <c r="X51" s="21">
        <f>VLOOKUP(A51,[1]Sheet!$A:$U,21,0)</f>
        <v>133</v>
      </c>
      <c r="Y51" s="21"/>
      <c r="Z51" s="1">
        <f t="shared" si="8"/>
        <v>14.312101910828025</v>
      </c>
      <c r="AA51" s="1">
        <f t="shared" si="18"/>
        <v>10.076433121019107</v>
      </c>
      <c r="AB51" s="1">
        <v>32.4</v>
      </c>
      <c r="AC51" s="1">
        <v>34</v>
      </c>
      <c r="AD51" s="1">
        <v>40.4</v>
      </c>
      <c r="AE51" s="1">
        <v>25.2</v>
      </c>
      <c r="AF51" s="1">
        <v>18.399999999999999</v>
      </c>
      <c r="AG51" s="1">
        <v>19.8</v>
      </c>
      <c r="AH51" s="1">
        <v>29.6</v>
      </c>
      <c r="AI51" s="1">
        <v>39.4</v>
      </c>
      <c r="AJ51" s="1">
        <v>27.6</v>
      </c>
      <c r="AK51" s="1">
        <v>20.8</v>
      </c>
      <c r="AL51" s="1">
        <v>35.4</v>
      </c>
      <c r="AM51" s="1"/>
      <c r="AN51" s="1">
        <f t="shared" si="9"/>
        <v>28</v>
      </c>
      <c r="AO51" s="1">
        <f t="shared" si="10"/>
        <v>32</v>
      </c>
    </row>
    <row r="52" spans="1:41" x14ac:dyDescent="0.25">
      <c r="A52" s="1" t="s">
        <v>91</v>
      </c>
      <c r="B52" s="1" t="s">
        <v>44</v>
      </c>
      <c r="C52" s="1">
        <v>187</v>
      </c>
      <c r="D52" s="1">
        <v>75</v>
      </c>
      <c r="E52" s="1">
        <v>90</v>
      </c>
      <c r="F52" s="1">
        <v>-37</v>
      </c>
      <c r="G52" s="7">
        <v>0.45</v>
      </c>
      <c r="H52" s="1">
        <v>50</v>
      </c>
      <c r="I52" s="1" t="s">
        <v>40</v>
      </c>
      <c r="J52" s="1"/>
      <c r="K52" s="1">
        <v>126</v>
      </c>
      <c r="L52" s="1">
        <f t="shared" si="15"/>
        <v>-36</v>
      </c>
      <c r="M52" s="1"/>
      <c r="N52" s="1"/>
      <c r="O52" s="1">
        <v>357.81599999999997</v>
      </c>
      <c r="P52" s="1"/>
      <c r="Q52" s="1"/>
      <c r="R52" s="1">
        <v>76.384000000000071</v>
      </c>
      <c r="S52" s="1">
        <f t="shared" si="16"/>
        <v>18</v>
      </c>
      <c r="T52" s="5"/>
      <c r="U52" s="5"/>
      <c r="V52" s="5">
        <v>0</v>
      </c>
      <c r="W52" s="5"/>
      <c r="X52" s="21">
        <f>VLOOKUP(A52,[1]Sheet!$A:$U,21,0)</f>
        <v>252</v>
      </c>
      <c r="Y52" s="23" t="str">
        <f>VLOOKUP(A52,[1]Sheet!$A:$V,22,0)</f>
        <v>убрать</v>
      </c>
      <c r="Z52" s="1">
        <f t="shared" si="8"/>
        <v>22.06666666666667</v>
      </c>
      <c r="AA52" s="1">
        <f t="shared" si="18"/>
        <v>22.06666666666667</v>
      </c>
      <c r="AB52" s="1">
        <v>39.200000000000003</v>
      </c>
      <c r="AC52" s="1">
        <v>60.8</v>
      </c>
      <c r="AD52" s="1">
        <v>57.4</v>
      </c>
      <c r="AE52" s="1">
        <v>45.4</v>
      </c>
      <c r="AF52" s="1">
        <v>38.200000000000003</v>
      </c>
      <c r="AG52" s="1">
        <v>34.200000000000003</v>
      </c>
      <c r="AH52" s="1">
        <v>42.6</v>
      </c>
      <c r="AI52" s="1">
        <v>64.400000000000006</v>
      </c>
      <c r="AJ52" s="1">
        <v>46.6</v>
      </c>
      <c r="AK52" s="1">
        <v>38.4</v>
      </c>
      <c r="AL52" s="1">
        <v>47.2</v>
      </c>
      <c r="AM52" s="1"/>
      <c r="AN52" s="1">
        <f t="shared" si="9"/>
        <v>0</v>
      </c>
      <c r="AO52" s="1">
        <f t="shared" si="10"/>
        <v>0</v>
      </c>
    </row>
    <row r="53" spans="1:41" x14ac:dyDescent="0.25">
      <c r="A53" s="1" t="s">
        <v>92</v>
      </c>
      <c r="B53" s="1" t="s">
        <v>44</v>
      </c>
      <c r="C53" s="1">
        <v>98</v>
      </c>
      <c r="D53" s="1"/>
      <c r="E53" s="1">
        <v>71</v>
      </c>
      <c r="F53" s="1">
        <v>19</v>
      </c>
      <c r="G53" s="7">
        <v>0.4</v>
      </c>
      <c r="H53" s="1">
        <v>40</v>
      </c>
      <c r="I53" s="15" t="s">
        <v>50</v>
      </c>
      <c r="J53" s="1"/>
      <c r="K53" s="1">
        <v>70</v>
      </c>
      <c r="L53" s="1">
        <f t="shared" si="15"/>
        <v>1</v>
      </c>
      <c r="M53" s="1"/>
      <c r="N53" s="1"/>
      <c r="O53" s="1">
        <v>0</v>
      </c>
      <c r="P53" s="1"/>
      <c r="Q53" s="1"/>
      <c r="R53" s="1">
        <v>35</v>
      </c>
      <c r="S53" s="1">
        <f t="shared" si="16"/>
        <v>14.2</v>
      </c>
      <c r="T53" s="5">
        <v>50</v>
      </c>
      <c r="U53" s="5">
        <f t="shared" si="11"/>
        <v>50</v>
      </c>
      <c r="V53" s="5">
        <v>50</v>
      </c>
      <c r="W53" s="5"/>
      <c r="X53" s="21"/>
      <c r="Y53" s="21"/>
      <c r="Z53" s="1">
        <f t="shared" si="8"/>
        <v>7.323943661971831</v>
      </c>
      <c r="AA53" s="1">
        <f t="shared" si="18"/>
        <v>3.802816901408451</v>
      </c>
      <c r="AB53" s="1">
        <v>16.399999999999999</v>
      </c>
      <c r="AC53" s="1">
        <v>5.4</v>
      </c>
      <c r="AD53" s="1">
        <v>1.4</v>
      </c>
      <c r="AE53" s="1">
        <v>11.6</v>
      </c>
      <c r="AF53" s="1">
        <v>12.6</v>
      </c>
      <c r="AG53" s="1">
        <v>5.4</v>
      </c>
      <c r="AH53" s="1">
        <v>5</v>
      </c>
      <c r="AI53" s="1">
        <v>4.8</v>
      </c>
      <c r="AJ53" s="1">
        <v>5.2</v>
      </c>
      <c r="AK53" s="1">
        <v>8.4</v>
      </c>
      <c r="AL53" s="1">
        <v>6.2</v>
      </c>
      <c r="AM53" s="1"/>
      <c r="AN53" s="1">
        <f t="shared" si="9"/>
        <v>20</v>
      </c>
      <c r="AO53" s="1">
        <f t="shared" si="10"/>
        <v>0</v>
      </c>
    </row>
    <row r="54" spans="1:41" x14ac:dyDescent="0.25">
      <c r="A54" s="1" t="s">
        <v>93</v>
      </c>
      <c r="B54" s="1" t="s">
        <v>44</v>
      </c>
      <c r="C54" s="1">
        <v>42</v>
      </c>
      <c r="D54" s="1">
        <v>24</v>
      </c>
      <c r="E54" s="1">
        <v>41</v>
      </c>
      <c r="F54" s="1">
        <v>15</v>
      </c>
      <c r="G54" s="7">
        <v>0.4</v>
      </c>
      <c r="H54" s="1">
        <v>40</v>
      </c>
      <c r="I54" s="15" t="s">
        <v>50</v>
      </c>
      <c r="J54" s="1"/>
      <c r="K54" s="1">
        <v>48</v>
      </c>
      <c r="L54" s="1">
        <f t="shared" si="15"/>
        <v>-7</v>
      </c>
      <c r="M54" s="1"/>
      <c r="N54" s="1"/>
      <c r="O54" s="1">
        <v>14.900000000000009</v>
      </c>
      <c r="P54" s="1"/>
      <c r="Q54" s="1"/>
      <c r="R54" s="1">
        <v>35</v>
      </c>
      <c r="S54" s="1">
        <f t="shared" si="16"/>
        <v>8.1999999999999993</v>
      </c>
      <c r="T54" s="5">
        <v>50</v>
      </c>
      <c r="U54" s="5">
        <f t="shared" si="11"/>
        <v>50</v>
      </c>
      <c r="V54" s="5">
        <v>50</v>
      </c>
      <c r="W54" s="5"/>
      <c r="X54" s="21"/>
      <c r="Y54" s="21"/>
      <c r="Z54" s="1">
        <f t="shared" si="8"/>
        <v>14.012195121951221</v>
      </c>
      <c r="AA54" s="1">
        <f t="shared" si="18"/>
        <v>7.9146341463414647</v>
      </c>
      <c r="AB54" s="1">
        <v>12.4</v>
      </c>
      <c r="AC54" s="1">
        <v>6.4</v>
      </c>
      <c r="AD54" s="1">
        <v>1.6</v>
      </c>
      <c r="AE54" s="1">
        <v>2.6</v>
      </c>
      <c r="AF54" s="1">
        <v>2.4</v>
      </c>
      <c r="AG54" s="1">
        <v>5.6</v>
      </c>
      <c r="AH54" s="1">
        <v>7.2</v>
      </c>
      <c r="AI54" s="1">
        <v>17.2</v>
      </c>
      <c r="AJ54" s="1">
        <v>18.600000000000001</v>
      </c>
      <c r="AK54" s="1">
        <v>9.4</v>
      </c>
      <c r="AL54" s="1">
        <v>6.2</v>
      </c>
      <c r="AM54" s="1"/>
      <c r="AN54" s="1">
        <f t="shared" si="9"/>
        <v>20</v>
      </c>
      <c r="AO54" s="1">
        <f t="shared" si="10"/>
        <v>0</v>
      </c>
    </row>
    <row r="55" spans="1:41" x14ac:dyDescent="0.25">
      <c r="A55" s="1" t="s">
        <v>94</v>
      </c>
      <c r="B55" s="1" t="s">
        <v>39</v>
      </c>
      <c r="C55" s="1">
        <v>30.876999999999999</v>
      </c>
      <c r="D55" s="1">
        <v>33.503999999999998</v>
      </c>
      <c r="E55" s="1">
        <v>28.332999999999998</v>
      </c>
      <c r="F55" s="1">
        <v>2.3730000000000002</v>
      </c>
      <c r="G55" s="7">
        <v>1</v>
      </c>
      <c r="H55" s="1">
        <v>50</v>
      </c>
      <c r="I55" s="1" t="s">
        <v>40</v>
      </c>
      <c r="J55" s="1"/>
      <c r="K55" s="1">
        <v>36.4</v>
      </c>
      <c r="L55" s="1">
        <f t="shared" si="15"/>
        <v>-8.0670000000000002</v>
      </c>
      <c r="M55" s="1"/>
      <c r="N55" s="1"/>
      <c r="O55" s="1">
        <v>86.923036000000025</v>
      </c>
      <c r="P55" s="1"/>
      <c r="Q55" s="1"/>
      <c r="R55" s="1">
        <v>0</v>
      </c>
      <c r="S55" s="1">
        <f t="shared" si="16"/>
        <v>5.6665999999999999</v>
      </c>
      <c r="T55" s="5"/>
      <c r="U55" s="5">
        <f t="shared" ref="U55:U57" si="21">X55</f>
        <v>100</v>
      </c>
      <c r="V55" s="5">
        <v>100</v>
      </c>
      <c r="W55" s="5"/>
      <c r="X55" s="21">
        <f>VLOOKUP(A55,[1]Sheet!$A:$U,21,0)</f>
        <v>100</v>
      </c>
      <c r="Y55" s="21" t="str">
        <f>VLOOKUP(A55,[1]Sheet!$A:$V,22,0)</f>
        <v>Промо на сентябрь</v>
      </c>
      <c r="Z55" s="1">
        <f t="shared" si="8"/>
        <v>33.405575830303889</v>
      </c>
      <c r="AA55" s="1">
        <f t="shared" si="18"/>
        <v>15.758309391875205</v>
      </c>
      <c r="AB55" s="1">
        <v>8.1686000000000014</v>
      </c>
      <c r="AC55" s="1">
        <v>15.286799999999999</v>
      </c>
      <c r="AD55" s="1">
        <v>16.098400000000002</v>
      </c>
      <c r="AE55" s="1">
        <v>11.240600000000001</v>
      </c>
      <c r="AF55" s="1">
        <v>10.952</v>
      </c>
      <c r="AG55" s="1">
        <v>10.156599999999999</v>
      </c>
      <c r="AH55" s="1">
        <v>6.9614000000000003</v>
      </c>
      <c r="AI55" s="1">
        <v>12.7996</v>
      </c>
      <c r="AJ55" s="1">
        <v>15.9956</v>
      </c>
      <c r="AK55" s="1">
        <v>14.400600000000001</v>
      </c>
      <c r="AL55" s="1">
        <v>10.9184</v>
      </c>
      <c r="AM55" s="1" t="s">
        <v>278</v>
      </c>
      <c r="AN55" s="1">
        <f t="shared" si="9"/>
        <v>100</v>
      </c>
      <c r="AO55" s="1">
        <f t="shared" si="10"/>
        <v>0</v>
      </c>
    </row>
    <row r="56" spans="1:41" x14ac:dyDescent="0.25">
      <c r="A56" s="1" t="s">
        <v>95</v>
      </c>
      <c r="B56" s="1" t="s">
        <v>44</v>
      </c>
      <c r="C56" s="1">
        <v>252</v>
      </c>
      <c r="D56" s="1"/>
      <c r="E56" s="1">
        <v>59</v>
      </c>
      <c r="F56" s="1">
        <v>176</v>
      </c>
      <c r="G56" s="7">
        <v>0.1</v>
      </c>
      <c r="H56" s="1">
        <v>731</v>
      </c>
      <c r="I56" s="1" t="s">
        <v>40</v>
      </c>
      <c r="J56" s="1"/>
      <c r="K56" s="1">
        <v>62</v>
      </c>
      <c r="L56" s="1">
        <f t="shared" si="15"/>
        <v>-3</v>
      </c>
      <c r="M56" s="1"/>
      <c r="N56" s="1"/>
      <c r="O56" s="1">
        <v>0</v>
      </c>
      <c r="P56" s="1"/>
      <c r="Q56" s="1"/>
      <c r="R56" s="1">
        <v>0</v>
      </c>
      <c r="S56" s="1">
        <f t="shared" si="16"/>
        <v>11.8</v>
      </c>
      <c r="T56" s="5"/>
      <c r="U56" s="5">
        <f t="shared" si="21"/>
        <v>750</v>
      </c>
      <c r="V56" s="5">
        <v>345.75</v>
      </c>
      <c r="W56" s="5">
        <f t="shared" ref="W56:W57" si="22">U56*$W$1</f>
        <v>404.25</v>
      </c>
      <c r="X56" s="21">
        <f>VLOOKUP(A56,[1]Sheet!$A:$U,21,0)</f>
        <v>750</v>
      </c>
      <c r="Y56" s="21" t="str">
        <f>VLOOKUP(A56,[1]Sheet!$A:$V,22,0)</f>
        <v>Промо на сентябрь</v>
      </c>
      <c r="Z56" s="1">
        <f t="shared" si="8"/>
        <v>78.474576271186436</v>
      </c>
      <c r="AA56" s="1">
        <f t="shared" si="18"/>
        <v>14.915254237288135</v>
      </c>
      <c r="AB56" s="1">
        <v>11</v>
      </c>
      <c r="AC56" s="1">
        <v>8.8000000000000007</v>
      </c>
      <c r="AD56" s="1">
        <v>7.2</v>
      </c>
      <c r="AE56" s="1">
        <v>5.6</v>
      </c>
      <c r="AF56" s="1">
        <v>9</v>
      </c>
      <c r="AG56" s="1">
        <v>20</v>
      </c>
      <c r="AH56" s="1">
        <v>18.8</v>
      </c>
      <c r="AI56" s="1">
        <v>13.8</v>
      </c>
      <c r="AJ56" s="1">
        <v>10.4</v>
      </c>
      <c r="AK56" s="1">
        <v>7.8</v>
      </c>
      <c r="AL56" s="1">
        <v>11</v>
      </c>
      <c r="AM56" s="1" t="s">
        <v>280</v>
      </c>
      <c r="AN56" s="1">
        <f t="shared" si="9"/>
        <v>35</v>
      </c>
      <c r="AO56" s="1">
        <f t="shared" si="10"/>
        <v>40</v>
      </c>
    </row>
    <row r="57" spans="1:41" x14ac:dyDescent="0.25">
      <c r="A57" s="1" t="s">
        <v>97</v>
      </c>
      <c r="B57" s="1" t="s">
        <v>39</v>
      </c>
      <c r="C57" s="1">
        <v>44.87</v>
      </c>
      <c r="D57" s="1">
        <v>209.822</v>
      </c>
      <c r="E57" s="1">
        <v>131.68</v>
      </c>
      <c r="F57" s="1">
        <v>92.942999999999998</v>
      </c>
      <c r="G57" s="7">
        <v>1</v>
      </c>
      <c r="H57" s="1">
        <v>50</v>
      </c>
      <c r="I57" s="1" t="s">
        <v>40</v>
      </c>
      <c r="J57" s="1"/>
      <c r="K57" s="1">
        <v>137.30000000000001</v>
      </c>
      <c r="L57" s="1">
        <f t="shared" si="15"/>
        <v>-5.6200000000000045</v>
      </c>
      <c r="M57" s="1"/>
      <c r="N57" s="1"/>
      <c r="O57" s="1">
        <v>20.703184</v>
      </c>
      <c r="P57" s="1"/>
      <c r="Q57" s="1"/>
      <c r="R57" s="1">
        <v>0</v>
      </c>
      <c r="S57" s="1">
        <f t="shared" si="16"/>
        <v>26.336000000000002</v>
      </c>
      <c r="T57" s="5">
        <f>11*S57-R57-Q57-P57-O57-F57</f>
        <v>176.04981600000002</v>
      </c>
      <c r="U57" s="5">
        <f t="shared" si="21"/>
        <v>300</v>
      </c>
      <c r="V57" s="5">
        <v>138.29999999999998</v>
      </c>
      <c r="W57" s="5">
        <f t="shared" si="22"/>
        <v>161.70000000000002</v>
      </c>
      <c r="X57" s="21">
        <f>VLOOKUP(A57,[1]Sheet!$A:$U,21,0)</f>
        <v>300</v>
      </c>
      <c r="Y57" s="21" t="str">
        <f>VLOOKUP(A57,[1]Sheet!$A:$V,22,0)</f>
        <v>Промо на сентябрь</v>
      </c>
      <c r="Z57" s="1">
        <f t="shared" si="8"/>
        <v>15.70649240583232</v>
      </c>
      <c r="AA57" s="1">
        <f t="shared" si="18"/>
        <v>4.3152408869987848</v>
      </c>
      <c r="AB57" s="1">
        <v>11.852399999999999</v>
      </c>
      <c r="AC57" s="1">
        <v>21.3476</v>
      </c>
      <c r="AD57" s="1">
        <v>36.7468</v>
      </c>
      <c r="AE57" s="1">
        <v>31.912400000000002</v>
      </c>
      <c r="AF57" s="1">
        <v>21.061199999999999</v>
      </c>
      <c r="AG57" s="1">
        <v>16.559200000000001</v>
      </c>
      <c r="AH57" s="1">
        <v>14.959199999999999</v>
      </c>
      <c r="AI57" s="1">
        <v>24.415600000000001</v>
      </c>
      <c r="AJ57" s="1">
        <v>28.695599999999999</v>
      </c>
      <c r="AK57" s="1">
        <v>35.496600000000001</v>
      </c>
      <c r="AL57" s="1">
        <v>35.494799999999998</v>
      </c>
      <c r="AM57" s="1" t="s">
        <v>278</v>
      </c>
      <c r="AN57" s="1">
        <f t="shared" si="9"/>
        <v>138</v>
      </c>
      <c r="AO57" s="1">
        <f t="shared" si="10"/>
        <v>162</v>
      </c>
    </row>
    <row r="58" spans="1:41" x14ac:dyDescent="0.25">
      <c r="A58" s="1" t="s">
        <v>98</v>
      </c>
      <c r="B58" s="1" t="s">
        <v>39</v>
      </c>
      <c r="C58" s="1">
        <v>43.71</v>
      </c>
      <c r="D58" s="1">
        <v>10.741</v>
      </c>
      <c r="E58" s="1">
        <v>27.184000000000001</v>
      </c>
      <c r="F58" s="1">
        <v>17.635999999999999</v>
      </c>
      <c r="G58" s="7">
        <v>1</v>
      </c>
      <c r="H58" s="1">
        <v>55</v>
      </c>
      <c r="I58" s="1" t="s">
        <v>40</v>
      </c>
      <c r="J58" s="1"/>
      <c r="K58" s="1">
        <v>26</v>
      </c>
      <c r="L58" s="1">
        <f t="shared" si="15"/>
        <v>1.1840000000000011</v>
      </c>
      <c r="M58" s="1"/>
      <c r="N58" s="1"/>
      <c r="O58" s="1">
        <v>30.352399999999999</v>
      </c>
      <c r="P58" s="1"/>
      <c r="Q58" s="1"/>
      <c r="R58" s="1">
        <v>14.319399999999989</v>
      </c>
      <c r="S58" s="1">
        <f t="shared" si="16"/>
        <v>5.4367999999999999</v>
      </c>
      <c r="T58" s="5">
        <v>4</v>
      </c>
      <c r="U58" s="5">
        <f t="shared" si="11"/>
        <v>4</v>
      </c>
      <c r="V58" s="5">
        <v>4</v>
      </c>
      <c r="W58" s="5"/>
      <c r="X58" s="21"/>
      <c r="Y58" s="21"/>
      <c r="Z58" s="1">
        <f t="shared" si="8"/>
        <v>12.19610800470865</v>
      </c>
      <c r="AA58" s="1">
        <f t="shared" si="18"/>
        <v>11.460381106533253</v>
      </c>
      <c r="AB58" s="1">
        <v>7.0358000000000001</v>
      </c>
      <c r="AC58" s="1">
        <v>6.7897999999999996</v>
      </c>
      <c r="AD58" s="1">
        <v>5.1970000000000001</v>
      </c>
      <c r="AE58" s="1">
        <v>6.2530000000000001</v>
      </c>
      <c r="AF58" s="1">
        <v>6.7727999999999993</v>
      </c>
      <c r="AG58" s="1">
        <v>5.6981999999999999</v>
      </c>
      <c r="AH58" s="1">
        <v>4.8959999999999999</v>
      </c>
      <c r="AI58" s="1">
        <v>5.1875999999999998</v>
      </c>
      <c r="AJ58" s="1">
        <v>7.9328000000000003</v>
      </c>
      <c r="AK58" s="1">
        <v>9.3141999999999996</v>
      </c>
      <c r="AL58" s="1">
        <v>6.2875999999999994</v>
      </c>
      <c r="AM58" s="1"/>
      <c r="AN58" s="1">
        <f t="shared" si="9"/>
        <v>4</v>
      </c>
      <c r="AO58" s="1">
        <f t="shared" si="10"/>
        <v>0</v>
      </c>
    </row>
    <row r="59" spans="1:41" x14ac:dyDescent="0.25">
      <c r="A59" s="1" t="s">
        <v>99</v>
      </c>
      <c r="B59" s="1" t="s">
        <v>44</v>
      </c>
      <c r="C59" s="1">
        <v>165</v>
      </c>
      <c r="D59" s="1"/>
      <c r="E59" s="1">
        <v>66</v>
      </c>
      <c r="F59" s="1">
        <v>85</v>
      </c>
      <c r="G59" s="7">
        <v>0.1</v>
      </c>
      <c r="H59" s="1">
        <v>731</v>
      </c>
      <c r="I59" s="1" t="s">
        <v>40</v>
      </c>
      <c r="J59" s="1"/>
      <c r="K59" s="1">
        <v>66</v>
      </c>
      <c r="L59" s="1">
        <f t="shared" si="15"/>
        <v>0</v>
      </c>
      <c r="M59" s="1"/>
      <c r="N59" s="1"/>
      <c r="O59" s="1">
        <v>0</v>
      </c>
      <c r="P59" s="1"/>
      <c r="Q59" s="1"/>
      <c r="R59" s="1">
        <v>55.199999999999989</v>
      </c>
      <c r="S59" s="1">
        <f t="shared" si="16"/>
        <v>13.2</v>
      </c>
      <c r="T59" s="5">
        <f t="shared" si="19"/>
        <v>18.199999999999989</v>
      </c>
      <c r="U59" s="5">
        <v>550</v>
      </c>
      <c r="V59" s="5">
        <v>253.54999999999995</v>
      </c>
      <c r="W59" s="5">
        <f>U59*$W$1</f>
        <v>296.45000000000005</v>
      </c>
      <c r="X59" s="21" t="str">
        <f>VLOOKUP(A59,[1]Sheet!$A:$U,21,0)</f>
        <v>550шт</v>
      </c>
      <c r="Y59" s="21" t="str">
        <f>VLOOKUP(A59,[1]Sheet!$A:$V,22,0)</f>
        <v>Промо на сентябрь</v>
      </c>
      <c r="Z59" s="1">
        <f t="shared" si="8"/>
        <v>52.287878787878796</v>
      </c>
      <c r="AA59" s="1">
        <f t="shared" si="18"/>
        <v>10.621212121212121</v>
      </c>
      <c r="AB59" s="1">
        <v>16.2</v>
      </c>
      <c r="AC59" s="1">
        <v>10</v>
      </c>
      <c r="AD59" s="1">
        <v>5</v>
      </c>
      <c r="AE59" s="1">
        <v>10.199999999999999</v>
      </c>
      <c r="AF59" s="1">
        <v>8.1999999999999993</v>
      </c>
      <c r="AG59" s="1">
        <v>17.2</v>
      </c>
      <c r="AH59" s="1">
        <v>17.8</v>
      </c>
      <c r="AI59" s="1">
        <v>18.600000000000001</v>
      </c>
      <c r="AJ59" s="1">
        <v>16.8</v>
      </c>
      <c r="AK59" s="1">
        <v>10.8</v>
      </c>
      <c r="AL59" s="1">
        <v>12.8</v>
      </c>
      <c r="AM59" s="1" t="s">
        <v>278</v>
      </c>
      <c r="AN59" s="1">
        <f t="shared" si="9"/>
        <v>25</v>
      </c>
      <c r="AO59" s="1">
        <f t="shared" si="10"/>
        <v>30</v>
      </c>
    </row>
    <row r="60" spans="1:41" x14ac:dyDescent="0.25">
      <c r="A60" s="1" t="s">
        <v>100</v>
      </c>
      <c r="B60" s="1" t="s">
        <v>44</v>
      </c>
      <c r="C60" s="1">
        <v>16</v>
      </c>
      <c r="D60" s="1"/>
      <c r="E60" s="1">
        <v>15</v>
      </c>
      <c r="F60" s="1"/>
      <c r="G60" s="7">
        <v>0.4</v>
      </c>
      <c r="H60" s="1">
        <v>50</v>
      </c>
      <c r="I60" s="1" t="s">
        <v>40</v>
      </c>
      <c r="J60" s="1"/>
      <c r="K60" s="1">
        <v>34</v>
      </c>
      <c r="L60" s="1">
        <f t="shared" si="15"/>
        <v>-19</v>
      </c>
      <c r="M60" s="1"/>
      <c r="N60" s="1"/>
      <c r="O60" s="1">
        <v>8.6000000000000014</v>
      </c>
      <c r="P60" s="1"/>
      <c r="Q60" s="1"/>
      <c r="R60" s="1">
        <v>21</v>
      </c>
      <c r="S60" s="1">
        <f t="shared" si="16"/>
        <v>3</v>
      </c>
      <c r="T60" s="5">
        <f t="shared" si="19"/>
        <v>6.3999999999999986</v>
      </c>
      <c r="U60" s="5">
        <f t="shared" si="11"/>
        <v>6.3999999999999986</v>
      </c>
      <c r="V60" s="5">
        <v>6.3999999999999986</v>
      </c>
      <c r="W60" s="5"/>
      <c r="X60" s="21"/>
      <c r="Y60" s="21"/>
      <c r="Z60" s="1">
        <f t="shared" si="8"/>
        <v>12</v>
      </c>
      <c r="AA60" s="1">
        <f t="shared" si="18"/>
        <v>9.8666666666666671</v>
      </c>
      <c r="AB60" s="1">
        <v>3.4</v>
      </c>
      <c r="AC60" s="1">
        <v>1.8</v>
      </c>
      <c r="AD60" s="1">
        <v>1.8</v>
      </c>
      <c r="AE60" s="1">
        <v>2</v>
      </c>
      <c r="AF60" s="1">
        <v>1.2</v>
      </c>
      <c r="AG60" s="1">
        <v>1</v>
      </c>
      <c r="AH60" s="1">
        <v>1.4</v>
      </c>
      <c r="AI60" s="1">
        <v>2.4</v>
      </c>
      <c r="AJ60" s="1">
        <v>2</v>
      </c>
      <c r="AK60" s="1">
        <v>0.8</v>
      </c>
      <c r="AL60" s="1">
        <v>0.8</v>
      </c>
      <c r="AM60" s="1"/>
      <c r="AN60" s="1">
        <f t="shared" si="9"/>
        <v>3</v>
      </c>
      <c r="AO60" s="1">
        <f t="shared" si="10"/>
        <v>0</v>
      </c>
    </row>
    <row r="61" spans="1:41" x14ac:dyDescent="0.25">
      <c r="A61" s="1" t="s">
        <v>101</v>
      </c>
      <c r="B61" s="1" t="s">
        <v>39</v>
      </c>
      <c r="C61" s="1">
        <v>37.08</v>
      </c>
      <c r="D61" s="1">
        <v>3.2690000000000001</v>
      </c>
      <c r="E61" s="1">
        <v>71.981999999999999</v>
      </c>
      <c r="F61" s="1">
        <v>-19.175999999999998</v>
      </c>
      <c r="G61" s="7">
        <v>1</v>
      </c>
      <c r="H61" s="1">
        <v>40</v>
      </c>
      <c r="I61" s="15" t="s">
        <v>50</v>
      </c>
      <c r="J61" s="1"/>
      <c r="K61" s="1">
        <v>61.6</v>
      </c>
      <c r="L61" s="1">
        <f t="shared" si="15"/>
        <v>10.381999999999998</v>
      </c>
      <c r="M61" s="1"/>
      <c r="N61" s="1"/>
      <c r="O61" s="1">
        <v>58.5</v>
      </c>
      <c r="P61" s="1"/>
      <c r="Q61" s="1"/>
      <c r="R61" s="1">
        <v>105</v>
      </c>
      <c r="S61" s="1">
        <f t="shared" si="16"/>
        <v>14.3964</v>
      </c>
      <c r="T61" s="5">
        <v>60</v>
      </c>
      <c r="U61" s="5">
        <f t="shared" si="11"/>
        <v>60</v>
      </c>
      <c r="V61" s="5">
        <v>60</v>
      </c>
      <c r="W61" s="5"/>
      <c r="X61" s="21"/>
      <c r="Y61" s="21"/>
      <c r="Z61" s="1">
        <f t="shared" si="8"/>
        <v>14.192714845378012</v>
      </c>
      <c r="AA61" s="1">
        <f t="shared" si="18"/>
        <v>10.025006251562891</v>
      </c>
      <c r="AB61" s="1">
        <v>41.171799999999998</v>
      </c>
      <c r="AC61" s="1">
        <v>27.4938</v>
      </c>
      <c r="AD61" s="1">
        <v>-0.44119999999999998</v>
      </c>
      <c r="AE61" s="1">
        <v>24.540400000000002</v>
      </c>
      <c r="AF61" s="1">
        <v>38.078800000000001</v>
      </c>
      <c r="AG61" s="1">
        <v>18.853999999999999</v>
      </c>
      <c r="AH61" s="1">
        <v>16.659800000000001</v>
      </c>
      <c r="AI61" s="1">
        <v>14.296200000000001</v>
      </c>
      <c r="AJ61" s="1">
        <v>17.922999999999998</v>
      </c>
      <c r="AK61" s="1">
        <v>17.2974</v>
      </c>
      <c r="AL61" s="1">
        <v>4.2414000000000014</v>
      </c>
      <c r="AM61" s="1"/>
      <c r="AN61" s="1">
        <f t="shared" si="9"/>
        <v>60</v>
      </c>
      <c r="AO61" s="1">
        <f t="shared" si="10"/>
        <v>0</v>
      </c>
    </row>
    <row r="62" spans="1:41" x14ac:dyDescent="0.25">
      <c r="A62" s="1" t="s">
        <v>102</v>
      </c>
      <c r="B62" s="1" t="s">
        <v>39</v>
      </c>
      <c r="C62" s="1">
        <v>76.606999999999999</v>
      </c>
      <c r="D62" s="1">
        <v>48.162999999999997</v>
      </c>
      <c r="E62" s="1">
        <v>139.64500000000001</v>
      </c>
      <c r="F62" s="1">
        <v>-8.2989999999999995</v>
      </c>
      <c r="G62" s="7">
        <v>1</v>
      </c>
      <c r="H62" s="1">
        <v>40</v>
      </c>
      <c r="I62" s="1" t="s">
        <v>40</v>
      </c>
      <c r="J62" s="1"/>
      <c r="K62" s="1">
        <v>146.69999999999999</v>
      </c>
      <c r="L62" s="1">
        <f t="shared" si="15"/>
        <v>-7.0549999999999784</v>
      </c>
      <c r="M62" s="1"/>
      <c r="N62" s="1"/>
      <c r="O62" s="1">
        <v>21.69334999999997</v>
      </c>
      <c r="P62" s="1"/>
      <c r="Q62" s="1"/>
      <c r="R62" s="1">
        <v>172.49244999999999</v>
      </c>
      <c r="S62" s="1">
        <f t="shared" si="16"/>
        <v>27.929000000000002</v>
      </c>
      <c r="T62" s="5">
        <f t="shared" si="19"/>
        <v>149.26120000000006</v>
      </c>
      <c r="U62" s="5">
        <f t="shared" si="11"/>
        <v>149.26120000000006</v>
      </c>
      <c r="V62" s="5">
        <v>68.809413200000023</v>
      </c>
      <c r="W62" s="5">
        <f t="shared" ref="W62" si="23">U62*$W$1</f>
        <v>80.451786800000036</v>
      </c>
      <c r="X62" s="21"/>
      <c r="Y62" s="21"/>
      <c r="Z62" s="1">
        <f t="shared" si="8"/>
        <v>12</v>
      </c>
      <c r="AA62" s="1">
        <f t="shared" si="18"/>
        <v>6.6556912170145708</v>
      </c>
      <c r="AB62" s="1">
        <v>28.781600000000001</v>
      </c>
      <c r="AC62" s="1">
        <v>10.379</v>
      </c>
      <c r="AD62" s="1">
        <v>0.11600000000000001</v>
      </c>
      <c r="AE62" s="1">
        <v>14.08</v>
      </c>
      <c r="AF62" s="1">
        <v>17.272600000000001</v>
      </c>
      <c r="AG62" s="1">
        <v>5.9125999999999994</v>
      </c>
      <c r="AH62" s="1">
        <v>4.6542000000000003</v>
      </c>
      <c r="AI62" s="1">
        <v>3.8302</v>
      </c>
      <c r="AJ62" s="1">
        <v>5.4445999999999994</v>
      </c>
      <c r="AK62" s="1">
        <v>7.3133999999999997</v>
      </c>
      <c r="AL62" s="1">
        <v>8.4963999999999995</v>
      </c>
      <c r="AM62" s="1" t="s">
        <v>103</v>
      </c>
      <c r="AN62" s="1">
        <f t="shared" si="9"/>
        <v>69</v>
      </c>
      <c r="AO62" s="1">
        <f t="shared" si="10"/>
        <v>80</v>
      </c>
    </row>
    <row r="63" spans="1:41" x14ac:dyDescent="0.25">
      <c r="A63" s="1" t="s">
        <v>104</v>
      </c>
      <c r="B63" s="1" t="s">
        <v>44</v>
      </c>
      <c r="C63" s="1">
        <v>297</v>
      </c>
      <c r="D63" s="1">
        <v>551</v>
      </c>
      <c r="E63" s="1">
        <v>398</v>
      </c>
      <c r="F63" s="1">
        <v>113</v>
      </c>
      <c r="G63" s="7">
        <v>0.4</v>
      </c>
      <c r="H63" s="1">
        <v>40</v>
      </c>
      <c r="I63" s="1" t="s">
        <v>40</v>
      </c>
      <c r="J63" s="1"/>
      <c r="K63" s="1">
        <v>705</v>
      </c>
      <c r="L63" s="1">
        <f t="shared" si="15"/>
        <v>-307</v>
      </c>
      <c r="M63" s="1"/>
      <c r="N63" s="1"/>
      <c r="O63" s="1">
        <v>415.50200000000001</v>
      </c>
      <c r="P63" s="1"/>
      <c r="Q63" s="1"/>
      <c r="R63" s="1">
        <v>0</v>
      </c>
      <c r="S63" s="1">
        <f t="shared" si="16"/>
        <v>79.599999999999994</v>
      </c>
      <c r="T63" s="5">
        <f t="shared" si="19"/>
        <v>426.69799999999987</v>
      </c>
      <c r="U63" s="5">
        <f>T63+S63*$U$1</f>
        <v>546.09799999999984</v>
      </c>
      <c r="V63" s="5">
        <v>251.75117799999992</v>
      </c>
      <c r="W63" s="5">
        <v>160</v>
      </c>
      <c r="X63" s="21"/>
      <c r="Y63" s="21"/>
      <c r="Z63" s="1">
        <f t="shared" si="8"/>
        <v>11.812225854271357</v>
      </c>
      <c r="AA63" s="1">
        <f t="shared" si="18"/>
        <v>6.6394723618090454</v>
      </c>
      <c r="AB63" s="1">
        <v>77.400000000000006</v>
      </c>
      <c r="AC63" s="1">
        <v>91.4</v>
      </c>
      <c r="AD63" s="1">
        <v>92.8</v>
      </c>
      <c r="AE63" s="1">
        <v>116.4</v>
      </c>
      <c r="AF63" s="1">
        <v>96.4</v>
      </c>
      <c r="AG63" s="1">
        <v>76.2</v>
      </c>
      <c r="AH63" s="1">
        <v>89.8</v>
      </c>
      <c r="AI63" s="1">
        <v>109.4</v>
      </c>
      <c r="AJ63" s="1">
        <v>105.6</v>
      </c>
      <c r="AK63" s="1">
        <v>92.6</v>
      </c>
      <c r="AL63" s="1">
        <v>65.8</v>
      </c>
      <c r="AM63" s="1"/>
      <c r="AN63" s="1">
        <f t="shared" si="9"/>
        <v>101</v>
      </c>
      <c r="AO63" s="1">
        <f t="shared" si="10"/>
        <v>64</v>
      </c>
    </row>
    <row r="64" spans="1:41" x14ac:dyDescent="0.25">
      <c r="A64" s="1" t="s">
        <v>105</v>
      </c>
      <c r="B64" s="1" t="s">
        <v>44</v>
      </c>
      <c r="C64" s="1">
        <v>55</v>
      </c>
      <c r="D64" s="1">
        <v>311</v>
      </c>
      <c r="E64" s="1">
        <v>217</v>
      </c>
      <c r="F64" s="1">
        <v>12</v>
      </c>
      <c r="G64" s="7">
        <v>0.4</v>
      </c>
      <c r="H64" s="1">
        <v>40</v>
      </c>
      <c r="I64" s="15" t="s">
        <v>50</v>
      </c>
      <c r="J64" s="1"/>
      <c r="K64" s="1">
        <v>354</v>
      </c>
      <c r="L64" s="1">
        <f t="shared" si="15"/>
        <v>-137</v>
      </c>
      <c r="M64" s="1"/>
      <c r="N64" s="1"/>
      <c r="O64" s="1">
        <v>84.780000000000015</v>
      </c>
      <c r="P64" s="1"/>
      <c r="Q64" s="1"/>
      <c r="R64" s="1">
        <v>118.59399999999999</v>
      </c>
      <c r="S64" s="1">
        <f t="shared" si="16"/>
        <v>43.4</v>
      </c>
      <c r="T64" s="5">
        <v>200</v>
      </c>
      <c r="U64" s="5">
        <f t="shared" si="11"/>
        <v>200</v>
      </c>
      <c r="V64" s="5">
        <v>200</v>
      </c>
      <c r="W64" s="5"/>
      <c r="X64" s="21"/>
      <c r="Y64" s="21"/>
      <c r="Z64" s="1">
        <f t="shared" si="8"/>
        <v>9.5708294930875581</v>
      </c>
      <c r="AA64" s="1">
        <f t="shared" si="18"/>
        <v>4.9625345622119825</v>
      </c>
      <c r="AB64" s="1">
        <v>48.2</v>
      </c>
      <c r="AC64" s="1">
        <v>41.2</v>
      </c>
      <c r="AD64" s="1">
        <v>26.2</v>
      </c>
      <c r="AE64" s="1">
        <v>68.599999999999994</v>
      </c>
      <c r="AF64" s="1">
        <v>67</v>
      </c>
      <c r="AG64" s="1">
        <v>23</v>
      </c>
      <c r="AH64" s="1">
        <v>6</v>
      </c>
      <c r="AI64" s="1">
        <v>53.4</v>
      </c>
      <c r="AJ64" s="1">
        <v>72</v>
      </c>
      <c r="AK64" s="1">
        <v>66.2</v>
      </c>
      <c r="AL64" s="1">
        <v>60.8</v>
      </c>
      <c r="AM64" s="1"/>
      <c r="AN64" s="1">
        <f t="shared" si="9"/>
        <v>80</v>
      </c>
      <c r="AO64" s="1">
        <f t="shared" si="10"/>
        <v>0</v>
      </c>
    </row>
    <row r="65" spans="1:41" x14ac:dyDescent="0.25">
      <c r="A65" s="1" t="s">
        <v>106</v>
      </c>
      <c r="B65" s="1" t="s">
        <v>39</v>
      </c>
      <c r="C65" s="1">
        <v>-7.5179999999999998</v>
      </c>
      <c r="D65" s="1">
        <v>134.86500000000001</v>
      </c>
      <c r="E65" s="1">
        <v>103.31</v>
      </c>
      <c r="F65" s="1">
        <v>15.021000000000001</v>
      </c>
      <c r="G65" s="7">
        <v>1</v>
      </c>
      <c r="H65" s="1">
        <v>40</v>
      </c>
      <c r="I65" s="15" t="s">
        <v>50</v>
      </c>
      <c r="J65" s="1"/>
      <c r="K65" s="1">
        <v>95.3</v>
      </c>
      <c r="L65" s="1">
        <f t="shared" si="15"/>
        <v>8.0100000000000051</v>
      </c>
      <c r="M65" s="1"/>
      <c r="N65" s="1"/>
      <c r="O65" s="1">
        <v>205.625788</v>
      </c>
      <c r="P65" s="1">
        <v>-211</v>
      </c>
      <c r="Q65" s="1"/>
      <c r="R65" s="1">
        <v>70</v>
      </c>
      <c r="S65" s="1">
        <f t="shared" si="16"/>
        <v>20.661999999999999</v>
      </c>
      <c r="T65" s="5">
        <v>90</v>
      </c>
      <c r="U65" s="5">
        <f t="shared" si="11"/>
        <v>90</v>
      </c>
      <c r="V65" s="5">
        <v>90</v>
      </c>
      <c r="W65" s="5"/>
      <c r="X65" s="21"/>
      <c r="Y65" s="21"/>
      <c r="Z65" s="1">
        <f t="shared" si="8"/>
        <v>8.2105695479624448</v>
      </c>
      <c r="AA65" s="1">
        <f t="shared" si="18"/>
        <v>3.854747265511568</v>
      </c>
      <c r="AB65" s="1">
        <v>14.938599999999999</v>
      </c>
      <c r="AC65" s="1">
        <v>33.050400000000003</v>
      </c>
      <c r="AD65" s="1">
        <v>30.191199999999998</v>
      </c>
      <c r="AE65" s="1">
        <v>25.393000000000001</v>
      </c>
      <c r="AF65" s="1">
        <v>20.536000000000001</v>
      </c>
      <c r="AG65" s="1">
        <v>16.688199999999998</v>
      </c>
      <c r="AH65" s="1">
        <v>22.345800000000001</v>
      </c>
      <c r="AI65" s="1">
        <v>30.636800000000001</v>
      </c>
      <c r="AJ65" s="1">
        <v>29.345600000000001</v>
      </c>
      <c r="AK65" s="1">
        <v>27.9176</v>
      </c>
      <c r="AL65" s="1">
        <v>32.401799999999987</v>
      </c>
      <c r="AM65" s="1"/>
      <c r="AN65" s="1">
        <f t="shared" si="9"/>
        <v>90</v>
      </c>
      <c r="AO65" s="1">
        <f t="shared" si="10"/>
        <v>0</v>
      </c>
    </row>
    <row r="66" spans="1:41" x14ac:dyDescent="0.25">
      <c r="A66" s="1" t="s">
        <v>107</v>
      </c>
      <c r="B66" s="1" t="s">
        <v>39</v>
      </c>
      <c r="C66" s="1">
        <v>17.106000000000002</v>
      </c>
      <c r="D66" s="1">
        <v>86.49</v>
      </c>
      <c r="E66" s="1">
        <v>62.374000000000002</v>
      </c>
      <c r="F66" s="1">
        <v>12.417999999999999</v>
      </c>
      <c r="G66" s="7">
        <v>1</v>
      </c>
      <c r="H66" s="1">
        <v>40</v>
      </c>
      <c r="I66" s="15" t="s">
        <v>50</v>
      </c>
      <c r="J66" s="1"/>
      <c r="K66" s="1">
        <v>144.209</v>
      </c>
      <c r="L66" s="1">
        <f t="shared" si="15"/>
        <v>-81.835000000000008</v>
      </c>
      <c r="M66" s="1"/>
      <c r="N66" s="1"/>
      <c r="O66" s="1">
        <v>99.934201999999971</v>
      </c>
      <c r="P66" s="1">
        <v>-103</v>
      </c>
      <c r="Q66" s="1"/>
      <c r="R66" s="1">
        <v>49</v>
      </c>
      <c r="S66" s="1">
        <f t="shared" si="16"/>
        <v>12.4748</v>
      </c>
      <c r="T66" s="5">
        <v>60</v>
      </c>
      <c r="U66" s="5">
        <f t="shared" si="11"/>
        <v>60</v>
      </c>
      <c r="V66" s="5">
        <v>60</v>
      </c>
      <c r="W66" s="5"/>
      <c r="X66" s="21"/>
      <c r="Y66" s="21"/>
      <c r="Z66" s="1">
        <f t="shared" si="8"/>
        <v>9.4873025619649187</v>
      </c>
      <c r="AA66" s="1">
        <f t="shared" si="18"/>
        <v>4.67760621412768</v>
      </c>
      <c r="AB66" s="1">
        <v>12.3028</v>
      </c>
      <c r="AC66" s="1">
        <v>24.300599999999999</v>
      </c>
      <c r="AD66" s="1">
        <v>29.9604</v>
      </c>
      <c r="AE66" s="1">
        <v>28.129000000000001</v>
      </c>
      <c r="AF66" s="1">
        <v>21.1816</v>
      </c>
      <c r="AG66" s="1">
        <v>16.5672</v>
      </c>
      <c r="AH66" s="1">
        <v>20.6828</v>
      </c>
      <c r="AI66" s="1">
        <v>25.505199999999999</v>
      </c>
      <c r="AJ66" s="1">
        <v>30.630400000000002</v>
      </c>
      <c r="AK66" s="1">
        <v>35.2286</v>
      </c>
      <c r="AL66" s="1">
        <v>27.577400000000001</v>
      </c>
      <c r="AM66" s="1"/>
      <c r="AN66" s="1">
        <f t="shared" si="9"/>
        <v>60</v>
      </c>
      <c r="AO66" s="1">
        <f t="shared" si="10"/>
        <v>0</v>
      </c>
    </row>
    <row r="67" spans="1:41" x14ac:dyDescent="0.25">
      <c r="A67" s="1" t="s">
        <v>108</v>
      </c>
      <c r="B67" s="1" t="s">
        <v>39</v>
      </c>
      <c r="C67" s="1">
        <v>275.084</v>
      </c>
      <c r="D67" s="1">
        <v>444.66699999999997</v>
      </c>
      <c r="E67" s="1">
        <v>480.17099999999999</v>
      </c>
      <c r="F67" s="1">
        <v>65.328999999999994</v>
      </c>
      <c r="G67" s="7">
        <v>1</v>
      </c>
      <c r="H67" s="1">
        <v>40</v>
      </c>
      <c r="I67" s="15" t="s">
        <v>50</v>
      </c>
      <c r="J67" s="1"/>
      <c r="K67" s="1">
        <v>467.10199999999998</v>
      </c>
      <c r="L67" s="1">
        <f t="shared" si="15"/>
        <v>13.069000000000017</v>
      </c>
      <c r="M67" s="1"/>
      <c r="N67" s="1"/>
      <c r="O67" s="1">
        <v>0</v>
      </c>
      <c r="P67" s="1"/>
      <c r="Q67" s="1"/>
      <c r="R67" s="1">
        <v>280</v>
      </c>
      <c r="S67" s="1">
        <f t="shared" si="16"/>
        <v>96.034199999999998</v>
      </c>
      <c r="T67" s="5">
        <v>360</v>
      </c>
      <c r="U67" s="5">
        <f t="shared" si="11"/>
        <v>360</v>
      </c>
      <c r="V67" s="5">
        <v>360</v>
      </c>
      <c r="W67" s="5"/>
      <c r="X67" s="21"/>
      <c r="Y67" s="21"/>
      <c r="Z67" s="1">
        <f t="shared" si="8"/>
        <v>7.344560583625416</v>
      </c>
      <c r="AA67" s="1">
        <f t="shared" si="18"/>
        <v>3.5958960453671716</v>
      </c>
      <c r="AB67" s="1">
        <v>98.497799999999998</v>
      </c>
      <c r="AC67" s="1">
        <v>30.181999999999999</v>
      </c>
      <c r="AD67" s="1">
        <v>6.6635999999999997</v>
      </c>
      <c r="AE67" s="1">
        <v>112.02800000000001</v>
      </c>
      <c r="AF67" s="1">
        <v>120.03919999999999</v>
      </c>
      <c r="AG67" s="1">
        <v>49.153199999999998</v>
      </c>
      <c r="AH67" s="1">
        <v>53.758000000000003</v>
      </c>
      <c r="AI67" s="1">
        <v>60.426599999999993</v>
      </c>
      <c r="AJ67" s="1">
        <v>71.873000000000005</v>
      </c>
      <c r="AK67" s="1">
        <v>68.0488</v>
      </c>
      <c r="AL67" s="1">
        <v>44.416800000000002</v>
      </c>
      <c r="AM67" s="1"/>
      <c r="AN67" s="1">
        <f t="shared" si="9"/>
        <v>360</v>
      </c>
      <c r="AO67" s="1">
        <f t="shared" si="10"/>
        <v>0</v>
      </c>
    </row>
    <row r="68" spans="1:41" x14ac:dyDescent="0.25">
      <c r="A68" s="1" t="s">
        <v>109</v>
      </c>
      <c r="B68" s="1" t="s">
        <v>39</v>
      </c>
      <c r="C68" s="1">
        <v>9.3160000000000007</v>
      </c>
      <c r="D68" s="1">
        <v>228.68799999999999</v>
      </c>
      <c r="E68" s="1">
        <v>177.435</v>
      </c>
      <c r="F68" s="1">
        <v>52.923000000000002</v>
      </c>
      <c r="G68" s="7">
        <v>1</v>
      </c>
      <c r="H68" s="1">
        <v>40</v>
      </c>
      <c r="I68" s="15" t="s">
        <v>50</v>
      </c>
      <c r="J68" s="1"/>
      <c r="K68" s="1">
        <v>266.70699999999999</v>
      </c>
      <c r="L68" s="1">
        <f t="shared" si="15"/>
        <v>-89.271999999999991</v>
      </c>
      <c r="M68" s="1"/>
      <c r="N68" s="1"/>
      <c r="O68" s="1">
        <v>220.32820599999991</v>
      </c>
      <c r="P68" s="1">
        <v>-221</v>
      </c>
      <c r="Q68" s="1"/>
      <c r="R68" s="1">
        <v>70</v>
      </c>
      <c r="S68" s="1">
        <f t="shared" si="16"/>
        <v>35.487000000000002</v>
      </c>
      <c r="T68" s="5">
        <v>90</v>
      </c>
      <c r="U68" s="5">
        <f t="shared" si="11"/>
        <v>90</v>
      </c>
      <c r="V68" s="5">
        <v>90</v>
      </c>
      <c r="W68" s="5"/>
      <c r="X68" s="21"/>
      <c r="Y68" s="21"/>
      <c r="Z68" s="1">
        <f t="shared" si="8"/>
        <v>5.9810974723138024</v>
      </c>
      <c r="AA68" s="1">
        <f t="shared" si="18"/>
        <v>3.4449574773860823</v>
      </c>
      <c r="AB68" s="1">
        <v>19.944600000000001</v>
      </c>
      <c r="AC68" s="1">
        <v>39.397399999999998</v>
      </c>
      <c r="AD68" s="1">
        <v>36.114600000000003</v>
      </c>
      <c r="AE68" s="1">
        <v>34.558800000000012</v>
      </c>
      <c r="AF68" s="1">
        <v>25.469000000000001</v>
      </c>
      <c r="AG68" s="1">
        <v>24.119199999999999</v>
      </c>
      <c r="AH68" s="1">
        <v>27.015599999999999</v>
      </c>
      <c r="AI68" s="1">
        <v>23.341799999999999</v>
      </c>
      <c r="AJ68" s="1">
        <v>16.409400000000002</v>
      </c>
      <c r="AK68" s="1">
        <v>37.777799999999999</v>
      </c>
      <c r="AL68" s="1">
        <v>58.898200000000003</v>
      </c>
      <c r="AM68" s="1"/>
      <c r="AN68" s="1">
        <f t="shared" si="9"/>
        <v>90</v>
      </c>
      <c r="AO68" s="1">
        <f t="shared" si="10"/>
        <v>0</v>
      </c>
    </row>
    <row r="69" spans="1:41" x14ac:dyDescent="0.25">
      <c r="A69" s="12" t="s">
        <v>110</v>
      </c>
      <c r="B69" s="12" t="s">
        <v>44</v>
      </c>
      <c r="C69" s="12"/>
      <c r="D69" s="12"/>
      <c r="E69" s="12"/>
      <c r="F69" s="12"/>
      <c r="G69" s="13">
        <v>0</v>
      </c>
      <c r="H69" s="12"/>
      <c r="I69" s="12" t="s">
        <v>40</v>
      </c>
      <c r="J69" s="12"/>
      <c r="K69" s="12"/>
      <c r="L69" s="12">
        <f t="shared" si="15"/>
        <v>0</v>
      </c>
      <c r="M69" s="12"/>
      <c r="N69" s="12"/>
      <c r="O69" s="12">
        <v>0</v>
      </c>
      <c r="P69" s="12"/>
      <c r="Q69" s="12"/>
      <c r="R69" s="12">
        <v>0</v>
      </c>
      <c r="S69" s="12">
        <f t="shared" si="16"/>
        <v>0</v>
      </c>
      <c r="T69" s="14"/>
      <c r="U69" s="5">
        <f t="shared" si="11"/>
        <v>0</v>
      </c>
      <c r="V69" s="5">
        <v>0</v>
      </c>
      <c r="W69" s="5"/>
      <c r="X69" s="21"/>
      <c r="Y69" s="21"/>
      <c r="Z69" s="1" t="e">
        <f t="shared" si="8"/>
        <v>#DIV/0!</v>
      </c>
      <c r="AA69" s="12" t="e">
        <f t="shared" si="18"/>
        <v>#DIV/0!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 t="s">
        <v>45</v>
      </c>
      <c r="AN69" s="1">
        <f t="shared" si="9"/>
        <v>0</v>
      </c>
      <c r="AO69" s="1">
        <f t="shared" si="10"/>
        <v>0</v>
      </c>
    </row>
    <row r="70" spans="1:41" x14ac:dyDescent="0.25">
      <c r="A70" s="1" t="s">
        <v>111</v>
      </c>
      <c r="B70" s="1" t="s">
        <v>39</v>
      </c>
      <c r="C70" s="1">
        <v>253.00800000000001</v>
      </c>
      <c r="D70" s="1">
        <v>13.194000000000001</v>
      </c>
      <c r="E70" s="1">
        <v>145.37799999999999</v>
      </c>
      <c r="F70" s="1">
        <v>99.566000000000003</v>
      </c>
      <c r="G70" s="7">
        <v>1</v>
      </c>
      <c r="H70" s="1">
        <v>30</v>
      </c>
      <c r="I70" s="1" t="s">
        <v>40</v>
      </c>
      <c r="J70" s="1"/>
      <c r="K70" s="1">
        <v>165.7</v>
      </c>
      <c r="L70" s="1">
        <f t="shared" ref="L70:L101" si="24">E70-K70</f>
        <v>-20.322000000000003</v>
      </c>
      <c r="M70" s="1"/>
      <c r="N70" s="1"/>
      <c r="O70" s="1">
        <v>0</v>
      </c>
      <c r="P70" s="1"/>
      <c r="Q70" s="1"/>
      <c r="R70" s="1">
        <v>204.42599999999999</v>
      </c>
      <c r="S70" s="1">
        <f t="shared" ref="S70:S101" si="25">E70/5</f>
        <v>29.075599999999998</v>
      </c>
      <c r="T70" s="5">
        <f t="shared" ref="T70:T75" si="26">12*S70-R70-Q70-P70-O70-F70</f>
        <v>44.915199999999999</v>
      </c>
      <c r="U70" s="5">
        <f t="shared" si="11"/>
        <v>44.915199999999999</v>
      </c>
      <c r="V70" s="5">
        <v>44.915199999999999</v>
      </c>
      <c r="W70" s="5"/>
      <c r="X70" s="21"/>
      <c r="Y70" s="21"/>
      <c r="Z70" s="1">
        <f t="shared" si="8"/>
        <v>12</v>
      </c>
      <c r="AA70" s="1">
        <f t="shared" ref="AA70:AA101" si="27">(F70+O70+P70+Q70+R70)/S70</f>
        <v>10.455227063242031</v>
      </c>
      <c r="AB70" s="1">
        <v>33.2898</v>
      </c>
      <c r="AC70" s="1">
        <v>11.0556</v>
      </c>
      <c r="AD70" s="1">
        <v>4.7800000000000002E-2</v>
      </c>
      <c r="AE70" s="1">
        <v>28.5642</v>
      </c>
      <c r="AF70" s="1">
        <v>35.5794</v>
      </c>
      <c r="AG70" s="1">
        <v>22.786799999999999</v>
      </c>
      <c r="AH70" s="1">
        <v>21.472200000000001</v>
      </c>
      <c r="AI70" s="1">
        <v>26.0868</v>
      </c>
      <c r="AJ70" s="1">
        <v>29.864999999999998</v>
      </c>
      <c r="AK70" s="1">
        <v>35.738799999999998</v>
      </c>
      <c r="AL70" s="1">
        <v>40.323999999999977</v>
      </c>
      <c r="AM70" s="1"/>
      <c r="AN70" s="1">
        <f t="shared" si="9"/>
        <v>45</v>
      </c>
      <c r="AO70" s="1">
        <f t="shared" si="10"/>
        <v>0</v>
      </c>
    </row>
    <row r="71" spans="1:41" x14ac:dyDescent="0.25">
      <c r="A71" s="1" t="s">
        <v>112</v>
      </c>
      <c r="B71" s="1" t="s">
        <v>44</v>
      </c>
      <c r="C71" s="1">
        <v>9</v>
      </c>
      <c r="D71" s="1">
        <v>144</v>
      </c>
      <c r="E71" s="1">
        <v>43</v>
      </c>
      <c r="F71" s="1">
        <v>52</v>
      </c>
      <c r="G71" s="7">
        <v>0.6</v>
      </c>
      <c r="H71" s="1">
        <v>60</v>
      </c>
      <c r="I71" s="1" t="s">
        <v>40</v>
      </c>
      <c r="J71" s="1"/>
      <c r="K71" s="1">
        <v>46</v>
      </c>
      <c r="L71" s="1">
        <f t="shared" si="24"/>
        <v>-3</v>
      </c>
      <c r="M71" s="1"/>
      <c r="N71" s="1"/>
      <c r="O71" s="1">
        <v>81.680000000000049</v>
      </c>
      <c r="P71" s="1"/>
      <c r="Q71" s="1"/>
      <c r="R71" s="1">
        <v>0</v>
      </c>
      <c r="S71" s="1">
        <f t="shared" si="25"/>
        <v>8.6</v>
      </c>
      <c r="T71" s="5"/>
      <c r="U71" s="5">
        <f t="shared" ref="U71:U129" si="28">T71</f>
        <v>0</v>
      </c>
      <c r="V71" s="5">
        <v>0</v>
      </c>
      <c r="W71" s="5"/>
      <c r="X71" s="21"/>
      <c r="Y71" s="21"/>
      <c r="Z71" s="1">
        <f t="shared" ref="Z71:Z129" si="29">(F71+O71+P71+Q71+R71+V71+W71)/S71</f>
        <v>15.544186046511635</v>
      </c>
      <c r="AA71" s="1">
        <f t="shared" si="27"/>
        <v>15.544186046511635</v>
      </c>
      <c r="AB71" s="1">
        <v>18.600000000000001</v>
      </c>
      <c r="AC71" s="1">
        <v>21.6</v>
      </c>
      <c r="AD71" s="1">
        <v>26</v>
      </c>
      <c r="AE71" s="1">
        <v>22.8</v>
      </c>
      <c r="AF71" s="1">
        <v>9.8000000000000007</v>
      </c>
      <c r="AG71" s="1">
        <v>15.2</v>
      </c>
      <c r="AH71" s="1">
        <v>27</v>
      </c>
      <c r="AI71" s="1">
        <v>26.6</v>
      </c>
      <c r="AJ71" s="1">
        <v>13.2</v>
      </c>
      <c r="AK71" s="1">
        <v>11.8</v>
      </c>
      <c r="AL71" s="1">
        <v>20.399999999999999</v>
      </c>
      <c r="AM71" s="1"/>
      <c r="AN71" s="1">
        <f t="shared" ref="AN71:AN129" si="30">ROUND(G71*V71,0)</f>
        <v>0</v>
      </c>
      <c r="AO71" s="1">
        <f t="shared" ref="AO71:AO129" si="31">ROUND(G71*W71,0)</f>
        <v>0</v>
      </c>
    </row>
    <row r="72" spans="1:41" x14ac:dyDescent="0.25">
      <c r="A72" s="1" t="s">
        <v>113</v>
      </c>
      <c r="B72" s="1" t="s">
        <v>44</v>
      </c>
      <c r="C72" s="1">
        <v>87</v>
      </c>
      <c r="D72" s="1">
        <v>208</v>
      </c>
      <c r="E72" s="1">
        <v>92</v>
      </c>
      <c r="F72" s="1">
        <v>125</v>
      </c>
      <c r="G72" s="7">
        <v>0.6</v>
      </c>
      <c r="H72" s="1">
        <v>60</v>
      </c>
      <c r="I72" s="1" t="s">
        <v>40</v>
      </c>
      <c r="J72" s="1"/>
      <c r="K72" s="1">
        <v>79</v>
      </c>
      <c r="L72" s="1">
        <f t="shared" si="24"/>
        <v>13</v>
      </c>
      <c r="M72" s="1"/>
      <c r="N72" s="1"/>
      <c r="O72" s="1">
        <v>24.875999999999969</v>
      </c>
      <c r="P72" s="1"/>
      <c r="Q72" s="1"/>
      <c r="R72" s="1">
        <v>74.124000000000024</v>
      </c>
      <c r="S72" s="1">
        <f t="shared" si="25"/>
        <v>18.399999999999999</v>
      </c>
      <c r="T72" s="5"/>
      <c r="U72" s="5">
        <f t="shared" ref="U72:U76" si="32">X72</f>
        <v>70</v>
      </c>
      <c r="V72" s="5">
        <v>70</v>
      </c>
      <c r="W72" s="5"/>
      <c r="X72" s="21">
        <f>VLOOKUP(A72,[1]Sheet!$A:$U,21,0)</f>
        <v>70</v>
      </c>
      <c r="Y72" s="21"/>
      <c r="Z72" s="1">
        <f t="shared" si="29"/>
        <v>15.978260869565219</v>
      </c>
      <c r="AA72" s="1">
        <f t="shared" si="27"/>
        <v>12.173913043478262</v>
      </c>
      <c r="AB72" s="1">
        <v>32</v>
      </c>
      <c r="AC72" s="1">
        <v>28.4</v>
      </c>
      <c r="AD72" s="1">
        <v>31.4</v>
      </c>
      <c r="AE72" s="1">
        <v>38.799999999999997</v>
      </c>
      <c r="AF72" s="1">
        <v>27.8</v>
      </c>
      <c r="AG72" s="1">
        <v>15.2</v>
      </c>
      <c r="AH72" s="1">
        <v>26.6</v>
      </c>
      <c r="AI72" s="1">
        <v>40.799999999999997</v>
      </c>
      <c r="AJ72" s="1">
        <v>41.2</v>
      </c>
      <c r="AK72" s="1">
        <v>32.6</v>
      </c>
      <c r="AL72" s="1">
        <v>37.200000000000003</v>
      </c>
      <c r="AM72" s="1"/>
      <c r="AN72" s="1">
        <f t="shared" si="30"/>
        <v>42</v>
      </c>
      <c r="AO72" s="1">
        <f t="shared" si="31"/>
        <v>0</v>
      </c>
    </row>
    <row r="73" spans="1:41" x14ac:dyDescent="0.25">
      <c r="A73" s="1" t="s">
        <v>114</v>
      </c>
      <c r="B73" s="1" t="s">
        <v>44</v>
      </c>
      <c r="C73" s="1">
        <v>69</v>
      </c>
      <c r="D73" s="1">
        <v>63</v>
      </c>
      <c r="E73" s="1">
        <v>121</v>
      </c>
      <c r="F73" s="1">
        <v>5</v>
      </c>
      <c r="G73" s="7">
        <v>0.4</v>
      </c>
      <c r="H73" s="1">
        <v>90</v>
      </c>
      <c r="I73" s="1" t="s">
        <v>40</v>
      </c>
      <c r="J73" s="1"/>
      <c r="K73" s="1">
        <v>126</v>
      </c>
      <c r="L73" s="1">
        <f t="shared" si="24"/>
        <v>-5</v>
      </c>
      <c r="M73" s="1"/>
      <c r="N73" s="1"/>
      <c r="O73" s="1">
        <v>130.97200000000001</v>
      </c>
      <c r="P73" s="1"/>
      <c r="Q73" s="1"/>
      <c r="R73" s="1">
        <v>81.22799999999998</v>
      </c>
      <c r="S73" s="1">
        <f t="shared" si="25"/>
        <v>24.2</v>
      </c>
      <c r="T73" s="5">
        <f t="shared" si="26"/>
        <v>73.199999999999989</v>
      </c>
      <c r="U73" s="5">
        <f t="shared" si="32"/>
        <v>180</v>
      </c>
      <c r="V73" s="5">
        <v>82.97999999999999</v>
      </c>
      <c r="W73" s="5">
        <f t="shared" ref="W73:W74" si="33">U73*$W$1</f>
        <v>97.02000000000001</v>
      </c>
      <c r="X73" s="21">
        <f>VLOOKUP(A73,[1]Sheet!$A:$U,21,0)</f>
        <v>180</v>
      </c>
      <c r="Y73" s="21" t="str">
        <f>VLOOKUP(A73,[1]Sheet!$A:$V,22,0)</f>
        <v>Хорошие сроки</v>
      </c>
      <c r="Z73" s="1">
        <f t="shared" si="29"/>
        <v>16.413223140495866</v>
      </c>
      <c r="AA73" s="1">
        <f t="shared" si="27"/>
        <v>8.9752066115702469</v>
      </c>
      <c r="AB73" s="1">
        <v>25.2</v>
      </c>
      <c r="AC73" s="1">
        <v>23.6</v>
      </c>
      <c r="AD73" s="1">
        <v>19</v>
      </c>
      <c r="AE73" s="1">
        <v>18.8</v>
      </c>
      <c r="AF73" s="1">
        <v>19.8</v>
      </c>
      <c r="AG73" s="1">
        <v>17.600000000000001</v>
      </c>
      <c r="AH73" s="1">
        <v>13.6</v>
      </c>
      <c r="AI73" s="1">
        <v>19</v>
      </c>
      <c r="AJ73" s="1">
        <v>22.6</v>
      </c>
      <c r="AK73" s="1">
        <v>21.8</v>
      </c>
      <c r="AL73" s="1">
        <v>17.8</v>
      </c>
      <c r="AM73" s="1"/>
      <c r="AN73" s="1">
        <f t="shared" si="30"/>
        <v>33</v>
      </c>
      <c r="AO73" s="1">
        <f t="shared" si="31"/>
        <v>39</v>
      </c>
    </row>
    <row r="74" spans="1:41" x14ac:dyDescent="0.25">
      <c r="A74" s="1" t="s">
        <v>115</v>
      </c>
      <c r="B74" s="1" t="s">
        <v>44</v>
      </c>
      <c r="C74" s="1">
        <v>144</v>
      </c>
      <c r="D74" s="1">
        <v>117</v>
      </c>
      <c r="E74" s="1">
        <v>232</v>
      </c>
      <c r="F74" s="1">
        <v>9</v>
      </c>
      <c r="G74" s="7">
        <v>0.33</v>
      </c>
      <c r="H74" s="1">
        <v>60</v>
      </c>
      <c r="I74" s="1" t="s">
        <v>40</v>
      </c>
      <c r="J74" s="1"/>
      <c r="K74" s="1">
        <v>242</v>
      </c>
      <c r="L74" s="1">
        <f t="shared" si="24"/>
        <v>-10</v>
      </c>
      <c r="M74" s="1"/>
      <c r="N74" s="1"/>
      <c r="O74" s="1">
        <v>173.726</v>
      </c>
      <c r="P74" s="1"/>
      <c r="Q74" s="1"/>
      <c r="R74" s="1">
        <v>268.87400000000002</v>
      </c>
      <c r="S74" s="1">
        <f t="shared" si="25"/>
        <v>46.4</v>
      </c>
      <c r="T74" s="5">
        <f t="shared" si="26"/>
        <v>105.19999999999993</v>
      </c>
      <c r="U74" s="5">
        <f t="shared" si="32"/>
        <v>150</v>
      </c>
      <c r="V74" s="5">
        <v>69.149999999999991</v>
      </c>
      <c r="W74" s="5">
        <f t="shared" si="33"/>
        <v>80.850000000000009</v>
      </c>
      <c r="X74" s="21">
        <f>VLOOKUP(A74,[1]Sheet!$A:$U,21,0)</f>
        <v>150</v>
      </c>
      <c r="Y74" s="21" t="str">
        <f>VLOOKUP(A74,[1]Sheet!$A:$V,22,0)</f>
        <v>Хорошие сроки</v>
      </c>
      <c r="Z74" s="1">
        <f t="shared" si="29"/>
        <v>12.965517241379311</v>
      </c>
      <c r="AA74" s="1">
        <f t="shared" si="27"/>
        <v>9.7327586206896566</v>
      </c>
      <c r="AB74" s="1">
        <v>50.6</v>
      </c>
      <c r="AC74" s="1">
        <v>37.799999999999997</v>
      </c>
      <c r="AD74" s="1">
        <v>30.4</v>
      </c>
      <c r="AE74" s="1">
        <v>37</v>
      </c>
      <c r="AF74" s="1">
        <v>38.200000000000003</v>
      </c>
      <c r="AG74" s="1">
        <v>31.8</v>
      </c>
      <c r="AH74" s="1">
        <v>24.8</v>
      </c>
      <c r="AI74" s="1">
        <v>29.4</v>
      </c>
      <c r="AJ74" s="1">
        <v>26.2</v>
      </c>
      <c r="AK74" s="1">
        <v>28.6</v>
      </c>
      <c r="AL74" s="1">
        <v>30.2</v>
      </c>
      <c r="AM74" s="1"/>
      <c r="AN74" s="1">
        <f t="shared" si="30"/>
        <v>23</v>
      </c>
      <c r="AO74" s="1">
        <f t="shared" si="31"/>
        <v>27</v>
      </c>
    </row>
    <row r="75" spans="1:41" x14ac:dyDescent="0.25">
      <c r="A75" s="1" t="s">
        <v>116</v>
      </c>
      <c r="B75" s="1" t="s">
        <v>44</v>
      </c>
      <c r="C75" s="1">
        <v>217</v>
      </c>
      <c r="D75" s="1">
        <v>15</v>
      </c>
      <c r="E75" s="1">
        <v>136</v>
      </c>
      <c r="F75" s="1">
        <v>81</v>
      </c>
      <c r="G75" s="7">
        <v>0.35</v>
      </c>
      <c r="H75" s="1">
        <v>90</v>
      </c>
      <c r="I75" s="1" t="s">
        <v>40</v>
      </c>
      <c r="J75" s="1"/>
      <c r="K75" s="1">
        <v>141</v>
      </c>
      <c r="L75" s="1">
        <f t="shared" si="24"/>
        <v>-5</v>
      </c>
      <c r="M75" s="1"/>
      <c r="N75" s="1"/>
      <c r="O75" s="1">
        <v>59.911999999999807</v>
      </c>
      <c r="P75" s="1"/>
      <c r="Q75" s="1"/>
      <c r="R75" s="1">
        <v>120.8880000000002</v>
      </c>
      <c r="S75" s="1">
        <f t="shared" si="25"/>
        <v>27.2</v>
      </c>
      <c r="T75" s="5">
        <f t="shared" si="26"/>
        <v>64.599999999999966</v>
      </c>
      <c r="U75" s="5">
        <f t="shared" si="32"/>
        <v>100</v>
      </c>
      <c r="V75" s="5">
        <v>100</v>
      </c>
      <c r="W75" s="5"/>
      <c r="X75" s="21">
        <f>VLOOKUP(A75,[1]Sheet!$A:$U,21,0)</f>
        <v>100</v>
      </c>
      <c r="Y75" s="21" t="str">
        <f>VLOOKUP(A75,[1]Sheet!$A:$V,22,0)</f>
        <v>Хорошие сроки</v>
      </c>
      <c r="Z75" s="1">
        <f t="shared" si="29"/>
        <v>13.301470588235295</v>
      </c>
      <c r="AA75" s="1">
        <f t="shared" si="27"/>
        <v>9.625</v>
      </c>
      <c r="AB75" s="1">
        <v>29.8</v>
      </c>
      <c r="AC75" s="1">
        <v>25.6</v>
      </c>
      <c r="AD75" s="1">
        <v>21.8</v>
      </c>
      <c r="AE75" s="1">
        <v>26.8</v>
      </c>
      <c r="AF75" s="1">
        <v>32.6</v>
      </c>
      <c r="AG75" s="1">
        <v>30.2</v>
      </c>
      <c r="AH75" s="1">
        <v>21.8</v>
      </c>
      <c r="AI75" s="1">
        <v>25.6</v>
      </c>
      <c r="AJ75" s="1">
        <v>22</v>
      </c>
      <c r="AK75" s="1">
        <v>30.2</v>
      </c>
      <c r="AL75" s="1">
        <v>31</v>
      </c>
      <c r="AM75" s="1"/>
      <c r="AN75" s="1">
        <f t="shared" si="30"/>
        <v>35</v>
      </c>
      <c r="AO75" s="1">
        <f t="shared" si="31"/>
        <v>0</v>
      </c>
    </row>
    <row r="76" spans="1:41" x14ac:dyDescent="0.25">
      <c r="A76" s="1" t="s">
        <v>117</v>
      </c>
      <c r="B76" s="1" t="s">
        <v>44</v>
      </c>
      <c r="C76" s="1"/>
      <c r="D76" s="1"/>
      <c r="E76" s="1"/>
      <c r="F76" s="1"/>
      <c r="G76" s="7">
        <v>0.37</v>
      </c>
      <c r="H76" s="1"/>
      <c r="I76" s="1" t="s">
        <v>40</v>
      </c>
      <c r="J76" s="1"/>
      <c r="K76" s="1"/>
      <c r="L76" s="1">
        <f t="shared" si="24"/>
        <v>0</v>
      </c>
      <c r="M76" s="1"/>
      <c r="N76" s="1"/>
      <c r="O76" s="1">
        <v>0</v>
      </c>
      <c r="P76" s="1"/>
      <c r="Q76" s="1"/>
      <c r="R76" s="1">
        <v>0</v>
      </c>
      <c r="S76" s="1">
        <f t="shared" si="25"/>
        <v>0</v>
      </c>
      <c r="T76" s="5"/>
      <c r="U76" s="5">
        <f t="shared" si="32"/>
        <v>23</v>
      </c>
      <c r="V76" s="5">
        <v>23</v>
      </c>
      <c r="W76" s="5"/>
      <c r="X76" s="21">
        <f>VLOOKUP(A76,[1]Sheet!$A:$U,21,0)</f>
        <v>23</v>
      </c>
      <c r="Y76" s="21"/>
      <c r="Z76" s="1" t="e">
        <f t="shared" si="29"/>
        <v>#DIV/0!</v>
      </c>
      <c r="AA76" s="1" t="e">
        <f t="shared" si="27"/>
        <v>#DIV/0!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 t="s">
        <v>281</v>
      </c>
      <c r="AN76" s="1">
        <f t="shared" si="30"/>
        <v>9</v>
      </c>
      <c r="AO76" s="1">
        <f t="shared" si="31"/>
        <v>0</v>
      </c>
    </row>
    <row r="77" spans="1:41" x14ac:dyDescent="0.25">
      <c r="A77" s="1" t="s">
        <v>118</v>
      </c>
      <c r="B77" s="1" t="s">
        <v>44</v>
      </c>
      <c r="C77" s="1">
        <v>104</v>
      </c>
      <c r="D77" s="1">
        <v>16</v>
      </c>
      <c r="E77" s="1">
        <v>42</v>
      </c>
      <c r="F77" s="1">
        <v>60</v>
      </c>
      <c r="G77" s="7">
        <v>0.6</v>
      </c>
      <c r="H77" s="1">
        <v>70</v>
      </c>
      <c r="I77" s="1" t="s">
        <v>40</v>
      </c>
      <c r="J77" s="1"/>
      <c r="K77" s="1">
        <v>44</v>
      </c>
      <c r="L77" s="1">
        <f t="shared" si="24"/>
        <v>-2</v>
      </c>
      <c r="M77" s="1"/>
      <c r="N77" s="1"/>
      <c r="O77" s="1">
        <v>24</v>
      </c>
      <c r="P77" s="1"/>
      <c r="Q77" s="1"/>
      <c r="R77" s="1">
        <v>6.8000000000000114</v>
      </c>
      <c r="S77" s="1">
        <f t="shared" si="25"/>
        <v>8.4</v>
      </c>
      <c r="T77" s="5">
        <f t="shared" ref="T77:T79" si="34">12*S77-R77-Q77-P77-O77-F77</f>
        <v>10</v>
      </c>
      <c r="U77" s="5">
        <f t="shared" si="28"/>
        <v>10</v>
      </c>
      <c r="V77" s="5">
        <v>10</v>
      </c>
      <c r="W77" s="5"/>
      <c r="X77" s="21"/>
      <c r="Y77" s="21"/>
      <c r="Z77" s="1">
        <f t="shared" si="29"/>
        <v>12</v>
      </c>
      <c r="AA77" s="1">
        <f t="shared" si="27"/>
        <v>10.80952380952381</v>
      </c>
      <c r="AB77" s="1">
        <v>11.8</v>
      </c>
      <c r="AC77" s="1">
        <v>10.6</v>
      </c>
      <c r="AD77" s="1">
        <v>8.6</v>
      </c>
      <c r="AE77" s="1">
        <v>14.6</v>
      </c>
      <c r="AF77" s="1">
        <v>17</v>
      </c>
      <c r="AG77" s="1">
        <v>8.1999999999999993</v>
      </c>
      <c r="AH77" s="1">
        <v>3</v>
      </c>
      <c r="AI77" s="1">
        <v>16</v>
      </c>
      <c r="AJ77" s="1">
        <v>20.2</v>
      </c>
      <c r="AK77" s="1">
        <v>17.399999999999999</v>
      </c>
      <c r="AL77" s="1">
        <v>11.6</v>
      </c>
      <c r="AM77" s="1"/>
      <c r="AN77" s="1">
        <f t="shared" si="30"/>
        <v>6</v>
      </c>
      <c r="AO77" s="1">
        <f t="shared" si="31"/>
        <v>0</v>
      </c>
    </row>
    <row r="78" spans="1:41" x14ac:dyDescent="0.25">
      <c r="A78" s="1" t="s">
        <v>119</v>
      </c>
      <c r="B78" s="1" t="s">
        <v>44</v>
      </c>
      <c r="C78" s="1">
        <v>104</v>
      </c>
      <c r="D78" s="1">
        <v>21</v>
      </c>
      <c r="E78" s="1">
        <v>55</v>
      </c>
      <c r="F78" s="1">
        <v>38</v>
      </c>
      <c r="G78" s="7">
        <v>0.33</v>
      </c>
      <c r="H78" s="1">
        <v>40</v>
      </c>
      <c r="I78" s="1" t="s">
        <v>40</v>
      </c>
      <c r="J78" s="1"/>
      <c r="K78" s="1">
        <v>69</v>
      </c>
      <c r="L78" s="1">
        <f t="shared" si="24"/>
        <v>-14</v>
      </c>
      <c r="M78" s="1"/>
      <c r="N78" s="1"/>
      <c r="O78" s="1">
        <v>0</v>
      </c>
      <c r="P78" s="1"/>
      <c r="Q78" s="1"/>
      <c r="R78" s="1">
        <v>77.800000000000011</v>
      </c>
      <c r="S78" s="1">
        <f t="shared" si="25"/>
        <v>11</v>
      </c>
      <c r="T78" s="5">
        <f t="shared" si="34"/>
        <v>16.199999999999989</v>
      </c>
      <c r="U78" s="5">
        <f t="shared" si="28"/>
        <v>16.199999999999989</v>
      </c>
      <c r="V78" s="5">
        <v>16.199999999999989</v>
      </c>
      <c r="W78" s="5"/>
      <c r="X78" s="21"/>
      <c r="Y78" s="21"/>
      <c r="Z78" s="1">
        <f t="shared" si="29"/>
        <v>12</v>
      </c>
      <c r="AA78" s="1">
        <f t="shared" si="27"/>
        <v>10.527272727272729</v>
      </c>
      <c r="AB78" s="1">
        <v>16.600000000000001</v>
      </c>
      <c r="AC78" s="1">
        <v>4.8</v>
      </c>
      <c r="AD78" s="1">
        <v>3.2</v>
      </c>
      <c r="AE78" s="1">
        <v>4.8</v>
      </c>
      <c r="AF78" s="1">
        <v>6.8</v>
      </c>
      <c r="AG78" s="1">
        <v>9.8000000000000007</v>
      </c>
      <c r="AH78" s="1">
        <v>10.8</v>
      </c>
      <c r="AI78" s="1">
        <v>16.2</v>
      </c>
      <c r="AJ78" s="1">
        <v>8.8000000000000007</v>
      </c>
      <c r="AK78" s="1">
        <v>5.4</v>
      </c>
      <c r="AL78" s="1">
        <v>11.6</v>
      </c>
      <c r="AM78" s="1"/>
      <c r="AN78" s="1">
        <f t="shared" si="30"/>
        <v>5</v>
      </c>
      <c r="AO78" s="1">
        <f t="shared" si="31"/>
        <v>0</v>
      </c>
    </row>
    <row r="79" spans="1:41" x14ac:dyDescent="0.25">
      <c r="A79" s="1" t="s">
        <v>120</v>
      </c>
      <c r="B79" s="1" t="s">
        <v>44</v>
      </c>
      <c r="C79" s="1">
        <v>91</v>
      </c>
      <c r="D79" s="1"/>
      <c r="E79" s="1">
        <v>31</v>
      </c>
      <c r="F79" s="1">
        <v>25</v>
      </c>
      <c r="G79" s="7">
        <v>0.4</v>
      </c>
      <c r="H79" s="1">
        <v>55</v>
      </c>
      <c r="I79" s="1" t="s">
        <v>40</v>
      </c>
      <c r="J79" s="1"/>
      <c r="K79" s="1">
        <v>61</v>
      </c>
      <c r="L79" s="1">
        <f t="shared" si="24"/>
        <v>-30</v>
      </c>
      <c r="M79" s="1"/>
      <c r="N79" s="1"/>
      <c r="O79" s="1">
        <v>0</v>
      </c>
      <c r="P79" s="1"/>
      <c r="Q79" s="1"/>
      <c r="R79" s="1">
        <v>22</v>
      </c>
      <c r="S79" s="1">
        <f t="shared" si="25"/>
        <v>6.2</v>
      </c>
      <c r="T79" s="5">
        <f t="shared" si="34"/>
        <v>27.400000000000006</v>
      </c>
      <c r="U79" s="5">
        <v>100</v>
      </c>
      <c r="V79" s="5">
        <v>100</v>
      </c>
      <c r="W79" s="5"/>
      <c r="X79" s="21">
        <f>VLOOKUP(A79,[1]Sheet!$A:$U,21,0)</f>
        <v>266</v>
      </c>
      <c r="Y79" s="21">
        <f>VLOOKUP(A79,[1]Sheet!$A:$V,22,0)</f>
        <v>100</v>
      </c>
      <c r="Z79" s="1">
        <f t="shared" si="29"/>
        <v>23.709677419354836</v>
      </c>
      <c r="AA79" s="1">
        <f t="shared" si="27"/>
        <v>7.5806451612903221</v>
      </c>
      <c r="AB79" s="1">
        <v>7</v>
      </c>
      <c r="AC79" s="1">
        <v>6.8</v>
      </c>
      <c r="AD79" s="1">
        <v>4.2</v>
      </c>
      <c r="AE79" s="1">
        <v>9</v>
      </c>
      <c r="AF79" s="1">
        <v>11.2</v>
      </c>
      <c r="AG79" s="1">
        <v>7.2</v>
      </c>
      <c r="AH79" s="1">
        <v>6</v>
      </c>
      <c r="AI79" s="1">
        <v>7.2</v>
      </c>
      <c r="AJ79" s="1">
        <v>5.8</v>
      </c>
      <c r="AK79" s="1">
        <v>10.4</v>
      </c>
      <c r="AL79" s="1">
        <v>12.2</v>
      </c>
      <c r="AM79" s="1"/>
      <c r="AN79" s="1">
        <f t="shared" si="30"/>
        <v>40</v>
      </c>
      <c r="AO79" s="1">
        <f t="shared" si="31"/>
        <v>0</v>
      </c>
    </row>
    <row r="80" spans="1:41" x14ac:dyDescent="0.25">
      <c r="A80" s="1" t="s">
        <v>121</v>
      </c>
      <c r="B80" s="1" t="s">
        <v>44</v>
      </c>
      <c r="C80" s="1">
        <v>-3</v>
      </c>
      <c r="D80" s="1">
        <v>24</v>
      </c>
      <c r="E80" s="1">
        <v>5</v>
      </c>
      <c r="F80" s="1">
        <v>15</v>
      </c>
      <c r="G80" s="7">
        <v>0.35</v>
      </c>
      <c r="H80" s="1">
        <v>40</v>
      </c>
      <c r="I80" s="1" t="s">
        <v>40</v>
      </c>
      <c r="J80" s="1"/>
      <c r="K80" s="1">
        <v>5</v>
      </c>
      <c r="L80" s="1">
        <f t="shared" si="24"/>
        <v>0</v>
      </c>
      <c r="M80" s="1"/>
      <c r="N80" s="1"/>
      <c r="O80" s="1">
        <v>0</v>
      </c>
      <c r="P80" s="1"/>
      <c r="Q80" s="1"/>
      <c r="R80" s="1">
        <v>0</v>
      </c>
      <c r="S80" s="1">
        <f t="shared" si="25"/>
        <v>1</v>
      </c>
      <c r="T80" s="5"/>
      <c r="U80" s="5">
        <f t="shared" si="28"/>
        <v>0</v>
      </c>
      <c r="V80" s="5">
        <v>0</v>
      </c>
      <c r="W80" s="5"/>
      <c r="X80" s="21"/>
      <c r="Y80" s="21"/>
      <c r="Z80" s="1">
        <f t="shared" si="29"/>
        <v>15</v>
      </c>
      <c r="AA80" s="1">
        <f t="shared" si="27"/>
        <v>15</v>
      </c>
      <c r="AB80" s="1">
        <v>-0.4</v>
      </c>
      <c r="AC80" s="1">
        <v>-0.6</v>
      </c>
      <c r="AD80" s="1">
        <v>0.4</v>
      </c>
      <c r="AE80" s="1">
        <v>1.4</v>
      </c>
      <c r="AF80" s="1">
        <v>0.6</v>
      </c>
      <c r="AG80" s="1">
        <v>1.4</v>
      </c>
      <c r="AH80" s="1">
        <v>4</v>
      </c>
      <c r="AI80" s="1">
        <v>6.8</v>
      </c>
      <c r="AJ80" s="1">
        <v>6.8</v>
      </c>
      <c r="AK80" s="1">
        <v>4.4000000000000004</v>
      </c>
      <c r="AL80" s="1">
        <v>3.8</v>
      </c>
      <c r="AM80" s="1" t="s">
        <v>122</v>
      </c>
      <c r="AN80" s="1">
        <f t="shared" si="30"/>
        <v>0</v>
      </c>
      <c r="AO80" s="1">
        <f t="shared" si="31"/>
        <v>0</v>
      </c>
    </row>
    <row r="81" spans="1:41" x14ac:dyDescent="0.25">
      <c r="A81" s="1" t="s">
        <v>123</v>
      </c>
      <c r="B81" s="1" t="s">
        <v>44</v>
      </c>
      <c r="C81" s="1">
        <v>67</v>
      </c>
      <c r="D81" s="1">
        <v>60</v>
      </c>
      <c r="E81" s="1">
        <v>47</v>
      </c>
      <c r="F81" s="1">
        <v>72</v>
      </c>
      <c r="G81" s="7">
        <v>0.35</v>
      </c>
      <c r="H81" s="1">
        <v>45</v>
      </c>
      <c r="I81" s="1" t="s">
        <v>40</v>
      </c>
      <c r="J81" s="1"/>
      <c r="K81" s="1">
        <v>48</v>
      </c>
      <c r="L81" s="1">
        <f t="shared" si="24"/>
        <v>-1</v>
      </c>
      <c r="M81" s="1"/>
      <c r="N81" s="1"/>
      <c r="O81" s="1">
        <v>75.659999999999982</v>
      </c>
      <c r="P81" s="1"/>
      <c r="Q81" s="1"/>
      <c r="R81" s="1">
        <v>0</v>
      </c>
      <c r="S81" s="1">
        <f t="shared" si="25"/>
        <v>9.4</v>
      </c>
      <c r="T81" s="5"/>
      <c r="U81" s="5">
        <f t="shared" si="28"/>
        <v>0</v>
      </c>
      <c r="V81" s="5">
        <v>0</v>
      </c>
      <c r="W81" s="5"/>
      <c r="X81" s="21"/>
      <c r="Y81" s="21"/>
      <c r="Z81" s="1">
        <f t="shared" si="29"/>
        <v>15.708510638297868</v>
      </c>
      <c r="AA81" s="1">
        <f t="shared" si="27"/>
        <v>15.708510638297868</v>
      </c>
      <c r="AB81" s="1">
        <v>13</v>
      </c>
      <c r="AC81" s="1">
        <v>18</v>
      </c>
      <c r="AD81" s="1">
        <v>20.6</v>
      </c>
      <c r="AE81" s="1">
        <v>16.600000000000001</v>
      </c>
      <c r="AF81" s="1">
        <v>12.4</v>
      </c>
      <c r="AG81" s="1">
        <v>5.6</v>
      </c>
      <c r="AH81" s="1">
        <v>14.8</v>
      </c>
      <c r="AI81" s="1">
        <v>33</v>
      </c>
      <c r="AJ81" s="1">
        <v>26</v>
      </c>
      <c r="AK81" s="1">
        <v>36.6</v>
      </c>
      <c r="AL81" s="1">
        <v>33.4</v>
      </c>
      <c r="AM81" s="1"/>
      <c r="AN81" s="1">
        <f t="shared" si="30"/>
        <v>0</v>
      </c>
      <c r="AO81" s="1">
        <f t="shared" si="31"/>
        <v>0</v>
      </c>
    </row>
    <row r="82" spans="1:41" x14ac:dyDescent="0.25">
      <c r="A82" s="12" t="s">
        <v>124</v>
      </c>
      <c r="B82" s="12" t="s">
        <v>44</v>
      </c>
      <c r="C82" s="12"/>
      <c r="D82" s="12"/>
      <c r="E82" s="12"/>
      <c r="F82" s="12"/>
      <c r="G82" s="13">
        <v>0</v>
      </c>
      <c r="H82" s="12"/>
      <c r="I82" s="12" t="s">
        <v>40</v>
      </c>
      <c r="J82" s="12"/>
      <c r="K82" s="12"/>
      <c r="L82" s="12">
        <f t="shared" si="24"/>
        <v>0</v>
      </c>
      <c r="M82" s="12"/>
      <c r="N82" s="12"/>
      <c r="O82" s="12">
        <v>0</v>
      </c>
      <c r="P82" s="12"/>
      <c r="Q82" s="12"/>
      <c r="R82" s="12">
        <v>0</v>
      </c>
      <c r="S82" s="12">
        <f t="shared" si="25"/>
        <v>0</v>
      </c>
      <c r="T82" s="14"/>
      <c r="U82" s="5">
        <f t="shared" si="28"/>
        <v>0</v>
      </c>
      <c r="V82" s="5">
        <v>0</v>
      </c>
      <c r="W82" s="5"/>
      <c r="X82" s="21"/>
      <c r="Y82" s="21"/>
      <c r="Z82" s="1" t="e">
        <f t="shared" si="29"/>
        <v>#DIV/0!</v>
      </c>
      <c r="AA82" s="12" t="e">
        <f t="shared" si="27"/>
        <v>#DIV/0!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 t="s">
        <v>45</v>
      </c>
      <c r="AN82" s="1">
        <f t="shared" si="30"/>
        <v>0</v>
      </c>
      <c r="AO82" s="1">
        <f t="shared" si="31"/>
        <v>0</v>
      </c>
    </row>
    <row r="83" spans="1:41" x14ac:dyDescent="0.25">
      <c r="A83" s="12" t="s">
        <v>125</v>
      </c>
      <c r="B83" s="12" t="s">
        <v>39</v>
      </c>
      <c r="C83" s="12"/>
      <c r="D83" s="12"/>
      <c r="E83" s="12"/>
      <c r="F83" s="12"/>
      <c r="G83" s="13">
        <v>0</v>
      </c>
      <c r="H83" s="12"/>
      <c r="I83" s="12" t="s">
        <v>40</v>
      </c>
      <c r="J83" s="12"/>
      <c r="K83" s="12"/>
      <c r="L83" s="12">
        <f t="shared" si="24"/>
        <v>0</v>
      </c>
      <c r="M83" s="12"/>
      <c r="N83" s="12"/>
      <c r="O83" s="12">
        <v>0</v>
      </c>
      <c r="P83" s="12"/>
      <c r="Q83" s="12"/>
      <c r="R83" s="12">
        <v>0</v>
      </c>
      <c r="S83" s="12">
        <f t="shared" si="25"/>
        <v>0</v>
      </c>
      <c r="T83" s="14"/>
      <c r="U83" s="5">
        <f t="shared" si="28"/>
        <v>0</v>
      </c>
      <c r="V83" s="5">
        <v>0</v>
      </c>
      <c r="W83" s="5"/>
      <c r="X83" s="21"/>
      <c r="Y83" s="21"/>
      <c r="Z83" s="1" t="e">
        <f t="shared" si="29"/>
        <v>#DIV/0!</v>
      </c>
      <c r="AA83" s="12" t="e">
        <f t="shared" si="27"/>
        <v>#DIV/0!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 t="s">
        <v>45</v>
      </c>
      <c r="AN83" s="1">
        <f t="shared" si="30"/>
        <v>0</v>
      </c>
      <c r="AO83" s="1">
        <f t="shared" si="31"/>
        <v>0</v>
      </c>
    </row>
    <row r="84" spans="1:41" x14ac:dyDescent="0.25">
      <c r="A84" s="12" t="s">
        <v>126</v>
      </c>
      <c r="B84" s="12" t="s">
        <v>39</v>
      </c>
      <c r="C84" s="12"/>
      <c r="D84" s="12"/>
      <c r="E84" s="12"/>
      <c r="F84" s="12"/>
      <c r="G84" s="13">
        <v>0</v>
      </c>
      <c r="H84" s="12"/>
      <c r="I84" s="12" t="s">
        <v>40</v>
      </c>
      <c r="J84" s="12"/>
      <c r="K84" s="12"/>
      <c r="L84" s="12">
        <f t="shared" si="24"/>
        <v>0</v>
      </c>
      <c r="M84" s="12"/>
      <c r="N84" s="12"/>
      <c r="O84" s="12">
        <v>0</v>
      </c>
      <c r="P84" s="12"/>
      <c r="Q84" s="12"/>
      <c r="R84" s="12">
        <v>0</v>
      </c>
      <c r="S84" s="12">
        <f t="shared" si="25"/>
        <v>0</v>
      </c>
      <c r="T84" s="14"/>
      <c r="U84" s="5">
        <f t="shared" si="28"/>
        <v>0</v>
      </c>
      <c r="V84" s="5">
        <v>0</v>
      </c>
      <c r="W84" s="5"/>
      <c r="X84" s="21"/>
      <c r="Y84" s="21"/>
      <c r="Z84" s="1" t="e">
        <f t="shared" si="29"/>
        <v>#DIV/0!</v>
      </c>
      <c r="AA84" s="12" t="e">
        <f t="shared" si="27"/>
        <v>#DIV/0!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 t="s">
        <v>45</v>
      </c>
      <c r="AN84" s="1">
        <f t="shared" si="30"/>
        <v>0</v>
      </c>
      <c r="AO84" s="1">
        <f t="shared" si="31"/>
        <v>0</v>
      </c>
    </row>
    <row r="85" spans="1:41" x14ac:dyDescent="0.25">
      <c r="A85" s="1" t="s">
        <v>127</v>
      </c>
      <c r="B85" s="1" t="s">
        <v>39</v>
      </c>
      <c r="C85" s="1">
        <v>161.529</v>
      </c>
      <c r="D85" s="1">
        <v>137.74600000000001</v>
      </c>
      <c r="E85" s="1">
        <v>164.61799999999999</v>
      </c>
      <c r="F85" s="1">
        <v>112.962</v>
      </c>
      <c r="G85" s="7">
        <v>1</v>
      </c>
      <c r="H85" s="1">
        <v>60</v>
      </c>
      <c r="I85" s="1" t="s">
        <v>40</v>
      </c>
      <c r="J85" s="1"/>
      <c r="K85" s="1">
        <v>165.8</v>
      </c>
      <c r="L85" s="1">
        <f t="shared" si="24"/>
        <v>-1.1820000000000164</v>
      </c>
      <c r="M85" s="1"/>
      <c r="N85" s="1"/>
      <c r="O85" s="1">
        <v>80.011245999999971</v>
      </c>
      <c r="P85" s="1"/>
      <c r="Q85" s="1"/>
      <c r="R85" s="1">
        <v>120.8653540000001</v>
      </c>
      <c r="S85" s="1">
        <f t="shared" si="25"/>
        <v>32.9236</v>
      </c>
      <c r="T85" s="5">
        <f>12*S85-R85-Q85-P85-O85-F85</f>
        <v>81.244599999999977</v>
      </c>
      <c r="U85" s="5">
        <f t="shared" si="28"/>
        <v>81.244599999999977</v>
      </c>
      <c r="V85" s="5">
        <v>81.244599999999977</v>
      </c>
      <c r="W85" s="5"/>
      <c r="X85" s="21"/>
      <c r="Y85" s="21"/>
      <c r="Z85" s="1">
        <f t="shared" si="29"/>
        <v>12</v>
      </c>
      <c r="AA85" s="1">
        <f t="shared" si="27"/>
        <v>9.5323293928974966</v>
      </c>
      <c r="AB85" s="1">
        <v>36.190600000000003</v>
      </c>
      <c r="AC85" s="1">
        <v>32.9358</v>
      </c>
      <c r="AD85" s="1">
        <v>27.771799999999999</v>
      </c>
      <c r="AE85" s="1">
        <v>31.998000000000001</v>
      </c>
      <c r="AF85" s="1">
        <v>23.875599999999999</v>
      </c>
      <c r="AG85" s="1">
        <v>20.068999999999999</v>
      </c>
      <c r="AH85" s="1">
        <v>23.865600000000001</v>
      </c>
      <c r="AI85" s="1">
        <v>32.620199999999997</v>
      </c>
      <c r="AJ85" s="1">
        <v>28.968800000000002</v>
      </c>
      <c r="AK85" s="1">
        <v>43.807400000000001</v>
      </c>
      <c r="AL85" s="1">
        <v>49.8904</v>
      </c>
      <c r="AM85" s="1"/>
      <c r="AN85" s="1">
        <f t="shared" si="30"/>
        <v>81</v>
      </c>
      <c r="AO85" s="1">
        <f t="shared" si="31"/>
        <v>0</v>
      </c>
    </row>
    <row r="86" spans="1:41" x14ac:dyDescent="0.25">
      <c r="A86" s="12" t="s">
        <v>128</v>
      </c>
      <c r="B86" s="12" t="s">
        <v>44</v>
      </c>
      <c r="C86" s="12"/>
      <c r="D86" s="12"/>
      <c r="E86" s="12"/>
      <c r="F86" s="12"/>
      <c r="G86" s="13">
        <v>0</v>
      </c>
      <c r="H86" s="12"/>
      <c r="I86" s="12" t="s">
        <v>40</v>
      </c>
      <c r="J86" s="12"/>
      <c r="K86" s="12"/>
      <c r="L86" s="12">
        <f t="shared" si="24"/>
        <v>0</v>
      </c>
      <c r="M86" s="12"/>
      <c r="N86" s="12"/>
      <c r="O86" s="12">
        <v>0</v>
      </c>
      <c r="P86" s="12"/>
      <c r="Q86" s="12"/>
      <c r="R86" s="12">
        <v>0</v>
      </c>
      <c r="S86" s="12">
        <f t="shared" si="25"/>
        <v>0</v>
      </c>
      <c r="T86" s="14"/>
      <c r="U86" s="5">
        <f t="shared" si="28"/>
        <v>0</v>
      </c>
      <c r="V86" s="5">
        <v>0</v>
      </c>
      <c r="W86" s="5"/>
      <c r="X86" s="21"/>
      <c r="Y86" s="21"/>
      <c r="Z86" s="1" t="e">
        <f t="shared" si="29"/>
        <v>#DIV/0!</v>
      </c>
      <c r="AA86" s="12" t="e">
        <f t="shared" si="27"/>
        <v>#DIV/0!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 t="s">
        <v>45</v>
      </c>
      <c r="AN86" s="1">
        <f t="shared" si="30"/>
        <v>0</v>
      </c>
      <c r="AO86" s="1">
        <f t="shared" si="31"/>
        <v>0</v>
      </c>
    </row>
    <row r="87" spans="1:41" x14ac:dyDescent="0.25">
      <c r="A87" s="1" t="s">
        <v>129</v>
      </c>
      <c r="B87" s="1" t="s">
        <v>39</v>
      </c>
      <c r="C87" s="1">
        <v>1777.1669999999999</v>
      </c>
      <c r="D87" s="1">
        <v>1027.96</v>
      </c>
      <c r="E87" s="1">
        <v>1412.952</v>
      </c>
      <c r="F87" s="1">
        <v>594.94200000000001</v>
      </c>
      <c r="G87" s="7">
        <v>1</v>
      </c>
      <c r="H87" s="1">
        <v>60</v>
      </c>
      <c r="I87" s="1" t="s">
        <v>40</v>
      </c>
      <c r="J87" s="1"/>
      <c r="K87" s="1">
        <v>1420.1590000000001</v>
      </c>
      <c r="L87" s="1">
        <f t="shared" si="24"/>
        <v>-7.2070000000001073</v>
      </c>
      <c r="M87" s="1"/>
      <c r="N87" s="1"/>
      <c r="O87" s="1">
        <v>1227.13635</v>
      </c>
      <c r="P87" s="1"/>
      <c r="Q87" s="1">
        <v>300</v>
      </c>
      <c r="R87" s="1">
        <v>0</v>
      </c>
      <c r="S87" s="1">
        <f t="shared" si="25"/>
        <v>282.59039999999999</v>
      </c>
      <c r="T87" s="5">
        <f t="shared" ref="T87:T89" si="35">12*S87-R87-Q87-P87-O87-F87</f>
        <v>1269.0064499999996</v>
      </c>
      <c r="U87" s="5">
        <f t="shared" si="28"/>
        <v>1269.0064499999996</v>
      </c>
      <c r="V87" s="5">
        <v>585.0119734499998</v>
      </c>
      <c r="W87" s="5">
        <f t="shared" ref="W87" si="36">U87*$W$1</f>
        <v>683.99447654999983</v>
      </c>
      <c r="X87" s="21"/>
      <c r="Y87" s="21"/>
      <c r="Z87" s="1">
        <f t="shared" si="29"/>
        <v>12</v>
      </c>
      <c r="AA87" s="1">
        <f t="shared" si="27"/>
        <v>7.5093787687055178</v>
      </c>
      <c r="AB87" s="1">
        <v>311.91120000000001</v>
      </c>
      <c r="AC87" s="1">
        <v>314.94979999999998</v>
      </c>
      <c r="AD87" s="1">
        <v>244.9546</v>
      </c>
      <c r="AE87" s="1">
        <v>250.4194</v>
      </c>
      <c r="AF87" s="1">
        <v>227.70859999999999</v>
      </c>
      <c r="AG87" s="1">
        <v>184.99260000000001</v>
      </c>
      <c r="AH87" s="1">
        <v>192.30119999999999</v>
      </c>
      <c r="AI87" s="1">
        <v>242.393</v>
      </c>
      <c r="AJ87" s="1">
        <v>281.09039999999999</v>
      </c>
      <c r="AK87" s="1">
        <v>332.67239999999998</v>
      </c>
      <c r="AL87" s="1">
        <v>305.48419999999999</v>
      </c>
      <c r="AM87" s="1"/>
      <c r="AN87" s="1">
        <f t="shared" si="30"/>
        <v>585</v>
      </c>
      <c r="AO87" s="1">
        <f t="shared" si="31"/>
        <v>684</v>
      </c>
    </row>
    <row r="88" spans="1:41" x14ac:dyDescent="0.25">
      <c r="A88" s="1" t="s">
        <v>130</v>
      </c>
      <c r="B88" s="1" t="s">
        <v>39</v>
      </c>
      <c r="C88" s="1">
        <v>1667.742</v>
      </c>
      <c r="D88" s="1">
        <v>462.20400000000001</v>
      </c>
      <c r="E88" s="1">
        <v>805.375</v>
      </c>
      <c r="F88" s="1">
        <v>835.08799999999997</v>
      </c>
      <c r="G88" s="7">
        <v>1</v>
      </c>
      <c r="H88" s="1">
        <v>60</v>
      </c>
      <c r="I88" s="1" t="s">
        <v>40</v>
      </c>
      <c r="J88" s="1"/>
      <c r="K88" s="1">
        <v>819.52099999999996</v>
      </c>
      <c r="L88" s="1">
        <f t="shared" si="24"/>
        <v>-14.145999999999958</v>
      </c>
      <c r="M88" s="1"/>
      <c r="N88" s="1"/>
      <c r="O88" s="1">
        <v>229.23418799999979</v>
      </c>
      <c r="P88" s="1"/>
      <c r="Q88" s="1">
        <v>200</v>
      </c>
      <c r="R88" s="1">
        <v>0</v>
      </c>
      <c r="S88" s="1">
        <f t="shared" si="25"/>
        <v>161.07499999999999</v>
      </c>
      <c r="T88" s="5">
        <f t="shared" si="35"/>
        <v>668.57781200000022</v>
      </c>
      <c r="U88" s="5">
        <v>800</v>
      </c>
      <c r="V88" s="5">
        <v>368.79999999999995</v>
      </c>
      <c r="W88" s="5">
        <v>250</v>
      </c>
      <c r="X88" s="21"/>
      <c r="Y88" s="21"/>
      <c r="Z88" s="1">
        <f t="shared" si="29"/>
        <v>11.690965003880178</v>
      </c>
      <c r="AA88" s="1">
        <f t="shared" si="27"/>
        <v>7.8492763495266162</v>
      </c>
      <c r="AB88" s="1">
        <v>169.74440000000001</v>
      </c>
      <c r="AC88" s="1">
        <v>188.2424</v>
      </c>
      <c r="AD88" s="1">
        <v>175.36760000000001</v>
      </c>
      <c r="AE88" s="1">
        <v>241.06899999999999</v>
      </c>
      <c r="AF88" s="1">
        <v>210.56899999999999</v>
      </c>
      <c r="AG88" s="1">
        <v>112.8832</v>
      </c>
      <c r="AH88" s="1">
        <v>123.03279999999999</v>
      </c>
      <c r="AI88" s="1">
        <v>190.5642</v>
      </c>
      <c r="AJ88" s="1">
        <v>220.67740000000001</v>
      </c>
      <c r="AK88" s="1">
        <v>250.80779999999999</v>
      </c>
      <c r="AL88" s="1">
        <v>213.42420000000001</v>
      </c>
      <c r="AM88" s="1"/>
      <c r="AN88" s="1">
        <f t="shared" si="30"/>
        <v>369</v>
      </c>
      <c r="AO88" s="1">
        <f t="shared" si="31"/>
        <v>250</v>
      </c>
    </row>
    <row r="89" spans="1:41" x14ac:dyDescent="0.25">
      <c r="A89" s="1" t="s">
        <v>131</v>
      </c>
      <c r="B89" s="1" t="s">
        <v>39</v>
      </c>
      <c r="C89" s="1">
        <v>3137.7260000000001</v>
      </c>
      <c r="D89" s="1">
        <v>523.09699999999998</v>
      </c>
      <c r="E89" s="1">
        <v>1745.365</v>
      </c>
      <c r="F89" s="1">
        <v>1239.674</v>
      </c>
      <c r="G89" s="7">
        <v>1</v>
      </c>
      <c r="H89" s="1">
        <v>60</v>
      </c>
      <c r="I89" s="1" t="s">
        <v>40</v>
      </c>
      <c r="J89" s="1"/>
      <c r="K89" s="1">
        <v>1834.414</v>
      </c>
      <c r="L89" s="1">
        <f t="shared" si="24"/>
        <v>-89.048999999999978</v>
      </c>
      <c r="M89" s="1"/>
      <c r="N89" s="1"/>
      <c r="O89" s="1">
        <v>1528.9199080000001</v>
      </c>
      <c r="P89" s="1"/>
      <c r="Q89" s="1">
        <v>400</v>
      </c>
      <c r="R89" s="1">
        <v>0</v>
      </c>
      <c r="S89" s="1">
        <f t="shared" si="25"/>
        <v>349.07299999999998</v>
      </c>
      <c r="T89" s="5">
        <f t="shared" si="35"/>
        <v>1020.2820920000004</v>
      </c>
      <c r="U89" s="5">
        <v>1330</v>
      </c>
      <c r="V89" s="5">
        <v>613.13</v>
      </c>
      <c r="W89" s="5">
        <v>400</v>
      </c>
      <c r="X89" s="21"/>
      <c r="Y89" s="21"/>
      <c r="Z89" s="1">
        <f t="shared" si="29"/>
        <v>11.979511185339456</v>
      </c>
      <c r="AA89" s="1">
        <f t="shared" si="27"/>
        <v>9.0771669765349934</v>
      </c>
      <c r="AB89" s="1">
        <v>386.24540000000002</v>
      </c>
      <c r="AC89" s="1">
        <v>423.5804</v>
      </c>
      <c r="AD89" s="1">
        <v>376.52600000000001</v>
      </c>
      <c r="AE89" s="1">
        <v>336.5274</v>
      </c>
      <c r="AF89" s="1">
        <v>281.4778</v>
      </c>
      <c r="AG89" s="1">
        <v>275.24520000000001</v>
      </c>
      <c r="AH89" s="1">
        <v>319.42960000000011</v>
      </c>
      <c r="AI89" s="1">
        <v>353.96559999999999</v>
      </c>
      <c r="AJ89" s="1">
        <v>357.76280000000003</v>
      </c>
      <c r="AK89" s="1">
        <v>414.20119999999997</v>
      </c>
      <c r="AL89" s="1">
        <v>411.19539999999989</v>
      </c>
      <c r="AM89" s="1"/>
      <c r="AN89" s="1">
        <f t="shared" si="30"/>
        <v>613</v>
      </c>
      <c r="AO89" s="1">
        <f t="shared" si="31"/>
        <v>400</v>
      </c>
    </row>
    <row r="90" spans="1:41" x14ac:dyDescent="0.25">
      <c r="A90" s="12" t="s">
        <v>132</v>
      </c>
      <c r="B90" s="12" t="s">
        <v>39</v>
      </c>
      <c r="C90" s="12"/>
      <c r="D90" s="12"/>
      <c r="E90" s="12"/>
      <c r="F90" s="12"/>
      <c r="G90" s="13">
        <v>0</v>
      </c>
      <c r="H90" s="12"/>
      <c r="I90" s="12" t="s">
        <v>40</v>
      </c>
      <c r="J90" s="12"/>
      <c r="K90" s="12"/>
      <c r="L90" s="12">
        <f t="shared" si="24"/>
        <v>0</v>
      </c>
      <c r="M90" s="12"/>
      <c r="N90" s="12"/>
      <c r="O90" s="12">
        <v>0</v>
      </c>
      <c r="P90" s="12"/>
      <c r="Q90" s="12"/>
      <c r="R90" s="12">
        <v>0</v>
      </c>
      <c r="S90" s="12">
        <f t="shared" si="25"/>
        <v>0</v>
      </c>
      <c r="T90" s="14"/>
      <c r="U90" s="5">
        <f t="shared" si="28"/>
        <v>0</v>
      </c>
      <c r="V90" s="5">
        <v>0</v>
      </c>
      <c r="W90" s="5"/>
      <c r="X90" s="21"/>
      <c r="Y90" s="21"/>
      <c r="Z90" s="1" t="e">
        <f t="shared" si="29"/>
        <v>#DIV/0!</v>
      </c>
      <c r="AA90" s="12" t="e">
        <f t="shared" si="27"/>
        <v>#DIV/0!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 t="s">
        <v>45</v>
      </c>
      <c r="AN90" s="1">
        <f t="shared" si="30"/>
        <v>0</v>
      </c>
      <c r="AO90" s="1">
        <f t="shared" si="31"/>
        <v>0</v>
      </c>
    </row>
    <row r="91" spans="1:41" x14ac:dyDescent="0.25">
      <c r="A91" s="1" t="s">
        <v>133</v>
      </c>
      <c r="B91" s="1" t="s">
        <v>44</v>
      </c>
      <c r="C91" s="1">
        <v>-4</v>
      </c>
      <c r="D91" s="1">
        <v>1</v>
      </c>
      <c r="E91" s="1">
        <v>-6</v>
      </c>
      <c r="F91" s="1">
        <v>-3</v>
      </c>
      <c r="G91" s="7">
        <v>0.3</v>
      </c>
      <c r="H91" s="1">
        <v>40</v>
      </c>
      <c r="I91" s="15" t="s">
        <v>50</v>
      </c>
      <c r="J91" s="1"/>
      <c r="K91" s="1">
        <v>22</v>
      </c>
      <c r="L91" s="1">
        <f t="shared" si="24"/>
        <v>-28</v>
      </c>
      <c r="M91" s="1"/>
      <c r="N91" s="1"/>
      <c r="O91" s="1">
        <v>25</v>
      </c>
      <c r="P91" s="1">
        <v>-30</v>
      </c>
      <c r="Q91" s="1"/>
      <c r="R91" s="1">
        <v>42</v>
      </c>
      <c r="S91" s="1">
        <f t="shared" si="25"/>
        <v>-1.2</v>
      </c>
      <c r="T91" s="5">
        <v>55</v>
      </c>
      <c r="U91" s="5">
        <f t="shared" si="28"/>
        <v>55</v>
      </c>
      <c r="V91" s="5">
        <v>55</v>
      </c>
      <c r="W91" s="5"/>
      <c r="X91" s="21"/>
      <c r="Y91" s="21"/>
      <c r="Z91" s="1">
        <f t="shared" si="29"/>
        <v>-74.166666666666671</v>
      </c>
      <c r="AA91" s="1">
        <f t="shared" si="27"/>
        <v>-28.333333333333336</v>
      </c>
      <c r="AB91" s="1">
        <v>-0.4</v>
      </c>
      <c r="AC91" s="1">
        <v>10.8</v>
      </c>
      <c r="AD91" s="1">
        <v>19.399999999999999</v>
      </c>
      <c r="AE91" s="1">
        <v>20.2</v>
      </c>
      <c r="AF91" s="1">
        <v>9.8000000000000007</v>
      </c>
      <c r="AG91" s="1">
        <v>5.4</v>
      </c>
      <c r="AH91" s="1">
        <v>12.2</v>
      </c>
      <c r="AI91" s="1">
        <v>28.4</v>
      </c>
      <c r="AJ91" s="1">
        <v>31.2</v>
      </c>
      <c r="AK91" s="1">
        <v>25.6</v>
      </c>
      <c r="AL91" s="1">
        <v>17</v>
      </c>
      <c r="AM91" s="1"/>
      <c r="AN91" s="1">
        <f t="shared" si="30"/>
        <v>17</v>
      </c>
      <c r="AO91" s="1">
        <f t="shared" si="31"/>
        <v>0</v>
      </c>
    </row>
    <row r="92" spans="1:41" x14ac:dyDescent="0.25">
      <c r="A92" s="12" t="s">
        <v>134</v>
      </c>
      <c r="B92" s="12" t="s">
        <v>44</v>
      </c>
      <c r="C92" s="12"/>
      <c r="D92" s="12"/>
      <c r="E92" s="12"/>
      <c r="F92" s="12"/>
      <c r="G92" s="13">
        <v>0</v>
      </c>
      <c r="H92" s="12"/>
      <c r="I92" s="12" t="s">
        <v>40</v>
      </c>
      <c r="J92" s="12"/>
      <c r="K92" s="12"/>
      <c r="L92" s="12">
        <f t="shared" si="24"/>
        <v>0</v>
      </c>
      <c r="M92" s="12"/>
      <c r="N92" s="12"/>
      <c r="O92" s="12">
        <v>0</v>
      </c>
      <c r="P92" s="12"/>
      <c r="Q92" s="12"/>
      <c r="R92" s="12">
        <v>0</v>
      </c>
      <c r="S92" s="12">
        <f t="shared" si="25"/>
        <v>0</v>
      </c>
      <c r="T92" s="14"/>
      <c r="U92" s="5">
        <f t="shared" si="28"/>
        <v>0</v>
      </c>
      <c r="V92" s="5">
        <v>0</v>
      </c>
      <c r="W92" s="5"/>
      <c r="X92" s="21"/>
      <c r="Y92" s="21"/>
      <c r="Z92" s="1" t="e">
        <f t="shared" si="29"/>
        <v>#DIV/0!</v>
      </c>
      <c r="AA92" s="12" t="e">
        <f t="shared" si="27"/>
        <v>#DIV/0!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 t="s">
        <v>45</v>
      </c>
      <c r="AN92" s="1">
        <f t="shared" si="30"/>
        <v>0</v>
      </c>
      <c r="AO92" s="1">
        <f t="shared" si="31"/>
        <v>0</v>
      </c>
    </row>
    <row r="93" spans="1:41" x14ac:dyDescent="0.25">
      <c r="A93" s="1" t="s">
        <v>135</v>
      </c>
      <c r="B93" s="1" t="s">
        <v>44</v>
      </c>
      <c r="C93" s="1">
        <v>132</v>
      </c>
      <c r="D93" s="1">
        <v>10</v>
      </c>
      <c r="E93" s="1">
        <v>106</v>
      </c>
      <c r="F93" s="1">
        <v>6</v>
      </c>
      <c r="G93" s="7">
        <v>7.0000000000000007E-2</v>
      </c>
      <c r="H93" s="1">
        <v>90</v>
      </c>
      <c r="I93" s="15" t="s">
        <v>50</v>
      </c>
      <c r="J93" s="1"/>
      <c r="K93" s="1">
        <v>117</v>
      </c>
      <c r="L93" s="1">
        <f t="shared" si="24"/>
        <v>-11</v>
      </c>
      <c r="M93" s="1"/>
      <c r="N93" s="1"/>
      <c r="O93" s="1">
        <v>137.11199999999999</v>
      </c>
      <c r="P93" s="1">
        <v>-142.8571428571428</v>
      </c>
      <c r="Q93" s="1"/>
      <c r="R93" s="1">
        <v>49</v>
      </c>
      <c r="S93" s="1">
        <f t="shared" si="25"/>
        <v>21.2</v>
      </c>
      <c r="T93" s="5">
        <v>60</v>
      </c>
      <c r="U93" s="5">
        <f t="shared" si="28"/>
        <v>60</v>
      </c>
      <c r="V93" s="5">
        <v>60</v>
      </c>
      <c r="W93" s="5"/>
      <c r="X93" s="21"/>
      <c r="Y93" s="21"/>
      <c r="Z93" s="1">
        <f t="shared" si="29"/>
        <v>5.1535309973045846</v>
      </c>
      <c r="AA93" s="1">
        <f t="shared" si="27"/>
        <v>2.3233423180593014</v>
      </c>
      <c r="AB93" s="1">
        <v>22.4</v>
      </c>
      <c r="AC93" s="1">
        <v>25.6</v>
      </c>
      <c r="AD93" s="1">
        <v>25.4</v>
      </c>
      <c r="AE93" s="1">
        <v>15.4</v>
      </c>
      <c r="AF93" s="1">
        <v>12.2</v>
      </c>
      <c r="AG93" s="1">
        <v>8.4</v>
      </c>
      <c r="AH93" s="1">
        <v>10.8</v>
      </c>
      <c r="AI93" s="1">
        <v>19.600000000000001</v>
      </c>
      <c r="AJ93" s="1">
        <v>20.399999999999999</v>
      </c>
      <c r="AK93" s="1">
        <v>13</v>
      </c>
      <c r="AL93" s="1">
        <v>11</v>
      </c>
      <c r="AM93" s="1" t="s">
        <v>136</v>
      </c>
      <c r="AN93" s="1">
        <f t="shared" si="30"/>
        <v>4</v>
      </c>
      <c r="AO93" s="1">
        <f t="shared" si="31"/>
        <v>0</v>
      </c>
    </row>
    <row r="94" spans="1:41" x14ac:dyDescent="0.25">
      <c r="A94" s="1" t="s">
        <v>137</v>
      </c>
      <c r="B94" s="1" t="s">
        <v>44</v>
      </c>
      <c r="C94" s="1">
        <v>81</v>
      </c>
      <c r="D94" s="1">
        <v>5</v>
      </c>
      <c r="E94" s="1">
        <v>63</v>
      </c>
      <c r="F94" s="1">
        <v>15</v>
      </c>
      <c r="G94" s="7">
        <v>7.0000000000000007E-2</v>
      </c>
      <c r="H94" s="1">
        <v>90</v>
      </c>
      <c r="I94" s="15" t="s">
        <v>50</v>
      </c>
      <c r="J94" s="1"/>
      <c r="K94" s="1">
        <v>145</v>
      </c>
      <c r="L94" s="1">
        <f t="shared" si="24"/>
        <v>-82</v>
      </c>
      <c r="M94" s="1"/>
      <c r="N94" s="1"/>
      <c r="O94" s="1">
        <v>15</v>
      </c>
      <c r="P94" s="1"/>
      <c r="Q94" s="1"/>
      <c r="R94" s="1">
        <v>56</v>
      </c>
      <c r="S94" s="1">
        <f t="shared" si="25"/>
        <v>12.6</v>
      </c>
      <c r="T94" s="5">
        <v>70</v>
      </c>
      <c r="U94" s="5">
        <f t="shared" si="28"/>
        <v>70</v>
      </c>
      <c r="V94" s="5">
        <v>70</v>
      </c>
      <c r="W94" s="5"/>
      <c r="X94" s="21"/>
      <c r="Y94" s="21"/>
      <c r="Z94" s="1">
        <f t="shared" si="29"/>
        <v>12.380952380952381</v>
      </c>
      <c r="AA94" s="1">
        <f t="shared" si="27"/>
        <v>6.825396825396826</v>
      </c>
      <c r="AB94" s="1">
        <v>13.6</v>
      </c>
      <c r="AC94" s="1">
        <v>1.6</v>
      </c>
      <c r="AD94" s="1">
        <v>0.4</v>
      </c>
      <c r="AE94" s="1">
        <v>9.8000000000000007</v>
      </c>
      <c r="AF94" s="1">
        <v>13.8</v>
      </c>
      <c r="AG94" s="1">
        <v>17.8</v>
      </c>
      <c r="AH94" s="1">
        <v>18.8</v>
      </c>
      <c r="AI94" s="1">
        <v>16.399999999999999</v>
      </c>
      <c r="AJ94" s="1">
        <v>14</v>
      </c>
      <c r="AK94" s="1">
        <v>15</v>
      </c>
      <c r="AL94" s="1">
        <v>20.8</v>
      </c>
      <c r="AM94" s="1" t="s">
        <v>136</v>
      </c>
      <c r="AN94" s="1">
        <f t="shared" si="30"/>
        <v>5</v>
      </c>
      <c r="AO94" s="1">
        <f t="shared" si="31"/>
        <v>0</v>
      </c>
    </row>
    <row r="95" spans="1:41" x14ac:dyDescent="0.25">
      <c r="A95" s="1" t="s">
        <v>138</v>
      </c>
      <c r="B95" s="1" t="s">
        <v>44</v>
      </c>
      <c r="C95" s="1">
        <v>154</v>
      </c>
      <c r="D95" s="1">
        <v>2</v>
      </c>
      <c r="E95" s="1">
        <v>87</v>
      </c>
      <c r="F95" s="1">
        <v>40</v>
      </c>
      <c r="G95" s="7">
        <v>7.0000000000000007E-2</v>
      </c>
      <c r="H95" s="1">
        <v>90</v>
      </c>
      <c r="I95" s="1" t="s">
        <v>40</v>
      </c>
      <c r="J95" s="1"/>
      <c r="K95" s="1">
        <v>89</v>
      </c>
      <c r="L95" s="1">
        <f t="shared" si="24"/>
        <v>-2</v>
      </c>
      <c r="M95" s="1"/>
      <c r="N95" s="1"/>
      <c r="O95" s="1">
        <v>120.94199999999999</v>
      </c>
      <c r="P95" s="1"/>
      <c r="Q95" s="1"/>
      <c r="R95" s="1">
        <v>0</v>
      </c>
      <c r="S95" s="1">
        <f t="shared" si="25"/>
        <v>17.399999999999999</v>
      </c>
      <c r="T95" s="5">
        <f t="shared" ref="T95" si="37">12*S95-R95-Q95-P95-O95-F95</f>
        <v>47.85799999999999</v>
      </c>
      <c r="U95" s="5">
        <f>X95</f>
        <v>100</v>
      </c>
      <c r="V95" s="5">
        <v>100</v>
      </c>
      <c r="W95" s="5"/>
      <c r="X95" s="21">
        <f>VLOOKUP(A95,[1]Sheet!$A:$U,21,0)</f>
        <v>100</v>
      </c>
      <c r="Y95" s="21"/>
      <c r="Z95" s="1">
        <f t="shared" si="29"/>
        <v>14.996666666666668</v>
      </c>
      <c r="AA95" s="1">
        <f t="shared" si="27"/>
        <v>9.2495402298850582</v>
      </c>
      <c r="AB95" s="1">
        <v>16.8</v>
      </c>
      <c r="AC95" s="1">
        <v>24.6</v>
      </c>
      <c r="AD95" s="1">
        <v>23.6</v>
      </c>
      <c r="AE95" s="1">
        <v>12.4</v>
      </c>
      <c r="AF95" s="1">
        <v>7.2</v>
      </c>
      <c r="AG95" s="1">
        <v>6.8</v>
      </c>
      <c r="AH95" s="1">
        <v>10</v>
      </c>
      <c r="AI95" s="1">
        <v>18.399999999999999</v>
      </c>
      <c r="AJ95" s="1">
        <v>16.399999999999999</v>
      </c>
      <c r="AK95" s="1">
        <v>10.199999999999999</v>
      </c>
      <c r="AL95" s="1">
        <v>12</v>
      </c>
      <c r="AM95" s="1" t="s">
        <v>136</v>
      </c>
      <c r="AN95" s="1">
        <f t="shared" si="30"/>
        <v>7</v>
      </c>
      <c r="AO95" s="1">
        <f t="shared" si="31"/>
        <v>0</v>
      </c>
    </row>
    <row r="96" spans="1:41" x14ac:dyDescent="0.25">
      <c r="A96" s="12" t="s">
        <v>139</v>
      </c>
      <c r="B96" s="12" t="s">
        <v>44</v>
      </c>
      <c r="C96" s="12">
        <v>2</v>
      </c>
      <c r="D96" s="12">
        <v>2</v>
      </c>
      <c r="E96" s="12">
        <v>7</v>
      </c>
      <c r="F96" s="12">
        <v>1</v>
      </c>
      <c r="G96" s="13">
        <v>0</v>
      </c>
      <c r="H96" s="12">
        <v>90</v>
      </c>
      <c r="I96" s="12" t="s">
        <v>81</v>
      </c>
      <c r="J96" s="12"/>
      <c r="K96" s="12">
        <v>31</v>
      </c>
      <c r="L96" s="12">
        <f t="shared" si="24"/>
        <v>-24</v>
      </c>
      <c r="M96" s="12"/>
      <c r="N96" s="12"/>
      <c r="O96" s="12">
        <v>0</v>
      </c>
      <c r="P96" s="12"/>
      <c r="Q96" s="12"/>
      <c r="R96" s="12">
        <v>0</v>
      </c>
      <c r="S96" s="12">
        <f t="shared" si="25"/>
        <v>1.4</v>
      </c>
      <c r="T96" s="14"/>
      <c r="U96" s="5">
        <f t="shared" si="28"/>
        <v>0</v>
      </c>
      <c r="V96" s="5">
        <v>0</v>
      </c>
      <c r="W96" s="5"/>
      <c r="X96" s="21"/>
      <c r="Y96" s="21"/>
      <c r="Z96" s="1">
        <f t="shared" si="29"/>
        <v>0.7142857142857143</v>
      </c>
      <c r="AA96" s="12">
        <f t="shared" si="27"/>
        <v>0.7142857142857143</v>
      </c>
      <c r="AB96" s="12">
        <v>3.8</v>
      </c>
      <c r="AC96" s="12">
        <v>10</v>
      </c>
      <c r="AD96" s="12">
        <v>11.2</v>
      </c>
      <c r="AE96" s="12">
        <v>9.8000000000000007</v>
      </c>
      <c r="AF96" s="12">
        <v>9</v>
      </c>
      <c r="AG96" s="12">
        <v>7.4</v>
      </c>
      <c r="AH96" s="12">
        <v>7.4</v>
      </c>
      <c r="AI96" s="12">
        <v>8.6</v>
      </c>
      <c r="AJ96" s="12">
        <v>12</v>
      </c>
      <c r="AK96" s="12">
        <v>14.4</v>
      </c>
      <c r="AL96" s="12">
        <v>13.8</v>
      </c>
      <c r="AM96" s="12"/>
      <c r="AN96" s="1">
        <f t="shared" si="30"/>
        <v>0</v>
      </c>
      <c r="AO96" s="1">
        <f t="shared" si="31"/>
        <v>0</v>
      </c>
    </row>
    <row r="97" spans="1:41" x14ac:dyDescent="0.25">
      <c r="A97" s="1" t="s">
        <v>140</v>
      </c>
      <c r="B97" s="1" t="s">
        <v>44</v>
      </c>
      <c r="C97" s="1"/>
      <c r="D97" s="1"/>
      <c r="E97" s="1"/>
      <c r="F97" s="1"/>
      <c r="G97" s="7">
        <v>0.3</v>
      </c>
      <c r="H97" s="1"/>
      <c r="I97" s="1" t="s">
        <v>40</v>
      </c>
      <c r="J97" s="1"/>
      <c r="K97" s="1"/>
      <c r="L97" s="1">
        <f t="shared" si="24"/>
        <v>0</v>
      </c>
      <c r="M97" s="1"/>
      <c r="N97" s="1"/>
      <c r="O97" s="1">
        <v>0</v>
      </c>
      <c r="P97" s="1"/>
      <c r="Q97" s="1"/>
      <c r="R97" s="1">
        <v>0</v>
      </c>
      <c r="S97" s="1">
        <f t="shared" si="25"/>
        <v>0</v>
      </c>
      <c r="T97" s="5"/>
      <c r="U97" s="5">
        <f>X97</f>
        <v>80</v>
      </c>
      <c r="V97" s="5">
        <v>80</v>
      </c>
      <c r="W97" s="5"/>
      <c r="X97" s="21">
        <f>VLOOKUP(A97,[1]Sheet!$A:$U,21,0)</f>
        <v>80</v>
      </c>
      <c r="Y97" s="21" t="str">
        <f>VLOOKUP(A97,[1]Sheet!$A:$V,22,0)</f>
        <v>Сети</v>
      </c>
      <c r="Z97" s="1" t="e">
        <f t="shared" si="29"/>
        <v>#DIV/0!</v>
      </c>
      <c r="AA97" s="1" t="e">
        <f t="shared" si="27"/>
        <v>#DIV/0!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 t="s">
        <v>281</v>
      </c>
      <c r="AN97" s="1">
        <f t="shared" si="30"/>
        <v>24</v>
      </c>
      <c r="AO97" s="1">
        <f t="shared" si="31"/>
        <v>0</v>
      </c>
    </row>
    <row r="98" spans="1:41" x14ac:dyDescent="0.25">
      <c r="A98" s="1" t="s">
        <v>141</v>
      </c>
      <c r="B98" s="1" t="s">
        <v>39</v>
      </c>
      <c r="C98" s="1">
        <v>4.0960000000000001</v>
      </c>
      <c r="D98" s="1">
        <v>12.22</v>
      </c>
      <c r="E98" s="1">
        <v>2.0390000000000001</v>
      </c>
      <c r="F98" s="1">
        <v>14.276999999999999</v>
      </c>
      <c r="G98" s="7">
        <v>1</v>
      </c>
      <c r="H98" s="1">
        <v>55</v>
      </c>
      <c r="I98" s="1" t="s">
        <v>40</v>
      </c>
      <c r="J98" s="1"/>
      <c r="K98" s="1">
        <v>2.6</v>
      </c>
      <c r="L98" s="1">
        <f t="shared" si="24"/>
        <v>-0.56099999999999994</v>
      </c>
      <c r="M98" s="1"/>
      <c r="N98" s="1"/>
      <c r="O98" s="1">
        <v>0</v>
      </c>
      <c r="P98" s="1"/>
      <c r="Q98" s="1"/>
      <c r="R98" s="1">
        <v>0</v>
      </c>
      <c r="S98" s="1">
        <f t="shared" si="25"/>
        <v>0.40780000000000005</v>
      </c>
      <c r="T98" s="5"/>
      <c r="U98" s="5">
        <f t="shared" si="28"/>
        <v>0</v>
      </c>
      <c r="V98" s="5">
        <v>0</v>
      </c>
      <c r="W98" s="5"/>
      <c r="X98" s="21"/>
      <c r="Y98" s="21"/>
      <c r="Z98" s="1">
        <f t="shared" si="29"/>
        <v>35.009808729769489</v>
      </c>
      <c r="AA98" s="1">
        <f t="shared" si="27"/>
        <v>35.009808729769489</v>
      </c>
      <c r="AB98" s="1">
        <v>-0.11600000000000001</v>
      </c>
      <c r="AC98" s="1">
        <v>-0.64339999999999997</v>
      </c>
      <c r="AD98" s="1">
        <v>-0.32300000000000001</v>
      </c>
      <c r="AE98" s="1">
        <v>0</v>
      </c>
      <c r="AF98" s="1">
        <v>2.1076000000000001</v>
      </c>
      <c r="AG98" s="1">
        <v>1.9372</v>
      </c>
      <c r="AH98" s="1">
        <v>2.2138</v>
      </c>
      <c r="AI98" s="1">
        <v>4.1204000000000001</v>
      </c>
      <c r="AJ98" s="1">
        <v>3.4714</v>
      </c>
      <c r="AK98" s="1">
        <v>2.1972</v>
      </c>
      <c r="AL98" s="1">
        <v>3.1594000000000002</v>
      </c>
      <c r="AM98" s="17" t="s">
        <v>142</v>
      </c>
      <c r="AN98" s="1">
        <f t="shared" si="30"/>
        <v>0</v>
      </c>
      <c r="AO98" s="1">
        <f t="shared" si="31"/>
        <v>0</v>
      </c>
    </row>
    <row r="99" spans="1:41" x14ac:dyDescent="0.25">
      <c r="A99" s="1" t="s">
        <v>143</v>
      </c>
      <c r="B99" s="1" t="s">
        <v>44</v>
      </c>
      <c r="C99" s="1">
        <v>53</v>
      </c>
      <c r="D99" s="1"/>
      <c r="E99" s="1">
        <v>2</v>
      </c>
      <c r="F99" s="1">
        <v>48</v>
      </c>
      <c r="G99" s="7">
        <v>0.11</v>
      </c>
      <c r="H99" s="1">
        <v>30</v>
      </c>
      <c r="I99" s="1" t="s">
        <v>40</v>
      </c>
      <c r="J99" s="1"/>
      <c r="K99" s="1">
        <v>12</v>
      </c>
      <c r="L99" s="1">
        <f t="shared" si="24"/>
        <v>-10</v>
      </c>
      <c r="M99" s="1"/>
      <c r="N99" s="1"/>
      <c r="O99" s="1">
        <v>69.778000000000006</v>
      </c>
      <c r="P99" s="1"/>
      <c r="Q99" s="1"/>
      <c r="R99" s="1">
        <v>0</v>
      </c>
      <c r="S99" s="1">
        <f t="shared" si="25"/>
        <v>0.4</v>
      </c>
      <c r="T99" s="5"/>
      <c r="U99" s="5">
        <f t="shared" si="28"/>
        <v>0</v>
      </c>
      <c r="V99" s="5">
        <v>0</v>
      </c>
      <c r="W99" s="5"/>
      <c r="X99" s="21"/>
      <c r="Y99" s="21"/>
      <c r="Z99" s="1">
        <f t="shared" si="29"/>
        <v>294.44499999999999</v>
      </c>
      <c r="AA99" s="1">
        <f t="shared" si="27"/>
        <v>294.44499999999999</v>
      </c>
      <c r="AB99" s="1">
        <v>1.6</v>
      </c>
      <c r="AC99" s="1">
        <v>11.4</v>
      </c>
      <c r="AD99" s="1">
        <v>0</v>
      </c>
      <c r="AE99" s="1">
        <v>0</v>
      </c>
      <c r="AF99" s="1">
        <v>0</v>
      </c>
      <c r="AG99" s="1">
        <v>0</v>
      </c>
      <c r="AH99" s="1">
        <v>3.2</v>
      </c>
      <c r="AI99" s="1">
        <v>3.2</v>
      </c>
      <c r="AJ99" s="1">
        <v>0</v>
      </c>
      <c r="AK99" s="1">
        <v>0</v>
      </c>
      <c r="AL99" s="1">
        <v>0</v>
      </c>
      <c r="AM99" s="18" t="s">
        <v>272</v>
      </c>
      <c r="AN99" s="1">
        <f t="shared" si="30"/>
        <v>0</v>
      </c>
      <c r="AO99" s="1">
        <f t="shared" si="31"/>
        <v>0</v>
      </c>
    </row>
    <row r="100" spans="1:41" x14ac:dyDescent="0.25">
      <c r="A100" s="12" t="s">
        <v>144</v>
      </c>
      <c r="B100" s="12" t="s">
        <v>44</v>
      </c>
      <c r="C100" s="12"/>
      <c r="D100" s="12"/>
      <c r="E100" s="12"/>
      <c r="F100" s="12"/>
      <c r="G100" s="13">
        <v>0</v>
      </c>
      <c r="H100" s="12"/>
      <c r="I100" s="12" t="s">
        <v>40</v>
      </c>
      <c r="J100" s="12"/>
      <c r="K100" s="12"/>
      <c r="L100" s="12">
        <f t="shared" si="24"/>
        <v>0</v>
      </c>
      <c r="M100" s="12"/>
      <c r="N100" s="12"/>
      <c r="O100" s="12">
        <v>0</v>
      </c>
      <c r="P100" s="12"/>
      <c r="Q100" s="12"/>
      <c r="R100" s="12">
        <v>0</v>
      </c>
      <c r="S100" s="12">
        <f t="shared" si="25"/>
        <v>0</v>
      </c>
      <c r="T100" s="14"/>
      <c r="U100" s="5">
        <f t="shared" si="28"/>
        <v>0</v>
      </c>
      <c r="V100" s="5">
        <v>0</v>
      </c>
      <c r="W100" s="5"/>
      <c r="X100" s="21"/>
      <c r="Y100" s="21"/>
      <c r="Z100" s="1" t="e">
        <f t="shared" si="29"/>
        <v>#DIV/0!</v>
      </c>
      <c r="AA100" s="12" t="e">
        <f t="shared" si="27"/>
        <v>#DIV/0!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s="12" t="s">
        <v>45</v>
      </c>
      <c r="AN100" s="1">
        <f t="shared" si="30"/>
        <v>0</v>
      </c>
      <c r="AO100" s="1">
        <f t="shared" si="31"/>
        <v>0</v>
      </c>
    </row>
    <row r="101" spans="1:41" x14ac:dyDescent="0.25">
      <c r="A101" s="1" t="s">
        <v>145</v>
      </c>
      <c r="B101" s="1" t="s">
        <v>44</v>
      </c>
      <c r="C101" s="1">
        <v>117</v>
      </c>
      <c r="D101" s="1">
        <v>57</v>
      </c>
      <c r="E101" s="1">
        <v>72</v>
      </c>
      <c r="F101" s="1">
        <v>76</v>
      </c>
      <c r="G101" s="7">
        <v>0.08</v>
      </c>
      <c r="H101" s="1">
        <v>45</v>
      </c>
      <c r="I101" s="1" t="s">
        <v>40</v>
      </c>
      <c r="J101" s="1"/>
      <c r="K101" s="1">
        <v>81</v>
      </c>
      <c r="L101" s="1">
        <f t="shared" si="24"/>
        <v>-9</v>
      </c>
      <c r="M101" s="1"/>
      <c r="N101" s="1"/>
      <c r="O101" s="1">
        <v>131.17400000000001</v>
      </c>
      <c r="P101" s="1"/>
      <c r="Q101" s="1"/>
      <c r="R101" s="1">
        <v>0</v>
      </c>
      <c r="S101" s="1">
        <f t="shared" si="25"/>
        <v>14.4</v>
      </c>
      <c r="T101" s="5"/>
      <c r="U101" s="5">
        <f t="shared" ref="U101:U102" si="38">X101</f>
        <v>48</v>
      </c>
      <c r="V101" s="5">
        <v>48</v>
      </c>
      <c r="W101" s="5"/>
      <c r="X101" s="21">
        <f>VLOOKUP(A101,[1]Sheet!$A:$U,21,0)</f>
        <v>48</v>
      </c>
      <c r="Y101" s="21"/>
      <c r="Z101" s="1">
        <f t="shared" si="29"/>
        <v>17.720416666666665</v>
      </c>
      <c r="AA101" s="1">
        <f t="shared" si="27"/>
        <v>14.387083333333333</v>
      </c>
      <c r="AB101" s="1">
        <v>21.6</v>
      </c>
      <c r="AC101" s="1">
        <v>26.2</v>
      </c>
      <c r="AD101" s="1">
        <v>19.600000000000001</v>
      </c>
      <c r="AE101" s="1">
        <v>16.399999999999999</v>
      </c>
      <c r="AF101" s="1">
        <v>14.8</v>
      </c>
      <c r="AG101" s="1">
        <v>14</v>
      </c>
      <c r="AH101" s="1">
        <v>17.399999999999999</v>
      </c>
      <c r="AI101" s="1">
        <v>23</v>
      </c>
      <c r="AJ101" s="1">
        <v>22.2</v>
      </c>
      <c r="AK101" s="1">
        <v>15.4</v>
      </c>
      <c r="AL101" s="1">
        <v>9.8000000000000007</v>
      </c>
      <c r="AM101" s="1" t="s">
        <v>146</v>
      </c>
      <c r="AN101" s="1">
        <f t="shared" si="30"/>
        <v>4</v>
      </c>
      <c r="AO101" s="1">
        <f t="shared" si="31"/>
        <v>0</v>
      </c>
    </row>
    <row r="102" spans="1:41" x14ac:dyDescent="0.25">
      <c r="A102" s="1" t="s">
        <v>147</v>
      </c>
      <c r="B102" s="1" t="s">
        <v>44</v>
      </c>
      <c r="C102" s="1">
        <v>165</v>
      </c>
      <c r="D102" s="1">
        <v>10</v>
      </c>
      <c r="E102" s="1">
        <v>58</v>
      </c>
      <c r="F102" s="1">
        <v>102</v>
      </c>
      <c r="G102" s="7">
        <v>0.08</v>
      </c>
      <c r="H102" s="1">
        <v>45</v>
      </c>
      <c r="I102" s="1" t="s">
        <v>40</v>
      </c>
      <c r="J102" s="1"/>
      <c r="K102" s="1">
        <v>66</v>
      </c>
      <c r="L102" s="1">
        <f t="shared" ref="L102:L129" si="39">E102-K102</f>
        <v>-8</v>
      </c>
      <c r="M102" s="1"/>
      <c r="N102" s="1"/>
      <c r="O102" s="1">
        <v>37.200000000000017</v>
      </c>
      <c r="P102" s="1"/>
      <c r="Q102" s="1"/>
      <c r="R102" s="1">
        <v>0</v>
      </c>
      <c r="S102" s="1">
        <f t="shared" ref="S102:S129" si="40">E102/5</f>
        <v>11.6</v>
      </c>
      <c r="T102" s="5"/>
      <c r="U102" s="5">
        <f t="shared" si="38"/>
        <v>50</v>
      </c>
      <c r="V102" s="5">
        <v>50</v>
      </c>
      <c r="W102" s="5"/>
      <c r="X102" s="21">
        <f>VLOOKUP(A102,[1]Sheet!$A:$U,21,0)</f>
        <v>50</v>
      </c>
      <c r="Y102" s="21" t="str">
        <f>VLOOKUP(A102,[1]Sheet!$A:$V,22,0)</f>
        <v>Сети</v>
      </c>
      <c r="Z102" s="1">
        <f t="shared" si="29"/>
        <v>16.31034482758621</v>
      </c>
      <c r="AA102" s="1">
        <f t="shared" ref="AA102:AA129" si="41">(F102+O102+P102+Q102+R102)/S102</f>
        <v>12.000000000000002</v>
      </c>
      <c r="AB102" s="1">
        <v>11.6</v>
      </c>
      <c r="AC102" s="1">
        <v>16.600000000000001</v>
      </c>
      <c r="AD102" s="1">
        <v>15.2</v>
      </c>
      <c r="AE102" s="1">
        <v>10.199999999999999</v>
      </c>
      <c r="AF102" s="1">
        <v>18.2</v>
      </c>
      <c r="AG102" s="1">
        <v>15.6</v>
      </c>
      <c r="AH102" s="1">
        <v>12</v>
      </c>
      <c r="AI102" s="1">
        <v>14</v>
      </c>
      <c r="AJ102" s="1">
        <v>14</v>
      </c>
      <c r="AK102" s="1">
        <v>12.4</v>
      </c>
      <c r="AL102" s="1">
        <v>17.399999999999999</v>
      </c>
      <c r="AM102" s="1" t="s">
        <v>146</v>
      </c>
      <c r="AN102" s="1">
        <f t="shared" si="30"/>
        <v>4</v>
      </c>
      <c r="AO102" s="1">
        <f t="shared" si="31"/>
        <v>0</v>
      </c>
    </row>
    <row r="103" spans="1:41" x14ac:dyDescent="0.25">
      <c r="A103" s="1" t="s">
        <v>148</v>
      </c>
      <c r="B103" s="1" t="s">
        <v>44</v>
      </c>
      <c r="C103" s="1">
        <v>63</v>
      </c>
      <c r="D103" s="1">
        <v>10</v>
      </c>
      <c r="E103" s="1">
        <v>2</v>
      </c>
      <c r="F103" s="1">
        <v>67</v>
      </c>
      <c r="G103" s="7">
        <v>0.17</v>
      </c>
      <c r="H103" s="1">
        <v>30</v>
      </c>
      <c r="I103" s="1" t="s">
        <v>40</v>
      </c>
      <c r="J103" s="1"/>
      <c r="K103" s="1">
        <v>13</v>
      </c>
      <c r="L103" s="1">
        <f t="shared" si="39"/>
        <v>-11</v>
      </c>
      <c r="M103" s="1"/>
      <c r="N103" s="1"/>
      <c r="O103" s="1">
        <v>0</v>
      </c>
      <c r="P103" s="1"/>
      <c r="Q103" s="1"/>
      <c r="R103" s="1">
        <v>0</v>
      </c>
      <c r="S103" s="1">
        <f t="shared" si="40"/>
        <v>0.4</v>
      </c>
      <c r="T103" s="5"/>
      <c r="U103" s="5">
        <f t="shared" si="28"/>
        <v>0</v>
      </c>
      <c r="V103" s="5">
        <v>0</v>
      </c>
      <c r="W103" s="5"/>
      <c r="X103" s="21"/>
      <c r="Y103" s="21"/>
      <c r="Z103" s="1">
        <f t="shared" si="29"/>
        <v>167.5</v>
      </c>
      <c r="AA103" s="1">
        <f t="shared" si="41"/>
        <v>167.5</v>
      </c>
      <c r="AB103" s="1">
        <v>3.6</v>
      </c>
      <c r="AC103" s="1">
        <v>3.4</v>
      </c>
      <c r="AD103" s="1">
        <v>0</v>
      </c>
      <c r="AE103" s="1">
        <v>0</v>
      </c>
      <c r="AF103" s="1">
        <v>0</v>
      </c>
      <c r="AG103" s="1">
        <v>0.4</v>
      </c>
      <c r="AH103" s="1">
        <v>0.8</v>
      </c>
      <c r="AI103" s="1">
        <v>0.4</v>
      </c>
      <c r="AJ103" s="1">
        <v>0.2</v>
      </c>
      <c r="AK103" s="1">
        <v>0.4</v>
      </c>
      <c r="AL103" s="1">
        <v>0.2</v>
      </c>
      <c r="AM103" s="18" t="s">
        <v>273</v>
      </c>
      <c r="AN103" s="1">
        <f t="shared" si="30"/>
        <v>0</v>
      </c>
      <c r="AO103" s="1">
        <f t="shared" si="31"/>
        <v>0</v>
      </c>
    </row>
    <row r="104" spans="1:41" x14ac:dyDescent="0.25">
      <c r="A104" s="1" t="s">
        <v>149</v>
      </c>
      <c r="B104" s="1" t="s">
        <v>39</v>
      </c>
      <c r="C104" s="1">
        <v>-21.622</v>
      </c>
      <c r="D104" s="1"/>
      <c r="E104" s="1">
        <v>5.75</v>
      </c>
      <c r="F104" s="1">
        <v>-37.613</v>
      </c>
      <c r="G104" s="7">
        <v>1</v>
      </c>
      <c r="H104" s="1">
        <v>40</v>
      </c>
      <c r="I104" s="15" t="s">
        <v>50</v>
      </c>
      <c r="J104" s="1"/>
      <c r="K104" s="1">
        <v>30.4</v>
      </c>
      <c r="L104" s="1">
        <f t="shared" si="39"/>
        <v>-24.65</v>
      </c>
      <c r="M104" s="1"/>
      <c r="N104" s="1"/>
      <c r="O104" s="1">
        <v>25</v>
      </c>
      <c r="P104" s="1">
        <v>-28</v>
      </c>
      <c r="Q104" s="1"/>
      <c r="R104" s="1">
        <v>70</v>
      </c>
      <c r="S104" s="1">
        <f t="shared" si="40"/>
        <v>1.1499999999999999</v>
      </c>
      <c r="T104" s="5">
        <v>60</v>
      </c>
      <c r="U104" s="5">
        <f t="shared" si="28"/>
        <v>60</v>
      </c>
      <c r="V104" s="5">
        <v>60</v>
      </c>
      <c r="W104" s="5"/>
      <c r="X104" s="21"/>
      <c r="Y104" s="21"/>
      <c r="Z104" s="1">
        <f t="shared" si="29"/>
        <v>77.727826086956526</v>
      </c>
      <c r="AA104" s="1">
        <f t="shared" si="41"/>
        <v>25.553913043478264</v>
      </c>
      <c r="AB104" s="1">
        <v>11.496</v>
      </c>
      <c r="AC104" s="1">
        <v>18.886600000000001</v>
      </c>
      <c r="AD104" s="1">
        <v>18.115600000000001</v>
      </c>
      <c r="AE104" s="1">
        <v>24.947399999999998</v>
      </c>
      <c r="AF104" s="1">
        <v>22.3066</v>
      </c>
      <c r="AG104" s="1">
        <v>15.290800000000001</v>
      </c>
      <c r="AH104" s="1">
        <v>20.459199999999999</v>
      </c>
      <c r="AI104" s="1">
        <v>22.341999999999999</v>
      </c>
      <c r="AJ104" s="1">
        <v>26.3384</v>
      </c>
      <c r="AK104" s="1">
        <v>31.392800000000001</v>
      </c>
      <c r="AL104" s="1">
        <v>26.237200000000001</v>
      </c>
      <c r="AM104" s="1"/>
      <c r="AN104" s="1">
        <f t="shared" si="30"/>
        <v>60</v>
      </c>
      <c r="AO104" s="1">
        <f t="shared" si="31"/>
        <v>0</v>
      </c>
    </row>
    <row r="105" spans="1:41" x14ac:dyDescent="0.25">
      <c r="A105" s="1" t="s">
        <v>150</v>
      </c>
      <c r="B105" s="1" t="s">
        <v>39</v>
      </c>
      <c r="C105" s="1">
        <v>30</v>
      </c>
      <c r="D105" s="1">
        <v>6.9359999999999999</v>
      </c>
      <c r="E105" s="1">
        <v>26.809000000000001</v>
      </c>
      <c r="F105" s="1">
        <v>3.0009999999999999</v>
      </c>
      <c r="G105" s="7">
        <v>1</v>
      </c>
      <c r="H105" s="1">
        <v>40</v>
      </c>
      <c r="I105" s="15" t="s">
        <v>50</v>
      </c>
      <c r="J105" s="1"/>
      <c r="K105" s="1">
        <v>50.7</v>
      </c>
      <c r="L105" s="1">
        <f t="shared" si="39"/>
        <v>-23.891000000000002</v>
      </c>
      <c r="M105" s="1"/>
      <c r="N105" s="1"/>
      <c r="O105" s="1">
        <v>25</v>
      </c>
      <c r="P105" s="1"/>
      <c r="Q105" s="1"/>
      <c r="R105" s="1">
        <v>56</v>
      </c>
      <c r="S105" s="1">
        <f t="shared" si="40"/>
        <v>5.3618000000000006</v>
      </c>
      <c r="T105" s="5">
        <v>70</v>
      </c>
      <c r="U105" s="5">
        <f t="shared" si="28"/>
        <v>70</v>
      </c>
      <c r="V105" s="5">
        <v>70</v>
      </c>
      <c r="W105" s="5"/>
      <c r="X105" s="21"/>
      <c r="Y105" s="21"/>
      <c r="Z105" s="1">
        <f t="shared" si="29"/>
        <v>28.721884441791932</v>
      </c>
      <c r="AA105" s="1">
        <f t="shared" si="41"/>
        <v>15.6665671975829</v>
      </c>
      <c r="AB105" s="1">
        <v>15.671200000000001</v>
      </c>
      <c r="AC105" s="1">
        <v>16.325800000000001</v>
      </c>
      <c r="AD105" s="1">
        <v>12.1866</v>
      </c>
      <c r="AE105" s="1">
        <v>20.2988</v>
      </c>
      <c r="AF105" s="1">
        <v>19.150400000000001</v>
      </c>
      <c r="AG105" s="1">
        <v>10.0184</v>
      </c>
      <c r="AH105" s="1">
        <v>10.5992</v>
      </c>
      <c r="AI105" s="1">
        <v>15.360799999999999</v>
      </c>
      <c r="AJ105" s="1">
        <v>21.815000000000001</v>
      </c>
      <c r="AK105" s="1">
        <v>26.238600000000002</v>
      </c>
      <c r="AL105" s="1">
        <v>26.207999999999998</v>
      </c>
      <c r="AM105" s="1"/>
      <c r="AN105" s="1">
        <f t="shared" si="30"/>
        <v>70</v>
      </c>
      <c r="AO105" s="1">
        <f t="shared" si="31"/>
        <v>0</v>
      </c>
    </row>
    <row r="106" spans="1:41" x14ac:dyDescent="0.25">
      <c r="A106" s="1" t="s">
        <v>151</v>
      </c>
      <c r="B106" s="1" t="s">
        <v>39</v>
      </c>
      <c r="C106" s="1">
        <v>3.3460000000000001</v>
      </c>
      <c r="D106" s="1">
        <v>39.023000000000003</v>
      </c>
      <c r="E106" s="1">
        <v>20.495999999999999</v>
      </c>
      <c r="F106" s="1">
        <v>1.91</v>
      </c>
      <c r="G106" s="7">
        <v>1</v>
      </c>
      <c r="H106" s="1">
        <v>40</v>
      </c>
      <c r="I106" s="15" t="s">
        <v>50</v>
      </c>
      <c r="J106" s="1"/>
      <c r="K106" s="1">
        <v>46.3</v>
      </c>
      <c r="L106" s="1">
        <f t="shared" si="39"/>
        <v>-25.803999999999998</v>
      </c>
      <c r="M106" s="1"/>
      <c r="N106" s="1"/>
      <c r="O106" s="1">
        <v>25</v>
      </c>
      <c r="P106" s="1">
        <v>-28</v>
      </c>
      <c r="Q106" s="1"/>
      <c r="R106" s="1">
        <v>56</v>
      </c>
      <c r="S106" s="1">
        <f t="shared" si="40"/>
        <v>4.0991999999999997</v>
      </c>
      <c r="T106" s="5">
        <v>70</v>
      </c>
      <c r="U106" s="5">
        <f t="shared" si="28"/>
        <v>70</v>
      </c>
      <c r="V106" s="5">
        <v>70</v>
      </c>
      <c r="W106" s="5"/>
      <c r="X106" s="21"/>
      <c r="Y106" s="21"/>
      <c r="Z106" s="1">
        <f t="shared" si="29"/>
        <v>30.471799375487901</v>
      </c>
      <c r="AA106" s="1">
        <f t="shared" si="41"/>
        <v>13.395296643247462</v>
      </c>
      <c r="AB106" s="1">
        <v>11.083399999999999</v>
      </c>
      <c r="AC106" s="1">
        <v>18.302600000000002</v>
      </c>
      <c r="AD106" s="1">
        <v>15.167199999999999</v>
      </c>
      <c r="AE106" s="1">
        <v>24.976800000000001</v>
      </c>
      <c r="AF106" s="1">
        <v>27.531199999999998</v>
      </c>
      <c r="AG106" s="1">
        <v>20.959199999999999</v>
      </c>
      <c r="AH106" s="1">
        <v>21.774000000000001</v>
      </c>
      <c r="AI106" s="1">
        <v>25.6434</v>
      </c>
      <c r="AJ106" s="1">
        <v>20.285</v>
      </c>
      <c r="AK106" s="1">
        <v>3.4573999999999998</v>
      </c>
      <c r="AL106" s="1">
        <v>9.8133999999999997</v>
      </c>
      <c r="AM106" s="1"/>
      <c r="AN106" s="1">
        <f t="shared" si="30"/>
        <v>70</v>
      </c>
      <c r="AO106" s="1">
        <f t="shared" si="31"/>
        <v>0</v>
      </c>
    </row>
    <row r="107" spans="1:41" x14ac:dyDescent="0.25">
      <c r="A107" s="12" t="s">
        <v>152</v>
      </c>
      <c r="B107" s="12" t="s">
        <v>44</v>
      </c>
      <c r="C107" s="12"/>
      <c r="D107" s="12"/>
      <c r="E107" s="12"/>
      <c r="F107" s="12"/>
      <c r="G107" s="13">
        <v>0</v>
      </c>
      <c r="H107" s="12"/>
      <c r="I107" s="12" t="s">
        <v>40</v>
      </c>
      <c r="J107" s="12"/>
      <c r="K107" s="12"/>
      <c r="L107" s="12">
        <f t="shared" si="39"/>
        <v>0</v>
      </c>
      <c r="M107" s="12"/>
      <c r="N107" s="12"/>
      <c r="O107" s="12">
        <v>0</v>
      </c>
      <c r="P107" s="12"/>
      <c r="Q107" s="12"/>
      <c r="R107" s="12">
        <v>0</v>
      </c>
      <c r="S107" s="12">
        <f t="shared" si="40"/>
        <v>0</v>
      </c>
      <c r="T107" s="14"/>
      <c r="U107" s="5">
        <f t="shared" si="28"/>
        <v>0</v>
      </c>
      <c r="V107" s="5">
        <v>0</v>
      </c>
      <c r="W107" s="5"/>
      <c r="X107" s="21"/>
      <c r="Y107" s="21"/>
      <c r="Z107" s="1" t="e">
        <f t="shared" si="29"/>
        <v>#DIV/0!</v>
      </c>
      <c r="AA107" s="12" t="e">
        <f t="shared" si="41"/>
        <v>#DIV/0!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</v>
      </c>
      <c r="AH107" s="12">
        <v>0</v>
      </c>
      <c r="AI107" s="12">
        <v>0</v>
      </c>
      <c r="AJ107" s="12">
        <v>0</v>
      </c>
      <c r="AK107" s="12">
        <v>0</v>
      </c>
      <c r="AL107" s="12">
        <v>0</v>
      </c>
      <c r="AM107" s="12" t="s">
        <v>45</v>
      </c>
      <c r="AN107" s="1">
        <f t="shared" si="30"/>
        <v>0</v>
      </c>
      <c r="AO107" s="1">
        <f t="shared" si="31"/>
        <v>0</v>
      </c>
    </row>
    <row r="108" spans="1:41" x14ac:dyDescent="0.25">
      <c r="A108" s="12" t="s">
        <v>153</v>
      </c>
      <c r="B108" s="12" t="s">
        <v>39</v>
      </c>
      <c r="C108" s="12"/>
      <c r="D108" s="12"/>
      <c r="E108" s="12"/>
      <c r="F108" s="12"/>
      <c r="G108" s="13">
        <v>0</v>
      </c>
      <c r="H108" s="12"/>
      <c r="I108" s="12" t="s">
        <v>40</v>
      </c>
      <c r="J108" s="12"/>
      <c r="K108" s="12"/>
      <c r="L108" s="12">
        <f t="shared" si="39"/>
        <v>0</v>
      </c>
      <c r="M108" s="12"/>
      <c r="N108" s="12"/>
      <c r="O108" s="12">
        <v>0</v>
      </c>
      <c r="P108" s="12"/>
      <c r="Q108" s="12"/>
      <c r="R108" s="12">
        <v>0</v>
      </c>
      <c r="S108" s="12">
        <f t="shared" si="40"/>
        <v>0</v>
      </c>
      <c r="T108" s="14"/>
      <c r="U108" s="5">
        <f t="shared" si="28"/>
        <v>0</v>
      </c>
      <c r="V108" s="5">
        <v>0</v>
      </c>
      <c r="W108" s="5"/>
      <c r="X108" s="21"/>
      <c r="Y108" s="21"/>
      <c r="Z108" s="1" t="e">
        <f t="shared" si="29"/>
        <v>#DIV/0!</v>
      </c>
      <c r="AA108" s="12" t="e">
        <f t="shared" si="41"/>
        <v>#DIV/0!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2">
        <v>0</v>
      </c>
      <c r="AK108" s="12">
        <v>0</v>
      </c>
      <c r="AL108" s="12">
        <v>0</v>
      </c>
      <c r="AM108" s="12" t="s">
        <v>45</v>
      </c>
      <c r="AN108" s="1">
        <f t="shared" si="30"/>
        <v>0</v>
      </c>
      <c r="AO108" s="1">
        <f t="shared" si="31"/>
        <v>0</v>
      </c>
    </row>
    <row r="109" spans="1:41" x14ac:dyDescent="0.25">
      <c r="A109" s="1" t="s">
        <v>154</v>
      </c>
      <c r="B109" s="1" t="s">
        <v>44</v>
      </c>
      <c r="C109" s="1">
        <v>25</v>
      </c>
      <c r="D109" s="1">
        <v>3</v>
      </c>
      <c r="E109" s="1">
        <v>-17</v>
      </c>
      <c r="F109" s="1">
        <v>3</v>
      </c>
      <c r="G109" s="7">
        <v>0.28000000000000003</v>
      </c>
      <c r="H109" s="1">
        <v>40</v>
      </c>
      <c r="I109" s="15" t="s">
        <v>50</v>
      </c>
      <c r="J109" s="1"/>
      <c r="K109" s="1">
        <v>132</v>
      </c>
      <c r="L109" s="1">
        <f t="shared" si="39"/>
        <v>-149</v>
      </c>
      <c r="M109" s="1"/>
      <c r="N109" s="1"/>
      <c r="O109" s="1">
        <v>45</v>
      </c>
      <c r="P109" s="1">
        <v>-46.428571428571423</v>
      </c>
      <c r="Q109" s="1"/>
      <c r="R109" s="1">
        <v>70</v>
      </c>
      <c r="S109" s="1">
        <f t="shared" si="40"/>
        <v>-3.4</v>
      </c>
      <c r="T109" s="5">
        <v>90</v>
      </c>
      <c r="U109" s="5">
        <f t="shared" si="28"/>
        <v>90</v>
      </c>
      <c r="V109" s="5">
        <v>90</v>
      </c>
      <c r="W109" s="5"/>
      <c r="X109" s="21"/>
      <c r="Y109" s="21"/>
      <c r="Z109" s="1">
        <f t="shared" si="29"/>
        <v>-47.52100840336135</v>
      </c>
      <c r="AA109" s="1">
        <f t="shared" si="41"/>
        <v>-21.05042016806723</v>
      </c>
      <c r="AB109" s="1">
        <v>-3.8</v>
      </c>
      <c r="AC109" s="1">
        <v>18.399999999999999</v>
      </c>
      <c r="AD109" s="1">
        <v>41</v>
      </c>
      <c r="AE109" s="1">
        <v>43.2</v>
      </c>
      <c r="AF109" s="1">
        <v>41</v>
      </c>
      <c r="AG109" s="1">
        <v>34</v>
      </c>
      <c r="AH109" s="1">
        <v>24.2</v>
      </c>
      <c r="AI109" s="1">
        <v>32.6</v>
      </c>
      <c r="AJ109" s="1">
        <v>45.6</v>
      </c>
      <c r="AK109" s="1">
        <v>52.8</v>
      </c>
      <c r="AL109" s="1">
        <v>57.2</v>
      </c>
      <c r="AM109" s="1"/>
      <c r="AN109" s="1">
        <f t="shared" si="30"/>
        <v>25</v>
      </c>
      <c r="AO109" s="1">
        <f t="shared" si="31"/>
        <v>0</v>
      </c>
    </row>
    <row r="110" spans="1:41" x14ac:dyDescent="0.25">
      <c r="A110" s="1" t="s">
        <v>155</v>
      </c>
      <c r="B110" s="1" t="s">
        <v>44</v>
      </c>
      <c r="C110" s="1">
        <v>3</v>
      </c>
      <c r="D110" s="1"/>
      <c r="E110" s="1">
        <v>-7</v>
      </c>
      <c r="F110" s="1">
        <v>1</v>
      </c>
      <c r="G110" s="7">
        <v>0.28000000000000003</v>
      </c>
      <c r="H110" s="1">
        <v>40</v>
      </c>
      <c r="I110" s="15" t="s">
        <v>50</v>
      </c>
      <c r="J110" s="1"/>
      <c r="K110" s="1">
        <v>58</v>
      </c>
      <c r="L110" s="1">
        <f t="shared" si="39"/>
        <v>-65</v>
      </c>
      <c r="M110" s="1"/>
      <c r="N110" s="1"/>
      <c r="O110" s="1">
        <v>45</v>
      </c>
      <c r="P110" s="1">
        <v>-46.428571428571423</v>
      </c>
      <c r="Q110" s="1"/>
      <c r="R110" s="1">
        <v>70</v>
      </c>
      <c r="S110" s="1">
        <f t="shared" si="40"/>
        <v>-1.4</v>
      </c>
      <c r="T110" s="5">
        <v>90</v>
      </c>
      <c r="U110" s="5">
        <f t="shared" si="28"/>
        <v>90</v>
      </c>
      <c r="V110" s="5">
        <v>90</v>
      </c>
      <c r="W110" s="5"/>
      <c r="X110" s="21"/>
      <c r="Y110" s="21"/>
      <c r="Z110" s="1">
        <f t="shared" si="29"/>
        <v>-113.97959183673471</v>
      </c>
      <c r="AA110" s="1">
        <f t="shared" si="41"/>
        <v>-49.693877551020421</v>
      </c>
      <c r="AB110" s="1">
        <v>0.6</v>
      </c>
      <c r="AC110" s="1">
        <v>27.6</v>
      </c>
      <c r="AD110" s="1">
        <v>49.6</v>
      </c>
      <c r="AE110" s="1">
        <v>46.2</v>
      </c>
      <c r="AF110" s="1">
        <v>36</v>
      </c>
      <c r="AG110" s="1">
        <v>21</v>
      </c>
      <c r="AH110" s="1">
        <v>19.399999999999999</v>
      </c>
      <c r="AI110" s="1">
        <v>32.799999999999997</v>
      </c>
      <c r="AJ110" s="1">
        <v>43.4</v>
      </c>
      <c r="AK110" s="1">
        <v>46.6</v>
      </c>
      <c r="AL110" s="1">
        <v>24</v>
      </c>
      <c r="AM110" s="1"/>
      <c r="AN110" s="1">
        <f t="shared" si="30"/>
        <v>25</v>
      </c>
      <c r="AO110" s="1">
        <f t="shared" si="31"/>
        <v>0</v>
      </c>
    </row>
    <row r="111" spans="1:41" x14ac:dyDescent="0.25">
      <c r="A111" s="1" t="s">
        <v>156</v>
      </c>
      <c r="B111" s="1" t="s">
        <v>44</v>
      </c>
      <c r="C111" s="1">
        <v>4</v>
      </c>
      <c r="D111" s="1"/>
      <c r="E111" s="1">
        <v>6</v>
      </c>
      <c r="F111" s="1">
        <v>-6</v>
      </c>
      <c r="G111" s="7">
        <v>0.28000000000000003</v>
      </c>
      <c r="H111" s="1">
        <v>40</v>
      </c>
      <c r="I111" s="15" t="s">
        <v>50</v>
      </c>
      <c r="J111" s="1"/>
      <c r="K111" s="1">
        <v>77</v>
      </c>
      <c r="L111" s="1">
        <f t="shared" si="39"/>
        <v>-71</v>
      </c>
      <c r="M111" s="1"/>
      <c r="N111" s="1"/>
      <c r="O111" s="1">
        <v>45</v>
      </c>
      <c r="P111" s="1">
        <v>-46.428571428571423</v>
      </c>
      <c r="Q111" s="1"/>
      <c r="R111" s="1">
        <v>49</v>
      </c>
      <c r="S111" s="1">
        <f t="shared" si="40"/>
        <v>1.2</v>
      </c>
      <c r="T111" s="5">
        <v>60</v>
      </c>
      <c r="U111" s="5">
        <f t="shared" si="28"/>
        <v>60</v>
      </c>
      <c r="V111" s="5">
        <v>60</v>
      </c>
      <c r="W111" s="5"/>
      <c r="X111" s="21"/>
      <c r="Y111" s="21"/>
      <c r="Z111" s="1">
        <f t="shared" si="29"/>
        <v>84.642857142857153</v>
      </c>
      <c r="AA111" s="1">
        <f t="shared" si="41"/>
        <v>34.642857142857146</v>
      </c>
      <c r="AB111" s="1">
        <v>1.2</v>
      </c>
      <c r="AC111" s="1">
        <v>7.4</v>
      </c>
      <c r="AD111" s="1">
        <v>32.6</v>
      </c>
      <c r="AE111" s="1">
        <v>47</v>
      </c>
      <c r="AF111" s="1">
        <v>37.200000000000003</v>
      </c>
      <c r="AG111" s="1">
        <v>34.799999999999997</v>
      </c>
      <c r="AH111" s="1">
        <v>33.200000000000003</v>
      </c>
      <c r="AI111" s="1">
        <v>37.799999999999997</v>
      </c>
      <c r="AJ111" s="1">
        <v>41.6</v>
      </c>
      <c r="AK111" s="1">
        <v>45</v>
      </c>
      <c r="AL111" s="1">
        <v>46</v>
      </c>
      <c r="AM111" s="1"/>
      <c r="AN111" s="1">
        <f t="shared" si="30"/>
        <v>17</v>
      </c>
      <c r="AO111" s="1">
        <f t="shared" si="31"/>
        <v>0</v>
      </c>
    </row>
    <row r="112" spans="1:41" x14ac:dyDescent="0.25">
      <c r="A112" s="1" t="s">
        <v>157</v>
      </c>
      <c r="B112" s="1" t="s">
        <v>44</v>
      </c>
      <c r="C112" s="1">
        <v>104</v>
      </c>
      <c r="D112" s="1">
        <v>52</v>
      </c>
      <c r="E112" s="1">
        <v>50</v>
      </c>
      <c r="F112" s="1">
        <v>80</v>
      </c>
      <c r="G112" s="7">
        <v>0.09</v>
      </c>
      <c r="H112" s="1">
        <v>45</v>
      </c>
      <c r="I112" s="1" t="s">
        <v>40</v>
      </c>
      <c r="J112" s="1"/>
      <c r="K112" s="1">
        <v>49</v>
      </c>
      <c r="L112" s="1">
        <f t="shared" si="39"/>
        <v>1</v>
      </c>
      <c r="M112" s="1"/>
      <c r="N112" s="1"/>
      <c r="O112" s="1">
        <v>0</v>
      </c>
      <c r="P112" s="1"/>
      <c r="Q112" s="1"/>
      <c r="R112" s="1">
        <v>0</v>
      </c>
      <c r="S112" s="1">
        <f t="shared" si="40"/>
        <v>10</v>
      </c>
      <c r="T112" s="5">
        <f t="shared" ref="T112:T123" si="42">12*S112-R112-Q112-P112-O112-F112</f>
        <v>40</v>
      </c>
      <c r="U112" s="5">
        <f t="shared" si="28"/>
        <v>40</v>
      </c>
      <c r="V112" s="5">
        <v>40</v>
      </c>
      <c r="W112" s="5"/>
      <c r="X112" s="21"/>
      <c r="Y112" s="21"/>
      <c r="Z112" s="1">
        <f t="shared" si="29"/>
        <v>12</v>
      </c>
      <c r="AA112" s="1">
        <f t="shared" si="41"/>
        <v>8</v>
      </c>
      <c r="AB112" s="1">
        <v>8.1999999999999993</v>
      </c>
      <c r="AC112" s="1">
        <v>8.4</v>
      </c>
      <c r="AD112" s="1">
        <v>9.4</v>
      </c>
      <c r="AE112" s="1">
        <v>10</v>
      </c>
      <c r="AF112" s="1">
        <v>5.6</v>
      </c>
      <c r="AG112" s="1">
        <v>2.4</v>
      </c>
      <c r="AH112" s="1">
        <v>3.6</v>
      </c>
      <c r="AI112" s="1">
        <v>8.1999999999999993</v>
      </c>
      <c r="AJ112" s="1">
        <v>9.6</v>
      </c>
      <c r="AK112" s="1">
        <v>6.6</v>
      </c>
      <c r="AL112" s="1">
        <v>2.8</v>
      </c>
      <c r="AM112" s="19" t="s">
        <v>146</v>
      </c>
      <c r="AN112" s="1">
        <f t="shared" si="30"/>
        <v>4</v>
      </c>
      <c r="AO112" s="1">
        <f t="shared" si="31"/>
        <v>0</v>
      </c>
    </row>
    <row r="113" spans="1:41" x14ac:dyDescent="0.25">
      <c r="A113" s="1" t="s">
        <v>158</v>
      </c>
      <c r="B113" s="1" t="s">
        <v>39</v>
      </c>
      <c r="C113" s="1">
        <v>94.930999999999997</v>
      </c>
      <c r="D113" s="1"/>
      <c r="E113" s="1">
        <v>35.034999999999997</v>
      </c>
      <c r="F113" s="1">
        <v>55.14</v>
      </c>
      <c r="G113" s="7">
        <v>1</v>
      </c>
      <c r="H113" s="1">
        <v>60</v>
      </c>
      <c r="I113" s="1" t="s">
        <v>40</v>
      </c>
      <c r="J113" s="1"/>
      <c r="K113" s="1">
        <v>32.514000000000003</v>
      </c>
      <c r="L113" s="1">
        <f t="shared" si="39"/>
        <v>2.5209999999999937</v>
      </c>
      <c r="M113" s="1"/>
      <c r="N113" s="1"/>
      <c r="O113" s="1">
        <v>47.600199999999987</v>
      </c>
      <c r="P113" s="1"/>
      <c r="Q113" s="1"/>
      <c r="R113" s="1">
        <v>0</v>
      </c>
      <c r="S113" s="1">
        <f t="shared" si="40"/>
        <v>7.0069999999999997</v>
      </c>
      <c r="T113" s="5"/>
      <c r="U113" s="5">
        <f t="shared" si="28"/>
        <v>0</v>
      </c>
      <c r="V113" s="5">
        <v>0</v>
      </c>
      <c r="W113" s="5"/>
      <c r="X113" s="21"/>
      <c r="Y113" s="21"/>
      <c r="Z113" s="1">
        <f t="shared" si="29"/>
        <v>14.662508919651776</v>
      </c>
      <c r="AA113" s="1">
        <f t="shared" si="41"/>
        <v>14.662508919651776</v>
      </c>
      <c r="AB113" s="1">
        <v>6.0356000000000014</v>
      </c>
      <c r="AC113" s="1">
        <v>11.877599999999999</v>
      </c>
      <c r="AD113" s="1">
        <v>12.359</v>
      </c>
      <c r="AE113" s="1">
        <v>9.2641999999999989</v>
      </c>
      <c r="AF113" s="1">
        <v>7.4257999999999997</v>
      </c>
      <c r="AG113" s="1">
        <v>8.0817999999999994</v>
      </c>
      <c r="AH113" s="1">
        <v>7.9066000000000001</v>
      </c>
      <c r="AI113" s="1">
        <v>7.5061999999999998</v>
      </c>
      <c r="AJ113" s="1">
        <v>11.083399999999999</v>
      </c>
      <c r="AK113" s="1">
        <v>18.972999999999999</v>
      </c>
      <c r="AL113" s="1">
        <v>21.614599999999999</v>
      </c>
      <c r="AM113" s="17" t="s">
        <v>96</v>
      </c>
      <c r="AN113" s="1">
        <f t="shared" si="30"/>
        <v>0</v>
      </c>
      <c r="AO113" s="1">
        <f t="shared" si="31"/>
        <v>0</v>
      </c>
    </row>
    <row r="114" spans="1:41" x14ac:dyDescent="0.25">
      <c r="A114" s="1" t="s">
        <v>159</v>
      </c>
      <c r="B114" s="1" t="s">
        <v>39</v>
      </c>
      <c r="C114" s="1">
        <v>49.859000000000002</v>
      </c>
      <c r="D114" s="1">
        <v>29.864999999999998</v>
      </c>
      <c r="E114" s="1">
        <v>32.406999999999996</v>
      </c>
      <c r="F114" s="1">
        <v>34.905000000000001</v>
      </c>
      <c r="G114" s="7">
        <v>1</v>
      </c>
      <c r="H114" s="1">
        <v>50</v>
      </c>
      <c r="I114" s="1" t="s">
        <v>40</v>
      </c>
      <c r="J114" s="1"/>
      <c r="K114" s="1">
        <v>30</v>
      </c>
      <c r="L114" s="1">
        <f t="shared" si="39"/>
        <v>2.4069999999999965</v>
      </c>
      <c r="M114" s="1"/>
      <c r="N114" s="1"/>
      <c r="O114" s="1">
        <v>117.28619999999999</v>
      </c>
      <c r="P114" s="1"/>
      <c r="Q114" s="1"/>
      <c r="R114" s="1">
        <v>0</v>
      </c>
      <c r="S114" s="1">
        <f t="shared" si="40"/>
        <v>6.4813999999999989</v>
      </c>
      <c r="T114" s="5"/>
      <c r="U114" s="5">
        <f t="shared" si="28"/>
        <v>0</v>
      </c>
      <c r="V114" s="5">
        <v>0</v>
      </c>
      <c r="W114" s="5"/>
      <c r="X114" s="21"/>
      <c r="Y114" s="21"/>
      <c r="Z114" s="1">
        <f t="shared" si="29"/>
        <v>23.481223192520137</v>
      </c>
      <c r="AA114" s="1">
        <f t="shared" si="41"/>
        <v>23.481223192520137</v>
      </c>
      <c r="AB114" s="1">
        <v>7.4802000000000008</v>
      </c>
      <c r="AC114" s="1">
        <v>18.96</v>
      </c>
      <c r="AD114" s="1">
        <v>21.4636</v>
      </c>
      <c r="AE114" s="1">
        <v>13.702</v>
      </c>
      <c r="AF114" s="1">
        <v>12.7056</v>
      </c>
      <c r="AG114" s="1">
        <v>13.9284</v>
      </c>
      <c r="AH114" s="1">
        <v>8.4375999999999998</v>
      </c>
      <c r="AI114" s="1">
        <v>7.9498000000000006</v>
      </c>
      <c r="AJ114" s="1">
        <v>13.4292</v>
      </c>
      <c r="AK114" s="1">
        <v>21.123000000000001</v>
      </c>
      <c r="AL114" s="1">
        <v>25.892800000000001</v>
      </c>
      <c r="AM114" s="20" t="s">
        <v>274</v>
      </c>
      <c r="AN114" s="1">
        <f t="shared" si="30"/>
        <v>0</v>
      </c>
      <c r="AO114" s="1">
        <f t="shared" si="31"/>
        <v>0</v>
      </c>
    </row>
    <row r="115" spans="1:41" x14ac:dyDescent="0.25">
      <c r="A115" s="1" t="s">
        <v>160</v>
      </c>
      <c r="B115" s="1" t="s">
        <v>44</v>
      </c>
      <c r="C115" s="1">
        <v>88</v>
      </c>
      <c r="D115" s="1">
        <v>20</v>
      </c>
      <c r="E115" s="1">
        <v>35</v>
      </c>
      <c r="F115" s="1">
        <v>55</v>
      </c>
      <c r="G115" s="7">
        <v>0.09</v>
      </c>
      <c r="H115" s="1">
        <v>45</v>
      </c>
      <c r="I115" s="1" t="s">
        <v>40</v>
      </c>
      <c r="J115" s="1"/>
      <c r="K115" s="1">
        <v>37</v>
      </c>
      <c r="L115" s="1">
        <f t="shared" si="39"/>
        <v>-2</v>
      </c>
      <c r="M115" s="1"/>
      <c r="N115" s="1"/>
      <c r="O115" s="1">
        <v>31</v>
      </c>
      <c r="P115" s="1"/>
      <c r="Q115" s="1"/>
      <c r="R115" s="1">
        <v>0</v>
      </c>
      <c r="S115" s="1">
        <f t="shared" si="40"/>
        <v>7</v>
      </c>
      <c r="T115" s="5"/>
      <c r="U115" s="5">
        <f t="shared" si="28"/>
        <v>0</v>
      </c>
      <c r="V115" s="5">
        <v>0</v>
      </c>
      <c r="W115" s="5"/>
      <c r="X115" s="21"/>
      <c r="Y115" s="21"/>
      <c r="Z115" s="1">
        <f t="shared" si="29"/>
        <v>12.285714285714286</v>
      </c>
      <c r="AA115" s="1">
        <f t="shared" si="41"/>
        <v>12.285714285714286</v>
      </c>
      <c r="AB115" s="1">
        <v>7.6</v>
      </c>
      <c r="AC115" s="1">
        <v>10.8</v>
      </c>
      <c r="AD115" s="1">
        <v>11</v>
      </c>
      <c r="AE115" s="1">
        <v>11.8</v>
      </c>
      <c r="AF115" s="1">
        <v>6</v>
      </c>
      <c r="AG115" s="1">
        <v>3.4</v>
      </c>
      <c r="AH115" s="1">
        <v>6.2</v>
      </c>
      <c r="AI115" s="1">
        <v>9.4</v>
      </c>
      <c r="AJ115" s="1">
        <v>6</v>
      </c>
      <c r="AK115" s="1">
        <v>3.8</v>
      </c>
      <c r="AL115" s="1">
        <v>5.2</v>
      </c>
      <c r="AM115" s="1" t="s">
        <v>146</v>
      </c>
      <c r="AN115" s="1">
        <f t="shared" si="30"/>
        <v>0</v>
      </c>
      <c r="AO115" s="1">
        <f t="shared" si="31"/>
        <v>0</v>
      </c>
    </row>
    <row r="116" spans="1:41" x14ac:dyDescent="0.25">
      <c r="A116" s="1" t="s">
        <v>161</v>
      </c>
      <c r="B116" s="1" t="s">
        <v>44</v>
      </c>
      <c r="C116" s="1">
        <v>54</v>
      </c>
      <c r="D116" s="1">
        <v>100</v>
      </c>
      <c r="E116" s="1">
        <v>46</v>
      </c>
      <c r="F116" s="1">
        <v>80</v>
      </c>
      <c r="G116" s="7">
        <v>0.09</v>
      </c>
      <c r="H116" s="1">
        <v>45</v>
      </c>
      <c r="I116" s="1" t="s">
        <v>40</v>
      </c>
      <c r="J116" s="1"/>
      <c r="K116" s="1">
        <v>57</v>
      </c>
      <c r="L116" s="1">
        <f t="shared" si="39"/>
        <v>-11</v>
      </c>
      <c r="M116" s="1"/>
      <c r="N116" s="1"/>
      <c r="O116" s="1">
        <v>0</v>
      </c>
      <c r="P116" s="1"/>
      <c r="Q116" s="1"/>
      <c r="R116" s="1">
        <v>33.199999999999989</v>
      </c>
      <c r="S116" s="1">
        <f t="shared" si="40"/>
        <v>9.1999999999999993</v>
      </c>
      <c r="T116" s="5"/>
      <c r="U116" s="5">
        <f t="shared" si="28"/>
        <v>0</v>
      </c>
      <c r="V116" s="5">
        <v>0</v>
      </c>
      <c r="W116" s="5"/>
      <c r="X116" s="21"/>
      <c r="Y116" s="21"/>
      <c r="Z116" s="1">
        <f t="shared" si="29"/>
        <v>12.304347826086957</v>
      </c>
      <c r="AA116" s="1">
        <f t="shared" si="41"/>
        <v>12.304347826086957</v>
      </c>
      <c r="AB116" s="1">
        <v>12.2</v>
      </c>
      <c r="AC116" s="1">
        <v>5.8</v>
      </c>
      <c r="AD116" s="1">
        <v>10</v>
      </c>
      <c r="AE116" s="1">
        <v>13.4</v>
      </c>
      <c r="AF116" s="1">
        <v>7.2</v>
      </c>
      <c r="AG116" s="1">
        <v>5.6</v>
      </c>
      <c r="AH116" s="1">
        <v>5.6</v>
      </c>
      <c r="AI116" s="1">
        <v>7.8</v>
      </c>
      <c r="AJ116" s="1">
        <v>6</v>
      </c>
      <c r="AK116" s="1">
        <v>3.2</v>
      </c>
      <c r="AL116" s="1">
        <v>3.8</v>
      </c>
      <c r="AM116" s="1" t="s">
        <v>146</v>
      </c>
      <c r="AN116" s="1">
        <f t="shared" si="30"/>
        <v>0</v>
      </c>
      <c r="AO116" s="1">
        <f t="shared" si="31"/>
        <v>0</v>
      </c>
    </row>
    <row r="117" spans="1:41" x14ac:dyDescent="0.25">
      <c r="A117" s="1" t="s">
        <v>162</v>
      </c>
      <c r="B117" s="1" t="s">
        <v>39</v>
      </c>
      <c r="C117" s="1">
        <v>36.042999999999999</v>
      </c>
      <c r="D117" s="1">
        <v>59.15</v>
      </c>
      <c r="E117" s="1">
        <v>49.884</v>
      </c>
      <c r="F117" s="1">
        <v>24.207999999999998</v>
      </c>
      <c r="G117" s="7">
        <v>1</v>
      </c>
      <c r="H117" s="1">
        <v>60</v>
      </c>
      <c r="I117" s="1" t="s">
        <v>40</v>
      </c>
      <c r="J117" s="1"/>
      <c r="K117" s="1">
        <v>46</v>
      </c>
      <c r="L117" s="1">
        <f t="shared" si="39"/>
        <v>3.8840000000000003</v>
      </c>
      <c r="M117" s="1"/>
      <c r="N117" s="1"/>
      <c r="O117" s="1">
        <v>113.9771319999999</v>
      </c>
      <c r="P117" s="1"/>
      <c r="Q117" s="1"/>
      <c r="R117" s="1">
        <v>0</v>
      </c>
      <c r="S117" s="1">
        <f t="shared" si="40"/>
        <v>9.9768000000000008</v>
      </c>
      <c r="T117" s="5"/>
      <c r="U117" s="5">
        <f t="shared" ref="U117:U118" si="43">X117</f>
        <v>21.829000000000001</v>
      </c>
      <c r="V117" s="5">
        <v>21.829000000000001</v>
      </c>
      <c r="W117" s="5"/>
      <c r="X117" s="21">
        <f>VLOOKUP(A117,[1]Sheet!$A:$U,21,0)</f>
        <v>21.829000000000001</v>
      </c>
      <c r="Y117" s="21"/>
      <c r="Z117" s="1">
        <f t="shared" si="29"/>
        <v>16.038622804907373</v>
      </c>
      <c r="AA117" s="1">
        <f t="shared" si="41"/>
        <v>13.850646700344788</v>
      </c>
      <c r="AB117" s="1">
        <v>13.449199999999999</v>
      </c>
      <c r="AC117" s="1">
        <v>20.5716</v>
      </c>
      <c r="AD117" s="1">
        <v>16.994599999999998</v>
      </c>
      <c r="AE117" s="1">
        <v>15.692399999999999</v>
      </c>
      <c r="AF117" s="1">
        <v>14.6084</v>
      </c>
      <c r="AG117" s="1">
        <v>7.5492000000000008</v>
      </c>
      <c r="AH117" s="1">
        <v>5.8979999999999997</v>
      </c>
      <c r="AI117" s="1">
        <v>11.662599999999999</v>
      </c>
      <c r="AJ117" s="1">
        <v>14.193199999999999</v>
      </c>
      <c r="AK117" s="1">
        <v>18.148800000000001</v>
      </c>
      <c r="AL117" s="1">
        <v>14.731400000000001</v>
      </c>
      <c r="AM117" s="1"/>
      <c r="AN117" s="1">
        <f t="shared" si="30"/>
        <v>22</v>
      </c>
      <c r="AO117" s="1">
        <f t="shared" si="31"/>
        <v>0</v>
      </c>
    </row>
    <row r="118" spans="1:41" x14ac:dyDescent="0.25">
      <c r="A118" s="1" t="s">
        <v>163</v>
      </c>
      <c r="B118" s="1" t="s">
        <v>39</v>
      </c>
      <c r="C118" s="1">
        <v>118.46599999999999</v>
      </c>
      <c r="D118" s="1">
        <v>150.33799999999999</v>
      </c>
      <c r="E118" s="1">
        <v>137.25200000000001</v>
      </c>
      <c r="F118" s="1">
        <v>81.775999999999996</v>
      </c>
      <c r="G118" s="7">
        <v>1</v>
      </c>
      <c r="H118" s="1">
        <v>60</v>
      </c>
      <c r="I118" s="1" t="s">
        <v>40</v>
      </c>
      <c r="J118" s="1"/>
      <c r="K118" s="1">
        <v>142.4</v>
      </c>
      <c r="L118" s="1">
        <f t="shared" si="39"/>
        <v>-5.1479999999999961</v>
      </c>
      <c r="M118" s="1"/>
      <c r="N118" s="1"/>
      <c r="O118" s="1">
        <v>0</v>
      </c>
      <c r="P118" s="1"/>
      <c r="Q118" s="1"/>
      <c r="R118" s="1">
        <v>89.335400000000021</v>
      </c>
      <c r="S118" s="1">
        <f t="shared" si="40"/>
        <v>27.450400000000002</v>
      </c>
      <c r="T118" s="5">
        <f t="shared" si="42"/>
        <v>158.29340000000002</v>
      </c>
      <c r="U118" s="5">
        <f t="shared" si="43"/>
        <v>182.96799999999999</v>
      </c>
      <c r="V118" s="5">
        <v>84.348247999999984</v>
      </c>
      <c r="W118" s="5">
        <f>U118*$W$1</f>
        <v>98.619752000000005</v>
      </c>
      <c r="X118" s="21">
        <f>VLOOKUP(A118,[1]Sheet!$A:$U,21,0)</f>
        <v>182.96799999999999</v>
      </c>
      <c r="Y118" s="21"/>
      <c r="Z118" s="1">
        <f t="shared" si="29"/>
        <v>12.898879433450876</v>
      </c>
      <c r="AA118" s="1">
        <f t="shared" si="41"/>
        <v>6.2334756506280415</v>
      </c>
      <c r="AB118" s="1">
        <v>22.645399999999999</v>
      </c>
      <c r="AC118" s="1">
        <v>19.9846</v>
      </c>
      <c r="AD118" s="1">
        <v>26.598199999999999</v>
      </c>
      <c r="AE118" s="1">
        <v>30.647200000000002</v>
      </c>
      <c r="AF118" s="1">
        <v>27.384</v>
      </c>
      <c r="AG118" s="1">
        <v>11.255599999999999</v>
      </c>
      <c r="AH118" s="1">
        <v>13.8432</v>
      </c>
      <c r="AI118" s="1">
        <v>24.488800000000001</v>
      </c>
      <c r="AJ118" s="1">
        <v>27.658799999999999</v>
      </c>
      <c r="AK118" s="1">
        <v>32.487400000000001</v>
      </c>
      <c r="AL118" s="1">
        <v>32.491</v>
      </c>
      <c r="AM118" s="1"/>
      <c r="AN118" s="1">
        <f t="shared" si="30"/>
        <v>84</v>
      </c>
      <c r="AO118" s="1">
        <f t="shared" si="31"/>
        <v>99</v>
      </c>
    </row>
    <row r="119" spans="1:41" x14ac:dyDescent="0.25">
      <c r="A119" s="1" t="s">
        <v>164</v>
      </c>
      <c r="B119" s="1" t="s">
        <v>39</v>
      </c>
      <c r="C119" s="1">
        <v>55.319000000000003</v>
      </c>
      <c r="D119" s="1">
        <v>8.4580000000000002</v>
      </c>
      <c r="E119" s="1">
        <v>36.499000000000002</v>
      </c>
      <c r="F119" s="1">
        <v>9.1430000000000007</v>
      </c>
      <c r="G119" s="7">
        <v>1</v>
      </c>
      <c r="H119" s="1">
        <v>60</v>
      </c>
      <c r="I119" s="1" t="s">
        <v>40</v>
      </c>
      <c r="J119" s="1"/>
      <c r="K119" s="1">
        <v>37.700000000000003</v>
      </c>
      <c r="L119" s="1">
        <f t="shared" si="39"/>
        <v>-1.2010000000000005</v>
      </c>
      <c r="M119" s="1"/>
      <c r="N119" s="1"/>
      <c r="O119" s="1">
        <v>9.7018000000000058</v>
      </c>
      <c r="P119" s="1"/>
      <c r="Q119" s="1"/>
      <c r="R119" s="1">
        <v>48.038400000000003</v>
      </c>
      <c r="S119" s="1">
        <f t="shared" si="40"/>
        <v>7.2998000000000003</v>
      </c>
      <c r="T119" s="5">
        <f t="shared" si="42"/>
        <v>20.714399999999991</v>
      </c>
      <c r="U119" s="5">
        <f t="shared" si="28"/>
        <v>20.714399999999991</v>
      </c>
      <c r="V119" s="5">
        <v>20.714399999999991</v>
      </c>
      <c r="W119" s="5"/>
      <c r="X119" s="21"/>
      <c r="Y119" s="21"/>
      <c r="Z119" s="1">
        <f t="shared" si="29"/>
        <v>12</v>
      </c>
      <c r="AA119" s="1">
        <f t="shared" si="41"/>
        <v>9.1623332146086209</v>
      </c>
      <c r="AB119" s="1">
        <v>8.6598000000000006</v>
      </c>
      <c r="AC119" s="1">
        <v>5.4184000000000001</v>
      </c>
      <c r="AD119" s="1">
        <v>5.4029999999999996</v>
      </c>
      <c r="AE119" s="1">
        <v>3.9361999999999999</v>
      </c>
      <c r="AF119" s="1">
        <v>5.5831999999999997</v>
      </c>
      <c r="AG119" s="1">
        <v>5.3019999999999996</v>
      </c>
      <c r="AH119" s="1">
        <v>3.3967999999999998</v>
      </c>
      <c r="AI119" s="1">
        <v>6.5150000000000006</v>
      </c>
      <c r="AJ119" s="1">
        <v>7.4676</v>
      </c>
      <c r="AK119" s="1">
        <v>6.0911999999999997</v>
      </c>
      <c r="AL119" s="1">
        <v>8.3735999999999997</v>
      </c>
      <c r="AM119" s="1"/>
      <c r="AN119" s="1">
        <f t="shared" si="30"/>
        <v>21</v>
      </c>
      <c r="AO119" s="1">
        <f t="shared" si="31"/>
        <v>0</v>
      </c>
    </row>
    <row r="120" spans="1:41" x14ac:dyDescent="0.25">
      <c r="A120" s="1" t="s">
        <v>165</v>
      </c>
      <c r="B120" s="1" t="s">
        <v>39</v>
      </c>
      <c r="C120" s="1">
        <v>1052.8050000000001</v>
      </c>
      <c r="D120" s="1">
        <v>4.9889999999999999</v>
      </c>
      <c r="E120" s="1">
        <v>507.053</v>
      </c>
      <c r="F120" s="1">
        <v>540.75599999999997</v>
      </c>
      <c r="G120" s="7">
        <v>1</v>
      </c>
      <c r="H120" s="1">
        <v>60</v>
      </c>
      <c r="I120" s="1" t="s">
        <v>40</v>
      </c>
      <c r="J120" s="1"/>
      <c r="K120" s="1">
        <v>817.5</v>
      </c>
      <c r="L120" s="1">
        <f t="shared" si="39"/>
        <v>-310.447</v>
      </c>
      <c r="M120" s="1"/>
      <c r="N120" s="1"/>
      <c r="O120" s="1">
        <v>1120.4055739999999</v>
      </c>
      <c r="P120" s="1"/>
      <c r="Q120" s="1">
        <v>200</v>
      </c>
      <c r="R120" s="1">
        <v>30.169026000000031</v>
      </c>
      <c r="S120" s="1">
        <f t="shared" si="40"/>
        <v>101.4106</v>
      </c>
      <c r="T120" s="5"/>
      <c r="U120" s="5">
        <f t="shared" si="28"/>
        <v>0</v>
      </c>
      <c r="V120" s="5">
        <v>0</v>
      </c>
      <c r="W120" s="5"/>
      <c r="X120" s="21"/>
      <c r="Y120" s="21"/>
      <c r="Z120" s="1">
        <f t="shared" si="29"/>
        <v>18.650225913267448</v>
      </c>
      <c r="AA120" s="1">
        <f t="shared" si="41"/>
        <v>18.650225913267448</v>
      </c>
      <c r="AB120" s="1">
        <v>172.1686</v>
      </c>
      <c r="AC120" s="1">
        <v>194.34620000000001</v>
      </c>
      <c r="AD120" s="1">
        <v>173.6292</v>
      </c>
      <c r="AE120" s="1">
        <v>165.13419999999999</v>
      </c>
      <c r="AF120" s="1">
        <v>149.19040000000001</v>
      </c>
      <c r="AG120" s="1">
        <v>130.2586</v>
      </c>
      <c r="AH120" s="1">
        <v>161.93</v>
      </c>
      <c r="AI120" s="1">
        <v>151.02940000000001</v>
      </c>
      <c r="AJ120" s="1">
        <v>117.4376</v>
      </c>
      <c r="AK120" s="1">
        <v>168.51339999999999</v>
      </c>
      <c r="AL120" s="1">
        <v>198.84460000000001</v>
      </c>
      <c r="AM120" s="17" t="s">
        <v>96</v>
      </c>
      <c r="AN120" s="1">
        <f t="shared" si="30"/>
        <v>0</v>
      </c>
      <c r="AO120" s="1">
        <f t="shared" si="31"/>
        <v>0</v>
      </c>
    </row>
    <row r="121" spans="1:41" x14ac:dyDescent="0.25">
      <c r="A121" s="1" t="s">
        <v>166</v>
      </c>
      <c r="B121" s="1" t="s">
        <v>44</v>
      </c>
      <c r="C121" s="1">
        <v>146</v>
      </c>
      <c r="D121" s="1">
        <v>3</v>
      </c>
      <c r="E121" s="1">
        <v>141</v>
      </c>
      <c r="F121" s="1">
        <v>5</v>
      </c>
      <c r="G121" s="7">
        <v>0.25</v>
      </c>
      <c r="H121" s="1">
        <v>1096</v>
      </c>
      <c r="I121" s="15" t="s">
        <v>50</v>
      </c>
      <c r="J121" s="1"/>
      <c r="K121" s="1">
        <v>177</v>
      </c>
      <c r="L121" s="1">
        <f t="shared" si="39"/>
        <v>-36</v>
      </c>
      <c r="M121" s="1"/>
      <c r="N121" s="1"/>
      <c r="O121" s="1">
        <v>25</v>
      </c>
      <c r="P121" s="1"/>
      <c r="Q121" s="1"/>
      <c r="R121" s="1">
        <v>140</v>
      </c>
      <c r="S121" s="1">
        <f t="shared" si="40"/>
        <v>28.2</v>
      </c>
      <c r="T121" s="5">
        <v>180</v>
      </c>
      <c r="U121" s="5">
        <f t="shared" si="28"/>
        <v>180</v>
      </c>
      <c r="V121" s="5">
        <v>180</v>
      </c>
      <c r="W121" s="5"/>
      <c r="X121" s="21"/>
      <c r="Y121" s="21"/>
      <c r="Z121" s="1">
        <f t="shared" si="29"/>
        <v>12.411347517730496</v>
      </c>
      <c r="AA121" s="1">
        <f t="shared" si="41"/>
        <v>6.0283687943262416</v>
      </c>
      <c r="AB121" s="1">
        <v>28.8</v>
      </c>
      <c r="AC121" s="1">
        <v>0</v>
      </c>
      <c r="AD121" s="1">
        <v>0</v>
      </c>
      <c r="AE121" s="1">
        <v>1.8</v>
      </c>
      <c r="AF121" s="1">
        <v>8.1999999999999993</v>
      </c>
      <c r="AG121" s="1">
        <v>40.200000000000003</v>
      </c>
      <c r="AH121" s="1">
        <v>33.799999999999997</v>
      </c>
      <c r="AI121" s="1">
        <v>0</v>
      </c>
      <c r="AJ121" s="1">
        <v>0</v>
      </c>
      <c r="AK121" s="1">
        <v>0</v>
      </c>
      <c r="AL121" s="1">
        <v>0.05</v>
      </c>
      <c r="AM121" s="1" t="s">
        <v>167</v>
      </c>
      <c r="AN121" s="1">
        <f t="shared" si="30"/>
        <v>45</v>
      </c>
      <c r="AO121" s="1">
        <f t="shared" si="31"/>
        <v>0</v>
      </c>
    </row>
    <row r="122" spans="1:41" x14ac:dyDescent="0.25">
      <c r="A122" s="1" t="s">
        <v>168</v>
      </c>
      <c r="B122" s="1" t="s">
        <v>44</v>
      </c>
      <c r="C122" s="1">
        <v>68</v>
      </c>
      <c r="D122" s="1">
        <v>108</v>
      </c>
      <c r="E122" s="16">
        <f>55+E129</f>
        <v>100</v>
      </c>
      <c r="F122" s="16">
        <f>117+F129</f>
        <v>41</v>
      </c>
      <c r="G122" s="7">
        <v>0.32500000000000001</v>
      </c>
      <c r="H122" s="1">
        <v>1096</v>
      </c>
      <c r="I122" s="15" t="s">
        <v>50</v>
      </c>
      <c r="J122" s="1"/>
      <c r="K122" s="1">
        <v>63</v>
      </c>
      <c r="L122" s="1">
        <f t="shared" si="39"/>
        <v>37</v>
      </c>
      <c r="M122" s="1"/>
      <c r="N122" s="1"/>
      <c r="O122" s="1">
        <v>0</v>
      </c>
      <c r="P122" s="1"/>
      <c r="Q122" s="1"/>
      <c r="R122" s="1">
        <v>87.399999999999977</v>
      </c>
      <c r="S122" s="1">
        <f t="shared" si="40"/>
        <v>20</v>
      </c>
      <c r="T122" s="5">
        <v>110</v>
      </c>
      <c r="U122" s="5">
        <f t="shared" si="28"/>
        <v>110</v>
      </c>
      <c r="V122" s="5">
        <v>110</v>
      </c>
      <c r="W122" s="5"/>
      <c r="X122" s="21"/>
      <c r="Y122" s="21"/>
      <c r="Z122" s="1">
        <f t="shared" si="29"/>
        <v>11.919999999999998</v>
      </c>
      <c r="AA122" s="1">
        <f t="shared" si="41"/>
        <v>6.419999999999999</v>
      </c>
      <c r="AB122" s="1">
        <v>16.399999999999999</v>
      </c>
      <c r="AC122" s="1">
        <v>4.2</v>
      </c>
      <c r="AD122" s="1">
        <v>4.2</v>
      </c>
      <c r="AE122" s="1">
        <v>5.8</v>
      </c>
      <c r="AF122" s="1">
        <v>7.2</v>
      </c>
      <c r="AG122" s="1">
        <v>21.2</v>
      </c>
      <c r="AH122" s="1">
        <v>15.8</v>
      </c>
      <c r="AI122" s="1">
        <v>0</v>
      </c>
      <c r="AJ122" s="1">
        <v>0</v>
      </c>
      <c r="AK122" s="1">
        <v>0</v>
      </c>
      <c r="AL122" s="1">
        <v>6.5000000000000002E-2</v>
      </c>
      <c r="AM122" s="1" t="s">
        <v>167</v>
      </c>
      <c r="AN122" s="1">
        <f t="shared" si="30"/>
        <v>36</v>
      </c>
      <c r="AO122" s="1">
        <f t="shared" si="31"/>
        <v>0</v>
      </c>
    </row>
    <row r="123" spans="1:41" x14ac:dyDescent="0.25">
      <c r="A123" s="1" t="s">
        <v>169</v>
      </c>
      <c r="B123" s="1" t="s">
        <v>44</v>
      </c>
      <c r="C123" s="1">
        <v>464</v>
      </c>
      <c r="D123" s="1"/>
      <c r="E123" s="1">
        <v>314</v>
      </c>
      <c r="F123" s="1">
        <v>84</v>
      </c>
      <c r="G123" s="7">
        <v>0.25</v>
      </c>
      <c r="H123" s="1">
        <v>1096</v>
      </c>
      <c r="I123" s="1" t="s">
        <v>40</v>
      </c>
      <c r="J123" s="1"/>
      <c r="K123" s="1">
        <v>312</v>
      </c>
      <c r="L123" s="1">
        <f t="shared" si="39"/>
        <v>2</v>
      </c>
      <c r="M123" s="1"/>
      <c r="N123" s="1"/>
      <c r="O123" s="1">
        <v>0</v>
      </c>
      <c r="P123" s="1"/>
      <c r="Q123" s="1"/>
      <c r="R123" s="1">
        <v>480.4</v>
      </c>
      <c r="S123" s="1">
        <f t="shared" si="40"/>
        <v>62.8</v>
      </c>
      <c r="T123" s="5">
        <f t="shared" si="42"/>
        <v>189.19999999999993</v>
      </c>
      <c r="U123" s="5">
        <f>T123+S123*$U$1</f>
        <v>283.39999999999992</v>
      </c>
      <c r="V123" s="5">
        <v>130.64739999999995</v>
      </c>
      <c r="W123" s="5">
        <v>50</v>
      </c>
      <c r="X123" s="21"/>
      <c r="Y123" s="21"/>
      <c r="Z123" s="1">
        <f t="shared" si="29"/>
        <v>11.863812101910828</v>
      </c>
      <c r="AA123" s="1">
        <f t="shared" si="41"/>
        <v>8.9872611464968148</v>
      </c>
      <c r="AB123" s="1">
        <v>77.599999999999994</v>
      </c>
      <c r="AC123" s="1">
        <v>29.6</v>
      </c>
      <c r="AD123" s="1">
        <v>1.2</v>
      </c>
      <c r="AE123" s="1">
        <v>1.8</v>
      </c>
      <c r="AF123" s="1">
        <v>8</v>
      </c>
      <c r="AG123" s="1">
        <v>40.4</v>
      </c>
      <c r="AH123" s="1">
        <v>34.4</v>
      </c>
      <c r="AI123" s="1">
        <v>0</v>
      </c>
      <c r="AJ123" s="1">
        <v>0</v>
      </c>
      <c r="AK123" s="1">
        <v>0</v>
      </c>
      <c r="AL123" s="1">
        <v>0.05</v>
      </c>
      <c r="AM123" s="1" t="s">
        <v>167</v>
      </c>
      <c r="AN123" s="1">
        <f t="shared" si="30"/>
        <v>33</v>
      </c>
      <c r="AO123" s="1">
        <f t="shared" si="31"/>
        <v>13</v>
      </c>
    </row>
    <row r="124" spans="1:41" x14ac:dyDescent="0.25">
      <c r="A124" s="1" t="s">
        <v>170</v>
      </c>
      <c r="B124" s="1" t="s">
        <v>44</v>
      </c>
      <c r="C124" s="1">
        <v>96</v>
      </c>
      <c r="D124" s="1">
        <v>6</v>
      </c>
      <c r="E124" s="1">
        <v>109</v>
      </c>
      <c r="F124" s="1">
        <v>-13</v>
      </c>
      <c r="G124" s="7">
        <v>0.3</v>
      </c>
      <c r="H124" s="1">
        <v>40</v>
      </c>
      <c r="I124" s="15" t="s">
        <v>50</v>
      </c>
      <c r="J124" s="1"/>
      <c r="K124" s="1">
        <v>158</v>
      </c>
      <c r="L124" s="1">
        <f t="shared" si="39"/>
        <v>-49</v>
      </c>
      <c r="M124" s="1"/>
      <c r="N124" s="1"/>
      <c r="O124" s="1">
        <v>36</v>
      </c>
      <c r="P124" s="1">
        <v>-43.333333333333343</v>
      </c>
      <c r="Q124" s="1"/>
      <c r="R124" s="1">
        <v>84</v>
      </c>
      <c r="S124" s="1">
        <f t="shared" si="40"/>
        <v>21.8</v>
      </c>
      <c r="T124" s="5">
        <v>110</v>
      </c>
      <c r="U124" s="5">
        <f>X124</f>
        <v>36</v>
      </c>
      <c r="V124" s="5">
        <v>36</v>
      </c>
      <c r="W124" s="5"/>
      <c r="X124" s="21">
        <f>VLOOKUP(A124,[1]Sheet!$A:$U,21,0)</f>
        <v>36</v>
      </c>
      <c r="Y124" s="21"/>
      <c r="Z124" s="1">
        <f t="shared" si="29"/>
        <v>4.5718654434250761</v>
      </c>
      <c r="AA124" s="1">
        <f t="shared" si="41"/>
        <v>2.9204892966360849</v>
      </c>
      <c r="AB124" s="1">
        <v>46.2</v>
      </c>
      <c r="AC124" s="1">
        <v>55.2</v>
      </c>
      <c r="AD124" s="1">
        <v>43.487000000000002</v>
      </c>
      <c r="AE124" s="1">
        <v>36.4</v>
      </c>
      <c r="AF124" s="1">
        <v>33.200000000000003</v>
      </c>
      <c r="AG124" s="1">
        <v>32.200000000000003</v>
      </c>
      <c r="AH124" s="1">
        <v>32</v>
      </c>
      <c r="AI124" s="1">
        <v>44.4</v>
      </c>
      <c r="AJ124" s="1">
        <v>38.4</v>
      </c>
      <c r="AK124" s="1">
        <v>19.399999999999999</v>
      </c>
      <c r="AL124" s="1">
        <v>29</v>
      </c>
      <c r="AM124" s="1"/>
      <c r="AN124" s="1">
        <f t="shared" si="30"/>
        <v>11</v>
      </c>
      <c r="AO124" s="1">
        <f t="shared" si="31"/>
        <v>0</v>
      </c>
    </row>
    <row r="125" spans="1:41" x14ac:dyDescent="0.25">
      <c r="A125" s="1" t="s">
        <v>171</v>
      </c>
      <c r="B125" s="1" t="s">
        <v>44</v>
      </c>
      <c r="C125" s="1">
        <v>5</v>
      </c>
      <c r="D125" s="1"/>
      <c r="E125" s="1">
        <v>-10</v>
      </c>
      <c r="F125" s="1">
        <v>3</v>
      </c>
      <c r="G125" s="7">
        <v>0.3</v>
      </c>
      <c r="H125" s="1">
        <v>40</v>
      </c>
      <c r="I125" s="15" t="s">
        <v>50</v>
      </c>
      <c r="J125" s="1"/>
      <c r="K125" s="1">
        <v>85</v>
      </c>
      <c r="L125" s="1">
        <f t="shared" si="39"/>
        <v>-95</v>
      </c>
      <c r="M125" s="1"/>
      <c r="N125" s="1"/>
      <c r="O125" s="1">
        <v>30</v>
      </c>
      <c r="P125" s="1">
        <v>-30</v>
      </c>
      <c r="Q125" s="1"/>
      <c r="R125" s="1">
        <v>49</v>
      </c>
      <c r="S125" s="1">
        <f t="shared" si="40"/>
        <v>-2</v>
      </c>
      <c r="T125" s="5">
        <v>60</v>
      </c>
      <c r="U125" s="5">
        <f t="shared" si="28"/>
        <v>60</v>
      </c>
      <c r="V125" s="5">
        <v>60</v>
      </c>
      <c r="W125" s="5"/>
      <c r="X125" s="21"/>
      <c r="Y125" s="21"/>
      <c r="Z125" s="1">
        <f t="shared" si="29"/>
        <v>-56</v>
      </c>
      <c r="AA125" s="1">
        <f t="shared" si="41"/>
        <v>-26</v>
      </c>
      <c r="AB125" s="1">
        <v>-1.6</v>
      </c>
      <c r="AC125" s="1">
        <v>9.4</v>
      </c>
      <c r="AD125" s="1">
        <v>19</v>
      </c>
      <c r="AE125" s="1">
        <v>30.6</v>
      </c>
      <c r="AF125" s="1">
        <v>31</v>
      </c>
      <c r="AG125" s="1">
        <v>25.2</v>
      </c>
      <c r="AH125" s="1">
        <v>24.6</v>
      </c>
      <c r="AI125" s="1">
        <v>23.6</v>
      </c>
      <c r="AJ125" s="1">
        <v>18.399999999999999</v>
      </c>
      <c r="AK125" s="1">
        <v>7.4</v>
      </c>
      <c r="AL125" s="1">
        <v>13.2</v>
      </c>
      <c r="AM125" s="1"/>
      <c r="AN125" s="1">
        <f t="shared" si="30"/>
        <v>18</v>
      </c>
      <c r="AO125" s="1">
        <f t="shared" si="31"/>
        <v>0</v>
      </c>
    </row>
    <row r="126" spans="1:41" x14ac:dyDescent="0.25">
      <c r="A126" s="1" t="s">
        <v>172</v>
      </c>
      <c r="B126" s="1" t="s">
        <v>39</v>
      </c>
      <c r="C126" s="1">
        <v>8.31</v>
      </c>
      <c r="D126" s="1"/>
      <c r="E126" s="1">
        <v>9.4359999999999999</v>
      </c>
      <c r="F126" s="1">
        <v>0.23799999999999999</v>
      </c>
      <c r="G126" s="7">
        <v>1</v>
      </c>
      <c r="H126" s="1">
        <v>50</v>
      </c>
      <c r="I126" s="1" t="s">
        <v>40</v>
      </c>
      <c r="J126" s="1"/>
      <c r="K126" s="1">
        <v>10.7</v>
      </c>
      <c r="L126" s="1">
        <f t="shared" si="39"/>
        <v>-1.2639999999999993</v>
      </c>
      <c r="M126" s="1"/>
      <c r="N126" s="1"/>
      <c r="O126" s="1">
        <v>33.590400000000002</v>
      </c>
      <c r="P126" s="1"/>
      <c r="Q126" s="1"/>
      <c r="R126" s="1">
        <v>0</v>
      </c>
      <c r="S126" s="1">
        <f t="shared" si="40"/>
        <v>1.8872</v>
      </c>
      <c r="T126" s="5"/>
      <c r="U126" s="5">
        <f t="shared" si="28"/>
        <v>0</v>
      </c>
      <c r="V126" s="5">
        <v>0</v>
      </c>
      <c r="W126" s="5"/>
      <c r="X126" s="21"/>
      <c r="Y126" s="21"/>
      <c r="Z126" s="1">
        <f t="shared" si="29"/>
        <v>17.925180161085208</v>
      </c>
      <c r="AA126" s="1">
        <f t="shared" si="41"/>
        <v>17.925180161085208</v>
      </c>
      <c r="AB126" s="1">
        <v>2.9937999999999998</v>
      </c>
      <c r="AC126" s="1">
        <v>4.6555999999999997</v>
      </c>
      <c r="AD126" s="1">
        <v>3.5312000000000001</v>
      </c>
      <c r="AE126" s="1">
        <v>1.0506</v>
      </c>
      <c r="AF126" s="1">
        <v>1.6064000000000001</v>
      </c>
      <c r="AG126" s="1">
        <v>2.1257999999999999</v>
      </c>
      <c r="AH126" s="1">
        <v>2.6814</v>
      </c>
      <c r="AI126" s="1">
        <v>3.0156000000000001</v>
      </c>
      <c r="AJ126" s="1">
        <v>2.7410000000000001</v>
      </c>
      <c r="AK126" s="1">
        <v>3.8424</v>
      </c>
      <c r="AL126" s="1">
        <v>3.2942</v>
      </c>
      <c r="AM126" s="1"/>
      <c r="AN126" s="1">
        <f t="shared" si="30"/>
        <v>0</v>
      </c>
      <c r="AO126" s="1">
        <f t="shared" si="31"/>
        <v>0</v>
      </c>
    </row>
    <row r="127" spans="1:41" x14ac:dyDescent="0.25">
      <c r="A127" s="1" t="s">
        <v>173</v>
      </c>
      <c r="B127" s="1" t="s">
        <v>44</v>
      </c>
      <c r="C127" s="1">
        <v>80</v>
      </c>
      <c r="D127" s="1">
        <v>7</v>
      </c>
      <c r="E127" s="1">
        <v>89</v>
      </c>
      <c r="F127" s="1">
        <v>2</v>
      </c>
      <c r="G127" s="7">
        <v>0.3</v>
      </c>
      <c r="H127" s="1">
        <v>40</v>
      </c>
      <c r="I127" s="15" t="s">
        <v>50</v>
      </c>
      <c r="J127" s="1"/>
      <c r="K127" s="1">
        <v>97</v>
      </c>
      <c r="L127" s="1">
        <f t="shared" si="39"/>
        <v>-8</v>
      </c>
      <c r="M127" s="1"/>
      <c r="N127" s="1"/>
      <c r="O127" s="1">
        <v>25</v>
      </c>
      <c r="P127" s="1">
        <v>-30</v>
      </c>
      <c r="Q127" s="1"/>
      <c r="R127" s="1">
        <v>70</v>
      </c>
      <c r="S127" s="1">
        <f t="shared" si="40"/>
        <v>17.8</v>
      </c>
      <c r="T127" s="5">
        <v>90</v>
      </c>
      <c r="U127" s="5">
        <f t="shared" si="28"/>
        <v>90</v>
      </c>
      <c r="V127" s="5">
        <v>90</v>
      </c>
      <c r="W127" s="5"/>
      <c r="X127" s="21"/>
      <c r="Y127" s="21"/>
      <c r="Z127" s="1">
        <f t="shared" si="29"/>
        <v>8.8202247191011232</v>
      </c>
      <c r="AA127" s="1">
        <f t="shared" si="41"/>
        <v>3.7640449438202244</v>
      </c>
      <c r="AB127" s="1">
        <v>33.4</v>
      </c>
      <c r="AC127" s="1">
        <v>17.8</v>
      </c>
      <c r="AD127" s="1">
        <v>5.4</v>
      </c>
      <c r="AE127" s="1">
        <v>17.8</v>
      </c>
      <c r="AF127" s="1">
        <v>18.600000000000001</v>
      </c>
      <c r="AG127" s="1">
        <v>19.600000000000001</v>
      </c>
      <c r="AH127" s="1">
        <v>19.8</v>
      </c>
      <c r="AI127" s="1">
        <v>17.600000000000001</v>
      </c>
      <c r="AJ127" s="1">
        <v>21.6</v>
      </c>
      <c r="AK127" s="1">
        <v>22.8</v>
      </c>
      <c r="AL127" s="1">
        <v>13.4</v>
      </c>
      <c r="AM127" s="1"/>
      <c r="AN127" s="1">
        <f t="shared" si="30"/>
        <v>27</v>
      </c>
      <c r="AO127" s="1">
        <f t="shared" si="31"/>
        <v>0</v>
      </c>
    </row>
    <row r="128" spans="1:41" x14ac:dyDescent="0.25">
      <c r="A128" s="1" t="s">
        <v>174</v>
      </c>
      <c r="B128" s="1" t="s">
        <v>44</v>
      </c>
      <c r="C128" s="1">
        <v>38</v>
      </c>
      <c r="D128" s="1">
        <v>45</v>
      </c>
      <c r="E128" s="1">
        <v>47</v>
      </c>
      <c r="F128" s="1">
        <v>23</v>
      </c>
      <c r="G128" s="7">
        <v>0.12</v>
      </c>
      <c r="H128" s="1">
        <v>45</v>
      </c>
      <c r="I128" s="15" t="s">
        <v>50</v>
      </c>
      <c r="J128" s="1"/>
      <c r="K128" s="1">
        <v>47</v>
      </c>
      <c r="L128" s="1">
        <f t="shared" si="39"/>
        <v>0</v>
      </c>
      <c r="M128" s="1"/>
      <c r="N128" s="1"/>
      <c r="O128" s="1">
        <v>12.8</v>
      </c>
      <c r="P128" s="1">
        <v>-33.333333333333343</v>
      </c>
      <c r="Q128" s="1"/>
      <c r="R128" s="1">
        <v>34</v>
      </c>
      <c r="S128" s="1">
        <f t="shared" si="40"/>
        <v>9.4</v>
      </c>
      <c r="T128" s="5">
        <v>70</v>
      </c>
      <c r="U128" s="5">
        <f t="shared" si="28"/>
        <v>70</v>
      </c>
      <c r="V128" s="5">
        <v>70</v>
      </c>
      <c r="W128" s="5"/>
      <c r="X128" s="21"/>
      <c r="Y128" s="21"/>
      <c r="Z128" s="1">
        <f t="shared" si="29"/>
        <v>11.326241134751772</v>
      </c>
      <c r="AA128" s="1">
        <f t="shared" si="41"/>
        <v>3.8794326241134738</v>
      </c>
      <c r="AB128" s="1">
        <v>6.8</v>
      </c>
      <c r="AC128" s="1">
        <v>6.6</v>
      </c>
      <c r="AD128" s="1">
        <v>7</v>
      </c>
      <c r="AE128" s="1">
        <v>9.1999999999999993</v>
      </c>
      <c r="AF128" s="1">
        <v>9</v>
      </c>
      <c r="AG128" s="1">
        <v>5.6</v>
      </c>
      <c r="AH128" s="1">
        <v>5.4</v>
      </c>
      <c r="AI128" s="1">
        <v>8</v>
      </c>
      <c r="AJ128" s="1">
        <v>11.2</v>
      </c>
      <c r="AK128" s="1">
        <v>9.1999999999999993</v>
      </c>
      <c r="AL128" s="1">
        <v>4.5999999999999996</v>
      </c>
      <c r="AM128" s="1"/>
      <c r="AN128" s="1">
        <f t="shared" si="30"/>
        <v>8</v>
      </c>
      <c r="AO128" s="1">
        <f t="shared" si="31"/>
        <v>0</v>
      </c>
    </row>
    <row r="129" spans="1:41" x14ac:dyDescent="0.25">
      <c r="A129" s="12" t="s">
        <v>175</v>
      </c>
      <c r="B129" s="12" t="s">
        <v>44</v>
      </c>
      <c r="C129" s="12">
        <v>-21</v>
      </c>
      <c r="D129" s="12"/>
      <c r="E129" s="16">
        <v>45</v>
      </c>
      <c r="F129" s="16">
        <v>-76</v>
      </c>
      <c r="G129" s="13">
        <v>0</v>
      </c>
      <c r="H129" s="12"/>
      <c r="I129" s="12" t="s">
        <v>176</v>
      </c>
      <c r="J129" s="12" t="s">
        <v>168</v>
      </c>
      <c r="K129" s="12">
        <v>57</v>
      </c>
      <c r="L129" s="12">
        <f t="shared" si="39"/>
        <v>-12</v>
      </c>
      <c r="M129" s="12"/>
      <c r="N129" s="12"/>
      <c r="O129" s="12">
        <v>0</v>
      </c>
      <c r="P129" s="12"/>
      <c r="Q129" s="12"/>
      <c r="R129" s="12">
        <v>0</v>
      </c>
      <c r="S129" s="12">
        <f t="shared" si="40"/>
        <v>9</v>
      </c>
      <c r="T129" s="14"/>
      <c r="U129" s="5">
        <f t="shared" si="28"/>
        <v>0</v>
      </c>
      <c r="V129" s="5">
        <v>0</v>
      </c>
      <c r="W129" s="5"/>
      <c r="X129" s="21"/>
      <c r="Y129" s="21"/>
      <c r="Z129" s="1">
        <f t="shared" si="29"/>
        <v>-8.4444444444444446</v>
      </c>
      <c r="AA129" s="12">
        <f t="shared" si="41"/>
        <v>-8.4444444444444446</v>
      </c>
      <c r="AB129" s="12">
        <v>12.4</v>
      </c>
      <c r="AC129" s="12">
        <v>4.2</v>
      </c>
      <c r="AD129" s="12">
        <v>0.2</v>
      </c>
      <c r="AE129" s="12">
        <v>0</v>
      </c>
      <c r="AF129" s="12">
        <v>0.8</v>
      </c>
      <c r="AG129" s="12">
        <v>1.8</v>
      </c>
      <c r="AH129" s="12">
        <v>1</v>
      </c>
      <c r="AI129" s="12">
        <v>0</v>
      </c>
      <c r="AJ129" s="12">
        <v>0</v>
      </c>
      <c r="AK129" s="12">
        <v>0</v>
      </c>
      <c r="AL129" s="12">
        <v>0</v>
      </c>
      <c r="AM129" s="12"/>
      <c r="AN129" s="1">
        <f t="shared" si="30"/>
        <v>0</v>
      </c>
      <c r="AO129" s="1">
        <f t="shared" si="31"/>
        <v>0</v>
      </c>
    </row>
    <row r="130" spans="1:4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spans="1:4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spans="1:4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spans="1:4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spans="1:4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spans="1:4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spans="1:4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spans="1:4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spans="1:4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spans="1:4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spans="1:4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</sheetData>
  <autoFilter ref="A3:AN129" xr:uid="{00000000-0009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workbookViewId="0">
      <selection activeCell="I1" sqref="I1"/>
    </sheetView>
  </sheetViews>
  <sheetFormatPr defaultRowHeight="15" x14ac:dyDescent="0.25"/>
  <cols>
    <col min="1" max="1" width="11.140625" customWidth="1"/>
    <col min="2" max="2" width="11.140625" style="11" customWidth="1"/>
    <col min="3" max="3" width="81.5703125" customWidth="1"/>
  </cols>
  <sheetData>
    <row r="1" spans="1:8" x14ac:dyDescent="0.25">
      <c r="A1" s="9" t="s">
        <v>177</v>
      </c>
      <c r="B1" s="9" t="str">
        <f t="shared" ref="B1:B26" si="0">SUBSTITUTE(A1," ","")</f>
        <v>SU002151</v>
      </c>
      <c r="C1" s="9" t="s">
        <v>178</v>
      </c>
      <c r="D1" s="10" t="s">
        <v>179</v>
      </c>
      <c r="E1" s="10" t="s">
        <v>180</v>
      </c>
      <c r="F1" s="10" t="s">
        <v>180</v>
      </c>
      <c r="G1" s="10" t="s">
        <v>181</v>
      </c>
      <c r="H1">
        <f t="shared" ref="H1:H27" si="1">--SUBSTITUTE(G1," ","")</f>
        <v>-190</v>
      </c>
    </row>
    <row r="2" spans="1:8" x14ac:dyDescent="0.25">
      <c r="A2" s="9" t="s">
        <v>182</v>
      </c>
      <c r="B2" s="9" t="str">
        <f t="shared" si="0"/>
        <v>SU002158</v>
      </c>
      <c r="C2" s="9" t="s">
        <v>183</v>
      </c>
      <c r="D2" s="10" t="s">
        <v>184</v>
      </c>
      <c r="E2" s="10" t="s">
        <v>180</v>
      </c>
      <c r="F2" s="10" t="s">
        <v>180</v>
      </c>
      <c r="G2" s="10" t="s">
        <v>185</v>
      </c>
      <c r="H2">
        <f t="shared" si="1"/>
        <v>-238</v>
      </c>
    </row>
    <row r="3" spans="1:8" x14ac:dyDescent="0.25">
      <c r="A3" s="9" t="s">
        <v>186</v>
      </c>
      <c r="B3" s="9" t="str">
        <f t="shared" si="0"/>
        <v>SU002205</v>
      </c>
      <c r="C3" s="9" t="s">
        <v>187</v>
      </c>
      <c r="D3" s="10" t="s">
        <v>188</v>
      </c>
      <c r="E3" s="10" t="s">
        <v>180</v>
      </c>
      <c r="F3" s="10" t="s">
        <v>180</v>
      </c>
      <c r="G3" s="10" t="s">
        <v>189</v>
      </c>
      <c r="H3">
        <f t="shared" si="1"/>
        <v>-12</v>
      </c>
    </row>
    <row r="4" spans="1:8" x14ac:dyDescent="0.25">
      <c r="A4" s="9" t="s">
        <v>190</v>
      </c>
      <c r="B4" s="9" t="str">
        <f t="shared" si="0"/>
        <v>SU002252</v>
      </c>
      <c r="C4" s="9" t="s">
        <v>191</v>
      </c>
      <c r="D4" s="10" t="s">
        <v>192</v>
      </c>
      <c r="E4" s="10" t="s">
        <v>180</v>
      </c>
      <c r="F4" s="10" t="s">
        <v>180</v>
      </c>
      <c r="G4" s="10" t="s">
        <v>193</v>
      </c>
      <c r="H4">
        <f t="shared" si="1"/>
        <v>-9</v>
      </c>
    </row>
    <row r="5" spans="1:8" x14ac:dyDescent="0.25">
      <c r="A5" s="9" t="s">
        <v>194</v>
      </c>
      <c r="B5" s="9" t="str">
        <f t="shared" si="0"/>
        <v>SU002287</v>
      </c>
      <c r="C5" s="9" t="s">
        <v>195</v>
      </c>
      <c r="D5" s="10" t="s">
        <v>196</v>
      </c>
      <c r="E5" s="10" t="s">
        <v>180</v>
      </c>
      <c r="F5" s="10" t="s">
        <v>180</v>
      </c>
      <c r="G5" s="10" t="s">
        <v>197</v>
      </c>
      <c r="H5">
        <f t="shared" si="1"/>
        <v>-36</v>
      </c>
    </row>
    <row r="6" spans="1:8" x14ac:dyDescent="0.25">
      <c r="A6" s="9" t="s">
        <v>198</v>
      </c>
      <c r="B6" s="9" t="str">
        <f t="shared" si="0"/>
        <v>SU002612</v>
      </c>
      <c r="C6" s="9" t="s">
        <v>199</v>
      </c>
      <c r="D6" s="10" t="s">
        <v>200</v>
      </c>
      <c r="E6" s="10" t="s">
        <v>200</v>
      </c>
      <c r="F6" s="10" t="s">
        <v>201</v>
      </c>
      <c r="G6" s="10" t="s">
        <v>202</v>
      </c>
      <c r="H6">
        <f t="shared" si="1"/>
        <v>-37</v>
      </c>
    </row>
    <row r="7" spans="1:8" x14ac:dyDescent="0.25">
      <c r="A7" s="9" t="s">
        <v>203</v>
      </c>
      <c r="B7" s="9" t="str">
        <f t="shared" si="0"/>
        <v>SU002621</v>
      </c>
      <c r="C7" s="9" t="s">
        <v>204</v>
      </c>
      <c r="D7" s="10" t="s">
        <v>205</v>
      </c>
      <c r="E7" s="10" t="s">
        <v>180</v>
      </c>
      <c r="F7" s="10" t="s">
        <v>180</v>
      </c>
      <c r="G7" s="10" t="s">
        <v>206</v>
      </c>
      <c r="H7">
        <f t="shared" si="1"/>
        <v>-55</v>
      </c>
    </row>
    <row r="8" spans="1:8" x14ac:dyDescent="0.25">
      <c r="A8" s="9" t="s">
        <v>207</v>
      </c>
      <c r="B8" s="9" t="str">
        <f t="shared" si="0"/>
        <v>SU002655</v>
      </c>
      <c r="C8" s="9" t="s">
        <v>208</v>
      </c>
      <c r="D8" s="10" t="s">
        <v>209</v>
      </c>
      <c r="E8" s="10" t="s">
        <v>180</v>
      </c>
      <c r="F8" s="10" t="s">
        <v>180</v>
      </c>
      <c r="G8" s="10" t="s">
        <v>210</v>
      </c>
      <c r="H8">
        <f t="shared" si="1"/>
        <v>-45</v>
      </c>
    </row>
    <row r="9" spans="1:8" ht="30" customHeight="1" x14ac:dyDescent="0.25">
      <c r="A9" s="9" t="s">
        <v>211</v>
      </c>
      <c r="B9" s="9" t="str">
        <f t="shared" si="0"/>
        <v>SU002660</v>
      </c>
      <c r="C9" s="9" t="s">
        <v>212</v>
      </c>
      <c r="D9" s="10" t="s">
        <v>213</v>
      </c>
      <c r="E9" s="10" t="s">
        <v>180</v>
      </c>
      <c r="F9" s="10" t="s">
        <v>180</v>
      </c>
      <c r="G9" s="10" t="s">
        <v>214</v>
      </c>
      <c r="H9">
        <f t="shared" si="1"/>
        <v>-11</v>
      </c>
    </row>
    <row r="10" spans="1:8" ht="30" customHeight="1" x14ac:dyDescent="0.25">
      <c r="A10" s="9" t="s">
        <v>215</v>
      </c>
      <c r="B10" s="9" t="str">
        <f t="shared" si="0"/>
        <v>SU002756</v>
      </c>
      <c r="C10" s="9" t="s">
        <v>216</v>
      </c>
      <c r="D10" s="10" t="s">
        <v>217</v>
      </c>
      <c r="E10" s="10" t="s">
        <v>180</v>
      </c>
      <c r="F10" s="10" t="s">
        <v>180</v>
      </c>
      <c r="G10" s="10" t="s">
        <v>218</v>
      </c>
      <c r="H10">
        <f t="shared" si="1"/>
        <v>-21</v>
      </c>
    </row>
    <row r="11" spans="1:8" ht="30" customHeight="1" x14ac:dyDescent="0.25">
      <c r="A11" s="9" t="s">
        <v>219</v>
      </c>
      <c r="B11" s="9" t="str">
        <f t="shared" si="0"/>
        <v>SU002847</v>
      </c>
      <c r="C11" s="9" t="s">
        <v>220</v>
      </c>
      <c r="D11" s="10" t="s">
        <v>221</v>
      </c>
      <c r="E11" s="10" t="s">
        <v>180</v>
      </c>
      <c r="F11" s="10" t="s">
        <v>180</v>
      </c>
      <c r="G11" s="10" t="s">
        <v>222</v>
      </c>
      <c r="H11">
        <f t="shared" si="1"/>
        <v>-25</v>
      </c>
    </row>
    <row r="12" spans="1:8" ht="30" customHeight="1" x14ac:dyDescent="0.25">
      <c r="A12" s="9" t="s">
        <v>223</v>
      </c>
      <c r="B12" s="9" t="str">
        <f t="shared" si="0"/>
        <v>SU002848</v>
      </c>
      <c r="C12" s="9" t="s">
        <v>224</v>
      </c>
      <c r="D12" s="10" t="s">
        <v>217</v>
      </c>
      <c r="E12" s="10" t="s">
        <v>180</v>
      </c>
      <c r="F12" s="10" t="s">
        <v>180</v>
      </c>
      <c r="G12" s="10" t="s">
        <v>218</v>
      </c>
      <c r="H12">
        <f t="shared" si="1"/>
        <v>-21</v>
      </c>
    </row>
    <row r="13" spans="1:8" ht="30" customHeight="1" x14ac:dyDescent="0.25">
      <c r="A13" s="9" t="s">
        <v>225</v>
      </c>
      <c r="B13" s="9" t="str">
        <f t="shared" si="0"/>
        <v>SU002941</v>
      </c>
      <c r="C13" s="9" t="s">
        <v>226</v>
      </c>
      <c r="D13" s="10" t="s">
        <v>227</v>
      </c>
      <c r="E13" s="10" t="s">
        <v>180</v>
      </c>
      <c r="F13" s="10" t="s">
        <v>180</v>
      </c>
      <c r="G13" s="10" t="s">
        <v>228</v>
      </c>
      <c r="H13">
        <f t="shared" si="1"/>
        <v>-211</v>
      </c>
    </row>
    <row r="14" spans="1:8" ht="30" customHeight="1" x14ac:dyDescent="0.25">
      <c r="A14" s="9" t="s">
        <v>229</v>
      </c>
      <c r="B14" s="9" t="str">
        <f t="shared" si="0"/>
        <v>SU002942</v>
      </c>
      <c r="C14" s="9" t="s">
        <v>230</v>
      </c>
      <c r="D14" s="10" t="s">
        <v>192</v>
      </c>
      <c r="E14" s="10" t="s">
        <v>180</v>
      </c>
      <c r="F14" s="10" t="s">
        <v>180</v>
      </c>
      <c r="G14" s="10" t="s">
        <v>193</v>
      </c>
      <c r="H14">
        <f t="shared" si="1"/>
        <v>-9</v>
      </c>
    </row>
    <row r="15" spans="1:8" ht="30" customHeight="1" x14ac:dyDescent="0.25">
      <c r="A15" s="9" t="s">
        <v>231</v>
      </c>
      <c r="B15" s="9" t="str">
        <f t="shared" si="0"/>
        <v>SU002943</v>
      </c>
      <c r="C15" s="9" t="s">
        <v>232</v>
      </c>
      <c r="D15" s="10" t="s">
        <v>233</v>
      </c>
      <c r="E15" s="10" t="s">
        <v>180</v>
      </c>
      <c r="F15" s="10" t="s">
        <v>180</v>
      </c>
      <c r="G15" s="10" t="s">
        <v>234</v>
      </c>
      <c r="H15">
        <f t="shared" si="1"/>
        <v>-103</v>
      </c>
    </row>
    <row r="16" spans="1:8" ht="30" customHeight="1" x14ac:dyDescent="0.25">
      <c r="A16" s="9" t="s">
        <v>235</v>
      </c>
      <c r="B16" s="9" t="str">
        <f t="shared" si="0"/>
        <v>SU002944</v>
      </c>
      <c r="C16" s="9" t="s">
        <v>236</v>
      </c>
      <c r="D16" s="10" t="s">
        <v>237</v>
      </c>
      <c r="E16" s="10" t="s">
        <v>180</v>
      </c>
      <c r="F16" s="10" t="s">
        <v>180</v>
      </c>
      <c r="G16" s="10" t="s">
        <v>238</v>
      </c>
      <c r="H16">
        <f t="shared" si="1"/>
        <v>-13</v>
      </c>
    </row>
    <row r="17" spans="1:8" ht="30" customHeight="1" x14ac:dyDescent="0.25">
      <c r="A17" s="9" t="s">
        <v>239</v>
      </c>
      <c r="B17" s="9" t="str">
        <f t="shared" si="0"/>
        <v>SU002947</v>
      </c>
      <c r="C17" s="9" t="s">
        <v>240</v>
      </c>
      <c r="D17" s="10" t="s">
        <v>241</v>
      </c>
      <c r="E17" s="10" t="s">
        <v>180</v>
      </c>
      <c r="F17" s="10" t="s">
        <v>180</v>
      </c>
      <c r="G17" s="10" t="s">
        <v>242</v>
      </c>
      <c r="H17">
        <f t="shared" si="1"/>
        <v>-221</v>
      </c>
    </row>
    <row r="18" spans="1:8" ht="30" customHeight="1" x14ac:dyDescent="0.25">
      <c r="A18" s="9" t="s">
        <v>243</v>
      </c>
      <c r="B18" s="9" t="str">
        <f t="shared" si="0"/>
        <v>SU002948</v>
      </c>
      <c r="C18" s="9" t="s">
        <v>244</v>
      </c>
      <c r="D18" s="10" t="s">
        <v>192</v>
      </c>
      <c r="E18" s="10" t="s">
        <v>180</v>
      </c>
      <c r="F18" s="10" t="s">
        <v>180</v>
      </c>
      <c r="G18" s="10" t="s">
        <v>193</v>
      </c>
      <c r="H18">
        <f t="shared" si="1"/>
        <v>-9</v>
      </c>
    </row>
    <row r="19" spans="1:8" ht="30" customHeight="1" x14ac:dyDescent="0.25">
      <c r="A19" s="9" t="s">
        <v>245</v>
      </c>
      <c r="B19" s="9" t="str">
        <f t="shared" si="0"/>
        <v>SU003829</v>
      </c>
      <c r="C19" s="9" t="s">
        <v>246</v>
      </c>
      <c r="D19" s="10" t="s">
        <v>192</v>
      </c>
      <c r="E19" s="10" t="s">
        <v>180</v>
      </c>
      <c r="F19" s="10" t="s">
        <v>180</v>
      </c>
      <c r="G19" s="10" t="s">
        <v>193</v>
      </c>
      <c r="H19">
        <f t="shared" si="1"/>
        <v>-9</v>
      </c>
    </row>
    <row r="20" spans="1:8" x14ac:dyDescent="0.25">
      <c r="A20" s="9" t="s">
        <v>247</v>
      </c>
      <c r="B20" s="9" t="str">
        <f t="shared" si="0"/>
        <v>SU003893</v>
      </c>
      <c r="C20" s="9" t="s">
        <v>248</v>
      </c>
      <c r="D20" s="10" t="s">
        <v>249</v>
      </c>
      <c r="E20" s="10" t="s">
        <v>180</v>
      </c>
      <c r="F20" s="10" t="s">
        <v>180</v>
      </c>
      <c r="G20" s="10" t="s">
        <v>250</v>
      </c>
      <c r="H20">
        <f t="shared" si="1"/>
        <v>-10</v>
      </c>
    </row>
    <row r="21" spans="1:8" ht="30" customHeight="1" x14ac:dyDescent="0.25">
      <c r="A21" s="9" t="s">
        <v>251</v>
      </c>
      <c r="B21" s="9" t="str">
        <f t="shared" si="0"/>
        <v>SU003921</v>
      </c>
      <c r="C21" s="9" t="s">
        <v>252</v>
      </c>
      <c r="D21" s="10" t="s">
        <v>253</v>
      </c>
      <c r="E21" s="10" t="s">
        <v>180</v>
      </c>
      <c r="F21" s="10" t="s">
        <v>180</v>
      </c>
      <c r="G21" s="10" t="s">
        <v>254</v>
      </c>
      <c r="H21">
        <f t="shared" si="1"/>
        <v>-4</v>
      </c>
    </row>
    <row r="22" spans="1:8" x14ac:dyDescent="0.25">
      <c r="A22" s="9" t="s">
        <v>255</v>
      </c>
      <c r="B22" s="9" t="str">
        <f t="shared" si="0"/>
        <v>SU004039</v>
      </c>
      <c r="C22" s="9" t="s">
        <v>256</v>
      </c>
      <c r="D22" s="10" t="s">
        <v>237</v>
      </c>
      <c r="E22" s="10" t="s">
        <v>180</v>
      </c>
      <c r="F22" s="10" t="s">
        <v>180</v>
      </c>
      <c r="G22" s="10" t="s">
        <v>238</v>
      </c>
      <c r="H22">
        <f t="shared" si="1"/>
        <v>-13</v>
      </c>
    </row>
    <row r="23" spans="1:8" x14ac:dyDescent="0.25">
      <c r="A23" s="9" t="s">
        <v>257</v>
      </c>
      <c r="B23" s="9" t="str">
        <f t="shared" si="0"/>
        <v>SU004041</v>
      </c>
      <c r="C23" s="9" t="s">
        <v>258</v>
      </c>
      <c r="D23" s="10" t="s">
        <v>259</v>
      </c>
      <c r="E23" s="10" t="s">
        <v>180</v>
      </c>
      <c r="F23" s="10" t="s">
        <v>180</v>
      </c>
      <c r="G23" s="10" t="s">
        <v>260</v>
      </c>
      <c r="H23">
        <f t="shared" si="1"/>
        <v>-28</v>
      </c>
    </row>
    <row r="24" spans="1:8" x14ac:dyDescent="0.25">
      <c r="A24" s="9" t="s">
        <v>261</v>
      </c>
      <c r="B24" s="9" t="str">
        <f t="shared" si="0"/>
        <v>SU004042</v>
      </c>
      <c r="C24" s="9" t="s">
        <v>262</v>
      </c>
      <c r="D24" s="10" t="s">
        <v>237</v>
      </c>
      <c r="E24" s="10" t="s">
        <v>180</v>
      </c>
      <c r="F24" s="10" t="s">
        <v>180</v>
      </c>
      <c r="G24" s="10" t="s">
        <v>238</v>
      </c>
      <c r="H24">
        <f t="shared" si="1"/>
        <v>-13</v>
      </c>
    </row>
    <row r="25" spans="1:8" x14ac:dyDescent="0.25">
      <c r="A25" s="9" t="s">
        <v>263</v>
      </c>
      <c r="B25" s="9" t="str">
        <f t="shared" si="0"/>
        <v>SU004044</v>
      </c>
      <c r="C25" s="9" t="s">
        <v>264</v>
      </c>
      <c r="D25" s="10" t="s">
        <v>259</v>
      </c>
      <c r="E25" s="10" t="s">
        <v>180</v>
      </c>
      <c r="F25" s="10" t="s">
        <v>180</v>
      </c>
      <c r="G25" s="10" t="s">
        <v>260</v>
      </c>
      <c r="H25">
        <f t="shared" si="1"/>
        <v>-28</v>
      </c>
    </row>
    <row r="26" spans="1:8" x14ac:dyDescent="0.25">
      <c r="A26" s="9" t="s">
        <v>265</v>
      </c>
      <c r="B26" s="9" t="str">
        <f t="shared" si="0"/>
        <v>SU004045</v>
      </c>
      <c r="C26" s="9" t="s">
        <v>266</v>
      </c>
      <c r="D26" s="10" t="s">
        <v>237</v>
      </c>
      <c r="E26" s="10" t="s">
        <v>180</v>
      </c>
      <c r="F26" s="10" t="s">
        <v>180</v>
      </c>
      <c r="G26" s="10" t="s">
        <v>238</v>
      </c>
      <c r="H26">
        <f t="shared" si="1"/>
        <v>-13</v>
      </c>
    </row>
    <row r="27" spans="1:8" x14ac:dyDescent="0.25">
      <c r="A27" s="25" t="s">
        <v>267</v>
      </c>
      <c r="B27" s="26"/>
      <c r="C27" s="27"/>
      <c r="D27" s="10" t="s">
        <v>268</v>
      </c>
      <c r="E27" s="10" t="s">
        <v>269</v>
      </c>
      <c r="F27" s="10" t="s">
        <v>270</v>
      </c>
      <c r="G27" s="10" t="s">
        <v>271</v>
      </c>
      <c r="H27">
        <f t="shared" si="1"/>
        <v>-1345</v>
      </c>
    </row>
  </sheetData>
  <mergeCells count="1">
    <mergeCell ref="A27:C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недогруз 24,08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2026-08-27T17:14:17Z</dcterms:created>
  <dcterms:modified xsi:type="dcterms:W3CDTF">2026-08-28T10:13:16Z</dcterms:modified>
</cp:coreProperties>
</file>