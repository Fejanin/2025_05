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FCECDBE-D86E-4C41-8B87-90528F7659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Y355" i="1" s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6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Y300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Y255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P243" i="1"/>
  <c r="BO243" i="1"/>
  <c r="BN243" i="1"/>
  <c r="BM243" i="1"/>
  <c r="Z243" i="1"/>
  <c r="Y243" i="1"/>
  <c r="Y249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BP185" i="1"/>
  <c r="BO185" i="1"/>
  <c r="BN185" i="1"/>
  <c r="BM185" i="1"/>
  <c r="Z185" i="1"/>
  <c r="Y185" i="1"/>
  <c r="P185" i="1"/>
  <c r="BO184" i="1"/>
  <c r="BM184" i="1"/>
  <c r="Y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9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F10" i="1" s="1"/>
  <c r="D7" i="1"/>
  <c r="Q6" i="1"/>
  <c r="P2" i="1"/>
  <c r="H9" i="1" l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3" i="1"/>
  <c r="Y178" i="1"/>
  <c r="BP175" i="1"/>
  <c r="BN175" i="1"/>
  <c r="Z175" i="1"/>
  <c r="Z177" i="1" s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Z295" i="1" s="1"/>
  <c r="Y296" i="1"/>
  <c r="BP288" i="1"/>
  <c r="BN288" i="1"/>
  <c r="Z288" i="1"/>
  <c r="BP292" i="1"/>
  <c r="BN292" i="1"/>
  <c r="Z292" i="1"/>
  <c r="BP305" i="1"/>
  <c r="BN305" i="1"/>
  <c r="Z305" i="1"/>
  <c r="Z311" i="1" s="1"/>
  <c r="Y311" i="1"/>
  <c r="BP309" i="1"/>
  <c r="BN309" i="1"/>
  <c r="Z309" i="1"/>
  <c r="BP348" i="1"/>
  <c r="BN348" i="1"/>
  <c r="Z348" i="1"/>
  <c r="BP398" i="1"/>
  <c r="BN398" i="1"/>
  <c r="Z398" i="1"/>
  <c r="Z401" i="1" s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F9" i="1"/>
  <c r="J9" i="1"/>
  <c r="Z22" i="1"/>
  <c r="Z24" i="1" s="1"/>
  <c r="BN22" i="1"/>
  <c r="BP22" i="1"/>
  <c r="X563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Z61" i="1" s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Z74" i="1" s="1"/>
  <c r="BN71" i="1"/>
  <c r="BP71" i="1"/>
  <c r="Z73" i="1"/>
  <c r="BN73" i="1"/>
  <c r="Z77" i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Z99" i="1" s="1"/>
  <c r="BN93" i="1"/>
  <c r="BP93" i="1"/>
  <c r="Z94" i="1"/>
  <c r="BN94" i="1"/>
  <c r="Z96" i="1"/>
  <c r="BN96" i="1"/>
  <c r="Z97" i="1"/>
  <c r="BN97" i="1"/>
  <c r="G569" i="1"/>
  <c r="Z104" i="1"/>
  <c r="Z111" i="1" s="1"/>
  <c r="BN104" i="1"/>
  <c r="Z106" i="1"/>
  <c r="BN106" i="1"/>
  <c r="Z108" i="1"/>
  <c r="BN108" i="1"/>
  <c r="Z109" i="1"/>
  <c r="BN109" i="1"/>
  <c r="Y112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Y172" i="1"/>
  <c r="Z170" i="1"/>
  <c r="Z172" i="1" s="1"/>
  <c r="BN170" i="1"/>
  <c r="BP171" i="1"/>
  <c r="BN171" i="1"/>
  <c r="Y177" i="1"/>
  <c r="BP181" i="1"/>
  <c r="BN181" i="1"/>
  <c r="Z181" i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BP244" i="1"/>
  <c r="BN244" i="1"/>
  <c r="Z244" i="1"/>
  <c r="Z248" i="1" s="1"/>
  <c r="Y248" i="1"/>
  <c r="Z254" i="1"/>
  <c r="BP252" i="1"/>
  <c r="BN252" i="1"/>
  <c r="Z252" i="1"/>
  <c r="Y269" i="1"/>
  <c r="BP273" i="1"/>
  <c r="BN273" i="1"/>
  <c r="Z273" i="1"/>
  <c r="BP277" i="1"/>
  <c r="BN277" i="1"/>
  <c r="Z277" i="1"/>
  <c r="BP330" i="1"/>
  <c r="BN330" i="1"/>
  <c r="Z330" i="1"/>
  <c r="Z334" i="1" s="1"/>
  <c r="P569" i="1"/>
  <c r="Y334" i="1"/>
  <c r="BP339" i="1"/>
  <c r="BN339" i="1"/>
  <c r="Z339" i="1"/>
  <c r="Z341" i="1" s="1"/>
  <c r="Y341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BP346" i="1"/>
  <c r="BN346" i="1"/>
  <c r="Z346" i="1"/>
  <c r="Z350" i="1" s="1"/>
  <c r="Y350" i="1"/>
  <c r="BP354" i="1"/>
  <c r="BN354" i="1"/>
  <c r="Z354" i="1"/>
  <c r="Z355" i="1" s="1"/>
  <c r="Y356" i="1"/>
  <c r="S569" i="1"/>
  <c r="Y362" i="1"/>
  <c r="BP359" i="1"/>
  <c r="BN359" i="1"/>
  <c r="Z359" i="1"/>
  <c r="Z362" i="1" s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Z407" i="1" s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Z439" i="1" s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Z483" i="1" s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529" i="1" l="1"/>
  <c r="Z472" i="1"/>
  <c r="Z451" i="1"/>
  <c r="Z280" i="1"/>
  <c r="Z218" i="1"/>
  <c r="Z134" i="1"/>
  <c r="Z81" i="1"/>
  <c r="Y559" i="1"/>
  <c r="Y561" i="1"/>
  <c r="Z413" i="1"/>
  <c r="Z240" i="1"/>
  <c r="Z513" i="1"/>
  <c r="Z499" i="1"/>
  <c r="Z381" i="1"/>
  <c r="Z371" i="1"/>
  <c r="Z192" i="1"/>
  <c r="Z564" i="1" s="1"/>
  <c r="Y560" i="1"/>
  <c r="Y562" i="1" s="1"/>
  <c r="Z198" i="1"/>
  <c r="Y563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<sst xmlns="http://schemas.openxmlformats.org/spreadsheetml/2006/main" count="2556" uniqueCount="916">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</sst>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4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139</v>
      </c>
      <c r="Y47" s="644">
        <f>IFERROR(IF(X47="",0,CEILING((X47/$H47),1)*$H47),"")</f>
        <v>140.4</v>
      </c>
      <c r="Z47" s="36">
        <f>IFERROR(IF(Y47=0,"",ROUNDUP(Y47/H47,0)*0.01898),"")</f>
        <v>0.24674000000000001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144.27685185185186</v>
      </c>
      <c r="BN47" s="64">
        <f>IFERROR(Y47*I47/H47,"0")</f>
        <v>145.73000000000002</v>
      </c>
      <c r="BO47" s="64">
        <f>IFERROR(1/J47*(X47/H47),"0")</f>
        <v>0.20109953703703703</v>
      </c>
      <c r="BP47" s="64">
        <f>IFERROR(1/J47*(Y47/H47),"0")</f>
        <v>0.203125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12.87037037037037</v>
      </c>
      <c r="Y51" s="645">
        <f>IFERROR(Y47/H47,"0")+IFERROR(Y48/H48,"0")+IFERROR(Y49/H49,"0")+IFERROR(Y50/H50,"0")</f>
        <v>13</v>
      </c>
      <c r="Z51" s="645">
        <f>IFERROR(IF(Z47="",0,Z47),"0")+IFERROR(IF(Z48="",0,Z48),"0")+IFERROR(IF(Z49="",0,Z49),"0")+IFERROR(IF(Z50="",0,Z50),"0")</f>
        <v>0.24674000000000001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139</v>
      </c>
      <c r="Y52" s="645">
        <f>IFERROR(SUM(Y47:Y50),"0")</f>
        <v>140.4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32</v>
      </c>
      <c r="Y60" s="644">
        <f t="shared" si="0"/>
        <v>36</v>
      </c>
      <c r="Z60" s="36">
        <f>IFERROR(IF(Y60=0,"",ROUNDUP(Y60/H60,0)*0.00902),"")</f>
        <v>7.2160000000000002E-2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33.351111111111116</v>
      </c>
      <c r="BN60" s="64">
        <f t="shared" si="2"/>
        <v>37.520000000000003</v>
      </c>
      <c r="BO60" s="64">
        <f t="shared" si="3"/>
        <v>5.387205387205387E-2</v>
      </c>
      <c r="BP60" s="64">
        <f t="shared" si="4"/>
        <v>6.0606060606060608E-2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7.1111111111111107</v>
      </c>
      <c r="Y61" s="645">
        <f>IFERROR(Y55/H55,"0")+IFERROR(Y56/H56,"0")+IFERROR(Y57/H57,"0")+IFERROR(Y58/H58,"0")+IFERROR(Y59/H59,"0")+IFERROR(Y60/H60,"0")</f>
        <v>8</v>
      </c>
      <c r="Z61" s="645">
        <f>IFERROR(IF(Z55="",0,Z55),"0")+IFERROR(IF(Z56="",0,Z56),"0")+IFERROR(IF(Z57="",0,Z57),"0")+IFERROR(IF(Z58="",0,Z58),"0")+IFERROR(IF(Z59="",0,Z59),"0")+IFERROR(IF(Z60="",0,Z60),"0")</f>
        <v>7.2160000000000002E-2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32</v>
      </c>
      <c r="Y62" s="645">
        <f>IFERROR(SUM(Y55:Y60),"0")</f>
        <v>36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108</v>
      </c>
      <c r="Y85" s="64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112.1</v>
      </c>
      <c r="BN85" s="64">
        <f>IFERROR(Y85*I85/H85,"0")</f>
        <v>112.1</v>
      </c>
      <c r="BO85" s="64">
        <f>IFERROR(1/J85*(X85/H85),"0")</f>
        <v>0.15625</v>
      </c>
      <c r="BP85" s="64">
        <f>IFERROR(1/J85*(Y85/H85),"0")</f>
        <v>0.15625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10</v>
      </c>
      <c r="Y90" s="645">
        <f>IFERROR(Y85/H85,"0")+IFERROR(Y86/H86,"0")+IFERROR(Y87/H87,"0")+IFERROR(Y88/H88,"0")+IFERROR(Y89/H89,"0")</f>
        <v>10</v>
      </c>
      <c r="Z90" s="645">
        <f>IFERROR(IF(Z85="",0,Z85),"0")+IFERROR(IF(Z86="",0,Z86),"0")+IFERROR(IF(Z87="",0,Z87),"0")+IFERROR(IF(Z88="",0,Z88),"0")+IFERROR(IF(Z89="",0,Z89),"0")</f>
        <v>0.1898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108</v>
      </c>
      <c r="Y91" s="645">
        <f>IFERROR(SUM(Y85:Y89),"0")</f>
        <v>108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200</v>
      </c>
      <c r="Y93" s="644">
        <f t="shared" ref="Y93:Y98" si="5"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212.19753086419755</v>
      </c>
      <c r="BN93" s="64">
        <f t="shared" ref="BN93:BN98" si="7">IFERROR(Y93*I93/H93,"0")</f>
        <v>214.85</v>
      </c>
      <c r="BO93" s="64">
        <f t="shared" ref="BO93:BO98" si="8">IFERROR(1/J93*(X93/H93),"0")</f>
        <v>0.38580246913580246</v>
      </c>
      <c r="BP93" s="64">
        <f t="shared" ref="BP93:BP98" si="9">IFERROR(1/J93*(Y93/H93),"0")</f>
        <v>0.390625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68</v>
      </c>
      <c r="Y96" s="644">
        <f t="shared" si="5"/>
        <v>70.2</v>
      </c>
      <c r="Z96" s="36">
        <f>IFERROR(IF(Y96=0,"",ROUNDUP(Y96/H96,0)*0.00651),"")</f>
        <v>0.16925999999999999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74.346666666666664</v>
      </c>
      <c r="BN96" s="64">
        <f t="shared" si="7"/>
        <v>76.751999999999995</v>
      </c>
      <c r="BO96" s="64">
        <f t="shared" si="8"/>
        <v>0.13838013838013838</v>
      </c>
      <c r="BP96" s="64">
        <f t="shared" si="9"/>
        <v>0.14285714285714288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49.876543209876544</v>
      </c>
      <c r="Y99" s="645">
        <f>IFERROR(Y93/H93,"0")+IFERROR(Y94/H94,"0")+IFERROR(Y95/H95,"0")+IFERROR(Y96/H96,"0")+IFERROR(Y97/H97,"0")+IFERROR(Y98/H98,"0")</f>
        <v>51</v>
      </c>
      <c r="Z99" s="645">
        <f>IFERROR(IF(Z93="",0,Z93),"0")+IFERROR(IF(Z94="",0,Z94),"0")+IFERROR(IF(Z95="",0,Z95),"0")+IFERROR(IF(Z96="",0,Z96),"0")+IFERROR(IF(Z97="",0,Z97),"0")+IFERROR(IF(Z98="",0,Z98),"0")</f>
        <v>0.64376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268</v>
      </c>
      <c r="Y100" s="645">
        <f>IFERROR(SUM(Y93:Y98),"0")</f>
        <v>272.7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162</v>
      </c>
      <c r="Y103" s="644">
        <f t="shared" ref="Y103:Y110" si="10">IFERROR(IF(X103="",0,CEILING((X103/$H103),1)*$H103),"")</f>
        <v>162</v>
      </c>
      <c r="Z103" s="36">
        <f>IFERROR(IF(Y103=0,"",ROUNDUP(Y103/H103,0)*0.01898),"")</f>
        <v>0.28470000000000001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168.15</v>
      </c>
      <c r="BN103" s="64">
        <f t="shared" ref="BN103:BN110" si="12">IFERROR(Y103*I103/H103,"0")</f>
        <v>168.15</v>
      </c>
      <c r="BO103" s="64">
        <f t="shared" ref="BO103:BO110" si="13">IFERROR(1/J103*(X103/H103),"0")</f>
        <v>0.23437499999999997</v>
      </c>
      <c r="BP103" s="64">
        <f t="shared" ref="BP103:BP110" si="14">IFERROR(1/J103*(Y103/H103),"0")</f>
        <v>0.23437499999999997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28</v>
      </c>
      <c r="Y108" s="644">
        <f t="shared" si="10"/>
        <v>31.5</v>
      </c>
      <c r="Z108" s="36">
        <f>IFERROR(IF(Y108=0,"",ROUNDUP(Y108/H108,0)*0.00902),"")</f>
        <v>6.3140000000000002E-2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29.182222222222226</v>
      </c>
      <c r="BN108" s="64">
        <f t="shared" si="12"/>
        <v>32.830000000000005</v>
      </c>
      <c r="BO108" s="64">
        <f t="shared" si="13"/>
        <v>4.7138047138047139E-2</v>
      </c>
      <c r="BP108" s="64">
        <f t="shared" si="14"/>
        <v>5.3030303030303032E-2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21.222222222222221</v>
      </c>
      <c r="Y111" s="645">
        <f>IFERROR(Y103/H103,"0")+IFERROR(Y104/H104,"0")+IFERROR(Y105/H105,"0")+IFERROR(Y106/H106,"0")+IFERROR(Y107/H107,"0")+IFERROR(Y108/H108,"0")+IFERROR(Y109/H109,"0")+IFERROR(Y110/H110,"0")</f>
        <v>22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0.34784000000000004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190</v>
      </c>
      <c r="Y112" s="645">
        <f>IFERROR(SUM(Y103:Y110),"0")</f>
        <v>193.5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80</v>
      </c>
      <c r="Y122" s="644">
        <f t="shared" ref="Y122:Y128" si="15">IFERROR(IF(X122="",0,CEILING((X122/$H122),1)*$H122),"")</f>
        <v>81</v>
      </c>
      <c r="Z122" s="36">
        <f>IFERROR(IF(Y122=0,"",ROUNDUP(Y122/H122,0)*0.01898),"")</f>
        <v>0.1898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84.819753086419752</v>
      </c>
      <c r="BN122" s="64">
        <f t="shared" ref="BN122:BN128" si="17">IFERROR(Y122*I122/H122,"0")</f>
        <v>85.88</v>
      </c>
      <c r="BO122" s="64">
        <f t="shared" ref="BO122:BO128" si="18">IFERROR(1/J122*(X122/H122),"0")</f>
        <v>0.15432098765432101</v>
      </c>
      <c r="BP122" s="64">
        <f t="shared" ref="BP122:BP128" si="19">IFERROR(1/J122*(Y122/H122),"0")</f>
        <v>0.15625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0</v>
      </c>
      <c r="Y125" s="644">
        <f t="shared" si="15"/>
        <v>0</v>
      </c>
      <c r="Z125" s="36" t="str">
        <f>IFERROR(IF(Y125=0,"",ROUNDUP(Y125/H125,0)*0.00651),"")</f>
        <v/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9.8765432098765444</v>
      </c>
      <c r="Y129" s="645">
        <f>IFERROR(Y122/H122,"0")+IFERROR(Y123/H123,"0")+IFERROR(Y124/H124,"0")+IFERROR(Y125/H125,"0")+IFERROR(Y126/H126,"0")+IFERROR(Y127/H127,"0")+IFERROR(Y128/H128,"0")</f>
        <v>10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80</v>
      </c>
      <c r="Y130" s="645">
        <f>IFERROR(SUM(Y122:Y128),"0")</f>
        <v>81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39</v>
      </c>
      <c r="Y138" s="644">
        <f>IFERROR(IF(X138="",0,CEILING((X138/$H138),1)*$H138),"")</f>
        <v>41.6</v>
      </c>
      <c r="Z138" s="36">
        <f>IFERROR(IF(Y138=0,"",ROUNDUP(Y138/H138,0)*0.00651),"")</f>
        <v>8.4629999999999997E-2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41.193749999999994</v>
      </c>
      <c r="BN138" s="64">
        <f>IFERROR(Y138*I138/H138,"0")</f>
        <v>43.94</v>
      </c>
      <c r="BO138" s="64">
        <f>IFERROR(1/J138*(X138/H138),"0")</f>
        <v>6.6964285714285726E-2</v>
      </c>
      <c r="BP138" s="64">
        <f>IFERROR(1/J138*(Y138/H138),"0")</f>
        <v>7.1428571428571438E-2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12.1875</v>
      </c>
      <c r="Y140" s="645">
        <f>IFERROR(Y138/H138,"0")+IFERROR(Y139/H139,"0")</f>
        <v>13</v>
      </c>
      <c r="Z140" s="645">
        <f>IFERROR(IF(Z138="",0,Z138),"0")+IFERROR(IF(Z139="",0,Z139),"0")</f>
        <v>8.4629999999999997E-2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39</v>
      </c>
      <c r="Y141" s="645">
        <f>IFERROR(SUM(Y138:Y139),"0")</f>
        <v>41.6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27</v>
      </c>
      <c r="Y148" s="644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29.740909090909085</v>
      </c>
      <c r="BN148" s="64">
        <f>IFERROR(Y148*I148/H148,"0")</f>
        <v>31.988000000000003</v>
      </c>
      <c r="BO148" s="64">
        <f>IFERROR(1/J148*(X148/H148),"0")</f>
        <v>5.6193806193806192E-2</v>
      </c>
      <c r="BP148" s="64">
        <f>IFERROR(1/J148*(Y148/H148),"0")</f>
        <v>6.0439560439560447E-2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10.227272727272727</v>
      </c>
      <c r="Y150" s="645">
        <f>IFERROR(Y148/H148,"0")+IFERROR(Y149/H149,"0")</f>
        <v>11</v>
      </c>
      <c r="Z150" s="645">
        <f>IFERROR(IF(Z148="",0,Z148),"0")+IFERROR(IF(Z149="",0,Z149),"0")</f>
        <v>7.1610000000000007E-2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27</v>
      </c>
      <c r="Y151" s="645">
        <f>IFERROR(SUM(Y148:Y149),"0")</f>
        <v>29.040000000000003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0</v>
      </c>
      <c r="Y237" s="644">
        <f t="shared" si="37"/>
        <v>0</v>
      </c>
      <c r="Z237" s="36" t="str">
        <f>IFERROR(IF(Y237=0,"",ROUNDUP(Y237/H237,0)*0.00502),"")</f>
        <v/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0</v>
      </c>
      <c r="Y241" s="645">
        <f>IFERROR(SUM(Y226:Y239),"0")</f>
        <v>0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80</v>
      </c>
      <c r="Y284" s="644">
        <f t="shared" si="48"/>
        <v>81</v>
      </c>
      <c r="Z284" s="36">
        <f>IFERROR(IF(Y284=0,"",ROUNDUP(Y284/H284,0)*0.01898),"")</f>
        <v>0.1898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84.701234567901238</v>
      </c>
      <c r="BN284" s="64">
        <f t="shared" si="50"/>
        <v>85.76</v>
      </c>
      <c r="BO284" s="64">
        <f t="shared" si="51"/>
        <v>0.15432098765432101</v>
      </c>
      <c r="BP284" s="64">
        <f t="shared" si="52"/>
        <v>0.15625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64</v>
      </c>
      <c r="Y286" s="644">
        <f t="shared" si="4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71.2</v>
      </c>
      <c r="BN286" s="64">
        <f t="shared" si="50"/>
        <v>72.09</v>
      </c>
      <c r="BO286" s="64">
        <f t="shared" si="51"/>
        <v>0.14652014652014653</v>
      </c>
      <c r="BP286" s="64">
        <f t="shared" si="52"/>
        <v>0.14835164835164835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0</v>
      </c>
      <c r="Y289" s="644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36.543209876543216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37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0.36557000000000001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144</v>
      </c>
      <c r="Y296" s="645">
        <f>IFERROR(SUM(Y283:Y294),"0")</f>
        <v>145.80000000000001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99</v>
      </c>
      <c r="Y360" s="644">
        <f>IFERROR(IF(X360="",0,CEILING((X360/$H360),1)*$H360),"")</f>
        <v>101.39999999999999</v>
      </c>
      <c r="Z360" s="36">
        <f>IFERROR(IF(Y360=0,"",ROUNDUP(Y360/H360,0)*0.01898),"")</f>
        <v>0.24674000000000001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104.20384615384617</v>
      </c>
      <c r="BN360" s="64">
        <f>IFERROR(Y360*I360/H360,"0")</f>
        <v>106.73</v>
      </c>
      <c r="BO360" s="64">
        <f>IFERROR(1/J360*(X360/H360),"0")</f>
        <v>0.19831730769230771</v>
      </c>
      <c r="BP360" s="64">
        <f>IFERROR(1/J360*(Y360/H360),"0")</f>
        <v>0.203125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12.692307692307693</v>
      </c>
      <c r="Y362" s="645">
        <f>IFERROR(Y359/H359,"0")+IFERROR(Y360/H360,"0")+IFERROR(Y361/H361,"0")</f>
        <v>13</v>
      </c>
      <c r="Z362" s="645">
        <f>IFERROR(IF(Z359="",0,Z359),"0")+IFERROR(IF(Z360="",0,Z360),"0")+IFERROR(IF(Z361="",0,Z361),"0")</f>
        <v>0.24674000000000001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99</v>
      </c>
      <c r="Y363" s="645">
        <f>IFERROR(SUM(Y359:Y361),"0")</f>
        <v>101.39999999999999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102</v>
      </c>
      <c r="Y391" s="644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107.99857142857142</v>
      </c>
      <c r="BN391" s="64">
        <f>IFERROR(Y391*I391/H391,"0")</f>
        <v>115.622</v>
      </c>
      <c r="BO391" s="64">
        <f>IFERROR(1/J391*(X391/H391),"0")</f>
        <v>0.18973214285714285</v>
      </c>
      <c r="BP391" s="64">
        <f>IFERROR(1/J391*(Y391/H391),"0")</f>
        <v>0.203125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112</v>
      </c>
      <c r="Y392" s="644">
        <f>IFERROR(IF(X392="",0,CEILING((X392/$H392),1)*$H392),"")</f>
        <v>117</v>
      </c>
      <c r="Z392" s="36">
        <f>IFERROR(IF(Y392=0,"",ROUNDUP(Y392/H392,0)*0.01898),"")</f>
        <v>0.28470000000000001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119.09333333333335</v>
      </c>
      <c r="BN392" s="64">
        <f>IFERROR(Y392*I392/H392,"0")</f>
        <v>124.41000000000001</v>
      </c>
      <c r="BO392" s="64">
        <f>IFERROR(1/J392*(X392/H392),"0")</f>
        <v>0.22435897435897437</v>
      </c>
      <c r="BP392" s="64">
        <f>IFERROR(1/J392*(Y392/H392),"0")</f>
        <v>0.234375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26.501831501831504</v>
      </c>
      <c r="Y394" s="645">
        <f>IFERROR(Y391/H391,"0")+IFERROR(Y392/H392,"0")+IFERROR(Y393/H393,"0")</f>
        <v>28</v>
      </c>
      <c r="Z394" s="645">
        <f>IFERROR(IF(Z391="",0,Z391),"0")+IFERROR(IF(Z392="",0,Z392),"0")+IFERROR(IF(Z393="",0,Z393),"0")</f>
        <v>0.53144000000000002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214</v>
      </c>
      <c r="Y395" s="645">
        <f>IFERROR(SUM(Y391:Y393),"0")</f>
        <v>226.2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40</v>
      </c>
      <c r="Y404" s="644">
        <f>IFERROR(IF(X404="",0,CEILING((X404/$H404),1)*$H404),"")</f>
        <v>40</v>
      </c>
      <c r="Z404" s="36">
        <f>IFERROR(IF(Y404=0,"",ROUNDUP(Y404/H404,0)*0.00474),"")</f>
        <v>9.4800000000000009E-2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44.800000000000004</v>
      </c>
      <c r="BN404" s="64">
        <f>IFERROR(Y404*I404/H404,"0")</f>
        <v>44.800000000000004</v>
      </c>
      <c r="BO404" s="64">
        <f>IFERROR(1/J404*(X404/H404),"0")</f>
        <v>8.4033613445378144E-2</v>
      </c>
      <c r="BP404" s="64">
        <f>IFERROR(1/J404*(Y404/H404),"0")</f>
        <v>8.4033613445378144E-2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30</v>
      </c>
      <c r="Y405" s="644">
        <f>IFERROR(IF(X405="",0,CEILING((X405/$H405),1)*$H405),"")</f>
        <v>30</v>
      </c>
      <c r="Z405" s="36">
        <f>IFERROR(IF(Y405=0,"",ROUNDUP(Y405/H405,0)*0.00474),"")</f>
        <v>7.110000000000001E-2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33.6</v>
      </c>
      <c r="BN405" s="64">
        <f>IFERROR(Y405*I405/H405,"0")</f>
        <v>33.6</v>
      </c>
      <c r="BO405" s="64">
        <f>IFERROR(1/J405*(X405/H405),"0")</f>
        <v>6.3025210084033612E-2</v>
      </c>
      <c r="BP405" s="64">
        <f>IFERROR(1/J405*(Y405/H405),"0")</f>
        <v>6.3025210084033612E-2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27</v>
      </c>
      <c r="Y406" s="644">
        <f>IFERROR(IF(X406="",0,CEILING((X406/$H406),1)*$H406),"")</f>
        <v>28</v>
      </c>
      <c r="Z406" s="36">
        <f>IFERROR(IF(Y406=0,"",ROUNDUP(Y406/H406,0)*0.00474),"")</f>
        <v>6.6360000000000002E-2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30.240000000000002</v>
      </c>
      <c r="BN406" s="64">
        <f>IFERROR(Y406*I406/H406,"0")</f>
        <v>31.360000000000003</v>
      </c>
      <c r="BO406" s="64">
        <f>IFERROR(1/J406*(X406/H406),"0")</f>
        <v>5.6722689075630252E-2</v>
      </c>
      <c r="BP406" s="64">
        <f>IFERROR(1/J406*(Y406/H406),"0")</f>
        <v>5.8823529411764705E-2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48.5</v>
      </c>
      <c r="Y407" s="645">
        <f>IFERROR(Y404/H404,"0")+IFERROR(Y405/H405,"0")+IFERROR(Y406/H406,"0")</f>
        <v>49</v>
      </c>
      <c r="Z407" s="645">
        <f>IFERROR(IF(Z404="",0,Z404),"0")+IFERROR(IF(Z405="",0,Z405),"0")+IFERROR(IF(Z406="",0,Z406),"0")</f>
        <v>0.23226000000000002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97</v>
      </c>
      <c r="Y408" s="645">
        <f>IFERROR(SUM(Y404:Y406),"0")</f>
        <v>98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13</v>
      </c>
      <c r="Y412" s="644">
        <f>IFERROR(IF(X412="",0,CEILING((X412/$H412),1)*$H412),"")</f>
        <v>15</v>
      </c>
      <c r="Z412" s="36">
        <f>IFERROR(IF(Y412=0,"",ROUNDUP(Y412/H412,0)*0.0045),"")</f>
        <v>2.2499999999999999E-2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13.953333333333333</v>
      </c>
      <c r="BN412" s="64">
        <f>IFERROR(Y412*I412/H412,"0")</f>
        <v>16.100000000000001</v>
      </c>
      <c r="BO412" s="64">
        <f>IFERROR(1/J412*(X412/H412),"0")</f>
        <v>1.9345238095238092E-2</v>
      </c>
      <c r="BP412" s="64">
        <f>IFERROR(1/J412*(Y412/H412),"0")</f>
        <v>2.2321428571428568E-2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4.333333333333333</v>
      </c>
      <c r="Y413" s="645">
        <f>IFERROR(Y410/H410,"0")+IFERROR(Y411/H411,"0")+IFERROR(Y412/H412,"0")</f>
        <v>5</v>
      </c>
      <c r="Z413" s="645">
        <f>IFERROR(IF(Z410="",0,Z410),"0")+IFERROR(IF(Z411="",0,Z411),"0")+IFERROR(IF(Z412="",0,Z412),"0")</f>
        <v>2.2499999999999999E-2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13</v>
      </c>
      <c r="Y414" s="645">
        <f>IFERROR(SUM(Y410:Y412),"0")</f>
        <v>15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400</v>
      </c>
      <c r="Y432" s="644">
        <f t="shared" si="63"/>
        <v>405</v>
      </c>
      <c r="Z432" s="36">
        <f>IFERROR(IF(Y432=0,"",ROUNDUP(Y432/H432,0)*0.02175),"")</f>
        <v>0.58724999999999994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412.53333333333336</v>
      </c>
      <c r="BN432" s="64">
        <f t="shared" si="65"/>
        <v>417.69</v>
      </c>
      <c r="BO432" s="64">
        <f t="shared" si="66"/>
        <v>0.55555555555555558</v>
      </c>
      <c r="BP432" s="64">
        <f t="shared" si="67"/>
        <v>0.5625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684</v>
      </c>
      <c r="Y433" s="644">
        <f t="shared" si="63"/>
        <v>690</v>
      </c>
      <c r="Z433" s="36">
        <f>IFERROR(IF(Y433=0,"",ROUNDUP(Y433/H433,0)*0.02175),"")</f>
        <v>1.0004999999999999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705.43200000000002</v>
      </c>
      <c r="BN433" s="64">
        <f t="shared" si="65"/>
        <v>711.62000000000012</v>
      </c>
      <c r="BO433" s="64">
        <f t="shared" si="66"/>
        <v>0.95</v>
      </c>
      <c r="BP433" s="64">
        <f t="shared" si="67"/>
        <v>0.95833333333333326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250</v>
      </c>
      <c r="Y434" s="644">
        <f t="shared" si="63"/>
        <v>255</v>
      </c>
      <c r="Z434" s="36">
        <f>IFERROR(IF(Y434=0,"",ROUNDUP(Y434/H434,0)*0.02175),"")</f>
        <v>0.36974999999999997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257.83333333333331</v>
      </c>
      <c r="BN434" s="64">
        <f t="shared" si="65"/>
        <v>262.99</v>
      </c>
      <c r="BO434" s="64">
        <f t="shared" si="66"/>
        <v>0.34722222222222221</v>
      </c>
      <c r="BP434" s="64">
        <f t="shared" si="67"/>
        <v>0.35416666666666663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88.933333333333337</v>
      </c>
      <c r="Y439" s="645">
        <f>IFERROR(Y431/H431,"0")+IFERROR(Y432/H432,"0")+IFERROR(Y433/H433,"0")+IFERROR(Y434/H434,"0")+IFERROR(Y435/H435,"0")+IFERROR(Y436/H436,"0")+IFERROR(Y437/H437,"0")+IFERROR(Y438/H438,"0")</f>
        <v>90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1.9574999999999998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1334</v>
      </c>
      <c r="Y440" s="645">
        <f>IFERROR(SUM(Y431:Y438),"0")</f>
        <v>1350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600</v>
      </c>
      <c r="Y442" s="644">
        <f>IFERROR(IF(X442="",0,CEILING((X442/$H442),1)*$H442),"")</f>
        <v>600</v>
      </c>
      <c r="Z442" s="36">
        <f>IFERROR(IF(Y442=0,"",ROUNDUP(Y442/H442,0)*0.02175),"")</f>
        <v>0.86999999999999988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618.79999999999995</v>
      </c>
      <c r="BN442" s="64">
        <f>IFERROR(Y442*I442/H442,"0")</f>
        <v>618.79999999999995</v>
      </c>
      <c r="BO442" s="64">
        <f>IFERROR(1/J442*(X442/H442),"0")</f>
        <v>0.83333333333333326</v>
      </c>
      <c r="BP442" s="64">
        <f>IFERROR(1/J442*(Y442/H442),"0")</f>
        <v>0.83333333333333326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40</v>
      </c>
      <c r="Y445" s="645">
        <f>IFERROR(Y442/H442,"0")+IFERROR(Y443/H443,"0")+IFERROR(Y444/H444,"0")</f>
        <v>40</v>
      </c>
      <c r="Z445" s="645">
        <f>IFERROR(IF(Z442="",0,Z442),"0")+IFERROR(IF(Z443="",0,Z443),"0")+IFERROR(IF(Z444="",0,Z444),"0")</f>
        <v>0.86999999999999988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600</v>
      </c>
      <c r="Y446" s="645">
        <f>IFERROR(SUM(Y442:Y444),"0")</f>
        <v>600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0</v>
      </c>
      <c r="Y472" s="645">
        <f>IFERROR(Y469/H469,"0")+IFERROR(Y470/H470,"0")+IFERROR(Y471/H471,"0")</f>
        <v>0</v>
      </c>
      <c r="Z472" s="645">
        <f>IFERROR(IF(Z469="",0,Z469),"0")+IFERROR(IF(Z470="",0,Z470),"0")+IFERROR(IF(Z471="",0,Z471),"0")</f>
        <v>0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0</v>
      </c>
      <c r="Y473" s="645">
        <f>IFERROR(SUM(Y469:Y471),"0")</f>
        <v>0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100</v>
      </c>
      <c r="Y509" s="644">
        <f t="shared" si="73"/>
        <v>100.32000000000001</v>
      </c>
      <c r="Z509" s="36">
        <f t="shared" si="74"/>
        <v>0.22724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106.62878787878788</v>
      </c>
      <c r="BN509" s="64">
        <f t="shared" si="76"/>
        <v>106.97</v>
      </c>
      <c r="BO509" s="64">
        <f t="shared" si="77"/>
        <v>0.18210955710955709</v>
      </c>
      <c r="BP509" s="64">
        <f t="shared" si="78"/>
        <v>0.18269230769230771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18.939393939393938</v>
      </c>
      <c r="Y513" s="645">
        <f>IFERROR(Y504/H504,"0")+IFERROR(Y505/H505,"0")+IFERROR(Y506/H506,"0")+IFERROR(Y507/H507,"0")+IFERROR(Y508/H508,"0")+IFERROR(Y509/H509,"0")+IFERROR(Y510/H510,"0")+IFERROR(Y511/H511,"0")+IFERROR(Y512/H512,"0")</f>
        <v>19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0.22724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100</v>
      </c>
      <c r="Y514" s="645">
        <f>IFERROR(SUM(Y504:Y512),"0")</f>
        <v>100.32000000000001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80</v>
      </c>
      <c r="Y516" s="644">
        <f>IFERROR(IF(X516="",0,CEILING((X516/$H516),1)*$H516),"")</f>
        <v>84.48</v>
      </c>
      <c r="Z516" s="36">
        <f>IFERROR(IF(Y516=0,"",ROUNDUP(Y516/H516,0)*0.01196),"")</f>
        <v>0.19136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85.303030303030297</v>
      </c>
      <c r="BN516" s="64">
        <f>IFERROR(Y516*I516/H516,"0")</f>
        <v>90.08</v>
      </c>
      <c r="BO516" s="64">
        <f>IFERROR(1/J516*(X516/H516),"0")</f>
        <v>0.14568764568764569</v>
      </c>
      <c r="BP516" s="64">
        <f>IFERROR(1/J516*(Y516/H516),"0")</f>
        <v>0.15384615384615385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15.15151515151515</v>
      </c>
      <c r="Y519" s="645">
        <f>IFERROR(Y516/H516,"0")+IFERROR(Y517/H517,"0")+IFERROR(Y518/H518,"0")</f>
        <v>16</v>
      </c>
      <c r="Z519" s="645">
        <f>IFERROR(IF(Z516="",0,Z516),"0")+IFERROR(IF(Z517="",0,Z517),"0")+IFERROR(IF(Z518="",0,Z518),"0")</f>
        <v>0.19136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80</v>
      </c>
      <c r="Y520" s="645">
        <f>IFERROR(SUM(Y516:Y518),"0")</f>
        <v>84.48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0</v>
      </c>
      <c r="Y524" s="644">
        <f t="shared" si="79"/>
        <v>0</v>
      </c>
      <c r="Z524" s="36" t="str">
        <f>IFERROR(IF(Y524=0,"",ROUNDUP(Y524/H524,0)*0.01196),"")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0</v>
      </c>
      <c r="BN524" s="64">
        <f t="shared" si="81"/>
        <v>0</v>
      </c>
      <c r="BO524" s="64">
        <f t="shared" si="82"/>
        <v>0</v>
      </c>
      <c r="BP524" s="64">
        <f t="shared" si="83"/>
        <v>0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0</v>
      </c>
      <c r="Y529" s="645">
        <f>IFERROR(Y522/H522,"0")+IFERROR(Y523/H523,"0")+IFERROR(Y524/H524,"0")+IFERROR(Y525/H525,"0")+IFERROR(Y526/H526,"0")+IFERROR(Y527/H527,"0")+IFERROR(Y528/H528,"0")</f>
        <v>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0</v>
      </c>
      <c r="Y530" s="645">
        <f>IFERROR(SUM(Y522:Y528),"0")</f>
        <v>0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3564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3623.4400000000005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3725.6795985588483</v>
      </c>
      <c r="Y560" s="645">
        <f>IFERROR(SUM(BN22:BN556),"0")</f>
        <v>3788.3619999999996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6</v>
      </c>
      <c r="Y561" s="38">
        <f>ROUNDUP(SUM(BP22:BP556),0)</f>
        <v>6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3875.6795985588483</v>
      </c>
      <c r="Y562" s="645">
        <f>GrossWeightTotalR+PalletQtyTotalR*25</f>
        <v>3938.3619999999996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424.96648767898768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435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6.4909500000000007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140.4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36</v>
      </c>
      <c r="F569" s="46">
        <f>IFERROR(Y85*1,"0")+IFERROR(Y86*1,"0")+IFERROR(Y87*1,"0")+IFERROR(Y88*1,"0")+IFERROR(Y89*1,"0")+IFERROR(Y93*1,"0")+IFERROR(Y94*1,"0")+IFERROR(Y95*1,"0")+IFERROR(Y96*1,"0")+IFERROR(Y97*1,"0")+IFERROR(Y98*1,"0")</f>
        <v>380.7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274.5</v>
      </c>
      <c r="H569" s="46">
        <f>IFERROR(Y138*1,"0")+IFERROR(Y139*1,"0")+IFERROR(Y143*1,"0")+IFERROR(Y144*1,"0")+IFERROR(Y148*1,"0")+IFERROR(Y149*1,"0")</f>
        <v>70.64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145.80000000000001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101.39999999999999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339.2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1950</v>
      </c>
      <c r="X569" s="46">
        <f>IFERROR(Y460*1,"0")+IFERROR(Y461*1,"0")+IFERROR(Y465*1,"0")+IFERROR(Y469*1,"0")+IFERROR(Y470*1,"0")+IFERROR(Y471*1,"0")</f>
        <v>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184.8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