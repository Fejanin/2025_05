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3FDD625-C5C2-4B60-A9BD-FEC6BFC3DA6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8" i="1" l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Y493" i="1"/>
  <c r="X493" i="1"/>
  <c r="BP492" i="1"/>
  <c r="BO492" i="1"/>
  <c r="BN492" i="1"/>
  <c r="BM492" i="1"/>
  <c r="Z492" i="1"/>
  <c r="Z493" i="1" s="1"/>
  <c r="Y492" i="1"/>
  <c r="Y494" i="1" s="1"/>
  <c r="P492" i="1"/>
  <c r="X489" i="1"/>
  <c r="Y488" i="1"/>
  <c r="X488" i="1"/>
  <c r="BP487" i="1"/>
  <c r="BO487" i="1"/>
  <c r="BN487" i="1"/>
  <c r="BM487" i="1"/>
  <c r="Z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Y472" i="1" s="1"/>
  <c r="P470" i="1"/>
  <c r="BP469" i="1"/>
  <c r="BO469" i="1"/>
  <c r="BN469" i="1"/>
  <c r="BM469" i="1"/>
  <c r="Z469" i="1"/>
  <c r="Y469" i="1"/>
  <c r="P469" i="1"/>
  <c r="X467" i="1"/>
  <c r="Y466" i="1"/>
  <c r="X466" i="1"/>
  <c r="BP465" i="1"/>
  <c r="BO465" i="1"/>
  <c r="BN465" i="1"/>
  <c r="BM465" i="1"/>
  <c r="Z465" i="1"/>
  <c r="Z466" i="1" s="1"/>
  <c r="Y465" i="1"/>
  <c r="Y467" i="1" s="1"/>
  <c r="P465" i="1"/>
  <c r="X463" i="1"/>
  <c r="Y462" i="1"/>
  <c r="X462" i="1"/>
  <c r="BP461" i="1"/>
  <c r="BO461" i="1"/>
  <c r="BN461" i="1"/>
  <c r="BM461" i="1"/>
  <c r="Z461" i="1"/>
  <c r="Y461" i="1"/>
  <c r="P461" i="1"/>
  <c r="BO460" i="1"/>
  <c r="BM460" i="1"/>
  <c r="Y460" i="1"/>
  <c r="P460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Y456" i="1" s="1"/>
  <c r="P454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Y451" i="1" s="1"/>
  <c r="P449" i="1"/>
  <c r="BP448" i="1"/>
  <c r="BO448" i="1"/>
  <c r="BN448" i="1"/>
  <c r="BM448" i="1"/>
  <c r="Z448" i="1"/>
  <c r="Y448" i="1"/>
  <c r="P448" i="1"/>
  <c r="X446" i="1"/>
  <c r="Y445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Y446" i="1" s="1"/>
  <c r="P442" i="1"/>
  <c r="X440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Y427" i="1" s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X414" i="1"/>
  <c r="Y413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Y414" i="1" s="1"/>
  <c r="P410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Y407" i="1" s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Y389" i="1" s="1"/>
  <c r="P385" i="1"/>
  <c r="BP384" i="1"/>
  <c r="BO384" i="1"/>
  <c r="BN384" i="1"/>
  <c r="BM384" i="1"/>
  <c r="Z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BP374" i="1"/>
  <c r="BO374" i="1"/>
  <c r="BN374" i="1"/>
  <c r="BM374" i="1"/>
  <c r="Z374" i="1"/>
  <c r="Y374" i="1"/>
  <c r="Y382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T569" i="1" s="1"/>
  <c r="P366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Y362" i="1" s="1"/>
  <c r="P360" i="1"/>
  <c r="BP359" i="1"/>
  <c r="BO359" i="1"/>
  <c r="BN359" i="1"/>
  <c r="BM359" i="1"/>
  <c r="Z359" i="1"/>
  <c r="Y359" i="1"/>
  <c r="P359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Y342" i="1" s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Z331" i="1" s="1"/>
  <c r="P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P322" i="1"/>
  <c r="BO322" i="1"/>
  <c r="BN322" i="1"/>
  <c r="BM322" i="1"/>
  <c r="Z322" i="1"/>
  <c r="Y322" i="1"/>
  <c r="Y326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Y315" i="1"/>
  <c r="X315" i="1"/>
  <c r="BP314" i="1"/>
  <c r="BO314" i="1"/>
  <c r="BN314" i="1"/>
  <c r="BM314" i="1"/>
  <c r="Z314" i="1"/>
  <c r="Z315" i="1" s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Y301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P283" i="1"/>
  <c r="BO283" i="1"/>
  <c r="BN283" i="1"/>
  <c r="BM283" i="1"/>
  <c r="Z283" i="1"/>
  <c r="Y283" i="1"/>
  <c r="Y29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Y281" i="1" s="1"/>
  <c r="P272" i="1"/>
  <c r="X270" i="1"/>
  <c r="X269" i="1"/>
  <c r="BO268" i="1"/>
  <c r="BM268" i="1"/>
  <c r="Y268" i="1"/>
  <c r="BP268" i="1" s="1"/>
  <c r="P268" i="1"/>
  <c r="BP267" i="1"/>
  <c r="BO267" i="1"/>
  <c r="BN267" i="1"/>
  <c r="BM267" i="1"/>
  <c r="Z267" i="1"/>
  <c r="Y267" i="1"/>
  <c r="Y269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M569" i="1" s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Y254" i="1" s="1"/>
  <c r="P251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BP245" i="1" s="1"/>
  <c r="P245" i="1"/>
  <c r="BP244" i="1"/>
  <c r="BO244" i="1"/>
  <c r="BN244" i="1"/>
  <c r="BM244" i="1"/>
  <c r="Z244" i="1"/>
  <c r="Y244" i="1"/>
  <c r="P244" i="1"/>
  <c r="BO243" i="1"/>
  <c r="BM243" i="1"/>
  <c r="Y243" i="1"/>
  <c r="Y248" i="1" s="1"/>
  <c r="P243" i="1"/>
  <c r="X241" i="1"/>
  <c r="X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Y240" i="1" s="1"/>
  <c r="P226" i="1"/>
  <c r="X224" i="1"/>
  <c r="Y223" i="1"/>
  <c r="X223" i="1"/>
  <c r="BP222" i="1"/>
  <c r="BO222" i="1"/>
  <c r="BN222" i="1"/>
  <c r="BM222" i="1"/>
  <c r="Z222" i="1"/>
  <c r="Z223" i="1" s="1"/>
  <c r="Y222" i="1"/>
  <c r="P222" i="1"/>
  <c r="X219" i="1"/>
  <c r="X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Y202" i="1"/>
  <c r="X202" i="1"/>
  <c r="BP201" i="1"/>
  <c r="BO201" i="1"/>
  <c r="BN201" i="1"/>
  <c r="BM201" i="1"/>
  <c r="Z201" i="1"/>
  <c r="Z202" i="1" s="1"/>
  <c r="Y201" i="1"/>
  <c r="Y203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199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BP190" i="1" s="1"/>
  <c r="P190" i="1"/>
  <c r="BP189" i="1"/>
  <c r="BO189" i="1"/>
  <c r="BN189" i="1"/>
  <c r="BM189" i="1"/>
  <c r="Z189" i="1"/>
  <c r="Y189" i="1"/>
  <c r="P189" i="1"/>
  <c r="BO188" i="1"/>
  <c r="BM188" i="1"/>
  <c r="Y188" i="1"/>
  <c r="BP188" i="1" s="1"/>
  <c r="P188" i="1"/>
  <c r="BP187" i="1"/>
  <c r="BO187" i="1"/>
  <c r="BN187" i="1"/>
  <c r="BM187" i="1"/>
  <c r="Z187" i="1"/>
  <c r="Y187" i="1"/>
  <c r="P187" i="1"/>
  <c r="BO186" i="1"/>
  <c r="BM186" i="1"/>
  <c r="Y186" i="1"/>
  <c r="BP186" i="1" s="1"/>
  <c r="BO185" i="1"/>
  <c r="BM185" i="1"/>
  <c r="Y185" i="1"/>
  <c r="BP185" i="1" s="1"/>
  <c r="P185" i="1"/>
  <c r="BP184" i="1"/>
  <c r="BO184" i="1"/>
  <c r="BN184" i="1"/>
  <c r="BM184" i="1"/>
  <c r="Z184" i="1"/>
  <c r="Y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Y193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Y17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H569" i="1" s="1"/>
  <c r="P138" i="1"/>
  <c r="X135" i="1"/>
  <c r="X134" i="1"/>
  <c r="BO133" i="1"/>
  <c r="BM133" i="1"/>
  <c r="Y133" i="1"/>
  <c r="BP133" i="1" s="1"/>
  <c r="BO132" i="1"/>
  <c r="BM132" i="1"/>
  <c r="Y132" i="1"/>
  <c r="Y134" i="1" s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Y129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20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0" i="1" s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P78" i="1"/>
  <c r="BO78" i="1"/>
  <c r="BN78" i="1"/>
  <c r="BM78" i="1"/>
  <c r="Z78" i="1"/>
  <c r="Y78" i="1"/>
  <c r="P78" i="1"/>
  <c r="BO77" i="1"/>
  <c r="BM77" i="1"/>
  <c r="Y77" i="1"/>
  <c r="P77" i="1"/>
  <c r="X75" i="1"/>
  <c r="X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BP64" i="1"/>
  <c r="BO64" i="1"/>
  <c r="BN64" i="1"/>
  <c r="BM64" i="1"/>
  <c r="Z64" i="1"/>
  <c r="Y64" i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P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P50" i="1"/>
  <c r="BP49" i="1"/>
  <c r="BO49" i="1"/>
  <c r="BN49" i="1"/>
  <c r="BM49" i="1"/>
  <c r="Z49" i="1"/>
  <c r="Y49" i="1"/>
  <c r="P49" i="1"/>
  <c r="BO48" i="1"/>
  <c r="BM48" i="1"/>
  <c r="Y48" i="1"/>
  <c r="Y52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P40" i="1"/>
  <c r="BP39" i="1"/>
  <c r="BO39" i="1"/>
  <c r="BN39" i="1"/>
  <c r="BM39" i="1"/>
  <c r="Z39" i="1"/>
  <c r="Y39" i="1"/>
  <c r="P39" i="1"/>
  <c r="BO38" i="1"/>
  <c r="BM38" i="1"/>
  <c r="Y38" i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X559" i="1" s="1"/>
  <c r="Y24" i="1"/>
  <c r="X24" i="1"/>
  <c r="BP23" i="1"/>
  <c r="BO23" i="1"/>
  <c r="BN23" i="1"/>
  <c r="BM23" i="1"/>
  <c r="Z23" i="1"/>
  <c r="Y23" i="1"/>
  <c r="P23" i="1"/>
  <c r="BO22" i="1"/>
  <c r="BM22" i="1"/>
  <c r="X560" i="1" s="1"/>
  <c r="Y22" i="1"/>
  <c r="P22" i="1"/>
  <c r="H10" i="1"/>
  <c r="A9" i="1"/>
  <c r="D7" i="1"/>
  <c r="Q6" i="1"/>
  <c r="P2" i="1"/>
  <c r="F10" i="1" l="1"/>
  <c r="J9" i="1"/>
  <c r="H9" i="1"/>
  <c r="B569" i="1"/>
  <c r="Y25" i="1"/>
  <c r="BP22" i="1"/>
  <c r="BN22" i="1"/>
  <c r="Z22" i="1"/>
  <c r="Z24" i="1" s="1"/>
  <c r="X561" i="1"/>
  <c r="Y33" i="1"/>
  <c r="BP30" i="1"/>
  <c r="BN30" i="1"/>
  <c r="Z30" i="1"/>
  <c r="BP40" i="1"/>
  <c r="BN40" i="1"/>
  <c r="Z40" i="1"/>
  <c r="BP50" i="1"/>
  <c r="BN50" i="1"/>
  <c r="Z50" i="1"/>
  <c r="E569" i="1"/>
  <c r="Y62" i="1"/>
  <c r="BP55" i="1"/>
  <c r="BN55" i="1"/>
  <c r="Z55" i="1"/>
  <c r="BP59" i="1"/>
  <c r="BN59" i="1"/>
  <c r="Z59" i="1"/>
  <c r="Y68" i="1"/>
  <c r="BP67" i="1"/>
  <c r="BN67" i="1"/>
  <c r="Z67" i="1"/>
  <c r="Y74" i="1"/>
  <c r="BP71" i="1"/>
  <c r="BN71" i="1"/>
  <c r="Z71" i="1"/>
  <c r="BP79" i="1"/>
  <c r="BN79" i="1"/>
  <c r="Z79" i="1"/>
  <c r="BP87" i="1"/>
  <c r="BN87" i="1"/>
  <c r="Z87" i="1"/>
  <c r="F9" i="1"/>
  <c r="A10" i="1"/>
  <c r="X562" i="1"/>
  <c r="Z32" i="1"/>
  <c r="BP28" i="1"/>
  <c r="BN28" i="1"/>
  <c r="Z28" i="1"/>
  <c r="Y32" i="1"/>
  <c r="Y563" i="1" s="1"/>
  <c r="BP38" i="1"/>
  <c r="BN38" i="1"/>
  <c r="Z38" i="1"/>
  <c r="Z42" i="1" s="1"/>
  <c r="Y42" i="1"/>
  <c r="BP48" i="1"/>
  <c r="BN48" i="1"/>
  <c r="Z48" i="1"/>
  <c r="Z51" i="1" s="1"/>
  <c r="BP57" i="1"/>
  <c r="BN57" i="1"/>
  <c r="Z57" i="1"/>
  <c r="Y61" i="1"/>
  <c r="BP65" i="1"/>
  <c r="BN65" i="1"/>
  <c r="Z65" i="1"/>
  <c r="Z68" i="1" s="1"/>
  <c r="BP73" i="1"/>
  <c r="BN73" i="1"/>
  <c r="Z73" i="1"/>
  <c r="Y75" i="1"/>
  <c r="Y82" i="1"/>
  <c r="BP77" i="1"/>
  <c r="BN77" i="1"/>
  <c r="Z77" i="1"/>
  <c r="Z81" i="1" s="1"/>
  <c r="Y81" i="1"/>
  <c r="BP86" i="1"/>
  <c r="BN86" i="1"/>
  <c r="Z86" i="1"/>
  <c r="Z90" i="1" s="1"/>
  <c r="Y91" i="1"/>
  <c r="BP89" i="1"/>
  <c r="BN89" i="1"/>
  <c r="Z89" i="1"/>
  <c r="Y99" i="1"/>
  <c r="Y111" i="1"/>
  <c r="Y119" i="1"/>
  <c r="Y130" i="1"/>
  <c r="Y135" i="1"/>
  <c r="Y140" i="1"/>
  <c r="Y146" i="1"/>
  <c r="Y150" i="1"/>
  <c r="Y161" i="1"/>
  <c r="Y172" i="1"/>
  <c r="Y178" i="1"/>
  <c r="Y192" i="1"/>
  <c r="Y198" i="1"/>
  <c r="Y218" i="1"/>
  <c r="Y241" i="1"/>
  <c r="Y249" i="1"/>
  <c r="Y255" i="1"/>
  <c r="Y259" i="1"/>
  <c r="Y264" i="1"/>
  <c r="Y270" i="1"/>
  <c r="Y280" i="1"/>
  <c r="Y296" i="1"/>
  <c r="Y300" i="1"/>
  <c r="Y311" i="1"/>
  <c r="Z324" i="1"/>
  <c r="Z325" i="1" s="1"/>
  <c r="BN324" i="1"/>
  <c r="Y325" i="1"/>
  <c r="Z329" i="1"/>
  <c r="BN329" i="1"/>
  <c r="BP340" i="1"/>
  <c r="BN340" i="1"/>
  <c r="Z340" i="1"/>
  <c r="Y350" i="1"/>
  <c r="BP345" i="1"/>
  <c r="BN345" i="1"/>
  <c r="Z345" i="1"/>
  <c r="R569" i="1"/>
  <c r="BP349" i="1"/>
  <c r="BN349" i="1"/>
  <c r="Z349" i="1"/>
  <c r="Y351" i="1"/>
  <c r="Y356" i="1"/>
  <c r="BP353" i="1"/>
  <c r="BN353" i="1"/>
  <c r="Z353" i="1"/>
  <c r="Z355" i="1" s="1"/>
  <c r="BP367" i="1"/>
  <c r="BN367" i="1"/>
  <c r="Z367" i="1"/>
  <c r="Z371" i="1" s="1"/>
  <c r="Y371" i="1"/>
  <c r="BP375" i="1"/>
  <c r="BN375" i="1"/>
  <c r="Z375" i="1"/>
  <c r="BP379" i="1"/>
  <c r="BN379" i="1"/>
  <c r="Z379" i="1"/>
  <c r="Y388" i="1"/>
  <c r="BP387" i="1"/>
  <c r="BN387" i="1"/>
  <c r="Z387" i="1"/>
  <c r="Y394" i="1"/>
  <c r="BP391" i="1"/>
  <c r="BN391" i="1"/>
  <c r="Z391" i="1"/>
  <c r="BP399" i="1"/>
  <c r="BN399" i="1"/>
  <c r="Z399" i="1"/>
  <c r="Y408" i="1"/>
  <c r="BP411" i="1"/>
  <c r="BN411" i="1"/>
  <c r="Z411" i="1"/>
  <c r="Z413" i="1" s="1"/>
  <c r="BP425" i="1"/>
  <c r="BN425" i="1"/>
  <c r="Z425" i="1"/>
  <c r="W569" i="1"/>
  <c r="Y440" i="1"/>
  <c r="BP431" i="1"/>
  <c r="BN431" i="1"/>
  <c r="Z431" i="1"/>
  <c r="BP435" i="1"/>
  <c r="BN435" i="1"/>
  <c r="Z435" i="1"/>
  <c r="Y439" i="1"/>
  <c r="BP443" i="1"/>
  <c r="BN443" i="1"/>
  <c r="Z443" i="1"/>
  <c r="Z445" i="1" s="1"/>
  <c r="Y452" i="1"/>
  <c r="BP455" i="1"/>
  <c r="BN455" i="1"/>
  <c r="Z455" i="1"/>
  <c r="Z456" i="1" s="1"/>
  <c r="Y457" i="1"/>
  <c r="X569" i="1"/>
  <c r="Y463" i="1"/>
  <c r="BP460" i="1"/>
  <c r="BN460" i="1"/>
  <c r="Z460" i="1"/>
  <c r="Z462" i="1" s="1"/>
  <c r="Y473" i="1"/>
  <c r="BP478" i="1"/>
  <c r="BN478" i="1"/>
  <c r="Z478" i="1"/>
  <c r="Z483" i="1" s="1"/>
  <c r="BP482" i="1"/>
  <c r="BN482" i="1"/>
  <c r="Z482" i="1"/>
  <c r="Y484" i="1"/>
  <c r="Y489" i="1"/>
  <c r="BP486" i="1"/>
  <c r="BN486" i="1"/>
  <c r="Z486" i="1"/>
  <c r="Z488" i="1" s="1"/>
  <c r="X563" i="1"/>
  <c r="C569" i="1"/>
  <c r="Y43" i="1"/>
  <c r="D569" i="1"/>
  <c r="Y51" i="1"/>
  <c r="F569" i="1"/>
  <c r="Y90" i="1"/>
  <c r="Z93" i="1"/>
  <c r="Z99" i="1" s="1"/>
  <c r="BN93" i="1"/>
  <c r="BP93" i="1"/>
  <c r="Z94" i="1"/>
  <c r="BN94" i="1"/>
  <c r="Z96" i="1"/>
  <c r="BN96" i="1"/>
  <c r="Z97" i="1"/>
  <c r="BN97" i="1"/>
  <c r="G569" i="1"/>
  <c r="Z104" i="1"/>
  <c r="Z111" i="1" s="1"/>
  <c r="BN104" i="1"/>
  <c r="Z106" i="1"/>
  <c r="BN106" i="1"/>
  <c r="Z108" i="1"/>
  <c r="BN108" i="1"/>
  <c r="Z109" i="1"/>
  <c r="BN109" i="1"/>
  <c r="Y112" i="1"/>
  <c r="Z115" i="1"/>
  <c r="Z119" i="1" s="1"/>
  <c r="BN115" i="1"/>
  <c r="Z117" i="1"/>
  <c r="BN117" i="1"/>
  <c r="Z124" i="1"/>
  <c r="Z129" i="1" s="1"/>
  <c r="BN124" i="1"/>
  <c r="Z127" i="1"/>
  <c r="BN127" i="1"/>
  <c r="Z128" i="1"/>
  <c r="BN128" i="1"/>
  <c r="Z132" i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Z161" i="1" s="1"/>
  <c r="BN155" i="1"/>
  <c r="Z157" i="1"/>
  <c r="BN157" i="1"/>
  <c r="Z159" i="1"/>
  <c r="BN159" i="1"/>
  <c r="Y162" i="1"/>
  <c r="J569" i="1"/>
  <c r="Z170" i="1"/>
  <c r="Z172" i="1" s="1"/>
  <c r="BN170" i="1"/>
  <c r="Y173" i="1"/>
  <c r="Z176" i="1"/>
  <c r="Z177" i="1" s="1"/>
  <c r="BN176" i="1"/>
  <c r="Z180" i="1"/>
  <c r="BN180" i="1"/>
  <c r="BP180" i="1"/>
  <c r="Z182" i="1"/>
  <c r="BN182" i="1"/>
  <c r="Z185" i="1"/>
  <c r="BN185" i="1"/>
  <c r="Z186" i="1"/>
  <c r="BN186" i="1"/>
  <c r="Z188" i="1"/>
  <c r="BN188" i="1"/>
  <c r="Z190" i="1"/>
  <c r="BN190" i="1"/>
  <c r="Z196" i="1"/>
  <c r="Z198" i="1" s="1"/>
  <c r="BN196" i="1"/>
  <c r="K569" i="1"/>
  <c r="Z212" i="1"/>
  <c r="Z218" i="1" s="1"/>
  <c r="BN212" i="1"/>
  <c r="Z214" i="1"/>
  <c r="BN214" i="1"/>
  <c r="Z216" i="1"/>
  <c r="BN216" i="1"/>
  <c r="Y219" i="1"/>
  <c r="L569" i="1"/>
  <c r="Y224" i="1"/>
  <c r="Z227" i="1"/>
  <c r="Z240" i="1" s="1"/>
  <c r="BN227" i="1"/>
  <c r="Z229" i="1"/>
  <c r="BN229" i="1"/>
  <c r="Z231" i="1"/>
  <c r="BN231" i="1"/>
  <c r="Z233" i="1"/>
  <c r="BN233" i="1"/>
  <c r="Z235" i="1"/>
  <c r="BN235" i="1"/>
  <c r="Z237" i="1"/>
  <c r="BN237" i="1"/>
  <c r="Z239" i="1"/>
  <c r="BN239" i="1"/>
  <c r="Z243" i="1"/>
  <c r="Z248" i="1" s="1"/>
  <c r="BN243" i="1"/>
  <c r="BP243" i="1"/>
  <c r="Z245" i="1"/>
  <c r="BN245" i="1"/>
  <c r="Z247" i="1"/>
  <c r="BN247" i="1"/>
  <c r="Z251" i="1"/>
  <c r="BN251" i="1"/>
  <c r="BP251" i="1"/>
  <c r="Z253" i="1"/>
  <c r="BN253" i="1"/>
  <c r="Z257" i="1"/>
  <c r="Z258" i="1" s="1"/>
  <c r="BN257" i="1"/>
  <c r="BP257" i="1"/>
  <c r="Z262" i="1"/>
  <c r="Z264" i="1" s="1"/>
  <c r="BN262" i="1"/>
  <c r="BP262" i="1"/>
  <c r="Y265" i="1"/>
  <c r="Z268" i="1"/>
  <c r="Z269" i="1" s="1"/>
  <c r="BN268" i="1"/>
  <c r="Z272" i="1"/>
  <c r="BN272" i="1"/>
  <c r="BP272" i="1"/>
  <c r="Z274" i="1"/>
  <c r="BN274" i="1"/>
  <c r="Z276" i="1"/>
  <c r="BN276" i="1"/>
  <c r="Z278" i="1"/>
  <c r="BN278" i="1"/>
  <c r="Z284" i="1"/>
  <c r="Z295" i="1" s="1"/>
  <c r="BN284" i="1"/>
  <c r="Z286" i="1"/>
  <c r="BN286" i="1"/>
  <c r="Z288" i="1"/>
  <c r="BN288" i="1"/>
  <c r="Z290" i="1"/>
  <c r="BN290" i="1"/>
  <c r="Z292" i="1"/>
  <c r="BN292" i="1"/>
  <c r="Z294" i="1"/>
  <c r="BN294" i="1"/>
  <c r="Z298" i="1"/>
  <c r="Z300" i="1" s="1"/>
  <c r="BN298" i="1"/>
  <c r="BP298" i="1"/>
  <c r="O569" i="1"/>
  <c r="Z305" i="1"/>
  <c r="Z311" i="1" s="1"/>
  <c r="BN305" i="1"/>
  <c r="Z307" i="1"/>
  <c r="BN307" i="1"/>
  <c r="Z309" i="1"/>
  <c r="BN309" i="1"/>
  <c r="Y312" i="1"/>
  <c r="P569" i="1"/>
  <c r="Y334" i="1"/>
  <c r="BP331" i="1"/>
  <c r="BN331" i="1"/>
  <c r="BP333" i="1"/>
  <c r="BN333" i="1"/>
  <c r="Z333" i="1"/>
  <c r="Y335" i="1"/>
  <c r="Q569" i="1"/>
  <c r="Y341" i="1"/>
  <c r="BP338" i="1"/>
  <c r="BN338" i="1"/>
  <c r="Z338" i="1"/>
  <c r="Z341" i="1" s="1"/>
  <c r="BP347" i="1"/>
  <c r="BN347" i="1"/>
  <c r="Z347" i="1"/>
  <c r="BP360" i="1"/>
  <c r="BN360" i="1"/>
  <c r="Z360" i="1"/>
  <c r="Z362" i="1" s="1"/>
  <c r="BP369" i="1"/>
  <c r="BN369" i="1"/>
  <c r="Z369" i="1"/>
  <c r="BP377" i="1"/>
  <c r="BN377" i="1"/>
  <c r="Z377" i="1"/>
  <c r="Z381" i="1" s="1"/>
  <c r="Y381" i="1"/>
  <c r="BP385" i="1"/>
  <c r="BN385" i="1"/>
  <c r="Z385" i="1"/>
  <c r="Z388" i="1" s="1"/>
  <c r="BP393" i="1"/>
  <c r="BN393" i="1"/>
  <c r="Z393" i="1"/>
  <c r="Y395" i="1"/>
  <c r="Y402" i="1"/>
  <c r="BP397" i="1"/>
  <c r="BN397" i="1"/>
  <c r="Z397" i="1"/>
  <c r="Z401" i="1" s="1"/>
  <c r="Y401" i="1"/>
  <c r="Z407" i="1"/>
  <c r="BP405" i="1"/>
  <c r="BN405" i="1"/>
  <c r="Z405" i="1"/>
  <c r="BP418" i="1"/>
  <c r="BN418" i="1"/>
  <c r="Z418" i="1"/>
  <c r="Z419" i="1" s="1"/>
  <c r="Y420" i="1"/>
  <c r="Y426" i="1"/>
  <c r="BP423" i="1"/>
  <c r="BN423" i="1"/>
  <c r="Z423" i="1"/>
  <c r="Z426" i="1" s="1"/>
  <c r="V569" i="1"/>
  <c r="BP433" i="1"/>
  <c r="BN433" i="1"/>
  <c r="Z433" i="1"/>
  <c r="BP437" i="1"/>
  <c r="BN437" i="1"/>
  <c r="Z437" i="1"/>
  <c r="BP449" i="1"/>
  <c r="BN449" i="1"/>
  <c r="Z449" i="1"/>
  <c r="Z451" i="1" s="1"/>
  <c r="BP470" i="1"/>
  <c r="BN470" i="1"/>
  <c r="Z470" i="1"/>
  <c r="Z472" i="1" s="1"/>
  <c r="BP480" i="1"/>
  <c r="BN480" i="1"/>
  <c r="Z480" i="1"/>
  <c r="BP498" i="1"/>
  <c r="BN498" i="1"/>
  <c r="Z498" i="1"/>
  <c r="Z569" i="1"/>
  <c r="Y500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0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S569" i="1"/>
  <c r="Y363" i="1"/>
  <c r="Y372" i="1"/>
  <c r="U569" i="1"/>
  <c r="Y419" i="1"/>
  <c r="Y569" i="1"/>
  <c r="Y483" i="1"/>
  <c r="Y499" i="1"/>
  <c r="BP496" i="1"/>
  <c r="BN496" i="1"/>
  <c r="Z496" i="1"/>
  <c r="Z499" i="1" s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Z529" i="1" s="1"/>
  <c r="BP526" i="1"/>
  <c r="BN526" i="1"/>
  <c r="Z526" i="1"/>
  <c r="Y552" i="1"/>
  <c r="AB569" i="1"/>
  <c r="Y558" i="1"/>
  <c r="Z513" i="1" l="1"/>
  <c r="Z280" i="1"/>
  <c r="Z254" i="1"/>
  <c r="Z192" i="1"/>
  <c r="Z134" i="1"/>
  <c r="Z350" i="1"/>
  <c r="Z334" i="1"/>
  <c r="Z61" i="1"/>
  <c r="Z564" i="1" s="1"/>
  <c r="Y561" i="1"/>
  <c r="Z439" i="1"/>
  <c r="Z394" i="1"/>
  <c r="Z74" i="1"/>
  <c r="Y560" i="1"/>
  <c r="Y562" i="1" s="1"/>
  <c r="Y559" i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<sst xmlns="http://schemas.openxmlformats.org/spreadsheetml/2006/main" count="2556" uniqueCount="916">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</sst>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44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0</v>
      </c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39</v>
      </c>
      <c r="Y50" s="644">
        <f>IFERROR(IF(X50="",0,CEILING((X50/$H50),1)*$H50),"")</f>
        <v>40.700000000000003</v>
      </c>
      <c r="Z50" s="36">
        <f>IFERROR(IF(Y50=0,"",ROUNDUP(Y50/H50,0)*0.00902),"")</f>
        <v>9.9220000000000003E-2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41.002702702702706</v>
      </c>
      <c r="BN50" s="64">
        <f>IFERROR(Y50*I50/H50,"0")</f>
        <v>42.79</v>
      </c>
      <c r="BO50" s="64">
        <f>IFERROR(1/J50*(X50/H50),"0")</f>
        <v>7.9852579852579847E-2</v>
      </c>
      <c r="BP50" s="64">
        <f>IFERROR(1/J50*(Y50/H50),"0")</f>
        <v>8.3333333333333343E-2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10.54054054054054</v>
      </c>
      <c r="Y51" s="645">
        <f>IFERROR(Y47/H47,"0")+IFERROR(Y48/H48,"0")+IFERROR(Y49/H49,"0")+IFERROR(Y50/H50,"0")</f>
        <v>11</v>
      </c>
      <c r="Z51" s="645">
        <f>IFERROR(IF(Z47="",0,Z47),"0")+IFERROR(IF(Z48="",0,Z48),"0")+IFERROR(IF(Z49="",0,Z49),"0")+IFERROR(IF(Z50="",0,Z50),"0")</f>
        <v>9.9220000000000003E-2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39</v>
      </c>
      <c r="Y52" s="645">
        <f>IFERROR(SUM(Y47:Y50),"0")</f>
        <v>40.700000000000003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80</v>
      </c>
      <c r="Y56" s="644">
        <f t="shared" si="0"/>
        <v>86.4</v>
      </c>
      <c r="Z56" s="36">
        <f>IFERROR(IF(Y56=0,"",ROUNDUP(Y56/H56,0)*0.01898),"")</f>
        <v>0.15184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83.037037037037038</v>
      </c>
      <c r="BN56" s="64">
        <f t="shared" si="2"/>
        <v>89.68</v>
      </c>
      <c r="BO56" s="64">
        <f t="shared" si="3"/>
        <v>0.11574074074074073</v>
      </c>
      <c r="BP56" s="64">
        <f t="shared" si="4"/>
        <v>0.125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60</v>
      </c>
      <c r="Y60" s="644">
        <f t="shared" si="0"/>
        <v>63</v>
      </c>
      <c r="Z60" s="36">
        <f>IFERROR(IF(Y60=0,"",ROUNDUP(Y60/H60,0)*0.00902),"")</f>
        <v>0.12628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62.533333333333339</v>
      </c>
      <c r="BN60" s="64">
        <f t="shared" si="2"/>
        <v>65.660000000000011</v>
      </c>
      <c r="BO60" s="64">
        <f t="shared" si="3"/>
        <v>0.10101010101010102</v>
      </c>
      <c r="BP60" s="64">
        <f t="shared" si="4"/>
        <v>0.10606060606060606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20.74074074074074</v>
      </c>
      <c r="Y61" s="645">
        <f>IFERROR(Y55/H55,"0")+IFERROR(Y56/H56,"0")+IFERROR(Y57/H57,"0")+IFERROR(Y58/H58,"0")+IFERROR(Y59/H59,"0")+IFERROR(Y60/H60,"0")</f>
        <v>22</v>
      </c>
      <c r="Z61" s="645">
        <f>IFERROR(IF(Z55="",0,Z55),"0")+IFERROR(IF(Z56="",0,Z56),"0")+IFERROR(IF(Z57="",0,Z57),"0")+IFERROR(IF(Z58="",0,Z58),"0")+IFERROR(IF(Z59="",0,Z59),"0")+IFERROR(IF(Z60="",0,Z60),"0")</f>
        <v>0.27812000000000003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140</v>
      </c>
      <c r="Y62" s="645">
        <f>IFERROR(SUM(Y55:Y60),"0")</f>
        <v>149.4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250</v>
      </c>
      <c r="Y77" s="644">
        <f>IFERROR(IF(X77="",0,CEILING((X77/$H77),1)*$H77),"")</f>
        <v>257.39999999999998</v>
      </c>
      <c r="Z77" s="36">
        <f>IFERROR(IF(Y77=0,"",ROUNDUP(Y77/H77,0)*0.01898),"")</f>
        <v>0.62634000000000001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263.14102564102564</v>
      </c>
      <c r="BN77" s="64">
        <f>IFERROR(Y77*I77/H77,"0")</f>
        <v>270.93</v>
      </c>
      <c r="BO77" s="64">
        <f>IFERROR(1/J77*(X77/H77),"0")</f>
        <v>0.50080128205128205</v>
      </c>
      <c r="BP77" s="64">
        <f>IFERROR(1/J77*(Y77/H77),"0")</f>
        <v>0.515625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32.051282051282051</v>
      </c>
      <c r="Y81" s="645">
        <f>IFERROR(Y77/H77,"0")+IFERROR(Y78/H78,"0")+IFERROR(Y79/H79,"0")+IFERROR(Y80/H80,"0")</f>
        <v>33</v>
      </c>
      <c r="Z81" s="645">
        <f>IFERROR(IF(Z77="",0,Z77),"0")+IFERROR(IF(Z78="",0,Z78),"0")+IFERROR(IF(Z79="",0,Z79),"0")+IFERROR(IF(Z80="",0,Z80),"0")</f>
        <v>0.62634000000000001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250</v>
      </c>
      <c r="Y82" s="645">
        <f>IFERROR(SUM(Y77:Y80),"0")</f>
        <v>257.39999999999998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80</v>
      </c>
      <c r="Y85" s="644">
        <f>IFERROR(IF(X85="",0,CEILING((X85/$H85),1)*$H85),"")</f>
        <v>86.4</v>
      </c>
      <c r="Z85" s="36">
        <f>IFERROR(IF(Y85=0,"",ROUNDUP(Y85/H85,0)*0.01898),"")</f>
        <v>0.15184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83.037037037037038</v>
      </c>
      <c r="BN85" s="64">
        <f>IFERROR(Y85*I85/H85,"0")</f>
        <v>89.68</v>
      </c>
      <c r="BO85" s="64">
        <f>IFERROR(1/J85*(X85/H85),"0")</f>
        <v>0.11574074074074073</v>
      </c>
      <c r="BP85" s="64">
        <f>IFERROR(1/J85*(Y85/H85),"0")</f>
        <v>0.125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48</v>
      </c>
      <c r="Y89" s="644">
        <f>IFERROR(IF(X89="",0,CEILING((X89/$H89),1)*$H89),"")</f>
        <v>49.5</v>
      </c>
      <c r="Z89" s="36">
        <f>IFERROR(IF(Y89=0,"",ROUNDUP(Y89/H89,0)*0.00902),"")</f>
        <v>9.9220000000000003E-2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50.026666666666671</v>
      </c>
      <c r="BN89" s="64">
        <f>IFERROR(Y89*I89/H89,"0")</f>
        <v>51.59</v>
      </c>
      <c r="BO89" s="64">
        <f>IFERROR(1/J89*(X89/H89),"0")</f>
        <v>8.0808080808080801E-2</v>
      </c>
      <c r="BP89" s="64">
        <f>IFERROR(1/J89*(Y89/H89),"0")</f>
        <v>8.3333333333333343E-2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18.074074074074073</v>
      </c>
      <c r="Y90" s="645">
        <f>IFERROR(Y85/H85,"0")+IFERROR(Y86/H86,"0")+IFERROR(Y87/H87,"0")+IFERROR(Y88/H88,"0")+IFERROR(Y89/H89,"0")</f>
        <v>19</v>
      </c>
      <c r="Z90" s="645">
        <f>IFERROR(IF(Z85="",0,Z85),"0")+IFERROR(IF(Z86="",0,Z86),"0")+IFERROR(IF(Z87="",0,Z87),"0")+IFERROR(IF(Z88="",0,Z88),"0")+IFERROR(IF(Z89="",0,Z89),"0")</f>
        <v>0.25106000000000001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128</v>
      </c>
      <c r="Y91" s="645">
        <f>IFERROR(SUM(Y85:Y89),"0")</f>
        <v>135.9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50</v>
      </c>
      <c r="Y93" s="644">
        <f t="shared" ref="Y93:Y98" si="5">IFERROR(IF(X93="",0,CEILING((X93/$H93),1)*$H93),"")</f>
        <v>56.699999999999996</v>
      </c>
      <c r="Z93" s="36">
        <f>IFERROR(IF(Y93=0,"",ROUNDUP(Y93/H93,0)*0.01898),"")</f>
        <v>0.13286000000000001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53.049382716049386</v>
      </c>
      <c r="BN93" s="64">
        <f t="shared" ref="BN93:BN98" si="7">IFERROR(Y93*I93/H93,"0")</f>
        <v>60.157999999999994</v>
      </c>
      <c r="BO93" s="64">
        <f t="shared" ref="BO93:BO98" si="8">IFERROR(1/J93*(X93/H93),"0")</f>
        <v>9.6450617283950615E-2</v>
      </c>
      <c r="BP93" s="64">
        <f t="shared" ref="BP93:BP98" si="9">IFERROR(1/J93*(Y93/H93),"0")</f>
        <v>0.109375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72</v>
      </c>
      <c r="Y96" s="644">
        <f t="shared" si="5"/>
        <v>72.900000000000006</v>
      </c>
      <c r="Z96" s="36">
        <f>IFERROR(IF(Y96=0,"",ROUNDUP(Y96/H96,0)*0.00651),"")</f>
        <v>0.17577000000000001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78.719999999999985</v>
      </c>
      <c r="BN96" s="64">
        <f t="shared" si="7"/>
        <v>79.703999999999994</v>
      </c>
      <c r="BO96" s="64">
        <f t="shared" si="8"/>
        <v>0.14652014652014653</v>
      </c>
      <c r="BP96" s="64">
        <f t="shared" si="9"/>
        <v>0.14835164835164835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32.839506172839506</v>
      </c>
      <c r="Y99" s="645">
        <f>IFERROR(Y93/H93,"0")+IFERROR(Y94/H94,"0")+IFERROR(Y95/H95,"0")+IFERROR(Y96/H96,"0")+IFERROR(Y97/H97,"0")+IFERROR(Y98/H98,"0")</f>
        <v>34</v>
      </c>
      <c r="Z99" s="645">
        <f>IFERROR(IF(Z93="",0,Z93),"0")+IFERROR(IF(Z94="",0,Z94),"0")+IFERROR(IF(Z95="",0,Z95),"0")+IFERROR(IF(Z96="",0,Z96),"0")+IFERROR(IF(Z97="",0,Z97),"0")+IFERROR(IF(Z98="",0,Z98),"0")</f>
        <v>0.30863000000000002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122</v>
      </c>
      <c r="Y100" s="645">
        <f>IFERROR(SUM(Y93:Y98),"0")</f>
        <v>129.6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80</v>
      </c>
      <c r="Y103" s="644">
        <f t="shared" ref="Y103:Y110" si="10">IFERROR(IF(X103="",0,CEILING((X103/$H103),1)*$H103),"")</f>
        <v>86.4</v>
      </c>
      <c r="Z103" s="36">
        <f>IFERROR(IF(Y103=0,"",ROUNDUP(Y103/H103,0)*0.01898),"")</f>
        <v>0.15184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83.037037037037038</v>
      </c>
      <c r="BN103" s="64">
        <f t="shared" ref="BN103:BN110" si="12">IFERROR(Y103*I103/H103,"0")</f>
        <v>89.68</v>
      </c>
      <c r="BO103" s="64">
        <f t="shared" ref="BO103:BO110" si="13">IFERROR(1/J103*(X103/H103),"0")</f>
        <v>0.11574074074074073</v>
      </c>
      <c r="BP103" s="64">
        <f t="shared" ref="BP103:BP110" si="14">IFERROR(1/J103*(Y103/H103),"0")</f>
        <v>0.125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7.4074074074074066</v>
      </c>
      <c r="Y111" s="645">
        <f>IFERROR(Y103/H103,"0")+IFERROR(Y104/H104,"0")+IFERROR(Y105/H105,"0")+IFERROR(Y106/H106,"0")+IFERROR(Y107/H107,"0")+IFERROR(Y108/H108,"0")+IFERROR(Y109/H109,"0")+IFERROR(Y110/H110,"0")</f>
        <v>8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0.15184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80</v>
      </c>
      <c r="Y112" s="645">
        <f>IFERROR(SUM(Y103:Y110),"0")</f>
        <v>86.4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0</v>
      </c>
      <c r="Y119" s="645">
        <f>IFERROR(Y114/H114,"0")+IFERROR(Y115/H115,"0")+IFERROR(Y116/H116,"0")+IFERROR(Y117/H117,"0")+IFERROR(Y118/H118,"0")</f>
        <v>0</v>
      </c>
      <c r="Z119" s="645">
        <f>IFERROR(IF(Z114="",0,Z114),"0")+IFERROR(IF(Z115="",0,Z115),"0")+IFERROR(IF(Z116="",0,Z116),"0")+IFERROR(IF(Z117="",0,Z117),"0")+IFERROR(IF(Z118="",0,Z118),"0")</f>
        <v>0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0</v>
      </c>
      <c r="Y120" s="645">
        <f>IFERROR(SUM(Y114:Y118),"0")</f>
        <v>0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120</v>
      </c>
      <c r="Y122" s="644">
        <f t="shared" ref="Y122:Y128" si="15">IFERROR(IF(X122="",0,CEILING((X122/$H122),1)*$H122),"")</f>
        <v>121.5</v>
      </c>
      <c r="Z122" s="36">
        <f>IFERROR(IF(Y122=0,"",ROUNDUP(Y122/H122,0)*0.01898),"")</f>
        <v>0.28470000000000001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127.22962962962963</v>
      </c>
      <c r="BN122" s="64">
        <f t="shared" ref="BN122:BN128" si="17">IFERROR(Y122*I122/H122,"0")</f>
        <v>128.82</v>
      </c>
      <c r="BO122" s="64">
        <f t="shared" ref="BO122:BO128" si="18">IFERROR(1/J122*(X122/H122),"0")</f>
        <v>0.23148148148148148</v>
      </c>
      <c r="BP122" s="64">
        <f t="shared" ref="BP122:BP128" si="19">IFERROR(1/J122*(Y122/H122),"0")</f>
        <v>0.234375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60</v>
      </c>
      <c r="Y125" s="644">
        <f t="shared" si="15"/>
        <v>62.1</v>
      </c>
      <c r="Z125" s="36">
        <f>IFERROR(IF(Y125=0,"",ROUNDUP(Y125/H125,0)*0.00651),"")</f>
        <v>0.14973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65.599999999999994</v>
      </c>
      <c r="BN125" s="64">
        <f t="shared" si="17"/>
        <v>67.896000000000001</v>
      </c>
      <c r="BO125" s="64">
        <f t="shared" si="18"/>
        <v>0.12210012210012211</v>
      </c>
      <c r="BP125" s="64">
        <f t="shared" si="19"/>
        <v>0.1263736263736264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37.037037037037038</v>
      </c>
      <c r="Y129" s="645">
        <f>IFERROR(Y122/H122,"0")+IFERROR(Y123/H123,"0")+IFERROR(Y124/H124,"0")+IFERROR(Y125/H125,"0")+IFERROR(Y126/H126,"0")+IFERROR(Y127/H127,"0")+IFERROR(Y128/H128,"0")</f>
        <v>38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0.43442999999999998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180</v>
      </c>
      <c r="Y130" s="645">
        <f>IFERROR(SUM(Y122:Y128),"0")</f>
        <v>183.6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32</v>
      </c>
      <c r="Y138" s="644">
        <f>IFERROR(IF(X138="",0,CEILING((X138/$H138),1)*$H138),"")</f>
        <v>32</v>
      </c>
      <c r="Z138" s="36">
        <f>IFERROR(IF(Y138=0,"",ROUNDUP(Y138/H138,0)*0.00651),"")</f>
        <v>6.5100000000000005E-2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33.799999999999997</v>
      </c>
      <c r="BN138" s="64">
        <f>IFERROR(Y138*I138/H138,"0")</f>
        <v>33.799999999999997</v>
      </c>
      <c r="BO138" s="64">
        <f>IFERROR(1/J138*(X138/H138),"0")</f>
        <v>5.4945054945054951E-2</v>
      </c>
      <c r="BP138" s="64">
        <f>IFERROR(1/J138*(Y138/H138),"0")</f>
        <v>5.4945054945054951E-2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10</v>
      </c>
      <c r="Y140" s="645">
        <f>IFERROR(Y138/H138,"0")+IFERROR(Y139/H139,"0")</f>
        <v>10</v>
      </c>
      <c r="Z140" s="645">
        <f>IFERROR(IF(Z138="",0,Z138),"0")+IFERROR(IF(Z139="",0,Z139),"0")</f>
        <v>6.5100000000000005E-2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32</v>
      </c>
      <c r="Y141" s="645">
        <f>IFERROR(SUM(Y138:Y139),"0")</f>
        <v>32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28</v>
      </c>
      <c r="Y143" s="644">
        <f>IFERROR(IF(X143="",0,CEILING((X143/$H143),1)*$H143),"")</f>
        <v>28</v>
      </c>
      <c r="Z143" s="36">
        <f>IFERROR(IF(Y143=0,"",ROUNDUP(Y143/H143,0)*0.00651),"")</f>
        <v>6.5100000000000005E-2</v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30.68</v>
      </c>
      <c r="BN143" s="64">
        <f>IFERROR(Y143*I143/H143,"0")</f>
        <v>30.68</v>
      </c>
      <c r="BO143" s="64">
        <f>IFERROR(1/J143*(X143/H143),"0")</f>
        <v>5.4945054945054951E-2</v>
      </c>
      <c r="BP143" s="64">
        <f>IFERROR(1/J143*(Y143/H143),"0")</f>
        <v>5.4945054945054951E-2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10</v>
      </c>
      <c r="Y145" s="645">
        <f>IFERROR(Y143/H143,"0")+IFERROR(Y144/H144,"0")</f>
        <v>10</v>
      </c>
      <c r="Z145" s="645">
        <f>IFERROR(IF(Z143="",0,Z143),"0")+IFERROR(IF(Z144="",0,Z144),"0")</f>
        <v>6.5100000000000005E-2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28</v>
      </c>
      <c r="Y146" s="645">
        <f>IFERROR(SUM(Y143:Y144),"0")</f>
        <v>28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21</v>
      </c>
      <c r="Y148" s="644">
        <f>IFERROR(IF(X148="",0,CEILING((X148/$H148),1)*$H148),"")</f>
        <v>21.12</v>
      </c>
      <c r="Z148" s="36">
        <f>IFERROR(IF(Y148=0,"",ROUNDUP(Y148/H148,0)*0.00651),"")</f>
        <v>5.2080000000000001E-2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23.131818181818179</v>
      </c>
      <c r="BN148" s="64">
        <f>IFERROR(Y148*I148/H148,"0")</f>
        <v>23.263999999999999</v>
      </c>
      <c r="BO148" s="64">
        <f>IFERROR(1/J148*(X148/H148),"0")</f>
        <v>4.3706293706293704E-2</v>
      </c>
      <c r="BP148" s="64">
        <f>IFERROR(1/J148*(Y148/H148),"0")</f>
        <v>4.3956043956043959E-2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7.9545454545454541</v>
      </c>
      <c r="Y150" s="645">
        <f>IFERROR(Y148/H148,"0")+IFERROR(Y149/H149,"0")</f>
        <v>8</v>
      </c>
      <c r="Z150" s="645">
        <f>IFERROR(IF(Z148="",0,Z148),"0")+IFERROR(IF(Z149="",0,Z149),"0")</f>
        <v>5.2080000000000001E-2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21</v>
      </c>
      <c r="Y151" s="645">
        <f>IFERROR(SUM(Y148:Y149),"0")</f>
        <v>21.12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0</v>
      </c>
      <c r="Y180" s="644">
        <f t="shared" ref="Y180:Y191" si="26">IFERROR(IF(X180="",0,CEILING((X180/$H180),1)*$H180),"")</f>
        <v>0</v>
      </c>
      <c r="Z180" s="36" t="str">
        <f>IFERROR(IF(Y180=0,"",ROUNDUP(Y180/H180,0)*0.00902),"")</f>
        <v/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0</v>
      </c>
      <c r="BN180" s="64">
        <f t="shared" ref="BN180:BN191" si="28">IFERROR(Y180*I180/H180,"0")</f>
        <v>0</v>
      </c>
      <c r="BO180" s="64">
        <f t="shared" ref="BO180:BO191" si="29">IFERROR(1/J180*(X180/H180),"0")</f>
        <v>0</v>
      </c>
      <c r="BP180" s="64">
        <f t="shared" ref="BP180:BP191" si="30">IFERROR(1/J180*(Y180/H180),"0")</f>
        <v>0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0</v>
      </c>
      <c r="Y182" s="644">
        <f t="shared" si="26"/>
        <v>0</v>
      </c>
      <c r="Z182" s="36" t="str">
        <f>IFERROR(IF(Y182=0,"",ROUNDUP(Y182/H182,0)*0.00902),"")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0</v>
      </c>
      <c r="BN182" s="64">
        <f t="shared" si="28"/>
        <v>0</v>
      </c>
      <c r="BO182" s="64">
        <f t="shared" si="29"/>
        <v>0</v>
      </c>
      <c r="BP182" s="64">
        <f t="shared" si="30"/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0</v>
      </c>
      <c r="Y183" s="644">
        <f t="shared" si="26"/>
        <v>0</v>
      </c>
      <c r="Z183" s="36" t="str">
        <f>IFERROR(IF(Y183=0,"",ROUNDUP(Y183/H183,0)*0.00902),"")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0</v>
      </c>
      <c r="BN183" s="64">
        <f t="shared" si="28"/>
        <v>0</v>
      </c>
      <c r="BO183" s="64">
        <f t="shared" si="29"/>
        <v>0</v>
      </c>
      <c r="BP183" s="64">
        <f t="shared" si="30"/>
        <v>0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0</v>
      </c>
      <c r="Y191" s="644">
        <f t="shared" si="26"/>
        <v>0</v>
      </c>
      <c r="Z191" s="36" t="str">
        <f>IFERROR(IF(Y191=0,"",ROUNDUP(Y191/H191,0)*0.00502),"")</f>
        <v/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0</v>
      </c>
      <c r="BN191" s="64">
        <f t="shared" si="28"/>
        <v>0</v>
      </c>
      <c r="BO191" s="64">
        <f t="shared" si="29"/>
        <v>0</v>
      </c>
      <c r="BP191" s="64">
        <f t="shared" si="30"/>
        <v>0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0</v>
      </c>
      <c r="Y193" s="645">
        <f>IFERROR(SUM(Y180:Y191),"0")</f>
        <v>0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0</v>
      </c>
      <c r="Y229" s="644">
        <f t="shared" si="37"/>
        <v>0</v>
      </c>
      <c r="Z229" s="36" t="str">
        <f>IFERROR(IF(Y229=0,"",ROUNDUP(Y229/H229,0)*0.00556),"")</f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0</v>
      </c>
      <c r="BN229" s="64">
        <f t="shared" si="39"/>
        <v>0</v>
      </c>
      <c r="BO229" s="64">
        <f t="shared" si="40"/>
        <v>0</v>
      </c>
      <c r="BP229" s="64">
        <f t="shared" si="41"/>
        <v>0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0</v>
      </c>
      <c r="Y230" s="644">
        <f t="shared" si="37"/>
        <v>0</v>
      </c>
      <c r="Z230" s="36" t="str">
        <f t="shared" ref="Z230:Z235" si="42">IFERROR(IF(Y230=0,"",ROUNDUP(Y230/H230,0)*0.00502),"")</f>
        <v/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0</v>
      </c>
      <c r="BN230" s="64">
        <f t="shared" si="39"/>
        <v>0</v>
      </c>
      <c r="BO230" s="64">
        <f t="shared" si="40"/>
        <v>0</v>
      </c>
      <c r="BP230" s="64">
        <f t="shared" si="41"/>
        <v>0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0</v>
      </c>
      <c r="Y235" s="644">
        <f t="shared" si="37"/>
        <v>0</v>
      </c>
      <c r="Z235" s="36" t="str">
        <f t="shared" si="42"/>
        <v/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8</v>
      </c>
      <c r="Y236" s="644">
        <f t="shared" si="37"/>
        <v>8</v>
      </c>
      <c r="Z236" s="36">
        <f>IFERROR(IF(Y236=0,"",ROUNDUP(Y236/H236,0)*0.00417),"")</f>
        <v>4.1700000000000001E-2</v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10.1</v>
      </c>
      <c r="BN236" s="64">
        <f t="shared" si="39"/>
        <v>10.1</v>
      </c>
      <c r="BO236" s="64">
        <f t="shared" si="40"/>
        <v>2.976190476190476E-2</v>
      </c>
      <c r="BP236" s="64">
        <f t="shared" si="41"/>
        <v>2.976190476190476E-2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0</v>
      </c>
      <c r="Y237" s="644">
        <f t="shared" si="37"/>
        <v>0</v>
      </c>
      <c r="Z237" s="36" t="str">
        <f>IFERROR(IF(Y237=0,"",ROUNDUP(Y237/H237,0)*0.00502),"")</f>
        <v/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10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10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4.1700000000000001E-2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8</v>
      </c>
      <c r="Y241" s="645">
        <f>IFERROR(SUM(Y226:Y239),"0")</f>
        <v>8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0</v>
      </c>
      <c r="Y253" s="6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0</v>
      </c>
      <c r="Y254" s="645">
        <f>IFERROR(Y251/H251,"0")+IFERROR(Y252/H252,"0")+IFERROR(Y253/H253,"0")</f>
        <v>0</v>
      </c>
      <c r="Z254" s="645">
        <f>IFERROR(IF(Z251="",0,Z251),"0")+IFERROR(IF(Z252="",0,Z252),"0")+IFERROR(IF(Z253="",0,Z253),"0")</f>
        <v>0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0</v>
      </c>
      <c r="Y255" s="645">
        <f>IFERROR(SUM(Y251:Y253),"0")</f>
        <v>0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0</v>
      </c>
      <c r="Y274" s="644">
        <f t="shared" si="43"/>
        <v>0</v>
      </c>
      <c r="Z274" s="36" t="str">
        <f>IFERROR(IF(Y274=0,"",ROUNDUP(Y274/H274,0)*0.00902),"")</f>
        <v/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0</v>
      </c>
      <c r="Y280" s="645">
        <f>IFERROR(Y272/H272,"0")+IFERROR(Y273/H273,"0")+IFERROR(Y274/H274,"0")+IFERROR(Y275/H275,"0")+IFERROR(Y276/H276,"0")+IFERROR(Y277/H277,"0")+IFERROR(Y278/H278,"0")+IFERROR(Y279/H279,"0")</f>
        <v>0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0</v>
      </c>
      <c r="Y281" s="645">
        <f>IFERROR(SUM(Y272:Y279),"0")</f>
        <v>0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0</v>
      </c>
      <c r="Y289" s="644">
        <f t="shared" si="48"/>
        <v>0</v>
      </c>
      <c r="Z289" s="36" t="str">
        <f>IFERROR(IF(Y289=0,"",ROUNDUP(Y289/H289,0)*0.00651),"")</f>
        <v/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0</v>
      </c>
      <c r="BN289" s="64">
        <f t="shared" si="50"/>
        <v>0</v>
      </c>
      <c r="BO289" s="64">
        <f t="shared" si="51"/>
        <v>0</v>
      </c>
      <c r="BP289" s="64">
        <f t="shared" si="52"/>
        <v>0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0</v>
      </c>
      <c r="Y291" s="644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0</v>
      </c>
      <c r="Y296" s="645">
        <f>IFERROR(SUM(Y283:Y294),"0")</f>
        <v>0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0</v>
      </c>
      <c r="Y339" s="64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0</v>
      </c>
      <c r="Y340" s="644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0</v>
      </c>
      <c r="Y341" s="645">
        <f>IFERROR(Y338/H338,"0")+IFERROR(Y339/H339,"0")+IFERROR(Y340/H340,"0")</f>
        <v>0</v>
      </c>
      <c r="Z341" s="645">
        <f>IFERROR(IF(Z338="",0,Z338),"0")+IFERROR(IF(Z339="",0,Z339),"0")+IFERROR(IF(Z340="",0,Z340),"0")</f>
        <v>0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0</v>
      </c>
      <c r="Y342" s="645">
        <f>IFERROR(SUM(Y338:Y340),"0")</f>
        <v>0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80</v>
      </c>
      <c r="Y359" s="644">
        <f>IFERROR(IF(X359="",0,CEILING((X359/$H359),1)*$H359),"")</f>
        <v>85.8</v>
      </c>
      <c r="Z359" s="36">
        <f>IFERROR(IF(Y359=0,"",ROUNDUP(Y359/H359,0)*0.01898),"")</f>
        <v>0.20877999999999999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84.205128205128219</v>
      </c>
      <c r="BN359" s="64">
        <f>IFERROR(Y359*I359/H359,"0")</f>
        <v>90.31</v>
      </c>
      <c r="BO359" s="64">
        <f>IFERROR(1/J359*(X359/H359),"0")</f>
        <v>0.16025641025641027</v>
      </c>
      <c r="BP359" s="64">
        <f>IFERROR(1/J359*(Y359/H359),"0")</f>
        <v>0.171875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10.256410256410257</v>
      </c>
      <c r="Y362" s="645">
        <f>IFERROR(Y359/H359,"0")+IFERROR(Y360/H360,"0")+IFERROR(Y361/H361,"0")</f>
        <v>11</v>
      </c>
      <c r="Z362" s="645">
        <f>IFERROR(IF(Z359="",0,Z359),"0")+IFERROR(IF(Z360="",0,Z360),"0")+IFERROR(IF(Z361="",0,Z361),"0")</f>
        <v>0.20877999999999999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80</v>
      </c>
      <c r="Y363" s="645">
        <f>IFERROR(SUM(Y359:Y361),"0")</f>
        <v>85.8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0</v>
      </c>
      <c r="Y394" s="645">
        <f>IFERROR(Y391/H391,"0")+IFERROR(Y392/H392,"0")+IFERROR(Y393/H393,"0")</f>
        <v>0</v>
      </c>
      <c r="Z394" s="645">
        <f>IFERROR(IF(Z391="",0,Z391),"0")+IFERROR(IF(Z392="",0,Z392),"0")+IFERROR(IF(Z393="",0,Z393),"0")</f>
        <v>0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0</v>
      </c>
      <c r="Y395" s="645">
        <f>IFERROR(SUM(Y391:Y393),"0")</f>
        <v>0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14</v>
      </c>
      <c r="Y400" s="644">
        <f>IFERROR(IF(X400="",0,CEILING((X400/$H400),1)*$H400),"")</f>
        <v>15.299999999999999</v>
      </c>
      <c r="Z400" s="36">
        <f>IFERROR(IF(Y400=0,"",ROUNDUP(Y400/H400,0)*0.00651),"")</f>
        <v>3.9059999999999997E-2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15.811764705882354</v>
      </c>
      <c r="BN400" s="64">
        <f>IFERROR(Y400*I400/H400,"0")</f>
        <v>17.279999999999998</v>
      </c>
      <c r="BO400" s="64">
        <f>IFERROR(1/J400*(X400/H400),"0")</f>
        <v>3.0165912518853699E-2</v>
      </c>
      <c r="BP400" s="64">
        <f>IFERROR(1/J400*(Y400/H400),"0")</f>
        <v>3.2967032967032968E-2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5.4901960784313726</v>
      </c>
      <c r="Y401" s="645">
        <f>IFERROR(Y397/H397,"0")+IFERROR(Y398/H398,"0")+IFERROR(Y399/H399,"0")+IFERROR(Y400/H400,"0")</f>
        <v>6</v>
      </c>
      <c r="Z401" s="645">
        <f>IFERROR(IF(Z397="",0,Z397),"0")+IFERROR(IF(Z398="",0,Z398),"0")+IFERROR(IF(Z399="",0,Z399),"0")+IFERROR(IF(Z400="",0,Z400),"0")</f>
        <v>3.9059999999999997E-2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14</v>
      </c>
      <c r="Y402" s="645">
        <f>IFERROR(SUM(Y397:Y400),"0")</f>
        <v>15.299999999999999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42</v>
      </c>
      <c r="Y404" s="644">
        <f>IFERROR(IF(X404="",0,CEILING((X404/$H404),1)*$H404),"")</f>
        <v>42</v>
      </c>
      <c r="Z404" s="36">
        <f>IFERROR(IF(Y404=0,"",ROUNDUP(Y404/H404,0)*0.00474),"")</f>
        <v>9.9540000000000003E-2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47.040000000000006</v>
      </c>
      <c r="BN404" s="64">
        <f>IFERROR(Y404*I404/H404,"0")</f>
        <v>47.040000000000006</v>
      </c>
      <c r="BO404" s="64">
        <f>IFERROR(1/J404*(X404/H404),"0")</f>
        <v>8.8235294117647051E-2</v>
      </c>
      <c r="BP404" s="64">
        <f>IFERROR(1/J404*(Y404/H404),"0")</f>
        <v>8.8235294117647051E-2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27</v>
      </c>
      <c r="Y405" s="644">
        <f>IFERROR(IF(X405="",0,CEILING((X405/$H405),1)*$H405),"")</f>
        <v>28</v>
      </c>
      <c r="Z405" s="36">
        <f>IFERROR(IF(Y405=0,"",ROUNDUP(Y405/H405,0)*0.00474),"")</f>
        <v>6.6360000000000002E-2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30.240000000000002</v>
      </c>
      <c r="BN405" s="64">
        <f>IFERROR(Y405*I405/H405,"0")</f>
        <v>31.360000000000003</v>
      </c>
      <c r="BO405" s="64">
        <f>IFERROR(1/J405*(X405/H405),"0")</f>
        <v>5.6722689075630252E-2</v>
      </c>
      <c r="BP405" s="64">
        <f>IFERROR(1/J405*(Y405/H405),"0")</f>
        <v>5.8823529411764705E-2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27</v>
      </c>
      <c r="Y406" s="644">
        <f>IFERROR(IF(X406="",0,CEILING((X406/$H406),1)*$H406),"")</f>
        <v>28</v>
      </c>
      <c r="Z406" s="36">
        <f>IFERROR(IF(Y406=0,"",ROUNDUP(Y406/H406,0)*0.00474),"")</f>
        <v>6.6360000000000002E-2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30.240000000000002</v>
      </c>
      <c r="BN406" s="64">
        <f>IFERROR(Y406*I406/H406,"0")</f>
        <v>31.360000000000003</v>
      </c>
      <c r="BO406" s="64">
        <f>IFERROR(1/J406*(X406/H406),"0")</f>
        <v>5.6722689075630252E-2</v>
      </c>
      <c r="BP406" s="64">
        <f>IFERROR(1/J406*(Y406/H406),"0")</f>
        <v>5.8823529411764705E-2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48</v>
      </c>
      <c r="Y407" s="645">
        <f>IFERROR(Y404/H404,"0")+IFERROR(Y405/H405,"0")+IFERROR(Y406/H406,"0")</f>
        <v>49</v>
      </c>
      <c r="Z407" s="645">
        <f>IFERROR(IF(Z404="",0,Z404),"0")+IFERROR(IF(Z405="",0,Z405),"0")+IFERROR(IF(Z406="",0,Z406),"0")</f>
        <v>0.23225999999999999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96</v>
      </c>
      <c r="Y408" s="645">
        <f>IFERROR(SUM(Y404:Y406),"0")</f>
        <v>98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900</v>
      </c>
      <c r="Y432" s="644">
        <f t="shared" si="63"/>
        <v>900</v>
      </c>
      <c r="Z432" s="36">
        <f>IFERROR(IF(Y432=0,"",ROUNDUP(Y432/H432,0)*0.02175),"")</f>
        <v>1.3049999999999999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928.2</v>
      </c>
      <c r="BN432" s="64">
        <f t="shared" si="65"/>
        <v>928.2</v>
      </c>
      <c r="BO432" s="64">
        <f t="shared" si="66"/>
        <v>1.25</v>
      </c>
      <c r="BP432" s="64">
        <f t="shared" si="67"/>
        <v>1.25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650</v>
      </c>
      <c r="Y433" s="644">
        <f t="shared" si="63"/>
        <v>660</v>
      </c>
      <c r="Z433" s="36">
        <f>IFERROR(IF(Y433=0,"",ROUNDUP(Y433/H433,0)*0.02175),"")</f>
        <v>0.95699999999999996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670.36666666666667</v>
      </c>
      <c r="BN433" s="64">
        <f t="shared" si="65"/>
        <v>680.68000000000006</v>
      </c>
      <c r="BO433" s="64">
        <f t="shared" si="66"/>
        <v>0.90277777777777779</v>
      </c>
      <c r="BP433" s="64">
        <f t="shared" si="67"/>
        <v>0.91666666666666663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600</v>
      </c>
      <c r="Y434" s="644">
        <f t="shared" si="63"/>
        <v>600</v>
      </c>
      <c r="Z434" s="36">
        <f>IFERROR(IF(Y434=0,"",ROUNDUP(Y434/H434,0)*0.02175),"")</f>
        <v>0.86999999999999988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618.79999999999995</v>
      </c>
      <c r="BN434" s="64">
        <f t="shared" si="65"/>
        <v>618.79999999999995</v>
      </c>
      <c r="BO434" s="64">
        <f t="shared" si="66"/>
        <v>0.83333333333333326</v>
      </c>
      <c r="BP434" s="64">
        <f t="shared" si="67"/>
        <v>0.83333333333333326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400</v>
      </c>
      <c r="Y435" s="644">
        <f t="shared" si="63"/>
        <v>405</v>
      </c>
      <c r="Z435" s="36">
        <f>IFERROR(IF(Y435=0,"",ROUNDUP(Y435/H435,0)*0.02175),"")</f>
        <v>0.58724999999999994</v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412.53333333333336</v>
      </c>
      <c r="BN435" s="64">
        <f t="shared" si="65"/>
        <v>417.69</v>
      </c>
      <c r="BO435" s="64">
        <f t="shared" si="66"/>
        <v>0.55555555555555558</v>
      </c>
      <c r="BP435" s="64">
        <f t="shared" si="67"/>
        <v>0.5625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170</v>
      </c>
      <c r="Y439" s="645">
        <f>IFERROR(Y431/H431,"0")+IFERROR(Y432/H432,"0")+IFERROR(Y433/H433,"0")+IFERROR(Y434/H434,"0")+IFERROR(Y435/H435,"0")+IFERROR(Y436/H436,"0")+IFERROR(Y437/H437,"0")+IFERROR(Y438/H438,"0")</f>
        <v>171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3.7192499999999997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2550</v>
      </c>
      <c r="Y440" s="645">
        <f>IFERROR(SUM(Y431:Y438),"0")</f>
        <v>2565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689</v>
      </c>
      <c r="Y442" s="644">
        <f>IFERROR(IF(X442="",0,CEILING((X442/$H442),1)*$H442),"")</f>
        <v>690</v>
      </c>
      <c r="Z442" s="36">
        <f>IFERROR(IF(Y442=0,"",ROUNDUP(Y442/H442,0)*0.02175),"")</f>
        <v>1.0004999999999999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710.58866666666665</v>
      </c>
      <c r="BN442" s="64">
        <f>IFERROR(Y442*I442/H442,"0")</f>
        <v>711.62000000000012</v>
      </c>
      <c r="BO442" s="64">
        <f>IFERROR(1/J442*(X442/H442),"0")</f>
        <v>0.95694444444444438</v>
      </c>
      <c r="BP442" s="64">
        <f>IFERROR(1/J442*(Y442/H442),"0")</f>
        <v>0.95833333333333326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45.93333333333333</v>
      </c>
      <c r="Y445" s="645">
        <f>IFERROR(Y442/H442,"0")+IFERROR(Y443/H443,"0")+IFERROR(Y444/H444,"0")</f>
        <v>46</v>
      </c>
      <c r="Z445" s="645">
        <f>IFERROR(IF(Z442="",0,Z442),"0")+IFERROR(IF(Z443="",0,Z443),"0")+IFERROR(IF(Z444="",0,Z444),"0")</f>
        <v>1.0004999999999999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689</v>
      </c>
      <c r="Y446" s="645">
        <f>IFERROR(SUM(Y442:Y444),"0")</f>
        <v>690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0</v>
      </c>
      <c r="Y472" s="645">
        <f>IFERROR(Y469/H469,"0")+IFERROR(Y470/H470,"0")+IFERROR(Y471/H471,"0")</f>
        <v>0</v>
      </c>
      <c r="Z472" s="645">
        <f>IFERROR(IF(Z469="",0,Z469),"0")+IFERROR(IF(Z470="",0,Z470),"0")+IFERROR(IF(Z471="",0,Z471),"0")</f>
        <v>0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0</v>
      </c>
      <c r="Y473" s="645">
        <f>IFERROR(SUM(Y469:Y471),"0")</f>
        <v>0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80</v>
      </c>
      <c r="Y496" s="644">
        <f>IFERROR(IF(X496="",0,CEILING((X496/$H496),1)*$H496),"")</f>
        <v>81</v>
      </c>
      <c r="Z496" s="36">
        <f>IFERROR(IF(Y496=0,"",ROUNDUP(Y496/H496,0)*0.00902),"")</f>
        <v>0.1353</v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82.81481481481481</v>
      </c>
      <c r="BN496" s="64">
        <f>IFERROR(Y496*I496/H496,"0")</f>
        <v>83.85</v>
      </c>
      <c r="BO496" s="64">
        <f>IFERROR(1/J496*(X496/H496),"0")</f>
        <v>0.11223344556677889</v>
      </c>
      <c r="BP496" s="64">
        <f>IFERROR(1/J496*(Y496/H496),"0")</f>
        <v>0.11363636363636363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14.814814814814813</v>
      </c>
      <c r="Y499" s="645">
        <f>IFERROR(Y496/H496,"0")+IFERROR(Y497/H497,"0")+IFERROR(Y498/H498,"0")</f>
        <v>14.999999999999998</v>
      </c>
      <c r="Z499" s="645">
        <f>IFERROR(IF(Z496="",0,Z496),"0")+IFERROR(IF(Z497="",0,Z497),"0")+IFERROR(IF(Z498="",0,Z498),"0")</f>
        <v>0.1353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80</v>
      </c>
      <c r="Y500" s="645">
        <f>IFERROR(SUM(Y496:Y498),"0")</f>
        <v>81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80</v>
      </c>
      <c r="Y509" s="644">
        <f t="shared" si="73"/>
        <v>84.48</v>
      </c>
      <c r="Z509" s="36">
        <f t="shared" si="74"/>
        <v>0.19136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85.303030303030297</v>
      </c>
      <c r="BN509" s="64">
        <f t="shared" si="76"/>
        <v>90.08</v>
      </c>
      <c r="BO509" s="64">
        <f t="shared" si="77"/>
        <v>0.14568764568764569</v>
      </c>
      <c r="BP509" s="64">
        <f t="shared" si="78"/>
        <v>0.15384615384615385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0</v>
      </c>
      <c r="Y512" s="644">
        <f t="shared" si="73"/>
        <v>0</v>
      </c>
      <c r="Z512" s="36" t="str">
        <f>IFERROR(IF(Y512=0,"",ROUNDUP(Y512/H512,0)*0.00902),"")</f>
        <v/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15.15151515151515</v>
      </c>
      <c r="Y513" s="645">
        <f>IFERROR(Y504/H504,"0")+IFERROR(Y505/H505,"0")+IFERROR(Y506/H506,"0")+IFERROR(Y507/H507,"0")+IFERROR(Y508/H508,"0")+IFERROR(Y509/H509,"0")+IFERROR(Y510/H510,"0")+IFERROR(Y511/H511,"0")+IFERROR(Y512/H512,"0")</f>
        <v>16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0.19136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80</v>
      </c>
      <c r="Y514" s="645">
        <f>IFERROR(SUM(Y504:Y512),"0")</f>
        <v>84.48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60</v>
      </c>
      <c r="Y516" s="644">
        <f>IFERROR(IF(X516="",0,CEILING((X516/$H516),1)*$H516),"")</f>
        <v>63.36</v>
      </c>
      <c r="Z516" s="36">
        <f>IFERROR(IF(Y516=0,"",ROUNDUP(Y516/H516,0)*0.01196),"")</f>
        <v>0.14352000000000001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63.977272727272727</v>
      </c>
      <c r="BN516" s="64">
        <f>IFERROR(Y516*I516/H516,"0")</f>
        <v>67.559999999999988</v>
      </c>
      <c r="BO516" s="64">
        <f>IFERROR(1/J516*(X516/H516),"0")</f>
        <v>0.10926573426573427</v>
      </c>
      <c r="BP516" s="64">
        <f>IFERROR(1/J516*(Y516/H516),"0")</f>
        <v>0.11538461538461539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11.363636363636363</v>
      </c>
      <c r="Y519" s="645">
        <f>IFERROR(Y516/H516,"0")+IFERROR(Y517/H517,"0")+IFERROR(Y518/H518,"0")</f>
        <v>12</v>
      </c>
      <c r="Z519" s="645">
        <f>IFERROR(IF(Z516="",0,Z516),"0")+IFERROR(IF(Z517="",0,Z517),"0")+IFERROR(IF(Z518="",0,Z518),"0")</f>
        <v>0.14352000000000001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60</v>
      </c>
      <c r="Y520" s="645">
        <f>IFERROR(SUM(Y516:Y518),"0")</f>
        <v>63.36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80</v>
      </c>
      <c r="Y522" s="644">
        <f t="shared" ref="Y522:Y528" si="79">IFERROR(IF(X522="",0,CEILING((X522/$H522),1)*$H522),"")</f>
        <v>84.48</v>
      </c>
      <c r="Z522" s="36">
        <f>IFERROR(IF(Y522=0,"",ROUNDUP(Y522/H522,0)*0.01196),"")</f>
        <v>0.19136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85.303030303030297</v>
      </c>
      <c r="BN522" s="64">
        <f t="shared" ref="BN522:BN528" si="81">IFERROR(Y522*I522/H522,"0")</f>
        <v>90.08</v>
      </c>
      <c r="BO522" s="64">
        <f t="shared" ref="BO522:BO528" si="82">IFERROR(1/J522*(X522/H522),"0")</f>
        <v>0.14568764568764569</v>
      </c>
      <c r="BP522" s="64">
        <f t="shared" ref="BP522:BP528" si="83">IFERROR(1/J522*(Y522/H522),"0")</f>
        <v>0.15384615384615385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0</v>
      </c>
      <c r="Y523" s="644">
        <f t="shared" si="79"/>
        <v>0</v>
      </c>
      <c r="Z523" s="36" t="str">
        <f>IFERROR(IF(Y523=0,"",ROUNDUP(Y523/H523,0)*0.01196),"")</f>
        <v/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0</v>
      </c>
      <c r="BN523" s="64">
        <f t="shared" si="81"/>
        <v>0</v>
      </c>
      <c r="BO523" s="64">
        <f t="shared" si="82"/>
        <v>0</v>
      </c>
      <c r="BP523" s="64">
        <f t="shared" si="83"/>
        <v>0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0</v>
      </c>
      <c r="Y524" s="644">
        <f t="shared" si="79"/>
        <v>0</v>
      </c>
      <c r="Z524" s="36" t="str">
        <f>IFERROR(IF(Y524=0,"",ROUNDUP(Y524/H524,0)*0.01196),"")</f>
        <v/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0</v>
      </c>
      <c r="BN524" s="64">
        <f t="shared" si="81"/>
        <v>0</v>
      </c>
      <c r="BO524" s="64">
        <f t="shared" si="82"/>
        <v>0</v>
      </c>
      <c r="BP524" s="64">
        <f t="shared" si="83"/>
        <v>0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15.15151515151515</v>
      </c>
      <c r="Y529" s="645">
        <f>IFERROR(Y522/H522,"0")+IFERROR(Y523/H523,"0")+IFERROR(Y524/H524,"0")+IFERROR(Y525/H525,"0")+IFERROR(Y526/H526,"0")+IFERROR(Y527/H527,"0")+IFERROR(Y528/H528,"0")</f>
        <v>16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0.19136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80</v>
      </c>
      <c r="Y530" s="645">
        <f>IFERROR(SUM(Y522:Y528),"0")</f>
        <v>84.48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4757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4839.5399999999981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4953.549377708162</v>
      </c>
      <c r="Y560" s="645">
        <f>IFERROR(SUM(BN22:BN556),"0")</f>
        <v>5040.3420000000006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8</v>
      </c>
      <c r="Y561" s="38">
        <f>ROUNDUP(SUM(BP22:BP556),0)</f>
        <v>8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5153.549377708162</v>
      </c>
      <c r="Y562" s="645">
        <f>GrossWeightTotalR+PalletQtyTotalR*25</f>
        <v>5240.3420000000006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532.80655462812319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545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8.2350100000000008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40.700000000000003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406.79999999999995</v>
      </c>
      <c r="F569" s="46">
        <f>IFERROR(Y85*1,"0")+IFERROR(Y86*1,"0")+IFERROR(Y87*1,"0")+IFERROR(Y88*1,"0")+IFERROR(Y89*1,"0")+IFERROR(Y93*1,"0")+IFERROR(Y94*1,"0")+IFERROR(Y95*1,"0")+IFERROR(Y96*1,"0")+IFERROR(Y97*1,"0")+IFERROR(Y98*1,"0")</f>
        <v>265.5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270</v>
      </c>
      <c r="H569" s="46">
        <f>IFERROR(Y138*1,"0")+IFERROR(Y139*1,"0")+IFERROR(Y143*1,"0")+IFERROR(Y144*1,"0")+IFERROR(Y148*1,"0")+IFERROR(Y149*1,"0")</f>
        <v>81.12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8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0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85.8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113.3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3255</v>
      </c>
      <c r="X569" s="46">
        <f>IFERROR(Y460*1,"0")+IFERROR(Y461*1,"0")+IFERROR(Y465*1,"0")+IFERROR(Y469*1,"0")+IFERROR(Y470*1,"0")+IFERROR(Y471*1,"0")</f>
        <v>0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81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232.32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