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355D0E2A-133B-4B95-BE1E-1AF15925FC2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8" i="1" l="1"/>
  <c r="Y557" i="1"/>
  <c r="X557" i="1"/>
  <c r="BP556" i="1"/>
  <c r="BO556" i="1"/>
  <c r="BN556" i="1"/>
  <c r="BM556" i="1"/>
  <c r="Z556" i="1"/>
  <c r="Z557" i="1" s="1"/>
  <c r="Y556" i="1"/>
  <c r="AC569" i="1" s="1"/>
  <c r="P556" i="1"/>
  <c r="X553" i="1"/>
  <c r="Y552" i="1"/>
  <c r="X552" i="1"/>
  <c r="BP551" i="1"/>
  <c r="BO551" i="1"/>
  <c r="BN551" i="1"/>
  <c r="BM551" i="1"/>
  <c r="Z551" i="1"/>
  <c r="Y551" i="1"/>
  <c r="P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0" i="1"/>
  <c r="X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P523" i="1"/>
  <c r="BO523" i="1"/>
  <c r="BN523" i="1"/>
  <c r="BM523" i="1"/>
  <c r="Z523" i="1"/>
  <c r="Y523" i="1"/>
  <c r="P523" i="1"/>
  <c r="BO522" i="1"/>
  <c r="BM522" i="1"/>
  <c r="Y522" i="1"/>
  <c r="Y530" i="1" s="1"/>
  <c r="P522" i="1"/>
  <c r="X520" i="1"/>
  <c r="X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Y500" i="1" s="1"/>
  <c r="P496" i="1"/>
  <c r="X494" i="1"/>
  <c r="X493" i="1"/>
  <c r="BO492" i="1"/>
  <c r="BN492" i="1"/>
  <c r="BM492" i="1"/>
  <c r="Z492" i="1"/>
  <c r="Z493" i="1" s="1"/>
  <c r="Y492" i="1"/>
  <c r="Y494" i="1" s="1"/>
  <c r="P492" i="1"/>
  <c r="X489" i="1"/>
  <c r="X488" i="1"/>
  <c r="BO487" i="1"/>
  <c r="BM487" i="1"/>
  <c r="Y487" i="1"/>
  <c r="BP487" i="1" s="1"/>
  <c r="P487" i="1"/>
  <c r="BO486" i="1"/>
  <c r="BM486" i="1"/>
  <c r="Y486" i="1"/>
  <c r="Y489" i="1" s="1"/>
  <c r="P486" i="1"/>
  <c r="X484" i="1"/>
  <c r="X483" i="1"/>
  <c r="BO482" i="1"/>
  <c r="BM482" i="1"/>
  <c r="Y482" i="1"/>
  <c r="BP482" i="1" s="1"/>
  <c r="P482" i="1"/>
  <c r="BP481" i="1"/>
  <c r="BO481" i="1"/>
  <c r="BN481" i="1"/>
  <c r="BM481" i="1"/>
  <c r="Z481" i="1"/>
  <c r="Y481" i="1"/>
  <c r="P481" i="1"/>
  <c r="BO480" i="1"/>
  <c r="BM480" i="1"/>
  <c r="Y480" i="1"/>
  <c r="BP480" i="1" s="1"/>
  <c r="P480" i="1"/>
  <c r="BP479" i="1"/>
  <c r="BO479" i="1"/>
  <c r="BN479" i="1"/>
  <c r="BM479" i="1"/>
  <c r="Z479" i="1"/>
  <c r="Y479" i="1"/>
  <c r="P479" i="1"/>
  <c r="BO478" i="1"/>
  <c r="BM478" i="1"/>
  <c r="Y478" i="1"/>
  <c r="BP478" i="1" s="1"/>
  <c r="P478" i="1"/>
  <c r="BP477" i="1"/>
  <c r="BO477" i="1"/>
  <c r="BN477" i="1"/>
  <c r="BM477" i="1"/>
  <c r="Z477" i="1"/>
  <c r="Y477" i="1"/>
  <c r="Y569" i="1" s="1"/>
  <c r="P477" i="1"/>
  <c r="X473" i="1"/>
  <c r="X472" i="1"/>
  <c r="BO471" i="1"/>
  <c r="BM471" i="1"/>
  <c r="Y471" i="1"/>
  <c r="BP471" i="1" s="1"/>
  <c r="P471" i="1"/>
  <c r="BO470" i="1"/>
  <c r="BM470" i="1"/>
  <c r="Y470" i="1"/>
  <c r="BP470" i="1" s="1"/>
  <c r="P470" i="1"/>
  <c r="BO469" i="1"/>
  <c r="BM469" i="1"/>
  <c r="Y469" i="1"/>
  <c r="Y473" i="1" s="1"/>
  <c r="P469" i="1"/>
  <c r="X467" i="1"/>
  <c r="X466" i="1"/>
  <c r="BO465" i="1"/>
  <c r="BM465" i="1"/>
  <c r="Y465" i="1"/>
  <c r="Y467" i="1" s="1"/>
  <c r="P465" i="1"/>
  <c r="X463" i="1"/>
  <c r="X462" i="1"/>
  <c r="BO461" i="1"/>
  <c r="BM461" i="1"/>
  <c r="Y461" i="1"/>
  <c r="BP461" i="1" s="1"/>
  <c r="P461" i="1"/>
  <c r="BO460" i="1"/>
  <c r="BM460" i="1"/>
  <c r="Y460" i="1"/>
  <c r="X569" i="1" s="1"/>
  <c r="P460" i="1"/>
  <c r="X457" i="1"/>
  <c r="X456" i="1"/>
  <c r="BO455" i="1"/>
  <c r="BM455" i="1"/>
  <c r="Y455" i="1"/>
  <c r="BP455" i="1" s="1"/>
  <c r="P455" i="1"/>
  <c r="BO454" i="1"/>
  <c r="BM454" i="1"/>
  <c r="Y454" i="1"/>
  <c r="Y456" i="1" s="1"/>
  <c r="P454" i="1"/>
  <c r="X452" i="1"/>
  <c r="X451" i="1"/>
  <c r="BO450" i="1"/>
  <c r="BM450" i="1"/>
  <c r="Y450" i="1"/>
  <c r="BP450" i="1" s="1"/>
  <c r="P450" i="1"/>
  <c r="BO449" i="1"/>
  <c r="BM449" i="1"/>
  <c r="Y449" i="1"/>
  <c r="BP449" i="1" s="1"/>
  <c r="P449" i="1"/>
  <c r="BO448" i="1"/>
  <c r="BM448" i="1"/>
  <c r="Y448" i="1"/>
  <c r="Y452" i="1" s="1"/>
  <c r="P448" i="1"/>
  <c r="X446" i="1"/>
  <c r="X445" i="1"/>
  <c r="BO444" i="1"/>
  <c r="BM444" i="1"/>
  <c r="Y444" i="1"/>
  <c r="BP444" i="1" s="1"/>
  <c r="P444" i="1"/>
  <c r="BO443" i="1"/>
  <c r="BM443" i="1"/>
  <c r="Y443" i="1"/>
  <c r="BP443" i="1" s="1"/>
  <c r="P443" i="1"/>
  <c r="BO442" i="1"/>
  <c r="BM442" i="1"/>
  <c r="Y442" i="1"/>
  <c r="Y446" i="1" s="1"/>
  <c r="P442" i="1"/>
  <c r="X440" i="1"/>
  <c r="X439" i="1"/>
  <c r="BO438" i="1"/>
  <c r="BM438" i="1"/>
  <c r="Y438" i="1"/>
  <c r="BP438" i="1" s="1"/>
  <c r="P438" i="1"/>
  <c r="BP437" i="1"/>
  <c r="BO437" i="1"/>
  <c r="BN437" i="1"/>
  <c r="BM437" i="1"/>
  <c r="Z437" i="1"/>
  <c r="Y437" i="1"/>
  <c r="P437" i="1"/>
  <c r="BO436" i="1"/>
  <c r="BM436" i="1"/>
  <c r="Y436" i="1"/>
  <c r="BP436" i="1" s="1"/>
  <c r="P436" i="1"/>
  <c r="BP435" i="1"/>
  <c r="BO435" i="1"/>
  <c r="BN435" i="1"/>
  <c r="BM435" i="1"/>
  <c r="Z435" i="1"/>
  <c r="Y435" i="1"/>
  <c r="P435" i="1"/>
  <c r="BO434" i="1"/>
  <c r="BM434" i="1"/>
  <c r="Y434" i="1"/>
  <c r="BP434" i="1" s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X427" i="1"/>
  <c r="X426" i="1"/>
  <c r="BO425" i="1"/>
  <c r="BM425" i="1"/>
  <c r="Y425" i="1"/>
  <c r="BP425" i="1" s="1"/>
  <c r="P425" i="1"/>
  <c r="BO424" i="1"/>
  <c r="BM424" i="1"/>
  <c r="Y424" i="1"/>
  <c r="BP424" i="1" s="1"/>
  <c r="P424" i="1"/>
  <c r="BO423" i="1"/>
  <c r="BM423" i="1"/>
  <c r="Y423" i="1"/>
  <c r="Y426" i="1" s="1"/>
  <c r="P423" i="1"/>
  <c r="X420" i="1"/>
  <c r="X419" i="1"/>
  <c r="BO418" i="1"/>
  <c r="BM418" i="1"/>
  <c r="Y418" i="1"/>
  <c r="BP418" i="1" s="1"/>
  <c r="P418" i="1"/>
  <c r="BO417" i="1"/>
  <c r="BM417" i="1"/>
  <c r="Y417" i="1"/>
  <c r="U569" i="1" s="1"/>
  <c r="P417" i="1"/>
  <c r="X414" i="1"/>
  <c r="X413" i="1"/>
  <c r="BO412" i="1"/>
  <c r="BM412" i="1"/>
  <c r="Y412" i="1"/>
  <c r="BP412" i="1" s="1"/>
  <c r="P412" i="1"/>
  <c r="BP411" i="1"/>
  <c r="BO411" i="1"/>
  <c r="BN411" i="1"/>
  <c r="BM411" i="1"/>
  <c r="Z411" i="1"/>
  <c r="Y411" i="1"/>
  <c r="P411" i="1"/>
  <c r="BO410" i="1"/>
  <c r="BM410" i="1"/>
  <c r="Y410" i="1"/>
  <c r="Y413" i="1" s="1"/>
  <c r="P410" i="1"/>
  <c r="X408" i="1"/>
  <c r="X407" i="1"/>
  <c r="BO406" i="1"/>
  <c r="BM406" i="1"/>
  <c r="Y406" i="1"/>
  <c r="BP406" i="1" s="1"/>
  <c r="P406" i="1"/>
  <c r="BP405" i="1"/>
  <c r="BO405" i="1"/>
  <c r="BN405" i="1"/>
  <c r="BM405" i="1"/>
  <c r="Z405" i="1"/>
  <c r="Y405" i="1"/>
  <c r="P405" i="1"/>
  <c r="BO404" i="1"/>
  <c r="BM404" i="1"/>
  <c r="Y404" i="1"/>
  <c r="Y407" i="1" s="1"/>
  <c r="P404" i="1"/>
  <c r="X402" i="1"/>
  <c r="X401" i="1"/>
  <c r="BO400" i="1"/>
  <c r="BM400" i="1"/>
  <c r="Y400" i="1"/>
  <c r="BP400" i="1" s="1"/>
  <c r="P400" i="1"/>
  <c r="BP399" i="1"/>
  <c r="BO399" i="1"/>
  <c r="BN399" i="1"/>
  <c r="BM399" i="1"/>
  <c r="Z399" i="1"/>
  <c r="Y399" i="1"/>
  <c r="P399" i="1"/>
  <c r="BO398" i="1"/>
  <c r="BM398" i="1"/>
  <c r="Y398" i="1"/>
  <c r="BP398" i="1" s="1"/>
  <c r="P398" i="1"/>
  <c r="BP397" i="1"/>
  <c r="BO397" i="1"/>
  <c r="BN397" i="1"/>
  <c r="BM397" i="1"/>
  <c r="Z397" i="1"/>
  <c r="Y397" i="1"/>
  <c r="Y401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Y395" i="1" s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BO384" i="1"/>
  <c r="BM384" i="1"/>
  <c r="Y384" i="1"/>
  <c r="Y389" i="1" s="1"/>
  <c r="P384" i="1"/>
  <c r="X382" i="1"/>
  <c r="X381" i="1"/>
  <c r="BO380" i="1"/>
  <c r="BM380" i="1"/>
  <c r="Y380" i="1"/>
  <c r="BP380" i="1" s="1"/>
  <c r="P380" i="1"/>
  <c r="BP379" i="1"/>
  <c r="BO379" i="1"/>
  <c r="BN379" i="1"/>
  <c r="BM379" i="1"/>
  <c r="Z379" i="1"/>
  <c r="Y379" i="1"/>
  <c r="P379" i="1"/>
  <c r="BO378" i="1"/>
  <c r="BM378" i="1"/>
  <c r="Y378" i="1"/>
  <c r="BP378" i="1" s="1"/>
  <c r="P378" i="1"/>
  <c r="BP377" i="1"/>
  <c r="BO377" i="1"/>
  <c r="BN377" i="1"/>
  <c r="BM377" i="1"/>
  <c r="Z377" i="1"/>
  <c r="Y377" i="1"/>
  <c r="P377" i="1"/>
  <c r="BO376" i="1"/>
  <c r="BM376" i="1"/>
  <c r="Y376" i="1"/>
  <c r="BP376" i="1" s="1"/>
  <c r="P376" i="1"/>
  <c r="BP375" i="1"/>
  <c r="BO375" i="1"/>
  <c r="BN375" i="1"/>
  <c r="BM375" i="1"/>
  <c r="Z375" i="1"/>
  <c r="Y375" i="1"/>
  <c r="P375" i="1"/>
  <c r="BO374" i="1"/>
  <c r="BM374" i="1"/>
  <c r="Y374" i="1"/>
  <c r="Y381" i="1" s="1"/>
  <c r="P374" i="1"/>
  <c r="X372" i="1"/>
  <c r="X371" i="1"/>
  <c r="BO370" i="1"/>
  <c r="BM370" i="1"/>
  <c r="Y370" i="1"/>
  <c r="BP370" i="1" s="1"/>
  <c r="P370" i="1"/>
  <c r="BP369" i="1"/>
  <c r="BO369" i="1"/>
  <c r="BN369" i="1"/>
  <c r="BM369" i="1"/>
  <c r="Z369" i="1"/>
  <c r="Y369" i="1"/>
  <c r="P369" i="1"/>
  <c r="BO368" i="1"/>
  <c r="BM368" i="1"/>
  <c r="Y368" i="1"/>
  <c r="BP368" i="1" s="1"/>
  <c r="P368" i="1"/>
  <c r="BO367" i="1"/>
  <c r="BM367" i="1"/>
  <c r="Y367" i="1"/>
  <c r="BP367" i="1" s="1"/>
  <c r="P367" i="1"/>
  <c r="BP366" i="1"/>
  <c r="BO366" i="1"/>
  <c r="BN366" i="1"/>
  <c r="BM366" i="1"/>
  <c r="Z366" i="1"/>
  <c r="Y366" i="1"/>
  <c r="P366" i="1"/>
  <c r="X363" i="1"/>
  <c r="X362" i="1"/>
  <c r="BP361" i="1"/>
  <c r="BO361" i="1"/>
  <c r="BN361" i="1"/>
  <c r="BM361" i="1"/>
  <c r="Z361" i="1"/>
  <c r="Y361" i="1"/>
  <c r="P361" i="1"/>
  <c r="BO360" i="1"/>
  <c r="BM360" i="1"/>
  <c r="Y360" i="1"/>
  <c r="Y362" i="1" s="1"/>
  <c r="P360" i="1"/>
  <c r="BP359" i="1"/>
  <c r="BO359" i="1"/>
  <c r="BN359" i="1"/>
  <c r="BM359" i="1"/>
  <c r="Z359" i="1"/>
  <c r="Y359" i="1"/>
  <c r="P359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Y355" i="1" s="1"/>
  <c r="P353" i="1"/>
  <c r="X351" i="1"/>
  <c r="X350" i="1"/>
  <c r="BO349" i="1"/>
  <c r="BM349" i="1"/>
  <c r="Y349" i="1"/>
  <c r="BP349" i="1" s="1"/>
  <c r="P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BO345" i="1"/>
  <c r="BM345" i="1"/>
  <c r="Y345" i="1"/>
  <c r="R569" i="1" s="1"/>
  <c r="P345" i="1"/>
  <c r="X342" i="1"/>
  <c r="X341" i="1"/>
  <c r="BO340" i="1"/>
  <c r="BM340" i="1"/>
  <c r="Y340" i="1"/>
  <c r="BP340" i="1" s="1"/>
  <c r="P340" i="1"/>
  <c r="BP339" i="1"/>
  <c r="BO339" i="1"/>
  <c r="BN339" i="1"/>
  <c r="BM339" i="1"/>
  <c r="Z339" i="1"/>
  <c r="Y339" i="1"/>
  <c r="P339" i="1"/>
  <c r="BO338" i="1"/>
  <c r="BM338" i="1"/>
  <c r="Y338" i="1"/>
  <c r="Q569" i="1" s="1"/>
  <c r="P338" i="1"/>
  <c r="X335" i="1"/>
  <c r="X334" i="1"/>
  <c r="BO333" i="1"/>
  <c r="BM333" i="1"/>
  <c r="Y333" i="1"/>
  <c r="BP333" i="1" s="1"/>
  <c r="P333" i="1"/>
  <c r="BP332" i="1"/>
  <c r="BO332" i="1"/>
  <c r="BN332" i="1"/>
  <c r="BM332" i="1"/>
  <c r="Z332" i="1"/>
  <c r="Y332" i="1"/>
  <c r="P332" i="1"/>
  <c r="BO331" i="1"/>
  <c r="BM331" i="1"/>
  <c r="Y331" i="1"/>
  <c r="BP331" i="1" s="1"/>
  <c r="P331" i="1"/>
  <c r="BP330" i="1"/>
  <c r="BO330" i="1"/>
  <c r="BN330" i="1"/>
  <c r="BM330" i="1"/>
  <c r="Z330" i="1"/>
  <c r="Y330" i="1"/>
  <c r="P330" i="1"/>
  <c r="BO329" i="1"/>
  <c r="BM329" i="1"/>
  <c r="Y329" i="1"/>
  <c r="P569" i="1" s="1"/>
  <c r="P329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Y326" i="1" s="1"/>
  <c r="P322" i="1"/>
  <c r="X320" i="1"/>
  <c r="X319" i="1"/>
  <c r="BO318" i="1"/>
  <c r="BM318" i="1"/>
  <c r="Y318" i="1"/>
  <c r="Y320" i="1" s="1"/>
  <c r="P318" i="1"/>
  <c r="X316" i="1"/>
  <c r="X315" i="1"/>
  <c r="BO314" i="1"/>
  <c r="BM314" i="1"/>
  <c r="Y314" i="1"/>
  <c r="Y316" i="1" s="1"/>
  <c r="P314" i="1"/>
  <c r="X312" i="1"/>
  <c r="X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BP308" i="1" s="1"/>
  <c r="P308" i="1"/>
  <c r="BP307" i="1"/>
  <c r="BO307" i="1"/>
  <c r="BN307" i="1"/>
  <c r="BM307" i="1"/>
  <c r="Z307" i="1"/>
  <c r="Y307" i="1"/>
  <c r="P307" i="1"/>
  <c r="BO306" i="1"/>
  <c r="BM306" i="1"/>
  <c r="Y306" i="1"/>
  <c r="BP306" i="1" s="1"/>
  <c r="P306" i="1"/>
  <c r="BP305" i="1"/>
  <c r="BO305" i="1"/>
  <c r="BN305" i="1"/>
  <c r="BM305" i="1"/>
  <c r="Z305" i="1"/>
  <c r="Y305" i="1"/>
  <c r="P305" i="1"/>
  <c r="BO304" i="1"/>
  <c r="BM304" i="1"/>
  <c r="Y304" i="1"/>
  <c r="O569" i="1" s="1"/>
  <c r="P304" i="1"/>
  <c r="X301" i="1"/>
  <c r="X300" i="1"/>
  <c r="BO299" i="1"/>
  <c r="BM299" i="1"/>
  <c r="Y299" i="1"/>
  <c r="Y301" i="1" s="1"/>
  <c r="P299" i="1"/>
  <c r="BP298" i="1"/>
  <c r="BO298" i="1"/>
  <c r="BN298" i="1"/>
  <c r="BM298" i="1"/>
  <c r="Z298" i="1"/>
  <c r="Y298" i="1"/>
  <c r="Y300" i="1" s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BP289" i="1" s="1"/>
  <c r="P289" i="1"/>
  <c r="BP288" i="1"/>
  <c r="BO288" i="1"/>
  <c r="BN288" i="1"/>
  <c r="BM288" i="1"/>
  <c r="Z288" i="1"/>
  <c r="Y288" i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BP285" i="1" s="1"/>
  <c r="P285" i="1"/>
  <c r="BP284" i="1"/>
  <c r="BO284" i="1"/>
  <c r="BN284" i="1"/>
  <c r="BM284" i="1"/>
  <c r="Z284" i="1"/>
  <c r="Y284" i="1"/>
  <c r="P284" i="1"/>
  <c r="BO283" i="1"/>
  <c r="BM283" i="1"/>
  <c r="Y283" i="1"/>
  <c r="Y295" i="1" s="1"/>
  <c r="P283" i="1"/>
  <c r="X281" i="1"/>
  <c r="X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Y281" i="1" s="1"/>
  <c r="P273" i="1"/>
  <c r="BP272" i="1"/>
  <c r="BO272" i="1"/>
  <c r="BN272" i="1"/>
  <c r="BM272" i="1"/>
  <c r="Z272" i="1"/>
  <c r="Y272" i="1"/>
  <c r="Y280" i="1" s="1"/>
  <c r="P272" i="1"/>
  <c r="X270" i="1"/>
  <c r="X269" i="1"/>
  <c r="BP268" i="1"/>
  <c r="BO268" i="1"/>
  <c r="BN268" i="1"/>
  <c r="BM268" i="1"/>
  <c r="Z268" i="1"/>
  <c r="Y268" i="1"/>
  <c r="P268" i="1"/>
  <c r="BO267" i="1"/>
  <c r="BM267" i="1"/>
  <c r="Y267" i="1"/>
  <c r="Y269" i="1" s="1"/>
  <c r="P267" i="1"/>
  <c r="X265" i="1"/>
  <c r="X264" i="1"/>
  <c r="BO263" i="1"/>
  <c r="BM263" i="1"/>
  <c r="Y263" i="1"/>
  <c r="Y265" i="1" s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Z258" i="1" s="1"/>
  <c r="Y257" i="1"/>
  <c r="Y259" i="1" s="1"/>
  <c r="P257" i="1"/>
  <c r="X255" i="1"/>
  <c r="X254" i="1"/>
  <c r="BP253" i="1"/>
  <c r="BO253" i="1"/>
  <c r="BN253" i="1"/>
  <c r="BM253" i="1"/>
  <c r="Z253" i="1"/>
  <c r="Y253" i="1"/>
  <c r="P253" i="1"/>
  <c r="BO252" i="1"/>
  <c r="BM252" i="1"/>
  <c r="Y252" i="1"/>
  <c r="Y254" i="1" s="1"/>
  <c r="P252" i="1"/>
  <c r="BP251" i="1"/>
  <c r="BO251" i="1"/>
  <c r="BN251" i="1"/>
  <c r="BM251" i="1"/>
  <c r="Z251" i="1"/>
  <c r="Y251" i="1"/>
  <c r="Y255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Y246" i="1"/>
  <c r="BP246" i="1" s="1"/>
  <c r="P246" i="1"/>
  <c r="BP245" i="1"/>
  <c r="BO245" i="1"/>
  <c r="BN245" i="1"/>
  <c r="BM245" i="1"/>
  <c r="Z245" i="1"/>
  <c r="Y245" i="1"/>
  <c r="P245" i="1"/>
  <c r="BO244" i="1"/>
  <c r="BM244" i="1"/>
  <c r="Y244" i="1"/>
  <c r="Y248" i="1" s="1"/>
  <c r="P244" i="1"/>
  <c r="BP243" i="1"/>
  <c r="BO243" i="1"/>
  <c r="BN243" i="1"/>
  <c r="BM243" i="1"/>
  <c r="Z243" i="1"/>
  <c r="Y243" i="1"/>
  <c r="Y249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X224" i="1"/>
  <c r="Y223" i="1"/>
  <c r="X223" i="1"/>
  <c r="BP222" i="1"/>
  <c r="BO222" i="1"/>
  <c r="BN222" i="1"/>
  <c r="BM222" i="1"/>
  <c r="Z222" i="1"/>
  <c r="Z223" i="1" s="1"/>
  <c r="Y222" i="1"/>
  <c r="L569" i="1" s="1"/>
  <c r="P222" i="1"/>
  <c r="X219" i="1"/>
  <c r="X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BP212" i="1" s="1"/>
  <c r="P212" i="1"/>
  <c r="BO211" i="1"/>
  <c r="BM211" i="1"/>
  <c r="Y211" i="1"/>
  <c r="K569" i="1" s="1"/>
  <c r="P211" i="1"/>
  <c r="X207" i="1"/>
  <c r="X206" i="1"/>
  <c r="BO205" i="1"/>
  <c r="BM205" i="1"/>
  <c r="Y205" i="1"/>
  <c r="Y206" i="1" s="1"/>
  <c r="P205" i="1"/>
  <c r="X203" i="1"/>
  <c r="X202" i="1"/>
  <c r="BO201" i="1"/>
  <c r="BM201" i="1"/>
  <c r="Y201" i="1"/>
  <c r="Y202" i="1" s="1"/>
  <c r="P201" i="1"/>
  <c r="X199" i="1"/>
  <c r="X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Y195" i="1"/>
  <c r="Y198" i="1" s="1"/>
  <c r="P195" i="1"/>
  <c r="X193" i="1"/>
  <c r="X192" i="1"/>
  <c r="BO191" i="1"/>
  <c r="BM191" i="1"/>
  <c r="Y191" i="1"/>
  <c r="BP191" i="1" s="1"/>
  <c r="P191" i="1"/>
  <c r="BP190" i="1"/>
  <c r="BO190" i="1"/>
  <c r="BN190" i="1"/>
  <c r="BM190" i="1"/>
  <c r="Z190" i="1"/>
  <c r="Y190" i="1"/>
  <c r="P190" i="1"/>
  <c r="BO189" i="1"/>
  <c r="BM189" i="1"/>
  <c r="Y189" i="1"/>
  <c r="BP189" i="1" s="1"/>
  <c r="P189" i="1"/>
  <c r="BP188" i="1"/>
  <c r="BO188" i="1"/>
  <c r="BN188" i="1"/>
  <c r="BM188" i="1"/>
  <c r="Z188" i="1"/>
  <c r="Y188" i="1"/>
  <c r="P188" i="1"/>
  <c r="BO187" i="1"/>
  <c r="BM187" i="1"/>
  <c r="Y187" i="1"/>
  <c r="BP187" i="1" s="1"/>
  <c r="P187" i="1"/>
  <c r="BP186" i="1"/>
  <c r="BO186" i="1"/>
  <c r="BN186" i="1"/>
  <c r="BM186" i="1"/>
  <c r="Z186" i="1"/>
  <c r="Y186" i="1"/>
  <c r="BP185" i="1"/>
  <c r="BO185" i="1"/>
  <c r="BN185" i="1"/>
  <c r="BM185" i="1"/>
  <c r="Z185" i="1"/>
  <c r="Y185" i="1"/>
  <c r="P185" i="1"/>
  <c r="BO184" i="1"/>
  <c r="BM184" i="1"/>
  <c r="Y184" i="1"/>
  <c r="BP184" i="1" s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Y19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Y178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J569" i="1" s="1"/>
  <c r="P169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BP158" i="1" s="1"/>
  <c r="P158" i="1"/>
  <c r="BP157" i="1"/>
  <c r="BO157" i="1"/>
  <c r="BN157" i="1"/>
  <c r="BM157" i="1"/>
  <c r="Z157" i="1"/>
  <c r="Y157" i="1"/>
  <c r="P157" i="1"/>
  <c r="BO156" i="1"/>
  <c r="BM156" i="1"/>
  <c r="Y156" i="1"/>
  <c r="BP156" i="1" s="1"/>
  <c r="P156" i="1"/>
  <c r="BP155" i="1"/>
  <c r="BO155" i="1"/>
  <c r="BN155" i="1"/>
  <c r="BM155" i="1"/>
  <c r="Z155" i="1"/>
  <c r="Y155" i="1"/>
  <c r="P155" i="1"/>
  <c r="BO154" i="1"/>
  <c r="BM154" i="1"/>
  <c r="Y154" i="1"/>
  <c r="I569" i="1" s="1"/>
  <c r="P154" i="1"/>
  <c r="X151" i="1"/>
  <c r="X150" i="1"/>
  <c r="BO149" i="1"/>
  <c r="BM149" i="1"/>
  <c r="Y149" i="1"/>
  <c r="BP149" i="1" s="1"/>
  <c r="P149" i="1"/>
  <c r="BP148" i="1"/>
  <c r="BO148" i="1"/>
  <c r="BN148" i="1"/>
  <c r="BM148" i="1"/>
  <c r="Z148" i="1"/>
  <c r="Y148" i="1"/>
  <c r="Y150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Y146" i="1" s="1"/>
  <c r="P143" i="1"/>
  <c r="X141" i="1"/>
  <c r="X140" i="1"/>
  <c r="BO139" i="1"/>
  <c r="BM139" i="1"/>
  <c r="Y139" i="1"/>
  <c r="BP139" i="1" s="1"/>
  <c r="P139" i="1"/>
  <c r="BP138" i="1"/>
  <c r="BO138" i="1"/>
  <c r="BN138" i="1"/>
  <c r="BM138" i="1"/>
  <c r="Z138" i="1"/>
  <c r="Y138" i="1"/>
  <c r="P138" i="1"/>
  <c r="X135" i="1"/>
  <c r="Y134" i="1"/>
  <c r="X134" i="1"/>
  <c r="BP133" i="1"/>
  <c r="BO133" i="1"/>
  <c r="BN133" i="1"/>
  <c r="BM133" i="1"/>
  <c r="Z133" i="1"/>
  <c r="Y133" i="1"/>
  <c r="BP132" i="1"/>
  <c r="BO132" i="1"/>
  <c r="BN132" i="1"/>
  <c r="BM132" i="1"/>
  <c r="Z132" i="1"/>
  <c r="Z134" i="1" s="1"/>
  <c r="Y132" i="1"/>
  <c r="Y135" i="1" s="1"/>
  <c r="P132" i="1"/>
  <c r="X130" i="1"/>
  <c r="X129" i="1"/>
  <c r="BP128" i="1"/>
  <c r="BO128" i="1"/>
  <c r="BN128" i="1"/>
  <c r="BM128" i="1"/>
  <c r="Z128" i="1"/>
  <c r="Y128" i="1"/>
  <c r="BP127" i="1"/>
  <c r="BO127" i="1"/>
  <c r="BN127" i="1"/>
  <c r="BM127" i="1"/>
  <c r="Z127" i="1"/>
  <c r="Y127" i="1"/>
  <c r="P127" i="1"/>
  <c r="BO126" i="1"/>
  <c r="BM126" i="1"/>
  <c r="Y126" i="1"/>
  <c r="BP126" i="1" s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Y130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Y119" i="1" s="1"/>
  <c r="P114" i="1"/>
  <c r="X112" i="1"/>
  <c r="X111" i="1"/>
  <c r="BO110" i="1"/>
  <c r="BM110" i="1"/>
  <c r="Y110" i="1"/>
  <c r="BP110" i="1" s="1"/>
  <c r="P110" i="1"/>
  <c r="BP109" i="1"/>
  <c r="BO109" i="1"/>
  <c r="BN109" i="1"/>
  <c r="BM109" i="1"/>
  <c r="Z109" i="1"/>
  <c r="Y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X100" i="1"/>
  <c r="X99" i="1"/>
  <c r="BO98" i="1"/>
  <c r="BM98" i="1"/>
  <c r="Y98" i="1"/>
  <c r="P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BP94" i="1"/>
  <c r="BO94" i="1"/>
  <c r="BN94" i="1"/>
  <c r="BM94" i="1"/>
  <c r="Z94" i="1"/>
  <c r="Y94" i="1"/>
  <c r="BP93" i="1"/>
  <c r="BO93" i="1"/>
  <c r="BN93" i="1"/>
  <c r="BM93" i="1"/>
  <c r="Z93" i="1"/>
  <c r="Y93" i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BO78" i="1"/>
  <c r="BM78" i="1"/>
  <c r="Y78" i="1"/>
  <c r="P78" i="1"/>
  <c r="BP77" i="1"/>
  <c r="BO77" i="1"/>
  <c r="BN77" i="1"/>
  <c r="BM77" i="1"/>
  <c r="Z77" i="1"/>
  <c r="Y77" i="1"/>
  <c r="Y81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4" i="1" s="1"/>
  <c r="P72" i="1"/>
  <c r="BP71" i="1"/>
  <c r="BO71" i="1"/>
  <c r="BN71" i="1"/>
  <c r="BM71" i="1"/>
  <c r="Z71" i="1"/>
  <c r="Y71" i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P66" i="1"/>
  <c r="BP65" i="1"/>
  <c r="BO65" i="1"/>
  <c r="BN65" i="1"/>
  <c r="BM65" i="1"/>
  <c r="Z65" i="1"/>
  <c r="Y65" i="1"/>
  <c r="P65" i="1"/>
  <c r="BO64" i="1"/>
  <c r="BM64" i="1"/>
  <c r="Y64" i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Y52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559" i="1" s="1"/>
  <c r="X24" i="1"/>
  <c r="BP23" i="1"/>
  <c r="BO23" i="1"/>
  <c r="BN23" i="1"/>
  <c r="BM23" i="1"/>
  <c r="Z23" i="1"/>
  <c r="Y23" i="1"/>
  <c r="P23" i="1"/>
  <c r="BO22" i="1"/>
  <c r="X561" i="1" s="1"/>
  <c r="BM22" i="1"/>
  <c r="X560" i="1" s="1"/>
  <c r="X562" i="1" s="1"/>
  <c r="Y22" i="1"/>
  <c r="B569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X563" i="1"/>
  <c r="Y25" i="1"/>
  <c r="Z28" i="1"/>
  <c r="Z32" i="1" s="1"/>
  <c r="BN28" i="1"/>
  <c r="BP28" i="1"/>
  <c r="Z30" i="1"/>
  <c r="BN30" i="1"/>
  <c r="C569" i="1"/>
  <c r="Z38" i="1"/>
  <c r="Z42" i="1" s="1"/>
  <c r="BN38" i="1"/>
  <c r="BP38" i="1"/>
  <c r="Z40" i="1"/>
  <c r="BN40" i="1"/>
  <c r="Y43" i="1"/>
  <c r="D569" i="1"/>
  <c r="Z48" i="1"/>
  <c r="Z51" i="1" s="1"/>
  <c r="BN48" i="1"/>
  <c r="BP48" i="1"/>
  <c r="Z50" i="1"/>
  <c r="BN50" i="1"/>
  <c r="Y51" i="1"/>
  <c r="Z55" i="1"/>
  <c r="BN55" i="1"/>
  <c r="Z57" i="1"/>
  <c r="BN57" i="1"/>
  <c r="Z59" i="1"/>
  <c r="BN59" i="1"/>
  <c r="BP66" i="1"/>
  <c r="BN66" i="1"/>
  <c r="Z66" i="1"/>
  <c r="Y75" i="1"/>
  <c r="BP78" i="1"/>
  <c r="BN78" i="1"/>
  <c r="Z78" i="1"/>
  <c r="BP88" i="1"/>
  <c r="BN88" i="1"/>
  <c r="Z88" i="1"/>
  <c r="Y99" i="1"/>
  <c r="BP98" i="1"/>
  <c r="BN98" i="1"/>
  <c r="Z98" i="1"/>
  <c r="G569" i="1"/>
  <c r="Y111" i="1"/>
  <c r="BP103" i="1"/>
  <c r="BN103" i="1"/>
  <c r="Z103" i="1"/>
  <c r="Y112" i="1"/>
  <c r="H9" i="1"/>
  <c r="Y24" i="1"/>
  <c r="E569" i="1"/>
  <c r="Y61" i="1"/>
  <c r="Y62" i="1"/>
  <c r="Y69" i="1"/>
  <c r="BP64" i="1"/>
  <c r="BN64" i="1"/>
  <c r="Z64" i="1"/>
  <c r="Z68" i="1" s="1"/>
  <c r="Y68" i="1"/>
  <c r="Z74" i="1"/>
  <c r="BP72" i="1"/>
  <c r="BN72" i="1"/>
  <c r="Z72" i="1"/>
  <c r="BP80" i="1"/>
  <c r="BN80" i="1"/>
  <c r="Z80" i="1"/>
  <c r="Y82" i="1"/>
  <c r="F569" i="1"/>
  <c r="Y91" i="1"/>
  <c r="BP85" i="1"/>
  <c r="BN85" i="1"/>
  <c r="Z85" i="1"/>
  <c r="Z90" i="1" s="1"/>
  <c r="Y90" i="1"/>
  <c r="BP95" i="1"/>
  <c r="BN95" i="1"/>
  <c r="Z95" i="1"/>
  <c r="Z99" i="1" s="1"/>
  <c r="Y120" i="1"/>
  <c r="Y129" i="1"/>
  <c r="Y141" i="1"/>
  <c r="Y145" i="1"/>
  <c r="Y151" i="1"/>
  <c r="Y162" i="1"/>
  <c r="Y166" i="1"/>
  <c r="Y173" i="1"/>
  <c r="Y177" i="1"/>
  <c r="Y193" i="1"/>
  <c r="Y199" i="1"/>
  <c r="Y203" i="1"/>
  <c r="Y207" i="1"/>
  <c r="Z212" i="1"/>
  <c r="BN212" i="1"/>
  <c r="Z214" i="1"/>
  <c r="BN214" i="1"/>
  <c r="Z216" i="1"/>
  <c r="BN216" i="1"/>
  <c r="Y219" i="1"/>
  <c r="Y224" i="1"/>
  <c r="Y241" i="1"/>
  <c r="Z227" i="1"/>
  <c r="BN227" i="1"/>
  <c r="Z229" i="1"/>
  <c r="BN229" i="1"/>
  <c r="Z231" i="1"/>
  <c r="BN231" i="1"/>
  <c r="BP232" i="1"/>
  <c r="BN232" i="1"/>
  <c r="BP234" i="1"/>
  <c r="BN234" i="1"/>
  <c r="Z234" i="1"/>
  <c r="BP238" i="1"/>
  <c r="BN238" i="1"/>
  <c r="Z238" i="1"/>
  <c r="Z105" i="1"/>
  <c r="BN105" i="1"/>
  <c r="Z107" i="1"/>
  <c r="BN107" i="1"/>
  <c r="Z110" i="1"/>
  <c r="BN110" i="1"/>
  <c r="Z114" i="1"/>
  <c r="BN114" i="1"/>
  <c r="BP114" i="1"/>
  <c r="Z116" i="1"/>
  <c r="BN116" i="1"/>
  <c r="Z118" i="1"/>
  <c r="BN118" i="1"/>
  <c r="Z122" i="1"/>
  <c r="Z129" i="1" s="1"/>
  <c r="BN122" i="1"/>
  <c r="BP122" i="1"/>
  <c r="Z123" i="1"/>
  <c r="BN123" i="1"/>
  <c r="Z125" i="1"/>
  <c r="BN125" i="1"/>
  <c r="Z126" i="1"/>
  <c r="BN126" i="1"/>
  <c r="H569" i="1"/>
  <c r="Z139" i="1"/>
  <c r="Z140" i="1" s="1"/>
  <c r="BN139" i="1"/>
  <c r="Y140" i="1"/>
  <c r="Z143" i="1"/>
  <c r="Z145" i="1" s="1"/>
  <c r="BN143" i="1"/>
  <c r="BP143" i="1"/>
  <c r="Z149" i="1"/>
  <c r="Z150" i="1" s="1"/>
  <c r="BN149" i="1"/>
  <c r="Z154" i="1"/>
  <c r="Z161" i="1" s="1"/>
  <c r="BN154" i="1"/>
  <c r="BP154" i="1"/>
  <c r="Z156" i="1"/>
  <c r="BN156" i="1"/>
  <c r="Z158" i="1"/>
  <c r="BN158" i="1"/>
  <c r="Z160" i="1"/>
  <c r="BN160" i="1"/>
  <c r="Y161" i="1"/>
  <c r="Z164" i="1"/>
  <c r="Z165" i="1" s="1"/>
  <c r="BN164" i="1"/>
  <c r="BP164" i="1"/>
  <c r="Z169" i="1"/>
  <c r="BN169" i="1"/>
  <c r="BP169" i="1"/>
  <c r="Z171" i="1"/>
  <c r="BN171" i="1"/>
  <c r="Y172" i="1"/>
  <c r="Z175" i="1"/>
  <c r="Z177" i="1" s="1"/>
  <c r="BN175" i="1"/>
  <c r="BP175" i="1"/>
  <c r="Z181" i="1"/>
  <c r="Z192" i="1" s="1"/>
  <c r="BN181" i="1"/>
  <c r="Z183" i="1"/>
  <c r="BN183" i="1"/>
  <c r="Z184" i="1"/>
  <c r="BN184" i="1"/>
  <c r="Z187" i="1"/>
  <c r="BN187" i="1"/>
  <c r="Z189" i="1"/>
  <c r="BN189" i="1"/>
  <c r="Z191" i="1"/>
  <c r="BN191" i="1"/>
  <c r="Z195" i="1"/>
  <c r="Z198" i="1" s="1"/>
  <c r="BN195" i="1"/>
  <c r="BP195" i="1"/>
  <c r="Z197" i="1"/>
  <c r="BN197" i="1"/>
  <c r="Z201" i="1"/>
  <c r="Z202" i="1" s="1"/>
  <c r="BN201" i="1"/>
  <c r="BP201" i="1"/>
  <c r="Z205" i="1"/>
  <c r="Z206" i="1" s="1"/>
  <c r="BN205" i="1"/>
  <c r="BP205" i="1"/>
  <c r="Z211" i="1"/>
  <c r="BN211" i="1"/>
  <c r="BP211" i="1"/>
  <c r="Z213" i="1"/>
  <c r="BN213" i="1"/>
  <c r="Z215" i="1"/>
  <c r="BN215" i="1"/>
  <c r="Z217" i="1"/>
  <c r="BN217" i="1"/>
  <c r="Y218" i="1"/>
  <c r="BP236" i="1"/>
  <c r="BN236" i="1"/>
  <c r="Z236" i="1"/>
  <c r="Z240" i="1" s="1"/>
  <c r="Y240" i="1"/>
  <c r="Z244" i="1"/>
  <c r="BN244" i="1"/>
  <c r="BP244" i="1"/>
  <c r="Z246" i="1"/>
  <c r="Z248" i="1" s="1"/>
  <c r="BN246" i="1"/>
  <c r="Z252" i="1"/>
  <c r="Z254" i="1" s="1"/>
  <c r="BN252" i="1"/>
  <c r="BP252" i="1"/>
  <c r="M569" i="1"/>
  <c r="Z263" i="1"/>
  <c r="Z264" i="1" s="1"/>
  <c r="BN263" i="1"/>
  <c r="BP263" i="1"/>
  <c r="Y264" i="1"/>
  <c r="Z267" i="1"/>
  <c r="Z269" i="1" s="1"/>
  <c r="BN267" i="1"/>
  <c r="BP267" i="1"/>
  <c r="Y270" i="1"/>
  <c r="Z273" i="1"/>
  <c r="Z280" i="1" s="1"/>
  <c r="BN273" i="1"/>
  <c r="BP273" i="1"/>
  <c r="Z275" i="1"/>
  <c r="BN275" i="1"/>
  <c r="Z277" i="1"/>
  <c r="BN277" i="1"/>
  <c r="Z279" i="1"/>
  <c r="BN279" i="1"/>
  <c r="Z283" i="1"/>
  <c r="BN283" i="1"/>
  <c r="BP283" i="1"/>
  <c r="Z285" i="1"/>
  <c r="BN285" i="1"/>
  <c r="Z287" i="1"/>
  <c r="BN287" i="1"/>
  <c r="Z289" i="1"/>
  <c r="BN289" i="1"/>
  <c r="Z291" i="1"/>
  <c r="BN291" i="1"/>
  <c r="Z293" i="1"/>
  <c r="BN293" i="1"/>
  <c r="Y296" i="1"/>
  <c r="Z299" i="1"/>
  <c r="Z300" i="1" s="1"/>
  <c r="BN299" i="1"/>
  <c r="BP299" i="1"/>
  <c r="Z304" i="1"/>
  <c r="Z311" i="1" s="1"/>
  <c r="BN304" i="1"/>
  <c r="BP304" i="1"/>
  <c r="Z306" i="1"/>
  <c r="BN306" i="1"/>
  <c r="Z308" i="1"/>
  <c r="BN308" i="1"/>
  <c r="Z310" i="1"/>
  <c r="BN310" i="1"/>
  <c r="Y311" i="1"/>
  <c r="Z314" i="1"/>
  <c r="Z315" i="1" s="1"/>
  <c r="BN314" i="1"/>
  <c r="BP314" i="1"/>
  <c r="Y315" i="1"/>
  <c r="Z318" i="1"/>
  <c r="Z319" i="1" s="1"/>
  <c r="BN318" i="1"/>
  <c r="BP318" i="1"/>
  <c r="Y319" i="1"/>
  <c r="Z322" i="1"/>
  <c r="Z325" i="1" s="1"/>
  <c r="BN322" i="1"/>
  <c r="BP322" i="1"/>
  <c r="Z324" i="1"/>
  <c r="BN324" i="1"/>
  <c r="Y325" i="1"/>
  <c r="Z329" i="1"/>
  <c r="Z334" i="1" s="1"/>
  <c r="BN329" i="1"/>
  <c r="BP329" i="1"/>
  <c r="Z331" i="1"/>
  <c r="BN331" i="1"/>
  <c r="Z333" i="1"/>
  <c r="BN333" i="1"/>
  <c r="Y334" i="1"/>
  <c r="Z338" i="1"/>
  <c r="Z341" i="1" s="1"/>
  <c r="BN338" i="1"/>
  <c r="BP338" i="1"/>
  <c r="Z340" i="1"/>
  <c r="BN340" i="1"/>
  <c r="Y341" i="1"/>
  <c r="Z345" i="1"/>
  <c r="Z350" i="1" s="1"/>
  <c r="BN345" i="1"/>
  <c r="BP345" i="1"/>
  <c r="Z347" i="1"/>
  <c r="BN347" i="1"/>
  <c r="Z349" i="1"/>
  <c r="BN349" i="1"/>
  <c r="Y350" i="1"/>
  <c r="Z353" i="1"/>
  <c r="Z355" i="1" s="1"/>
  <c r="BN353" i="1"/>
  <c r="BP353" i="1"/>
  <c r="Y356" i="1"/>
  <c r="S569" i="1"/>
  <c r="Z360" i="1"/>
  <c r="Z362" i="1" s="1"/>
  <c r="BN360" i="1"/>
  <c r="BP360" i="1"/>
  <c r="Y363" i="1"/>
  <c r="T569" i="1"/>
  <c r="Z367" i="1"/>
  <c r="Z371" i="1" s="1"/>
  <c r="BN367" i="1"/>
  <c r="Y372" i="1"/>
  <c r="Y382" i="1"/>
  <c r="Y388" i="1"/>
  <c r="Y394" i="1"/>
  <c r="Y402" i="1"/>
  <c r="Y408" i="1"/>
  <c r="Y414" i="1"/>
  <c r="Z418" i="1"/>
  <c r="BN418" i="1"/>
  <c r="Y419" i="1"/>
  <c r="Z423" i="1"/>
  <c r="BN423" i="1"/>
  <c r="BP423" i="1"/>
  <c r="Z425" i="1"/>
  <c r="BN425" i="1"/>
  <c r="BP432" i="1"/>
  <c r="BN432" i="1"/>
  <c r="Z432" i="1"/>
  <c r="Z439" i="1" s="1"/>
  <c r="Y312" i="1"/>
  <c r="Y335" i="1"/>
  <c r="Y342" i="1"/>
  <c r="Y351" i="1"/>
  <c r="Z368" i="1"/>
  <c r="BN368" i="1"/>
  <c r="Z370" i="1"/>
  <c r="BN370" i="1"/>
  <c r="Y371" i="1"/>
  <c r="Z374" i="1"/>
  <c r="BN374" i="1"/>
  <c r="BP374" i="1"/>
  <c r="Z376" i="1"/>
  <c r="BN376" i="1"/>
  <c r="Z378" i="1"/>
  <c r="BN378" i="1"/>
  <c r="Z380" i="1"/>
  <c r="BN380" i="1"/>
  <c r="Z384" i="1"/>
  <c r="Z388" i="1" s="1"/>
  <c r="BN384" i="1"/>
  <c r="BP384" i="1"/>
  <c r="Z386" i="1"/>
  <c r="BN386" i="1"/>
  <c r="Z392" i="1"/>
  <c r="Z394" i="1" s="1"/>
  <c r="BN392" i="1"/>
  <c r="Z398" i="1"/>
  <c r="Z401" i="1" s="1"/>
  <c r="BN398" i="1"/>
  <c r="Z400" i="1"/>
  <c r="BN400" i="1"/>
  <c r="Z404" i="1"/>
  <c r="BN404" i="1"/>
  <c r="BP404" i="1"/>
  <c r="Z406" i="1"/>
  <c r="BN406" i="1"/>
  <c r="Z410" i="1"/>
  <c r="Z413" i="1" s="1"/>
  <c r="BN410" i="1"/>
  <c r="BP410" i="1"/>
  <c r="Z412" i="1"/>
  <c r="BN412" i="1"/>
  <c r="Z417" i="1"/>
  <c r="Z419" i="1" s="1"/>
  <c r="BN417" i="1"/>
  <c r="BP417" i="1"/>
  <c r="Y420" i="1"/>
  <c r="V569" i="1"/>
  <c r="Y427" i="1"/>
  <c r="Z424" i="1"/>
  <c r="BN424" i="1"/>
  <c r="W569" i="1"/>
  <c r="Z434" i="1"/>
  <c r="BN434" i="1"/>
  <c r="Z436" i="1"/>
  <c r="BN436" i="1"/>
  <c r="Z438" i="1"/>
  <c r="BN438" i="1"/>
  <c r="Y439" i="1"/>
  <c r="Z442" i="1"/>
  <c r="BN442" i="1"/>
  <c r="BP442" i="1"/>
  <c r="Z444" i="1"/>
  <c r="BN444" i="1"/>
  <c r="Y445" i="1"/>
  <c r="Z448" i="1"/>
  <c r="BN448" i="1"/>
  <c r="BP448" i="1"/>
  <c r="Z450" i="1"/>
  <c r="BN450" i="1"/>
  <c r="Y451" i="1"/>
  <c r="Z454" i="1"/>
  <c r="BN454" i="1"/>
  <c r="BP454" i="1"/>
  <c r="Y457" i="1"/>
  <c r="Z461" i="1"/>
  <c r="BN461" i="1"/>
  <c r="Y462" i="1"/>
  <c r="Z465" i="1"/>
  <c r="Z466" i="1" s="1"/>
  <c r="BN465" i="1"/>
  <c r="BP465" i="1"/>
  <c r="Y466" i="1"/>
  <c r="Z469" i="1"/>
  <c r="BN469" i="1"/>
  <c r="BP469" i="1"/>
  <c r="Z471" i="1"/>
  <c r="BN471" i="1"/>
  <c r="Y472" i="1"/>
  <c r="Y484" i="1"/>
  <c r="Z487" i="1"/>
  <c r="BN487" i="1"/>
  <c r="Y488" i="1"/>
  <c r="BP492" i="1"/>
  <c r="Y493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Z569" i="1"/>
  <c r="Y440" i="1"/>
  <c r="Z443" i="1"/>
  <c r="BN443" i="1"/>
  <c r="Z449" i="1"/>
  <c r="BN449" i="1"/>
  <c r="Z455" i="1"/>
  <c r="BN455" i="1"/>
  <c r="Z460" i="1"/>
  <c r="Z462" i="1" s="1"/>
  <c r="BN460" i="1"/>
  <c r="BP460" i="1"/>
  <c r="Y463" i="1"/>
  <c r="Z470" i="1"/>
  <c r="BN470" i="1"/>
  <c r="Z478" i="1"/>
  <c r="Z483" i="1" s="1"/>
  <c r="BN478" i="1"/>
  <c r="Z480" i="1"/>
  <c r="BN480" i="1"/>
  <c r="Z482" i="1"/>
  <c r="BN482" i="1"/>
  <c r="Y483" i="1"/>
  <c r="Z486" i="1"/>
  <c r="Z488" i="1" s="1"/>
  <c r="BN486" i="1"/>
  <c r="BP486" i="1"/>
  <c r="Y499" i="1"/>
  <c r="BP496" i="1"/>
  <c r="BN496" i="1"/>
  <c r="Z496" i="1"/>
  <c r="Z499" i="1" s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Z529" i="1" s="1"/>
  <c r="BP526" i="1"/>
  <c r="BN526" i="1"/>
  <c r="Z526" i="1"/>
  <c r="AB569" i="1"/>
  <c r="Y558" i="1"/>
  <c r="Z513" i="1" l="1"/>
  <c r="Z456" i="1"/>
  <c r="Z451" i="1"/>
  <c r="Z445" i="1"/>
  <c r="Z407" i="1"/>
  <c r="Z381" i="1"/>
  <c r="Z295" i="1"/>
  <c r="Z218" i="1"/>
  <c r="Z172" i="1"/>
  <c r="Z119" i="1"/>
  <c r="Y563" i="1"/>
  <c r="Z111" i="1"/>
  <c r="Z81" i="1"/>
  <c r="Z61" i="1"/>
  <c r="Y559" i="1"/>
  <c r="Y561" i="1"/>
  <c r="Z519" i="1"/>
  <c r="Z472" i="1"/>
  <c r="Z564" i="1" s="1"/>
  <c r="Z426" i="1"/>
  <c r="Y560" i="1"/>
  <c r="Y562" i="1" s="1"/>
</calcChain>
</file>

<file path=xl/sharedStrings.xml><?xml version="1.0" encoding="utf-8"?>
<sst xmlns="http://schemas.openxmlformats.org/spreadsheetml/2006/main" count="2556" uniqueCount="916">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</sst>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9"/>
  <sheetViews>
    <sheetView showGridLines="0" tabSelected="1" topLeftCell="A541" zoomScaleNormal="100" zoomScaleSheetLayoutView="100" workbookViewId="0">
      <selection activeCell="AA565" sqref="AA565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5" t="s">
        <v>0</v>
      </c>
      <c r="E1" s="679"/>
      <c r="F1" s="679"/>
      <c r="G1" s="12" t="s">
        <v>1</v>
      </c>
      <c r="H1" s="725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2" t="s">
        <v>8</v>
      </c>
      <c r="B5" s="700"/>
      <c r="C5" s="701"/>
      <c r="D5" s="729"/>
      <c r="E5" s="730"/>
      <c r="F5" s="968" t="s">
        <v>9</v>
      </c>
      <c r="G5" s="701"/>
      <c r="H5" s="729"/>
      <c r="I5" s="903"/>
      <c r="J5" s="903"/>
      <c r="K5" s="903"/>
      <c r="L5" s="903"/>
      <c r="M5" s="730"/>
      <c r="N5" s="58"/>
      <c r="P5" s="24" t="s">
        <v>10</v>
      </c>
      <c r="Q5" s="983">
        <v>46265</v>
      </c>
      <c r="R5" s="771"/>
      <c r="T5" s="820" t="s">
        <v>11</v>
      </c>
      <c r="U5" s="821"/>
      <c r="V5" s="824" t="s">
        <v>12</v>
      </c>
      <c r="W5" s="771"/>
      <c r="AB5" s="51"/>
      <c r="AC5" s="51"/>
      <c r="AD5" s="51"/>
      <c r="AE5" s="51"/>
    </row>
    <row r="6" spans="1:32" s="637" customFormat="1" ht="24" customHeight="1" x14ac:dyDescent="0.2">
      <c r="A6" s="772" t="s">
        <v>13</v>
      </c>
      <c r="B6" s="700"/>
      <c r="C6" s="701"/>
      <c r="D6" s="905"/>
      <c r="E6" s="906"/>
      <c r="F6" s="906"/>
      <c r="G6" s="906"/>
      <c r="H6" s="906"/>
      <c r="I6" s="906"/>
      <c r="J6" s="906"/>
      <c r="K6" s="906"/>
      <c r="L6" s="906"/>
      <c r="M6" s="771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Понедельник</v>
      </c>
      <c r="R6" s="654"/>
      <c r="T6" s="829" t="s">
        <v>15</v>
      </c>
      <c r="U6" s="821"/>
      <c r="V6" s="886" t="s">
        <v>16</v>
      </c>
      <c r="W6" s="696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6"/>
      <c r="U7" s="821"/>
      <c r="V7" s="887"/>
      <c r="W7" s="888"/>
      <c r="AB7" s="51"/>
      <c r="AC7" s="51"/>
      <c r="AD7" s="51"/>
      <c r="AE7" s="51"/>
    </row>
    <row r="8" spans="1:32" s="637" customFormat="1" ht="25.5" customHeight="1" x14ac:dyDescent="0.2">
      <c r="A8" s="1010" t="s">
        <v>17</v>
      </c>
      <c r="B8" s="651"/>
      <c r="C8" s="652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80">
        <v>0.41666666666666669</v>
      </c>
      <c r="R8" s="709"/>
      <c r="T8" s="656"/>
      <c r="U8" s="821"/>
      <c r="V8" s="887"/>
      <c r="W8" s="888"/>
      <c r="AB8" s="51"/>
      <c r="AC8" s="51"/>
      <c r="AD8" s="51"/>
      <c r="AE8" s="51"/>
    </row>
    <row r="9" spans="1:32" s="637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3"/>
      <c r="E9" s="668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35"/>
      <c r="P9" s="26" t="s">
        <v>19</v>
      </c>
      <c r="Q9" s="765"/>
      <c r="R9" s="766"/>
      <c r="T9" s="656"/>
      <c r="U9" s="821"/>
      <c r="V9" s="889"/>
      <c r="W9" s="890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3"/>
      <c r="E10" s="668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879" t="str">
        <f>IFERROR(VLOOKUP($D$10,Proxy,2,FALSE),"")</f>
        <v/>
      </c>
      <c r="I10" s="656"/>
      <c r="J10" s="656"/>
      <c r="K10" s="656"/>
      <c r="L10" s="656"/>
      <c r="M10" s="656"/>
      <c r="N10" s="636"/>
      <c r="P10" s="26" t="s">
        <v>20</v>
      </c>
      <c r="Q10" s="830"/>
      <c r="R10" s="831"/>
      <c r="U10" s="24" t="s">
        <v>21</v>
      </c>
      <c r="V10" s="695" t="s">
        <v>22</v>
      </c>
      <c r="W10" s="696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0"/>
      <c r="R11" s="771"/>
      <c r="U11" s="24" t="s">
        <v>25</v>
      </c>
      <c r="V11" s="930" t="s">
        <v>26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3" t="s">
        <v>27</v>
      </c>
      <c r="B12" s="700"/>
      <c r="C12" s="700"/>
      <c r="D12" s="700"/>
      <c r="E12" s="700"/>
      <c r="F12" s="700"/>
      <c r="G12" s="700"/>
      <c r="H12" s="700"/>
      <c r="I12" s="700"/>
      <c r="J12" s="700"/>
      <c r="K12" s="700"/>
      <c r="L12" s="700"/>
      <c r="M12" s="701"/>
      <c r="N12" s="62"/>
      <c r="P12" s="24" t="s">
        <v>28</v>
      </c>
      <c r="Q12" s="780"/>
      <c r="R12" s="709"/>
      <c r="S12" s="23"/>
      <c r="U12" s="24"/>
      <c r="V12" s="679"/>
      <c r="W12" s="656"/>
      <c r="AB12" s="51"/>
      <c r="AC12" s="51"/>
      <c r="AD12" s="51"/>
      <c r="AE12" s="51"/>
    </row>
    <row r="13" spans="1:32" s="637" customFormat="1" ht="23.25" customHeight="1" x14ac:dyDescent="0.2">
      <c r="A13" s="813" t="s">
        <v>29</v>
      </c>
      <c r="B13" s="700"/>
      <c r="C13" s="700"/>
      <c r="D13" s="700"/>
      <c r="E13" s="700"/>
      <c r="F13" s="700"/>
      <c r="G13" s="700"/>
      <c r="H13" s="700"/>
      <c r="I13" s="700"/>
      <c r="J13" s="700"/>
      <c r="K13" s="700"/>
      <c r="L13" s="700"/>
      <c r="M13" s="701"/>
      <c r="N13" s="62"/>
      <c r="O13" s="26"/>
      <c r="P13" s="26" t="s">
        <v>30</v>
      </c>
      <c r="Q13" s="930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3" t="s">
        <v>31</v>
      </c>
      <c r="B14" s="700"/>
      <c r="C14" s="700"/>
      <c r="D14" s="700"/>
      <c r="E14" s="700"/>
      <c r="F14" s="700"/>
      <c r="G14" s="700"/>
      <c r="H14" s="700"/>
      <c r="I14" s="700"/>
      <c r="J14" s="700"/>
      <c r="K14" s="700"/>
      <c r="L14" s="700"/>
      <c r="M14" s="70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7" t="s">
        <v>32</v>
      </c>
      <c r="B15" s="700"/>
      <c r="C15" s="700"/>
      <c r="D15" s="700"/>
      <c r="E15" s="700"/>
      <c r="F15" s="700"/>
      <c r="G15" s="700"/>
      <c r="H15" s="700"/>
      <c r="I15" s="700"/>
      <c r="J15" s="700"/>
      <c r="K15" s="700"/>
      <c r="L15" s="700"/>
      <c r="M15" s="701"/>
      <c r="N15" s="63"/>
      <c r="P15" s="802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90" t="s">
        <v>36</v>
      </c>
      <c r="D17" s="689" t="s">
        <v>37</v>
      </c>
      <c r="E17" s="748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7"/>
      <c r="R17" s="747"/>
      <c r="S17" s="747"/>
      <c r="T17" s="748"/>
      <c r="U17" s="1004" t="s">
        <v>49</v>
      </c>
      <c r="V17" s="701"/>
      <c r="W17" s="689" t="s">
        <v>50</v>
      </c>
      <c r="X17" s="689" t="s">
        <v>51</v>
      </c>
      <c r="Y17" s="1008" t="s">
        <v>52</v>
      </c>
      <c r="Z17" s="901" t="s">
        <v>53</v>
      </c>
      <c r="AA17" s="877" t="s">
        <v>54</v>
      </c>
      <c r="AB17" s="877" t="s">
        <v>55</v>
      </c>
      <c r="AC17" s="877" t="s">
        <v>56</v>
      </c>
      <c r="AD17" s="877" t="s">
        <v>57</v>
      </c>
      <c r="AE17" s="963"/>
      <c r="AF17" s="964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9"/>
      <c r="E18" s="751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9"/>
      <c r="Q18" s="750"/>
      <c r="R18" s="750"/>
      <c r="S18" s="750"/>
      <c r="T18" s="751"/>
      <c r="U18" s="67" t="s">
        <v>59</v>
      </c>
      <c r="V18" s="67" t="s">
        <v>60</v>
      </c>
      <c r="W18" s="690"/>
      <c r="X18" s="690"/>
      <c r="Y18" s="1009"/>
      <c r="Z18" s="902"/>
      <c r="AA18" s="878"/>
      <c r="AB18" s="878"/>
      <c r="AC18" s="878"/>
      <c r="AD18" s="965"/>
      <c r="AE18" s="966"/>
      <c r="AF18" s="967"/>
      <c r="AG18" s="66"/>
      <c r="BD18" s="65"/>
    </row>
    <row r="19" spans="1:68" ht="27.75" customHeight="1" x14ac:dyDescent="0.2">
      <c r="A19" s="665" t="s">
        <v>61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48"/>
      <c r="AB19" s="48"/>
      <c r="AC19" s="48"/>
    </row>
    <row r="20" spans="1:68" ht="16.5" customHeight="1" x14ac:dyDescent="0.25">
      <c r="A20" s="664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8"/>
      <c r="AB20" s="638"/>
      <c r="AC20" s="638"/>
    </row>
    <row r="21" spans="1:68" ht="14.25" customHeight="1" x14ac:dyDescent="0.25">
      <c r="A21" s="663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9"/>
      <c r="AB21" s="639"/>
      <c r="AC21" s="63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3">
        <v>4680115886643</v>
      </c>
      <c r="E22" s="654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3">
        <v>4680115889071</v>
      </c>
      <c r="E23" s="654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customHeight="1" x14ac:dyDescent="0.25">
      <c r="A26" s="663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9"/>
      <c r="AB26" s="639"/>
      <c r="AC26" s="63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3">
        <v>4680115885912</v>
      </c>
      <c r="E27" s="654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3">
        <v>4607091388237</v>
      </c>
      <c r="E28" s="654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3">
        <v>4680115887350</v>
      </c>
      <c r="E29" s="654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24</v>
      </c>
      <c r="Y29" s="644">
        <f>IFERROR(IF(X29="",0,CEILING((X29/$H29),1)*$H29),"")</f>
        <v>25.2</v>
      </c>
      <c r="Z29" s="36">
        <f>IFERROR(IF(Y29=0,"",ROUNDUP(Y29/H29,0)*0.00651),"")</f>
        <v>9.1139999999999999E-2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42.400000000000006</v>
      </c>
      <c r="BN29" s="64">
        <f>IFERROR(Y29*I29/H29,"0")</f>
        <v>44.519999999999996</v>
      </c>
      <c r="BO29" s="64">
        <f>IFERROR(1/J29*(X29/H29),"0")</f>
        <v>7.3260073260073263E-2</v>
      </c>
      <c r="BP29" s="64">
        <f>IFERROR(1/J29*(Y29/H29),"0")</f>
        <v>7.6923076923076927E-2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3">
        <v>4680115885905</v>
      </c>
      <c r="E30" s="654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24</v>
      </c>
      <c r="Y30" s="644">
        <f>IFERROR(IF(X30="",0,CEILING((X30/$H30),1)*$H30),"")</f>
        <v>25.2</v>
      </c>
      <c r="Z30" s="36">
        <f>IFERROR(IF(Y30=0,"",ROUNDUP(Y30/H30,0)*0.00651),"")</f>
        <v>9.1139999999999999E-2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42.400000000000006</v>
      </c>
      <c r="BN30" s="64">
        <f>IFERROR(Y30*I30/H30,"0")</f>
        <v>44.519999999999996</v>
      </c>
      <c r="BO30" s="64">
        <f>IFERROR(1/J30*(X30/H30),"0")</f>
        <v>7.3260073260073263E-2</v>
      </c>
      <c r="BP30" s="64">
        <f>IFERROR(1/J30*(Y30/H30),"0")</f>
        <v>7.6923076923076927E-2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3">
        <v>4680115887619</v>
      </c>
      <c r="E31" s="654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45">
        <f>IFERROR(X27/H27,"0")+IFERROR(X28/H28,"0")+IFERROR(X29/H29,"0")+IFERROR(X30/H30,"0")+IFERROR(X31/H31,"0")</f>
        <v>26.666666666666664</v>
      </c>
      <c r="Y32" s="645">
        <f>IFERROR(Y27/H27,"0")+IFERROR(Y28/H28,"0")+IFERROR(Y29/H29,"0")+IFERROR(Y30/H30,"0")+IFERROR(Y31/H31,"0")</f>
        <v>28</v>
      </c>
      <c r="Z32" s="645">
        <f>IFERROR(IF(Z27="",0,Z27),"0")+IFERROR(IF(Z28="",0,Z28),"0")+IFERROR(IF(Z29="",0,Z29),"0")+IFERROR(IF(Z30="",0,Z30),"0")+IFERROR(IF(Z31="",0,Z31),"0")</f>
        <v>0.18228</v>
      </c>
      <c r="AA32" s="646"/>
      <c r="AB32" s="646"/>
      <c r="AC32" s="646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45">
        <f>IFERROR(SUM(X27:X31),"0")</f>
        <v>48</v>
      </c>
      <c r="Y33" s="645">
        <f>IFERROR(SUM(Y27:Y31),"0")</f>
        <v>50.4</v>
      </c>
      <c r="Z33" s="37"/>
      <c r="AA33" s="646"/>
      <c r="AB33" s="646"/>
      <c r="AC33" s="646"/>
    </row>
    <row r="34" spans="1:68" ht="27.75" customHeight="1" x14ac:dyDescent="0.2">
      <c r="A34" s="665" t="s">
        <v>92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48"/>
      <c r="AB34" s="48"/>
      <c r="AC34" s="48"/>
    </row>
    <row r="35" spans="1:68" ht="16.5" customHeight="1" x14ac:dyDescent="0.25">
      <c r="A35" s="664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8"/>
      <c r="AB35" s="638"/>
      <c r="AC35" s="638"/>
    </row>
    <row r="36" spans="1:68" ht="14.25" customHeight="1" x14ac:dyDescent="0.25">
      <c r="A36" s="663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9"/>
      <c r="AB36" s="639"/>
      <c r="AC36" s="63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3">
        <v>4680115889354</v>
      </c>
      <c r="E37" s="654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3">
        <v>4680115888463</v>
      </c>
      <c r="E38" s="654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3">
        <v>4680115889590</v>
      </c>
      <c r="E39" s="654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3">
        <v>4680115888272</v>
      </c>
      <c r="E40" s="654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3">
        <v>4680115888364</v>
      </c>
      <c r="E41" s="654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0" t="s">
        <v>72</v>
      </c>
      <c r="Q42" s="651"/>
      <c r="R42" s="651"/>
      <c r="S42" s="651"/>
      <c r="T42" s="651"/>
      <c r="U42" s="651"/>
      <c r="V42" s="652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0" t="s">
        <v>72</v>
      </c>
      <c r="Q43" s="651"/>
      <c r="R43" s="651"/>
      <c r="S43" s="651"/>
      <c r="T43" s="651"/>
      <c r="U43" s="651"/>
      <c r="V43" s="652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customHeight="1" x14ac:dyDescent="0.2">
      <c r="A44" s="665" t="s">
        <v>109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48"/>
      <c r="AB44" s="48"/>
      <c r="AC44" s="48"/>
    </row>
    <row r="45" spans="1:68" ht="16.5" customHeight="1" x14ac:dyDescent="0.25">
      <c r="A45" s="664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8"/>
      <c r="AB45" s="638"/>
      <c r="AC45" s="638"/>
    </row>
    <row r="46" spans="1:68" ht="14.25" customHeight="1" x14ac:dyDescent="0.25">
      <c r="A46" s="663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3">
        <v>4607091385670</v>
      </c>
      <c r="E47" s="654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0</v>
      </c>
      <c r="Y47" s="64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3">
        <v>4680115887725</v>
      </c>
      <c r="E48" s="654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3">
        <v>4607091385687</v>
      </c>
      <c r="E49" s="654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3">
        <v>4680115882539</v>
      </c>
      <c r="E50" s="654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35</v>
      </c>
      <c r="Y50" s="644">
        <f>IFERROR(IF(X50="",0,CEILING((X50/$H50),1)*$H50),"")</f>
        <v>37</v>
      </c>
      <c r="Z50" s="36">
        <f>IFERROR(IF(Y50=0,"",ROUNDUP(Y50/H50,0)*0.00902),"")</f>
        <v>9.0200000000000002E-2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36.797297297297298</v>
      </c>
      <c r="BN50" s="64">
        <f>IFERROR(Y50*I50/H50,"0")</f>
        <v>38.9</v>
      </c>
      <c r="BO50" s="64">
        <f>IFERROR(1/J50*(X50/H50),"0")</f>
        <v>7.1662571662571672E-2</v>
      </c>
      <c r="BP50" s="64">
        <f>IFERROR(1/J50*(Y50/H50),"0")</f>
        <v>7.575757575757576E-2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0" t="s">
        <v>72</v>
      </c>
      <c r="Q51" s="651"/>
      <c r="R51" s="651"/>
      <c r="S51" s="651"/>
      <c r="T51" s="651"/>
      <c r="U51" s="651"/>
      <c r="V51" s="652"/>
      <c r="W51" s="37" t="s">
        <v>73</v>
      </c>
      <c r="X51" s="645">
        <f>IFERROR(X47/H47,"0")+IFERROR(X48/H48,"0")+IFERROR(X49/H49,"0")+IFERROR(X50/H50,"0")</f>
        <v>9.4594594594594597</v>
      </c>
      <c r="Y51" s="645">
        <f>IFERROR(Y47/H47,"0")+IFERROR(Y48/H48,"0")+IFERROR(Y49/H49,"0")+IFERROR(Y50/H50,"0")</f>
        <v>10</v>
      </c>
      <c r="Z51" s="645">
        <f>IFERROR(IF(Z47="",0,Z47),"0")+IFERROR(IF(Z48="",0,Z48),"0")+IFERROR(IF(Z49="",0,Z49),"0")+IFERROR(IF(Z50="",0,Z50),"0")</f>
        <v>9.0200000000000002E-2</v>
      </c>
      <c r="AA51" s="646"/>
      <c r="AB51" s="646"/>
      <c r="AC51" s="646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0" t="s">
        <v>72</v>
      </c>
      <c r="Q52" s="651"/>
      <c r="R52" s="651"/>
      <c r="S52" s="651"/>
      <c r="T52" s="651"/>
      <c r="U52" s="651"/>
      <c r="V52" s="652"/>
      <c r="W52" s="37" t="s">
        <v>67</v>
      </c>
      <c r="X52" s="645">
        <f>IFERROR(SUM(X47:X50),"0")</f>
        <v>35</v>
      </c>
      <c r="Y52" s="645">
        <f>IFERROR(SUM(Y47:Y50),"0")</f>
        <v>37</v>
      </c>
      <c r="Z52" s="37"/>
      <c r="AA52" s="646"/>
      <c r="AB52" s="646"/>
      <c r="AC52" s="646"/>
    </row>
    <row r="53" spans="1:68" ht="16.5" customHeight="1" x14ac:dyDescent="0.25">
      <c r="A53" s="664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8"/>
      <c r="AB53" s="638"/>
      <c r="AC53" s="638"/>
    </row>
    <row r="54" spans="1:68" ht="14.25" customHeight="1" x14ac:dyDescent="0.25">
      <c r="A54" s="663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3">
        <v>4680115885882</v>
      </c>
      <c r="E55" s="654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7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7</v>
      </c>
      <c r="Y55" s="644">
        <f t="shared" ref="Y55:Y60" si="0">IFERROR(IF(X55="",0,CEILING((X55/$H55),1)*$H55),"")</f>
        <v>11.2</v>
      </c>
      <c r="Z55" s="36">
        <f>IFERROR(IF(Y55=0,"",ROUNDUP(Y55/H55,0)*0.01898),"")</f>
        <v>1.898E-2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7.2562500000000005</v>
      </c>
      <c r="BN55" s="64">
        <f t="shared" ref="BN55:BN60" si="2">IFERROR(Y55*I55/H55,"0")</f>
        <v>11.61</v>
      </c>
      <c r="BO55" s="64">
        <f t="shared" ref="BO55:BO60" si="3">IFERROR(1/J55*(X55/H55),"0")</f>
        <v>9.765625E-3</v>
      </c>
      <c r="BP55" s="64">
        <f t="shared" ref="BP55:BP60" si="4">IFERROR(1/J55*(Y55/H55),"0")</f>
        <v>1.5625E-2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3">
        <v>4680115881426</v>
      </c>
      <c r="E56" s="654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71</v>
      </c>
      <c r="Y56" s="644">
        <f t="shared" si="0"/>
        <v>75.600000000000009</v>
      </c>
      <c r="Z56" s="36">
        <f>IFERROR(IF(Y56=0,"",ROUNDUP(Y56/H56,0)*0.01898),"")</f>
        <v>0.13286000000000001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73.69537037037037</v>
      </c>
      <c r="BN56" s="64">
        <f t="shared" si="2"/>
        <v>78.47</v>
      </c>
      <c r="BO56" s="64">
        <f t="shared" si="3"/>
        <v>0.1027199074074074</v>
      </c>
      <c r="BP56" s="64">
        <f t="shared" si="4"/>
        <v>0.109375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3">
        <v>4680115880283</v>
      </c>
      <c r="E57" s="654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7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3">
        <v>4680115881525</v>
      </c>
      <c r="E58" s="654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8</v>
      </c>
      <c r="Y58" s="644">
        <f t="shared" si="0"/>
        <v>8</v>
      </c>
      <c r="Z58" s="36">
        <f>IFERROR(IF(Y58=0,"",ROUNDUP(Y58/H58,0)*0.00902),"")</f>
        <v>1.804E-2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8.3800000000000008</v>
      </c>
      <c r="BN58" s="64">
        <f t="shared" si="2"/>
        <v>8.3800000000000008</v>
      </c>
      <c r="BO58" s="64">
        <f t="shared" si="3"/>
        <v>1.5151515151515152E-2</v>
      </c>
      <c r="BP58" s="64">
        <f t="shared" si="4"/>
        <v>1.5151515151515152E-2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3">
        <v>4680115885899</v>
      </c>
      <c r="E59" s="654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3">
        <v>4680115881419</v>
      </c>
      <c r="E60" s="654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53</v>
      </c>
      <c r="Y60" s="644">
        <f t="shared" si="0"/>
        <v>54</v>
      </c>
      <c r="Z60" s="36">
        <f>IFERROR(IF(Y60=0,"",ROUNDUP(Y60/H60,0)*0.00902),"")</f>
        <v>0.10824</v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55.237777777777779</v>
      </c>
      <c r="BN60" s="64">
        <f t="shared" si="2"/>
        <v>56.28</v>
      </c>
      <c r="BO60" s="64">
        <f t="shared" si="3"/>
        <v>8.9225589225589236E-2</v>
      </c>
      <c r="BP60" s="64">
        <f t="shared" si="4"/>
        <v>9.0909090909090912E-2</v>
      </c>
    </row>
    <row r="61" spans="1:68" x14ac:dyDescent="0.2">
      <c r="A61" s="655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0" t="s">
        <v>72</v>
      </c>
      <c r="Q61" s="651"/>
      <c r="R61" s="651"/>
      <c r="S61" s="651"/>
      <c r="T61" s="651"/>
      <c r="U61" s="651"/>
      <c r="V61" s="652"/>
      <c r="W61" s="37" t="s">
        <v>73</v>
      </c>
      <c r="X61" s="645">
        <f>IFERROR(X55/H55,"0")+IFERROR(X56/H56,"0")+IFERROR(X57/H57,"0")+IFERROR(X58/H58,"0")+IFERROR(X59/H59,"0")+IFERROR(X60/H60,"0")</f>
        <v>20.976851851851851</v>
      </c>
      <c r="Y61" s="645">
        <f>IFERROR(Y55/H55,"0")+IFERROR(Y56/H56,"0")+IFERROR(Y57/H57,"0")+IFERROR(Y58/H58,"0")+IFERROR(Y59/H59,"0")+IFERROR(Y60/H60,"0")</f>
        <v>22</v>
      </c>
      <c r="Z61" s="645">
        <f>IFERROR(IF(Z55="",0,Z55),"0")+IFERROR(IF(Z56="",0,Z56),"0")+IFERROR(IF(Z57="",0,Z57),"0")+IFERROR(IF(Z58="",0,Z58),"0")+IFERROR(IF(Z59="",0,Z59),"0")+IFERROR(IF(Z60="",0,Z60),"0")</f>
        <v>0.27812000000000003</v>
      </c>
      <c r="AA61" s="646"/>
      <c r="AB61" s="646"/>
      <c r="AC61" s="646"/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0" t="s">
        <v>72</v>
      </c>
      <c r="Q62" s="651"/>
      <c r="R62" s="651"/>
      <c r="S62" s="651"/>
      <c r="T62" s="651"/>
      <c r="U62" s="651"/>
      <c r="V62" s="652"/>
      <c r="W62" s="37" t="s">
        <v>67</v>
      </c>
      <c r="X62" s="645">
        <f>IFERROR(SUM(X55:X60),"0")</f>
        <v>139</v>
      </c>
      <c r="Y62" s="645">
        <f>IFERROR(SUM(Y55:Y60),"0")</f>
        <v>148.80000000000001</v>
      </c>
      <c r="Z62" s="37"/>
      <c r="AA62" s="646"/>
      <c r="AB62" s="646"/>
      <c r="AC62" s="646"/>
    </row>
    <row r="63" spans="1:68" ht="14.25" customHeight="1" x14ac:dyDescent="0.25">
      <c r="A63" s="663" t="s">
        <v>144</v>
      </c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6"/>
      <c r="P63" s="656"/>
      <c r="Q63" s="656"/>
      <c r="R63" s="656"/>
      <c r="S63" s="656"/>
      <c r="T63" s="656"/>
      <c r="U63" s="656"/>
      <c r="V63" s="656"/>
      <c r="W63" s="656"/>
      <c r="X63" s="656"/>
      <c r="Y63" s="656"/>
      <c r="Z63" s="656"/>
      <c r="AA63" s="639"/>
      <c r="AB63" s="639"/>
      <c r="AC63" s="639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3">
        <v>4680115881440</v>
      </c>
      <c r="E64" s="654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94</v>
      </c>
      <c r="Y64" s="644">
        <f>IFERROR(IF(X64="",0,CEILING((X64/$H64),1)*$H64),"")</f>
        <v>97.2</v>
      </c>
      <c r="Z64" s="36">
        <f>IFERROR(IF(Y64=0,"",ROUNDUP(Y64/H64,0)*0.01898),"")</f>
        <v>0.17082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97.568518518518516</v>
      </c>
      <c r="BN64" s="64">
        <f>IFERROR(Y64*I64/H64,"0")</f>
        <v>100.89</v>
      </c>
      <c r="BO64" s="64">
        <f>IFERROR(1/J64*(X64/H64),"0")</f>
        <v>0.13599537037037035</v>
      </c>
      <c r="BP64" s="64">
        <f>IFERROR(1/J64*(Y64/H64),"0")</f>
        <v>0.140625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3">
        <v>4680115885950</v>
      </c>
      <c r="E65" s="654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3">
        <v>4680115887688</v>
      </c>
      <c r="E66" s="654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9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3">
        <v>4680115881433</v>
      </c>
      <c r="E67" s="654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7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5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0" t="s">
        <v>72</v>
      </c>
      <c r="Q68" s="651"/>
      <c r="R68" s="651"/>
      <c r="S68" s="651"/>
      <c r="T68" s="651"/>
      <c r="U68" s="651"/>
      <c r="V68" s="652"/>
      <c r="W68" s="37" t="s">
        <v>73</v>
      </c>
      <c r="X68" s="645">
        <f>IFERROR(X64/H64,"0")+IFERROR(X65/H65,"0")+IFERROR(X66/H66,"0")+IFERROR(X67/H67,"0")</f>
        <v>8.7037037037037024</v>
      </c>
      <c r="Y68" s="645">
        <f>IFERROR(Y64/H64,"0")+IFERROR(Y65/H65,"0")+IFERROR(Y66/H66,"0")+IFERROR(Y67/H67,"0")</f>
        <v>9</v>
      </c>
      <c r="Z68" s="645">
        <f>IFERROR(IF(Z64="",0,Z64),"0")+IFERROR(IF(Z65="",0,Z65),"0")+IFERROR(IF(Z66="",0,Z66),"0")+IFERROR(IF(Z67="",0,Z67),"0")</f>
        <v>0.17082</v>
      </c>
      <c r="AA68" s="646"/>
      <c r="AB68" s="646"/>
      <c r="AC68" s="646"/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0" t="s">
        <v>72</v>
      </c>
      <c r="Q69" s="651"/>
      <c r="R69" s="651"/>
      <c r="S69" s="651"/>
      <c r="T69" s="651"/>
      <c r="U69" s="651"/>
      <c r="V69" s="652"/>
      <c r="W69" s="37" t="s">
        <v>67</v>
      </c>
      <c r="X69" s="645">
        <f>IFERROR(SUM(X64:X67),"0")</f>
        <v>94</v>
      </c>
      <c r="Y69" s="645">
        <f>IFERROR(SUM(Y64:Y67),"0")</f>
        <v>97.2</v>
      </c>
      <c r="Z69" s="37"/>
      <c r="AA69" s="646"/>
      <c r="AB69" s="646"/>
      <c r="AC69" s="646"/>
    </row>
    <row r="70" spans="1:68" ht="14.25" customHeight="1" x14ac:dyDescent="0.25">
      <c r="A70" s="663" t="s">
        <v>74</v>
      </c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6"/>
      <c r="P70" s="656"/>
      <c r="Q70" s="656"/>
      <c r="R70" s="656"/>
      <c r="S70" s="656"/>
      <c r="T70" s="656"/>
      <c r="U70" s="656"/>
      <c r="V70" s="656"/>
      <c r="W70" s="656"/>
      <c r="X70" s="656"/>
      <c r="Y70" s="656"/>
      <c r="Z70" s="656"/>
      <c r="AA70" s="639"/>
      <c r="AB70" s="639"/>
      <c r="AC70" s="639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3">
        <v>4680115884311</v>
      </c>
      <c r="E71" s="654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3">
        <v>4680115884403</v>
      </c>
      <c r="E72" s="654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3">
        <v>4680115884403</v>
      </c>
      <c r="E73" s="654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5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45">
        <f>IFERROR(X71/H71,"0")+IFERROR(X72/H72,"0")+IFERROR(X73/H73,"0")</f>
        <v>0</v>
      </c>
      <c r="Y74" s="645">
        <f>IFERROR(Y71/H71,"0")+IFERROR(Y72/H72,"0")+IFERROR(Y73/H73,"0")</f>
        <v>0</v>
      </c>
      <c r="Z74" s="645">
        <f>IFERROR(IF(Z71="",0,Z71),"0")+IFERROR(IF(Z72="",0,Z72),"0")+IFERROR(IF(Z73="",0,Z73),"0")</f>
        <v>0</v>
      </c>
      <c r="AA74" s="646"/>
      <c r="AB74" s="646"/>
      <c r="AC74" s="646"/>
    </row>
    <row r="75" spans="1:68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45">
        <f>IFERROR(SUM(X71:X73),"0")</f>
        <v>0</v>
      </c>
      <c r="Y75" s="645">
        <f>IFERROR(SUM(Y71:Y73),"0")</f>
        <v>0</v>
      </c>
      <c r="Z75" s="37"/>
      <c r="AA75" s="646"/>
      <c r="AB75" s="646"/>
      <c r="AC75" s="646"/>
    </row>
    <row r="76" spans="1:68" ht="14.25" customHeight="1" x14ac:dyDescent="0.25">
      <c r="A76" s="663" t="s">
        <v>162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39"/>
      <c r="AB76" s="639"/>
      <c r="AC76" s="639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3">
        <v>4680115881532</v>
      </c>
      <c r="E77" s="654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5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320</v>
      </c>
      <c r="Y77" s="644">
        <f>IFERROR(IF(X77="",0,CEILING((X77/$H77),1)*$H77),"")</f>
        <v>327.59999999999997</v>
      </c>
      <c r="Z77" s="36">
        <f>IFERROR(IF(Y77=0,"",ROUNDUP(Y77/H77,0)*0.01898),"")</f>
        <v>0.79715999999999998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336.82051282051287</v>
      </c>
      <c r="BN77" s="64">
        <f>IFERROR(Y77*I77/H77,"0")</f>
        <v>344.82</v>
      </c>
      <c r="BO77" s="64">
        <f>IFERROR(1/J77*(X77/H77),"0")</f>
        <v>0.64102564102564108</v>
      </c>
      <c r="BP77" s="64">
        <f>IFERROR(1/J77*(Y77/H77),"0")</f>
        <v>0.65625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3">
        <v>4680115881532</v>
      </c>
      <c r="E78" s="654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6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3">
        <v>4680115881464</v>
      </c>
      <c r="E79" s="654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3">
        <v>4680115881464</v>
      </c>
      <c r="E80" s="654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0" t="s">
        <v>72</v>
      </c>
      <c r="Q81" s="651"/>
      <c r="R81" s="651"/>
      <c r="S81" s="651"/>
      <c r="T81" s="651"/>
      <c r="U81" s="651"/>
      <c r="V81" s="652"/>
      <c r="W81" s="37" t="s">
        <v>73</v>
      </c>
      <c r="X81" s="645">
        <f>IFERROR(X77/H77,"0")+IFERROR(X78/H78,"0")+IFERROR(X79/H79,"0")+IFERROR(X80/H80,"0")</f>
        <v>41.025641025641029</v>
      </c>
      <c r="Y81" s="645">
        <f>IFERROR(Y77/H77,"0")+IFERROR(Y78/H78,"0")+IFERROR(Y79/H79,"0")+IFERROR(Y80/H80,"0")</f>
        <v>42</v>
      </c>
      <c r="Z81" s="645">
        <f>IFERROR(IF(Z77="",0,Z77),"0")+IFERROR(IF(Z78="",0,Z78),"0")+IFERROR(IF(Z79="",0,Z79),"0")+IFERROR(IF(Z80="",0,Z80),"0")</f>
        <v>0.79715999999999998</v>
      </c>
      <c r="AA81" s="646"/>
      <c r="AB81" s="646"/>
      <c r="AC81" s="646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0" t="s">
        <v>72</v>
      </c>
      <c r="Q82" s="651"/>
      <c r="R82" s="651"/>
      <c r="S82" s="651"/>
      <c r="T82" s="651"/>
      <c r="U82" s="651"/>
      <c r="V82" s="652"/>
      <c r="W82" s="37" t="s">
        <v>67</v>
      </c>
      <c r="X82" s="645">
        <f>IFERROR(SUM(X77:X80),"0")</f>
        <v>320</v>
      </c>
      <c r="Y82" s="645">
        <f>IFERROR(SUM(Y77:Y80),"0")</f>
        <v>327.59999999999997</v>
      </c>
      <c r="Z82" s="37"/>
      <c r="AA82" s="646"/>
      <c r="AB82" s="646"/>
      <c r="AC82" s="646"/>
    </row>
    <row r="83" spans="1:68" ht="16.5" customHeight="1" x14ac:dyDescent="0.25">
      <c r="A83" s="664" t="s">
        <v>171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8"/>
      <c r="AB83" s="638"/>
      <c r="AC83" s="638"/>
    </row>
    <row r="84" spans="1:68" ht="14.25" customHeight="1" x14ac:dyDescent="0.25">
      <c r="A84" s="663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9"/>
      <c r="AB84" s="639"/>
      <c r="AC84" s="6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3">
        <v>4680115881327</v>
      </c>
      <c r="E85" s="654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71</v>
      </c>
      <c r="Y85" s="644">
        <f>IFERROR(IF(X85="",0,CEILING((X85/$H85),1)*$H85),"")</f>
        <v>75.600000000000009</v>
      </c>
      <c r="Z85" s="36">
        <f>IFERROR(IF(Y85=0,"",ROUNDUP(Y85/H85,0)*0.01898),"")</f>
        <v>0.13286000000000001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73.69537037037037</v>
      </c>
      <c r="BN85" s="64">
        <f>IFERROR(Y85*I85/H85,"0")</f>
        <v>78.47</v>
      </c>
      <c r="BO85" s="64">
        <f>IFERROR(1/J85*(X85/H85),"0")</f>
        <v>0.1027199074074074</v>
      </c>
      <c r="BP85" s="64">
        <f>IFERROR(1/J85*(Y85/H85),"0")</f>
        <v>0.109375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3">
        <v>4680115887732</v>
      </c>
      <c r="E86" s="654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3">
        <v>4680115887732</v>
      </c>
      <c r="E87" s="654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34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3">
        <v>4680115881518</v>
      </c>
      <c r="E88" s="654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3">
        <v>4680115881303</v>
      </c>
      <c r="E89" s="654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42</v>
      </c>
      <c r="Y89" s="644">
        <f>IFERROR(IF(X89="",0,CEILING((X89/$H89),1)*$H89),"")</f>
        <v>45</v>
      </c>
      <c r="Z89" s="36">
        <f>IFERROR(IF(Y89=0,"",ROUNDUP(Y89/H89,0)*0.00902),"")</f>
        <v>9.0200000000000002E-2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43.773333333333341</v>
      </c>
      <c r="BN89" s="64">
        <f>IFERROR(Y89*I89/H89,"0")</f>
        <v>46.900000000000006</v>
      </c>
      <c r="BO89" s="64">
        <f>IFERROR(1/J89*(X89/H89),"0")</f>
        <v>7.0707070707070718E-2</v>
      </c>
      <c r="BP89" s="64">
        <f>IFERROR(1/J89*(Y89/H89),"0")</f>
        <v>7.575757575757576E-2</v>
      </c>
    </row>
    <row r="90" spans="1:68" x14ac:dyDescent="0.2">
      <c r="A90" s="655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0" t="s">
        <v>72</v>
      </c>
      <c r="Q90" s="651"/>
      <c r="R90" s="651"/>
      <c r="S90" s="651"/>
      <c r="T90" s="651"/>
      <c r="U90" s="651"/>
      <c r="V90" s="652"/>
      <c r="W90" s="37" t="s">
        <v>73</v>
      </c>
      <c r="X90" s="645">
        <f>IFERROR(X85/H85,"0")+IFERROR(X86/H86,"0")+IFERROR(X87/H87,"0")+IFERROR(X88/H88,"0")+IFERROR(X89/H89,"0")</f>
        <v>15.907407407407408</v>
      </c>
      <c r="Y90" s="645">
        <f>IFERROR(Y85/H85,"0")+IFERROR(Y86/H86,"0")+IFERROR(Y87/H87,"0")+IFERROR(Y88/H88,"0")+IFERROR(Y89/H89,"0")</f>
        <v>17</v>
      </c>
      <c r="Z90" s="645">
        <f>IFERROR(IF(Z85="",0,Z85),"0")+IFERROR(IF(Z86="",0,Z86),"0")+IFERROR(IF(Z87="",0,Z87),"0")+IFERROR(IF(Z88="",0,Z88),"0")+IFERROR(IF(Z89="",0,Z89),"0")</f>
        <v>0.22306000000000001</v>
      </c>
      <c r="AA90" s="646"/>
      <c r="AB90" s="646"/>
      <c r="AC90" s="646"/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0" t="s">
        <v>72</v>
      </c>
      <c r="Q91" s="651"/>
      <c r="R91" s="651"/>
      <c r="S91" s="651"/>
      <c r="T91" s="651"/>
      <c r="U91" s="651"/>
      <c r="V91" s="652"/>
      <c r="W91" s="37" t="s">
        <v>67</v>
      </c>
      <c r="X91" s="645">
        <f>IFERROR(SUM(X85:X89),"0")</f>
        <v>113</v>
      </c>
      <c r="Y91" s="645">
        <f>IFERROR(SUM(Y85:Y89),"0")</f>
        <v>120.60000000000001</v>
      </c>
      <c r="Z91" s="37"/>
      <c r="AA91" s="646"/>
      <c r="AB91" s="646"/>
      <c r="AC91" s="646"/>
    </row>
    <row r="92" spans="1:68" ht="14.25" customHeight="1" x14ac:dyDescent="0.25">
      <c r="A92" s="663" t="s">
        <v>74</v>
      </c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6"/>
      <c r="P92" s="656"/>
      <c r="Q92" s="656"/>
      <c r="R92" s="656"/>
      <c r="S92" s="656"/>
      <c r="T92" s="656"/>
      <c r="U92" s="656"/>
      <c r="V92" s="656"/>
      <c r="W92" s="656"/>
      <c r="X92" s="656"/>
      <c r="Y92" s="656"/>
      <c r="Z92" s="656"/>
      <c r="AA92" s="639"/>
      <c r="AB92" s="639"/>
      <c r="AC92" s="639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3">
        <v>4607091386967</v>
      </c>
      <c r="E93" s="654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185</v>
      </c>
      <c r="Y93" s="644">
        <f t="shared" ref="Y93:Y98" si="5">IFERROR(IF(X93="",0,CEILING((X93/$H93),1)*$H93),"")</f>
        <v>186.29999999999998</v>
      </c>
      <c r="Z93" s="36">
        <f>IFERROR(IF(Y93=0,"",ROUNDUP(Y93/H93,0)*0.01898),"")</f>
        <v>0.43653999999999998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196.28271604938271</v>
      </c>
      <c r="BN93" s="64">
        <f t="shared" ref="BN93:BN98" si="7">IFERROR(Y93*I93/H93,"0")</f>
        <v>197.66199999999998</v>
      </c>
      <c r="BO93" s="64">
        <f t="shared" ref="BO93:BO98" si="8">IFERROR(1/J93*(X93/H93),"0")</f>
        <v>0.35686728395061729</v>
      </c>
      <c r="BP93" s="64">
        <f t="shared" ref="BP93:BP98" si="9">IFERROR(1/J93*(Y93/H93),"0")</f>
        <v>0.359375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3">
        <v>4607091386967</v>
      </c>
      <c r="E94" s="654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2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3">
        <v>4680115884953</v>
      </c>
      <c r="E95" s="654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3">
        <v>4607091385731</v>
      </c>
      <c r="E96" s="654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63</v>
      </c>
      <c r="Y96" s="644">
        <f t="shared" si="5"/>
        <v>64.800000000000011</v>
      </c>
      <c r="Z96" s="36">
        <f>IFERROR(IF(Y96=0,"",ROUNDUP(Y96/H96,0)*0.00651),"")</f>
        <v>0.15623999999999999</v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68.88</v>
      </c>
      <c r="BN96" s="64">
        <f t="shared" si="7"/>
        <v>70.848000000000013</v>
      </c>
      <c r="BO96" s="64">
        <f t="shared" si="8"/>
        <v>0.12820512820512822</v>
      </c>
      <c r="BP96" s="64">
        <f t="shared" si="9"/>
        <v>0.1318681318681319</v>
      </c>
    </row>
    <row r="97" spans="1:68" ht="27" customHeight="1" x14ac:dyDescent="0.25">
      <c r="A97" s="54" t="s">
        <v>191</v>
      </c>
      <c r="B97" s="54" t="s">
        <v>193</v>
      </c>
      <c r="C97" s="31">
        <v>4301052094</v>
      </c>
      <c r="D97" s="653">
        <v>4607091385731</v>
      </c>
      <c r="E97" s="654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41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53">
        <v>4680115880894</v>
      </c>
      <c r="E98" s="654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5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45">
        <f>IFERROR(X93/H93,"0")+IFERROR(X94/H94,"0")+IFERROR(X95/H95,"0")+IFERROR(X96/H96,"0")+IFERROR(X97/H97,"0")+IFERROR(X98/H98,"0")</f>
        <v>46.172839506172835</v>
      </c>
      <c r="Y99" s="645">
        <f>IFERROR(Y93/H93,"0")+IFERROR(Y94/H94,"0")+IFERROR(Y95/H95,"0")+IFERROR(Y96/H96,"0")+IFERROR(Y97/H97,"0")+IFERROR(Y98/H98,"0")</f>
        <v>47</v>
      </c>
      <c r="Z99" s="645">
        <f>IFERROR(IF(Z93="",0,Z93),"0")+IFERROR(IF(Z94="",0,Z94),"0")+IFERROR(IF(Z95="",0,Z95),"0")+IFERROR(IF(Z96="",0,Z96),"0")+IFERROR(IF(Z97="",0,Z97),"0")+IFERROR(IF(Z98="",0,Z98),"0")</f>
        <v>0.59277999999999997</v>
      </c>
      <c r="AA99" s="646"/>
      <c r="AB99" s="646"/>
      <c r="AC99" s="646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45">
        <f>IFERROR(SUM(X93:X98),"0")</f>
        <v>248</v>
      </c>
      <c r="Y100" s="645">
        <f>IFERROR(SUM(Y93:Y98),"0")</f>
        <v>251.1</v>
      </c>
      <c r="Z100" s="37"/>
      <c r="AA100" s="646"/>
      <c r="AB100" s="646"/>
      <c r="AC100" s="646"/>
    </row>
    <row r="101" spans="1:68" ht="16.5" customHeight="1" x14ac:dyDescent="0.25">
      <c r="A101" s="664" t="s">
        <v>198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8"/>
      <c r="AB101" s="638"/>
      <c r="AC101" s="638"/>
    </row>
    <row r="102" spans="1:68" ht="14.25" customHeight="1" x14ac:dyDescent="0.25">
      <c r="A102" s="663" t="s">
        <v>111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3">
        <v>4680115882133</v>
      </c>
      <c r="E103" s="654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4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71</v>
      </c>
      <c r="Y103" s="644">
        <f t="shared" ref="Y103:Y110" si="10">IFERROR(IF(X103="",0,CEILING((X103/$H103),1)*$H103),"")</f>
        <v>75.600000000000009</v>
      </c>
      <c r="Z103" s="36">
        <f>IFERROR(IF(Y103=0,"",ROUNDUP(Y103/H103,0)*0.01898),"")</f>
        <v>0.13286000000000001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73.69537037037037</v>
      </c>
      <c r="BN103" s="64">
        <f t="shared" ref="BN103:BN110" si="12">IFERROR(Y103*I103/H103,"0")</f>
        <v>78.47</v>
      </c>
      <c r="BO103" s="64">
        <f t="shared" ref="BO103:BO110" si="13">IFERROR(1/J103*(X103/H103),"0")</f>
        <v>0.1027199074074074</v>
      </c>
      <c r="BP103" s="64">
        <f t="shared" ref="BP103:BP110" si="14">IFERROR(1/J103*(Y103/H103),"0")</f>
        <v>0.109375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53">
        <v>4680115887718</v>
      </c>
      <c r="E104" s="654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53">
        <v>4680115887718</v>
      </c>
      <c r="E105" s="654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202</v>
      </c>
      <c r="B106" s="54" t="s">
        <v>206</v>
      </c>
      <c r="C106" s="31">
        <v>4301012379</v>
      </c>
      <c r="D106" s="653">
        <v>4680115887718</v>
      </c>
      <c r="E106" s="654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customHeight="1" x14ac:dyDescent="0.25">
      <c r="A107" s="54" t="s">
        <v>207</v>
      </c>
      <c r="B107" s="54" t="s">
        <v>208</v>
      </c>
      <c r="C107" s="31">
        <v>4301011417</v>
      </c>
      <c r="D107" s="653">
        <v>4680115880269</v>
      </c>
      <c r="E107" s="654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209</v>
      </c>
      <c r="B108" s="54" t="s">
        <v>210</v>
      </c>
      <c r="C108" s="31">
        <v>4301011415</v>
      </c>
      <c r="D108" s="653">
        <v>4680115880429</v>
      </c>
      <c r="E108" s="654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63</v>
      </c>
      <c r="Y108" s="644">
        <f t="shared" si="10"/>
        <v>63</v>
      </c>
      <c r="Z108" s="36">
        <f>IFERROR(IF(Y108=0,"",ROUNDUP(Y108/H108,0)*0.00902),"")</f>
        <v>0.12628</v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65.660000000000011</v>
      </c>
      <c r="BN108" s="64">
        <f t="shared" si="12"/>
        <v>65.660000000000011</v>
      </c>
      <c r="BO108" s="64">
        <f t="shared" si="13"/>
        <v>0.10606060606060606</v>
      </c>
      <c r="BP108" s="64">
        <f t="shared" si="14"/>
        <v>0.10606060606060606</v>
      </c>
    </row>
    <row r="109" spans="1:68" ht="27" customHeight="1" x14ac:dyDescent="0.25">
      <c r="A109" s="54" t="s">
        <v>209</v>
      </c>
      <c r="B109" s="54" t="s">
        <v>211</v>
      </c>
      <c r="C109" s="31">
        <v>4301012254</v>
      </c>
      <c r="D109" s="653">
        <v>4680115880429</v>
      </c>
      <c r="E109" s="654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2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customHeight="1" x14ac:dyDescent="0.25">
      <c r="A110" s="54" t="s">
        <v>214</v>
      </c>
      <c r="B110" s="54" t="s">
        <v>215</v>
      </c>
      <c r="C110" s="31">
        <v>4301011462</v>
      </c>
      <c r="D110" s="653">
        <v>4680115881457</v>
      </c>
      <c r="E110" s="654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5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0" t="s">
        <v>72</v>
      </c>
      <c r="Q111" s="651"/>
      <c r="R111" s="651"/>
      <c r="S111" s="651"/>
      <c r="T111" s="651"/>
      <c r="U111" s="651"/>
      <c r="V111" s="652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20.574074074074073</v>
      </c>
      <c r="Y111" s="645">
        <f>IFERROR(Y103/H103,"0")+IFERROR(Y104/H104,"0")+IFERROR(Y105/H105,"0")+IFERROR(Y106/H106,"0")+IFERROR(Y107/H107,"0")+IFERROR(Y108/H108,"0")+IFERROR(Y109/H109,"0")+IFERROR(Y110/H110,"0")</f>
        <v>21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0.25914000000000004</v>
      </c>
      <c r="AA111" s="646"/>
      <c r="AB111" s="646"/>
      <c r="AC111" s="646"/>
    </row>
    <row r="112" spans="1:68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0" t="s">
        <v>72</v>
      </c>
      <c r="Q112" s="651"/>
      <c r="R112" s="651"/>
      <c r="S112" s="651"/>
      <c r="T112" s="651"/>
      <c r="U112" s="651"/>
      <c r="V112" s="652"/>
      <c r="W112" s="37" t="s">
        <v>67</v>
      </c>
      <c r="X112" s="645">
        <f>IFERROR(SUM(X103:X110),"0")</f>
        <v>134</v>
      </c>
      <c r="Y112" s="645">
        <f>IFERROR(SUM(Y103:Y110),"0")</f>
        <v>138.60000000000002</v>
      </c>
      <c r="Z112" s="37"/>
      <c r="AA112" s="646"/>
      <c r="AB112" s="646"/>
      <c r="AC112" s="646"/>
    </row>
    <row r="113" spans="1:68" ht="14.25" customHeight="1" x14ac:dyDescent="0.25">
      <c r="A113" s="663" t="s">
        <v>144</v>
      </c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6"/>
      <c r="P113" s="656"/>
      <c r="Q113" s="656"/>
      <c r="R113" s="656"/>
      <c r="S113" s="656"/>
      <c r="T113" s="656"/>
      <c r="U113" s="656"/>
      <c r="V113" s="656"/>
      <c r="W113" s="656"/>
      <c r="X113" s="656"/>
      <c r="Y113" s="656"/>
      <c r="Z113" s="656"/>
      <c r="AA113" s="639"/>
      <c r="AB113" s="639"/>
      <c r="AC113" s="639"/>
    </row>
    <row r="114" spans="1:68" ht="27" customHeight="1" x14ac:dyDescent="0.25">
      <c r="A114" s="54" t="s">
        <v>216</v>
      </c>
      <c r="B114" s="54" t="s">
        <v>217</v>
      </c>
      <c r="C114" s="31">
        <v>4301020391</v>
      </c>
      <c r="D114" s="653">
        <v>4680115881488</v>
      </c>
      <c r="E114" s="654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3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44</v>
      </c>
      <c r="Y114" s="644">
        <f>IFERROR(IF(X114="",0,CEILING((X114/$H114),1)*$H114),"")</f>
        <v>54</v>
      </c>
      <c r="Z114" s="36">
        <f>IFERROR(IF(Y114=0,"",ROUNDUP(Y114/H114,0)*0.01898),"")</f>
        <v>9.4899999999999998E-2</v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45.670370370370371</v>
      </c>
      <c r="BN114" s="64">
        <f>IFERROR(Y114*I114/H114,"0")</f>
        <v>56.05</v>
      </c>
      <c r="BO114" s="64">
        <f>IFERROR(1/J114*(X114/H114),"0")</f>
        <v>6.3657407407407399E-2</v>
      </c>
      <c r="BP114" s="64">
        <f>IFERROR(1/J114*(Y114/H114),"0")</f>
        <v>7.8125E-2</v>
      </c>
    </row>
    <row r="115" spans="1:68" ht="27" customHeight="1" x14ac:dyDescent="0.25">
      <c r="A115" s="54" t="s">
        <v>219</v>
      </c>
      <c r="B115" s="54" t="s">
        <v>220</v>
      </c>
      <c r="C115" s="31">
        <v>4301020186</v>
      </c>
      <c r="D115" s="653">
        <v>4680115887664</v>
      </c>
      <c r="E115" s="654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4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223</v>
      </c>
      <c r="C116" s="31">
        <v>4301020430</v>
      </c>
      <c r="D116" s="653">
        <v>4680115887664</v>
      </c>
      <c r="E116" s="654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224</v>
      </c>
      <c r="B117" s="54" t="s">
        <v>225</v>
      </c>
      <c r="C117" s="31">
        <v>4301020393</v>
      </c>
      <c r="D117" s="653">
        <v>4680115882775</v>
      </c>
      <c r="E117" s="654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7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226</v>
      </c>
      <c r="B118" s="54" t="s">
        <v>227</v>
      </c>
      <c r="C118" s="31">
        <v>4301020392</v>
      </c>
      <c r="D118" s="653">
        <v>4680115880658</v>
      </c>
      <c r="E118" s="654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24</v>
      </c>
      <c r="Y118" s="644">
        <f>IFERROR(IF(X118="",0,CEILING((X118/$H118),1)*$H118),"")</f>
        <v>24</v>
      </c>
      <c r="Z118" s="36">
        <f>IFERROR(IF(Y118=0,"",ROUNDUP(Y118/H118,0)*0.00651),"")</f>
        <v>6.5100000000000005E-2</v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25.8</v>
      </c>
      <c r="BN118" s="64">
        <f>IFERROR(Y118*I118/H118,"0")</f>
        <v>25.8</v>
      </c>
      <c r="BO118" s="64">
        <f>IFERROR(1/J118*(X118/H118),"0")</f>
        <v>5.4945054945054951E-2</v>
      </c>
      <c r="BP118" s="64">
        <f>IFERROR(1/J118*(Y118/H118),"0")</f>
        <v>5.4945054945054951E-2</v>
      </c>
    </row>
    <row r="119" spans="1:68" x14ac:dyDescent="0.2">
      <c r="A119" s="655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0" t="s">
        <v>72</v>
      </c>
      <c r="Q119" s="651"/>
      <c r="R119" s="651"/>
      <c r="S119" s="651"/>
      <c r="T119" s="651"/>
      <c r="U119" s="651"/>
      <c r="V119" s="652"/>
      <c r="W119" s="37" t="s">
        <v>73</v>
      </c>
      <c r="X119" s="645">
        <f>IFERROR(X114/H114,"0")+IFERROR(X115/H115,"0")+IFERROR(X116/H116,"0")+IFERROR(X117/H117,"0")+IFERROR(X118/H118,"0")</f>
        <v>14.074074074074073</v>
      </c>
      <c r="Y119" s="645">
        <f>IFERROR(Y114/H114,"0")+IFERROR(Y115/H115,"0")+IFERROR(Y116/H116,"0")+IFERROR(Y117/H117,"0")+IFERROR(Y118/H118,"0")</f>
        <v>15</v>
      </c>
      <c r="Z119" s="645">
        <f>IFERROR(IF(Z114="",0,Z114),"0")+IFERROR(IF(Z115="",0,Z115),"0")+IFERROR(IF(Z116="",0,Z116),"0")+IFERROR(IF(Z117="",0,Z117),"0")+IFERROR(IF(Z118="",0,Z118),"0")</f>
        <v>0.16</v>
      </c>
      <c r="AA119" s="646"/>
      <c r="AB119" s="646"/>
      <c r="AC119" s="646"/>
    </row>
    <row r="120" spans="1:68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0" t="s">
        <v>72</v>
      </c>
      <c r="Q120" s="651"/>
      <c r="R120" s="651"/>
      <c r="S120" s="651"/>
      <c r="T120" s="651"/>
      <c r="U120" s="651"/>
      <c r="V120" s="652"/>
      <c r="W120" s="37" t="s">
        <v>67</v>
      </c>
      <c r="X120" s="645">
        <f>IFERROR(SUM(X114:X118),"0")</f>
        <v>68</v>
      </c>
      <c r="Y120" s="645">
        <f>IFERROR(SUM(Y114:Y118),"0")</f>
        <v>78</v>
      </c>
      <c r="Z120" s="37"/>
      <c r="AA120" s="646"/>
      <c r="AB120" s="646"/>
      <c r="AC120" s="646"/>
    </row>
    <row r="121" spans="1:68" ht="14.25" customHeight="1" x14ac:dyDescent="0.25">
      <c r="A121" s="663" t="s">
        <v>74</v>
      </c>
      <c r="B121" s="656"/>
      <c r="C121" s="656"/>
      <c r="D121" s="656"/>
      <c r="E121" s="656"/>
      <c r="F121" s="656"/>
      <c r="G121" s="656"/>
      <c r="H121" s="656"/>
      <c r="I121" s="656"/>
      <c r="J121" s="656"/>
      <c r="K121" s="656"/>
      <c r="L121" s="656"/>
      <c r="M121" s="656"/>
      <c r="N121" s="656"/>
      <c r="O121" s="656"/>
      <c r="P121" s="656"/>
      <c r="Q121" s="656"/>
      <c r="R121" s="656"/>
      <c r="S121" s="656"/>
      <c r="T121" s="656"/>
      <c r="U121" s="656"/>
      <c r="V121" s="656"/>
      <c r="W121" s="656"/>
      <c r="X121" s="656"/>
      <c r="Y121" s="656"/>
      <c r="Z121" s="656"/>
      <c r="AA121" s="639"/>
      <c r="AB121" s="639"/>
      <c r="AC121" s="639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53">
        <v>4607091385168</v>
      </c>
      <c r="E122" s="654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81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377</v>
      </c>
      <c r="Y122" s="644">
        <f t="shared" ref="Y122:Y128" si="15">IFERROR(IF(X122="",0,CEILING((X122/$H122),1)*$H122),"")</f>
        <v>380.7</v>
      </c>
      <c r="Z122" s="36">
        <f>IFERROR(IF(Y122=0,"",ROUNDUP(Y122/H122,0)*0.01898),"")</f>
        <v>0.89205999999999996</v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399.71308641975304</v>
      </c>
      <c r="BN122" s="64">
        <f t="shared" ref="BN122:BN128" si="17">IFERROR(Y122*I122/H122,"0")</f>
        <v>403.63599999999997</v>
      </c>
      <c r="BO122" s="64">
        <f t="shared" ref="BO122:BO128" si="18">IFERROR(1/J122*(X122/H122),"0")</f>
        <v>0.72723765432098764</v>
      </c>
      <c r="BP122" s="64">
        <f t="shared" ref="BP122:BP128" si="19">IFERROR(1/J122*(Y122/H122),"0")</f>
        <v>0.734375</v>
      </c>
    </row>
    <row r="123" spans="1:68" ht="27" customHeight="1" x14ac:dyDescent="0.25">
      <c r="A123" s="54" t="s">
        <v>228</v>
      </c>
      <c r="B123" s="54" t="s">
        <v>231</v>
      </c>
      <c r="C123" s="31">
        <v>4301052088</v>
      </c>
      <c r="D123" s="653">
        <v>4607091385168</v>
      </c>
      <c r="E123" s="654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77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4301051730</v>
      </c>
      <c r="D124" s="653">
        <v>4607091383256</v>
      </c>
      <c r="E124" s="654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100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4301051721</v>
      </c>
      <c r="D125" s="653">
        <v>4607091385748</v>
      </c>
      <c r="E125" s="654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2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53</v>
      </c>
      <c r="Y125" s="644">
        <f t="shared" si="15"/>
        <v>54</v>
      </c>
      <c r="Z125" s="36">
        <f>IFERROR(IF(Y125=0,"",ROUNDUP(Y125/H125,0)*0.00651),"")</f>
        <v>0.13020000000000001</v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57.946666666666658</v>
      </c>
      <c r="BN125" s="64">
        <f t="shared" si="17"/>
        <v>59.039999999999992</v>
      </c>
      <c r="BO125" s="64">
        <f t="shared" si="18"/>
        <v>0.10785510785510787</v>
      </c>
      <c r="BP125" s="64">
        <f t="shared" si="19"/>
        <v>0.1098901098901099</v>
      </c>
    </row>
    <row r="126" spans="1:68" ht="27" customHeight="1" x14ac:dyDescent="0.25">
      <c r="A126" s="54" t="s">
        <v>235</v>
      </c>
      <c r="B126" s="54" t="s">
        <v>237</v>
      </c>
      <c r="C126" s="31">
        <v>4301052086</v>
      </c>
      <c r="D126" s="653">
        <v>4607091385748</v>
      </c>
      <c r="E126" s="654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3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customHeight="1" x14ac:dyDescent="0.25">
      <c r="A127" s="54" t="s">
        <v>239</v>
      </c>
      <c r="B127" s="54" t="s">
        <v>240</v>
      </c>
      <c r="C127" s="31">
        <v>4301051740</v>
      </c>
      <c r="D127" s="653">
        <v>4680115884533</v>
      </c>
      <c r="E127" s="654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customHeight="1" x14ac:dyDescent="0.25">
      <c r="A128" s="54" t="s">
        <v>239</v>
      </c>
      <c r="B128" s="54" t="s">
        <v>242</v>
      </c>
      <c r="C128" s="31">
        <v>4301052085</v>
      </c>
      <c r="D128" s="653">
        <v>4680115884533</v>
      </c>
      <c r="E128" s="654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2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5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0" t="s">
        <v>72</v>
      </c>
      <c r="Q129" s="651"/>
      <c r="R129" s="651"/>
      <c r="S129" s="651"/>
      <c r="T129" s="651"/>
      <c r="U129" s="651"/>
      <c r="V129" s="652"/>
      <c r="W129" s="37" t="s">
        <v>73</v>
      </c>
      <c r="X129" s="645">
        <f>IFERROR(X122/H122,"0")+IFERROR(X123/H123,"0")+IFERROR(X124/H124,"0")+IFERROR(X125/H125,"0")+IFERROR(X126/H126,"0")+IFERROR(X127/H127,"0")+IFERROR(X128/H128,"0")</f>
        <v>66.172839506172835</v>
      </c>
      <c r="Y129" s="645">
        <f>IFERROR(Y122/H122,"0")+IFERROR(Y123/H123,"0")+IFERROR(Y124/H124,"0")+IFERROR(Y125/H125,"0")+IFERROR(Y126/H126,"0")+IFERROR(Y127/H127,"0")+IFERROR(Y128/H128,"0")</f>
        <v>67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1.0222599999999999</v>
      </c>
      <c r="AA129" s="646"/>
      <c r="AB129" s="646"/>
      <c r="AC129" s="646"/>
    </row>
    <row r="130" spans="1:68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0" t="s">
        <v>72</v>
      </c>
      <c r="Q130" s="651"/>
      <c r="R130" s="651"/>
      <c r="S130" s="651"/>
      <c r="T130" s="651"/>
      <c r="U130" s="651"/>
      <c r="V130" s="652"/>
      <c r="W130" s="37" t="s">
        <v>67</v>
      </c>
      <c r="X130" s="645">
        <f>IFERROR(SUM(X122:X128),"0")</f>
        <v>430</v>
      </c>
      <c r="Y130" s="645">
        <f>IFERROR(SUM(Y122:Y128),"0")</f>
        <v>434.7</v>
      </c>
      <c r="Z130" s="37"/>
      <c r="AA130" s="646"/>
      <c r="AB130" s="646"/>
      <c r="AC130" s="646"/>
    </row>
    <row r="131" spans="1:68" ht="14.25" customHeight="1" x14ac:dyDescent="0.25">
      <c r="A131" s="663" t="s">
        <v>162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39"/>
      <c r="AB131" s="639"/>
      <c r="AC131" s="639"/>
    </row>
    <row r="132" spans="1:68" ht="16.5" customHeight="1" x14ac:dyDescent="0.25">
      <c r="A132" s="54" t="s">
        <v>244</v>
      </c>
      <c r="B132" s="54" t="s">
        <v>245</v>
      </c>
      <c r="C132" s="31">
        <v>4301060317</v>
      </c>
      <c r="D132" s="653">
        <v>4680115880238</v>
      </c>
      <c r="E132" s="654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0</v>
      </c>
      <c r="Y132" s="64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16.5" customHeight="1" x14ac:dyDescent="0.25">
      <c r="A133" s="54" t="s">
        <v>244</v>
      </c>
      <c r="B133" s="54" t="s">
        <v>247</v>
      </c>
      <c r="C133" s="31">
        <v>4301060525</v>
      </c>
      <c r="D133" s="653">
        <v>4680115880238</v>
      </c>
      <c r="E133" s="654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52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5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0" t="s">
        <v>72</v>
      </c>
      <c r="Q134" s="651"/>
      <c r="R134" s="651"/>
      <c r="S134" s="651"/>
      <c r="T134" s="651"/>
      <c r="U134" s="651"/>
      <c r="V134" s="652"/>
      <c r="W134" s="37" t="s">
        <v>73</v>
      </c>
      <c r="X134" s="645">
        <f>IFERROR(X132/H132,"0")+IFERROR(X133/H133,"0")</f>
        <v>0</v>
      </c>
      <c r="Y134" s="645">
        <f>IFERROR(Y132/H132,"0")+IFERROR(Y133/H133,"0")</f>
        <v>0</v>
      </c>
      <c r="Z134" s="645">
        <f>IFERROR(IF(Z132="",0,Z132),"0")+IFERROR(IF(Z133="",0,Z133),"0")</f>
        <v>0</v>
      </c>
      <c r="AA134" s="646"/>
      <c r="AB134" s="646"/>
      <c r="AC134" s="646"/>
    </row>
    <row r="135" spans="1:68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0" t="s">
        <v>72</v>
      </c>
      <c r="Q135" s="651"/>
      <c r="R135" s="651"/>
      <c r="S135" s="651"/>
      <c r="T135" s="651"/>
      <c r="U135" s="651"/>
      <c r="V135" s="652"/>
      <c r="W135" s="37" t="s">
        <v>67</v>
      </c>
      <c r="X135" s="645">
        <f>IFERROR(SUM(X132:X133),"0")</f>
        <v>0</v>
      </c>
      <c r="Y135" s="645">
        <f>IFERROR(SUM(Y132:Y133),"0")</f>
        <v>0</v>
      </c>
      <c r="Z135" s="37"/>
      <c r="AA135" s="646"/>
      <c r="AB135" s="646"/>
      <c r="AC135" s="646"/>
    </row>
    <row r="136" spans="1:68" ht="16.5" customHeight="1" x14ac:dyDescent="0.25">
      <c r="A136" s="664" t="s">
        <v>249</v>
      </c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6"/>
      <c r="P136" s="656"/>
      <c r="Q136" s="656"/>
      <c r="R136" s="656"/>
      <c r="S136" s="656"/>
      <c r="T136" s="656"/>
      <c r="U136" s="656"/>
      <c r="V136" s="656"/>
      <c r="W136" s="656"/>
      <c r="X136" s="656"/>
      <c r="Y136" s="656"/>
      <c r="Z136" s="656"/>
      <c r="AA136" s="638"/>
      <c r="AB136" s="638"/>
      <c r="AC136" s="638"/>
    </row>
    <row r="137" spans="1:68" ht="14.25" customHeight="1" x14ac:dyDescent="0.25">
      <c r="A137" s="663" t="s">
        <v>111</v>
      </c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6"/>
      <c r="P137" s="656"/>
      <c r="Q137" s="656"/>
      <c r="R137" s="656"/>
      <c r="S137" s="656"/>
      <c r="T137" s="656"/>
      <c r="U137" s="656"/>
      <c r="V137" s="656"/>
      <c r="W137" s="656"/>
      <c r="X137" s="656"/>
      <c r="Y137" s="656"/>
      <c r="Z137" s="656"/>
      <c r="AA137" s="639"/>
      <c r="AB137" s="639"/>
      <c r="AC137" s="639"/>
    </row>
    <row r="138" spans="1:68" ht="27" customHeight="1" x14ac:dyDescent="0.25">
      <c r="A138" s="54" t="s">
        <v>250</v>
      </c>
      <c r="B138" s="54" t="s">
        <v>251</v>
      </c>
      <c r="C138" s="31">
        <v>4301011562</v>
      </c>
      <c r="D138" s="653">
        <v>4680115882577</v>
      </c>
      <c r="E138" s="654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1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28</v>
      </c>
      <c r="Y138" s="644">
        <f>IFERROR(IF(X138="",0,CEILING((X138/$H138),1)*$H138),"")</f>
        <v>28.8</v>
      </c>
      <c r="Z138" s="36">
        <f>IFERROR(IF(Y138=0,"",ROUNDUP(Y138/H138,0)*0.00651),"")</f>
        <v>5.8590000000000003E-2</v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29.574999999999999</v>
      </c>
      <c r="BN138" s="64">
        <f>IFERROR(Y138*I138/H138,"0")</f>
        <v>30.419999999999998</v>
      </c>
      <c r="BO138" s="64">
        <f>IFERROR(1/J138*(X138/H138),"0")</f>
        <v>4.807692307692308E-2</v>
      </c>
      <c r="BP138" s="64">
        <f>IFERROR(1/J138*(Y138/H138),"0")</f>
        <v>4.9450549450549455E-2</v>
      </c>
    </row>
    <row r="139" spans="1:68" ht="27" customHeight="1" x14ac:dyDescent="0.25">
      <c r="A139" s="54" t="s">
        <v>250</v>
      </c>
      <c r="B139" s="54" t="s">
        <v>254</v>
      </c>
      <c r="C139" s="31">
        <v>4301011564</v>
      </c>
      <c r="D139" s="653">
        <v>4680115882577</v>
      </c>
      <c r="E139" s="654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3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5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0" t="s">
        <v>72</v>
      </c>
      <c r="Q140" s="651"/>
      <c r="R140" s="651"/>
      <c r="S140" s="651"/>
      <c r="T140" s="651"/>
      <c r="U140" s="651"/>
      <c r="V140" s="652"/>
      <c r="W140" s="37" t="s">
        <v>73</v>
      </c>
      <c r="X140" s="645">
        <f>IFERROR(X138/H138,"0")+IFERROR(X139/H139,"0")</f>
        <v>8.75</v>
      </c>
      <c r="Y140" s="645">
        <f>IFERROR(Y138/H138,"0")+IFERROR(Y139/H139,"0")</f>
        <v>9</v>
      </c>
      <c r="Z140" s="645">
        <f>IFERROR(IF(Z138="",0,Z138),"0")+IFERROR(IF(Z139="",0,Z139),"0")</f>
        <v>5.8590000000000003E-2</v>
      </c>
      <c r="AA140" s="646"/>
      <c r="AB140" s="646"/>
      <c r="AC140" s="646"/>
    </row>
    <row r="141" spans="1:68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0" t="s">
        <v>72</v>
      </c>
      <c r="Q141" s="651"/>
      <c r="R141" s="651"/>
      <c r="S141" s="651"/>
      <c r="T141" s="651"/>
      <c r="U141" s="651"/>
      <c r="V141" s="652"/>
      <c r="W141" s="37" t="s">
        <v>67</v>
      </c>
      <c r="X141" s="645">
        <f>IFERROR(SUM(X138:X139),"0")</f>
        <v>28</v>
      </c>
      <c r="Y141" s="645">
        <f>IFERROR(SUM(Y138:Y139),"0")</f>
        <v>28.8</v>
      </c>
      <c r="Z141" s="37"/>
      <c r="AA141" s="646"/>
      <c r="AB141" s="646"/>
      <c r="AC141" s="646"/>
    </row>
    <row r="142" spans="1:68" ht="14.25" customHeight="1" x14ac:dyDescent="0.25">
      <c r="A142" s="663" t="s">
        <v>62</v>
      </c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6"/>
      <c r="P142" s="656"/>
      <c r="Q142" s="656"/>
      <c r="R142" s="656"/>
      <c r="S142" s="656"/>
      <c r="T142" s="656"/>
      <c r="U142" s="656"/>
      <c r="V142" s="656"/>
      <c r="W142" s="656"/>
      <c r="X142" s="656"/>
      <c r="Y142" s="656"/>
      <c r="Z142" s="656"/>
      <c r="AA142" s="639"/>
      <c r="AB142" s="639"/>
      <c r="AC142" s="639"/>
    </row>
    <row r="143" spans="1:68" ht="27" customHeight="1" x14ac:dyDescent="0.25">
      <c r="A143" s="54" t="s">
        <v>255</v>
      </c>
      <c r="B143" s="54" t="s">
        <v>256</v>
      </c>
      <c r="C143" s="31">
        <v>4301031234</v>
      </c>
      <c r="D143" s="653">
        <v>4680115883444</v>
      </c>
      <c r="E143" s="654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25</v>
      </c>
      <c r="Y143" s="644">
        <f>IFERROR(IF(X143="",0,CEILING((X143/$H143),1)*$H143),"")</f>
        <v>25.2</v>
      </c>
      <c r="Z143" s="36">
        <f>IFERROR(IF(Y143=0,"",ROUNDUP(Y143/H143,0)*0.00651),"")</f>
        <v>5.8590000000000003E-2</v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27.392857142857146</v>
      </c>
      <c r="BN143" s="64">
        <f>IFERROR(Y143*I143/H143,"0")</f>
        <v>27.611999999999998</v>
      </c>
      <c r="BO143" s="64">
        <f>IFERROR(1/J143*(X143/H143),"0")</f>
        <v>4.9058084772370489E-2</v>
      </c>
      <c r="BP143" s="64">
        <f>IFERROR(1/J143*(Y143/H143),"0")</f>
        <v>4.9450549450549455E-2</v>
      </c>
    </row>
    <row r="144" spans="1:68" ht="27" customHeight="1" x14ac:dyDescent="0.25">
      <c r="A144" s="54" t="s">
        <v>255</v>
      </c>
      <c r="B144" s="54" t="s">
        <v>258</v>
      </c>
      <c r="C144" s="31">
        <v>4301031235</v>
      </c>
      <c r="D144" s="653">
        <v>4680115883444</v>
      </c>
      <c r="E144" s="654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6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5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0" t="s">
        <v>72</v>
      </c>
      <c r="Q145" s="651"/>
      <c r="R145" s="651"/>
      <c r="S145" s="651"/>
      <c r="T145" s="651"/>
      <c r="U145" s="651"/>
      <c r="V145" s="652"/>
      <c r="W145" s="37" t="s">
        <v>73</v>
      </c>
      <c r="X145" s="645">
        <f>IFERROR(X143/H143,"0")+IFERROR(X144/H144,"0")</f>
        <v>8.9285714285714288</v>
      </c>
      <c r="Y145" s="645">
        <f>IFERROR(Y143/H143,"0")+IFERROR(Y144/H144,"0")</f>
        <v>9</v>
      </c>
      <c r="Z145" s="645">
        <f>IFERROR(IF(Z143="",0,Z143),"0")+IFERROR(IF(Z144="",0,Z144),"0")</f>
        <v>5.8590000000000003E-2</v>
      </c>
      <c r="AA145" s="646"/>
      <c r="AB145" s="646"/>
      <c r="AC145" s="646"/>
    </row>
    <row r="146" spans="1:68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0" t="s">
        <v>72</v>
      </c>
      <c r="Q146" s="651"/>
      <c r="R146" s="651"/>
      <c r="S146" s="651"/>
      <c r="T146" s="651"/>
      <c r="U146" s="651"/>
      <c r="V146" s="652"/>
      <c r="W146" s="37" t="s">
        <v>67</v>
      </c>
      <c r="X146" s="645">
        <f>IFERROR(SUM(X143:X144),"0")</f>
        <v>25</v>
      </c>
      <c r="Y146" s="645">
        <f>IFERROR(SUM(Y143:Y144),"0")</f>
        <v>25.2</v>
      </c>
      <c r="Z146" s="37"/>
      <c r="AA146" s="646"/>
      <c r="AB146" s="646"/>
      <c r="AC146" s="646"/>
    </row>
    <row r="147" spans="1:68" ht="14.25" customHeight="1" x14ac:dyDescent="0.25">
      <c r="A147" s="663" t="s">
        <v>74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39"/>
      <c r="AB147" s="639"/>
      <c r="AC147" s="639"/>
    </row>
    <row r="148" spans="1:68" ht="16.5" customHeight="1" x14ac:dyDescent="0.25">
      <c r="A148" s="54" t="s">
        <v>259</v>
      </c>
      <c r="B148" s="54" t="s">
        <v>260</v>
      </c>
      <c r="C148" s="31">
        <v>4301051476</v>
      </c>
      <c r="D148" s="653">
        <v>4680115882584</v>
      </c>
      <c r="E148" s="654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19</v>
      </c>
      <c r="Y148" s="644">
        <f>IFERROR(IF(X148="",0,CEILING((X148/$H148),1)*$H148),"")</f>
        <v>21.12</v>
      </c>
      <c r="Z148" s="36">
        <f>IFERROR(IF(Y148=0,"",ROUNDUP(Y148/H148,0)*0.00651),"")</f>
        <v>5.2080000000000001E-2</v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20.928787878787876</v>
      </c>
      <c r="BN148" s="64">
        <f>IFERROR(Y148*I148/H148,"0")</f>
        <v>23.263999999999999</v>
      </c>
      <c r="BO148" s="64">
        <f>IFERROR(1/J148*(X148/H148),"0")</f>
        <v>3.9543789543789544E-2</v>
      </c>
      <c r="BP148" s="64">
        <f>IFERROR(1/J148*(Y148/H148),"0")</f>
        <v>4.3956043956043959E-2</v>
      </c>
    </row>
    <row r="149" spans="1:68" ht="16.5" customHeight="1" x14ac:dyDescent="0.25">
      <c r="A149" s="54" t="s">
        <v>259</v>
      </c>
      <c r="B149" s="54" t="s">
        <v>261</v>
      </c>
      <c r="C149" s="31">
        <v>4301051477</v>
      </c>
      <c r="D149" s="653">
        <v>4680115882584</v>
      </c>
      <c r="E149" s="654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10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5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45">
        <f>IFERROR(X148/H148,"0")+IFERROR(X149/H149,"0")</f>
        <v>7.1969696969696964</v>
      </c>
      <c r="Y150" s="645">
        <f>IFERROR(Y148/H148,"0")+IFERROR(Y149/H149,"0")</f>
        <v>8</v>
      </c>
      <c r="Z150" s="645">
        <f>IFERROR(IF(Z148="",0,Z148),"0")+IFERROR(IF(Z149="",0,Z149),"0")</f>
        <v>5.2080000000000001E-2</v>
      </c>
      <c r="AA150" s="646"/>
      <c r="AB150" s="646"/>
      <c r="AC150" s="646"/>
    </row>
    <row r="151" spans="1:68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45">
        <f>IFERROR(SUM(X148:X149),"0")</f>
        <v>19</v>
      </c>
      <c r="Y151" s="645">
        <f>IFERROR(SUM(Y148:Y149),"0")</f>
        <v>21.12</v>
      </c>
      <c r="Z151" s="37"/>
      <c r="AA151" s="646"/>
      <c r="AB151" s="646"/>
      <c r="AC151" s="646"/>
    </row>
    <row r="152" spans="1:68" ht="16.5" customHeight="1" x14ac:dyDescent="0.25">
      <c r="A152" s="664" t="s">
        <v>262</v>
      </c>
      <c r="B152" s="656"/>
      <c r="C152" s="656"/>
      <c r="D152" s="656"/>
      <c r="E152" s="656"/>
      <c r="F152" s="656"/>
      <c r="G152" s="656"/>
      <c r="H152" s="656"/>
      <c r="I152" s="656"/>
      <c r="J152" s="656"/>
      <c r="K152" s="656"/>
      <c r="L152" s="656"/>
      <c r="M152" s="656"/>
      <c r="N152" s="656"/>
      <c r="O152" s="656"/>
      <c r="P152" s="656"/>
      <c r="Q152" s="656"/>
      <c r="R152" s="656"/>
      <c r="S152" s="656"/>
      <c r="T152" s="656"/>
      <c r="U152" s="656"/>
      <c r="V152" s="656"/>
      <c r="W152" s="656"/>
      <c r="X152" s="656"/>
      <c r="Y152" s="656"/>
      <c r="Z152" s="656"/>
      <c r="AA152" s="638"/>
      <c r="AB152" s="638"/>
      <c r="AC152" s="638"/>
    </row>
    <row r="153" spans="1:68" ht="14.25" customHeight="1" x14ac:dyDescent="0.25">
      <c r="A153" s="663" t="s">
        <v>74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39"/>
      <c r="AB153" s="639"/>
      <c r="AC153" s="639"/>
    </row>
    <row r="154" spans="1:68" ht="27" customHeight="1" x14ac:dyDescent="0.25">
      <c r="A154" s="54" t="s">
        <v>263</v>
      </c>
      <c r="B154" s="54" t="s">
        <v>264</v>
      </c>
      <c r="C154" s="31">
        <v>4301052254</v>
      </c>
      <c r="D154" s="653">
        <v>4680115888203</v>
      </c>
      <c r="E154" s="654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customHeight="1" x14ac:dyDescent="0.25">
      <c r="A155" s="54" t="s">
        <v>266</v>
      </c>
      <c r="B155" s="54" t="s">
        <v>267</v>
      </c>
      <c r="C155" s="31">
        <v>4301052172</v>
      </c>
      <c r="D155" s="653">
        <v>4680115888180</v>
      </c>
      <c r="E155" s="654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customHeight="1" x14ac:dyDescent="0.25">
      <c r="A156" s="54" t="s">
        <v>266</v>
      </c>
      <c r="B156" s="54" t="s">
        <v>269</v>
      </c>
      <c r="C156" s="31">
        <v>4301052252</v>
      </c>
      <c r="D156" s="653">
        <v>4680115888180</v>
      </c>
      <c r="E156" s="654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customHeight="1" x14ac:dyDescent="0.25">
      <c r="A157" s="54" t="s">
        <v>270</v>
      </c>
      <c r="B157" s="54" t="s">
        <v>271</v>
      </c>
      <c r="C157" s="31">
        <v>4301052173</v>
      </c>
      <c r="D157" s="653">
        <v>4680115888197</v>
      </c>
      <c r="E157" s="654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customHeight="1" x14ac:dyDescent="0.25">
      <c r="A158" s="54" t="s">
        <v>270</v>
      </c>
      <c r="B158" s="54" t="s">
        <v>273</v>
      </c>
      <c r="C158" s="31">
        <v>4301052253</v>
      </c>
      <c r="D158" s="653">
        <v>4680115888197</v>
      </c>
      <c r="E158" s="654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customHeight="1" x14ac:dyDescent="0.25">
      <c r="A159" s="54" t="s">
        <v>274</v>
      </c>
      <c r="B159" s="54" t="s">
        <v>275</v>
      </c>
      <c r="C159" s="31">
        <v>4301052175</v>
      </c>
      <c r="D159" s="653">
        <v>4680115888210</v>
      </c>
      <c r="E159" s="654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customHeight="1" x14ac:dyDescent="0.25">
      <c r="A160" s="54" t="s">
        <v>274</v>
      </c>
      <c r="B160" s="54" t="s">
        <v>277</v>
      </c>
      <c r="C160" s="31">
        <v>4301052255</v>
      </c>
      <c r="D160" s="653">
        <v>4680115888210</v>
      </c>
      <c r="E160" s="654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0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x14ac:dyDescent="0.2">
      <c r="A161" s="655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0" t="s">
        <v>72</v>
      </c>
      <c r="Q161" s="651"/>
      <c r="R161" s="651"/>
      <c r="S161" s="651"/>
      <c r="T161" s="651"/>
      <c r="U161" s="651"/>
      <c r="V161" s="652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0" t="s">
        <v>72</v>
      </c>
      <c r="Q162" s="651"/>
      <c r="R162" s="651"/>
      <c r="S162" s="651"/>
      <c r="T162" s="651"/>
      <c r="U162" s="651"/>
      <c r="V162" s="652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customHeight="1" x14ac:dyDescent="0.25">
      <c r="A163" s="663" t="s">
        <v>278</v>
      </c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6"/>
      <c r="P163" s="656"/>
      <c r="Q163" s="656"/>
      <c r="R163" s="656"/>
      <c r="S163" s="656"/>
      <c r="T163" s="656"/>
      <c r="U163" s="656"/>
      <c r="V163" s="656"/>
      <c r="W163" s="656"/>
      <c r="X163" s="656"/>
      <c r="Y163" s="656"/>
      <c r="Z163" s="656"/>
      <c r="AA163" s="639"/>
      <c r="AB163" s="639"/>
      <c r="AC163" s="639"/>
    </row>
    <row r="164" spans="1:68" ht="27" customHeight="1" x14ac:dyDescent="0.25">
      <c r="A164" s="54" t="s">
        <v>279</v>
      </c>
      <c r="B164" s="54" t="s">
        <v>280</v>
      </c>
      <c r="C164" s="31">
        <v>4301032067</v>
      </c>
      <c r="D164" s="653">
        <v>4680115889132</v>
      </c>
      <c r="E164" s="654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9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55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0" t="s">
        <v>72</v>
      </c>
      <c r="Q165" s="651"/>
      <c r="R165" s="651"/>
      <c r="S165" s="651"/>
      <c r="T165" s="651"/>
      <c r="U165" s="651"/>
      <c r="V165" s="652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0" t="s">
        <v>72</v>
      </c>
      <c r="Q166" s="651"/>
      <c r="R166" s="651"/>
      <c r="S166" s="651"/>
      <c r="T166" s="651"/>
      <c r="U166" s="651"/>
      <c r="V166" s="652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customHeight="1" x14ac:dyDescent="0.25">
      <c r="A167" s="664" t="s">
        <v>109</v>
      </c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6"/>
      <c r="P167" s="656"/>
      <c r="Q167" s="656"/>
      <c r="R167" s="656"/>
      <c r="S167" s="656"/>
      <c r="T167" s="656"/>
      <c r="U167" s="656"/>
      <c r="V167" s="656"/>
      <c r="W167" s="656"/>
      <c r="X167" s="656"/>
      <c r="Y167" s="656"/>
      <c r="Z167" s="656"/>
      <c r="AA167" s="638"/>
      <c r="AB167" s="638"/>
      <c r="AC167" s="638"/>
    </row>
    <row r="168" spans="1:68" ht="14.25" customHeight="1" x14ac:dyDescent="0.25">
      <c r="A168" s="663" t="s">
        <v>111</v>
      </c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6"/>
      <c r="P168" s="656"/>
      <c r="Q168" s="656"/>
      <c r="R168" s="656"/>
      <c r="S168" s="656"/>
      <c r="T168" s="656"/>
      <c r="U168" s="656"/>
      <c r="V168" s="656"/>
      <c r="W168" s="656"/>
      <c r="X168" s="656"/>
      <c r="Y168" s="656"/>
      <c r="Z168" s="656"/>
      <c r="AA168" s="639"/>
      <c r="AB168" s="639"/>
      <c r="AC168" s="639"/>
    </row>
    <row r="169" spans="1:68" ht="27" customHeight="1" x14ac:dyDescent="0.25">
      <c r="A169" s="54" t="s">
        <v>285</v>
      </c>
      <c r="B169" s="54" t="s">
        <v>286</v>
      </c>
      <c r="C169" s="31">
        <v>4301012338</v>
      </c>
      <c r="D169" s="653">
        <v>4680115887374</v>
      </c>
      <c r="E169" s="654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8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0</v>
      </c>
      <c r="Y169" s="644">
        <f>IFERROR(IF(X169="",0,CEILING((X169/$H169),1)*$H169),"")</f>
        <v>0</v>
      </c>
      <c r="Z169" s="36" t="str">
        <f>IFERROR(IF(Y169=0,"",ROUNDUP(Y169/H169,0)*0.01196),"")</f>
        <v/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27" customHeight="1" x14ac:dyDescent="0.25">
      <c r="A170" s="54" t="s">
        <v>288</v>
      </c>
      <c r="B170" s="54" t="s">
        <v>289</v>
      </c>
      <c r="C170" s="31">
        <v>4301011705</v>
      </c>
      <c r="D170" s="653">
        <v>4607091384604</v>
      </c>
      <c r="E170" s="654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4301012344</v>
      </c>
      <c r="D171" s="653">
        <v>4680115888876</v>
      </c>
      <c r="E171" s="654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2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55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0" t="s">
        <v>72</v>
      </c>
      <c r="Q172" s="651"/>
      <c r="R172" s="651"/>
      <c r="S172" s="651"/>
      <c r="T172" s="651"/>
      <c r="U172" s="651"/>
      <c r="V172" s="652"/>
      <c r="W172" s="37" t="s">
        <v>73</v>
      </c>
      <c r="X172" s="645">
        <f>IFERROR(X169/H169,"0")+IFERROR(X170/H170,"0")+IFERROR(X171/H171,"0")</f>
        <v>0</v>
      </c>
      <c r="Y172" s="645">
        <f>IFERROR(Y169/H169,"0")+IFERROR(Y170/H170,"0")+IFERROR(Y171/H171,"0")</f>
        <v>0</v>
      </c>
      <c r="Z172" s="645">
        <f>IFERROR(IF(Z169="",0,Z169),"0")+IFERROR(IF(Z170="",0,Z170),"0")+IFERROR(IF(Z171="",0,Z171),"0")</f>
        <v>0</v>
      </c>
      <c r="AA172" s="646"/>
      <c r="AB172" s="646"/>
      <c r="AC172" s="646"/>
    </row>
    <row r="173" spans="1:68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0" t="s">
        <v>72</v>
      </c>
      <c r="Q173" s="651"/>
      <c r="R173" s="651"/>
      <c r="S173" s="651"/>
      <c r="T173" s="651"/>
      <c r="U173" s="651"/>
      <c r="V173" s="652"/>
      <c r="W173" s="37" t="s">
        <v>67</v>
      </c>
      <c r="X173" s="645">
        <f>IFERROR(SUM(X169:X171),"0")</f>
        <v>0</v>
      </c>
      <c r="Y173" s="645">
        <f>IFERROR(SUM(Y169:Y171),"0")</f>
        <v>0</v>
      </c>
      <c r="Z173" s="37"/>
      <c r="AA173" s="646"/>
      <c r="AB173" s="646"/>
      <c r="AC173" s="646"/>
    </row>
    <row r="174" spans="1:68" ht="14.25" customHeight="1" x14ac:dyDescent="0.25">
      <c r="A174" s="663" t="s">
        <v>144</v>
      </c>
      <c r="B174" s="656"/>
      <c r="C174" s="656"/>
      <c r="D174" s="656"/>
      <c r="E174" s="656"/>
      <c r="F174" s="656"/>
      <c r="G174" s="656"/>
      <c r="H174" s="656"/>
      <c r="I174" s="656"/>
      <c r="J174" s="656"/>
      <c r="K174" s="656"/>
      <c r="L174" s="656"/>
      <c r="M174" s="656"/>
      <c r="N174" s="656"/>
      <c r="O174" s="656"/>
      <c r="P174" s="656"/>
      <c r="Q174" s="656"/>
      <c r="R174" s="656"/>
      <c r="S174" s="656"/>
      <c r="T174" s="656"/>
      <c r="U174" s="656"/>
      <c r="V174" s="656"/>
      <c r="W174" s="656"/>
      <c r="X174" s="656"/>
      <c r="Y174" s="656"/>
      <c r="Z174" s="656"/>
      <c r="AA174" s="639"/>
      <c r="AB174" s="639"/>
      <c r="AC174" s="639"/>
    </row>
    <row r="175" spans="1:68" ht="16.5" customHeight="1" x14ac:dyDescent="0.25">
      <c r="A175" s="54" t="s">
        <v>294</v>
      </c>
      <c r="B175" s="54" t="s">
        <v>295</v>
      </c>
      <c r="C175" s="31">
        <v>4301020410</v>
      </c>
      <c r="D175" s="653">
        <v>4680115887695</v>
      </c>
      <c r="E175" s="654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customHeight="1" x14ac:dyDescent="0.25">
      <c r="A176" s="54" t="s">
        <v>297</v>
      </c>
      <c r="B176" s="54" t="s">
        <v>298</v>
      </c>
      <c r="C176" s="31">
        <v>4301020439</v>
      </c>
      <c r="D176" s="653">
        <v>4680115889491</v>
      </c>
      <c r="E176" s="654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3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655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0" t="s">
        <v>72</v>
      </c>
      <c r="Q177" s="651"/>
      <c r="R177" s="651"/>
      <c r="S177" s="651"/>
      <c r="T177" s="651"/>
      <c r="U177" s="651"/>
      <c r="V177" s="652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0" t="s">
        <v>72</v>
      </c>
      <c r="Q178" s="651"/>
      <c r="R178" s="651"/>
      <c r="S178" s="651"/>
      <c r="T178" s="651"/>
      <c r="U178" s="651"/>
      <c r="V178" s="652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customHeight="1" x14ac:dyDescent="0.25">
      <c r="A179" s="663" t="s">
        <v>62</v>
      </c>
      <c r="B179" s="656"/>
      <c r="C179" s="656"/>
      <c r="D179" s="656"/>
      <c r="E179" s="656"/>
      <c r="F179" s="656"/>
      <c r="G179" s="656"/>
      <c r="H179" s="656"/>
      <c r="I179" s="656"/>
      <c r="J179" s="656"/>
      <c r="K179" s="656"/>
      <c r="L179" s="656"/>
      <c r="M179" s="656"/>
      <c r="N179" s="656"/>
      <c r="O179" s="656"/>
      <c r="P179" s="656"/>
      <c r="Q179" s="656"/>
      <c r="R179" s="656"/>
      <c r="S179" s="656"/>
      <c r="T179" s="656"/>
      <c r="U179" s="656"/>
      <c r="V179" s="656"/>
      <c r="W179" s="656"/>
      <c r="X179" s="656"/>
      <c r="Y179" s="656"/>
      <c r="Z179" s="656"/>
      <c r="AA179" s="639"/>
      <c r="AB179" s="639"/>
      <c r="AC179" s="639"/>
    </row>
    <row r="180" spans="1:68" ht="27" customHeight="1" x14ac:dyDescent="0.25">
      <c r="A180" s="54" t="s">
        <v>300</v>
      </c>
      <c r="B180" s="54" t="s">
        <v>301</v>
      </c>
      <c r="C180" s="31">
        <v>4301031496</v>
      </c>
      <c r="D180" s="653">
        <v>4680115887428</v>
      </c>
      <c r="E180" s="654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7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150</v>
      </c>
      <c r="Y180" s="644">
        <f t="shared" ref="Y180:Y191" si="26">IFERROR(IF(X180="",0,CEILING((X180/$H180),1)*$H180),"")</f>
        <v>150.5</v>
      </c>
      <c r="Z180" s="36">
        <f>IFERROR(IF(Y180=0,"",ROUNDUP(Y180/H180,0)*0.00902),"")</f>
        <v>0.38785999999999998</v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158.14285714285714</v>
      </c>
      <c r="BN180" s="64">
        <f t="shared" ref="BN180:BN191" si="28">IFERROR(Y180*I180/H180,"0")</f>
        <v>158.67000000000002</v>
      </c>
      <c r="BO180" s="64">
        <f t="shared" ref="BO180:BO191" si="29">IFERROR(1/J180*(X180/H180),"0")</f>
        <v>0.32467532467532467</v>
      </c>
      <c r="BP180" s="64">
        <f t="shared" ref="BP180:BP191" si="30">IFERROR(1/J180*(Y180/H180),"0")</f>
        <v>0.32575757575757575</v>
      </c>
    </row>
    <row r="181" spans="1:68" ht="27" customHeight="1" x14ac:dyDescent="0.25">
      <c r="A181" s="54" t="s">
        <v>303</v>
      </c>
      <c r="B181" s="54" t="s">
        <v>304</v>
      </c>
      <c r="C181" s="31">
        <v>4301031509</v>
      </c>
      <c r="D181" s="653">
        <v>4680115889170</v>
      </c>
      <c r="E181" s="654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4301031498</v>
      </c>
      <c r="D182" s="653">
        <v>4680115887398</v>
      </c>
      <c r="E182" s="654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7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100</v>
      </c>
      <c r="Y182" s="644">
        <f t="shared" si="26"/>
        <v>101.5</v>
      </c>
      <c r="Z182" s="36">
        <f>IFERROR(IF(Y182=0,"",ROUNDUP(Y182/H182,0)*0.00902),"")</f>
        <v>0.26158000000000003</v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105.42857142857143</v>
      </c>
      <c r="BN182" s="64">
        <f t="shared" si="28"/>
        <v>107.00999999999999</v>
      </c>
      <c r="BO182" s="64">
        <f t="shared" si="29"/>
        <v>0.21645021645021648</v>
      </c>
      <c r="BP182" s="64">
        <f t="shared" si="30"/>
        <v>0.2196969696969697</v>
      </c>
    </row>
    <row r="183" spans="1:68" ht="27" customHeight="1" x14ac:dyDescent="0.25">
      <c r="A183" s="54" t="s">
        <v>309</v>
      </c>
      <c r="B183" s="54" t="s">
        <v>310</v>
      </c>
      <c r="C183" s="31">
        <v>4301031497</v>
      </c>
      <c r="D183" s="653">
        <v>4680115887336</v>
      </c>
      <c r="E183" s="654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100</v>
      </c>
      <c r="Y183" s="644">
        <f t="shared" si="26"/>
        <v>101.5</v>
      </c>
      <c r="Z183" s="36">
        <f>IFERROR(IF(Y183=0,"",ROUNDUP(Y183/H183,0)*0.00902),"")</f>
        <v>0.26158000000000003</v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105.42857142857143</v>
      </c>
      <c r="BN183" s="64">
        <f t="shared" si="28"/>
        <v>107.00999999999999</v>
      </c>
      <c r="BO183" s="64">
        <f t="shared" si="29"/>
        <v>0.21645021645021648</v>
      </c>
      <c r="BP183" s="64">
        <f t="shared" si="30"/>
        <v>0.2196969696969697</v>
      </c>
    </row>
    <row r="184" spans="1:68" ht="27" customHeight="1" x14ac:dyDescent="0.25">
      <c r="A184" s="54" t="s">
        <v>309</v>
      </c>
      <c r="B184" s="54" t="s">
        <v>312</v>
      </c>
      <c r="C184" s="31">
        <v>4301031520</v>
      </c>
      <c r="D184" s="653">
        <v>4680115887336</v>
      </c>
      <c r="E184" s="654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27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customHeight="1" x14ac:dyDescent="0.25">
      <c r="A185" s="54" t="s">
        <v>315</v>
      </c>
      <c r="B185" s="54" t="s">
        <v>316</v>
      </c>
      <c r="C185" s="31">
        <v>4301032049</v>
      </c>
      <c r="D185" s="653">
        <v>4680115887787</v>
      </c>
      <c r="E185" s="654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0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5</v>
      </c>
      <c r="Y185" s="644">
        <f t="shared" si="26"/>
        <v>5.4</v>
      </c>
      <c r="Z185" s="36">
        <f>IFERROR(IF(Y185=0,"",ROUNDUP(Y185/H185,0)*0.00417),"")</f>
        <v>2.5020000000000001E-2</v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6.166666666666667</v>
      </c>
      <c r="BN185" s="64">
        <f t="shared" si="28"/>
        <v>6.66</v>
      </c>
      <c r="BO185" s="64">
        <f t="shared" si="29"/>
        <v>1.6534391534391533E-2</v>
      </c>
      <c r="BP185" s="64">
        <f t="shared" si="30"/>
        <v>1.7857142857142856E-2</v>
      </c>
    </row>
    <row r="186" spans="1:68" ht="16.5" customHeight="1" x14ac:dyDescent="0.25">
      <c r="A186" s="54" t="s">
        <v>315</v>
      </c>
      <c r="B186" s="54" t="s">
        <v>318</v>
      </c>
      <c r="C186" s="31">
        <v>4301031528</v>
      </c>
      <c r="D186" s="653">
        <v>4680115887787</v>
      </c>
      <c r="E186" s="654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71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4301031448</v>
      </c>
      <c r="D187" s="653">
        <v>4680115887503</v>
      </c>
      <c r="E187" s="654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28</v>
      </c>
      <c r="Y187" s="644">
        <f t="shared" si="26"/>
        <v>28.56</v>
      </c>
      <c r="Z187" s="36">
        <f>IFERROR(IF(Y187=0,"",ROUNDUP(Y187/H187,0)*0.00502),"")</f>
        <v>8.5339999999999999E-2</v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29.666666666666671</v>
      </c>
      <c r="BN187" s="64">
        <f t="shared" si="28"/>
        <v>30.259999999999998</v>
      </c>
      <c r="BO187" s="64">
        <f t="shared" si="29"/>
        <v>7.122507122507124E-2</v>
      </c>
      <c r="BP187" s="64">
        <f t="shared" si="30"/>
        <v>7.2649572649572655E-2</v>
      </c>
    </row>
    <row r="188" spans="1:68" ht="27" customHeight="1" x14ac:dyDescent="0.25">
      <c r="A188" s="54" t="s">
        <v>322</v>
      </c>
      <c r="B188" s="54" t="s">
        <v>323</v>
      </c>
      <c r="C188" s="31">
        <v>4301031389</v>
      </c>
      <c r="D188" s="653">
        <v>4680115887763</v>
      </c>
      <c r="E188" s="654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0</v>
      </c>
      <c r="Y188" s="644">
        <f t="shared" si="26"/>
        <v>0</v>
      </c>
      <c r="Z188" s="36" t="str">
        <f>IFERROR(IF(Y188=0,"",ROUNDUP(Y188/H188,0)*0.00417),"")</f>
        <v/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0</v>
      </c>
      <c r="BN188" s="64">
        <f t="shared" si="28"/>
        <v>0</v>
      </c>
      <c r="BO188" s="64">
        <f t="shared" si="29"/>
        <v>0</v>
      </c>
      <c r="BP188" s="64">
        <f t="shared" si="30"/>
        <v>0</v>
      </c>
    </row>
    <row r="189" spans="1:68" ht="27" customHeight="1" x14ac:dyDescent="0.25">
      <c r="A189" s="54" t="s">
        <v>325</v>
      </c>
      <c r="B189" s="54" t="s">
        <v>326</v>
      </c>
      <c r="C189" s="31">
        <v>4301031454</v>
      </c>
      <c r="D189" s="653">
        <v>4680115887480</v>
      </c>
      <c r="E189" s="654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6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28</v>
      </c>
      <c r="Y189" s="644">
        <f t="shared" si="26"/>
        <v>28.56</v>
      </c>
      <c r="Z189" s="36">
        <f>IFERROR(IF(Y189=0,"",ROUNDUP(Y189/H189,0)*0.00502),"")</f>
        <v>8.5339999999999999E-2</v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29.666666666666671</v>
      </c>
      <c r="BN189" s="64">
        <f t="shared" si="28"/>
        <v>30.259999999999998</v>
      </c>
      <c r="BO189" s="64">
        <f t="shared" si="29"/>
        <v>7.122507122507124E-2</v>
      </c>
      <c r="BP189" s="64">
        <f t="shared" si="30"/>
        <v>7.2649572649572655E-2</v>
      </c>
    </row>
    <row r="190" spans="1:68" ht="27" customHeight="1" x14ac:dyDescent="0.25">
      <c r="A190" s="54" t="s">
        <v>327</v>
      </c>
      <c r="B190" s="54" t="s">
        <v>328</v>
      </c>
      <c r="C190" s="31">
        <v>4301031434</v>
      </c>
      <c r="D190" s="653">
        <v>4680115888067</v>
      </c>
      <c r="E190" s="654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customHeight="1" x14ac:dyDescent="0.25">
      <c r="A191" s="54" t="s">
        <v>330</v>
      </c>
      <c r="B191" s="54" t="s">
        <v>331</v>
      </c>
      <c r="C191" s="31">
        <v>4301031519</v>
      </c>
      <c r="D191" s="653">
        <v>4680115887435</v>
      </c>
      <c r="E191" s="654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6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22</v>
      </c>
      <c r="Y191" s="644">
        <f t="shared" si="26"/>
        <v>23.52</v>
      </c>
      <c r="Z191" s="36">
        <f>IFERROR(IF(Y191=0,"",ROUNDUP(Y191/H191,0)*0.00502),"")</f>
        <v>7.0280000000000009E-2</v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23.309523809523814</v>
      </c>
      <c r="BN191" s="64">
        <f t="shared" si="28"/>
        <v>24.92</v>
      </c>
      <c r="BO191" s="64">
        <f t="shared" si="29"/>
        <v>5.596255596255597E-2</v>
      </c>
      <c r="BP191" s="64">
        <f t="shared" si="30"/>
        <v>5.9829059829059839E-2</v>
      </c>
    </row>
    <row r="192" spans="1:68" x14ac:dyDescent="0.2">
      <c r="A192" s="655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0" t="s">
        <v>72</v>
      </c>
      <c r="Q192" s="651"/>
      <c r="R192" s="651"/>
      <c r="S192" s="651"/>
      <c r="T192" s="651"/>
      <c r="U192" s="651"/>
      <c r="V192" s="652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151.98412698412699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155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1.177</v>
      </c>
      <c r="AA192" s="646"/>
      <c r="AB192" s="646"/>
      <c r="AC192" s="646"/>
    </row>
    <row r="193" spans="1:68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0" t="s">
        <v>72</v>
      </c>
      <c r="Q193" s="651"/>
      <c r="R193" s="651"/>
      <c r="S193" s="651"/>
      <c r="T193" s="651"/>
      <c r="U193" s="651"/>
      <c r="V193" s="652"/>
      <c r="W193" s="37" t="s">
        <v>67</v>
      </c>
      <c r="X193" s="645">
        <f>IFERROR(SUM(X180:X191),"0")</f>
        <v>433</v>
      </c>
      <c r="Y193" s="645">
        <f>IFERROR(SUM(Y180:Y191),"0")</f>
        <v>439.53999999999996</v>
      </c>
      <c r="Z193" s="37"/>
      <c r="AA193" s="646"/>
      <c r="AB193" s="646"/>
      <c r="AC193" s="646"/>
    </row>
    <row r="194" spans="1:68" ht="14.25" customHeight="1" x14ac:dyDescent="0.25">
      <c r="A194" s="663" t="s">
        <v>74</v>
      </c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6"/>
      <c r="P194" s="656"/>
      <c r="Q194" s="656"/>
      <c r="R194" s="656"/>
      <c r="S194" s="656"/>
      <c r="T194" s="656"/>
      <c r="U194" s="656"/>
      <c r="V194" s="656"/>
      <c r="W194" s="656"/>
      <c r="X194" s="656"/>
      <c r="Y194" s="656"/>
      <c r="Z194" s="656"/>
      <c r="AA194" s="639"/>
      <c r="AB194" s="639"/>
      <c r="AC194" s="639"/>
    </row>
    <row r="195" spans="1:68" ht="16.5" customHeight="1" x14ac:dyDescent="0.25">
      <c r="A195" s="54" t="s">
        <v>332</v>
      </c>
      <c r="B195" s="54" t="s">
        <v>333</v>
      </c>
      <c r="C195" s="31">
        <v>4301052193</v>
      </c>
      <c r="D195" s="653">
        <v>4680115888395</v>
      </c>
      <c r="E195" s="654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customHeight="1" x14ac:dyDescent="0.25">
      <c r="A196" s="54" t="s">
        <v>335</v>
      </c>
      <c r="B196" s="54" t="s">
        <v>336</v>
      </c>
      <c r="C196" s="31">
        <v>4301052191</v>
      </c>
      <c r="D196" s="653">
        <v>4680115888371</v>
      </c>
      <c r="E196" s="654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4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customHeight="1" x14ac:dyDescent="0.25">
      <c r="A197" s="54" t="s">
        <v>338</v>
      </c>
      <c r="B197" s="54" t="s">
        <v>339</v>
      </c>
      <c r="C197" s="31">
        <v>4301052064</v>
      </c>
      <c r="D197" s="653">
        <v>4680115887459</v>
      </c>
      <c r="E197" s="654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9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0" t="s">
        <v>72</v>
      </c>
      <c r="Q198" s="651"/>
      <c r="R198" s="651"/>
      <c r="S198" s="651"/>
      <c r="T198" s="651"/>
      <c r="U198" s="651"/>
      <c r="V198" s="652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0" t="s">
        <v>72</v>
      </c>
      <c r="Q199" s="651"/>
      <c r="R199" s="651"/>
      <c r="S199" s="651"/>
      <c r="T199" s="651"/>
      <c r="U199" s="651"/>
      <c r="V199" s="652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customHeight="1" x14ac:dyDescent="0.25">
      <c r="A200" s="663" t="s">
        <v>278</v>
      </c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6"/>
      <c r="P200" s="656"/>
      <c r="Q200" s="656"/>
      <c r="R200" s="656"/>
      <c r="S200" s="656"/>
      <c r="T200" s="656"/>
      <c r="U200" s="656"/>
      <c r="V200" s="656"/>
      <c r="W200" s="656"/>
      <c r="X200" s="656"/>
      <c r="Y200" s="656"/>
      <c r="Z200" s="656"/>
      <c r="AA200" s="639"/>
      <c r="AB200" s="639"/>
      <c r="AC200" s="639"/>
    </row>
    <row r="201" spans="1:68" ht="16.5" customHeight="1" x14ac:dyDescent="0.25">
      <c r="A201" s="54" t="s">
        <v>341</v>
      </c>
      <c r="B201" s="54" t="s">
        <v>342</v>
      </c>
      <c r="C201" s="31">
        <v>4301032058</v>
      </c>
      <c r="D201" s="653">
        <v>4680115889026</v>
      </c>
      <c r="E201" s="654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55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0" t="s">
        <v>72</v>
      </c>
      <c r="Q202" s="651"/>
      <c r="R202" s="651"/>
      <c r="S202" s="651"/>
      <c r="T202" s="651"/>
      <c r="U202" s="651"/>
      <c r="V202" s="652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0" t="s">
        <v>72</v>
      </c>
      <c r="Q203" s="651"/>
      <c r="R203" s="651"/>
      <c r="S203" s="651"/>
      <c r="T203" s="651"/>
      <c r="U203" s="651"/>
      <c r="V203" s="652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customHeight="1" x14ac:dyDescent="0.25">
      <c r="A204" s="663" t="s">
        <v>345</v>
      </c>
      <c r="B204" s="656"/>
      <c r="C204" s="656"/>
      <c r="D204" s="656"/>
      <c r="E204" s="656"/>
      <c r="F204" s="656"/>
      <c r="G204" s="656"/>
      <c r="H204" s="656"/>
      <c r="I204" s="656"/>
      <c r="J204" s="656"/>
      <c r="K204" s="656"/>
      <c r="L204" s="656"/>
      <c r="M204" s="656"/>
      <c r="N204" s="656"/>
      <c r="O204" s="656"/>
      <c r="P204" s="656"/>
      <c r="Q204" s="656"/>
      <c r="R204" s="656"/>
      <c r="S204" s="656"/>
      <c r="T204" s="656"/>
      <c r="U204" s="656"/>
      <c r="V204" s="656"/>
      <c r="W204" s="656"/>
      <c r="X204" s="656"/>
      <c r="Y204" s="656"/>
      <c r="Z204" s="656"/>
      <c r="AA204" s="639"/>
      <c r="AB204" s="639"/>
      <c r="AC204" s="639"/>
    </row>
    <row r="205" spans="1:68" ht="27" customHeight="1" x14ac:dyDescent="0.25">
      <c r="A205" s="54" t="s">
        <v>346</v>
      </c>
      <c r="B205" s="54" t="s">
        <v>347</v>
      </c>
      <c r="C205" s="31">
        <v>4301041009</v>
      </c>
      <c r="D205" s="653">
        <v>4680115889033</v>
      </c>
      <c r="E205" s="654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6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55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0" t="s">
        <v>72</v>
      </c>
      <c r="Q206" s="651"/>
      <c r="R206" s="651"/>
      <c r="S206" s="651"/>
      <c r="T206" s="651"/>
      <c r="U206" s="651"/>
      <c r="V206" s="652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0" t="s">
        <v>72</v>
      </c>
      <c r="Q207" s="651"/>
      <c r="R207" s="651"/>
      <c r="S207" s="651"/>
      <c r="T207" s="651"/>
      <c r="U207" s="651"/>
      <c r="V207" s="652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customHeight="1" x14ac:dyDescent="0.2">
      <c r="A208" s="665" t="s">
        <v>349</v>
      </c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48"/>
      <c r="AB208" s="48"/>
      <c r="AC208" s="48"/>
    </row>
    <row r="209" spans="1:68" ht="16.5" customHeight="1" x14ac:dyDescent="0.25">
      <c r="A209" s="664" t="s">
        <v>350</v>
      </c>
      <c r="B209" s="656"/>
      <c r="C209" s="656"/>
      <c r="D209" s="656"/>
      <c r="E209" s="656"/>
      <c r="F209" s="656"/>
      <c r="G209" s="656"/>
      <c r="H209" s="656"/>
      <c r="I209" s="656"/>
      <c r="J209" s="656"/>
      <c r="K209" s="656"/>
      <c r="L209" s="656"/>
      <c r="M209" s="656"/>
      <c r="N209" s="656"/>
      <c r="O209" s="656"/>
      <c r="P209" s="656"/>
      <c r="Q209" s="656"/>
      <c r="R209" s="656"/>
      <c r="S209" s="656"/>
      <c r="T209" s="656"/>
      <c r="U209" s="656"/>
      <c r="V209" s="656"/>
      <c r="W209" s="656"/>
      <c r="X209" s="656"/>
      <c r="Y209" s="656"/>
      <c r="Z209" s="656"/>
      <c r="AA209" s="638"/>
      <c r="AB209" s="638"/>
      <c r="AC209" s="638"/>
    </row>
    <row r="210" spans="1:68" ht="14.25" customHeight="1" x14ac:dyDescent="0.25">
      <c r="A210" s="663" t="s">
        <v>111</v>
      </c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6"/>
      <c r="P210" s="656"/>
      <c r="Q210" s="656"/>
      <c r="R210" s="656"/>
      <c r="S210" s="656"/>
      <c r="T210" s="656"/>
      <c r="U210" s="656"/>
      <c r="V210" s="656"/>
      <c r="W210" s="656"/>
      <c r="X210" s="656"/>
      <c r="Y210" s="656"/>
      <c r="Z210" s="656"/>
      <c r="AA210" s="639"/>
      <c r="AB210" s="639"/>
      <c r="AC210" s="639"/>
    </row>
    <row r="211" spans="1:68" ht="27" customHeight="1" x14ac:dyDescent="0.25">
      <c r="A211" s="54" t="s">
        <v>351</v>
      </c>
      <c r="B211" s="54" t="s">
        <v>352</v>
      </c>
      <c r="C211" s="31">
        <v>4301011223</v>
      </c>
      <c r="D211" s="653">
        <v>4607091383423</v>
      </c>
      <c r="E211" s="654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customHeight="1" x14ac:dyDescent="0.25">
      <c r="A212" s="54" t="s">
        <v>353</v>
      </c>
      <c r="B212" s="54" t="s">
        <v>354</v>
      </c>
      <c r="C212" s="31">
        <v>4301012340</v>
      </c>
      <c r="D212" s="653">
        <v>4680115888760</v>
      </c>
      <c r="E212" s="654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4301012341</v>
      </c>
      <c r="D213" s="653">
        <v>4680115888807</v>
      </c>
      <c r="E213" s="654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customHeight="1" x14ac:dyDescent="0.25">
      <c r="A214" s="54" t="s">
        <v>359</v>
      </c>
      <c r="B214" s="54" t="s">
        <v>360</v>
      </c>
      <c r="C214" s="31">
        <v>4301012342</v>
      </c>
      <c r="D214" s="653">
        <v>4680115888852</v>
      </c>
      <c r="E214" s="654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customHeight="1" x14ac:dyDescent="0.25">
      <c r="A215" s="54" t="s">
        <v>362</v>
      </c>
      <c r="B215" s="54" t="s">
        <v>363</v>
      </c>
      <c r="C215" s="31">
        <v>4301012370</v>
      </c>
      <c r="D215" s="653">
        <v>4680115886957</v>
      </c>
      <c r="E215" s="654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4301012098</v>
      </c>
      <c r="D216" s="653">
        <v>4680115885660</v>
      </c>
      <c r="E216" s="654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4301012369</v>
      </c>
      <c r="D217" s="653">
        <v>4680115886773</v>
      </c>
      <c r="E217" s="654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7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x14ac:dyDescent="0.2">
      <c r="A218" s="655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0" t="s">
        <v>72</v>
      </c>
      <c r="Q218" s="651"/>
      <c r="R218" s="651"/>
      <c r="S218" s="651"/>
      <c r="T218" s="651"/>
      <c r="U218" s="651"/>
      <c r="V218" s="652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0" t="s">
        <v>72</v>
      </c>
      <c r="Q219" s="651"/>
      <c r="R219" s="651"/>
      <c r="S219" s="651"/>
      <c r="T219" s="651"/>
      <c r="U219" s="651"/>
      <c r="V219" s="652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customHeight="1" x14ac:dyDescent="0.25">
      <c r="A220" s="664" t="s">
        <v>371</v>
      </c>
      <c r="B220" s="656"/>
      <c r="C220" s="656"/>
      <c r="D220" s="656"/>
      <c r="E220" s="656"/>
      <c r="F220" s="656"/>
      <c r="G220" s="656"/>
      <c r="H220" s="656"/>
      <c r="I220" s="656"/>
      <c r="J220" s="656"/>
      <c r="K220" s="656"/>
      <c r="L220" s="656"/>
      <c r="M220" s="656"/>
      <c r="N220" s="656"/>
      <c r="O220" s="656"/>
      <c r="P220" s="656"/>
      <c r="Q220" s="656"/>
      <c r="R220" s="656"/>
      <c r="S220" s="656"/>
      <c r="T220" s="656"/>
      <c r="U220" s="656"/>
      <c r="V220" s="656"/>
      <c r="W220" s="656"/>
      <c r="X220" s="656"/>
      <c r="Y220" s="656"/>
      <c r="Z220" s="656"/>
      <c r="AA220" s="638"/>
      <c r="AB220" s="638"/>
      <c r="AC220" s="638"/>
    </row>
    <row r="221" spans="1:68" ht="14.25" customHeight="1" x14ac:dyDescent="0.25">
      <c r="A221" s="663" t="s">
        <v>144</v>
      </c>
      <c r="B221" s="656"/>
      <c r="C221" s="656"/>
      <c r="D221" s="656"/>
      <c r="E221" s="656"/>
      <c r="F221" s="656"/>
      <c r="G221" s="656"/>
      <c r="H221" s="656"/>
      <c r="I221" s="656"/>
      <c r="J221" s="656"/>
      <c r="K221" s="656"/>
      <c r="L221" s="656"/>
      <c r="M221" s="656"/>
      <c r="N221" s="656"/>
      <c r="O221" s="656"/>
      <c r="P221" s="656"/>
      <c r="Q221" s="656"/>
      <c r="R221" s="656"/>
      <c r="S221" s="656"/>
      <c r="T221" s="656"/>
      <c r="U221" s="656"/>
      <c r="V221" s="656"/>
      <c r="W221" s="656"/>
      <c r="X221" s="656"/>
      <c r="Y221" s="656"/>
      <c r="Z221" s="656"/>
      <c r="AA221" s="639"/>
      <c r="AB221" s="639"/>
      <c r="AC221" s="639"/>
    </row>
    <row r="222" spans="1:68" ht="27" customHeight="1" x14ac:dyDescent="0.25">
      <c r="A222" s="54" t="s">
        <v>372</v>
      </c>
      <c r="B222" s="54" t="s">
        <v>373</v>
      </c>
      <c r="C222" s="31">
        <v>4301020323</v>
      </c>
      <c r="D222" s="653">
        <v>4680115886223</v>
      </c>
      <c r="E222" s="654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x14ac:dyDescent="0.2">
      <c r="A223" s="655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0" t="s">
        <v>72</v>
      </c>
      <c r="Q223" s="651"/>
      <c r="R223" s="651"/>
      <c r="S223" s="651"/>
      <c r="T223" s="651"/>
      <c r="U223" s="651"/>
      <c r="V223" s="652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0" t="s">
        <v>72</v>
      </c>
      <c r="Q224" s="651"/>
      <c r="R224" s="651"/>
      <c r="S224" s="651"/>
      <c r="T224" s="651"/>
      <c r="U224" s="651"/>
      <c r="V224" s="652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customHeight="1" x14ac:dyDescent="0.25">
      <c r="A225" s="663" t="s">
        <v>62</v>
      </c>
      <c r="B225" s="656"/>
      <c r="C225" s="656"/>
      <c r="D225" s="656"/>
      <c r="E225" s="656"/>
      <c r="F225" s="656"/>
      <c r="G225" s="656"/>
      <c r="H225" s="656"/>
      <c r="I225" s="656"/>
      <c r="J225" s="656"/>
      <c r="K225" s="656"/>
      <c r="L225" s="656"/>
      <c r="M225" s="656"/>
      <c r="N225" s="656"/>
      <c r="O225" s="656"/>
      <c r="P225" s="656"/>
      <c r="Q225" s="656"/>
      <c r="R225" s="656"/>
      <c r="S225" s="656"/>
      <c r="T225" s="656"/>
      <c r="U225" s="656"/>
      <c r="V225" s="656"/>
      <c r="W225" s="656"/>
      <c r="X225" s="656"/>
      <c r="Y225" s="656"/>
      <c r="Z225" s="656"/>
      <c r="AA225" s="639"/>
      <c r="AB225" s="639"/>
      <c r="AC225" s="639"/>
    </row>
    <row r="226" spans="1:68" ht="27" customHeight="1" x14ac:dyDescent="0.25">
      <c r="A226" s="54" t="s">
        <v>375</v>
      </c>
      <c r="B226" s="54" t="s">
        <v>376</v>
      </c>
      <c r="C226" s="31">
        <v>4301031191</v>
      </c>
      <c r="D226" s="653">
        <v>4680115880993</v>
      </c>
      <c r="E226" s="654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60</v>
      </c>
      <c r="Y226" s="644">
        <f t="shared" ref="Y226:Y239" si="37">IFERROR(IF(X226="",0,CEILING((X226/$H226),1)*$H226),"")</f>
        <v>63</v>
      </c>
      <c r="Z226" s="36">
        <f>IFERROR(IF(Y226=0,"",ROUNDUP(Y226/H226,0)*0.00902),"")</f>
        <v>0.1353</v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63.571428571428569</v>
      </c>
      <c r="BN226" s="64">
        <f t="shared" ref="BN226:BN239" si="39">IFERROR(Y226*I226/H226,"0")</f>
        <v>66.75</v>
      </c>
      <c r="BO226" s="64">
        <f t="shared" ref="BO226:BO239" si="40">IFERROR(1/J226*(X226/H226),"0")</f>
        <v>0.10822510822510822</v>
      </c>
      <c r="BP226" s="64">
        <f t="shared" ref="BP226:BP239" si="41">IFERROR(1/J226*(Y226/H226),"0")</f>
        <v>0.11363636363636365</v>
      </c>
    </row>
    <row r="227" spans="1:68" ht="27" customHeight="1" x14ac:dyDescent="0.25">
      <c r="A227" s="54" t="s">
        <v>378</v>
      </c>
      <c r="B227" s="54" t="s">
        <v>379</v>
      </c>
      <c r="C227" s="31">
        <v>4301031204</v>
      </c>
      <c r="D227" s="653">
        <v>4680115881761</v>
      </c>
      <c r="E227" s="654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1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customHeight="1" x14ac:dyDescent="0.25">
      <c r="A228" s="54" t="s">
        <v>381</v>
      </c>
      <c r="B228" s="54" t="s">
        <v>382</v>
      </c>
      <c r="C228" s="31">
        <v>4301031201</v>
      </c>
      <c r="D228" s="653">
        <v>4680115881563</v>
      </c>
      <c r="E228" s="654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50</v>
      </c>
      <c r="Y228" s="644">
        <f t="shared" si="37"/>
        <v>50.400000000000006</v>
      </c>
      <c r="Z228" s="36">
        <f>IFERROR(IF(Y228=0,"",ROUNDUP(Y228/H228,0)*0.00902),"")</f>
        <v>0.10824</v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52.261904761904752</v>
      </c>
      <c r="BN228" s="64">
        <f t="shared" si="39"/>
        <v>52.68</v>
      </c>
      <c r="BO228" s="64">
        <f t="shared" si="40"/>
        <v>9.0187590187590191E-2</v>
      </c>
      <c r="BP228" s="64">
        <f t="shared" si="41"/>
        <v>9.0909090909090912E-2</v>
      </c>
    </row>
    <row r="229" spans="1:68" ht="37.5" customHeight="1" x14ac:dyDescent="0.25">
      <c r="A229" s="54" t="s">
        <v>384</v>
      </c>
      <c r="B229" s="54" t="s">
        <v>385</v>
      </c>
      <c r="C229" s="31">
        <v>4301031447</v>
      </c>
      <c r="D229" s="653">
        <v>4680115887565</v>
      </c>
      <c r="E229" s="654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8</v>
      </c>
      <c r="Y229" s="644">
        <f t="shared" si="37"/>
        <v>8</v>
      </c>
      <c r="Z229" s="36">
        <f>IFERROR(IF(Y229=0,"",ROUNDUP(Y229/H229,0)*0.00556),"")</f>
        <v>5.5599999999999997E-2</v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9.3000000000000007</v>
      </c>
      <c r="BN229" s="64">
        <f t="shared" si="39"/>
        <v>9.3000000000000007</v>
      </c>
      <c r="BO229" s="64">
        <f t="shared" si="40"/>
        <v>3.968253968253968E-2</v>
      </c>
      <c r="BP229" s="64">
        <f t="shared" si="41"/>
        <v>3.968253968253968E-2</v>
      </c>
    </row>
    <row r="230" spans="1:68" ht="27" customHeight="1" x14ac:dyDescent="0.25">
      <c r="A230" s="54" t="s">
        <v>387</v>
      </c>
      <c r="B230" s="54" t="s">
        <v>388</v>
      </c>
      <c r="C230" s="31">
        <v>4301031199</v>
      </c>
      <c r="D230" s="653">
        <v>4680115880986</v>
      </c>
      <c r="E230" s="654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53</v>
      </c>
      <c r="Y230" s="644">
        <f t="shared" si="37"/>
        <v>54.6</v>
      </c>
      <c r="Z230" s="36">
        <f t="shared" ref="Z230:Z235" si="42">IFERROR(IF(Y230=0,"",ROUNDUP(Y230/H230,0)*0.00502),"")</f>
        <v>0.13052</v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56.280952380952378</v>
      </c>
      <c r="BN230" s="64">
        <f t="shared" si="39"/>
        <v>57.98</v>
      </c>
      <c r="BO230" s="64">
        <f t="shared" si="40"/>
        <v>0.10785510785510787</v>
      </c>
      <c r="BP230" s="64">
        <f t="shared" si="41"/>
        <v>0.11111111111111112</v>
      </c>
    </row>
    <row r="231" spans="1:68" ht="27" customHeight="1" x14ac:dyDescent="0.25">
      <c r="A231" s="54" t="s">
        <v>389</v>
      </c>
      <c r="B231" s="54" t="s">
        <v>390</v>
      </c>
      <c r="C231" s="31">
        <v>4301031443</v>
      </c>
      <c r="D231" s="653">
        <v>4680115887213</v>
      </c>
      <c r="E231" s="654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6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4301031205</v>
      </c>
      <c r="D232" s="653">
        <v>4680115881785</v>
      </c>
      <c r="E232" s="654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4301031499</v>
      </c>
      <c r="D233" s="653">
        <v>4680115888432</v>
      </c>
      <c r="E233" s="654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397</v>
      </c>
      <c r="B234" s="54" t="s">
        <v>398</v>
      </c>
      <c r="C234" s="31">
        <v>4301031427</v>
      </c>
      <c r="D234" s="653">
        <v>4680115888104</v>
      </c>
      <c r="E234" s="654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0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400</v>
      </c>
      <c r="B235" s="54" t="s">
        <v>401</v>
      </c>
      <c r="C235" s="31">
        <v>4301031399</v>
      </c>
      <c r="D235" s="653">
        <v>4680115886537</v>
      </c>
      <c r="E235" s="654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6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18</v>
      </c>
      <c r="Y235" s="644">
        <f t="shared" si="37"/>
        <v>18</v>
      </c>
      <c r="Z235" s="36">
        <f t="shared" si="42"/>
        <v>5.0200000000000002E-2</v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19.3</v>
      </c>
      <c r="BN235" s="64">
        <f t="shared" si="39"/>
        <v>19.3</v>
      </c>
      <c r="BO235" s="64">
        <f t="shared" si="40"/>
        <v>4.2735042735042736E-2</v>
      </c>
      <c r="BP235" s="64">
        <f t="shared" si="41"/>
        <v>4.2735042735042736E-2</v>
      </c>
    </row>
    <row r="236" spans="1:68" ht="27" customHeight="1" x14ac:dyDescent="0.25">
      <c r="A236" s="54" t="s">
        <v>403</v>
      </c>
      <c r="B236" s="54" t="s">
        <v>404</v>
      </c>
      <c r="C236" s="31">
        <v>4301031279</v>
      </c>
      <c r="D236" s="653">
        <v>4680115887596</v>
      </c>
      <c r="E236" s="654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8</v>
      </c>
      <c r="Y236" s="644">
        <f t="shared" si="37"/>
        <v>8</v>
      </c>
      <c r="Z236" s="36">
        <f>IFERROR(IF(Y236=0,"",ROUNDUP(Y236/H236,0)*0.00417),"")</f>
        <v>4.1700000000000001E-2</v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10.1</v>
      </c>
      <c r="BN236" s="64">
        <f t="shared" si="39"/>
        <v>10.1</v>
      </c>
      <c r="BO236" s="64">
        <f t="shared" si="40"/>
        <v>2.976190476190476E-2</v>
      </c>
      <c r="BP236" s="64">
        <f t="shared" si="41"/>
        <v>2.976190476190476E-2</v>
      </c>
    </row>
    <row r="237" spans="1:68" ht="37.5" customHeight="1" x14ac:dyDescent="0.25">
      <c r="A237" s="54" t="s">
        <v>406</v>
      </c>
      <c r="B237" s="54" t="s">
        <v>407</v>
      </c>
      <c r="C237" s="31">
        <v>4301031202</v>
      </c>
      <c r="D237" s="653">
        <v>4680115881679</v>
      </c>
      <c r="E237" s="654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1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53</v>
      </c>
      <c r="Y237" s="644">
        <f t="shared" si="37"/>
        <v>54.6</v>
      </c>
      <c r="Z237" s="36">
        <f>IFERROR(IF(Y237=0,"",ROUNDUP(Y237/H237,0)*0.00502),"")</f>
        <v>0.13052</v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55.523809523809526</v>
      </c>
      <c r="BN237" s="64">
        <f t="shared" si="39"/>
        <v>57.20000000000001</v>
      </c>
      <c r="BO237" s="64">
        <f t="shared" si="40"/>
        <v>0.10785510785510787</v>
      </c>
      <c r="BP237" s="64">
        <f t="shared" si="41"/>
        <v>0.11111111111111112</v>
      </c>
    </row>
    <row r="238" spans="1:68" ht="27" customHeight="1" x14ac:dyDescent="0.25">
      <c r="A238" s="54" t="s">
        <v>408</v>
      </c>
      <c r="B238" s="54" t="s">
        <v>409</v>
      </c>
      <c r="C238" s="31">
        <v>4301031158</v>
      </c>
      <c r="D238" s="653">
        <v>4680115880191</v>
      </c>
      <c r="E238" s="654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4301031245</v>
      </c>
      <c r="D239" s="653">
        <v>4680115883963</v>
      </c>
      <c r="E239" s="654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5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0" t="s">
        <v>72</v>
      </c>
      <c r="Q240" s="651"/>
      <c r="R240" s="651"/>
      <c r="S240" s="651"/>
      <c r="T240" s="651"/>
      <c r="U240" s="651"/>
      <c r="V240" s="652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106.66666666666667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109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0.65207999999999999</v>
      </c>
      <c r="AA240" s="646"/>
      <c r="AB240" s="646"/>
      <c r="AC240" s="646"/>
    </row>
    <row r="241" spans="1:68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0" t="s">
        <v>72</v>
      </c>
      <c r="Q241" s="651"/>
      <c r="R241" s="651"/>
      <c r="S241" s="651"/>
      <c r="T241" s="651"/>
      <c r="U241" s="651"/>
      <c r="V241" s="652"/>
      <c r="W241" s="37" t="s">
        <v>67</v>
      </c>
      <c r="X241" s="645">
        <f>IFERROR(SUM(X226:X239),"0")</f>
        <v>250</v>
      </c>
      <c r="Y241" s="645">
        <f>IFERROR(SUM(Y226:Y239),"0")</f>
        <v>256.60000000000002</v>
      </c>
      <c r="Z241" s="37"/>
      <c r="AA241" s="646"/>
      <c r="AB241" s="646"/>
      <c r="AC241" s="646"/>
    </row>
    <row r="242" spans="1:68" ht="14.25" customHeight="1" x14ac:dyDescent="0.25">
      <c r="A242" s="663" t="s">
        <v>74</v>
      </c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6"/>
      <c r="P242" s="656"/>
      <c r="Q242" s="656"/>
      <c r="R242" s="656"/>
      <c r="S242" s="656"/>
      <c r="T242" s="656"/>
      <c r="U242" s="656"/>
      <c r="V242" s="656"/>
      <c r="W242" s="656"/>
      <c r="X242" s="656"/>
      <c r="Y242" s="656"/>
      <c r="Z242" s="656"/>
      <c r="AA242" s="639"/>
      <c r="AB242" s="639"/>
      <c r="AC242" s="639"/>
    </row>
    <row r="243" spans="1:68" ht="16.5" customHeight="1" x14ac:dyDescent="0.25">
      <c r="A243" s="54" t="s">
        <v>413</v>
      </c>
      <c r="B243" s="54" t="s">
        <v>414</v>
      </c>
      <c r="C243" s="31">
        <v>4301052209</v>
      </c>
      <c r="D243" s="653">
        <v>4680115888692</v>
      </c>
      <c r="E243" s="654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416</v>
      </c>
      <c r="B244" s="54" t="s">
        <v>417</v>
      </c>
      <c r="C244" s="31">
        <v>4301052213</v>
      </c>
      <c r="D244" s="653">
        <v>4680115888722</v>
      </c>
      <c r="E244" s="654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6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4301052177</v>
      </c>
      <c r="D245" s="653">
        <v>4680115888951</v>
      </c>
      <c r="E245" s="654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4301052178</v>
      </c>
      <c r="D246" s="653">
        <v>4680115888975</v>
      </c>
      <c r="E246" s="654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8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425</v>
      </c>
      <c r="B247" s="54" t="s">
        <v>426</v>
      </c>
      <c r="C247" s="31">
        <v>4301052176</v>
      </c>
      <c r="D247" s="653">
        <v>4680115888982</v>
      </c>
      <c r="E247" s="654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55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0" t="s">
        <v>72</v>
      </c>
      <c r="Q248" s="651"/>
      <c r="R248" s="651"/>
      <c r="S248" s="651"/>
      <c r="T248" s="651"/>
      <c r="U248" s="651"/>
      <c r="V248" s="652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0" t="s">
        <v>72</v>
      </c>
      <c r="Q249" s="651"/>
      <c r="R249" s="651"/>
      <c r="S249" s="651"/>
      <c r="T249" s="651"/>
      <c r="U249" s="651"/>
      <c r="V249" s="652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customHeight="1" x14ac:dyDescent="0.25">
      <c r="A250" s="663" t="s">
        <v>278</v>
      </c>
      <c r="B250" s="656"/>
      <c r="C250" s="656"/>
      <c r="D250" s="656"/>
      <c r="E250" s="656"/>
      <c r="F250" s="656"/>
      <c r="G250" s="656"/>
      <c r="H250" s="656"/>
      <c r="I250" s="656"/>
      <c r="J250" s="656"/>
      <c r="K250" s="656"/>
      <c r="L250" s="656"/>
      <c r="M250" s="656"/>
      <c r="N250" s="656"/>
      <c r="O250" s="656"/>
      <c r="P250" s="656"/>
      <c r="Q250" s="656"/>
      <c r="R250" s="656"/>
      <c r="S250" s="656"/>
      <c r="T250" s="656"/>
      <c r="U250" s="656"/>
      <c r="V250" s="656"/>
      <c r="W250" s="656"/>
      <c r="X250" s="656"/>
      <c r="Y250" s="656"/>
      <c r="Z250" s="656"/>
      <c r="AA250" s="639"/>
      <c r="AB250" s="639"/>
      <c r="AC250" s="639"/>
    </row>
    <row r="251" spans="1:68" ht="27" customHeight="1" x14ac:dyDescent="0.25">
      <c r="A251" s="54" t="s">
        <v>427</v>
      </c>
      <c r="B251" s="54" t="s">
        <v>428</v>
      </c>
      <c r="C251" s="31">
        <v>4301032053</v>
      </c>
      <c r="D251" s="653">
        <v>4680115886780</v>
      </c>
      <c r="E251" s="654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430</v>
      </c>
      <c r="B252" s="54" t="s">
        <v>431</v>
      </c>
      <c r="C252" s="31">
        <v>4301032051</v>
      </c>
      <c r="D252" s="653">
        <v>4680115886742</v>
      </c>
      <c r="E252" s="654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69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3</v>
      </c>
      <c r="Y252" s="644">
        <f>IFERROR(IF(X252="",0,CEILING((X252/$H252),1)*$H252),"")</f>
        <v>3.7800000000000002</v>
      </c>
      <c r="Z252" s="36">
        <f>IFERROR(IF(Y252=0,"",ROUNDUP(Y252/H252,0)*0.0059),"")</f>
        <v>1.77E-2</v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3.4523809523809521</v>
      </c>
      <c r="BN252" s="64">
        <f>IFERROR(Y252*I252/H252,"0")</f>
        <v>4.3499999999999996</v>
      </c>
      <c r="BO252" s="64">
        <f>IFERROR(1/J252*(X252/H252),"0")</f>
        <v>1.1022927689594356E-2</v>
      </c>
      <c r="BP252" s="64">
        <f>IFERROR(1/J252*(Y252/H252),"0")</f>
        <v>1.3888888888888888E-2</v>
      </c>
    </row>
    <row r="253" spans="1:68" ht="27" customHeight="1" x14ac:dyDescent="0.25">
      <c r="A253" s="54" t="s">
        <v>433</v>
      </c>
      <c r="B253" s="54" t="s">
        <v>434</v>
      </c>
      <c r="C253" s="31">
        <v>4301032052</v>
      </c>
      <c r="D253" s="653">
        <v>4680115886766</v>
      </c>
      <c r="E253" s="654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2</v>
      </c>
      <c r="Y253" s="644">
        <f>IFERROR(IF(X253="",0,CEILING((X253/$H253),1)*$H253),"")</f>
        <v>2.52</v>
      </c>
      <c r="Z253" s="36">
        <f>IFERROR(IF(Y253=0,"",ROUNDUP(Y253/H253,0)*0.0059),"")</f>
        <v>1.18E-2</v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2.3015873015873014</v>
      </c>
      <c r="BN253" s="64">
        <f>IFERROR(Y253*I253/H253,"0")</f>
        <v>2.9</v>
      </c>
      <c r="BO253" s="64">
        <f>IFERROR(1/J253*(X253/H253),"0")</f>
        <v>7.3486184597295699E-3</v>
      </c>
      <c r="BP253" s="64">
        <f>IFERROR(1/J253*(Y253/H253),"0")</f>
        <v>9.2592592592592587E-3</v>
      </c>
    </row>
    <row r="254" spans="1:68" x14ac:dyDescent="0.2">
      <c r="A254" s="655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0" t="s">
        <v>72</v>
      </c>
      <c r="Q254" s="651"/>
      <c r="R254" s="651"/>
      <c r="S254" s="651"/>
      <c r="T254" s="651"/>
      <c r="U254" s="651"/>
      <c r="V254" s="652"/>
      <c r="W254" s="37" t="s">
        <v>73</v>
      </c>
      <c r="X254" s="645">
        <f>IFERROR(X251/H251,"0")+IFERROR(X252/H252,"0")+IFERROR(X253/H253,"0")</f>
        <v>3.9682539682539684</v>
      </c>
      <c r="Y254" s="645">
        <f>IFERROR(Y251/H251,"0")+IFERROR(Y252/H252,"0")+IFERROR(Y253/H253,"0")</f>
        <v>5</v>
      </c>
      <c r="Z254" s="645">
        <f>IFERROR(IF(Z251="",0,Z251),"0")+IFERROR(IF(Z252="",0,Z252),"0")+IFERROR(IF(Z253="",0,Z253),"0")</f>
        <v>2.9499999999999998E-2</v>
      </c>
      <c r="AA254" s="646"/>
      <c r="AB254" s="646"/>
      <c r="AC254" s="646"/>
    </row>
    <row r="255" spans="1:68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0" t="s">
        <v>72</v>
      </c>
      <c r="Q255" s="651"/>
      <c r="R255" s="651"/>
      <c r="S255" s="651"/>
      <c r="T255" s="651"/>
      <c r="U255" s="651"/>
      <c r="V255" s="652"/>
      <c r="W255" s="37" t="s">
        <v>67</v>
      </c>
      <c r="X255" s="645">
        <f>IFERROR(SUM(X251:X253),"0")</f>
        <v>5</v>
      </c>
      <c r="Y255" s="645">
        <f>IFERROR(SUM(Y251:Y253),"0")</f>
        <v>6.3000000000000007</v>
      </c>
      <c r="Z255" s="37"/>
      <c r="AA255" s="646"/>
      <c r="AB255" s="646"/>
      <c r="AC255" s="646"/>
    </row>
    <row r="256" spans="1:68" ht="14.25" customHeight="1" x14ac:dyDescent="0.25">
      <c r="A256" s="663" t="s">
        <v>435</v>
      </c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6"/>
      <c r="P256" s="656"/>
      <c r="Q256" s="656"/>
      <c r="R256" s="656"/>
      <c r="S256" s="656"/>
      <c r="T256" s="656"/>
      <c r="U256" s="656"/>
      <c r="V256" s="656"/>
      <c r="W256" s="656"/>
      <c r="X256" s="656"/>
      <c r="Y256" s="656"/>
      <c r="Z256" s="656"/>
      <c r="AA256" s="639"/>
      <c r="AB256" s="639"/>
      <c r="AC256" s="639"/>
    </row>
    <row r="257" spans="1:68" ht="27" customHeight="1" x14ac:dyDescent="0.25">
      <c r="A257" s="54" t="s">
        <v>436</v>
      </c>
      <c r="B257" s="54" t="s">
        <v>437</v>
      </c>
      <c r="C257" s="31">
        <v>4301170013</v>
      </c>
      <c r="D257" s="653">
        <v>4680115886797</v>
      </c>
      <c r="E257" s="654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7</v>
      </c>
      <c r="Y257" s="644">
        <f>IFERROR(IF(X257="",0,CEILING((X257/$H257),1)*$H257),"")</f>
        <v>7.5600000000000005</v>
      </c>
      <c r="Z257" s="36">
        <f>IFERROR(IF(Y257=0,"",ROUNDUP(Y257/H257,0)*0.0059),"")</f>
        <v>3.5400000000000001E-2</v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8.0555555555555554</v>
      </c>
      <c r="BN257" s="64">
        <f>IFERROR(Y257*I257/H257,"0")</f>
        <v>8.6999999999999993</v>
      </c>
      <c r="BO257" s="64">
        <f>IFERROR(1/J257*(X257/H257),"0")</f>
        <v>2.5720164609053495E-2</v>
      </c>
      <c r="BP257" s="64">
        <f>IFERROR(1/J257*(Y257/H257),"0")</f>
        <v>2.7777777777777776E-2</v>
      </c>
    </row>
    <row r="258" spans="1:68" x14ac:dyDescent="0.2">
      <c r="A258" s="655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0" t="s">
        <v>72</v>
      </c>
      <c r="Q258" s="651"/>
      <c r="R258" s="651"/>
      <c r="S258" s="651"/>
      <c r="T258" s="651"/>
      <c r="U258" s="651"/>
      <c r="V258" s="652"/>
      <c r="W258" s="37" t="s">
        <v>73</v>
      </c>
      <c r="X258" s="645">
        <f>IFERROR(X257/H257,"0")</f>
        <v>5.5555555555555554</v>
      </c>
      <c r="Y258" s="645">
        <f>IFERROR(Y257/H257,"0")</f>
        <v>6</v>
      </c>
      <c r="Z258" s="645">
        <f>IFERROR(IF(Z257="",0,Z257),"0")</f>
        <v>3.5400000000000001E-2</v>
      </c>
      <c r="AA258" s="646"/>
      <c r="AB258" s="646"/>
      <c r="AC258" s="646"/>
    </row>
    <row r="259" spans="1:68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0" t="s">
        <v>72</v>
      </c>
      <c r="Q259" s="651"/>
      <c r="R259" s="651"/>
      <c r="S259" s="651"/>
      <c r="T259" s="651"/>
      <c r="U259" s="651"/>
      <c r="V259" s="652"/>
      <c r="W259" s="37" t="s">
        <v>67</v>
      </c>
      <c r="X259" s="645">
        <f>IFERROR(SUM(X257:X257),"0")</f>
        <v>7</v>
      </c>
      <c r="Y259" s="645">
        <f>IFERROR(SUM(Y257:Y257),"0")</f>
        <v>7.5600000000000005</v>
      </c>
      <c r="Z259" s="37"/>
      <c r="AA259" s="646"/>
      <c r="AB259" s="646"/>
      <c r="AC259" s="646"/>
    </row>
    <row r="260" spans="1:68" ht="16.5" customHeight="1" x14ac:dyDescent="0.25">
      <c r="A260" s="664" t="s">
        <v>438</v>
      </c>
      <c r="B260" s="656"/>
      <c r="C260" s="656"/>
      <c r="D260" s="656"/>
      <c r="E260" s="656"/>
      <c r="F260" s="656"/>
      <c r="G260" s="656"/>
      <c r="H260" s="656"/>
      <c r="I260" s="656"/>
      <c r="J260" s="656"/>
      <c r="K260" s="656"/>
      <c r="L260" s="656"/>
      <c r="M260" s="656"/>
      <c r="N260" s="656"/>
      <c r="O260" s="656"/>
      <c r="P260" s="656"/>
      <c r="Q260" s="656"/>
      <c r="R260" s="656"/>
      <c r="S260" s="656"/>
      <c r="T260" s="656"/>
      <c r="U260" s="656"/>
      <c r="V260" s="656"/>
      <c r="W260" s="656"/>
      <c r="X260" s="656"/>
      <c r="Y260" s="656"/>
      <c r="Z260" s="656"/>
      <c r="AA260" s="638"/>
      <c r="AB260" s="638"/>
      <c r="AC260" s="638"/>
    </row>
    <row r="261" spans="1:68" ht="14.25" customHeight="1" x14ac:dyDescent="0.25">
      <c r="A261" s="663" t="s">
        <v>111</v>
      </c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6"/>
      <c r="P261" s="656"/>
      <c r="Q261" s="656"/>
      <c r="R261" s="656"/>
      <c r="S261" s="656"/>
      <c r="T261" s="656"/>
      <c r="U261" s="656"/>
      <c r="V261" s="656"/>
      <c r="W261" s="656"/>
      <c r="X261" s="656"/>
      <c r="Y261" s="656"/>
      <c r="Z261" s="656"/>
      <c r="AA261" s="639"/>
      <c r="AB261" s="639"/>
      <c r="AC261" s="639"/>
    </row>
    <row r="262" spans="1:68" ht="27" customHeight="1" x14ac:dyDescent="0.25">
      <c r="A262" s="54" t="s">
        <v>439</v>
      </c>
      <c r="B262" s="54" t="s">
        <v>440</v>
      </c>
      <c r="C262" s="31">
        <v>4301011450</v>
      </c>
      <c r="D262" s="653">
        <v>4680115881402</v>
      </c>
      <c r="E262" s="654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442</v>
      </c>
      <c r="B263" s="54" t="s">
        <v>443</v>
      </c>
      <c r="C263" s="31">
        <v>4301011768</v>
      </c>
      <c r="D263" s="653">
        <v>4680115881396</v>
      </c>
      <c r="E263" s="654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55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0" t="s">
        <v>72</v>
      </c>
      <c r="Q264" s="651"/>
      <c r="R264" s="651"/>
      <c r="S264" s="651"/>
      <c r="T264" s="651"/>
      <c r="U264" s="651"/>
      <c r="V264" s="652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0" t="s">
        <v>72</v>
      </c>
      <c r="Q265" s="651"/>
      <c r="R265" s="651"/>
      <c r="S265" s="651"/>
      <c r="T265" s="651"/>
      <c r="U265" s="651"/>
      <c r="V265" s="652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customHeight="1" x14ac:dyDescent="0.25">
      <c r="A266" s="663" t="s">
        <v>144</v>
      </c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6"/>
      <c r="P266" s="656"/>
      <c r="Q266" s="656"/>
      <c r="R266" s="656"/>
      <c r="S266" s="656"/>
      <c r="T266" s="656"/>
      <c r="U266" s="656"/>
      <c r="V266" s="656"/>
      <c r="W266" s="656"/>
      <c r="X266" s="656"/>
      <c r="Y266" s="656"/>
      <c r="Z266" s="656"/>
      <c r="AA266" s="639"/>
      <c r="AB266" s="639"/>
      <c r="AC266" s="639"/>
    </row>
    <row r="267" spans="1:68" ht="16.5" customHeight="1" x14ac:dyDescent="0.25">
      <c r="A267" s="54" t="s">
        <v>444</v>
      </c>
      <c r="B267" s="54" t="s">
        <v>445</v>
      </c>
      <c r="C267" s="31">
        <v>4301020261</v>
      </c>
      <c r="D267" s="653">
        <v>4680115882935</v>
      </c>
      <c r="E267" s="654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customHeight="1" x14ac:dyDescent="0.25">
      <c r="A268" s="54" t="s">
        <v>447</v>
      </c>
      <c r="B268" s="54" t="s">
        <v>448</v>
      </c>
      <c r="C268" s="31">
        <v>4301020220</v>
      </c>
      <c r="D268" s="653">
        <v>4680115880764</v>
      </c>
      <c r="E268" s="654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x14ac:dyDescent="0.2">
      <c r="A269" s="655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0" t="s">
        <v>72</v>
      </c>
      <c r="Q269" s="651"/>
      <c r="R269" s="651"/>
      <c r="S269" s="651"/>
      <c r="T269" s="651"/>
      <c r="U269" s="651"/>
      <c r="V269" s="652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0" t="s">
        <v>72</v>
      </c>
      <c r="Q270" s="651"/>
      <c r="R270" s="651"/>
      <c r="S270" s="651"/>
      <c r="T270" s="651"/>
      <c r="U270" s="651"/>
      <c r="V270" s="652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customHeight="1" x14ac:dyDescent="0.25">
      <c r="A271" s="663" t="s">
        <v>62</v>
      </c>
      <c r="B271" s="656"/>
      <c r="C271" s="656"/>
      <c r="D271" s="656"/>
      <c r="E271" s="656"/>
      <c r="F271" s="656"/>
      <c r="G271" s="656"/>
      <c r="H271" s="656"/>
      <c r="I271" s="656"/>
      <c r="J271" s="656"/>
      <c r="K271" s="656"/>
      <c r="L271" s="656"/>
      <c r="M271" s="656"/>
      <c r="N271" s="656"/>
      <c r="O271" s="656"/>
      <c r="P271" s="656"/>
      <c r="Q271" s="656"/>
      <c r="R271" s="656"/>
      <c r="S271" s="656"/>
      <c r="T271" s="656"/>
      <c r="U271" s="656"/>
      <c r="V271" s="656"/>
      <c r="W271" s="656"/>
      <c r="X271" s="656"/>
      <c r="Y271" s="656"/>
      <c r="Z271" s="656"/>
      <c r="AA271" s="639"/>
      <c r="AB271" s="639"/>
      <c r="AC271" s="639"/>
    </row>
    <row r="272" spans="1:68" ht="27" customHeight="1" x14ac:dyDescent="0.25">
      <c r="A272" s="54" t="s">
        <v>449</v>
      </c>
      <c r="B272" s="54" t="s">
        <v>450</v>
      </c>
      <c r="C272" s="31">
        <v>4301031224</v>
      </c>
      <c r="D272" s="653">
        <v>4680115882683</v>
      </c>
      <c r="E272" s="654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70</v>
      </c>
      <c r="Y272" s="644">
        <f t="shared" ref="Y272:Y279" si="43">IFERROR(IF(X272="",0,CEILING((X272/$H272),1)*$H272),"")</f>
        <v>70.2</v>
      </c>
      <c r="Z272" s="36">
        <f>IFERROR(IF(Y272=0,"",ROUNDUP(Y272/H272,0)*0.00902),"")</f>
        <v>0.11726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72.462962962962962</v>
      </c>
      <c r="BN272" s="64">
        <f t="shared" ref="BN272:BN279" si="45">IFERROR(Y272*I272/H272,"0")</f>
        <v>72.67</v>
      </c>
      <c r="BO272" s="64">
        <f t="shared" ref="BO272:BO279" si="46">IFERROR(1/J272*(X272/H272),"0")</f>
        <v>9.8204264870931535E-2</v>
      </c>
      <c r="BP272" s="64">
        <f t="shared" ref="BP272:BP279" si="47">IFERROR(1/J272*(Y272/H272),"0")</f>
        <v>9.8484848484848481E-2</v>
      </c>
    </row>
    <row r="273" spans="1:68" ht="27" customHeight="1" x14ac:dyDescent="0.25">
      <c r="A273" s="54" t="s">
        <v>452</v>
      </c>
      <c r="B273" s="54" t="s">
        <v>453</v>
      </c>
      <c r="C273" s="31">
        <v>4301031230</v>
      </c>
      <c r="D273" s="653">
        <v>4680115882690</v>
      </c>
      <c r="E273" s="654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70</v>
      </c>
      <c r="Y273" s="644">
        <f t="shared" si="43"/>
        <v>70.2</v>
      </c>
      <c r="Z273" s="36">
        <f>IFERROR(IF(Y273=0,"",ROUNDUP(Y273/H273,0)*0.00902),"")</f>
        <v>0.11726</v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72.462962962962962</v>
      </c>
      <c r="BN273" s="64">
        <f t="shared" si="45"/>
        <v>72.67</v>
      </c>
      <c r="BO273" s="64">
        <f t="shared" si="46"/>
        <v>9.8204264870931535E-2</v>
      </c>
      <c r="BP273" s="64">
        <f t="shared" si="47"/>
        <v>9.8484848484848481E-2</v>
      </c>
    </row>
    <row r="274" spans="1:68" ht="27" customHeight="1" x14ac:dyDescent="0.25">
      <c r="A274" s="54" t="s">
        <v>455</v>
      </c>
      <c r="B274" s="54" t="s">
        <v>456</v>
      </c>
      <c r="C274" s="31">
        <v>4301031220</v>
      </c>
      <c r="D274" s="653">
        <v>4680115882669</v>
      </c>
      <c r="E274" s="654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180</v>
      </c>
      <c r="Y274" s="644">
        <f t="shared" si="43"/>
        <v>183.60000000000002</v>
      </c>
      <c r="Z274" s="36">
        <f>IFERROR(IF(Y274=0,"",ROUNDUP(Y274/H274,0)*0.00902),"")</f>
        <v>0.30668000000000001</v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186.33333333333331</v>
      </c>
      <c r="BN274" s="64">
        <f t="shared" si="45"/>
        <v>190.06</v>
      </c>
      <c r="BO274" s="64">
        <f t="shared" si="46"/>
        <v>0.25252525252525249</v>
      </c>
      <c r="BP274" s="64">
        <f t="shared" si="47"/>
        <v>0.25757575757575757</v>
      </c>
    </row>
    <row r="275" spans="1:68" ht="27" customHeight="1" x14ac:dyDescent="0.25">
      <c r="A275" s="54" t="s">
        <v>458</v>
      </c>
      <c r="B275" s="54" t="s">
        <v>459</v>
      </c>
      <c r="C275" s="31">
        <v>4301031221</v>
      </c>
      <c r="D275" s="653">
        <v>4680115882676</v>
      </c>
      <c r="E275" s="654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80</v>
      </c>
      <c r="Y275" s="644">
        <f t="shared" si="43"/>
        <v>81</v>
      </c>
      <c r="Z275" s="36">
        <f>IFERROR(IF(Y275=0,"",ROUNDUP(Y275/H275,0)*0.00902),"")</f>
        <v>0.1353</v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82.81481481481481</v>
      </c>
      <c r="BN275" s="64">
        <f t="shared" si="45"/>
        <v>83.85</v>
      </c>
      <c r="BO275" s="64">
        <f t="shared" si="46"/>
        <v>0.11223344556677889</v>
      </c>
      <c r="BP275" s="64">
        <f t="shared" si="47"/>
        <v>0.11363636363636363</v>
      </c>
    </row>
    <row r="276" spans="1:68" ht="27" customHeight="1" x14ac:dyDescent="0.25">
      <c r="A276" s="54" t="s">
        <v>461</v>
      </c>
      <c r="B276" s="54" t="s">
        <v>462</v>
      </c>
      <c r="C276" s="31">
        <v>4301031223</v>
      </c>
      <c r="D276" s="653">
        <v>4680115884014</v>
      </c>
      <c r="E276" s="654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33</v>
      </c>
      <c r="Y276" s="644">
        <f t="shared" si="43"/>
        <v>34.200000000000003</v>
      </c>
      <c r="Z276" s="36">
        <f>IFERROR(IF(Y276=0,"",ROUNDUP(Y276/H276,0)*0.00502),"")</f>
        <v>9.5380000000000006E-2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35.383333333333333</v>
      </c>
      <c r="BN276" s="64">
        <f t="shared" si="45"/>
        <v>36.67</v>
      </c>
      <c r="BO276" s="64">
        <f t="shared" si="46"/>
        <v>7.8347578347578356E-2</v>
      </c>
      <c r="BP276" s="64">
        <f t="shared" si="47"/>
        <v>8.11965811965812E-2</v>
      </c>
    </row>
    <row r="277" spans="1:68" ht="27" customHeight="1" x14ac:dyDescent="0.25">
      <c r="A277" s="54" t="s">
        <v>463</v>
      </c>
      <c r="B277" s="54" t="s">
        <v>464</v>
      </c>
      <c r="C277" s="31">
        <v>4301031222</v>
      </c>
      <c r="D277" s="653">
        <v>4680115884007</v>
      </c>
      <c r="E277" s="654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9</v>
      </c>
      <c r="Y277" s="644">
        <f t="shared" si="43"/>
        <v>9</v>
      </c>
      <c r="Z277" s="36">
        <f>IFERROR(IF(Y277=0,"",ROUNDUP(Y277/H277,0)*0.00502),"")</f>
        <v>2.5100000000000001E-2</v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9.4999999999999982</v>
      </c>
      <c r="BN277" s="64">
        <f t="shared" si="45"/>
        <v>9.4999999999999982</v>
      </c>
      <c r="BO277" s="64">
        <f t="shared" si="46"/>
        <v>2.1367521367521368E-2</v>
      </c>
      <c r="BP277" s="64">
        <f t="shared" si="47"/>
        <v>2.1367521367521368E-2</v>
      </c>
    </row>
    <row r="278" spans="1:68" ht="27" customHeight="1" x14ac:dyDescent="0.25">
      <c r="A278" s="54" t="s">
        <v>465</v>
      </c>
      <c r="B278" s="54" t="s">
        <v>466</v>
      </c>
      <c r="C278" s="31">
        <v>4301031229</v>
      </c>
      <c r="D278" s="653">
        <v>4680115884038</v>
      </c>
      <c r="E278" s="654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4301031225</v>
      </c>
      <c r="D279" s="653">
        <v>4680115884021</v>
      </c>
      <c r="E279" s="654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30</v>
      </c>
      <c r="Y279" s="644">
        <f t="shared" si="43"/>
        <v>30.6</v>
      </c>
      <c r="Z279" s="36">
        <f>IFERROR(IF(Y279=0,"",ROUNDUP(Y279/H279,0)*0.00502),"")</f>
        <v>8.5339999999999999E-2</v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31.666666666666664</v>
      </c>
      <c r="BN279" s="64">
        <f t="shared" si="45"/>
        <v>32.299999999999997</v>
      </c>
      <c r="BO279" s="64">
        <f t="shared" si="46"/>
        <v>7.122507122507124E-2</v>
      </c>
      <c r="BP279" s="64">
        <f t="shared" si="47"/>
        <v>7.2649572649572655E-2</v>
      </c>
    </row>
    <row r="280" spans="1:68" x14ac:dyDescent="0.2">
      <c r="A280" s="655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0" t="s">
        <v>72</v>
      </c>
      <c r="Q280" s="651"/>
      <c r="R280" s="651"/>
      <c r="S280" s="651"/>
      <c r="T280" s="651"/>
      <c r="U280" s="651"/>
      <c r="V280" s="652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114.07407407407406</v>
      </c>
      <c r="Y280" s="645">
        <f>IFERROR(Y272/H272,"0")+IFERROR(Y273/H273,"0")+IFERROR(Y274/H274,"0")+IFERROR(Y275/H275,"0")+IFERROR(Y276/H276,"0")+IFERROR(Y277/H277,"0")+IFERROR(Y278/H278,"0")+IFERROR(Y279/H279,"0")</f>
        <v>116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0.88231999999999999</v>
      </c>
      <c r="AA280" s="646"/>
      <c r="AB280" s="646"/>
      <c r="AC280" s="646"/>
    </row>
    <row r="281" spans="1:68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0" t="s">
        <v>72</v>
      </c>
      <c r="Q281" s="651"/>
      <c r="R281" s="651"/>
      <c r="S281" s="651"/>
      <c r="T281" s="651"/>
      <c r="U281" s="651"/>
      <c r="V281" s="652"/>
      <c r="W281" s="37" t="s">
        <v>67</v>
      </c>
      <c r="X281" s="645">
        <f>IFERROR(SUM(X272:X279),"0")</f>
        <v>472</v>
      </c>
      <c r="Y281" s="645">
        <f>IFERROR(SUM(Y272:Y279),"0")</f>
        <v>478.8</v>
      </c>
      <c r="Z281" s="37"/>
      <c r="AA281" s="646"/>
      <c r="AB281" s="646"/>
      <c r="AC281" s="646"/>
    </row>
    <row r="282" spans="1:68" ht="14.25" customHeight="1" x14ac:dyDescent="0.25">
      <c r="A282" s="663" t="s">
        <v>74</v>
      </c>
      <c r="B282" s="656"/>
      <c r="C282" s="656"/>
      <c r="D282" s="656"/>
      <c r="E282" s="656"/>
      <c r="F282" s="656"/>
      <c r="G282" s="656"/>
      <c r="H282" s="656"/>
      <c r="I282" s="656"/>
      <c r="J282" s="656"/>
      <c r="K282" s="656"/>
      <c r="L282" s="656"/>
      <c r="M282" s="656"/>
      <c r="N282" s="656"/>
      <c r="O282" s="656"/>
      <c r="P282" s="656"/>
      <c r="Q282" s="656"/>
      <c r="R282" s="656"/>
      <c r="S282" s="656"/>
      <c r="T282" s="656"/>
      <c r="U282" s="656"/>
      <c r="V282" s="656"/>
      <c r="W282" s="656"/>
      <c r="X282" s="656"/>
      <c r="Y282" s="656"/>
      <c r="Z282" s="656"/>
      <c r="AA282" s="639"/>
      <c r="AB282" s="639"/>
      <c r="AC282" s="639"/>
    </row>
    <row r="283" spans="1:68" ht="27" customHeight="1" x14ac:dyDescent="0.25">
      <c r="A283" s="54" t="s">
        <v>469</v>
      </c>
      <c r="B283" s="54" t="s">
        <v>470</v>
      </c>
      <c r="C283" s="31">
        <v>4301051408</v>
      </c>
      <c r="D283" s="653">
        <v>4680115881594</v>
      </c>
      <c r="E283" s="654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48</v>
      </c>
      <c r="Y283" s="644">
        <f t="shared" ref="Y283:Y294" si="48">IFERROR(IF(X283="",0,CEILING((X283/$H283),1)*$H283),"")</f>
        <v>48.599999999999994</v>
      </c>
      <c r="Z283" s="36">
        <f>IFERROR(IF(Y283=0,"",ROUNDUP(Y283/H283,0)*0.01898),"")</f>
        <v>0.11388000000000001</v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50.927407407407401</v>
      </c>
      <c r="BN283" s="64">
        <f t="shared" ref="BN283:BN294" si="50">IFERROR(Y283*I283/H283,"0")</f>
        <v>51.563999999999993</v>
      </c>
      <c r="BO283" s="64">
        <f t="shared" ref="BO283:BO294" si="51">IFERROR(1/J283*(X283/H283),"0")</f>
        <v>9.2592592592592601E-2</v>
      </c>
      <c r="BP283" s="64">
        <f t="shared" ref="BP283:BP294" si="52">IFERROR(1/J283*(Y283/H283),"0")</f>
        <v>9.375E-2</v>
      </c>
    </row>
    <row r="284" spans="1:68" ht="27" customHeight="1" x14ac:dyDescent="0.25">
      <c r="A284" s="54" t="s">
        <v>472</v>
      </c>
      <c r="B284" s="54" t="s">
        <v>473</v>
      </c>
      <c r="C284" s="31">
        <v>4301051411</v>
      </c>
      <c r="D284" s="653">
        <v>4680115881617</v>
      </c>
      <c r="E284" s="654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0</v>
      </c>
      <c r="Y284" s="644">
        <f t="shared" si="48"/>
        <v>0</v>
      </c>
      <c r="Z284" s="36" t="str">
        <f>IFERROR(IF(Y284=0,"",ROUNDUP(Y284/H284,0)*0.01898),"")</f>
        <v/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customHeight="1" x14ac:dyDescent="0.25">
      <c r="A285" s="54" t="s">
        <v>475</v>
      </c>
      <c r="B285" s="54" t="s">
        <v>476</v>
      </c>
      <c r="C285" s="31">
        <v>4301051656</v>
      </c>
      <c r="D285" s="653">
        <v>4680115880573</v>
      </c>
      <c r="E285" s="654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40</v>
      </c>
      <c r="Y285" s="644">
        <f t="shared" si="48"/>
        <v>43.5</v>
      </c>
      <c r="Z285" s="36">
        <f>IFERROR(IF(Y285=0,"",ROUNDUP(Y285/H285,0)*0.01898),"")</f>
        <v>9.4899999999999998E-2</v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42.271264367816102</v>
      </c>
      <c r="BN285" s="64">
        <f t="shared" si="50"/>
        <v>45.970000000000006</v>
      </c>
      <c r="BO285" s="64">
        <f t="shared" si="51"/>
        <v>7.1839080459770124E-2</v>
      </c>
      <c r="BP285" s="64">
        <f t="shared" si="52"/>
        <v>7.8125E-2</v>
      </c>
    </row>
    <row r="286" spans="1:68" ht="27" customHeight="1" x14ac:dyDescent="0.25">
      <c r="A286" s="54" t="s">
        <v>478</v>
      </c>
      <c r="B286" s="54" t="s">
        <v>479</v>
      </c>
      <c r="C286" s="31">
        <v>4301051407</v>
      </c>
      <c r="D286" s="653">
        <v>4680115882195</v>
      </c>
      <c r="E286" s="654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0</v>
      </c>
      <c r="Y286" s="644">
        <f t="shared" si="48"/>
        <v>0</v>
      </c>
      <c r="Z286" s="36" t="str">
        <f>IFERROR(IF(Y286=0,"",ROUNDUP(Y286/H286,0)*0.00651),"")</f>
        <v/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0</v>
      </c>
      <c r="BN286" s="64">
        <f t="shared" si="50"/>
        <v>0</v>
      </c>
      <c r="BO286" s="64">
        <f t="shared" si="51"/>
        <v>0</v>
      </c>
      <c r="BP286" s="64">
        <f t="shared" si="52"/>
        <v>0</v>
      </c>
    </row>
    <row r="287" spans="1:68" ht="27" customHeight="1" x14ac:dyDescent="0.25">
      <c r="A287" s="54" t="s">
        <v>480</v>
      </c>
      <c r="B287" s="54" t="s">
        <v>481</v>
      </c>
      <c r="C287" s="31">
        <v>4301051752</v>
      </c>
      <c r="D287" s="653">
        <v>4680115882607</v>
      </c>
      <c r="E287" s="654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482</v>
      </c>
      <c r="B288" s="54" t="s">
        <v>483</v>
      </c>
      <c r="C288" s="31">
        <v>4301052143</v>
      </c>
      <c r="D288" s="653">
        <v>4680115882607</v>
      </c>
      <c r="E288" s="654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4301051666</v>
      </c>
      <c r="D289" s="653">
        <v>4680115880092</v>
      </c>
      <c r="E289" s="654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120</v>
      </c>
      <c r="Y289" s="644">
        <f t="shared" si="48"/>
        <v>120</v>
      </c>
      <c r="Z289" s="36">
        <f>IFERROR(IF(Y289=0,"",ROUNDUP(Y289/H289,0)*0.00651),"")</f>
        <v>0.32550000000000001</v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132.60000000000002</v>
      </c>
      <c r="BN289" s="64">
        <f t="shared" si="50"/>
        <v>132.60000000000002</v>
      </c>
      <c r="BO289" s="64">
        <f t="shared" si="51"/>
        <v>0.27472527472527475</v>
      </c>
      <c r="BP289" s="64">
        <f t="shared" si="52"/>
        <v>0.27472527472527475</v>
      </c>
    </row>
    <row r="290" spans="1:68" ht="27" customHeight="1" x14ac:dyDescent="0.25">
      <c r="A290" s="54" t="s">
        <v>487</v>
      </c>
      <c r="B290" s="54" t="s">
        <v>488</v>
      </c>
      <c r="C290" s="31">
        <v>4301052214</v>
      </c>
      <c r="D290" s="653">
        <v>4680115889064</v>
      </c>
      <c r="E290" s="654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4301051668</v>
      </c>
      <c r="D291" s="653">
        <v>4680115880221</v>
      </c>
      <c r="E291" s="654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40</v>
      </c>
      <c r="Y291" s="644">
        <f t="shared" si="48"/>
        <v>40.799999999999997</v>
      </c>
      <c r="Z291" s="36">
        <f>IFERROR(IF(Y291=0,"",ROUNDUP(Y291/H291,0)*0.00651),"")</f>
        <v>0.11067</v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44.20000000000001</v>
      </c>
      <c r="BN291" s="64">
        <f t="shared" si="50"/>
        <v>45.084000000000003</v>
      </c>
      <c r="BO291" s="64">
        <f t="shared" si="51"/>
        <v>9.1575091575091583E-2</v>
      </c>
      <c r="BP291" s="64">
        <f t="shared" si="52"/>
        <v>9.3406593406593408E-2</v>
      </c>
    </row>
    <row r="292" spans="1:68" ht="27" customHeight="1" x14ac:dyDescent="0.25">
      <c r="A292" s="54" t="s">
        <v>491</v>
      </c>
      <c r="B292" s="54" t="s">
        <v>492</v>
      </c>
      <c r="C292" s="31">
        <v>4301051945</v>
      </c>
      <c r="D292" s="653">
        <v>4680115880504</v>
      </c>
      <c r="E292" s="654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60</v>
      </c>
      <c r="Y292" s="644">
        <f t="shared" si="48"/>
        <v>60</v>
      </c>
      <c r="Z292" s="36">
        <f>IFERROR(IF(Y292=0,"",ROUNDUP(Y292/H292,0)*0.00651),"")</f>
        <v>0.16275000000000001</v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66.300000000000011</v>
      </c>
      <c r="BN292" s="64">
        <f t="shared" si="50"/>
        <v>66.300000000000011</v>
      </c>
      <c r="BO292" s="64">
        <f t="shared" si="51"/>
        <v>0.13736263736263737</v>
      </c>
      <c r="BP292" s="64">
        <f t="shared" si="52"/>
        <v>0.13736263736263737</v>
      </c>
    </row>
    <row r="293" spans="1:68" ht="27" customHeight="1" x14ac:dyDescent="0.25">
      <c r="A293" s="54" t="s">
        <v>494</v>
      </c>
      <c r="B293" s="54" t="s">
        <v>495</v>
      </c>
      <c r="C293" s="31">
        <v>4301051410</v>
      </c>
      <c r="D293" s="653">
        <v>4680115882164</v>
      </c>
      <c r="E293" s="654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120</v>
      </c>
      <c r="Y293" s="644">
        <f t="shared" si="48"/>
        <v>120</v>
      </c>
      <c r="Z293" s="36">
        <f>IFERROR(IF(Y293=0,"",ROUNDUP(Y293/H293,0)*0.00651),"")</f>
        <v>0.32550000000000001</v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132.9</v>
      </c>
      <c r="BN293" s="64">
        <f t="shared" si="50"/>
        <v>132.9</v>
      </c>
      <c r="BO293" s="64">
        <f t="shared" si="51"/>
        <v>0.27472527472527475</v>
      </c>
      <c r="BP293" s="64">
        <f t="shared" si="52"/>
        <v>0.27472527472527475</v>
      </c>
    </row>
    <row r="294" spans="1:68" ht="27" customHeight="1" x14ac:dyDescent="0.25">
      <c r="A294" s="54" t="s">
        <v>497</v>
      </c>
      <c r="B294" s="54" t="s">
        <v>498</v>
      </c>
      <c r="C294" s="31">
        <v>4301052180</v>
      </c>
      <c r="D294" s="653">
        <v>4680115888340</v>
      </c>
      <c r="E294" s="654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5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0" t="s">
        <v>72</v>
      </c>
      <c r="Q295" s="651"/>
      <c r="R295" s="651"/>
      <c r="S295" s="651"/>
      <c r="T295" s="651"/>
      <c r="U295" s="651"/>
      <c r="V295" s="652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152.1902937420179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153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1.1332</v>
      </c>
      <c r="AA295" s="646"/>
      <c r="AB295" s="646"/>
      <c r="AC295" s="646"/>
    </row>
    <row r="296" spans="1:68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0" t="s">
        <v>72</v>
      </c>
      <c r="Q296" s="651"/>
      <c r="R296" s="651"/>
      <c r="S296" s="651"/>
      <c r="T296" s="651"/>
      <c r="U296" s="651"/>
      <c r="V296" s="652"/>
      <c r="W296" s="37" t="s">
        <v>67</v>
      </c>
      <c r="X296" s="645">
        <f>IFERROR(SUM(X283:X294),"0")</f>
        <v>428</v>
      </c>
      <c r="Y296" s="645">
        <f>IFERROR(SUM(Y283:Y294),"0")</f>
        <v>432.9</v>
      </c>
      <c r="Z296" s="37"/>
      <c r="AA296" s="646"/>
      <c r="AB296" s="646"/>
      <c r="AC296" s="646"/>
    </row>
    <row r="297" spans="1:68" ht="14.25" customHeight="1" x14ac:dyDescent="0.25">
      <c r="A297" s="663" t="s">
        <v>162</v>
      </c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6"/>
      <c r="P297" s="656"/>
      <c r="Q297" s="656"/>
      <c r="R297" s="656"/>
      <c r="S297" s="656"/>
      <c r="T297" s="656"/>
      <c r="U297" s="656"/>
      <c r="V297" s="656"/>
      <c r="W297" s="656"/>
      <c r="X297" s="656"/>
      <c r="Y297" s="656"/>
      <c r="Z297" s="656"/>
      <c r="AA297" s="639"/>
      <c r="AB297" s="639"/>
      <c r="AC297" s="639"/>
    </row>
    <row r="298" spans="1:68" ht="27" customHeight="1" x14ac:dyDescent="0.25">
      <c r="A298" s="54" t="s">
        <v>500</v>
      </c>
      <c r="B298" s="54" t="s">
        <v>501</v>
      </c>
      <c r="C298" s="31">
        <v>4301060463</v>
      </c>
      <c r="D298" s="653">
        <v>4680115880818</v>
      </c>
      <c r="E298" s="654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48</v>
      </c>
      <c r="Y298" s="644">
        <f>IFERROR(IF(X298="",0,CEILING((X298/$H298),1)*$H298),"")</f>
        <v>48</v>
      </c>
      <c r="Z298" s="36">
        <f>IFERROR(IF(Y298=0,"",ROUNDUP(Y298/H298,0)*0.00651),"")</f>
        <v>0.13020000000000001</v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53.040000000000006</v>
      </c>
      <c r="BN298" s="64">
        <f>IFERROR(Y298*I298/H298,"0")</f>
        <v>53.040000000000006</v>
      </c>
      <c r="BO298" s="64">
        <f>IFERROR(1/J298*(X298/H298),"0")</f>
        <v>0.1098901098901099</v>
      </c>
      <c r="BP298" s="64">
        <f>IFERROR(1/J298*(Y298/H298),"0")</f>
        <v>0.1098901098901099</v>
      </c>
    </row>
    <row r="299" spans="1:68" ht="27" customHeight="1" x14ac:dyDescent="0.25">
      <c r="A299" s="54" t="s">
        <v>503</v>
      </c>
      <c r="B299" s="54" t="s">
        <v>504</v>
      </c>
      <c r="C299" s="31">
        <v>4301060389</v>
      </c>
      <c r="D299" s="653">
        <v>4680115880801</v>
      </c>
      <c r="E299" s="654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48</v>
      </c>
      <c r="Y299" s="644">
        <f>IFERROR(IF(X299="",0,CEILING((X299/$H299),1)*$H299),"")</f>
        <v>48</v>
      </c>
      <c r="Z299" s="36">
        <f>IFERROR(IF(Y299=0,"",ROUNDUP(Y299/H299,0)*0.00651),"")</f>
        <v>0.13020000000000001</v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53.040000000000006</v>
      </c>
      <c r="BN299" s="64">
        <f>IFERROR(Y299*I299/H299,"0")</f>
        <v>53.040000000000006</v>
      </c>
      <c r="BO299" s="64">
        <f>IFERROR(1/J299*(X299/H299),"0")</f>
        <v>0.1098901098901099</v>
      </c>
      <c r="BP299" s="64">
        <f>IFERROR(1/J299*(Y299/H299),"0")</f>
        <v>0.1098901098901099</v>
      </c>
    </row>
    <row r="300" spans="1:68" x14ac:dyDescent="0.2">
      <c r="A300" s="655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0" t="s">
        <v>72</v>
      </c>
      <c r="Q300" s="651"/>
      <c r="R300" s="651"/>
      <c r="S300" s="651"/>
      <c r="T300" s="651"/>
      <c r="U300" s="651"/>
      <c r="V300" s="652"/>
      <c r="W300" s="37" t="s">
        <v>73</v>
      </c>
      <c r="X300" s="645">
        <f>IFERROR(X298/H298,"0")+IFERROR(X299/H299,"0")</f>
        <v>40</v>
      </c>
      <c r="Y300" s="645">
        <f>IFERROR(Y298/H298,"0")+IFERROR(Y299/H299,"0")</f>
        <v>40</v>
      </c>
      <c r="Z300" s="645">
        <f>IFERROR(IF(Z298="",0,Z298),"0")+IFERROR(IF(Z299="",0,Z299),"0")</f>
        <v>0.26040000000000002</v>
      </c>
      <c r="AA300" s="646"/>
      <c r="AB300" s="646"/>
      <c r="AC300" s="646"/>
    </row>
    <row r="301" spans="1:68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0" t="s">
        <v>72</v>
      </c>
      <c r="Q301" s="651"/>
      <c r="R301" s="651"/>
      <c r="S301" s="651"/>
      <c r="T301" s="651"/>
      <c r="U301" s="651"/>
      <c r="V301" s="652"/>
      <c r="W301" s="37" t="s">
        <v>67</v>
      </c>
      <c r="X301" s="645">
        <f>IFERROR(SUM(X298:X299),"0")</f>
        <v>96</v>
      </c>
      <c r="Y301" s="645">
        <f>IFERROR(SUM(Y298:Y299),"0")</f>
        <v>96</v>
      </c>
      <c r="Z301" s="37"/>
      <c r="AA301" s="646"/>
      <c r="AB301" s="646"/>
      <c r="AC301" s="646"/>
    </row>
    <row r="302" spans="1:68" ht="16.5" customHeight="1" x14ac:dyDescent="0.25">
      <c r="A302" s="664" t="s">
        <v>506</v>
      </c>
      <c r="B302" s="656"/>
      <c r="C302" s="656"/>
      <c r="D302" s="656"/>
      <c r="E302" s="656"/>
      <c r="F302" s="656"/>
      <c r="G302" s="656"/>
      <c r="H302" s="656"/>
      <c r="I302" s="656"/>
      <c r="J302" s="656"/>
      <c r="K302" s="656"/>
      <c r="L302" s="656"/>
      <c r="M302" s="656"/>
      <c r="N302" s="656"/>
      <c r="O302" s="656"/>
      <c r="P302" s="656"/>
      <c r="Q302" s="656"/>
      <c r="R302" s="656"/>
      <c r="S302" s="656"/>
      <c r="T302" s="656"/>
      <c r="U302" s="656"/>
      <c r="V302" s="656"/>
      <c r="W302" s="656"/>
      <c r="X302" s="656"/>
      <c r="Y302" s="656"/>
      <c r="Z302" s="656"/>
      <c r="AA302" s="638"/>
      <c r="AB302" s="638"/>
      <c r="AC302" s="638"/>
    </row>
    <row r="303" spans="1:68" ht="14.25" customHeight="1" x14ac:dyDescent="0.25">
      <c r="A303" s="663" t="s">
        <v>111</v>
      </c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6"/>
      <c r="P303" s="656"/>
      <c r="Q303" s="656"/>
      <c r="R303" s="656"/>
      <c r="S303" s="656"/>
      <c r="T303" s="656"/>
      <c r="U303" s="656"/>
      <c r="V303" s="656"/>
      <c r="W303" s="656"/>
      <c r="X303" s="656"/>
      <c r="Y303" s="656"/>
      <c r="Z303" s="656"/>
      <c r="AA303" s="639"/>
      <c r="AB303" s="639"/>
      <c r="AC303" s="639"/>
    </row>
    <row r="304" spans="1:68" ht="27" customHeight="1" x14ac:dyDescent="0.25">
      <c r="A304" s="54" t="s">
        <v>507</v>
      </c>
      <c r="B304" s="54" t="s">
        <v>508</v>
      </c>
      <c r="C304" s="31">
        <v>4301011826</v>
      </c>
      <c r="D304" s="653">
        <v>4680115884137</v>
      </c>
      <c r="E304" s="654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customHeight="1" x14ac:dyDescent="0.25">
      <c r="A305" s="54" t="s">
        <v>510</v>
      </c>
      <c r="B305" s="54" t="s">
        <v>511</v>
      </c>
      <c r="C305" s="31">
        <v>4301011724</v>
      </c>
      <c r="D305" s="653">
        <v>4680115884236</v>
      </c>
      <c r="E305" s="654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customHeight="1" x14ac:dyDescent="0.25">
      <c r="A306" s="54" t="s">
        <v>513</v>
      </c>
      <c r="B306" s="54" t="s">
        <v>514</v>
      </c>
      <c r="C306" s="31">
        <v>4301011721</v>
      </c>
      <c r="D306" s="653">
        <v>4680115884175</v>
      </c>
      <c r="E306" s="654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6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customHeight="1" x14ac:dyDescent="0.25">
      <c r="A307" s="54" t="s">
        <v>515</v>
      </c>
      <c r="B307" s="54" t="s">
        <v>516</v>
      </c>
      <c r="C307" s="31">
        <v>4301011824</v>
      </c>
      <c r="D307" s="653">
        <v>4680115884144</v>
      </c>
      <c r="E307" s="654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customHeight="1" x14ac:dyDescent="0.25">
      <c r="A308" s="54" t="s">
        <v>517</v>
      </c>
      <c r="B308" s="54" t="s">
        <v>518</v>
      </c>
      <c r="C308" s="31">
        <v>4301012149</v>
      </c>
      <c r="D308" s="653">
        <v>4680115886551</v>
      </c>
      <c r="E308" s="654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customHeight="1" x14ac:dyDescent="0.25">
      <c r="A309" s="54" t="s">
        <v>520</v>
      </c>
      <c r="B309" s="54" t="s">
        <v>521</v>
      </c>
      <c r="C309" s="31">
        <v>4301012228</v>
      </c>
      <c r="D309" s="653">
        <v>4680115887282</v>
      </c>
      <c r="E309" s="654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4301011722</v>
      </c>
      <c r="D310" s="653">
        <v>4680115884205</v>
      </c>
      <c r="E310" s="654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1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x14ac:dyDescent="0.2">
      <c r="A311" s="655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0" t="s">
        <v>72</v>
      </c>
      <c r="Q311" s="651"/>
      <c r="R311" s="651"/>
      <c r="S311" s="651"/>
      <c r="T311" s="651"/>
      <c r="U311" s="651"/>
      <c r="V311" s="652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0" t="s">
        <v>72</v>
      </c>
      <c r="Q312" s="651"/>
      <c r="R312" s="651"/>
      <c r="S312" s="651"/>
      <c r="T312" s="651"/>
      <c r="U312" s="651"/>
      <c r="V312" s="652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customHeight="1" x14ac:dyDescent="0.25">
      <c r="A313" s="663" t="s">
        <v>144</v>
      </c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6"/>
      <c r="P313" s="656"/>
      <c r="Q313" s="656"/>
      <c r="R313" s="656"/>
      <c r="S313" s="656"/>
      <c r="T313" s="656"/>
      <c r="U313" s="656"/>
      <c r="V313" s="656"/>
      <c r="W313" s="656"/>
      <c r="X313" s="656"/>
      <c r="Y313" s="656"/>
      <c r="Z313" s="656"/>
      <c r="AA313" s="639"/>
      <c r="AB313" s="639"/>
      <c r="AC313" s="639"/>
    </row>
    <row r="314" spans="1:68" ht="27" customHeight="1" x14ac:dyDescent="0.25">
      <c r="A314" s="54" t="s">
        <v>525</v>
      </c>
      <c r="B314" s="54" t="s">
        <v>526</v>
      </c>
      <c r="C314" s="31">
        <v>4301020377</v>
      </c>
      <c r="D314" s="653">
        <v>4680115885981</v>
      </c>
      <c r="E314" s="654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55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0" t="s">
        <v>72</v>
      </c>
      <c r="Q315" s="651"/>
      <c r="R315" s="651"/>
      <c r="S315" s="651"/>
      <c r="T315" s="651"/>
      <c r="U315" s="651"/>
      <c r="V315" s="652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0" t="s">
        <v>72</v>
      </c>
      <c r="Q316" s="651"/>
      <c r="R316" s="651"/>
      <c r="S316" s="651"/>
      <c r="T316" s="651"/>
      <c r="U316" s="651"/>
      <c r="V316" s="652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customHeight="1" x14ac:dyDescent="0.25">
      <c r="A317" s="663" t="s">
        <v>528</v>
      </c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6"/>
      <c r="P317" s="656"/>
      <c r="Q317" s="656"/>
      <c r="R317" s="656"/>
      <c r="S317" s="656"/>
      <c r="T317" s="656"/>
      <c r="U317" s="656"/>
      <c r="V317" s="656"/>
      <c r="W317" s="656"/>
      <c r="X317" s="656"/>
      <c r="Y317" s="656"/>
      <c r="Z317" s="656"/>
      <c r="AA317" s="639"/>
      <c r="AB317" s="639"/>
      <c r="AC317" s="639"/>
    </row>
    <row r="318" spans="1:68" ht="27" customHeight="1" x14ac:dyDescent="0.25">
      <c r="A318" s="54" t="s">
        <v>529</v>
      </c>
      <c r="B318" s="54" t="s">
        <v>530</v>
      </c>
      <c r="C318" s="31">
        <v>4301040362</v>
      </c>
      <c r="D318" s="653">
        <v>4680115886803</v>
      </c>
      <c r="E318" s="654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8</v>
      </c>
      <c r="Y318" s="644">
        <f>IFERROR(IF(X318="",0,CEILING((X318/$H318),1)*$H318),"")</f>
        <v>9</v>
      </c>
      <c r="Z318" s="36">
        <f>IFERROR(IF(Y318=0,"",ROUNDUP(Y318/H318,0)*0.0059),"")</f>
        <v>2.9499999999999998E-2</v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8.7777777777777786</v>
      </c>
      <c r="BN318" s="64">
        <f>IFERROR(Y318*I318/H318,"0")</f>
        <v>9.8750000000000018</v>
      </c>
      <c r="BO318" s="64">
        <f>IFERROR(1/J318*(X318/H318),"0")</f>
        <v>2.0576131687242798E-2</v>
      </c>
      <c r="BP318" s="64">
        <f>IFERROR(1/J318*(Y318/H318),"0")</f>
        <v>2.3148148148148147E-2</v>
      </c>
    </row>
    <row r="319" spans="1:68" x14ac:dyDescent="0.2">
      <c r="A319" s="655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0" t="s">
        <v>72</v>
      </c>
      <c r="Q319" s="651"/>
      <c r="R319" s="651"/>
      <c r="S319" s="651"/>
      <c r="T319" s="651"/>
      <c r="U319" s="651"/>
      <c r="V319" s="652"/>
      <c r="W319" s="37" t="s">
        <v>73</v>
      </c>
      <c r="X319" s="645">
        <f>IFERROR(X318/H318,"0")</f>
        <v>4.4444444444444446</v>
      </c>
      <c r="Y319" s="645">
        <f>IFERROR(Y318/H318,"0")</f>
        <v>5</v>
      </c>
      <c r="Z319" s="645">
        <f>IFERROR(IF(Z318="",0,Z318),"0")</f>
        <v>2.9499999999999998E-2</v>
      </c>
      <c r="AA319" s="646"/>
      <c r="AB319" s="646"/>
      <c r="AC319" s="646"/>
    </row>
    <row r="320" spans="1:68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0" t="s">
        <v>72</v>
      </c>
      <c r="Q320" s="651"/>
      <c r="R320" s="651"/>
      <c r="S320" s="651"/>
      <c r="T320" s="651"/>
      <c r="U320" s="651"/>
      <c r="V320" s="652"/>
      <c r="W320" s="37" t="s">
        <v>67</v>
      </c>
      <c r="X320" s="645">
        <f>IFERROR(SUM(X318:X318),"0")</f>
        <v>8</v>
      </c>
      <c r="Y320" s="645">
        <f>IFERROR(SUM(Y318:Y318),"0")</f>
        <v>9</v>
      </c>
      <c r="Z320" s="37"/>
      <c r="AA320" s="646"/>
      <c r="AB320" s="646"/>
      <c r="AC320" s="646"/>
    </row>
    <row r="321" spans="1:68" ht="14.25" customHeight="1" x14ac:dyDescent="0.25">
      <c r="A321" s="663" t="s">
        <v>345</v>
      </c>
      <c r="B321" s="656"/>
      <c r="C321" s="656"/>
      <c r="D321" s="656"/>
      <c r="E321" s="656"/>
      <c r="F321" s="656"/>
      <c r="G321" s="656"/>
      <c r="H321" s="656"/>
      <c r="I321" s="656"/>
      <c r="J321" s="656"/>
      <c r="K321" s="656"/>
      <c r="L321" s="656"/>
      <c r="M321" s="656"/>
      <c r="N321" s="656"/>
      <c r="O321" s="656"/>
      <c r="P321" s="656"/>
      <c r="Q321" s="656"/>
      <c r="R321" s="656"/>
      <c r="S321" s="656"/>
      <c r="T321" s="656"/>
      <c r="U321" s="656"/>
      <c r="V321" s="656"/>
      <c r="W321" s="656"/>
      <c r="X321" s="656"/>
      <c r="Y321" s="656"/>
      <c r="Z321" s="656"/>
      <c r="AA321" s="639"/>
      <c r="AB321" s="639"/>
      <c r="AC321" s="639"/>
    </row>
    <row r="322" spans="1:68" ht="27" customHeight="1" x14ac:dyDescent="0.25">
      <c r="A322" s="54" t="s">
        <v>532</v>
      </c>
      <c r="B322" s="54" t="s">
        <v>533</v>
      </c>
      <c r="C322" s="31">
        <v>4301041004</v>
      </c>
      <c r="D322" s="653">
        <v>4680115886704</v>
      </c>
      <c r="E322" s="654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535</v>
      </c>
      <c r="B323" s="54" t="s">
        <v>536</v>
      </c>
      <c r="C323" s="31">
        <v>4301041008</v>
      </c>
      <c r="D323" s="653">
        <v>4680115886681</v>
      </c>
      <c r="E323" s="654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537</v>
      </c>
      <c r="B324" s="54" t="s">
        <v>538</v>
      </c>
      <c r="C324" s="31">
        <v>4301041007</v>
      </c>
      <c r="D324" s="653">
        <v>4680115886735</v>
      </c>
      <c r="E324" s="654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4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655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0" t="s">
        <v>72</v>
      </c>
      <c r="Q325" s="651"/>
      <c r="R325" s="651"/>
      <c r="S325" s="651"/>
      <c r="T325" s="651"/>
      <c r="U325" s="651"/>
      <c r="V325" s="652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0" t="s">
        <v>72</v>
      </c>
      <c r="Q326" s="651"/>
      <c r="R326" s="651"/>
      <c r="S326" s="651"/>
      <c r="T326" s="651"/>
      <c r="U326" s="651"/>
      <c r="V326" s="652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customHeight="1" x14ac:dyDescent="0.25">
      <c r="A327" s="664" t="s">
        <v>539</v>
      </c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6"/>
      <c r="P327" s="656"/>
      <c r="Q327" s="656"/>
      <c r="R327" s="656"/>
      <c r="S327" s="656"/>
      <c r="T327" s="656"/>
      <c r="U327" s="656"/>
      <c r="V327" s="656"/>
      <c r="W327" s="656"/>
      <c r="X327" s="656"/>
      <c r="Y327" s="656"/>
      <c r="Z327" s="656"/>
      <c r="AA327" s="638"/>
      <c r="AB327" s="638"/>
      <c r="AC327" s="638"/>
    </row>
    <row r="328" spans="1:68" ht="14.25" customHeight="1" x14ac:dyDescent="0.25">
      <c r="A328" s="663" t="s">
        <v>111</v>
      </c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6"/>
      <c r="P328" s="656"/>
      <c r="Q328" s="656"/>
      <c r="R328" s="656"/>
      <c r="S328" s="656"/>
      <c r="T328" s="656"/>
      <c r="U328" s="656"/>
      <c r="V328" s="656"/>
      <c r="W328" s="656"/>
      <c r="X328" s="656"/>
      <c r="Y328" s="656"/>
      <c r="Z328" s="656"/>
      <c r="AA328" s="639"/>
      <c r="AB328" s="639"/>
      <c r="AC328" s="639"/>
    </row>
    <row r="329" spans="1:68" ht="27" customHeight="1" x14ac:dyDescent="0.25">
      <c r="A329" s="54" t="s">
        <v>540</v>
      </c>
      <c r="B329" s="54" t="s">
        <v>541</v>
      </c>
      <c r="C329" s="31">
        <v>4301011855</v>
      </c>
      <c r="D329" s="653">
        <v>4680115885837</v>
      </c>
      <c r="E329" s="654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543</v>
      </c>
      <c r="B330" s="54" t="s">
        <v>544</v>
      </c>
      <c r="C330" s="31">
        <v>4301012234</v>
      </c>
      <c r="D330" s="653">
        <v>4680115887237</v>
      </c>
      <c r="E330" s="654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546</v>
      </c>
      <c r="B331" s="54" t="s">
        <v>547</v>
      </c>
      <c r="C331" s="31">
        <v>4301011850</v>
      </c>
      <c r="D331" s="653">
        <v>4680115885806</v>
      </c>
      <c r="E331" s="654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549</v>
      </c>
      <c r="B332" s="54" t="s">
        <v>550</v>
      </c>
      <c r="C332" s="31">
        <v>4301011852</v>
      </c>
      <c r="D332" s="653">
        <v>4680115885844</v>
      </c>
      <c r="E332" s="654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customHeight="1" x14ac:dyDescent="0.25">
      <c r="A333" s="54" t="s">
        <v>552</v>
      </c>
      <c r="B333" s="54" t="s">
        <v>553</v>
      </c>
      <c r="C333" s="31">
        <v>4301011851</v>
      </c>
      <c r="D333" s="653">
        <v>4680115885820</v>
      </c>
      <c r="E333" s="654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9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655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0" t="s">
        <v>72</v>
      </c>
      <c r="Q334" s="651"/>
      <c r="R334" s="651"/>
      <c r="S334" s="651"/>
      <c r="T334" s="651"/>
      <c r="U334" s="651"/>
      <c r="V334" s="652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0" t="s">
        <v>72</v>
      </c>
      <c r="Q335" s="651"/>
      <c r="R335" s="651"/>
      <c r="S335" s="651"/>
      <c r="T335" s="651"/>
      <c r="U335" s="651"/>
      <c r="V335" s="652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customHeight="1" x14ac:dyDescent="0.25">
      <c r="A336" s="664" t="s">
        <v>555</v>
      </c>
      <c r="B336" s="656"/>
      <c r="C336" s="656"/>
      <c r="D336" s="656"/>
      <c r="E336" s="656"/>
      <c r="F336" s="656"/>
      <c r="G336" s="656"/>
      <c r="H336" s="656"/>
      <c r="I336" s="656"/>
      <c r="J336" s="656"/>
      <c r="K336" s="656"/>
      <c r="L336" s="656"/>
      <c r="M336" s="656"/>
      <c r="N336" s="656"/>
      <c r="O336" s="656"/>
      <c r="P336" s="656"/>
      <c r="Q336" s="656"/>
      <c r="R336" s="656"/>
      <c r="S336" s="656"/>
      <c r="T336" s="656"/>
      <c r="U336" s="656"/>
      <c r="V336" s="656"/>
      <c r="W336" s="656"/>
      <c r="X336" s="656"/>
      <c r="Y336" s="656"/>
      <c r="Z336" s="656"/>
      <c r="AA336" s="638"/>
      <c r="AB336" s="638"/>
      <c r="AC336" s="638"/>
    </row>
    <row r="337" spans="1:68" ht="14.25" customHeight="1" x14ac:dyDescent="0.25">
      <c r="A337" s="663" t="s">
        <v>74</v>
      </c>
      <c r="B337" s="656"/>
      <c r="C337" s="656"/>
      <c r="D337" s="656"/>
      <c r="E337" s="656"/>
      <c r="F337" s="656"/>
      <c r="G337" s="656"/>
      <c r="H337" s="656"/>
      <c r="I337" s="656"/>
      <c r="J337" s="656"/>
      <c r="K337" s="656"/>
      <c r="L337" s="656"/>
      <c r="M337" s="656"/>
      <c r="N337" s="656"/>
      <c r="O337" s="656"/>
      <c r="P337" s="656"/>
      <c r="Q337" s="656"/>
      <c r="R337" s="656"/>
      <c r="S337" s="656"/>
      <c r="T337" s="656"/>
      <c r="U337" s="656"/>
      <c r="V337" s="656"/>
      <c r="W337" s="656"/>
      <c r="X337" s="656"/>
      <c r="Y337" s="656"/>
      <c r="Z337" s="656"/>
      <c r="AA337" s="639"/>
      <c r="AB337" s="639"/>
      <c r="AC337" s="639"/>
    </row>
    <row r="338" spans="1:68" ht="27" customHeight="1" x14ac:dyDescent="0.25">
      <c r="A338" s="54" t="s">
        <v>556</v>
      </c>
      <c r="B338" s="54" t="s">
        <v>557</v>
      </c>
      <c r="C338" s="31">
        <v>4301051893</v>
      </c>
      <c r="D338" s="653">
        <v>4680115886186</v>
      </c>
      <c r="E338" s="654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559</v>
      </c>
      <c r="B339" s="54" t="s">
        <v>560</v>
      </c>
      <c r="C339" s="31">
        <v>4301051795</v>
      </c>
      <c r="D339" s="653">
        <v>4680115881228</v>
      </c>
      <c r="E339" s="654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4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40</v>
      </c>
      <c r="Y339" s="644">
        <f>IFERROR(IF(X339="",0,CEILING((X339/$H339),1)*$H339),"")</f>
        <v>40.799999999999997</v>
      </c>
      <c r="Z339" s="36">
        <f>IFERROR(IF(Y339=0,"",ROUNDUP(Y339/H339,0)*0.00651),"")</f>
        <v>0.11067</v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44.20000000000001</v>
      </c>
      <c r="BN339" s="64">
        <f>IFERROR(Y339*I339/H339,"0")</f>
        <v>45.084000000000003</v>
      </c>
      <c r="BO339" s="64">
        <f>IFERROR(1/J339*(X339/H339),"0")</f>
        <v>9.1575091575091583E-2</v>
      </c>
      <c r="BP339" s="64">
        <f>IFERROR(1/J339*(Y339/H339),"0")</f>
        <v>9.3406593406593408E-2</v>
      </c>
    </row>
    <row r="340" spans="1:68" ht="27" customHeight="1" x14ac:dyDescent="0.25">
      <c r="A340" s="54" t="s">
        <v>562</v>
      </c>
      <c r="B340" s="54" t="s">
        <v>563</v>
      </c>
      <c r="C340" s="31">
        <v>4301051388</v>
      </c>
      <c r="D340" s="653">
        <v>4680115881211</v>
      </c>
      <c r="E340" s="654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60</v>
      </c>
      <c r="Y340" s="644">
        <f>IFERROR(IF(X340="",0,CEILING((X340/$H340),1)*$H340),"")</f>
        <v>60</v>
      </c>
      <c r="Z340" s="36">
        <f>IFERROR(IF(Y340=0,"",ROUNDUP(Y340/H340,0)*0.00651),"")</f>
        <v>0.16275000000000001</v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64.500000000000014</v>
      </c>
      <c r="BN340" s="64">
        <f>IFERROR(Y340*I340/H340,"0")</f>
        <v>64.500000000000014</v>
      </c>
      <c r="BO340" s="64">
        <f>IFERROR(1/J340*(X340/H340),"0")</f>
        <v>0.13736263736263737</v>
      </c>
      <c r="BP340" s="64">
        <f>IFERROR(1/J340*(Y340/H340),"0")</f>
        <v>0.13736263736263737</v>
      </c>
    </row>
    <row r="341" spans="1:68" x14ac:dyDescent="0.2">
      <c r="A341" s="655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0" t="s">
        <v>72</v>
      </c>
      <c r="Q341" s="651"/>
      <c r="R341" s="651"/>
      <c r="S341" s="651"/>
      <c r="T341" s="651"/>
      <c r="U341" s="651"/>
      <c r="V341" s="652"/>
      <c r="W341" s="37" t="s">
        <v>73</v>
      </c>
      <c r="X341" s="645">
        <f>IFERROR(X338/H338,"0")+IFERROR(X339/H339,"0")+IFERROR(X340/H340,"0")</f>
        <v>41.666666666666671</v>
      </c>
      <c r="Y341" s="645">
        <f>IFERROR(Y338/H338,"0")+IFERROR(Y339/H339,"0")+IFERROR(Y340/H340,"0")</f>
        <v>42</v>
      </c>
      <c r="Z341" s="645">
        <f>IFERROR(IF(Z338="",0,Z338),"0")+IFERROR(IF(Z339="",0,Z339),"0")+IFERROR(IF(Z340="",0,Z340),"0")</f>
        <v>0.27342</v>
      </c>
      <c r="AA341" s="646"/>
      <c r="AB341" s="646"/>
      <c r="AC341" s="646"/>
    </row>
    <row r="342" spans="1:68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0" t="s">
        <v>72</v>
      </c>
      <c r="Q342" s="651"/>
      <c r="R342" s="651"/>
      <c r="S342" s="651"/>
      <c r="T342" s="651"/>
      <c r="U342" s="651"/>
      <c r="V342" s="652"/>
      <c r="W342" s="37" t="s">
        <v>67</v>
      </c>
      <c r="X342" s="645">
        <f>IFERROR(SUM(X338:X340),"0")</f>
        <v>100</v>
      </c>
      <c r="Y342" s="645">
        <f>IFERROR(SUM(Y338:Y340),"0")</f>
        <v>100.8</v>
      </c>
      <c r="Z342" s="37"/>
      <c r="AA342" s="646"/>
      <c r="AB342" s="646"/>
      <c r="AC342" s="646"/>
    </row>
    <row r="343" spans="1:68" ht="16.5" customHeight="1" x14ac:dyDescent="0.25">
      <c r="A343" s="664" t="s">
        <v>564</v>
      </c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6"/>
      <c r="P343" s="656"/>
      <c r="Q343" s="656"/>
      <c r="R343" s="656"/>
      <c r="S343" s="656"/>
      <c r="T343" s="656"/>
      <c r="U343" s="656"/>
      <c r="V343" s="656"/>
      <c r="W343" s="656"/>
      <c r="X343" s="656"/>
      <c r="Y343" s="656"/>
      <c r="Z343" s="656"/>
      <c r="AA343" s="638"/>
      <c r="AB343" s="638"/>
      <c r="AC343" s="638"/>
    </row>
    <row r="344" spans="1:68" ht="14.25" customHeight="1" x14ac:dyDescent="0.25">
      <c r="A344" s="663" t="s">
        <v>62</v>
      </c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6"/>
      <c r="P344" s="656"/>
      <c r="Q344" s="656"/>
      <c r="R344" s="656"/>
      <c r="S344" s="656"/>
      <c r="T344" s="656"/>
      <c r="U344" s="656"/>
      <c r="V344" s="656"/>
      <c r="W344" s="656"/>
      <c r="X344" s="656"/>
      <c r="Y344" s="656"/>
      <c r="Z344" s="656"/>
      <c r="AA344" s="639"/>
      <c r="AB344" s="639"/>
      <c r="AC344" s="639"/>
    </row>
    <row r="345" spans="1:68" ht="27" customHeight="1" x14ac:dyDescent="0.25">
      <c r="A345" s="54" t="s">
        <v>565</v>
      </c>
      <c r="B345" s="54" t="s">
        <v>566</v>
      </c>
      <c r="C345" s="31">
        <v>4301031445</v>
      </c>
      <c r="D345" s="653">
        <v>4680115888319</v>
      </c>
      <c r="E345" s="654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567</v>
      </c>
      <c r="B346" s="54" t="s">
        <v>568</v>
      </c>
      <c r="C346" s="31">
        <v>4301031502</v>
      </c>
      <c r="D346" s="653">
        <v>4680115884700</v>
      </c>
      <c r="E346" s="654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570</v>
      </c>
      <c r="B347" s="54" t="s">
        <v>571</v>
      </c>
      <c r="C347" s="31">
        <v>4301031307</v>
      </c>
      <c r="D347" s="653">
        <v>4680115880344</v>
      </c>
      <c r="E347" s="654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573</v>
      </c>
      <c r="B348" s="54" t="s">
        <v>574</v>
      </c>
      <c r="C348" s="31">
        <v>4301031501</v>
      </c>
      <c r="D348" s="653">
        <v>4680115886919</v>
      </c>
      <c r="E348" s="654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576</v>
      </c>
      <c r="B349" s="54" t="s">
        <v>577</v>
      </c>
      <c r="C349" s="31">
        <v>4301031246</v>
      </c>
      <c r="D349" s="653">
        <v>4680115883970</v>
      </c>
      <c r="E349" s="654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55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0" t="s">
        <v>72</v>
      </c>
      <c r="Q350" s="651"/>
      <c r="R350" s="651"/>
      <c r="S350" s="651"/>
      <c r="T350" s="651"/>
      <c r="U350" s="651"/>
      <c r="V350" s="652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0" t="s">
        <v>72</v>
      </c>
      <c r="Q351" s="651"/>
      <c r="R351" s="651"/>
      <c r="S351" s="651"/>
      <c r="T351" s="651"/>
      <c r="U351" s="651"/>
      <c r="V351" s="652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customHeight="1" x14ac:dyDescent="0.25">
      <c r="A352" s="663" t="s">
        <v>74</v>
      </c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6"/>
      <c r="P352" s="656"/>
      <c r="Q352" s="656"/>
      <c r="R352" s="656"/>
      <c r="S352" s="656"/>
      <c r="T352" s="656"/>
      <c r="U352" s="656"/>
      <c r="V352" s="656"/>
      <c r="W352" s="656"/>
      <c r="X352" s="656"/>
      <c r="Y352" s="656"/>
      <c r="Z352" s="656"/>
      <c r="AA352" s="639"/>
      <c r="AB352" s="639"/>
      <c r="AC352" s="639"/>
    </row>
    <row r="353" spans="1:68" ht="27" customHeight="1" x14ac:dyDescent="0.25">
      <c r="A353" s="54" t="s">
        <v>579</v>
      </c>
      <c r="B353" s="54" t="s">
        <v>580</v>
      </c>
      <c r="C353" s="31">
        <v>4301051782</v>
      </c>
      <c r="D353" s="653">
        <v>4680115884618</v>
      </c>
      <c r="E353" s="654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7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582</v>
      </c>
      <c r="B354" s="54" t="s">
        <v>583</v>
      </c>
      <c r="C354" s="31">
        <v>4301052057</v>
      </c>
      <c r="D354" s="653">
        <v>4680115887114</v>
      </c>
      <c r="E354" s="654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4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55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0" t="s">
        <v>72</v>
      </c>
      <c r="Q355" s="651"/>
      <c r="R355" s="651"/>
      <c r="S355" s="651"/>
      <c r="T355" s="651"/>
      <c r="U355" s="651"/>
      <c r="V355" s="652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0" t="s">
        <v>72</v>
      </c>
      <c r="Q356" s="651"/>
      <c r="R356" s="651"/>
      <c r="S356" s="651"/>
      <c r="T356" s="651"/>
      <c r="U356" s="651"/>
      <c r="V356" s="652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customHeight="1" x14ac:dyDescent="0.25">
      <c r="A357" s="664" t="s">
        <v>585</v>
      </c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6"/>
      <c r="P357" s="656"/>
      <c r="Q357" s="656"/>
      <c r="R357" s="656"/>
      <c r="S357" s="656"/>
      <c r="T357" s="656"/>
      <c r="U357" s="656"/>
      <c r="V357" s="656"/>
      <c r="W357" s="656"/>
      <c r="X357" s="656"/>
      <c r="Y357" s="656"/>
      <c r="Z357" s="656"/>
      <c r="AA357" s="638"/>
      <c r="AB357" s="638"/>
      <c r="AC357" s="638"/>
    </row>
    <row r="358" spans="1:68" ht="14.25" customHeight="1" x14ac:dyDescent="0.25">
      <c r="A358" s="663" t="s">
        <v>111</v>
      </c>
      <c r="B358" s="656"/>
      <c r="C358" s="656"/>
      <c r="D358" s="656"/>
      <c r="E358" s="656"/>
      <c r="F358" s="656"/>
      <c r="G358" s="656"/>
      <c r="H358" s="656"/>
      <c r="I358" s="656"/>
      <c r="J358" s="656"/>
      <c r="K358" s="656"/>
      <c r="L358" s="656"/>
      <c r="M358" s="656"/>
      <c r="N358" s="656"/>
      <c r="O358" s="656"/>
      <c r="P358" s="656"/>
      <c r="Q358" s="656"/>
      <c r="R358" s="656"/>
      <c r="S358" s="656"/>
      <c r="T358" s="656"/>
      <c r="U358" s="656"/>
      <c r="V358" s="656"/>
      <c r="W358" s="656"/>
      <c r="X358" s="656"/>
      <c r="Y358" s="656"/>
      <c r="Z358" s="656"/>
      <c r="AA358" s="639"/>
      <c r="AB358" s="639"/>
      <c r="AC358" s="639"/>
    </row>
    <row r="359" spans="1:68" ht="27" customHeight="1" x14ac:dyDescent="0.25">
      <c r="A359" s="54" t="s">
        <v>586</v>
      </c>
      <c r="B359" s="54" t="s">
        <v>587</v>
      </c>
      <c r="C359" s="31">
        <v>4301012324</v>
      </c>
      <c r="D359" s="653">
        <v>4680115887947</v>
      </c>
      <c r="E359" s="654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71</v>
      </c>
      <c r="Y359" s="644">
        <f>IFERROR(IF(X359="",0,CEILING((X359/$H359),1)*$H359),"")</f>
        <v>78</v>
      </c>
      <c r="Z359" s="36">
        <f>IFERROR(IF(Y359=0,"",ROUNDUP(Y359/H359,0)*0.01898),"")</f>
        <v>0.1898</v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74.732051282051287</v>
      </c>
      <c r="BN359" s="64">
        <f>IFERROR(Y359*I359/H359,"0")</f>
        <v>82.100000000000023</v>
      </c>
      <c r="BO359" s="64">
        <f>IFERROR(1/J359*(X359/H359),"0")</f>
        <v>0.1422275641025641</v>
      </c>
      <c r="BP359" s="64">
        <f>IFERROR(1/J359*(Y359/H359),"0")</f>
        <v>0.15625</v>
      </c>
    </row>
    <row r="360" spans="1:68" ht="27" customHeight="1" x14ac:dyDescent="0.25">
      <c r="A360" s="54" t="s">
        <v>588</v>
      </c>
      <c r="B360" s="54" t="s">
        <v>589</v>
      </c>
      <c r="C360" s="31">
        <v>4301012325</v>
      </c>
      <c r="D360" s="653">
        <v>4680115887978</v>
      </c>
      <c r="E360" s="654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100</v>
      </c>
      <c r="Y360" s="644">
        <f>IFERROR(IF(X360="",0,CEILING((X360/$H360),1)*$H360),"")</f>
        <v>101.39999999999999</v>
      </c>
      <c r="Z360" s="36">
        <f>IFERROR(IF(Y360=0,"",ROUNDUP(Y360/H360,0)*0.01898),"")</f>
        <v>0.24674000000000001</v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105.25641025641028</v>
      </c>
      <c r="BN360" s="64">
        <f>IFERROR(Y360*I360/H360,"0")</f>
        <v>106.73</v>
      </c>
      <c r="BO360" s="64">
        <f>IFERROR(1/J360*(X360/H360),"0")</f>
        <v>0.20032051282051283</v>
      </c>
      <c r="BP360" s="64">
        <f>IFERROR(1/J360*(Y360/H360),"0")</f>
        <v>0.203125</v>
      </c>
    </row>
    <row r="361" spans="1:68" ht="27" customHeight="1" x14ac:dyDescent="0.25">
      <c r="A361" s="54" t="s">
        <v>591</v>
      </c>
      <c r="B361" s="54" t="s">
        <v>592</v>
      </c>
      <c r="C361" s="31">
        <v>4301012327</v>
      </c>
      <c r="D361" s="653">
        <v>4680115887992</v>
      </c>
      <c r="E361" s="654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2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0</v>
      </c>
      <c r="Y361" s="64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5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0" t="s">
        <v>72</v>
      </c>
      <c r="Q362" s="651"/>
      <c r="R362" s="651"/>
      <c r="S362" s="651"/>
      <c r="T362" s="651"/>
      <c r="U362" s="651"/>
      <c r="V362" s="652"/>
      <c r="W362" s="37" t="s">
        <v>73</v>
      </c>
      <c r="X362" s="645">
        <f>IFERROR(X359/H359,"0")+IFERROR(X360/H360,"0")+IFERROR(X361/H361,"0")</f>
        <v>21.923076923076923</v>
      </c>
      <c r="Y362" s="645">
        <f>IFERROR(Y359/H359,"0")+IFERROR(Y360/H360,"0")+IFERROR(Y361/H361,"0")</f>
        <v>23</v>
      </c>
      <c r="Z362" s="645">
        <f>IFERROR(IF(Z359="",0,Z359),"0")+IFERROR(IF(Z360="",0,Z360),"0")+IFERROR(IF(Z361="",0,Z361),"0")</f>
        <v>0.43654000000000004</v>
      </c>
      <c r="AA362" s="646"/>
      <c r="AB362" s="646"/>
      <c r="AC362" s="646"/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0" t="s">
        <v>72</v>
      </c>
      <c r="Q363" s="651"/>
      <c r="R363" s="651"/>
      <c r="S363" s="651"/>
      <c r="T363" s="651"/>
      <c r="U363" s="651"/>
      <c r="V363" s="652"/>
      <c r="W363" s="37" t="s">
        <v>67</v>
      </c>
      <c r="X363" s="645">
        <f>IFERROR(SUM(X359:X361),"0")</f>
        <v>171</v>
      </c>
      <c r="Y363" s="645">
        <f>IFERROR(SUM(Y359:Y361),"0")</f>
        <v>179.39999999999998</v>
      </c>
      <c r="Z363" s="37"/>
      <c r="AA363" s="646"/>
      <c r="AB363" s="646"/>
      <c r="AC363" s="646"/>
    </row>
    <row r="364" spans="1:68" ht="16.5" customHeight="1" x14ac:dyDescent="0.25">
      <c r="A364" s="664" t="s">
        <v>594</v>
      </c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6"/>
      <c r="P364" s="656"/>
      <c r="Q364" s="656"/>
      <c r="R364" s="656"/>
      <c r="S364" s="656"/>
      <c r="T364" s="656"/>
      <c r="U364" s="656"/>
      <c r="V364" s="656"/>
      <c r="W364" s="656"/>
      <c r="X364" s="656"/>
      <c r="Y364" s="656"/>
      <c r="Z364" s="656"/>
      <c r="AA364" s="638"/>
      <c r="AB364" s="638"/>
      <c r="AC364" s="638"/>
    </row>
    <row r="365" spans="1:68" ht="14.25" customHeight="1" x14ac:dyDescent="0.25">
      <c r="A365" s="663" t="s">
        <v>111</v>
      </c>
      <c r="B365" s="656"/>
      <c r="C365" s="656"/>
      <c r="D365" s="656"/>
      <c r="E365" s="656"/>
      <c r="F365" s="656"/>
      <c r="G365" s="656"/>
      <c r="H365" s="656"/>
      <c r="I365" s="656"/>
      <c r="J365" s="656"/>
      <c r="K365" s="656"/>
      <c r="L365" s="656"/>
      <c r="M365" s="656"/>
      <c r="N365" s="656"/>
      <c r="O365" s="656"/>
      <c r="P365" s="656"/>
      <c r="Q365" s="656"/>
      <c r="R365" s="656"/>
      <c r="S365" s="656"/>
      <c r="T365" s="656"/>
      <c r="U365" s="656"/>
      <c r="V365" s="656"/>
      <c r="W365" s="656"/>
      <c r="X365" s="656"/>
      <c r="Y365" s="656"/>
      <c r="Z365" s="656"/>
      <c r="AA365" s="639"/>
      <c r="AB365" s="639"/>
      <c r="AC365" s="639"/>
    </row>
    <row r="366" spans="1:68" ht="27" customHeight="1" x14ac:dyDescent="0.25">
      <c r="A366" s="54" t="s">
        <v>595</v>
      </c>
      <c r="B366" s="54" t="s">
        <v>596</v>
      </c>
      <c r="C366" s="31">
        <v>4301012235</v>
      </c>
      <c r="D366" s="653">
        <v>4680115887190</v>
      </c>
      <c r="E366" s="654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customHeight="1" x14ac:dyDescent="0.25">
      <c r="A367" s="54" t="s">
        <v>598</v>
      </c>
      <c r="B367" s="54" t="s">
        <v>599</v>
      </c>
      <c r="C367" s="31">
        <v>4301012233</v>
      </c>
      <c r="D367" s="653">
        <v>4680115887138</v>
      </c>
      <c r="E367" s="654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0</v>
      </c>
      <c r="Y367" s="6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4301012016</v>
      </c>
      <c r="D368" s="653">
        <v>4680115885554</v>
      </c>
      <c r="E368" s="654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0</v>
      </c>
      <c r="Y368" s="6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604</v>
      </c>
      <c r="B369" s="54" t="s">
        <v>605</v>
      </c>
      <c r="C369" s="31">
        <v>4301012236</v>
      </c>
      <c r="D369" s="653">
        <v>4680115887220</v>
      </c>
      <c r="E369" s="654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customHeight="1" x14ac:dyDescent="0.25">
      <c r="A370" s="54" t="s">
        <v>606</v>
      </c>
      <c r="B370" s="54" t="s">
        <v>607</v>
      </c>
      <c r="C370" s="31">
        <v>4301011859</v>
      </c>
      <c r="D370" s="653">
        <v>4680115885608</v>
      </c>
      <c r="E370" s="654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55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0" t="s">
        <v>72</v>
      </c>
      <c r="Q371" s="651"/>
      <c r="R371" s="651"/>
      <c r="S371" s="651"/>
      <c r="T371" s="651"/>
      <c r="U371" s="651"/>
      <c r="V371" s="652"/>
      <c r="W371" s="37" t="s">
        <v>73</v>
      </c>
      <c r="X371" s="645">
        <f>IFERROR(X366/H366,"0")+IFERROR(X367/H367,"0")+IFERROR(X368/H368,"0")+IFERROR(X369/H369,"0")+IFERROR(X370/H370,"0")</f>
        <v>0</v>
      </c>
      <c r="Y371" s="645">
        <f>IFERROR(Y366/H366,"0")+IFERROR(Y367/H367,"0")+IFERROR(Y368/H368,"0")+IFERROR(Y369/H369,"0")+IFERROR(Y370/H370,"0")</f>
        <v>0</v>
      </c>
      <c r="Z371" s="645">
        <f>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0" t="s">
        <v>72</v>
      </c>
      <c r="Q372" s="651"/>
      <c r="R372" s="651"/>
      <c r="S372" s="651"/>
      <c r="T372" s="651"/>
      <c r="U372" s="651"/>
      <c r="V372" s="652"/>
      <c r="W372" s="37" t="s">
        <v>67</v>
      </c>
      <c r="X372" s="645">
        <f>IFERROR(SUM(X366:X370),"0")</f>
        <v>0</v>
      </c>
      <c r="Y372" s="645">
        <f>IFERROR(SUM(Y366:Y370),"0")</f>
        <v>0</v>
      </c>
      <c r="Z372" s="37"/>
      <c r="AA372" s="646"/>
      <c r="AB372" s="646"/>
      <c r="AC372" s="646"/>
    </row>
    <row r="373" spans="1:68" ht="14.25" customHeight="1" x14ac:dyDescent="0.25">
      <c r="A373" s="663" t="s">
        <v>62</v>
      </c>
      <c r="B373" s="656"/>
      <c r="C373" s="656"/>
      <c r="D373" s="656"/>
      <c r="E373" s="656"/>
      <c r="F373" s="656"/>
      <c r="G373" s="656"/>
      <c r="H373" s="656"/>
      <c r="I373" s="656"/>
      <c r="J373" s="656"/>
      <c r="K373" s="656"/>
      <c r="L373" s="656"/>
      <c r="M373" s="656"/>
      <c r="N373" s="656"/>
      <c r="O373" s="656"/>
      <c r="P373" s="656"/>
      <c r="Q373" s="656"/>
      <c r="R373" s="656"/>
      <c r="S373" s="656"/>
      <c r="T373" s="656"/>
      <c r="U373" s="656"/>
      <c r="V373" s="656"/>
      <c r="W373" s="656"/>
      <c r="X373" s="656"/>
      <c r="Y373" s="656"/>
      <c r="Z373" s="656"/>
      <c r="AA373" s="639"/>
      <c r="AB373" s="639"/>
      <c r="AC373" s="639"/>
    </row>
    <row r="374" spans="1:68" ht="27" customHeight="1" x14ac:dyDescent="0.25">
      <c r="A374" s="54" t="s">
        <v>609</v>
      </c>
      <c r="B374" s="54" t="s">
        <v>610</v>
      </c>
      <c r="C374" s="31">
        <v>4301030878</v>
      </c>
      <c r="D374" s="653">
        <v>4607091387193</v>
      </c>
      <c r="E374" s="654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customHeight="1" x14ac:dyDescent="0.25">
      <c r="A375" s="54" t="s">
        <v>612</v>
      </c>
      <c r="B375" s="54" t="s">
        <v>613</v>
      </c>
      <c r="C375" s="31">
        <v>4301031153</v>
      </c>
      <c r="D375" s="653">
        <v>4607091387230</v>
      </c>
      <c r="E375" s="654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0</v>
      </c>
      <c r="Y375" s="644">
        <f t="shared" si="58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0</v>
      </c>
      <c r="BN375" s="64">
        <f t="shared" si="60"/>
        <v>0</v>
      </c>
      <c r="BO375" s="64">
        <f t="shared" si="61"/>
        <v>0</v>
      </c>
      <c r="BP375" s="64">
        <f t="shared" si="62"/>
        <v>0</v>
      </c>
    </row>
    <row r="376" spans="1:68" ht="27" customHeight="1" x14ac:dyDescent="0.25">
      <c r="A376" s="54" t="s">
        <v>615</v>
      </c>
      <c r="B376" s="54" t="s">
        <v>616</v>
      </c>
      <c r="C376" s="31">
        <v>4301031154</v>
      </c>
      <c r="D376" s="653">
        <v>4607091387292</v>
      </c>
      <c r="E376" s="654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618</v>
      </c>
      <c r="B377" s="54" t="s">
        <v>619</v>
      </c>
      <c r="C377" s="31">
        <v>4301031152</v>
      </c>
      <c r="D377" s="653">
        <v>4607091387285</v>
      </c>
      <c r="E377" s="654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4301031305</v>
      </c>
      <c r="D378" s="653">
        <v>4607091389845</v>
      </c>
      <c r="E378" s="654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4301031460</v>
      </c>
      <c r="D379" s="653">
        <v>4680115887442</v>
      </c>
      <c r="E379" s="654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6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4301031066</v>
      </c>
      <c r="D380" s="653">
        <v>4607091383836</v>
      </c>
      <c r="E380" s="654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15</v>
      </c>
      <c r="Y380" s="644">
        <f t="shared" si="58"/>
        <v>16.2</v>
      </c>
      <c r="Z380" s="36">
        <f>IFERROR(IF(Y380=0,"",ROUNDUP(Y380/H380,0)*0.00651),"")</f>
        <v>5.8590000000000003E-2</v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16.900000000000002</v>
      </c>
      <c r="BN380" s="64">
        <f t="shared" si="60"/>
        <v>18.251999999999999</v>
      </c>
      <c r="BO380" s="64">
        <f t="shared" si="61"/>
        <v>4.5787545787545791E-2</v>
      </c>
      <c r="BP380" s="64">
        <f t="shared" si="62"/>
        <v>4.9450549450549455E-2</v>
      </c>
    </row>
    <row r="381" spans="1:68" x14ac:dyDescent="0.2">
      <c r="A381" s="655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0" t="s">
        <v>72</v>
      </c>
      <c r="Q381" s="651"/>
      <c r="R381" s="651"/>
      <c r="S381" s="651"/>
      <c r="T381" s="651"/>
      <c r="U381" s="651"/>
      <c r="V381" s="652"/>
      <c r="W381" s="37" t="s">
        <v>73</v>
      </c>
      <c r="X381" s="645">
        <f>IFERROR(X374/H374,"0")+IFERROR(X375/H375,"0")+IFERROR(X376/H376,"0")+IFERROR(X377/H377,"0")+IFERROR(X378/H378,"0")+IFERROR(X379/H379,"0")+IFERROR(X380/H380,"0")</f>
        <v>8.3333333333333339</v>
      </c>
      <c r="Y381" s="645">
        <f>IFERROR(Y374/H374,"0")+IFERROR(Y375/H375,"0")+IFERROR(Y376/H376,"0")+IFERROR(Y377/H377,"0")+IFERROR(Y378/H378,"0")+IFERROR(Y379/H379,"0")+IFERROR(Y380/H380,"0")</f>
        <v>9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5.8590000000000003E-2</v>
      </c>
      <c r="AA381" s="646"/>
      <c r="AB381" s="646"/>
      <c r="AC381" s="646"/>
    </row>
    <row r="382" spans="1:68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0" t="s">
        <v>72</v>
      </c>
      <c r="Q382" s="651"/>
      <c r="R382" s="651"/>
      <c r="S382" s="651"/>
      <c r="T382" s="651"/>
      <c r="U382" s="651"/>
      <c r="V382" s="652"/>
      <c r="W382" s="37" t="s">
        <v>67</v>
      </c>
      <c r="X382" s="645">
        <f>IFERROR(SUM(X374:X380),"0")</f>
        <v>15</v>
      </c>
      <c r="Y382" s="645">
        <f>IFERROR(SUM(Y374:Y380),"0")</f>
        <v>16.2</v>
      </c>
      <c r="Z382" s="37"/>
      <c r="AA382" s="646"/>
      <c r="AB382" s="646"/>
      <c r="AC382" s="646"/>
    </row>
    <row r="383" spans="1:68" ht="14.25" customHeight="1" x14ac:dyDescent="0.25">
      <c r="A383" s="663" t="s">
        <v>74</v>
      </c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6"/>
      <c r="P383" s="656"/>
      <c r="Q383" s="656"/>
      <c r="R383" s="656"/>
      <c r="S383" s="656"/>
      <c r="T383" s="656"/>
      <c r="U383" s="656"/>
      <c r="V383" s="656"/>
      <c r="W383" s="656"/>
      <c r="X383" s="656"/>
      <c r="Y383" s="656"/>
      <c r="Z383" s="656"/>
      <c r="AA383" s="639"/>
      <c r="AB383" s="639"/>
      <c r="AC383" s="639"/>
    </row>
    <row r="384" spans="1:68" ht="27" customHeight="1" x14ac:dyDescent="0.25">
      <c r="A384" s="54" t="s">
        <v>628</v>
      </c>
      <c r="B384" s="54" t="s">
        <v>629</v>
      </c>
      <c r="C384" s="31">
        <v>4301051100</v>
      </c>
      <c r="D384" s="653">
        <v>4607091387766</v>
      </c>
      <c r="E384" s="654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4301051818</v>
      </c>
      <c r="D385" s="653">
        <v>4607091387957</v>
      </c>
      <c r="E385" s="654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634</v>
      </c>
      <c r="B386" s="54" t="s">
        <v>635</v>
      </c>
      <c r="C386" s="31">
        <v>4301051819</v>
      </c>
      <c r="D386" s="653">
        <v>4607091387964</v>
      </c>
      <c r="E386" s="654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637</v>
      </c>
      <c r="B387" s="54" t="s">
        <v>638</v>
      </c>
      <c r="C387" s="31">
        <v>4301051734</v>
      </c>
      <c r="D387" s="653">
        <v>4680115884588</v>
      </c>
      <c r="E387" s="654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3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55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0" t="s">
        <v>72</v>
      </c>
      <c r="Q388" s="651"/>
      <c r="R388" s="651"/>
      <c r="S388" s="651"/>
      <c r="T388" s="651"/>
      <c r="U388" s="651"/>
      <c r="V388" s="652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0" t="s">
        <v>72</v>
      </c>
      <c r="Q389" s="651"/>
      <c r="R389" s="651"/>
      <c r="S389" s="651"/>
      <c r="T389" s="651"/>
      <c r="U389" s="651"/>
      <c r="V389" s="652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customHeight="1" x14ac:dyDescent="0.25">
      <c r="A390" s="663" t="s">
        <v>162</v>
      </c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6"/>
      <c r="P390" s="656"/>
      <c r="Q390" s="656"/>
      <c r="R390" s="656"/>
      <c r="S390" s="656"/>
      <c r="T390" s="656"/>
      <c r="U390" s="656"/>
      <c r="V390" s="656"/>
      <c r="W390" s="656"/>
      <c r="X390" s="656"/>
      <c r="Y390" s="656"/>
      <c r="Z390" s="656"/>
      <c r="AA390" s="639"/>
      <c r="AB390" s="639"/>
      <c r="AC390" s="639"/>
    </row>
    <row r="391" spans="1:68" ht="27" customHeight="1" x14ac:dyDescent="0.25">
      <c r="A391" s="54" t="s">
        <v>639</v>
      </c>
      <c r="B391" s="54" t="s">
        <v>640</v>
      </c>
      <c r="C391" s="31">
        <v>4301060387</v>
      </c>
      <c r="D391" s="653">
        <v>4607091380880</v>
      </c>
      <c r="E391" s="654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100</v>
      </c>
      <c r="Y391" s="644">
        <f>IFERROR(IF(X391="",0,CEILING((X391/$H391),1)*$H391),"")</f>
        <v>100.80000000000001</v>
      </c>
      <c r="Z391" s="36">
        <f>IFERROR(IF(Y391=0,"",ROUNDUP(Y391/H391,0)*0.01898),"")</f>
        <v>0.22776000000000002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105.88095238095238</v>
      </c>
      <c r="BN391" s="64">
        <f>IFERROR(Y391*I391/H391,"0")</f>
        <v>106.72800000000001</v>
      </c>
      <c r="BO391" s="64">
        <f>IFERROR(1/J391*(X391/H391),"0")</f>
        <v>0.18601190476190477</v>
      </c>
      <c r="BP391" s="64">
        <f>IFERROR(1/J391*(Y391/H391),"0")</f>
        <v>0.1875</v>
      </c>
    </row>
    <row r="392" spans="1:68" ht="27" customHeight="1" x14ac:dyDescent="0.25">
      <c r="A392" s="54" t="s">
        <v>642</v>
      </c>
      <c r="B392" s="54" t="s">
        <v>643</v>
      </c>
      <c r="C392" s="31">
        <v>4301060406</v>
      </c>
      <c r="D392" s="653">
        <v>4607091384482</v>
      </c>
      <c r="E392" s="654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150</v>
      </c>
      <c r="Y392" s="644">
        <f>IFERROR(IF(X392="",0,CEILING((X392/$H392),1)*$H392),"")</f>
        <v>156</v>
      </c>
      <c r="Z392" s="36">
        <f>IFERROR(IF(Y392=0,"",ROUNDUP(Y392/H392,0)*0.01898),"")</f>
        <v>0.37959999999999999</v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159.50000000000003</v>
      </c>
      <c r="BN392" s="64">
        <f>IFERROR(Y392*I392/H392,"0")</f>
        <v>165.88</v>
      </c>
      <c r="BO392" s="64">
        <f>IFERROR(1/J392*(X392/H392),"0")</f>
        <v>0.30048076923076922</v>
      </c>
      <c r="BP392" s="64">
        <f>IFERROR(1/J392*(Y392/H392),"0")</f>
        <v>0.3125</v>
      </c>
    </row>
    <row r="393" spans="1:68" ht="27" customHeight="1" x14ac:dyDescent="0.25">
      <c r="A393" s="54" t="s">
        <v>645</v>
      </c>
      <c r="B393" s="54" t="s">
        <v>646</v>
      </c>
      <c r="C393" s="31">
        <v>4301060484</v>
      </c>
      <c r="D393" s="653">
        <v>4607091380897</v>
      </c>
      <c r="E393" s="654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8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55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0" t="s">
        <v>72</v>
      </c>
      <c r="Q394" s="651"/>
      <c r="R394" s="651"/>
      <c r="S394" s="651"/>
      <c r="T394" s="651"/>
      <c r="U394" s="651"/>
      <c r="V394" s="652"/>
      <c r="W394" s="37" t="s">
        <v>73</v>
      </c>
      <c r="X394" s="645">
        <f>IFERROR(X391/H391,"0")+IFERROR(X392/H392,"0")+IFERROR(X393/H393,"0")</f>
        <v>31.135531135531135</v>
      </c>
      <c r="Y394" s="645">
        <f>IFERROR(Y391/H391,"0")+IFERROR(Y392/H392,"0")+IFERROR(Y393/H393,"0")</f>
        <v>32</v>
      </c>
      <c r="Z394" s="645">
        <f>IFERROR(IF(Z391="",0,Z391),"0")+IFERROR(IF(Z392="",0,Z392),"0")+IFERROR(IF(Z393="",0,Z393),"0")</f>
        <v>0.60736000000000001</v>
      </c>
      <c r="AA394" s="646"/>
      <c r="AB394" s="646"/>
      <c r="AC394" s="646"/>
    </row>
    <row r="395" spans="1:68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0" t="s">
        <v>72</v>
      </c>
      <c r="Q395" s="651"/>
      <c r="R395" s="651"/>
      <c r="S395" s="651"/>
      <c r="T395" s="651"/>
      <c r="U395" s="651"/>
      <c r="V395" s="652"/>
      <c r="W395" s="37" t="s">
        <v>67</v>
      </c>
      <c r="X395" s="645">
        <f>IFERROR(SUM(X391:X393),"0")</f>
        <v>250</v>
      </c>
      <c r="Y395" s="645">
        <f>IFERROR(SUM(Y391:Y393),"0")</f>
        <v>256.8</v>
      </c>
      <c r="Z395" s="37"/>
      <c r="AA395" s="646"/>
      <c r="AB395" s="646"/>
      <c r="AC395" s="646"/>
    </row>
    <row r="396" spans="1:68" ht="14.25" customHeight="1" x14ac:dyDescent="0.25">
      <c r="A396" s="663" t="s">
        <v>278</v>
      </c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6"/>
      <c r="P396" s="656"/>
      <c r="Q396" s="656"/>
      <c r="R396" s="656"/>
      <c r="S396" s="656"/>
      <c r="T396" s="656"/>
      <c r="U396" s="656"/>
      <c r="V396" s="656"/>
      <c r="W396" s="656"/>
      <c r="X396" s="656"/>
      <c r="Y396" s="656"/>
      <c r="Z396" s="656"/>
      <c r="AA396" s="639"/>
      <c r="AB396" s="639"/>
      <c r="AC396" s="639"/>
    </row>
    <row r="397" spans="1:68" ht="27" customHeight="1" x14ac:dyDescent="0.25">
      <c r="A397" s="54" t="s">
        <v>648</v>
      </c>
      <c r="B397" s="54" t="s">
        <v>649</v>
      </c>
      <c r="C397" s="31">
        <v>4301030235</v>
      </c>
      <c r="D397" s="653">
        <v>4607091388381</v>
      </c>
      <c r="E397" s="654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1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88</v>
      </c>
      <c r="Y397" s="644">
        <f>IFERROR(IF(X397="",0,CEILING((X397/$H397),1)*$H397),"")</f>
        <v>88.16</v>
      </c>
      <c r="Z397" s="36">
        <f>IFERROR(IF(Y397=0,"",ROUNDUP(Y397/H397,0)*0.00902),"")</f>
        <v>0.26158000000000003</v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95.81578947368422</v>
      </c>
      <c r="BN397" s="64">
        <f>IFERROR(Y397*I397/H397,"0")</f>
        <v>95.99</v>
      </c>
      <c r="BO397" s="64">
        <f>IFERROR(1/J397*(X397/H397),"0")</f>
        <v>0.21929824561403508</v>
      </c>
      <c r="BP397" s="64">
        <f>IFERROR(1/J397*(Y397/H397),"0")</f>
        <v>0.2196969696969697</v>
      </c>
    </row>
    <row r="398" spans="1:68" ht="27" customHeight="1" x14ac:dyDescent="0.25">
      <c r="A398" s="54" t="s">
        <v>651</v>
      </c>
      <c r="B398" s="54" t="s">
        <v>652</v>
      </c>
      <c r="C398" s="31">
        <v>4301030232</v>
      </c>
      <c r="D398" s="653">
        <v>4607091388374</v>
      </c>
      <c r="E398" s="654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40</v>
      </c>
      <c r="Y398" s="644">
        <f>IFERROR(IF(X398="",0,CEILING((X398/$H398),1)*$H398),"")</f>
        <v>42.56</v>
      </c>
      <c r="Z398" s="36">
        <f>IFERROR(IF(Y398=0,"",ROUNDUP(Y398/H398,0)*0.00902),"")</f>
        <v>0.12628</v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43.026315789473685</v>
      </c>
      <c r="BN398" s="64">
        <f>IFERROR(Y398*I398/H398,"0")</f>
        <v>45.78</v>
      </c>
      <c r="BO398" s="64">
        <f>IFERROR(1/J398*(X398/H398),"0")</f>
        <v>9.9681020733652315E-2</v>
      </c>
      <c r="BP398" s="64">
        <f>IFERROR(1/J398*(Y398/H398),"0")</f>
        <v>0.10606060606060606</v>
      </c>
    </row>
    <row r="399" spans="1:68" ht="27" customHeight="1" x14ac:dyDescent="0.25">
      <c r="A399" s="54" t="s">
        <v>653</v>
      </c>
      <c r="B399" s="54" t="s">
        <v>654</v>
      </c>
      <c r="C399" s="31">
        <v>4301032015</v>
      </c>
      <c r="D399" s="653">
        <v>4607091383102</v>
      </c>
      <c r="E399" s="654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4301030233</v>
      </c>
      <c r="D400" s="653">
        <v>4607091388404</v>
      </c>
      <c r="E400" s="654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12</v>
      </c>
      <c r="Y400" s="644">
        <f>IFERROR(IF(X400="",0,CEILING((X400/$H400),1)*$H400),"")</f>
        <v>12.75</v>
      </c>
      <c r="Z400" s="36">
        <f>IFERROR(IF(Y400=0,"",ROUNDUP(Y400/H400,0)*0.00651),"")</f>
        <v>3.2550000000000003E-2</v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13.55294117647059</v>
      </c>
      <c r="BN400" s="64">
        <f>IFERROR(Y400*I400/H400,"0")</f>
        <v>14.4</v>
      </c>
      <c r="BO400" s="64">
        <f>IFERROR(1/J400*(X400/H400),"0")</f>
        <v>2.5856496444731741E-2</v>
      </c>
      <c r="BP400" s="64">
        <f>IFERROR(1/J400*(Y400/H400),"0")</f>
        <v>2.7472527472527476E-2</v>
      </c>
    </row>
    <row r="401" spans="1:68" x14ac:dyDescent="0.2">
      <c r="A401" s="655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0" t="s">
        <v>72</v>
      </c>
      <c r="Q401" s="651"/>
      <c r="R401" s="651"/>
      <c r="S401" s="651"/>
      <c r="T401" s="651"/>
      <c r="U401" s="651"/>
      <c r="V401" s="652"/>
      <c r="W401" s="37" t="s">
        <v>73</v>
      </c>
      <c r="X401" s="645">
        <f>IFERROR(X397/H397,"0")+IFERROR(X398/H398,"0")+IFERROR(X399/H399,"0")+IFERROR(X400/H400,"0")</f>
        <v>46.811145510835907</v>
      </c>
      <c r="Y401" s="645">
        <f>IFERROR(Y397/H397,"0")+IFERROR(Y398/H398,"0")+IFERROR(Y399/H399,"0")+IFERROR(Y400/H400,"0")</f>
        <v>48</v>
      </c>
      <c r="Z401" s="645">
        <f>IFERROR(IF(Z397="",0,Z397),"0")+IFERROR(IF(Z398="",0,Z398),"0")+IFERROR(IF(Z399="",0,Z399),"0")+IFERROR(IF(Z400="",0,Z400),"0")</f>
        <v>0.42041000000000006</v>
      </c>
      <c r="AA401" s="646"/>
      <c r="AB401" s="646"/>
      <c r="AC401" s="646"/>
    </row>
    <row r="402" spans="1:68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0" t="s">
        <v>72</v>
      </c>
      <c r="Q402" s="651"/>
      <c r="R402" s="651"/>
      <c r="S402" s="651"/>
      <c r="T402" s="651"/>
      <c r="U402" s="651"/>
      <c r="V402" s="652"/>
      <c r="W402" s="37" t="s">
        <v>67</v>
      </c>
      <c r="X402" s="645">
        <f>IFERROR(SUM(X397:X400),"0")</f>
        <v>140</v>
      </c>
      <c r="Y402" s="645">
        <f>IFERROR(SUM(Y397:Y400),"0")</f>
        <v>143.47</v>
      </c>
      <c r="Z402" s="37"/>
      <c r="AA402" s="646"/>
      <c r="AB402" s="646"/>
      <c r="AC402" s="646"/>
    </row>
    <row r="403" spans="1:68" ht="14.25" customHeight="1" x14ac:dyDescent="0.25">
      <c r="A403" s="663" t="s">
        <v>657</v>
      </c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6"/>
      <c r="P403" s="656"/>
      <c r="Q403" s="656"/>
      <c r="R403" s="656"/>
      <c r="S403" s="656"/>
      <c r="T403" s="656"/>
      <c r="U403" s="656"/>
      <c r="V403" s="656"/>
      <c r="W403" s="656"/>
      <c r="X403" s="656"/>
      <c r="Y403" s="656"/>
      <c r="Z403" s="656"/>
      <c r="AA403" s="639"/>
      <c r="AB403" s="639"/>
      <c r="AC403" s="639"/>
    </row>
    <row r="404" spans="1:68" ht="16.5" customHeight="1" x14ac:dyDescent="0.25">
      <c r="A404" s="54" t="s">
        <v>658</v>
      </c>
      <c r="B404" s="54" t="s">
        <v>659</v>
      </c>
      <c r="C404" s="31">
        <v>4301180007</v>
      </c>
      <c r="D404" s="653">
        <v>4680115881808</v>
      </c>
      <c r="E404" s="654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38</v>
      </c>
      <c r="Y404" s="644">
        <f>IFERROR(IF(X404="",0,CEILING((X404/$H404),1)*$H404),"")</f>
        <v>38</v>
      </c>
      <c r="Z404" s="36">
        <f>IFERROR(IF(Y404=0,"",ROUNDUP(Y404/H404,0)*0.00474),"")</f>
        <v>9.0060000000000001E-2</v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42.56</v>
      </c>
      <c r="BN404" s="64">
        <f>IFERROR(Y404*I404/H404,"0")</f>
        <v>42.56</v>
      </c>
      <c r="BO404" s="64">
        <f>IFERROR(1/J404*(X404/H404),"0")</f>
        <v>7.9831932773109238E-2</v>
      </c>
      <c r="BP404" s="64">
        <f>IFERROR(1/J404*(Y404/H404),"0")</f>
        <v>7.9831932773109238E-2</v>
      </c>
    </row>
    <row r="405" spans="1:68" ht="27" customHeight="1" x14ac:dyDescent="0.25">
      <c r="A405" s="54" t="s">
        <v>662</v>
      </c>
      <c r="B405" s="54" t="s">
        <v>663</v>
      </c>
      <c r="C405" s="31">
        <v>4301180006</v>
      </c>
      <c r="D405" s="653">
        <v>4680115881822</v>
      </c>
      <c r="E405" s="654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24</v>
      </c>
      <c r="Y405" s="644">
        <f>IFERROR(IF(X405="",0,CEILING((X405/$H405),1)*$H405),"")</f>
        <v>24</v>
      </c>
      <c r="Z405" s="36">
        <f>IFERROR(IF(Y405=0,"",ROUNDUP(Y405/H405,0)*0.00474),"")</f>
        <v>5.688E-2</v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26.880000000000003</v>
      </c>
      <c r="BN405" s="64">
        <f>IFERROR(Y405*I405/H405,"0")</f>
        <v>26.880000000000003</v>
      </c>
      <c r="BO405" s="64">
        <f>IFERROR(1/J405*(X405/H405),"0")</f>
        <v>5.0420168067226892E-2</v>
      </c>
      <c r="BP405" s="64">
        <f>IFERROR(1/J405*(Y405/H405),"0")</f>
        <v>5.0420168067226892E-2</v>
      </c>
    </row>
    <row r="406" spans="1:68" ht="27" customHeight="1" x14ac:dyDescent="0.25">
      <c r="A406" s="54" t="s">
        <v>664</v>
      </c>
      <c r="B406" s="54" t="s">
        <v>665</v>
      </c>
      <c r="C406" s="31">
        <v>4301180001</v>
      </c>
      <c r="D406" s="653">
        <v>4680115880016</v>
      </c>
      <c r="E406" s="654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24</v>
      </c>
      <c r="Y406" s="644">
        <f>IFERROR(IF(X406="",0,CEILING((X406/$H406),1)*$H406),"")</f>
        <v>24</v>
      </c>
      <c r="Z406" s="36">
        <f>IFERROR(IF(Y406=0,"",ROUNDUP(Y406/H406,0)*0.00474),"")</f>
        <v>5.688E-2</v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26.880000000000003</v>
      </c>
      <c r="BN406" s="64">
        <f>IFERROR(Y406*I406/H406,"0")</f>
        <v>26.880000000000003</v>
      </c>
      <c r="BO406" s="64">
        <f>IFERROR(1/J406*(X406/H406),"0")</f>
        <v>5.0420168067226892E-2</v>
      </c>
      <c r="BP406" s="64">
        <f>IFERROR(1/J406*(Y406/H406),"0")</f>
        <v>5.0420168067226892E-2</v>
      </c>
    </row>
    <row r="407" spans="1:68" x14ac:dyDescent="0.2">
      <c r="A407" s="655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0" t="s">
        <v>72</v>
      </c>
      <c r="Q407" s="651"/>
      <c r="R407" s="651"/>
      <c r="S407" s="651"/>
      <c r="T407" s="651"/>
      <c r="U407" s="651"/>
      <c r="V407" s="652"/>
      <c r="W407" s="37" t="s">
        <v>73</v>
      </c>
      <c r="X407" s="645">
        <f>IFERROR(X404/H404,"0")+IFERROR(X405/H405,"0")+IFERROR(X406/H406,"0")</f>
        <v>43</v>
      </c>
      <c r="Y407" s="645">
        <f>IFERROR(Y404/H404,"0")+IFERROR(Y405/H405,"0")+IFERROR(Y406/H406,"0")</f>
        <v>43</v>
      </c>
      <c r="Z407" s="645">
        <f>IFERROR(IF(Z404="",0,Z404),"0")+IFERROR(IF(Z405="",0,Z405),"0")+IFERROR(IF(Z406="",0,Z406),"0")</f>
        <v>0.20382</v>
      </c>
      <c r="AA407" s="646"/>
      <c r="AB407" s="646"/>
      <c r="AC407" s="646"/>
    </row>
    <row r="408" spans="1:68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0" t="s">
        <v>72</v>
      </c>
      <c r="Q408" s="651"/>
      <c r="R408" s="651"/>
      <c r="S408" s="651"/>
      <c r="T408" s="651"/>
      <c r="U408" s="651"/>
      <c r="V408" s="652"/>
      <c r="W408" s="37" t="s">
        <v>67</v>
      </c>
      <c r="X408" s="645">
        <f>IFERROR(SUM(X404:X406),"0")</f>
        <v>86</v>
      </c>
      <c r="Y408" s="645">
        <f>IFERROR(SUM(Y404:Y406),"0")</f>
        <v>86</v>
      </c>
      <c r="Z408" s="37"/>
      <c r="AA408" s="646"/>
      <c r="AB408" s="646"/>
      <c r="AC408" s="646"/>
    </row>
    <row r="409" spans="1:68" ht="14.25" customHeight="1" x14ac:dyDescent="0.25">
      <c r="A409" s="663" t="s">
        <v>666</v>
      </c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6"/>
      <c r="P409" s="656"/>
      <c r="Q409" s="656"/>
      <c r="R409" s="656"/>
      <c r="S409" s="656"/>
      <c r="T409" s="656"/>
      <c r="U409" s="656"/>
      <c r="V409" s="656"/>
      <c r="W409" s="656"/>
      <c r="X409" s="656"/>
      <c r="Y409" s="656"/>
      <c r="Z409" s="656"/>
      <c r="AA409" s="639"/>
      <c r="AB409" s="639"/>
      <c r="AC409" s="639"/>
    </row>
    <row r="410" spans="1:68" ht="27" customHeight="1" x14ac:dyDescent="0.25">
      <c r="A410" s="54" t="s">
        <v>667</v>
      </c>
      <c r="B410" s="54" t="s">
        <v>668</v>
      </c>
      <c r="C410" s="31">
        <v>4301220003</v>
      </c>
      <c r="D410" s="653">
        <v>4680115888678</v>
      </c>
      <c r="E410" s="654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10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50</v>
      </c>
      <c r="Y410" s="644">
        <f>IFERROR(IF(X410="",0,CEILING((X410/$H410),1)*$H410),"")</f>
        <v>51</v>
      </c>
      <c r="Z410" s="36">
        <f>IFERROR(IF(Y410=0,"",ROUNDUP(Y410/H410,0)*0.0045),"")</f>
        <v>7.6499999999999999E-2</v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53.666666666666664</v>
      </c>
      <c r="BN410" s="64">
        <f>IFERROR(Y410*I410/H410,"0")</f>
        <v>54.74</v>
      </c>
      <c r="BO410" s="64">
        <f>IFERROR(1/J410*(X410/H410),"0")</f>
        <v>7.4404761904761904E-2</v>
      </c>
      <c r="BP410" s="64">
        <f>IFERROR(1/J410*(Y410/H410),"0")</f>
        <v>7.5892857142857137E-2</v>
      </c>
    </row>
    <row r="411" spans="1:68" ht="27" customHeight="1" x14ac:dyDescent="0.25">
      <c r="A411" s="54" t="s">
        <v>670</v>
      </c>
      <c r="B411" s="54" t="s">
        <v>671</v>
      </c>
      <c r="C411" s="31">
        <v>4301220001</v>
      </c>
      <c r="D411" s="653">
        <v>4680115888654</v>
      </c>
      <c r="E411" s="654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8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130</v>
      </c>
      <c r="Y411" s="644">
        <f>IFERROR(IF(X411="",0,CEILING((X411/$H411),1)*$H411),"")</f>
        <v>132.6</v>
      </c>
      <c r="Z411" s="36">
        <f>IFERROR(IF(Y411=0,"",ROUNDUP(Y411/H411,0)*0.006),"")</f>
        <v>0.20400000000000001</v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139</v>
      </c>
      <c r="BN411" s="64">
        <f>IFERROR(Y411*I411/H411,"0")</f>
        <v>141.78</v>
      </c>
      <c r="BO411" s="64">
        <f>IFERROR(1/J411*(X411/H411),"0")</f>
        <v>0.23148148148148148</v>
      </c>
      <c r="BP411" s="64">
        <f>IFERROR(1/J411*(Y411/H411),"0")</f>
        <v>0.2361111111111111</v>
      </c>
    </row>
    <row r="412" spans="1:68" ht="27" customHeight="1" x14ac:dyDescent="0.25">
      <c r="A412" s="54" t="s">
        <v>673</v>
      </c>
      <c r="B412" s="54" t="s">
        <v>674</v>
      </c>
      <c r="C412" s="31">
        <v>4301220002</v>
      </c>
      <c r="D412" s="653">
        <v>4680115888753</v>
      </c>
      <c r="E412" s="654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4</v>
      </c>
      <c r="Y412" s="644">
        <f>IFERROR(IF(X412="",0,CEILING((X412/$H412),1)*$H412),"")</f>
        <v>6</v>
      </c>
      <c r="Z412" s="36">
        <f>IFERROR(IF(Y412=0,"",ROUNDUP(Y412/H412,0)*0.0045),"")</f>
        <v>8.9999999999999993E-3</v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4.2933333333333339</v>
      </c>
      <c r="BN412" s="64">
        <f>IFERROR(Y412*I412/H412,"0")</f>
        <v>6.44</v>
      </c>
      <c r="BO412" s="64">
        <f>IFERROR(1/J412*(X412/H412),"0")</f>
        <v>5.9523809523809521E-3</v>
      </c>
      <c r="BP412" s="64">
        <f>IFERROR(1/J412*(Y412/H412),"0")</f>
        <v>8.9285714285714281E-3</v>
      </c>
    </row>
    <row r="413" spans="1:68" x14ac:dyDescent="0.2">
      <c r="A413" s="655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0" t="s">
        <v>72</v>
      </c>
      <c r="Q413" s="651"/>
      <c r="R413" s="651"/>
      <c r="S413" s="651"/>
      <c r="T413" s="651"/>
      <c r="U413" s="651"/>
      <c r="V413" s="652"/>
      <c r="W413" s="37" t="s">
        <v>73</v>
      </c>
      <c r="X413" s="645">
        <f>IFERROR(X410/H410,"0")+IFERROR(X411/H411,"0")+IFERROR(X412/H412,"0")</f>
        <v>51.333333333333336</v>
      </c>
      <c r="Y413" s="645">
        <f>IFERROR(Y410/H410,"0")+IFERROR(Y411/H411,"0")+IFERROR(Y412/H412,"0")</f>
        <v>53</v>
      </c>
      <c r="Z413" s="645">
        <f>IFERROR(IF(Z410="",0,Z410),"0")+IFERROR(IF(Z411="",0,Z411),"0")+IFERROR(IF(Z412="",0,Z412),"0")</f>
        <v>0.28950000000000004</v>
      </c>
      <c r="AA413" s="646"/>
      <c r="AB413" s="646"/>
      <c r="AC413" s="646"/>
    </row>
    <row r="414" spans="1:68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0" t="s">
        <v>72</v>
      </c>
      <c r="Q414" s="651"/>
      <c r="R414" s="651"/>
      <c r="S414" s="651"/>
      <c r="T414" s="651"/>
      <c r="U414" s="651"/>
      <c r="V414" s="652"/>
      <c r="W414" s="37" t="s">
        <v>67</v>
      </c>
      <c r="X414" s="645">
        <f>IFERROR(SUM(X410:X412),"0")</f>
        <v>184</v>
      </c>
      <c r="Y414" s="645">
        <f>IFERROR(SUM(Y410:Y412),"0")</f>
        <v>189.6</v>
      </c>
      <c r="Z414" s="37"/>
      <c r="AA414" s="646"/>
      <c r="AB414" s="646"/>
      <c r="AC414" s="646"/>
    </row>
    <row r="415" spans="1:68" ht="16.5" customHeight="1" x14ac:dyDescent="0.25">
      <c r="A415" s="664" t="s">
        <v>675</v>
      </c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6"/>
      <c r="P415" s="656"/>
      <c r="Q415" s="656"/>
      <c r="R415" s="656"/>
      <c r="S415" s="656"/>
      <c r="T415" s="656"/>
      <c r="U415" s="656"/>
      <c r="V415" s="656"/>
      <c r="W415" s="656"/>
      <c r="X415" s="656"/>
      <c r="Y415" s="656"/>
      <c r="Z415" s="656"/>
      <c r="AA415" s="638"/>
      <c r="AB415" s="638"/>
      <c r="AC415" s="638"/>
    </row>
    <row r="416" spans="1:68" ht="14.25" customHeight="1" x14ac:dyDescent="0.25">
      <c r="A416" s="663" t="s">
        <v>74</v>
      </c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6"/>
      <c r="P416" s="656"/>
      <c r="Q416" s="656"/>
      <c r="R416" s="656"/>
      <c r="S416" s="656"/>
      <c r="T416" s="656"/>
      <c r="U416" s="656"/>
      <c r="V416" s="656"/>
      <c r="W416" s="656"/>
      <c r="X416" s="656"/>
      <c r="Y416" s="656"/>
      <c r="Z416" s="656"/>
      <c r="AA416" s="639"/>
      <c r="AB416" s="639"/>
      <c r="AC416" s="639"/>
    </row>
    <row r="417" spans="1:68" ht="16.5" customHeight="1" x14ac:dyDescent="0.25">
      <c r="A417" s="54" t="s">
        <v>676</v>
      </c>
      <c r="B417" s="54" t="s">
        <v>677</v>
      </c>
      <c r="C417" s="31">
        <v>4301052235</v>
      </c>
      <c r="D417" s="653">
        <v>4680115889415</v>
      </c>
      <c r="E417" s="654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customHeight="1" x14ac:dyDescent="0.25">
      <c r="A418" s="54" t="s">
        <v>679</v>
      </c>
      <c r="B418" s="54" t="s">
        <v>680</v>
      </c>
      <c r="C418" s="31">
        <v>4301052236</v>
      </c>
      <c r="D418" s="653">
        <v>4680115889422</v>
      </c>
      <c r="E418" s="654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655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0" t="s">
        <v>72</v>
      </c>
      <c r="Q419" s="651"/>
      <c r="R419" s="651"/>
      <c r="S419" s="651"/>
      <c r="T419" s="651"/>
      <c r="U419" s="651"/>
      <c r="V419" s="652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0" t="s">
        <v>72</v>
      </c>
      <c r="Q420" s="651"/>
      <c r="R420" s="651"/>
      <c r="S420" s="651"/>
      <c r="T420" s="651"/>
      <c r="U420" s="651"/>
      <c r="V420" s="652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customHeight="1" x14ac:dyDescent="0.25">
      <c r="A421" s="664" t="s">
        <v>682</v>
      </c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6"/>
      <c r="P421" s="656"/>
      <c r="Q421" s="656"/>
      <c r="R421" s="656"/>
      <c r="S421" s="656"/>
      <c r="T421" s="656"/>
      <c r="U421" s="656"/>
      <c r="V421" s="656"/>
      <c r="W421" s="656"/>
      <c r="X421" s="656"/>
      <c r="Y421" s="656"/>
      <c r="Z421" s="656"/>
      <c r="AA421" s="638"/>
      <c r="AB421" s="638"/>
      <c r="AC421" s="638"/>
    </row>
    <row r="422" spans="1:68" ht="14.25" customHeight="1" x14ac:dyDescent="0.25">
      <c r="A422" s="663" t="s">
        <v>74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39"/>
      <c r="AB422" s="639"/>
      <c r="AC422" s="639"/>
    </row>
    <row r="423" spans="1:68" ht="27" customHeight="1" x14ac:dyDescent="0.25">
      <c r="A423" s="54" t="s">
        <v>683</v>
      </c>
      <c r="B423" s="54" t="s">
        <v>684</v>
      </c>
      <c r="C423" s="31">
        <v>4301051489</v>
      </c>
      <c r="D423" s="653">
        <v>4607091387919</v>
      </c>
      <c r="E423" s="654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75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686</v>
      </c>
      <c r="B424" s="54" t="s">
        <v>687</v>
      </c>
      <c r="C424" s="31">
        <v>4301051461</v>
      </c>
      <c r="D424" s="653">
        <v>4680115883604</v>
      </c>
      <c r="E424" s="654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11</v>
      </c>
      <c r="Y424" s="644">
        <f>IFERROR(IF(X424="",0,CEILING((X424/$H424),1)*$H424),"")</f>
        <v>12.600000000000001</v>
      </c>
      <c r="Z424" s="36">
        <f>IFERROR(IF(Y424=0,"",ROUNDUP(Y424/H424,0)*0.00651),"")</f>
        <v>3.9059999999999997E-2</v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12.32</v>
      </c>
      <c r="BN424" s="64">
        <f>IFERROR(Y424*I424/H424,"0")</f>
        <v>14.112</v>
      </c>
      <c r="BO424" s="64">
        <f>IFERROR(1/J424*(X424/H424),"0")</f>
        <v>2.8780743066457355E-2</v>
      </c>
      <c r="BP424" s="64">
        <f>IFERROR(1/J424*(Y424/H424),"0")</f>
        <v>3.2967032967032968E-2</v>
      </c>
    </row>
    <row r="425" spans="1:68" ht="27" customHeight="1" x14ac:dyDescent="0.25">
      <c r="A425" s="54" t="s">
        <v>689</v>
      </c>
      <c r="B425" s="54" t="s">
        <v>690</v>
      </c>
      <c r="C425" s="31">
        <v>4301051864</v>
      </c>
      <c r="D425" s="653">
        <v>4680115883567</v>
      </c>
      <c r="E425" s="654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7</v>
      </c>
      <c r="Y425" s="644">
        <f>IFERROR(IF(X425="",0,CEILING((X425/$H425),1)*$H425),"")</f>
        <v>8.4</v>
      </c>
      <c r="Z425" s="36">
        <f>IFERROR(IF(Y425=0,"",ROUNDUP(Y425/H425,0)*0.00651),"")</f>
        <v>2.6040000000000001E-2</v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7.7999999999999989</v>
      </c>
      <c r="BN425" s="64">
        <f>IFERROR(Y425*I425/H425,"0")</f>
        <v>9.36</v>
      </c>
      <c r="BO425" s="64">
        <f>IFERROR(1/J425*(X425/H425),"0")</f>
        <v>1.8315018315018316E-2</v>
      </c>
      <c r="BP425" s="64">
        <f>IFERROR(1/J425*(Y425/H425),"0")</f>
        <v>2.197802197802198E-2</v>
      </c>
    </row>
    <row r="426" spans="1:68" x14ac:dyDescent="0.2">
      <c r="A426" s="655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0" t="s">
        <v>72</v>
      </c>
      <c r="Q426" s="651"/>
      <c r="R426" s="651"/>
      <c r="S426" s="651"/>
      <c r="T426" s="651"/>
      <c r="U426" s="651"/>
      <c r="V426" s="652"/>
      <c r="W426" s="37" t="s">
        <v>73</v>
      </c>
      <c r="X426" s="645">
        <f>IFERROR(X423/H423,"0")+IFERROR(X424/H424,"0")+IFERROR(X425/H425,"0")</f>
        <v>8.5714285714285712</v>
      </c>
      <c r="Y426" s="645">
        <f>IFERROR(Y423/H423,"0")+IFERROR(Y424/H424,"0")+IFERROR(Y425/H425,"0")</f>
        <v>10</v>
      </c>
      <c r="Z426" s="645">
        <f>IFERROR(IF(Z423="",0,Z423),"0")+IFERROR(IF(Z424="",0,Z424),"0")+IFERROR(IF(Z425="",0,Z425),"0")</f>
        <v>6.5099999999999991E-2</v>
      </c>
      <c r="AA426" s="646"/>
      <c r="AB426" s="646"/>
      <c r="AC426" s="646"/>
    </row>
    <row r="427" spans="1:68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0" t="s">
        <v>72</v>
      </c>
      <c r="Q427" s="651"/>
      <c r="R427" s="651"/>
      <c r="S427" s="651"/>
      <c r="T427" s="651"/>
      <c r="U427" s="651"/>
      <c r="V427" s="652"/>
      <c r="W427" s="37" t="s">
        <v>67</v>
      </c>
      <c r="X427" s="645">
        <f>IFERROR(SUM(X423:X425),"0")</f>
        <v>18</v>
      </c>
      <c r="Y427" s="645">
        <f>IFERROR(SUM(Y423:Y425),"0")</f>
        <v>21</v>
      </c>
      <c r="Z427" s="37"/>
      <c r="AA427" s="646"/>
      <c r="AB427" s="646"/>
      <c r="AC427" s="646"/>
    </row>
    <row r="428" spans="1:68" ht="27.75" customHeight="1" x14ac:dyDescent="0.2">
      <c r="A428" s="665" t="s">
        <v>692</v>
      </c>
      <c r="B428" s="666"/>
      <c r="C428" s="666"/>
      <c r="D428" s="666"/>
      <c r="E428" s="666"/>
      <c r="F428" s="666"/>
      <c r="G428" s="666"/>
      <c r="H428" s="666"/>
      <c r="I428" s="666"/>
      <c r="J428" s="666"/>
      <c r="K428" s="666"/>
      <c r="L428" s="666"/>
      <c r="M428" s="666"/>
      <c r="N428" s="666"/>
      <c r="O428" s="666"/>
      <c r="P428" s="666"/>
      <c r="Q428" s="666"/>
      <c r="R428" s="666"/>
      <c r="S428" s="666"/>
      <c r="T428" s="666"/>
      <c r="U428" s="666"/>
      <c r="V428" s="666"/>
      <c r="W428" s="666"/>
      <c r="X428" s="666"/>
      <c r="Y428" s="666"/>
      <c r="Z428" s="666"/>
      <c r="AA428" s="48"/>
      <c r="AB428" s="48"/>
      <c r="AC428" s="48"/>
    </row>
    <row r="429" spans="1:68" ht="16.5" customHeight="1" x14ac:dyDescent="0.25">
      <c r="A429" s="664" t="s">
        <v>693</v>
      </c>
      <c r="B429" s="656"/>
      <c r="C429" s="656"/>
      <c r="D429" s="656"/>
      <c r="E429" s="656"/>
      <c r="F429" s="656"/>
      <c r="G429" s="656"/>
      <c r="H429" s="656"/>
      <c r="I429" s="656"/>
      <c r="J429" s="656"/>
      <c r="K429" s="656"/>
      <c r="L429" s="656"/>
      <c r="M429" s="656"/>
      <c r="N429" s="656"/>
      <c r="O429" s="656"/>
      <c r="P429" s="656"/>
      <c r="Q429" s="656"/>
      <c r="R429" s="656"/>
      <c r="S429" s="656"/>
      <c r="T429" s="656"/>
      <c r="U429" s="656"/>
      <c r="V429" s="656"/>
      <c r="W429" s="656"/>
      <c r="X429" s="656"/>
      <c r="Y429" s="656"/>
      <c r="Z429" s="656"/>
      <c r="AA429" s="638"/>
      <c r="AB429" s="638"/>
      <c r="AC429" s="638"/>
    </row>
    <row r="430" spans="1:68" ht="14.25" customHeight="1" x14ac:dyDescent="0.25">
      <c r="A430" s="663" t="s">
        <v>111</v>
      </c>
      <c r="B430" s="656"/>
      <c r="C430" s="656"/>
      <c r="D430" s="656"/>
      <c r="E430" s="656"/>
      <c r="F430" s="656"/>
      <c r="G430" s="656"/>
      <c r="H430" s="656"/>
      <c r="I430" s="656"/>
      <c r="J430" s="656"/>
      <c r="K430" s="656"/>
      <c r="L430" s="656"/>
      <c r="M430" s="656"/>
      <c r="N430" s="656"/>
      <c r="O430" s="656"/>
      <c r="P430" s="656"/>
      <c r="Q430" s="656"/>
      <c r="R430" s="656"/>
      <c r="S430" s="656"/>
      <c r="T430" s="656"/>
      <c r="U430" s="656"/>
      <c r="V430" s="656"/>
      <c r="W430" s="656"/>
      <c r="X430" s="656"/>
      <c r="Y430" s="656"/>
      <c r="Z430" s="656"/>
      <c r="AA430" s="639"/>
      <c r="AB430" s="639"/>
      <c r="AC430" s="639"/>
    </row>
    <row r="431" spans="1:68" ht="27" customHeight="1" x14ac:dyDescent="0.25">
      <c r="A431" s="54" t="s">
        <v>694</v>
      </c>
      <c r="B431" s="54" t="s">
        <v>695</v>
      </c>
      <c r="C431" s="31">
        <v>4301012332</v>
      </c>
      <c r="D431" s="653">
        <v>4680115888401</v>
      </c>
      <c r="E431" s="654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9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customHeight="1" x14ac:dyDescent="0.25">
      <c r="A432" s="54" t="s">
        <v>697</v>
      </c>
      <c r="B432" s="54" t="s">
        <v>698</v>
      </c>
      <c r="C432" s="31">
        <v>4301011869</v>
      </c>
      <c r="D432" s="653">
        <v>4680115884847</v>
      </c>
      <c r="E432" s="654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860</v>
      </c>
      <c r="Y432" s="644">
        <f t="shared" si="63"/>
        <v>870</v>
      </c>
      <c r="Z432" s="36">
        <f>IFERROR(IF(Y432=0,"",ROUNDUP(Y432/H432,0)*0.02175),"")</f>
        <v>1.2614999999999998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886.94666666666672</v>
      </c>
      <c r="BN432" s="64">
        <f t="shared" si="65"/>
        <v>897.2600000000001</v>
      </c>
      <c r="BO432" s="64">
        <f t="shared" si="66"/>
        <v>1.1944444444444444</v>
      </c>
      <c r="BP432" s="64">
        <f t="shared" si="67"/>
        <v>1.2083333333333333</v>
      </c>
    </row>
    <row r="433" spans="1:68" ht="27" customHeight="1" x14ac:dyDescent="0.25">
      <c r="A433" s="54" t="s">
        <v>700</v>
      </c>
      <c r="B433" s="54" t="s">
        <v>701</v>
      </c>
      <c r="C433" s="31">
        <v>4301012083</v>
      </c>
      <c r="D433" s="653">
        <v>4680115884854</v>
      </c>
      <c r="E433" s="654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660</v>
      </c>
      <c r="Y433" s="644">
        <f t="shared" si="63"/>
        <v>660</v>
      </c>
      <c r="Z433" s="36">
        <f>IFERROR(IF(Y433=0,"",ROUNDUP(Y433/H433,0)*0.02175),"")</f>
        <v>0.95699999999999996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680.68000000000006</v>
      </c>
      <c r="BN433" s="64">
        <f t="shared" si="65"/>
        <v>680.68000000000006</v>
      </c>
      <c r="BO433" s="64">
        <f t="shared" si="66"/>
        <v>0.91666666666666663</v>
      </c>
      <c r="BP433" s="64">
        <f t="shared" si="67"/>
        <v>0.91666666666666663</v>
      </c>
    </row>
    <row r="434" spans="1:68" ht="27" customHeight="1" x14ac:dyDescent="0.25">
      <c r="A434" s="54" t="s">
        <v>703</v>
      </c>
      <c r="B434" s="54" t="s">
        <v>704</v>
      </c>
      <c r="C434" s="31">
        <v>4301011867</v>
      </c>
      <c r="D434" s="653">
        <v>4680115884830</v>
      </c>
      <c r="E434" s="654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611</v>
      </c>
      <c r="Y434" s="644">
        <f t="shared" si="63"/>
        <v>615</v>
      </c>
      <c r="Z434" s="36">
        <f>IFERROR(IF(Y434=0,"",ROUNDUP(Y434/H434,0)*0.02175),"")</f>
        <v>0.89174999999999993</v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630.14466666666669</v>
      </c>
      <c r="BN434" s="64">
        <f t="shared" si="65"/>
        <v>634.2700000000001</v>
      </c>
      <c r="BO434" s="64">
        <f t="shared" si="66"/>
        <v>0.84861111111111109</v>
      </c>
      <c r="BP434" s="64">
        <f t="shared" si="67"/>
        <v>0.85416666666666663</v>
      </c>
    </row>
    <row r="435" spans="1:68" ht="27" customHeight="1" x14ac:dyDescent="0.25">
      <c r="A435" s="54" t="s">
        <v>706</v>
      </c>
      <c r="B435" s="54" t="s">
        <v>707</v>
      </c>
      <c r="C435" s="31">
        <v>4301012356</v>
      </c>
      <c r="D435" s="653">
        <v>4680115889231</v>
      </c>
      <c r="E435" s="654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404</v>
      </c>
      <c r="Y435" s="644">
        <f t="shared" si="63"/>
        <v>405</v>
      </c>
      <c r="Z435" s="36">
        <f>IFERROR(IF(Y435=0,"",ROUNDUP(Y435/H435,0)*0.02175),"")</f>
        <v>0.58724999999999994</v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416.65866666666665</v>
      </c>
      <c r="BN435" s="64">
        <f t="shared" si="65"/>
        <v>417.69</v>
      </c>
      <c r="BO435" s="64">
        <f t="shared" si="66"/>
        <v>0.56111111111111112</v>
      </c>
      <c r="BP435" s="64">
        <f t="shared" si="67"/>
        <v>0.5625</v>
      </c>
    </row>
    <row r="436" spans="1:68" ht="27" customHeight="1" x14ac:dyDescent="0.25">
      <c r="A436" s="54" t="s">
        <v>709</v>
      </c>
      <c r="B436" s="54" t="s">
        <v>710</v>
      </c>
      <c r="C436" s="31">
        <v>4301011433</v>
      </c>
      <c r="D436" s="653">
        <v>4680115882638</v>
      </c>
      <c r="E436" s="654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customHeight="1" x14ac:dyDescent="0.25">
      <c r="A437" s="54" t="s">
        <v>712</v>
      </c>
      <c r="B437" s="54" t="s">
        <v>713</v>
      </c>
      <c r="C437" s="31">
        <v>4301011952</v>
      </c>
      <c r="D437" s="653">
        <v>4680115884922</v>
      </c>
      <c r="E437" s="654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65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customHeight="1" x14ac:dyDescent="0.25">
      <c r="A438" s="54" t="s">
        <v>715</v>
      </c>
      <c r="B438" s="54" t="s">
        <v>716</v>
      </c>
      <c r="C438" s="31">
        <v>4301011868</v>
      </c>
      <c r="D438" s="653">
        <v>4680115884861</v>
      </c>
      <c r="E438" s="654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5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0" t="s">
        <v>72</v>
      </c>
      <c r="Q439" s="651"/>
      <c r="R439" s="651"/>
      <c r="S439" s="651"/>
      <c r="T439" s="651"/>
      <c r="U439" s="651"/>
      <c r="V439" s="652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169</v>
      </c>
      <c r="Y439" s="645">
        <f>IFERROR(Y431/H431,"0")+IFERROR(Y432/H432,"0")+IFERROR(Y433/H433,"0")+IFERROR(Y434/H434,"0")+IFERROR(Y435/H435,"0")+IFERROR(Y436/H436,"0")+IFERROR(Y437/H437,"0")+IFERROR(Y438/H438,"0")</f>
        <v>170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3.6974999999999998</v>
      </c>
      <c r="AA439" s="646"/>
      <c r="AB439" s="646"/>
      <c r="AC439" s="646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0" t="s">
        <v>72</v>
      </c>
      <c r="Q440" s="651"/>
      <c r="R440" s="651"/>
      <c r="S440" s="651"/>
      <c r="T440" s="651"/>
      <c r="U440" s="651"/>
      <c r="V440" s="652"/>
      <c r="W440" s="37" t="s">
        <v>67</v>
      </c>
      <c r="X440" s="645">
        <f>IFERROR(SUM(X431:X438),"0")</f>
        <v>2535</v>
      </c>
      <c r="Y440" s="645">
        <f>IFERROR(SUM(Y431:Y438),"0")</f>
        <v>2550</v>
      </c>
      <c r="Z440" s="37"/>
      <c r="AA440" s="646"/>
      <c r="AB440" s="646"/>
      <c r="AC440" s="646"/>
    </row>
    <row r="441" spans="1:68" ht="14.25" customHeight="1" x14ac:dyDescent="0.25">
      <c r="A441" s="663" t="s">
        <v>144</v>
      </c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6"/>
      <c r="P441" s="656"/>
      <c r="Q441" s="656"/>
      <c r="R441" s="656"/>
      <c r="S441" s="656"/>
      <c r="T441" s="656"/>
      <c r="U441" s="656"/>
      <c r="V441" s="656"/>
      <c r="W441" s="656"/>
      <c r="X441" s="656"/>
      <c r="Y441" s="656"/>
      <c r="Z441" s="656"/>
      <c r="AA441" s="639"/>
      <c r="AB441" s="639"/>
      <c r="AC441" s="639"/>
    </row>
    <row r="442" spans="1:68" ht="27" customHeight="1" x14ac:dyDescent="0.25">
      <c r="A442" s="54" t="s">
        <v>718</v>
      </c>
      <c r="B442" s="54" t="s">
        <v>719</v>
      </c>
      <c r="C442" s="31">
        <v>4301020178</v>
      </c>
      <c r="D442" s="653">
        <v>4607091383980</v>
      </c>
      <c r="E442" s="654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611</v>
      </c>
      <c r="Y442" s="644">
        <f>IFERROR(IF(X442="",0,CEILING((X442/$H442),1)*$H442),"")</f>
        <v>615</v>
      </c>
      <c r="Z442" s="36">
        <f>IFERROR(IF(Y442=0,"",ROUNDUP(Y442/H442,0)*0.02175),"")</f>
        <v>0.89174999999999993</v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630.14466666666669</v>
      </c>
      <c r="BN442" s="64">
        <f>IFERROR(Y442*I442/H442,"0")</f>
        <v>634.2700000000001</v>
      </c>
      <c r="BO442" s="64">
        <f>IFERROR(1/J442*(X442/H442),"0")</f>
        <v>0.84861111111111109</v>
      </c>
      <c r="BP442" s="64">
        <f>IFERROR(1/J442*(Y442/H442),"0")</f>
        <v>0.85416666666666663</v>
      </c>
    </row>
    <row r="443" spans="1:68" ht="27" customHeight="1" x14ac:dyDescent="0.25">
      <c r="A443" s="54" t="s">
        <v>721</v>
      </c>
      <c r="B443" s="54" t="s">
        <v>722</v>
      </c>
      <c r="C443" s="31">
        <v>4301020355</v>
      </c>
      <c r="D443" s="653">
        <v>4680115888425</v>
      </c>
      <c r="E443" s="654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51</v>
      </c>
      <c r="Y443" s="644">
        <f>IFERROR(IF(X443="",0,CEILING((X443/$H443),1)*$H443),"")</f>
        <v>60</v>
      </c>
      <c r="Z443" s="36">
        <f>IFERROR(IF(Y443=0,"",ROUNDUP(Y443/H443,0)*0.02175),"")</f>
        <v>8.6999999999999994E-2</v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52.597999999999999</v>
      </c>
      <c r="BN443" s="64">
        <f>IFERROR(Y443*I443/H443,"0")</f>
        <v>61.88</v>
      </c>
      <c r="BO443" s="64">
        <f>IFERROR(1/J443*(X443/H443),"0")</f>
        <v>7.0833333333333331E-2</v>
      </c>
      <c r="BP443" s="64">
        <f>IFERROR(1/J443*(Y443/H443),"0")</f>
        <v>8.3333333333333329E-2</v>
      </c>
    </row>
    <row r="444" spans="1:68" ht="27" customHeight="1" x14ac:dyDescent="0.25">
      <c r="A444" s="54" t="s">
        <v>724</v>
      </c>
      <c r="B444" s="54" t="s">
        <v>725</v>
      </c>
      <c r="C444" s="31">
        <v>4301020179</v>
      </c>
      <c r="D444" s="653">
        <v>4607091384178</v>
      </c>
      <c r="E444" s="654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5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0" t="s">
        <v>72</v>
      </c>
      <c r="Q445" s="651"/>
      <c r="R445" s="651"/>
      <c r="S445" s="651"/>
      <c r="T445" s="651"/>
      <c r="U445" s="651"/>
      <c r="V445" s="652"/>
      <c r="W445" s="37" t="s">
        <v>73</v>
      </c>
      <c r="X445" s="645">
        <f>IFERROR(X442/H442,"0")+IFERROR(X443/H443,"0")+IFERROR(X444/H444,"0")</f>
        <v>44.133333333333333</v>
      </c>
      <c r="Y445" s="645">
        <f>IFERROR(Y442/H442,"0")+IFERROR(Y443/H443,"0")+IFERROR(Y444/H444,"0")</f>
        <v>45</v>
      </c>
      <c r="Z445" s="645">
        <f>IFERROR(IF(Z442="",0,Z442),"0")+IFERROR(IF(Z443="",0,Z443),"0")+IFERROR(IF(Z444="",0,Z444),"0")</f>
        <v>0.9787499999999999</v>
      </c>
      <c r="AA445" s="646"/>
      <c r="AB445" s="646"/>
      <c r="AC445" s="646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0" t="s">
        <v>72</v>
      </c>
      <c r="Q446" s="651"/>
      <c r="R446" s="651"/>
      <c r="S446" s="651"/>
      <c r="T446" s="651"/>
      <c r="U446" s="651"/>
      <c r="V446" s="652"/>
      <c r="W446" s="37" t="s">
        <v>67</v>
      </c>
      <c r="X446" s="645">
        <f>IFERROR(SUM(X442:X444),"0")</f>
        <v>662</v>
      </c>
      <c r="Y446" s="645">
        <f>IFERROR(SUM(Y442:Y444),"0")</f>
        <v>675</v>
      </c>
      <c r="Z446" s="37"/>
      <c r="AA446" s="646"/>
      <c r="AB446" s="646"/>
      <c r="AC446" s="646"/>
    </row>
    <row r="447" spans="1:68" ht="14.25" customHeight="1" x14ac:dyDescent="0.25">
      <c r="A447" s="663" t="s">
        <v>74</v>
      </c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6"/>
      <c r="P447" s="656"/>
      <c r="Q447" s="656"/>
      <c r="R447" s="656"/>
      <c r="S447" s="656"/>
      <c r="T447" s="656"/>
      <c r="U447" s="656"/>
      <c r="V447" s="656"/>
      <c r="W447" s="656"/>
      <c r="X447" s="656"/>
      <c r="Y447" s="656"/>
      <c r="Z447" s="656"/>
      <c r="AA447" s="639"/>
      <c r="AB447" s="639"/>
      <c r="AC447" s="639"/>
    </row>
    <row r="448" spans="1:68" ht="27" customHeight="1" x14ac:dyDescent="0.25">
      <c r="A448" s="54" t="s">
        <v>727</v>
      </c>
      <c r="B448" s="54" t="s">
        <v>728</v>
      </c>
      <c r="C448" s="31">
        <v>4301051903</v>
      </c>
      <c r="D448" s="653">
        <v>4607091383928</v>
      </c>
      <c r="E448" s="654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customHeight="1" x14ac:dyDescent="0.25">
      <c r="A449" s="54" t="s">
        <v>730</v>
      </c>
      <c r="B449" s="54" t="s">
        <v>731</v>
      </c>
      <c r="C449" s="31">
        <v>4301051897</v>
      </c>
      <c r="D449" s="653">
        <v>4607091384260</v>
      </c>
      <c r="E449" s="654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20</v>
      </c>
      <c r="Y449" s="644">
        <f>IFERROR(IF(X449="",0,CEILING((X449/$H449),1)*$H449),"")</f>
        <v>27</v>
      </c>
      <c r="Z449" s="36">
        <f>IFERROR(IF(Y449=0,"",ROUNDUP(Y449/H449,0)*0.01898),"")</f>
        <v>5.6940000000000004E-2</v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21.097777777777779</v>
      </c>
      <c r="BN449" s="64">
        <f>IFERROR(Y449*I449/H449,"0")</f>
        <v>28.481999999999996</v>
      </c>
      <c r="BO449" s="64">
        <f>IFERROR(1/J449*(X449/H449),"0")</f>
        <v>3.4722222222222224E-2</v>
      </c>
      <c r="BP449" s="64">
        <f>IFERROR(1/J449*(Y449/H449),"0")</f>
        <v>4.6875E-2</v>
      </c>
    </row>
    <row r="450" spans="1:68" ht="27" customHeight="1" x14ac:dyDescent="0.25">
      <c r="A450" s="54" t="s">
        <v>733</v>
      </c>
      <c r="B450" s="54" t="s">
        <v>734</v>
      </c>
      <c r="C450" s="31">
        <v>4301052220</v>
      </c>
      <c r="D450" s="653">
        <v>4680115889538</v>
      </c>
      <c r="E450" s="654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0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5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0" t="s">
        <v>72</v>
      </c>
      <c r="Q451" s="651"/>
      <c r="R451" s="651"/>
      <c r="S451" s="651"/>
      <c r="T451" s="651"/>
      <c r="U451" s="651"/>
      <c r="V451" s="652"/>
      <c r="W451" s="37" t="s">
        <v>73</v>
      </c>
      <c r="X451" s="645">
        <f>IFERROR(X448/H448,"0")+IFERROR(X449/H449,"0")+IFERROR(X450/H450,"0")</f>
        <v>2.2222222222222223</v>
      </c>
      <c r="Y451" s="645">
        <f>IFERROR(Y448/H448,"0")+IFERROR(Y449/H449,"0")+IFERROR(Y450/H450,"0")</f>
        <v>3</v>
      </c>
      <c r="Z451" s="645">
        <f>IFERROR(IF(Z448="",0,Z448),"0")+IFERROR(IF(Z449="",0,Z449),"0")+IFERROR(IF(Z450="",0,Z450),"0")</f>
        <v>5.6940000000000004E-2</v>
      </c>
      <c r="AA451" s="646"/>
      <c r="AB451" s="646"/>
      <c r="AC451" s="646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0" t="s">
        <v>72</v>
      </c>
      <c r="Q452" s="651"/>
      <c r="R452" s="651"/>
      <c r="S452" s="651"/>
      <c r="T452" s="651"/>
      <c r="U452" s="651"/>
      <c r="V452" s="652"/>
      <c r="W452" s="37" t="s">
        <v>67</v>
      </c>
      <c r="X452" s="645">
        <f>IFERROR(SUM(X448:X450),"0")</f>
        <v>20</v>
      </c>
      <c r="Y452" s="645">
        <f>IFERROR(SUM(Y448:Y450),"0")</f>
        <v>27</v>
      </c>
      <c r="Z452" s="37"/>
      <c r="AA452" s="646"/>
      <c r="AB452" s="646"/>
      <c r="AC452" s="646"/>
    </row>
    <row r="453" spans="1:68" ht="14.25" customHeight="1" x14ac:dyDescent="0.25">
      <c r="A453" s="663" t="s">
        <v>162</v>
      </c>
      <c r="B453" s="656"/>
      <c r="C453" s="656"/>
      <c r="D453" s="656"/>
      <c r="E453" s="656"/>
      <c r="F453" s="656"/>
      <c r="G453" s="656"/>
      <c r="H453" s="656"/>
      <c r="I453" s="656"/>
      <c r="J453" s="656"/>
      <c r="K453" s="656"/>
      <c r="L453" s="656"/>
      <c r="M453" s="656"/>
      <c r="N453" s="656"/>
      <c r="O453" s="656"/>
      <c r="P453" s="656"/>
      <c r="Q453" s="656"/>
      <c r="R453" s="656"/>
      <c r="S453" s="656"/>
      <c r="T453" s="656"/>
      <c r="U453" s="656"/>
      <c r="V453" s="656"/>
      <c r="W453" s="656"/>
      <c r="X453" s="656"/>
      <c r="Y453" s="656"/>
      <c r="Z453" s="656"/>
      <c r="AA453" s="639"/>
      <c r="AB453" s="639"/>
      <c r="AC453" s="639"/>
    </row>
    <row r="454" spans="1:68" ht="27" customHeight="1" x14ac:dyDescent="0.25">
      <c r="A454" s="54" t="s">
        <v>736</v>
      </c>
      <c r="B454" s="54" t="s">
        <v>737</v>
      </c>
      <c r="C454" s="31">
        <v>4301060537</v>
      </c>
      <c r="D454" s="653">
        <v>4680115889545</v>
      </c>
      <c r="E454" s="654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739</v>
      </c>
      <c r="B455" s="54" t="s">
        <v>740</v>
      </c>
      <c r="C455" s="31">
        <v>4301060524</v>
      </c>
      <c r="D455" s="653">
        <v>4607091384673</v>
      </c>
      <c r="E455" s="654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100</v>
      </c>
      <c r="Y455" s="644">
        <f>IFERROR(IF(X455="",0,CEILING((X455/$H455),1)*$H455),"")</f>
        <v>108</v>
      </c>
      <c r="Z455" s="36">
        <f>IFERROR(IF(Y455=0,"",ROUNDUP(Y455/H455,0)*0.01898),"")</f>
        <v>0.22776000000000002</v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105.48888888888888</v>
      </c>
      <c r="BN455" s="64">
        <f>IFERROR(Y455*I455/H455,"0")</f>
        <v>113.92799999999998</v>
      </c>
      <c r="BO455" s="64">
        <f>IFERROR(1/J455*(X455/H455),"0")</f>
        <v>0.1736111111111111</v>
      </c>
      <c r="BP455" s="64">
        <f>IFERROR(1/J455*(Y455/H455),"0")</f>
        <v>0.1875</v>
      </c>
    </row>
    <row r="456" spans="1:68" x14ac:dyDescent="0.2">
      <c r="A456" s="655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0" t="s">
        <v>72</v>
      </c>
      <c r="Q456" s="651"/>
      <c r="R456" s="651"/>
      <c r="S456" s="651"/>
      <c r="T456" s="651"/>
      <c r="U456" s="651"/>
      <c r="V456" s="652"/>
      <c r="W456" s="37" t="s">
        <v>73</v>
      </c>
      <c r="X456" s="645">
        <f>IFERROR(X454/H454,"0")+IFERROR(X455/H455,"0")</f>
        <v>11.111111111111111</v>
      </c>
      <c r="Y456" s="645">
        <f>IFERROR(Y454/H454,"0")+IFERROR(Y455/H455,"0")</f>
        <v>12</v>
      </c>
      <c r="Z456" s="645">
        <f>IFERROR(IF(Z454="",0,Z454),"0")+IFERROR(IF(Z455="",0,Z455),"0")</f>
        <v>0.22776000000000002</v>
      </c>
      <c r="AA456" s="646"/>
      <c r="AB456" s="646"/>
      <c r="AC456" s="646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0" t="s">
        <v>72</v>
      </c>
      <c r="Q457" s="651"/>
      <c r="R457" s="651"/>
      <c r="S457" s="651"/>
      <c r="T457" s="651"/>
      <c r="U457" s="651"/>
      <c r="V457" s="652"/>
      <c r="W457" s="37" t="s">
        <v>67</v>
      </c>
      <c r="X457" s="645">
        <f>IFERROR(SUM(X454:X455),"0")</f>
        <v>100</v>
      </c>
      <c r="Y457" s="645">
        <f>IFERROR(SUM(Y454:Y455),"0")</f>
        <v>108</v>
      </c>
      <c r="Z457" s="37"/>
      <c r="AA457" s="646"/>
      <c r="AB457" s="646"/>
      <c r="AC457" s="646"/>
    </row>
    <row r="458" spans="1:68" ht="16.5" customHeight="1" x14ac:dyDescent="0.25">
      <c r="A458" s="664" t="s">
        <v>742</v>
      </c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6"/>
      <c r="P458" s="656"/>
      <c r="Q458" s="656"/>
      <c r="R458" s="656"/>
      <c r="S458" s="656"/>
      <c r="T458" s="656"/>
      <c r="U458" s="656"/>
      <c r="V458" s="656"/>
      <c r="W458" s="656"/>
      <c r="X458" s="656"/>
      <c r="Y458" s="656"/>
      <c r="Z458" s="656"/>
      <c r="AA458" s="638"/>
      <c r="AB458" s="638"/>
      <c r="AC458" s="638"/>
    </row>
    <row r="459" spans="1:68" ht="14.25" customHeight="1" x14ac:dyDescent="0.25">
      <c r="A459" s="663" t="s">
        <v>111</v>
      </c>
      <c r="B459" s="656"/>
      <c r="C459" s="656"/>
      <c r="D459" s="656"/>
      <c r="E459" s="656"/>
      <c r="F459" s="656"/>
      <c r="G459" s="656"/>
      <c r="H459" s="656"/>
      <c r="I459" s="656"/>
      <c r="J459" s="656"/>
      <c r="K459" s="656"/>
      <c r="L459" s="656"/>
      <c r="M459" s="656"/>
      <c r="N459" s="656"/>
      <c r="O459" s="656"/>
      <c r="P459" s="656"/>
      <c r="Q459" s="656"/>
      <c r="R459" s="656"/>
      <c r="S459" s="656"/>
      <c r="T459" s="656"/>
      <c r="U459" s="656"/>
      <c r="V459" s="656"/>
      <c r="W459" s="656"/>
      <c r="X459" s="656"/>
      <c r="Y459" s="656"/>
      <c r="Z459" s="656"/>
      <c r="AA459" s="639"/>
      <c r="AB459" s="639"/>
      <c r="AC459" s="639"/>
    </row>
    <row r="460" spans="1:68" ht="27" customHeight="1" x14ac:dyDescent="0.25">
      <c r="A460" s="54" t="s">
        <v>743</v>
      </c>
      <c r="B460" s="54" t="s">
        <v>744</v>
      </c>
      <c r="C460" s="31">
        <v>4301011875</v>
      </c>
      <c r="D460" s="653">
        <v>4680115884885</v>
      </c>
      <c r="E460" s="654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customHeight="1" x14ac:dyDescent="0.25">
      <c r="A461" s="54" t="s">
        <v>746</v>
      </c>
      <c r="B461" s="54" t="s">
        <v>747</v>
      </c>
      <c r="C461" s="31">
        <v>4301011871</v>
      </c>
      <c r="D461" s="653">
        <v>4680115884908</v>
      </c>
      <c r="E461" s="654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655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0" t="s">
        <v>72</v>
      </c>
      <c r="Q462" s="651"/>
      <c r="R462" s="651"/>
      <c r="S462" s="651"/>
      <c r="T462" s="651"/>
      <c r="U462" s="651"/>
      <c r="V462" s="652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0" t="s">
        <v>72</v>
      </c>
      <c r="Q463" s="651"/>
      <c r="R463" s="651"/>
      <c r="S463" s="651"/>
      <c r="T463" s="651"/>
      <c r="U463" s="651"/>
      <c r="V463" s="652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customHeight="1" x14ac:dyDescent="0.25">
      <c r="A464" s="663" t="s">
        <v>62</v>
      </c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6"/>
      <c r="P464" s="656"/>
      <c r="Q464" s="656"/>
      <c r="R464" s="656"/>
      <c r="S464" s="656"/>
      <c r="T464" s="656"/>
      <c r="U464" s="656"/>
      <c r="V464" s="656"/>
      <c r="W464" s="656"/>
      <c r="X464" s="656"/>
      <c r="Y464" s="656"/>
      <c r="Z464" s="656"/>
      <c r="AA464" s="639"/>
      <c r="AB464" s="639"/>
      <c r="AC464" s="639"/>
    </row>
    <row r="465" spans="1:68" ht="27" customHeight="1" x14ac:dyDescent="0.25">
      <c r="A465" s="54" t="s">
        <v>748</v>
      </c>
      <c r="B465" s="54" t="s">
        <v>749</v>
      </c>
      <c r="C465" s="31">
        <v>4301031457</v>
      </c>
      <c r="D465" s="653">
        <v>4607091384802</v>
      </c>
      <c r="E465" s="654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55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0" t="s">
        <v>72</v>
      </c>
      <c r="Q466" s="651"/>
      <c r="R466" s="651"/>
      <c r="S466" s="651"/>
      <c r="T466" s="651"/>
      <c r="U466" s="651"/>
      <c r="V466" s="652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0" t="s">
        <v>72</v>
      </c>
      <c r="Q467" s="651"/>
      <c r="R467" s="651"/>
      <c r="S467" s="651"/>
      <c r="T467" s="651"/>
      <c r="U467" s="651"/>
      <c r="V467" s="652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customHeight="1" x14ac:dyDescent="0.25">
      <c r="A468" s="663" t="s">
        <v>74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39"/>
      <c r="AB468" s="639"/>
      <c r="AC468" s="639"/>
    </row>
    <row r="469" spans="1:68" ht="27" customHeight="1" x14ac:dyDescent="0.25">
      <c r="A469" s="54" t="s">
        <v>751</v>
      </c>
      <c r="B469" s="54" t="s">
        <v>752</v>
      </c>
      <c r="C469" s="31">
        <v>4301051899</v>
      </c>
      <c r="D469" s="653">
        <v>4607091384246</v>
      </c>
      <c r="E469" s="654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200</v>
      </c>
      <c r="Y469" s="644">
        <f>IFERROR(IF(X469="",0,CEILING((X469/$H469),1)*$H469),"")</f>
        <v>207</v>
      </c>
      <c r="Z469" s="36">
        <f>IFERROR(IF(Y469=0,"",ROUNDUP(Y469/H469,0)*0.01898),"")</f>
        <v>0.43653999999999998</v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210.97777777777776</v>
      </c>
      <c r="BN469" s="64">
        <f>IFERROR(Y469*I469/H469,"0")</f>
        <v>218.36199999999999</v>
      </c>
      <c r="BO469" s="64">
        <f>IFERROR(1/J469*(X469/H469),"0")</f>
        <v>0.34722222222222221</v>
      </c>
      <c r="BP469" s="64">
        <f>IFERROR(1/J469*(Y469/H469),"0")</f>
        <v>0.359375</v>
      </c>
    </row>
    <row r="470" spans="1:68" ht="27" customHeight="1" x14ac:dyDescent="0.25">
      <c r="A470" s="54" t="s">
        <v>754</v>
      </c>
      <c r="B470" s="54" t="s">
        <v>755</v>
      </c>
      <c r="C470" s="31">
        <v>4301051660</v>
      </c>
      <c r="D470" s="653">
        <v>4607091384253</v>
      </c>
      <c r="E470" s="654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8</v>
      </c>
      <c r="Y470" s="644">
        <f>IFERROR(IF(X470="",0,CEILING((X470/$H470),1)*$H470),"")</f>
        <v>9.6</v>
      </c>
      <c r="Z470" s="36">
        <f>IFERROR(IF(Y470=0,"",ROUNDUP(Y470/H470,0)*0.00651),"")</f>
        <v>2.6040000000000001E-2</v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8.8800000000000008</v>
      </c>
      <c r="BN470" s="64">
        <f>IFERROR(Y470*I470/H470,"0")</f>
        <v>10.656000000000001</v>
      </c>
      <c r="BO470" s="64">
        <f>IFERROR(1/J470*(X470/H470),"0")</f>
        <v>1.8315018315018316E-2</v>
      </c>
      <c r="BP470" s="64">
        <f>IFERROR(1/J470*(Y470/H470),"0")</f>
        <v>2.197802197802198E-2</v>
      </c>
    </row>
    <row r="471" spans="1:68" ht="27" customHeight="1" x14ac:dyDescent="0.25">
      <c r="A471" s="54" t="s">
        <v>754</v>
      </c>
      <c r="B471" s="54" t="s">
        <v>756</v>
      </c>
      <c r="C471" s="31">
        <v>4301052069</v>
      </c>
      <c r="D471" s="653">
        <v>4607091384253</v>
      </c>
      <c r="E471" s="654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5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0" t="s">
        <v>72</v>
      </c>
      <c r="Q472" s="651"/>
      <c r="R472" s="651"/>
      <c r="S472" s="651"/>
      <c r="T472" s="651"/>
      <c r="U472" s="651"/>
      <c r="V472" s="652"/>
      <c r="W472" s="37" t="s">
        <v>73</v>
      </c>
      <c r="X472" s="645">
        <f>IFERROR(X469/H469,"0")+IFERROR(X470/H470,"0")+IFERROR(X471/H471,"0")</f>
        <v>25.555555555555554</v>
      </c>
      <c r="Y472" s="645">
        <f>IFERROR(Y469/H469,"0")+IFERROR(Y470/H470,"0")+IFERROR(Y471/H471,"0")</f>
        <v>27</v>
      </c>
      <c r="Z472" s="645">
        <f>IFERROR(IF(Z469="",0,Z469),"0")+IFERROR(IF(Z470="",0,Z470),"0")+IFERROR(IF(Z471="",0,Z471),"0")</f>
        <v>0.46257999999999999</v>
      </c>
      <c r="AA472" s="646"/>
      <c r="AB472" s="646"/>
      <c r="AC472" s="646"/>
    </row>
    <row r="473" spans="1:68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0" t="s">
        <v>72</v>
      </c>
      <c r="Q473" s="651"/>
      <c r="R473" s="651"/>
      <c r="S473" s="651"/>
      <c r="T473" s="651"/>
      <c r="U473" s="651"/>
      <c r="V473" s="652"/>
      <c r="W473" s="37" t="s">
        <v>67</v>
      </c>
      <c r="X473" s="645">
        <f>IFERROR(SUM(X469:X471),"0")</f>
        <v>208</v>
      </c>
      <c r="Y473" s="645">
        <f>IFERROR(SUM(Y469:Y471),"0")</f>
        <v>216.6</v>
      </c>
      <c r="Z473" s="37"/>
      <c r="AA473" s="646"/>
      <c r="AB473" s="646"/>
      <c r="AC473" s="646"/>
    </row>
    <row r="474" spans="1:68" ht="27.75" customHeight="1" x14ac:dyDescent="0.2">
      <c r="A474" s="665" t="s">
        <v>758</v>
      </c>
      <c r="B474" s="666"/>
      <c r="C474" s="666"/>
      <c r="D474" s="666"/>
      <c r="E474" s="666"/>
      <c r="F474" s="666"/>
      <c r="G474" s="666"/>
      <c r="H474" s="666"/>
      <c r="I474" s="666"/>
      <c r="J474" s="666"/>
      <c r="K474" s="666"/>
      <c r="L474" s="666"/>
      <c r="M474" s="666"/>
      <c r="N474" s="666"/>
      <c r="O474" s="666"/>
      <c r="P474" s="666"/>
      <c r="Q474" s="666"/>
      <c r="R474" s="666"/>
      <c r="S474" s="666"/>
      <c r="T474" s="666"/>
      <c r="U474" s="666"/>
      <c r="V474" s="666"/>
      <c r="W474" s="666"/>
      <c r="X474" s="666"/>
      <c r="Y474" s="666"/>
      <c r="Z474" s="666"/>
      <c r="AA474" s="48"/>
      <c r="AB474" s="48"/>
      <c r="AC474" s="48"/>
    </row>
    <row r="475" spans="1:68" ht="16.5" customHeight="1" x14ac:dyDescent="0.25">
      <c r="A475" s="664" t="s">
        <v>759</v>
      </c>
      <c r="B475" s="656"/>
      <c r="C475" s="656"/>
      <c r="D475" s="656"/>
      <c r="E475" s="656"/>
      <c r="F475" s="656"/>
      <c r="G475" s="656"/>
      <c r="H475" s="656"/>
      <c r="I475" s="656"/>
      <c r="J475" s="656"/>
      <c r="K475" s="656"/>
      <c r="L475" s="656"/>
      <c r="M475" s="656"/>
      <c r="N475" s="656"/>
      <c r="O475" s="656"/>
      <c r="P475" s="656"/>
      <c r="Q475" s="656"/>
      <c r="R475" s="656"/>
      <c r="S475" s="656"/>
      <c r="T475" s="656"/>
      <c r="U475" s="656"/>
      <c r="V475" s="656"/>
      <c r="W475" s="656"/>
      <c r="X475" s="656"/>
      <c r="Y475" s="656"/>
      <c r="Z475" s="656"/>
      <c r="AA475" s="638"/>
      <c r="AB475" s="638"/>
      <c r="AC475" s="638"/>
    </row>
    <row r="476" spans="1:68" ht="14.25" customHeight="1" x14ac:dyDescent="0.25">
      <c r="A476" s="663" t="s">
        <v>62</v>
      </c>
      <c r="B476" s="656"/>
      <c r="C476" s="656"/>
      <c r="D476" s="656"/>
      <c r="E476" s="656"/>
      <c r="F476" s="656"/>
      <c r="G476" s="656"/>
      <c r="H476" s="656"/>
      <c r="I476" s="656"/>
      <c r="J476" s="656"/>
      <c r="K476" s="656"/>
      <c r="L476" s="656"/>
      <c r="M476" s="656"/>
      <c r="N476" s="656"/>
      <c r="O476" s="656"/>
      <c r="P476" s="656"/>
      <c r="Q476" s="656"/>
      <c r="R476" s="656"/>
      <c r="S476" s="656"/>
      <c r="T476" s="656"/>
      <c r="U476" s="656"/>
      <c r="V476" s="656"/>
      <c r="W476" s="656"/>
      <c r="X476" s="656"/>
      <c r="Y476" s="656"/>
      <c r="Z476" s="656"/>
      <c r="AA476" s="639"/>
      <c r="AB476" s="639"/>
      <c r="AC476" s="639"/>
    </row>
    <row r="477" spans="1:68" ht="27" customHeight="1" x14ac:dyDescent="0.25">
      <c r="A477" s="54" t="s">
        <v>760</v>
      </c>
      <c r="B477" s="54" t="s">
        <v>761</v>
      </c>
      <c r="C477" s="31">
        <v>4301031405</v>
      </c>
      <c r="D477" s="653">
        <v>4680115886100</v>
      </c>
      <c r="E477" s="654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50</v>
      </c>
      <c r="Y477" s="644">
        <f t="shared" ref="Y477:Y482" si="68">IFERROR(IF(X477="",0,CEILING((X477/$H477),1)*$H477),"")</f>
        <v>54</v>
      </c>
      <c r="Z477" s="36">
        <f>IFERROR(IF(Y477=0,"",ROUNDUP(Y477/H477,0)*0.00902),"")</f>
        <v>9.0200000000000002E-2</v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51.759259259259252</v>
      </c>
      <c r="BN477" s="64">
        <f t="shared" ref="BN477:BN482" si="70">IFERROR(Y477*I477/H477,"0")</f>
        <v>55.9</v>
      </c>
      <c r="BO477" s="64">
        <f t="shared" ref="BO477:BO482" si="71">IFERROR(1/J477*(X477/H477),"0")</f>
        <v>7.0145903479236812E-2</v>
      </c>
      <c r="BP477" s="64">
        <f t="shared" ref="BP477:BP482" si="72">IFERROR(1/J477*(Y477/H477),"0")</f>
        <v>7.575757575757576E-2</v>
      </c>
    </row>
    <row r="478" spans="1:68" ht="27" customHeight="1" x14ac:dyDescent="0.25">
      <c r="A478" s="54" t="s">
        <v>763</v>
      </c>
      <c r="B478" s="54" t="s">
        <v>764</v>
      </c>
      <c r="C478" s="31">
        <v>4301031402</v>
      </c>
      <c r="D478" s="653">
        <v>4680115886124</v>
      </c>
      <c r="E478" s="654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customHeight="1" x14ac:dyDescent="0.25">
      <c r="A479" s="54" t="s">
        <v>766</v>
      </c>
      <c r="B479" s="54" t="s">
        <v>767</v>
      </c>
      <c r="C479" s="31">
        <v>4301031362</v>
      </c>
      <c r="D479" s="653">
        <v>4607091384338</v>
      </c>
      <c r="E479" s="654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4301031364</v>
      </c>
      <c r="D480" s="653">
        <v>4680115883161</v>
      </c>
      <c r="E480" s="654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customHeight="1" x14ac:dyDescent="0.25">
      <c r="A481" s="54" t="s">
        <v>771</v>
      </c>
      <c r="B481" s="54" t="s">
        <v>772</v>
      </c>
      <c r="C481" s="31">
        <v>4301031358</v>
      </c>
      <c r="D481" s="653">
        <v>4607091389531</v>
      </c>
      <c r="E481" s="654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customHeight="1" x14ac:dyDescent="0.25">
      <c r="A482" s="54" t="s">
        <v>774</v>
      </c>
      <c r="B482" s="54" t="s">
        <v>775</v>
      </c>
      <c r="C482" s="31">
        <v>4301031360</v>
      </c>
      <c r="D482" s="653">
        <v>4607091384345</v>
      </c>
      <c r="E482" s="654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x14ac:dyDescent="0.2">
      <c r="A483" s="655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0" t="s">
        <v>72</v>
      </c>
      <c r="Q483" s="651"/>
      <c r="R483" s="651"/>
      <c r="S483" s="651"/>
      <c r="T483" s="651"/>
      <c r="U483" s="651"/>
      <c r="V483" s="652"/>
      <c r="W483" s="37" t="s">
        <v>73</v>
      </c>
      <c r="X483" s="645">
        <f>IFERROR(X477/H477,"0")+IFERROR(X478/H478,"0")+IFERROR(X479/H479,"0")+IFERROR(X480/H480,"0")+IFERROR(X481/H481,"0")+IFERROR(X482/H482,"0")</f>
        <v>9.2592592592592595</v>
      </c>
      <c r="Y483" s="645">
        <f>IFERROR(Y477/H477,"0")+IFERROR(Y478/H478,"0")+IFERROR(Y479/H479,"0")+IFERROR(Y480/H480,"0")+IFERROR(Y481/H481,"0")+IFERROR(Y482/H482,"0")</f>
        <v>10</v>
      </c>
      <c r="Z483" s="645">
        <f>IFERROR(IF(Z477="",0,Z477),"0")+IFERROR(IF(Z478="",0,Z478),"0")+IFERROR(IF(Z479="",0,Z479),"0")+IFERROR(IF(Z480="",0,Z480),"0")+IFERROR(IF(Z481="",0,Z481),"0")+IFERROR(IF(Z482="",0,Z482),"0")</f>
        <v>9.0200000000000002E-2</v>
      </c>
      <c r="AA483" s="646"/>
      <c r="AB483" s="646"/>
      <c r="AC483" s="646"/>
    </row>
    <row r="484" spans="1:68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0" t="s">
        <v>72</v>
      </c>
      <c r="Q484" s="651"/>
      <c r="R484" s="651"/>
      <c r="S484" s="651"/>
      <c r="T484" s="651"/>
      <c r="U484" s="651"/>
      <c r="V484" s="652"/>
      <c r="W484" s="37" t="s">
        <v>67</v>
      </c>
      <c r="X484" s="645">
        <f>IFERROR(SUM(X477:X482),"0")</f>
        <v>50</v>
      </c>
      <c r="Y484" s="645">
        <f>IFERROR(SUM(Y477:Y482),"0")</f>
        <v>54</v>
      </c>
      <c r="Z484" s="37"/>
      <c r="AA484" s="646"/>
      <c r="AB484" s="646"/>
      <c r="AC484" s="646"/>
    </row>
    <row r="485" spans="1:68" ht="14.25" customHeight="1" x14ac:dyDescent="0.25">
      <c r="A485" s="663" t="s">
        <v>74</v>
      </c>
      <c r="B485" s="656"/>
      <c r="C485" s="656"/>
      <c r="D485" s="656"/>
      <c r="E485" s="656"/>
      <c r="F485" s="656"/>
      <c r="G485" s="656"/>
      <c r="H485" s="656"/>
      <c r="I485" s="656"/>
      <c r="J485" s="656"/>
      <c r="K485" s="656"/>
      <c r="L485" s="656"/>
      <c r="M485" s="656"/>
      <c r="N485" s="656"/>
      <c r="O485" s="656"/>
      <c r="P485" s="656"/>
      <c r="Q485" s="656"/>
      <c r="R485" s="656"/>
      <c r="S485" s="656"/>
      <c r="T485" s="656"/>
      <c r="U485" s="656"/>
      <c r="V485" s="656"/>
      <c r="W485" s="656"/>
      <c r="X485" s="656"/>
      <c r="Y485" s="656"/>
      <c r="Z485" s="656"/>
      <c r="AA485" s="639"/>
      <c r="AB485" s="639"/>
      <c r="AC485" s="639"/>
    </row>
    <row r="486" spans="1:68" ht="27" customHeight="1" x14ac:dyDescent="0.25">
      <c r="A486" s="54" t="s">
        <v>776</v>
      </c>
      <c r="B486" s="54" t="s">
        <v>777</v>
      </c>
      <c r="C486" s="31">
        <v>4301051284</v>
      </c>
      <c r="D486" s="653">
        <v>4607091384352</v>
      </c>
      <c r="E486" s="654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779</v>
      </c>
      <c r="B487" s="54" t="s">
        <v>780</v>
      </c>
      <c r="C487" s="31">
        <v>4301051431</v>
      </c>
      <c r="D487" s="653">
        <v>4607091389654</v>
      </c>
      <c r="E487" s="654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55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0" t="s">
        <v>72</v>
      </c>
      <c r="Q488" s="651"/>
      <c r="R488" s="651"/>
      <c r="S488" s="651"/>
      <c r="T488" s="651"/>
      <c r="U488" s="651"/>
      <c r="V488" s="652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0" t="s">
        <v>72</v>
      </c>
      <c r="Q489" s="651"/>
      <c r="R489" s="651"/>
      <c r="S489" s="651"/>
      <c r="T489" s="651"/>
      <c r="U489" s="651"/>
      <c r="V489" s="652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customHeight="1" x14ac:dyDescent="0.25">
      <c r="A490" s="664" t="s">
        <v>782</v>
      </c>
      <c r="B490" s="656"/>
      <c r="C490" s="656"/>
      <c r="D490" s="656"/>
      <c r="E490" s="656"/>
      <c r="F490" s="656"/>
      <c r="G490" s="656"/>
      <c r="H490" s="656"/>
      <c r="I490" s="656"/>
      <c r="J490" s="656"/>
      <c r="K490" s="656"/>
      <c r="L490" s="656"/>
      <c r="M490" s="656"/>
      <c r="N490" s="656"/>
      <c r="O490" s="656"/>
      <c r="P490" s="656"/>
      <c r="Q490" s="656"/>
      <c r="R490" s="656"/>
      <c r="S490" s="656"/>
      <c r="T490" s="656"/>
      <c r="U490" s="656"/>
      <c r="V490" s="656"/>
      <c r="W490" s="656"/>
      <c r="X490" s="656"/>
      <c r="Y490" s="656"/>
      <c r="Z490" s="656"/>
      <c r="AA490" s="638"/>
      <c r="AB490" s="638"/>
      <c r="AC490" s="638"/>
    </row>
    <row r="491" spans="1:68" ht="14.25" customHeight="1" x14ac:dyDescent="0.25">
      <c r="A491" s="663" t="s">
        <v>144</v>
      </c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6"/>
      <c r="P491" s="656"/>
      <c r="Q491" s="656"/>
      <c r="R491" s="656"/>
      <c r="S491" s="656"/>
      <c r="T491" s="656"/>
      <c r="U491" s="656"/>
      <c r="V491" s="656"/>
      <c r="W491" s="656"/>
      <c r="X491" s="656"/>
      <c r="Y491" s="656"/>
      <c r="Z491" s="656"/>
      <c r="AA491" s="639"/>
      <c r="AB491" s="639"/>
      <c r="AC491" s="639"/>
    </row>
    <row r="492" spans="1:68" ht="27" customHeight="1" x14ac:dyDescent="0.25">
      <c r="A492" s="54" t="s">
        <v>783</v>
      </c>
      <c r="B492" s="54" t="s">
        <v>784</v>
      </c>
      <c r="C492" s="31">
        <v>4301020416</v>
      </c>
      <c r="D492" s="653">
        <v>4680115885240</v>
      </c>
      <c r="E492" s="654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5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655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0" t="s">
        <v>72</v>
      </c>
      <c r="Q493" s="651"/>
      <c r="R493" s="651"/>
      <c r="S493" s="651"/>
      <c r="T493" s="651"/>
      <c r="U493" s="651"/>
      <c r="V493" s="652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0" t="s">
        <v>72</v>
      </c>
      <c r="Q494" s="651"/>
      <c r="R494" s="651"/>
      <c r="S494" s="651"/>
      <c r="T494" s="651"/>
      <c r="U494" s="651"/>
      <c r="V494" s="652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customHeight="1" x14ac:dyDescent="0.25">
      <c r="A495" s="663" t="s">
        <v>62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39"/>
      <c r="AB495" s="639"/>
      <c r="AC495" s="639"/>
    </row>
    <row r="496" spans="1:68" ht="27" customHeight="1" x14ac:dyDescent="0.25">
      <c r="A496" s="54" t="s">
        <v>786</v>
      </c>
      <c r="B496" s="54" t="s">
        <v>787</v>
      </c>
      <c r="C496" s="31">
        <v>4301031407</v>
      </c>
      <c r="D496" s="653">
        <v>4680115886094</v>
      </c>
      <c r="E496" s="654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71</v>
      </c>
      <c r="Y496" s="644">
        <f>IFERROR(IF(X496="",0,CEILING((X496/$H496),1)*$H496),"")</f>
        <v>75.600000000000009</v>
      </c>
      <c r="Z496" s="36">
        <f>IFERROR(IF(Y496=0,"",ROUNDUP(Y496/H496,0)*0.00902),"")</f>
        <v>0.12628</v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73.498148148148147</v>
      </c>
      <c r="BN496" s="64">
        <f>IFERROR(Y496*I496/H496,"0")</f>
        <v>78.260000000000005</v>
      </c>
      <c r="BO496" s="64">
        <f>IFERROR(1/J496*(X496/H496),"0")</f>
        <v>9.9607182940516265E-2</v>
      </c>
      <c r="BP496" s="64">
        <f>IFERROR(1/J496*(Y496/H496),"0")</f>
        <v>0.10606060606060606</v>
      </c>
    </row>
    <row r="497" spans="1:68" ht="27" customHeight="1" x14ac:dyDescent="0.25">
      <c r="A497" s="54" t="s">
        <v>789</v>
      </c>
      <c r="B497" s="54" t="s">
        <v>790</v>
      </c>
      <c r="C497" s="31">
        <v>4301031373</v>
      </c>
      <c r="D497" s="653">
        <v>4680115880771</v>
      </c>
      <c r="E497" s="654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customHeight="1" x14ac:dyDescent="0.25">
      <c r="A498" s="54" t="s">
        <v>792</v>
      </c>
      <c r="B498" s="54" t="s">
        <v>793</v>
      </c>
      <c r="C498" s="31">
        <v>4301031359</v>
      </c>
      <c r="D498" s="653">
        <v>4607091389500</v>
      </c>
      <c r="E498" s="654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6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x14ac:dyDescent="0.2">
      <c r="A499" s="655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0" t="s">
        <v>72</v>
      </c>
      <c r="Q499" s="651"/>
      <c r="R499" s="651"/>
      <c r="S499" s="651"/>
      <c r="T499" s="651"/>
      <c r="U499" s="651"/>
      <c r="V499" s="652"/>
      <c r="W499" s="37" t="s">
        <v>73</v>
      </c>
      <c r="X499" s="645">
        <f>IFERROR(X496/H496,"0")+IFERROR(X497/H497,"0")+IFERROR(X498/H498,"0")</f>
        <v>13.148148148148147</v>
      </c>
      <c r="Y499" s="645">
        <f>IFERROR(Y496/H496,"0")+IFERROR(Y497/H497,"0")+IFERROR(Y498/H498,"0")</f>
        <v>14</v>
      </c>
      <c r="Z499" s="645">
        <f>IFERROR(IF(Z496="",0,Z496),"0")+IFERROR(IF(Z497="",0,Z497),"0")+IFERROR(IF(Z498="",0,Z498),"0")</f>
        <v>0.12628</v>
      </c>
      <c r="AA499" s="646"/>
      <c r="AB499" s="646"/>
      <c r="AC499" s="646"/>
    </row>
    <row r="500" spans="1:68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0" t="s">
        <v>72</v>
      </c>
      <c r="Q500" s="651"/>
      <c r="R500" s="651"/>
      <c r="S500" s="651"/>
      <c r="T500" s="651"/>
      <c r="U500" s="651"/>
      <c r="V500" s="652"/>
      <c r="W500" s="37" t="s">
        <v>67</v>
      </c>
      <c r="X500" s="645">
        <f>IFERROR(SUM(X496:X498),"0")</f>
        <v>71</v>
      </c>
      <c r="Y500" s="645">
        <f>IFERROR(SUM(Y496:Y498),"0")</f>
        <v>75.600000000000009</v>
      </c>
      <c r="Z500" s="37"/>
      <c r="AA500" s="646"/>
      <c r="AB500" s="646"/>
      <c r="AC500" s="646"/>
    </row>
    <row r="501" spans="1:68" ht="27.75" customHeight="1" x14ac:dyDescent="0.2">
      <c r="A501" s="665" t="s">
        <v>794</v>
      </c>
      <c r="B501" s="666"/>
      <c r="C501" s="666"/>
      <c r="D501" s="666"/>
      <c r="E501" s="666"/>
      <c r="F501" s="666"/>
      <c r="G501" s="666"/>
      <c r="H501" s="666"/>
      <c r="I501" s="666"/>
      <c r="J501" s="666"/>
      <c r="K501" s="666"/>
      <c r="L501" s="666"/>
      <c r="M501" s="666"/>
      <c r="N501" s="666"/>
      <c r="O501" s="666"/>
      <c r="P501" s="666"/>
      <c r="Q501" s="666"/>
      <c r="R501" s="666"/>
      <c r="S501" s="666"/>
      <c r="T501" s="666"/>
      <c r="U501" s="666"/>
      <c r="V501" s="666"/>
      <c r="W501" s="666"/>
      <c r="X501" s="666"/>
      <c r="Y501" s="666"/>
      <c r="Z501" s="666"/>
      <c r="AA501" s="48"/>
      <c r="AB501" s="48"/>
      <c r="AC501" s="48"/>
    </row>
    <row r="502" spans="1:68" ht="16.5" customHeight="1" x14ac:dyDescent="0.25">
      <c r="A502" s="664" t="s">
        <v>794</v>
      </c>
      <c r="B502" s="656"/>
      <c r="C502" s="656"/>
      <c r="D502" s="656"/>
      <c r="E502" s="656"/>
      <c r="F502" s="656"/>
      <c r="G502" s="656"/>
      <c r="H502" s="656"/>
      <c r="I502" s="656"/>
      <c r="J502" s="656"/>
      <c r="K502" s="656"/>
      <c r="L502" s="656"/>
      <c r="M502" s="656"/>
      <c r="N502" s="656"/>
      <c r="O502" s="656"/>
      <c r="P502" s="656"/>
      <c r="Q502" s="656"/>
      <c r="R502" s="656"/>
      <c r="S502" s="656"/>
      <c r="T502" s="656"/>
      <c r="U502" s="656"/>
      <c r="V502" s="656"/>
      <c r="W502" s="656"/>
      <c r="X502" s="656"/>
      <c r="Y502" s="656"/>
      <c r="Z502" s="656"/>
      <c r="AA502" s="638"/>
      <c r="AB502" s="638"/>
      <c r="AC502" s="638"/>
    </row>
    <row r="503" spans="1:68" ht="14.25" customHeight="1" x14ac:dyDescent="0.25">
      <c r="A503" s="663" t="s">
        <v>111</v>
      </c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6"/>
      <c r="P503" s="656"/>
      <c r="Q503" s="656"/>
      <c r="R503" s="656"/>
      <c r="S503" s="656"/>
      <c r="T503" s="656"/>
      <c r="U503" s="656"/>
      <c r="V503" s="656"/>
      <c r="W503" s="656"/>
      <c r="X503" s="656"/>
      <c r="Y503" s="656"/>
      <c r="Z503" s="656"/>
      <c r="AA503" s="639"/>
      <c r="AB503" s="639"/>
      <c r="AC503" s="639"/>
    </row>
    <row r="504" spans="1:68" ht="27" customHeight="1" x14ac:dyDescent="0.25">
      <c r="A504" s="54" t="s">
        <v>795</v>
      </c>
      <c r="B504" s="54" t="s">
        <v>796</v>
      </c>
      <c r="C504" s="31">
        <v>4301011769</v>
      </c>
      <c r="D504" s="653">
        <v>4607091389067</v>
      </c>
      <c r="E504" s="654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93</v>
      </c>
      <c r="Y504" s="644">
        <f t="shared" ref="Y504:Y512" si="73">IFERROR(IF(X504="",0,CEILING((X504/$H504),1)*$H504),"")</f>
        <v>95.04</v>
      </c>
      <c r="Z504" s="36">
        <f t="shared" ref="Z504:Z509" si="74">IFERROR(IF(Y504=0,"",ROUNDUP(Y504/H504,0)*0.01196),"")</f>
        <v>0.21528</v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99.164772727272734</v>
      </c>
      <c r="BN504" s="64">
        <f t="shared" ref="BN504:BN512" si="76">IFERROR(Y504*I504/H504,"0")</f>
        <v>101.33999999999999</v>
      </c>
      <c r="BO504" s="64">
        <f t="shared" ref="BO504:BO512" si="77">IFERROR(1/J504*(X504/H504),"0")</f>
        <v>0.16936188811188813</v>
      </c>
      <c r="BP504" s="64">
        <f t="shared" ref="BP504:BP512" si="78">IFERROR(1/J504*(Y504/H504),"0")</f>
        <v>0.17307692307692307</v>
      </c>
    </row>
    <row r="505" spans="1:68" ht="16.5" customHeight="1" x14ac:dyDescent="0.25">
      <c r="A505" s="54" t="s">
        <v>797</v>
      </c>
      <c r="B505" s="54" t="s">
        <v>798</v>
      </c>
      <c r="C505" s="31">
        <v>4301012380</v>
      </c>
      <c r="D505" s="653">
        <v>4680115889576</v>
      </c>
      <c r="E505" s="654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customHeight="1" x14ac:dyDescent="0.25">
      <c r="A506" s="54" t="s">
        <v>800</v>
      </c>
      <c r="B506" s="54" t="s">
        <v>801</v>
      </c>
      <c r="C506" s="31">
        <v>4301011961</v>
      </c>
      <c r="D506" s="653">
        <v>4680115885271</v>
      </c>
      <c r="E506" s="654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65</v>
      </c>
      <c r="Y506" s="644">
        <f t="shared" si="73"/>
        <v>68.64</v>
      </c>
      <c r="Z506" s="36">
        <f t="shared" si="74"/>
        <v>0.15548000000000001</v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69.30871212121211</v>
      </c>
      <c r="BN506" s="64">
        <f t="shared" si="76"/>
        <v>73.19</v>
      </c>
      <c r="BO506" s="64">
        <f t="shared" si="77"/>
        <v>0.11837121212121213</v>
      </c>
      <c r="BP506" s="64">
        <f t="shared" si="78"/>
        <v>0.125</v>
      </c>
    </row>
    <row r="507" spans="1:68" ht="27" customHeight="1" x14ac:dyDescent="0.25">
      <c r="A507" s="54" t="s">
        <v>803</v>
      </c>
      <c r="B507" s="54" t="s">
        <v>804</v>
      </c>
      <c r="C507" s="31">
        <v>4301011369</v>
      </c>
      <c r="D507" s="653">
        <v>4680115885226</v>
      </c>
      <c r="E507" s="654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9</v>
      </c>
      <c r="Y507" s="644">
        <f t="shared" si="73"/>
        <v>10.56</v>
      </c>
      <c r="Z507" s="36">
        <f t="shared" si="74"/>
        <v>2.392E-2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9.5965909090909083</v>
      </c>
      <c r="BN507" s="64">
        <f t="shared" si="76"/>
        <v>11.26</v>
      </c>
      <c r="BO507" s="64">
        <f t="shared" si="77"/>
        <v>1.638986013986014E-2</v>
      </c>
      <c r="BP507" s="64">
        <f t="shared" si="78"/>
        <v>1.9230769230769232E-2</v>
      </c>
    </row>
    <row r="508" spans="1:68" ht="16.5" customHeight="1" x14ac:dyDescent="0.25">
      <c r="A508" s="54" t="s">
        <v>806</v>
      </c>
      <c r="B508" s="54" t="s">
        <v>807</v>
      </c>
      <c r="C508" s="31">
        <v>4301011797</v>
      </c>
      <c r="D508" s="653">
        <v>4680115884502</v>
      </c>
      <c r="E508" s="654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53">
        <v>4607091389104</v>
      </c>
      <c r="E509" s="654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202</v>
      </c>
      <c r="Y509" s="644">
        <f t="shared" si="73"/>
        <v>205.92000000000002</v>
      </c>
      <c r="Z509" s="36">
        <f t="shared" si="74"/>
        <v>0.46644000000000002</v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215.3901515151515</v>
      </c>
      <c r="BN509" s="64">
        <f t="shared" si="76"/>
        <v>219.57</v>
      </c>
      <c r="BO509" s="64">
        <f t="shared" si="77"/>
        <v>0.3678613053613054</v>
      </c>
      <c r="BP509" s="64">
        <f t="shared" si="78"/>
        <v>0.375</v>
      </c>
    </row>
    <row r="510" spans="1:68" ht="27" customHeight="1" x14ac:dyDescent="0.25">
      <c r="A510" s="54" t="s">
        <v>812</v>
      </c>
      <c r="B510" s="54" t="s">
        <v>813</v>
      </c>
      <c r="C510" s="31">
        <v>4301012125</v>
      </c>
      <c r="D510" s="653">
        <v>4680115886391</v>
      </c>
      <c r="E510" s="654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814</v>
      </c>
      <c r="B511" s="54" t="s">
        <v>815</v>
      </c>
      <c r="C511" s="31">
        <v>4301012048</v>
      </c>
      <c r="D511" s="653">
        <v>4680115880603</v>
      </c>
      <c r="E511" s="654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0</v>
      </c>
      <c r="Y511" s="644">
        <f t="shared" si="73"/>
        <v>0</v>
      </c>
      <c r="Z511" s="36" t="str">
        <f>IFERROR(IF(Y511=0,"",ROUNDUP(Y511/H511,0)*0.00902),"")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816</v>
      </c>
      <c r="B512" s="54" t="s">
        <v>817</v>
      </c>
      <c r="C512" s="31">
        <v>4301012034</v>
      </c>
      <c r="D512" s="653">
        <v>4607091389982</v>
      </c>
      <c r="E512" s="654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48</v>
      </c>
      <c r="Y512" s="644">
        <f t="shared" si="73"/>
        <v>48</v>
      </c>
      <c r="Z512" s="36">
        <f>IFERROR(IF(Y512=0,"",ROUNDUP(Y512/H512,0)*0.00902),"")</f>
        <v>9.0200000000000002E-2</v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69.100000000000009</v>
      </c>
      <c r="BN512" s="64">
        <f t="shared" si="76"/>
        <v>69.100000000000009</v>
      </c>
      <c r="BO512" s="64">
        <f t="shared" si="77"/>
        <v>7.575757575757576E-2</v>
      </c>
      <c r="BP512" s="64">
        <f t="shared" si="78"/>
        <v>7.575757575757576E-2</v>
      </c>
    </row>
    <row r="513" spans="1:68" x14ac:dyDescent="0.2">
      <c r="A513" s="655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0" t="s">
        <v>72</v>
      </c>
      <c r="Q513" s="651"/>
      <c r="R513" s="651"/>
      <c r="S513" s="651"/>
      <c r="T513" s="651"/>
      <c r="U513" s="651"/>
      <c r="V513" s="652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79.886363636363626</v>
      </c>
      <c r="Y513" s="645">
        <f>IFERROR(Y504/H504,"0")+IFERROR(Y505/H505,"0")+IFERROR(Y506/H506,"0")+IFERROR(Y507/H507,"0")+IFERROR(Y508/H508,"0")+IFERROR(Y509/H509,"0")+IFERROR(Y510/H510,"0")+IFERROR(Y511/H511,"0")+IFERROR(Y512/H512,"0")</f>
        <v>82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0.95131999999999994</v>
      </c>
      <c r="AA513" s="646"/>
      <c r="AB513" s="646"/>
      <c r="AC513" s="646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0" t="s">
        <v>72</v>
      </c>
      <c r="Q514" s="651"/>
      <c r="R514" s="651"/>
      <c r="S514" s="651"/>
      <c r="T514" s="651"/>
      <c r="U514" s="651"/>
      <c r="V514" s="652"/>
      <c r="W514" s="37" t="s">
        <v>67</v>
      </c>
      <c r="X514" s="645">
        <f>IFERROR(SUM(X504:X512),"0")</f>
        <v>417</v>
      </c>
      <c r="Y514" s="645">
        <f>IFERROR(SUM(Y504:Y512),"0")</f>
        <v>428.16</v>
      </c>
      <c r="Z514" s="37"/>
      <c r="AA514" s="646"/>
      <c r="AB514" s="646"/>
      <c r="AC514" s="646"/>
    </row>
    <row r="515" spans="1:68" ht="14.25" customHeight="1" x14ac:dyDescent="0.25">
      <c r="A515" s="663" t="s">
        <v>144</v>
      </c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6"/>
      <c r="P515" s="656"/>
      <c r="Q515" s="656"/>
      <c r="R515" s="656"/>
      <c r="S515" s="656"/>
      <c r="T515" s="656"/>
      <c r="U515" s="656"/>
      <c r="V515" s="656"/>
      <c r="W515" s="656"/>
      <c r="X515" s="656"/>
      <c r="Y515" s="656"/>
      <c r="Z515" s="656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3">
        <v>4607091388930</v>
      </c>
      <c r="E516" s="654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164</v>
      </c>
      <c r="Y516" s="644">
        <f>IFERROR(IF(X516="",0,CEILING((X516/$H516),1)*$H516),"")</f>
        <v>168.96</v>
      </c>
      <c r="Z516" s="36">
        <f>IFERROR(IF(Y516=0,"",ROUNDUP(Y516/H516,0)*0.01196),"")</f>
        <v>0.38272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174.8712121212121</v>
      </c>
      <c r="BN516" s="64">
        <f>IFERROR(Y516*I516/H516,"0")</f>
        <v>180.16</v>
      </c>
      <c r="BO516" s="64">
        <f>IFERROR(1/J516*(X516/H516),"0")</f>
        <v>0.29865967365967366</v>
      </c>
      <c r="BP516" s="64">
        <f>IFERROR(1/J516*(Y516/H516),"0")</f>
        <v>0.30769230769230771</v>
      </c>
    </row>
    <row r="517" spans="1:68" ht="16.5" customHeight="1" x14ac:dyDescent="0.25">
      <c r="A517" s="54" t="s">
        <v>821</v>
      </c>
      <c r="B517" s="54" t="s">
        <v>822</v>
      </c>
      <c r="C517" s="31">
        <v>4301020374</v>
      </c>
      <c r="D517" s="653">
        <v>4680115886407</v>
      </c>
      <c r="E517" s="654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823</v>
      </c>
      <c r="B518" s="54" t="s">
        <v>824</v>
      </c>
      <c r="C518" s="31">
        <v>4301020385</v>
      </c>
      <c r="D518" s="653">
        <v>4680115880054</v>
      </c>
      <c r="E518" s="654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IFERROR(IF(Y518=0,"",ROUNDUP(Y518/H518,0)*0.00902),"")</f>
        <v/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x14ac:dyDescent="0.2">
      <c r="A519" s="655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0" t="s">
        <v>72</v>
      </c>
      <c r="Q519" s="651"/>
      <c r="R519" s="651"/>
      <c r="S519" s="651"/>
      <c r="T519" s="651"/>
      <c r="U519" s="651"/>
      <c r="V519" s="652"/>
      <c r="W519" s="37" t="s">
        <v>73</v>
      </c>
      <c r="X519" s="645">
        <f>IFERROR(X516/H516,"0")+IFERROR(X517/H517,"0")+IFERROR(X518/H518,"0")</f>
        <v>31.060606060606059</v>
      </c>
      <c r="Y519" s="645">
        <f>IFERROR(Y516/H516,"0")+IFERROR(Y517/H517,"0")+IFERROR(Y518/H518,"0")</f>
        <v>32</v>
      </c>
      <c r="Z519" s="645">
        <f>IFERROR(IF(Z516="",0,Z516),"0")+IFERROR(IF(Z517="",0,Z517),"0")+IFERROR(IF(Z518="",0,Z518),"0")</f>
        <v>0.38272</v>
      </c>
      <c r="AA519" s="646"/>
      <c r="AB519" s="646"/>
      <c r="AC519" s="646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0" t="s">
        <v>72</v>
      </c>
      <c r="Q520" s="651"/>
      <c r="R520" s="651"/>
      <c r="S520" s="651"/>
      <c r="T520" s="651"/>
      <c r="U520" s="651"/>
      <c r="V520" s="652"/>
      <c r="W520" s="37" t="s">
        <v>67</v>
      </c>
      <c r="X520" s="645">
        <f>IFERROR(SUM(X516:X518),"0")</f>
        <v>164</v>
      </c>
      <c r="Y520" s="645">
        <f>IFERROR(SUM(Y516:Y518),"0")</f>
        <v>168.96</v>
      </c>
      <c r="Z520" s="37"/>
      <c r="AA520" s="646"/>
      <c r="AB520" s="646"/>
      <c r="AC520" s="646"/>
    </row>
    <row r="521" spans="1:68" ht="14.25" customHeight="1" x14ac:dyDescent="0.25">
      <c r="A521" s="663" t="s">
        <v>62</v>
      </c>
      <c r="B521" s="656"/>
      <c r="C521" s="656"/>
      <c r="D521" s="656"/>
      <c r="E521" s="656"/>
      <c r="F521" s="656"/>
      <c r="G521" s="656"/>
      <c r="H521" s="656"/>
      <c r="I521" s="656"/>
      <c r="J521" s="656"/>
      <c r="K521" s="656"/>
      <c r="L521" s="656"/>
      <c r="M521" s="656"/>
      <c r="N521" s="656"/>
      <c r="O521" s="656"/>
      <c r="P521" s="656"/>
      <c r="Q521" s="656"/>
      <c r="R521" s="656"/>
      <c r="S521" s="656"/>
      <c r="T521" s="656"/>
      <c r="U521" s="656"/>
      <c r="V521" s="656"/>
      <c r="W521" s="656"/>
      <c r="X521" s="656"/>
      <c r="Y521" s="656"/>
      <c r="Z521" s="656"/>
      <c r="AA521" s="639"/>
      <c r="AB521" s="639"/>
      <c r="AC521" s="639"/>
    </row>
    <row r="522" spans="1:68" ht="27" customHeight="1" x14ac:dyDescent="0.25">
      <c r="A522" s="54" t="s">
        <v>825</v>
      </c>
      <c r="B522" s="54" t="s">
        <v>826</v>
      </c>
      <c r="C522" s="31">
        <v>4301031349</v>
      </c>
      <c r="D522" s="653">
        <v>4680115883116</v>
      </c>
      <c r="E522" s="654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71</v>
      </c>
      <c r="Y522" s="644">
        <f t="shared" ref="Y522:Y528" si="79">IFERROR(IF(X522="",0,CEILING((X522/$H522),1)*$H522),"")</f>
        <v>73.92</v>
      </c>
      <c r="Z522" s="36">
        <f>IFERROR(IF(Y522=0,"",ROUNDUP(Y522/H522,0)*0.01196),"")</f>
        <v>0.16744000000000001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75.706439393939391</v>
      </c>
      <c r="BN522" s="64">
        <f t="shared" ref="BN522:BN528" si="81">IFERROR(Y522*I522/H522,"0")</f>
        <v>78.819999999999993</v>
      </c>
      <c r="BO522" s="64">
        <f t="shared" ref="BO522:BO528" si="82">IFERROR(1/J522*(X522/H522),"0")</f>
        <v>0.12929778554778554</v>
      </c>
      <c r="BP522" s="64">
        <f t="shared" ref="BP522:BP528" si="83">IFERROR(1/J522*(Y522/H522),"0")</f>
        <v>0.13461538461538464</v>
      </c>
    </row>
    <row r="523" spans="1:68" ht="27" customHeight="1" x14ac:dyDescent="0.25">
      <c r="A523" s="54" t="s">
        <v>828</v>
      </c>
      <c r="B523" s="54" t="s">
        <v>829</v>
      </c>
      <c r="C523" s="31">
        <v>4301031350</v>
      </c>
      <c r="D523" s="653">
        <v>4680115883093</v>
      </c>
      <c r="E523" s="654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250</v>
      </c>
      <c r="Y523" s="644">
        <f t="shared" si="79"/>
        <v>253.44</v>
      </c>
      <c r="Z523" s="36">
        <f>IFERROR(IF(Y523=0,"",ROUNDUP(Y523/H523,0)*0.01196),"")</f>
        <v>0.57408000000000003</v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266.57196969696969</v>
      </c>
      <c r="BN523" s="64">
        <f t="shared" si="81"/>
        <v>270.23999999999995</v>
      </c>
      <c r="BO523" s="64">
        <f t="shared" si="82"/>
        <v>0.45527389277389274</v>
      </c>
      <c r="BP523" s="64">
        <f t="shared" si="83"/>
        <v>0.46153846153846156</v>
      </c>
    </row>
    <row r="524" spans="1:68" ht="27" customHeight="1" x14ac:dyDescent="0.25">
      <c r="A524" s="54" t="s">
        <v>831</v>
      </c>
      <c r="B524" s="54" t="s">
        <v>832</v>
      </c>
      <c r="C524" s="31">
        <v>4301031353</v>
      </c>
      <c r="D524" s="653">
        <v>4680115883109</v>
      </c>
      <c r="E524" s="654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70</v>
      </c>
      <c r="Y524" s="644">
        <f t="shared" si="79"/>
        <v>73.92</v>
      </c>
      <c r="Z524" s="36">
        <f>IFERROR(IF(Y524=0,"",ROUNDUP(Y524/H524,0)*0.01196),"")</f>
        <v>0.16744000000000001</v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74.640151515151501</v>
      </c>
      <c r="BN524" s="64">
        <f t="shared" si="81"/>
        <v>78.819999999999993</v>
      </c>
      <c r="BO524" s="64">
        <f t="shared" si="82"/>
        <v>0.12747668997668998</v>
      </c>
      <c r="BP524" s="64">
        <f t="shared" si="83"/>
        <v>0.13461538461538464</v>
      </c>
    </row>
    <row r="525" spans="1:68" ht="27" customHeight="1" x14ac:dyDescent="0.25">
      <c r="A525" s="54" t="s">
        <v>834</v>
      </c>
      <c r="B525" s="54" t="s">
        <v>835</v>
      </c>
      <c r="C525" s="31">
        <v>4301031419</v>
      </c>
      <c r="D525" s="653">
        <v>4680115882072</v>
      </c>
      <c r="E525" s="654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customHeight="1" x14ac:dyDescent="0.25">
      <c r="A526" s="54" t="s">
        <v>836</v>
      </c>
      <c r="B526" s="54" t="s">
        <v>837</v>
      </c>
      <c r="C526" s="31">
        <v>4301031352</v>
      </c>
      <c r="D526" s="653">
        <v>4680115882102</v>
      </c>
      <c r="E526" s="654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customHeight="1" x14ac:dyDescent="0.25">
      <c r="A527" s="54" t="s">
        <v>836</v>
      </c>
      <c r="B527" s="54" t="s">
        <v>838</v>
      </c>
      <c r="C527" s="31">
        <v>4301031418</v>
      </c>
      <c r="D527" s="653">
        <v>4680115882102</v>
      </c>
      <c r="E527" s="654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4301031417</v>
      </c>
      <c r="D528" s="653">
        <v>4680115882096</v>
      </c>
      <c r="E528" s="654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x14ac:dyDescent="0.2">
      <c r="A529" s="655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0" t="s">
        <v>72</v>
      </c>
      <c r="Q529" s="651"/>
      <c r="R529" s="651"/>
      <c r="S529" s="651"/>
      <c r="T529" s="651"/>
      <c r="U529" s="651"/>
      <c r="V529" s="652"/>
      <c r="W529" s="37" t="s">
        <v>73</v>
      </c>
      <c r="X529" s="645">
        <f>IFERROR(X522/H522,"0")+IFERROR(X523/H523,"0")+IFERROR(X524/H524,"0")+IFERROR(X525/H525,"0")+IFERROR(X526/H526,"0")+IFERROR(X527/H527,"0")+IFERROR(X528/H528,"0")</f>
        <v>74.053030303030297</v>
      </c>
      <c r="Y529" s="645">
        <f>IFERROR(Y522/H522,"0")+IFERROR(Y523/H523,"0")+IFERROR(Y524/H524,"0")+IFERROR(Y525/H525,"0")+IFERROR(Y526/H526,"0")+IFERROR(Y527/H527,"0")+IFERROR(Y528/H528,"0")</f>
        <v>76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0.9089600000000001</v>
      </c>
      <c r="AA529" s="646"/>
      <c r="AB529" s="646"/>
      <c r="AC529" s="646"/>
    </row>
    <row r="530" spans="1:68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0" t="s">
        <v>72</v>
      </c>
      <c r="Q530" s="651"/>
      <c r="R530" s="651"/>
      <c r="S530" s="651"/>
      <c r="T530" s="651"/>
      <c r="U530" s="651"/>
      <c r="V530" s="652"/>
      <c r="W530" s="37" t="s">
        <v>67</v>
      </c>
      <c r="X530" s="645">
        <f>IFERROR(SUM(X522:X528),"0")</f>
        <v>391</v>
      </c>
      <c r="Y530" s="645">
        <f>IFERROR(SUM(Y522:Y528),"0")</f>
        <v>401.28000000000003</v>
      </c>
      <c r="Z530" s="37"/>
      <c r="AA530" s="646"/>
      <c r="AB530" s="646"/>
      <c r="AC530" s="646"/>
    </row>
    <row r="531" spans="1:68" ht="27.75" customHeight="1" x14ac:dyDescent="0.2">
      <c r="A531" s="665" t="s">
        <v>841</v>
      </c>
      <c r="B531" s="666"/>
      <c r="C531" s="666"/>
      <c r="D531" s="666"/>
      <c r="E531" s="666"/>
      <c r="F531" s="666"/>
      <c r="G531" s="666"/>
      <c r="H531" s="666"/>
      <c r="I531" s="666"/>
      <c r="J531" s="666"/>
      <c r="K531" s="666"/>
      <c r="L531" s="666"/>
      <c r="M531" s="666"/>
      <c r="N531" s="666"/>
      <c r="O531" s="666"/>
      <c r="P531" s="666"/>
      <c r="Q531" s="666"/>
      <c r="R531" s="666"/>
      <c r="S531" s="666"/>
      <c r="T531" s="666"/>
      <c r="U531" s="666"/>
      <c r="V531" s="666"/>
      <c r="W531" s="666"/>
      <c r="X531" s="666"/>
      <c r="Y531" s="666"/>
      <c r="Z531" s="666"/>
      <c r="AA531" s="48"/>
      <c r="AB531" s="48"/>
      <c r="AC531" s="48"/>
    </row>
    <row r="532" spans="1:68" ht="16.5" customHeight="1" x14ac:dyDescent="0.25">
      <c r="A532" s="664" t="s">
        <v>841</v>
      </c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6"/>
      <c r="P532" s="656"/>
      <c r="Q532" s="656"/>
      <c r="R532" s="656"/>
      <c r="S532" s="656"/>
      <c r="T532" s="656"/>
      <c r="U532" s="656"/>
      <c r="V532" s="656"/>
      <c r="W532" s="656"/>
      <c r="X532" s="656"/>
      <c r="Y532" s="656"/>
      <c r="Z532" s="656"/>
      <c r="AA532" s="638"/>
      <c r="AB532" s="638"/>
      <c r="AC532" s="638"/>
    </row>
    <row r="533" spans="1:68" ht="14.25" customHeight="1" x14ac:dyDescent="0.25">
      <c r="A533" s="663" t="s">
        <v>111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39"/>
      <c r="AB533" s="639"/>
      <c r="AC533" s="639"/>
    </row>
    <row r="534" spans="1:68" ht="27" customHeight="1" x14ac:dyDescent="0.25">
      <c r="A534" s="54" t="s">
        <v>842</v>
      </c>
      <c r="B534" s="54" t="s">
        <v>843</v>
      </c>
      <c r="C534" s="31">
        <v>4301011584</v>
      </c>
      <c r="D534" s="653">
        <v>4640242180564</v>
      </c>
      <c r="E534" s="654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x14ac:dyDescent="0.2">
      <c r="A535" s="655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0" t="s">
        <v>72</v>
      </c>
      <c r="Q535" s="651"/>
      <c r="R535" s="651"/>
      <c r="S535" s="651"/>
      <c r="T535" s="651"/>
      <c r="U535" s="651"/>
      <c r="V535" s="652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0" t="s">
        <v>72</v>
      </c>
      <c r="Q536" s="651"/>
      <c r="R536" s="651"/>
      <c r="S536" s="651"/>
      <c r="T536" s="651"/>
      <c r="U536" s="651"/>
      <c r="V536" s="652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customHeight="1" x14ac:dyDescent="0.25">
      <c r="A537" s="663" t="s">
        <v>144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39"/>
      <c r="AB537" s="639"/>
      <c r="AC537" s="639"/>
    </row>
    <row r="538" spans="1:68" ht="27" customHeight="1" x14ac:dyDescent="0.25">
      <c r="A538" s="54" t="s">
        <v>845</v>
      </c>
      <c r="B538" s="54" t="s">
        <v>846</v>
      </c>
      <c r="C538" s="31">
        <v>4301020400</v>
      </c>
      <c r="D538" s="653">
        <v>4640242180519</v>
      </c>
      <c r="E538" s="654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55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0" t="s">
        <v>72</v>
      </c>
      <c r="Q539" s="651"/>
      <c r="R539" s="651"/>
      <c r="S539" s="651"/>
      <c r="T539" s="651"/>
      <c r="U539" s="651"/>
      <c r="V539" s="652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0" t="s">
        <v>72</v>
      </c>
      <c r="Q540" s="651"/>
      <c r="R540" s="651"/>
      <c r="S540" s="651"/>
      <c r="T540" s="651"/>
      <c r="U540" s="651"/>
      <c r="V540" s="652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customHeight="1" x14ac:dyDescent="0.25">
      <c r="A541" s="663" t="s">
        <v>62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39"/>
      <c r="AB541" s="639"/>
      <c r="AC541" s="639"/>
    </row>
    <row r="542" spans="1:68" ht="27" customHeight="1" x14ac:dyDescent="0.25">
      <c r="A542" s="54" t="s">
        <v>848</v>
      </c>
      <c r="B542" s="54" t="s">
        <v>849</v>
      </c>
      <c r="C542" s="31">
        <v>4301031500</v>
      </c>
      <c r="D542" s="653">
        <v>4640242180595</v>
      </c>
      <c r="E542" s="654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3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5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customHeight="1" x14ac:dyDescent="0.25">
      <c r="A545" s="663" t="s">
        <v>74</v>
      </c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6"/>
      <c r="P545" s="656"/>
      <c r="Q545" s="656"/>
      <c r="R545" s="656"/>
      <c r="S545" s="656"/>
      <c r="T545" s="656"/>
      <c r="U545" s="656"/>
      <c r="V545" s="656"/>
      <c r="W545" s="656"/>
      <c r="X545" s="656"/>
      <c r="Y545" s="656"/>
      <c r="Z545" s="656"/>
      <c r="AA545" s="639"/>
      <c r="AB545" s="639"/>
      <c r="AC545" s="639"/>
    </row>
    <row r="546" spans="1:68" ht="27" customHeight="1" x14ac:dyDescent="0.25">
      <c r="A546" s="54" t="s">
        <v>851</v>
      </c>
      <c r="B546" s="54" t="s">
        <v>852</v>
      </c>
      <c r="C546" s="31">
        <v>4301052043</v>
      </c>
      <c r="D546" s="653">
        <v>4640242180533</v>
      </c>
      <c r="E546" s="654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50</v>
      </c>
      <c r="Y546" s="644">
        <f>IFERROR(IF(X546="",0,CEILING((X546/$H546),1)*$H546),"")</f>
        <v>54</v>
      </c>
      <c r="Z546" s="36">
        <f>IFERROR(IF(Y546=0,"",ROUNDUP(Y546/H546,0)*0.01898),"")</f>
        <v>0.11388000000000001</v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52.74444444444444</v>
      </c>
      <c r="BN546" s="64">
        <f>IFERROR(Y546*I546/H546,"0")</f>
        <v>56.963999999999992</v>
      </c>
      <c r="BO546" s="64">
        <f>IFERROR(1/J546*(X546/H546),"0")</f>
        <v>8.6805555555555552E-2</v>
      </c>
      <c r="BP546" s="64">
        <f>IFERROR(1/J546*(Y546/H546),"0")</f>
        <v>9.375E-2</v>
      </c>
    </row>
    <row r="547" spans="1:68" x14ac:dyDescent="0.2">
      <c r="A547" s="655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0" t="s">
        <v>72</v>
      </c>
      <c r="Q547" s="651"/>
      <c r="R547" s="651"/>
      <c r="S547" s="651"/>
      <c r="T547" s="651"/>
      <c r="U547" s="651"/>
      <c r="V547" s="652"/>
      <c r="W547" s="37" t="s">
        <v>73</v>
      </c>
      <c r="X547" s="645">
        <f>IFERROR(X546/H546,"0")</f>
        <v>5.5555555555555554</v>
      </c>
      <c r="Y547" s="645">
        <f>IFERROR(Y546/H546,"0")</f>
        <v>6</v>
      </c>
      <c r="Z547" s="645">
        <f>IFERROR(IF(Z546="",0,Z546),"0")</f>
        <v>0.11388000000000001</v>
      </c>
      <c r="AA547" s="646"/>
      <c r="AB547" s="646"/>
      <c r="AC547" s="646"/>
    </row>
    <row r="548" spans="1:68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0" t="s">
        <v>72</v>
      </c>
      <c r="Q548" s="651"/>
      <c r="R548" s="651"/>
      <c r="S548" s="651"/>
      <c r="T548" s="651"/>
      <c r="U548" s="651"/>
      <c r="V548" s="652"/>
      <c r="W548" s="37" t="s">
        <v>67</v>
      </c>
      <c r="X548" s="645">
        <f>IFERROR(SUM(X546:X546),"0")</f>
        <v>50</v>
      </c>
      <c r="Y548" s="645">
        <f>IFERROR(SUM(Y546:Y546),"0")</f>
        <v>54</v>
      </c>
      <c r="Z548" s="37"/>
      <c r="AA548" s="646"/>
      <c r="AB548" s="646"/>
      <c r="AC548" s="646"/>
    </row>
    <row r="549" spans="1:68" ht="14.25" customHeight="1" x14ac:dyDescent="0.25">
      <c r="A549" s="663" t="s">
        <v>162</v>
      </c>
      <c r="B549" s="656"/>
      <c r="C549" s="656"/>
      <c r="D549" s="656"/>
      <c r="E549" s="656"/>
      <c r="F549" s="656"/>
      <c r="G549" s="656"/>
      <c r="H549" s="656"/>
      <c r="I549" s="656"/>
      <c r="J549" s="656"/>
      <c r="K549" s="656"/>
      <c r="L549" s="656"/>
      <c r="M549" s="656"/>
      <c r="N549" s="656"/>
      <c r="O549" s="656"/>
      <c r="P549" s="656"/>
      <c r="Q549" s="656"/>
      <c r="R549" s="656"/>
      <c r="S549" s="656"/>
      <c r="T549" s="656"/>
      <c r="U549" s="656"/>
      <c r="V549" s="656"/>
      <c r="W549" s="656"/>
      <c r="X549" s="656"/>
      <c r="Y549" s="656"/>
      <c r="Z549" s="656"/>
      <c r="AA549" s="639"/>
      <c r="AB549" s="639"/>
      <c r="AC549" s="639"/>
    </row>
    <row r="550" spans="1:68" ht="27" customHeight="1" x14ac:dyDescent="0.25">
      <c r="A550" s="54" t="s">
        <v>854</v>
      </c>
      <c r="B550" s="54" t="s">
        <v>855</v>
      </c>
      <c r="C550" s="31">
        <v>4301060535</v>
      </c>
      <c r="D550" s="653">
        <v>4640242180120</v>
      </c>
      <c r="E550" s="654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1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857</v>
      </c>
      <c r="B551" s="54" t="s">
        <v>858</v>
      </c>
      <c r="C551" s="31">
        <v>4301060536</v>
      </c>
      <c r="D551" s="653">
        <v>4640242180137</v>
      </c>
      <c r="E551" s="654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55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0" t="s">
        <v>72</v>
      </c>
      <c r="Q552" s="651"/>
      <c r="R552" s="651"/>
      <c r="S552" s="651"/>
      <c r="T552" s="651"/>
      <c r="U552" s="651"/>
      <c r="V552" s="652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0" t="s">
        <v>72</v>
      </c>
      <c r="Q553" s="651"/>
      <c r="R553" s="651"/>
      <c r="S553" s="651"/>
      <c r="T553" s="651"/>
      <c r="U553" s="651"/>
      <c r="V553" s="652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customHeight="1" x14ac:dyDescent="0.25">
      <c r="A554" s="664" t="s">
        <v>860</v>
      </c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56"/>
      <c r="P554" s="656"/>
      <c r="Q554" s="656"/>
      <c r="R554" s="656"/>
      <c r="S554" s="656"/>
      <c r="T554" s="656"/>
      <c r="U554" s="656"/>
      <c r="V554" s="656"/>
      <c r="W554" s="656"/>
      <c r="X554" s="656"/>
      <c r="Y554" s="656"/>
      <c r="Z554" s="656"/>
      <c r="AA554" s="638"/>
      <c r="AB554" s="638"/>
      <c r="AC554" s="638"/>
    </row>
    <row r="555" spans="1:68" ht="14.25" customHeight="1" x14ac:dyDescent="0.25">
      <c r="A555" s="663" t="s">
        <v>144</v>
      </c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39"/>
      <c r="AB555" s="639"/>
      <c r="AC555" s="639"/>
    </row>
    <row r="556" spans="1:68" ht="27" customHeight="1" x14ac:dyDescent="0.25">
      <c r="A556" s="54" t="s">
        <v>861</v>
      </c>
      <c r="B556" s="54" t="s">
        <v>862</v>
      </c>
      <c r="C556" s="31">
        <v>4301020428</v>
      </c>
      <c r="D556" s="653">
        <v>4640242180090</v>
      </c>
      <c r="E556" s="654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x14ac:dyDescent="0.2">
      <c r="A557" s="655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0" t="s">
        <v>72</v>
      </c>
      <c r="Q557" s="651"/>
      <c r="R557" s="651"/>
      <c r="S557" s="651"/>
      <c r="T557" s="651"/>
      <c r="U557" s="651"/>
      <c r="V557" s="652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0" t="s">
        <v>72</v>
      </c>
      <c r="Q558" s="651"/>
      <c r="R558" s="651"/>
      <c r="S558" s="651"/>
      <c r="T558" s="651"/>
      <c r="U558" s="651"/>
      <c r="V558" s="652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41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21"/>
      <c r="P559" s="699" t="s">
        <v>864</v>
      </c>
      <c r="Q559" s="700"/>
      <c r="R559" s="700"/>
      <c r="S559" s="700"/>
      <c r="T559" s="700"/>
      <c r="U559" s="700"/>
      <c r="V559" s="701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9032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9237.6900000000023</v>
      </c>
      <c r="Z559" s="37"/>
      <c r="AA559" s="646"/>
      <c r="AB559" s="646"/>
      <c r="AC559" s="646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21"/>
      <c r="P560" s="699" t="s">
        <v>865</v>
      </c>
      <c r="Q560" s="700"/>
      <c r="R560" s="700"/>
      <c r="S560" s="700"/>
      <c r="T560" s="700"/>
      <c r="U560" s="700"/>
      <c r="V560" s="701"/>
      <c r="W560" s="37" t="s">
        <v>67</v>
      </c>
      <c r="X560" s="645">
        <f>IFERROR(SUM(BM22:BM556),"0")</f>
        <v>9554.9403751925929</v>
      </c>
      <c r="Y560" s="645">
        <f>IFERROR(SUM(BN22:BN556),"0")</f>
        <v>9773.6630000000005</v>
      </c>
      <c r="Z560" s="37"/>
      <c r="AA560" s="646"/>
      <c r="AB560" s="646"/>
      <c r="AC560" s="646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21"/>
      <c r="P561" s="699" t="s">
        <v>866</v>
      </c>
      <c r="Q561" s="700"/>
      <c r="R561" s="700"/>
      <c r="S561" s="700"/>
      <c r="T561" s="700"/>
      <c r="U561" s="700"/>
      <c r="V561" s="701"/>
      <c r="W561" s="37" t="s">
        <v>867</v>
      </c>
      <c r="X561" s="38">
        <f>ROUNDUP(SUM(BO22:BO556),0)</f>
        <v>16</v>
      </c>
      <c r="Y561" s="38">
        <f>ROUNDUP(SUM(BP22:BP556),0)</f>
        <v>17</v>
      </c>
      <c r="Z561" s="37"/>
      <c r="AA561" s="646"/>
      <c r="AB561" s="646"/>
      <c r="AC561" s="646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21"/>
      <c r="P562" s="699" t="s">
        <v>868</v>
      </c>
      <c r="Q562" s="700"/>
      <c r="R562" s="700"/>
      <c r="S562" s="700"/>
      <c r="T562" s="700"/>
      <c r="U562" s="700"/>
      <c r="V562" s="701"/>
      <c r="W562" s="37" t="s">
        <v>67</v>
      </c>
      <c r="X562" s="645">
        <f>GrossWeightTotal+PalletQtyTotal*25</f>
        <v>9954.9403751925929</v>
      </c>
      <c r="Y562" s="645">
        <f>GrossWeightTotalR+PalletQtyTotalR*25</f>
        <v>10198.663</v>
      </c>
      <c r="Z562" s="37"/>
      <c r="AA562" s="646"/>
      <c r="AB562" s="646"/>
      <c r="AC562" s="646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21"/>
      <c r="P563" s="699" t="s">
        <v>869</v>
      </c>
      <c r="Q563" s="700"/>
      <c r="R563" s="700"/>
      <c r="S563" s="700"/>
      <c r="T563" s="700"/>
      <c r="U563" s="700"/>
      <c r="V563" s="701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1591.2522144952957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1630</v>
      </c>
      <c r="Z563" s="37"/>
      <c r="AA563" s="646"/>
      <c r="AB563" s="646"/>
      <c r="AC563" s="646"/>
    </row>
    <row r="564" spans="1:32" ht="14.25" customHeight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821"/>
      <c r="P564" s="699" t="s">
        <v>870</v>
      </c>
      <c r="Q564" s="700"/>
      <c r="R564" s="700"/>
      <c r="S564" s="700"/>
      <c r="T564" s="700"/>
      <c r="U564" s="700"/>
      <c r="V564" s="701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18.496110000000005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03" t="s">
        <v>109</v>
      </c>
      <c r="E566" s="844"/>
      <c r="F566" s="844"/>
      <c r="G566" s="844"/>
      <c r="H566" s="844"/>
      <c r="I566" s="844"/>
      <c r="J566" s="788"/>
      <c r="K566" s="703" t="s">
        <v>349</v>
      </c>
      <c r="L566" s="844"/>
      <c r="M566" s="844"/>
      <c r="N566" s="844"/>
      <c r="O566" s="844"/>
      <c r="P566" s="844"/>
      <c r="Q566" s="844"/>
      <c r="R566" s="844"/>
      <c r="S566" s="844"/>
      <c r="T566" s="844"/>
      <c r="U566" s="844"/>
      <c r="V566" s="788"/>
      <c r="W566" s="703" t="s">
        <v>692</v>
      </c>
      <c r="X566" s="788"/>
      <c r="Y566" s="703" t="s">
        <v>758</v>
      </c>
      <c r="Z566" s="788"/>
      <c r="AA566" s="640" t="s">
        <v>794</v>
      </c>
      <c r="AB566" s="703" t="s">
        <v>841</v>
      </c>
      <c r="AC566" s="788"/>
      <c r="AF566" s="641"/>
    </row>
    <row r="567" spans="1:32" ht="14.25" customHeight="1" thickTop="1" x14ac:dyDescent="0.2">
      <c r="A567" s="816" t="s">
        <v>873</v>
      </c>
      <c r="B567" s="703" t="s">
        <v>61</v>
      </c>
      <c r="C567" s="703" t="s">
        <v>93</v>
      </c>
      <c r="D567" s="703" t="s">
        <v>110</v>
      </c>
      <c r="E567" s="703" t="s">
        <v>126</v>
      </c>
      <c r="F567" s="703" t="s">
        <v>171</v>
      </c>
      <c r="G567" s="703" t="s">
        <v>198</v>
      </c>
      <c r="H567" s="703" t="s">
        <v>249</v>
      </c>
      <c r="I567" s="703" t="s">
        <v>262</v>
      </c>
      <c r="J567" s="703" t="s">
        <v>109</v>
      </c>
      <c r="K567" s="703" t="s">
        <v>350</v>
      </c>
      <c r="L567" s="703" t="s">
        <v>371</v>
      </c>
      <c r="M567" s="703" t="s">
        <v>438</v>
      </c>
      <c r="N567" s="641"/>
      <c r="O567" s="703" t="s">
        <v>506</v>
      </c>
      <c r="P567" s="703" t="s">
        <v>539</v>
      </c>
      <c r="Q567" s="703" t="s">
        <v>555</v>
      </c>
      <c r="R567" s="703" t="s">
        <v>564</v>
      </c>
      <c r="S567" s="703" t="s">
        <v>585</v>
      </c>
      <c r="T567" s="703" t="s">
        <v>594</v>
      </c>
      <c r="U567" s="703" t="s">
        <v>675</v>
      </c>
      <c r="V567" s="703" t="s">
        <v>682</v>
      </c>
      <c r="W567" s="703" t="s">
        <v>693</v>
      </c>
      <c r="X567" s="703" t="s">
        <v>742</v>
      </c>
      <c r="Y567" s="703" t="s">
        <v>759</v>
      </c>
      <c r="Z567" s="703" t="s">
        <v>782</v>
      </c>
      <c r="AA567" s="703" t="s">
        <v>794</v>
      </c>
      <c r="AB567" s="703" t="s">
        <v>841</v>
      </c>
      <c r="AC567" s="703" t="s">
        <v>860</v>
      </c>
      <c r="AF567" s="641"/>
    </row>
    <row r="568" spans="1:32" ht="13.5" customHeight="1" thickBot="1" x14ac:dyDescent="0.25">
      <c r="A568" s="817"/>
      <c r="B568" s="704"/>
      <c r="C568" s="704"/>
      <c r="D568" s="704"/>
      <c r="E568" s="704"/>
      <c r="F568" s="704"/>
      <c r="G568" s="704"/>
      <c r="H568" s="704"/>
      <c r="I568" s="704"/>
      <c r="J568" s="704"/>
      <c r="K568" s="704"/>
      <c r="L568" s="704"/>
      <c r="M568" s="704"/>
      <c r="N568" s="641"/>
      <c r="O568" s="704"/>
      <c r="P568" s="704"/>
      <c r="Q568" s="704"/>
      <c r="R568" s="704"/>
      <c r="S568" s="704"/>
      <c r="T568" s="704"/>
      <c r="U568" s="704"/>
      <c r="V568" s="704"/>
      <c r="W568" s="704"/>
      <c r="X568" s="704"/>
      <c r="Y568" s="704"/>
      <c r="Z568" s="704"/>
      <c r="AA568" s="704"/>
      <c r="AB568" s="704"/>
      <c r="AC568" s="704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50.4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37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573.59999999999991</v>
      </c>
      <c r="F569" s="46">
        <f>IFERROR(Y85*1,"0")+IFERROR(Y86*1,"0")+IFERROR(Y87*1,"0")+IFERROR(Y88*1,"0")+IFERROR(Y89*1,"0")+IFERROR(Y93*1,"0")+IFERROR(Y94*1,"0")+IFERROR(Y95*1,"0")+IFERROR(Y96*1,"0")+IFERROR(Y97*1,"0")+IFERROR(Y98*1,"0")</f>
        <v>371.7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651.29999999999995</v>
      </c>
      <c r="H569" s="46">
        <f>IFERROR(Y138*1,"0")+IFERROR(Y139*1,"0")+IFERROR(Y143*1,"0")+IFERROR(Y144*1,"0")+IFERROR(Y148*1,"0")+IFERROR(Y149*1,"0")</f>
        <v>75.12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439.53999999999996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270.45999999999998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1007.6999999999999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9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100.8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179.39999999999998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692.07</v>
      </c>
      <c r="U569" s="46">
        <f>IFERROR(Y417*1,"0")+IFERROR(Y418*1,"0")</f>
        <v>0</v>
      </c>
      <c r="V569" s="46">
        <f>IFERROR(Y423*1,"0")+IFERROR(Y424*1,"0")+IFERROR(Y425*1,"0")</f>
        <v>21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3360</v>
      </c>
      <c r="X569" s="46">
        <f>IFERROR(Y460*1,"0")+IFERROR(Y461*1,"0")+IFERROR(Y465*1,"0")+IFERROR(Y469*1,"0")+IFERROR(Y470*1,"0")+IFERROR(Y471*1,"0")</f>
        <v>216.6</v>
      </c>
      <c r="Y569" s="46">
        <f>IFERROR(Y477*1,"0")+IFERROR(Y478*1,"0")+IFERROR(Y479*1,"0")+IFERROR(Y480*1,"0")+IFERROR(Y481*1,"0")+IFERROR(Y482*1,"0")+IFERROR(Y486*1,"0")+IFERROR(Y487*1,"0")</f>
        <v>54</v>
      </c>
      <c r="Z569" s="46">
        <f>IFERROR(Y492*1,"0")+IFERROR(Y496*1,"0")+IFERROR(Y497*1,"0")+IFERROR(Y498*1,"0")</f>
        <v>75.600000000000009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998.4</v>
      </c>
      <c r="AB569" s="46">
        <f>IFERROR(Y534*1,"0")+IFERROR(Y538*1,"0")+IFERROR(Y542*1,"0")+IFERROR(Y546*1,"0")+IFERROR(Y550*1,"0")+IFERROR(Y551*1,"0")</f>
        <v>54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03">
    <mergeCell ref="P505:T505"/>
    <mergeCell ref="A428:Z428"/>
    <mergeCell ref="A355:O356"/>
    <mergeCell ref="A415:Z415"/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510:T510"/>
    <mergeCell ref="P544:V544"/>
    <mergeCell ref="P427:V427"/>
    <mergeCell ref="A42:O43"/>
    <mergeCell ref="P519:V519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D522:E522"/>
    <mergeCell ref="A202:O203"/>
    <mergeCell ref="P60:T60"/>
    <mergeCell ref="D291:E291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559:O564"/>
    <mergeCell ref="P49:T49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M17:M18"/>
    <mergeCell ref="A531:Z531"/>
    <mergeCell ref="A409:Z409"/>
    <mergeCell ref="O17:O18"/>
    <mergeCell ref="P258:V258"/>
    <mergeCell ref="P223:V223"/>
    <mergeCell ref="P494:V494"/>
    <mergeCell ref="P52:V52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Z17:Z18"/>
    <mergeCell ref="P173:V173"/>
    <mergeCell ref="A172:O173"/>
    <mergeCell ref="A54:Z54"/>
    <mergeCell ref="P100:V100"/>
    <mergeCell ref="AB17:AB18"/>
    <mergeCell ref="P265:V265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AA17:AA18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P560:V560"/>
    <mergeCell ref="D504:E504"/>
    <mergeCell ref="P241:V241"/>
    <mergeCell ref="P483:V483"/>
    <mergeCell ref="D298:E298"/>
    <mergeCell ref="D181:E181"/>
    <mergeCell ref="D273:E273"/>
    <mergeCell ref="P156:T156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37:T37"/>
    <mergeCell ref="P143:T143"/>
    <mergeCell ref="A129:O130"/>
    <mergeCell ref="D64:E64"/>
    <mergeCell ref="P235:T235"/>
    <mergeCell ref="P506:T506"/>
    <mergeCell ref="P477:T477"/>
    <mergeCell ref="D349:E349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H17:H18"/>
    <mergeCell ref="P332:T332"/>
    <mergeCell ref="P452:V452"/>
    <mergeCell ref="P217:T217"/>
    <mergeCell ref="D465:E465"/>
    <mergeCell ref="P27:T27"/>
    <mergeCell ref="P154:T154"/>
    <mergeCell ref="P526:T526"/>
    <mergeCell ref="D314:E314"/>
    <mergeCell ref="G17:G18"/>
    <mergeCell ref="A167:Z167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A206:O207"/>
    <mergeCell ref="P89:T89"/>
    <mergeCell ref="P88:T88"/>
    <mergeCell ref="P324:T324"/>
    <mergeCell ref="P511:T511"/>
    <mergeCell ref="A261:Z261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D104:E104"/>
    <mergeCell ref="P425:T425"/>
    <mergeCell ref="P254:V254"/>
    <mergeCell ref="D340:E340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P75:V75"/>
    <mergeCell ref="P342:V342"/>
    <mergeCell ref="P146:V146"/>
    <mergeCell ref="D330:E330"/>
    <mergeCell ref="D492:E492"/>
    <mergeCell ref="P540:V540"/>
    <mergeCell ref="P305:T305"/>
    <mergeCell ref="A421:Z421"/>
    <mergeCell ref="D96:E96"/>
    <mergeCell ref="A396:Z396"/>
    <mergeCell ref="D27:E27"/>
    <mergeCell ref="F567:F568"/>
    <mergeCell ref="P62:V62"/>
    <mergeCell ref="H567:H568"/>
    <mergeCell ref="P469:T469"/>
    <mergeCell ref="P198:V198"/>
    <mergeCell ref="A250:Z25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R567:R568"/>
    <mergeCell ref="A303:Z303"/>
    <mergeCell ref="P78:T78"/>
    <mergeCell ref="D322:E322"/>
    <mergeCell ref="P376:T376"/>
    <mergeCell ref="P205:T205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517:E517"/>
    <mergeCell ref="D324:E324"/>
    <mergeCell ref="P117:T117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P546:T546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523:T523"/>
    <mergeCell ref="P203:V20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1:F1"/>
    <mergeCell ref="J17:J18"/>
    <mergeCell ref="P61:V61"/>
    <mergeCell ref="L17:L18"/>
    <mergeCell ref="D511:E511"/>
    <mergeCell ref="A336:Z336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U567:U568"/>
    <mergeCell ref="D329:E329"/>
    <mergeCell ref="P479:T479"/>
    <mergeCell ref="M567:M568"/>
    <mergeCell ref="D400:E400"/>
    <mergeCell ref="P286:T286"/>
    <mergeCell ref="D158:E158"/>
    <mergeCell ref="D77:E77"/>
    <mergeCell ref="D229:E229"/>
    <mergeCell ref="P187:T187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D245:E245"/>
    <mergeCell ref="D516:E516"/>
    <mergeCell ref="P116:T116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D55:E55"/>
    <mergeCell ref="D524:E524"/>
    <mergeCell ref="D353:E353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W17:W18"/>
    <mergeCell ref="A264:O265"/>
    <mergeCell ref="P90:V90"/>
    <mergeCell ref="P161:V161"/>
    <mergeCell ref="P559:V559"/>
    <mergeCell ref="P388:V388"/>
    <mergeCell ref="A515:Z515"/>
    <mergeCell ref="P234:T234"/>
    <mergeCell ref="P325:V325"/>
    <mergeCell ref="A321:Z321"/>
    <mergeCell ref="P561:V561"/>
    <mergeCell ref="D378:E378"/>
    <mergeCell ref="D417:E417"/>
    <mergeCell ref="P471:T471"/>
    <mergeCell ref="A401:O402"/>
    <mergeCell ref="P148:T148"/>
    <mergeCell ref="A240:O241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P56:T56"/>
    <mergeCell ref="D360:E360"/>
    <mergeCell ref="D189:E189"/>
    <mergeCell ref="D431:E431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P543:V543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514:V514"/>
    <mergeCell ref="D60:E60"/>
    <mergeCell ref="A513:O514"/>
    <mergeCell ref="P244:T244"/>
    <mergeCell ref="P437:T437"/>
    <mergeCell ref="D187:E187"/>
    <mergeCell ref="P144:T144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2026-08-28T09:46:37Z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