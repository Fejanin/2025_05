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9E034DA-87AB-4FF1-AB16-0F105BCDC0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P569" i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6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Y300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Y255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P243" i="1"/>
  <c r="BO243" i="1"/>
  <c r="BN243" i="1"/>
  <c r="BM243" i="1"/>
  <c r="Z243" i="1"/>
  <c r="Y243" i="1"/>
  <c r="Y249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BP185" i="1"/>
  <c r="BO185" i="1"/>
  <c r="BN185" i="1"/>
  <c r="BM185" i="1"/>
  <c r="Z185" i="1"/>
  <c r="Y185" i="1"/>
  <c r="P185" i="1"/>
  <c r="BO184" i="1"/>
  <c r="BM184" i="1"/>
  <c r="Y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9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X563" i="1" s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F10" i="1" s="1"/>
  <c r="D7" i="1"/>
  <c r="Q6" i="1"/>
  <c r="P2" i="1"/>
  <c r="Y24" i="1" l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3" i="1"/>
  <c r="Y178" i="1"/>
  <c r="BP175" i="1"/>
  <c r="BN175" i="1"/>
  <c r="Z175" i="1"/>
  <c r="Z177" i="1" s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Y296" i="1"/>
  <c r="BP288" i="1"/>
  <c r="BN288" i="1"/>
  <c r="Z288" i="1"/>
  <c r="BP292" i="1"/>
  <c r="BN292" i="1"/>
  <c r="Z292" i="1"/>
  <c r="BP305" i="1"/>
  <c r="BN305" i="1"/>
  <c r="Z305" i="1"/>
  <c r="Z311" i="1" s="1"/>
  <c r="Y311" i="1"/>
  <c r="BP309" i="1"/>
  <c r="BN309" i="1"/>
  <c r="Z309" i="1"/>
  <c r="BP348" i="1"/>
  <c r="BN348" i="1"/>
  <c r="Z348" i="1"/>
  <c r="BP398" i="1"/>
  <c r="BN398" i="1"/>
  <c r="Z398" i="1"/>
  <c r="Z401" i="1" s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H9" i="1"/>
  <c r="A10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G569" i="1"/>
  <c r="Z104" i="1"/>
  <c r="Z111" i="1" s="1"/>
  <c r="BN104" i="1"/>
  <c r="Z106" i="1"/>
  <c r="BN106" i="1"/>
  <c r="Z108" i="1"/>
  <c r="BN108" i="1"/>
  <c r="Z109" i="1"/>
  <c r="BN109" i="1"/>
  <c r="Y112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Z134" i="1" s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Z218" i="1" s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Z248" i="1"/>
  <c r="BP244" i="1"/>
  <c r="BN244" i="1"/>
  <c r="Z244" i="1"/>
  <c r="Y248" i="1"/>
  <c r="BP252" i="1"/>
  <c r="BN252" i="1"/>
  <c r="Z252" i="1"/>
  <c r="Z254" i="1" s="1"/>
  <c r="Y269" i="1"/>
  <c r="BP273" i="1"/>
  <c r="BN273" i="1"/>
  <c r="Z273" i="1"/>
  <c r="Z280" i="1" s="1"/>
  <c r="BP277" i="1"/>
  <c r="BN277" i="1"/>
  <c r="Z277" i="1"/>
  <c r="BP330" i="1"/>
  <c r="BN330" i="1"/>
  <c r="Z330" i="1"/>
  <c r="Y334" i="1"/>
  <c r="BP339" i="1"/>
  <c r="BN339" i="1"/>
  <c r="Z339" i="1"/>
  <c r="Z341" i="1" s="1"/>
  <c r="Y341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M569" i="1"/>
  <c r="Y264" i="1"/>
  <c r="Y281" i="1"/>
  <c r="Y280" i="1"/>
  <c r="Y295" i="1"/>
  <c r="BP286" i="1"/>
  <c r="BN286" i="1"/>
  <c r="Z286" i="1"/>
  <c r="Z295" i="1" s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Z334" i="1" s="1"/>
  <c r="BP346" i="1"/>
  <c r="BN346" i="1"/>
  <c r="Z346" i="1"/>
  <c r="Z350" i="1" s="1"/>
  <c r="Y350" i="1"/>
  <c r="BP354" i="1"/>
  <c r="BN354" i="1"/>
  <c r="Z354" i="1"/>
  <c r="Z355" i="1" s="1"/>
  <c r="Y356" i="1"/>
  <c r="S569" i="1"/>
  <c r="Y362" i="1"/>
  <c r="BP359" i="1"/>
  <c r="BN359" i="1"/>
  <c r="Z359" i="1"/>
  <c r="Z362" i="1" s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Z439" i="1" s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Z483" i="1" s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513" i="1" l="1"/>
  <c r="Z529" i="1"/>
  <c r="Z472" i="1"/>
  <c r="Z451" i="1"/>
  <c r="Z192" i="1"/>
  <c r="Z99" i="1"/>
  <c r="Z74" i="1"/>
  <c r="Z61" i="1"/>
  <c r="Y561" i="1"/>
  <c r="Z413" i="1"/>
  <c r="Z240" i="1"/>
  <c r="Z499" i="1"/>
  <c r="Z381" i="1"/>
  <c r="Z371" i="1"/>
  <c r="Y559" i="1"/>
  <c r="Y560" i="1"/>
  <c r="Y562" i="1" s="1"/>
  <c r="Z198" i="1"/>
  <c r="Z564" i="1" s="1"/>
  <c r="Y563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<sst xmlns="http://schemas.openxmlformats.org/spreadsheetml/2006/main" count="2556" uniqueCount="916">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</sst>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1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24</v>
      </c>
      <c r="Y29" s="644">
        <f>IFERROR(IF(X29="",0,CEILING((X29/$H29),1)*$H29),"")</f>
        <v>25.2</v>
      </c>
      <c r="Z29" s="36">
        <f>IFERROR(IF(Y29=0,"",ROUNDUP(Y29/H29,0)*0.00651),"")</f>
        <v>9.1139999999999999E-2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42.400000000000006</v>
      </c>
      <c r="BN29" s="64">
        <f>IFERROR(Y29*I29/H29,"0")</f>
        <v>44.519999999999996</v>
      </c>
      <c r="BO29" s="64">
        <f>IFERROR(1/J29*(X29/H29),"0")</f>
        <v>7.3260073260073263E-2</v>
      </c>
      <c r="BP29" s="64">
        <f>IFERROR(1/J29*(Y29/H29),"0")</f>
        <v>7.6923076923076927E-2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13.333333333333332</v>
      </c>
      <c r="Y32" s="645">
        <f>IFERROR(Y27/H27,"0")+IFERROR(Y28/H28,"0")+IFERROR(Y29/H29,"0")+IFERROR(Y30/H30,"0")+IFERROR(Y31/H31,"0")</f>
        <v>14</v>
      </c>
      <c r="Z32" s="645">
        <f>IFERROR(IF(Z27="",0,Z27),"0")+IFERROR(IF(Z28="",0,Z28),"0")+IFERROR(IF(Z29="",0,Z29),"0")+IFERROR(IF(Z30="",0,Z30),"0")+IFERROR(IF(Z31="",0,Z31),"0")</f>
        <v>9.1139999999999999E-2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24</v>
      </c>
      <c r="Y33" s="645">
        <f>IFERROR(SUM(Y27:Y31),"0")</f>
        <v>25.2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119</v>
      </c>
      <c r="Y47" s="644">
        <f>IFERROR(IF(X47="",0,CEILING((X47/$H47),1)*$H47),"")</f>
        <v>129.60000000000002</v>
      </c>
      <c r="Z47" s="36">
        <f>IFERROR(IF(Y47=0,"",ROUNDUP(Y47/H47,0)*0.01898),"")</f>
        <v>0.22776000000000002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123.51759259259259</v>
      </c>
      <c r="BN47" s="64">
        <f>IFERROR(Y47*I47/H47,"0")</f>
        <v>134.52000000000001</v>
      </c>
      <c r="BO47" s="64">
        <f>IFERROR(1/J47*(X47/H47),"0")</f>
        <v>0.17216435185185183</v>
      </c>
      <c r="BP47" s="64">
        <f>IFERROR(1/J47*(Y47/H47),"0")</f>
        <v>0.18750000000000003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13.450950950950951</v>
      </c>
      <c r="Y51" s="645">
        <f>IFERROR(Y47/H47,"0")+IFERROR(Y48/H48,"0")+IFERROR(Y49/H49,"0")+IFERROR(Y50/H50,"0")</f>
        <v>15.000000000000002</v>
      </c>
      <c r="Z51" s="645">
        <f>IFERROR(IF(Z47="",0,Z47),"0")+IFERROR(IF(Z48="",0,Z48),"0")+IFERROR(IF(Z49="",0,Z49),"0")+IFERROR(IF(Z50="",0,Z50),"0")</f>
        <v>0.25482000000000005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128</v>
      </c>
      <c r="Y52" s="645">
        <f>IFERROR(SUM(Y47:Y50),"0")</f>
        <v>140.70000000000002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100</v>
      </c>
      <c r="Y56" s="644">
        <f t="shared" si="0"/>
        <v>108</v>
      </c>
      <c r="Z56" s="36">
        <f>IFERROR(IF(Y56=0,"",ROUNDUP(Y56/H56,0)*0.01898),"")</f>
        <v>0.1898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103.79629629629629</v>
      </c>
      <c r="BN56" s="64">
        <f t="shared" si="2"/>
        <v>112.1</v>
      </c>
      <c r="BO56" s="64">
        <f t="shared" si="3"/>
        <v>0.14467592592592593</v>
      </c>
      <c r="BP56" s="64">
        <f t="shared" si="4"/>
        <v>0.15625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3</v>
      </c>
      <c r="Y58" s="644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3.1425000000000001</v>
      </c>
      <c r="BN58" s="64">
        <f t="shared" si="2"/>
        <v>4.1900000000000004</v>
      </c>
      <c r="BO58" s="64">
        <f t="shared" si="3"/>
        <v>5.681818181818182E-3</v>
      </c>
      <c r="BP58" s="64">
        <f t="shared" si="4"/>
        <v>7.575757575757576E-3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28</v>
      </c>
      <c r="Y60" s="644">
        <f t="shared" si="0"/>
        <v>31.5</v>
      </c>
      <c r="Z60" s="36">
        <f>IFERROR(IF(Y60=0,"",ROUNDUP(Y60/H60,0)*0.00902),"")</f>
        <v>6.3140000000000002E-2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29.182222222222226</v>
      </c>
      <c r="BN60" s="64">
        <f t="shared" si="2"/>
        <v>32.830000000000005</v>
      </c>
      <c r="BO60" s="64">
        <f t="shared" si="3"/>
        <v>4.7138047138047139E-2</v>
      </c>
      <c r="BP60" s="64">
        <f t="shared" si="4"/>
        <v>5.3030303030303032E-2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16.231481481481481</v>
      </c>
      <c r="Y61" s="645">
        <f>IFERROR(Y55/H55,"0")+IFERROR(Y56/H56,"0")+IFERROR(Y57/H57,"0")+IFERROR(Y58/H58,"0")+IFERROR(Y59/H59,"0")+IFERROR(Y60/H60,"0")</f>
        <v>18</v>
      </c>
      <c r="Z61" s="645">
        <f>IFERROR(IF(Z55="",0,Z55),"0")+IFERROR(IF(Z56="",0,Z56),"0")+IFERROR(IF(Z57="",0,Z57),"0")+IFERROR(IF(Z58="",0,Z58),"0")+IFERROR(IF(Z59="",0,Z59),"0")+IFERROR(IF(Z60="",0,Z60),"0")</f>
        <v>0.26195999999999997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131</v>
      </c>
      <c r="Y62" s="645">
        <f>IFERROR(SUM(Y55:Y60),"0")</f>
        <v>143.5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83</v>
      </c>
      <c r="Y64" s="644">
        <f>IFERROR(IF(X64="",0,CEILING((X64/$H64),1)*$H64),"")</f>
        <v>86.4</v>
      </c>
      <c r="Z64" s="36">
        <f>IFERROR(IF(Y64=0,"",ROUNDUP(Y64/H64,0)*0.01898),"")</f>
        <v>0.15184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86.150925925925932</v>
      </c>
      <c r="BN64" s="64">
        <f>IFERROR(Y64*I64/H64,"0")</f>
        <v>89.68</v>
      </c>
      <c r="BO64" s="64">
        <f>IFERROR(1/J64*(X64/H64),"0")</f>
        <v>0.12008101851851852</v>
      </c>
      <c r="BP64" s="64">
        <f>IFERROR(1/J64*(Y64/H64),"0")</f>
        <v>0.125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7.6851851851851851</v>
      </c>
      <c r="Y68" s="645">
        <f>IFERROR(Y64/H64,"0")+IFERROR(Y65/H65,"0")+IFERROR(Y66/H66,"0")+IFERROR(Y67/H67,"0")</f>
        <v>8</v>
      </c>
      <c r="Z68" s="645">
        <f>IFERROR(IF(Z64="",0,Z64),"0")+IFERROR(IF(Z65="",0,Z65),"0")+IFERROR(IF(Z66="",0,Z66),"0")+IFERROR(IF(Z67="",0,Z67),"0")</f>
        <v>0.15184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83</v>
      </c>
      <c r="Y69" s="645">
        <f>IFERROR(SUM(Y64:Y67),"0")</f>
        <v>86.4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45</v>
      </c>
      <c r="Y77" s="644">
        <f>IFERROR(IF(X77="",0,CEILING((X77/$H77),1)*$H77),"")</f>
        <v>46.8</v>
      </c>
      <c r="Z77" s="36">
        <f>IFERROR(IF(Y77=0,"",ROUNDUP(Y77/H77,0)*0.01898),"")</f>
        <v>0.11388000000000001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47.36538461538462</v>
      </c>
      <c r="BN77" s="64">
        <f>IFERROR(Y77*I77/H77,"0")</f>
        <v>49.260000000000005</v>
      </c>
      <c r="BO77" s="64">
        <f>IFERROR(1/J77*(X77/H77),"0")</f>
        <v>9.0144230769230768E-2</v>
      </c>
      <c r="BP77" s="64">
        <f>IFERROR(1/J77*(Y77/H77),"0")</f>
        <v>9.375E-2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5.7692307692307692</v>
      </c>
      <c r="Y81" s="645">
        <f>IFERROR(Y77/H77,"0")+IFERROR(Y78/H78,"0")+IFERROR(Y79/H79,"0")+IFERROR(Y80/H80,"0")</f>
        <v>6</v>
      </c>
      <c r="Z81" s="645">
        <f>IFERROR(IF(Z77="",0,Z77),"0")+IFERROR(IF(Z78="",0,Z78),"0")+IFERROR(IF(Z79="",0,Z79),"0")+IFERROR(IF(Z80="",0,Z80),"0")</f>
        <v>0.11388000000000001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45</v>
      </c>
      <c r="Y82" s="645">
        <f>IFERROR(SUM(Y77:Y80),"0")</f>
        <v>46.8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92</v>
      </c>
      <c r="Y85" s="64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95.492592592592601</v>
      </c>
      <c r="BN85" s="64">
        <f>IFERROR(Y85*I85/H85,"0")</f>
        <v>100.89</v>
      </c>
      <c r="BO85" s="64">
        <f>IFERROR(1/J85*(X85/H85),"0")</f>
        <v>0.13310185185185183</v>
      </c>
      <c r="BP85" s="64">
        <f>IFERROR(1/J85*(Y85/H85),"0")</f>
        <v>0.140625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8.5185185185185173</v>
      </c>
      <c r="Y90" s="645">
        <f>IFERROR(Y85/H85,"0")+IFERROR(Y86/H86,"0")+IFERROR(Y87/H87,"0")+IFERROR(Y88/H88,"0")+IFERROR(Y89/H89,"0")</f>
        <v>9</v>
      </c>
      <c r="Z90" s="645">
        <f>IFERROR(IF(Z85="",0,Z85),"0")+IFERROR(IF(Z86="",0,Z86),"0")+IFERROR(IF(Z87="",0,Z87),"0")+IFERROR(IF(Z88="",0,Z88),"0")+IFERROR(IF(Z89="",0,Z89),"0")</f>
        <v>0.17082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92</v>
      </c>
      <c r="Y91" s="645">
        <f>IFERROR(SUM(Y85:Y89),"0")</f>
        <v>97.2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346</v>
      </c>
      <c r="Y93" s="644">
        <f t="shared" ref="Y93:Y98" si="5">IFERROR(IF(X93="",0,CEILING((X93/$H93),1)*$H93),"")</f>
        <v>348.3</v>
      </c>
      <c r="Z93" s="36">
        <f>IFERROR(IF(Y93=0,"",ROUNDUP(Y93/H93,0)*0.01898),"")</f>
        <v>0.81613999999999998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367.10172839506174</v>
      </c>
      <c r="BN93" s="64">
        <f t="shared" ref="BN93:BN98" si="7">IFERROR(Y93*I93/H93,"0")</f>
        <v>369.54200000000003</v>
      </c>
      <c r="BO93" s="64">
        <f t="shared" ref="BO93:BO98" si="8">IFERROR(1/J93*(X93/H93),"0")</f>
        <v>0.66743827160493829</v>
      </c>
      <c r="BP93" s="64">
        <f t="shared" ref="BP93:BP98" si="9">IFERROR(1/J93*(Y93/H93),"0")</f>
        <v>0.671875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130</v>
      </c>
      <c r="Y96" s="644">
        <f t="shared" si="5"/>
        <v>132.30000000000001</v>
      </c>
      <c r="Z96" s="36">
        <f>IFERROR(IF(Y96=0,"",ROUNDUP(Y96/H96,0)*0.00651),"")</f>
        <v>0.31899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142.13333333333333</v>
      </c>
      <c r="BN96" s="64">
        <f t="shared" si="7"/>
        <v>144.64800000000002</v>
      </c>
      <c r="BO96" s="64">
        <f t="shared" si="8"/>
        <v>0.26455026455026454</v>
      </c>
      <c r="BP96" s="64">
        <f t="shared" si="9"/>
        <v>0.26923076923076927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90.864197530864203</v>
      </c>
      <c r="Y99" s="645">
        <f>IFERROR(Y93/H93,"0")+IFERROR(Y94/H94,"0")+IFERROR(Y95/H95,"0")+IFERROR(Y96/H96,"0")+IFERROR(Y97/H97,"0")+IFERROR(Y98/H98,"0")</f>
        <v>92</v>
      </c>
      <c r="Z99" s="645">
        <f>IFERROR(IF(Z93="",0,Z93),"0")+IFERROR(IF(Z94="",0,Z94),"0")+IFERROR(IF(Z95="",0,Z95),"0")+IFERROR(IF(Z96="",0,Z96),"0")+IFERROR(IF(Z97="",0,Z97),"0")+IFERROR(IF(Z98="",0,Z98),"0")</f>
        <v>1.13513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476</v>
      </c>
      <c r="Y100" s="645">
        <f>IFERROR(SUM(Y93:Y98),"0")</f>
        <v>480.6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138</v>
      </c>
      <c r="Y103" s="644">
        <f t="shared" ref="Y103:Y110" si="10">IFERROR(IF(X103="",0,CEILING((X103/$H103),1)*$H103),"")</f>
        <v>140.4</v>
      </c>
      <c r="Z103" s="36">
        <f>IFERROR(IF(Y103=0,"",ROUNDUP(Y103/H103,0)*0.01898),"")</f>
        <v>0.24674000000000001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143.23888888888888</v>
      </c>
      <c r="BN103" s="64">
        <f t="shared" ref="BN103:BN110" si="12">IFERROR(Y103*I103/H103,"0")</f>
        <v>145.73000000000002</v>
      </c>
      <c r="BO103" s="64">
        <f t="shared" ref="BO103:BO110" si="13">IFERROR(1/J103*(X103/H103),"0")</f>
        <v>0.19965277777777776</v>
      </c>
      <c r="BP103" s="64">
        <f t="shared" ref="BP103:BP110" si="14">IFERROR(1/J103*(Y103/H103),"0")</f>
        <v>0.203125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24</v>
      </c>
      <c r="Y108" s="644">
        <f t="shared" si="10"/>
        <v>27</v>
      </c>
      <c r="Z108" s="36">
        <f>IFERROR(IF(Y108=0,"",ROUNDUP(Y108/H108,0)*0.00902),"")</f>
        <v>5.4120000000000001E-2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25.013333333333335</v>
      </c>
      <c r="BN108" s="64">
        <f t="shared" si="12"/>
        <v>28.14</v>
      </c>
      <c r="BO108" s="64">
        <f t="shared" si="13"/>
        <v>4.0404040404040401E-2</v>
      </c>
      <c r="BP108" s="64">
        <f t="shared" si="14"/>
        <v>4.5454545454545456E-2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18.111111111111111</v>
      </c>
      <c r="Y111" s="645">
        <f>IFERROR(Y103/H103,"0")+IFERROR(Y104/H104,"0")+IFERROR(Y105/H105,"0")+IFERROR(Y106/H106,"0")+IFERROR(Y107/H107,"0")+IFERROR(Y108/H108,"0")+IFERROR(Y109/H109,"0")+IFERROR(Y110/H110,"0")</f>
        <v>19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0.30086000000000002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162</v>
      </c>
      <c r="Y112" s="645">
        <f>IFERROR(SUM(Y103:Y110),"0")</f>
        <v>167.4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4</v>
      </c>
      <c r="Y114" s="644">
        <f>IFERROR(IF(X114="",0,CEILING((X114/$H114),1)*$H114),"")</f>
        <v>10.8</v>
      </c>
      <c r="Z114" s="36">
        <f>IFERROR(IF(Y114=0,"",ROUNDUP(Y114/H114,0)*0.01898),"")</f>
        <v>1.898E-2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4.1518518518518519</v>
      </c>
      <c r="BN114" s="64">
        <f>IFERROR(Y114*I114/H114,"0")</f>
        <v>11.21</v>
      </c>
      <c r="BO114" s="64">
        <f>IFERROR(1/J114*(X114/H114),"0")</f>
        <v>5.7870370370370367E-3</v>
      </c>
      <c r="BP114" s="64">
        <f>IFERROR(1/J114*(Y114/H114),"0")</f>
        <v>1.5625E-2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40</v>
      </c>
      <c r="Y118" s="644">
        <f>IFERROR(IF(X118="",0,CEILING((X118/$H118),1)*$H118),"")</f>
        <v>40.799999999999997</v>
      </c>
      <c r="Z118" s="36">
        <f>IFERROR(IF(Y118=0,"",ROUNDUP(Y118/H118,0)*0.00651),"")</f>
        <v>0.11067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43</v>
      </c>
      <c r="BN118" s="64">
        <f>IFERROR(Y118*I118/H118,"0")</f>
        <v>43.86</v>
      </c>
      <c r="BO118" s="64">
        <f>IFERROR(1/J118*(X118/H118),"0")</f>
        <v>9.1575091575091583E-2</v>
      </c>
      <c r="BP118" s="64">
        <f>IFERROR(1/J118*(Y118/H118),"0")</f>
        <v>9.3406593406593408E-2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17.037037037037038</v>
      </c>
      <c r="Y119" s="645">
        <f>IFERROR(Y114/H114,"0")+IFERROR(Y115/H115,"0")+IFERROR(Y116/H116,"0")+IFERROR(Y117/H117,"0")+IFERROR(Y118/H118,"0")</f>
        <v>18</v>
      </c>
      <c r="Z119" s="645">
        <f>IFERROR(IF(Z114="",0,Z114),"0")+IFERROR(IF(Z115="",0,Z115),"0")+IFERROR(IF(Z116="",0,Z116),"0")+IFERROR(IF(Z117="",0,Z117),"0")+IFERROR(IF(Z118="",0,Z118),"0")</f>
        <v>0.12965000000000002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44</v>
      </c>
      <c r="Y120" s="645">
        <f>IFERROR(SUM(Y114:Y118),"0")</f>
        <v>51.599999999999994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241</v>
      </c>
      <c r="Y122" s="644">
        <f t="shared" ref="Y122:Y128" si="15">IFERROR(IF(X122="",0,CEILING((X122/$H122),1)*$H122),"")</f>
        <v>243</v>
      </c>
      <c r="Z122" s="36">
        <f>IFERROR(IF(Y122=0,"",ROUNDUP(Y122/H122,0)*0.01898),"")</f>
        <v>0.56940000000000002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255.51950617283947</v>
      </c>
      <c r="BN122" s="64">
        <f t="shared" ref="BN122:BN128" si="17">IFERROR(Y122*I122/H122,"0")</f>
        <v>257.64</v>
      </c>
      <c r="BO122" s="64">
        <f t="shared" ref="BO122:BO128" si="18">IFERROR(1/J122*(X122/H122),"0")</f>
        <v>0.46489197530864201</v>
      </c>
      <c r="BP122" s="64">
        <f t="shared" ref="BP122:BP128" si="19">IFERROR(1/J122*(Y122/H122),"0")</f>
        <v>0.46875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62</v>
      </c>
      <c r="Y125" s="644">
        <f t="shared" si="15"/>
        <v>62.1</v>
      </c>
      <c r="Z125" s="36">
        <f>IFERROR(IF(Y125=0,"",ROUNDUP(Y125/H125,0)*0.00651),"")</f>
        <v>0.14973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67.786666666666662</v>
      </c>
      <c r="BN125" s="64">
        <f t="shared" si="17"/>
        <v>67.896000000000001</v>
      </c>
      <c r="BO125" s="64">
        <f t="shared" si="18"/>
        <v>0.12617012617012618</v>
      </c>
      <c r="BP125" s="64">
        <f t="shared" si="19"/>
        <v>0.1263736263736264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52.716049382716051</v>
      </c>
      <c r="Y129" s="645">
        <f>IFERROR(Y122/H122,"0")+IFERROR(Y123/H123,"0")+IFERROR(Y124/H124,"0")+IFERROR(Y125/H125,"0")+IFERROR(Y126/H126,"0")+IFERROR(Y127/H127,"0")+IFERROR(Y128/H128,"0")</f>
        <v>53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0.71913000000000005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303</v>
      </c>
      <c r="Y130" s="645">
        <f>IFERROR(SUM(Y122:Y128),"0")</f>
        <v>305.10000000000002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5</v>
      </c>
      <c r="Y132" s="644">
        <f>IFERROR(IF(X132="",0,CEILING((X132/$H132),1)*$H132),"")</f>
        <v>5.9399999999999995</v>
      </c>
      <c r="Z132" s="36">
        <f>IFERROR(IF(Y132=0,"",ROUNDUP(Y132/H132,0)*0.00651),"")</f>
        <v>1.9529999999999999E-2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5.6515151515151514</v>
      </c>
      <c r="BN132" s="64">
        <f>IFERROR(Y132*I132/H132,"0")</f>
        <v>6.7139999999999995</v>
      </c>
      <c r="BO132" s="64">
        <f>IFERROR(1/J132*(X132/H132),"0")</f>
        <v>1.3875013875013876E-2</v>
      </c>
      <c r="BP132" s="64">
        <f>IFERROR(1/J132*(Y132/H132),"0")</f>
        <v>1.6483516483516484E-2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2.5252525252525251</v>
      </c>
      <c r="Y134" s="645">
        <f>IFERROR(Y132/H132,"0")+IFERROR(Y133/H133,"0")</f>
        <v>2.9999999999999996</v>
      </c>
      <c r="Z134" s="645">
        <f>IFERROR(IF(Z132="",0,Z132),"0")+IFERROR(IF(Z133="",0,Z133),"0")</f>
        <v>1.9529999999999999E-2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5</v>
      </c>
      <c r="Y135" s="645">
        <f>IFERROR(SUM(Y132:Y133),"0")</f>
        <v>5.9399999999999995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33</v>
      </c>
      <c r="Y138" s="644">
        <f>IFERROR(IF(X138="",0,CEILING((X138/$H138),1)*$H138),"")</f>
        <v>35.200000000000003</v>
      </c>
      <c r="Z138" s="36">
        <f>IFERROR(IF(Y138=0,"",ROUNDUP(Y138/H138,0)*0.00651),"")</f>
        <v>7.1610000000000007E-2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34.856249999999996</v>
      </c>
      <c r="BN138" s="64">
        <f>IFERROR(Y138*I138/H138,"0")</f>
        <v>37.18</v>
      </c>
      <c r="BO138" s="64">
        <f>IFERROR(1/J138*(X138/H138),"0")</f>
        <v>5.6662087912087919E-2</v>
      </c>
      <c r="BP138" s="64">
        <f>IFERROR(1/J138*(Y138/H138),"0")</f>
        <v>6.0439560439560447E-2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10.3125</v>
      </c>
      <c r="Y140" s="645">
        <f>IFERROR(Y138/H138,"0")+IFERROR(Y139/H139,"0")</f>
        <v>11</v>
      </c>
      <c r="Z140" s="645">
        <f>IFERROR(IF(Z138="",0,Z138),"0")+IFERROR(IF(Z139="",0,Z139),"0")</f>
        <v>7.1610000000000007E-2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33</v>
      </c>
      <c r="Y141" s="645">
        <f>IFERROR(SUM(Y138:Y139),"0")</f>
        <v>35.200000000000003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35</v>
      </c>
      <c r="Y143" s="644">
        <f>IFERROR(IF(X143="",0,CEILING((X143/$H143),1)*$H143),"")</f>
        <v>36.4</v>
      </c>
      <c r="Z143" s="36">
        <f>IFERROR(IF(Y143=0,"",ROUNDUP(Y143/H143,0)*0.00651),"")</f>
        <v>8.4629999999999997E-2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38.35</v>
      </c>
      <c r="BN143" s="64">
        <f>IFERROR(Y143*I143/H143,"0")</f>
        <v>39.884</v>
      </c>
      <c r="BO143" s="64">
        <f>IFERROR(1/J143*(X143/H143),"0")</f>
        <v>6.8681318681318687E-2</v>
      </c>
      <c r="BP143" s="64">
        <f>IFERROR(1/J143*(Y143/H143),"0")</f>
        <v>7.1428571428571438E-2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12.5</v>
      </c>
      <c r="Y145" s="645">
        <f>IFERROR(Y143/H143,"0")+IFERROR(Y144/H144,"0")</f>
        <v>13</v>
      </c>
      <c r="Z145" s="645">
        <f>IFERROR(IF(Z143="",0,Z143),"0")+IFERROR(IF(Z144="",0,Z144),"0")</f>
        <v>8.4629999999999997E-2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35</v>
      </c>
      <c r="Y146" s="645">
        <f>IFERROR(SUM(Y143:Y144),"0")</f>
        <v>36.4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23</v>
      </c>
      <c r="Y148" s="644">
        <f>IFERROR(IF(X148="",0,CEILING((X148/$H148),1)*$H148),"")</f>
        <v>23.76</v>
      </c>
      <c r="Z148" s="36">
        <f>IFERROR(IF(Y148=0,"",ROUNDUP(Y148/H148,0)*0.00651),"")</f>
        <v>5.8590000000000003E-2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25.334848484848482</v>
      </c>
      <c r="BN148" s="64">
        <f>IFERROR(Y148*I148/H148,"0")</f>
        <v>26.172000000000001</v>
      </c>
      <c r="BO148" s="64">
        <f>IFERROR(1/J148*(X148/H148),"0")</f>
        <v>4.7868797868797865E-2</v>
      </c>
      <c r="BP148" s="64">
        <f>IFERROR(1/J148*(Y148/H148),"0")</f>
        <v>4.9450549450549455E-2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8.712121212121211</v>
      </c>
      <c r="Y150" s="645">
        <f>IFERROR(Y148/H148,"0")+IFERROR(Y149/H149,"0")</f>
        <v>9</v>
      </c>
      <c r="Z150" s="645">
        <f>IFERROR(IF(Z148="",0,Z148),"0")+IFERROR(IF(Z149="",0,Z149),"0")</f>
        <v>5.8590000000000003E-2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23</v>
      </c>
      <c r="Y151" s="645">
        <f>IFERROR(SUM(Y148:Y149),"0")</f>
        <v>23.76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70</v>
      </c>
      <c r="Y180" s="644">
        <f t="shared" ref="Y180:Y191" si="26">IFERROR(IF(X180="",0,CEILING((X180/$H180),1)*$H180),"")</f>
        <v>70</v>
      </c>
      <c r="Z180" s="36">
        <f>IFERROR(IF(Y180=0,"",ROUNDUP(Y180/H180,0)*0.00902),"")</f>
        <v>0.1804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73.8</v>
      </c>
      <c r="BN180" s="64">
        <f t="shared" ref="BN180:BN191" si="28">IFERROR(Y180*I180/H180,"0")</f>
        <v>73.8</v>
      </c>
      <c r="BO180" s="64">
        <f t="shared" ref="BO180:BO191" si="29">IFERROR(1/J180*(X180/H180),"0")</f>
        <v>0.15151515151515152</v>
      </c>
      <c r="BP180" s="64">
        <f t="shared" ref="BP180:BP191" si="30">IFERROR(1/J180*(Y180/H180),"0")</f>
        <v>0.15151515151515152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70</v>
      </c>
      <c r="Y182" s="644">
        <f t="shared" si="26"/>
        <v>70</v>
      </c>
      <c r="Z182" s="36">
        <f>IFERROR(IF(Y182=0,"",ROUNDUP(Y182/H182,0)*0.00902),"")</f>
        <v>0.1804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73.8</v>
      </c>
      <c r="BN182" s="64">
        <f t="shared" si="28"/>
        <v>73.8</v>
      </c>
      <c r="BO182" s="64">
        <f t="shared" si="29"/>
        <v>0.15151515151515152</v>
      </c>
      <c r="BP182" s="64">
        <f t="shared" si="30"/>
        <v>0.15151515151515152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60</v>
      </c>
      <c r="Y183" s="644">
        <f t="shared" si="26"/>
        <v>63</v>
      </c>
      <c r="Z183" s="36">
        <f>IFERROR(IF(Y183=0,"",ROUNDUP(Y183/H183,0)*0.00902),"")</f>
        <v>0.16236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63.25714285714286</v>
      </c>
      <c r="BN183" s="64">
        <f t="shared" si="28"/>
        <v>66.42</v>
      </c>
      <c r="BO183" s="64">
        <f t="shared" si="29"/>
        <v>0.12987012987012986</v>
      </c>
      <c r="BP183" s="64">
        <f t="shared" si="30"/>
        <v>0.13636363636363635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25</v>
      </c>
      <c r="Y187" s="644">
        <f t="shared" si="26"/>
        <v>25.2</v>
      </c>
      <c r="Z187" s="36">
        <f>IFERROR(IF(Y187=0,"",ROUNDUP(Y187/H187,0)*0.00502),"")</f>
        <v>7.5300000000000006E-2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26.488095238095241</v>
      </c>
      <c r="BN187" s="64">
        <f t="shared" si="28"/>
        <v>26.700000000000003</v>
      </c>
      <c r="BO187" s="64">
        <f t="shared" si="29"/>
        <v>6.3593813593813608E-2</v>
      </c>
      <c r="BP187" s="64">
        <f t="shared" si="30"/>
        <v>6.4102564102564111E-2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4</v>
      </c>
      <c r="Y188" s="644">
        <f t="shared" si="26"/>
        <v>4.5</v>
      </c>
      <c r="Z188" s="36">
        <f>IFERROR(IF(Y188=0,"",ROUNDUP(Y188/H188,0)*0.00417),"")</f>
        <v>2.085E-2</v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4.9333333333333336</v>
      </c>
      <c r="BN188" s="64">
        <f t="shared" si="28"/>
        <v>5.55</v>
      </c>
      <c r="BO188" s="64">
        <f t="shared" si="29"/>
        <v>1.3227513227513227E-2</v>
      </c>
      <c r="BP188" s="64">
        <f t="shared" si="30"/>
        <v>1.488095238095238E-2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25</v>
      </c>
      <c r="Y189" s="644">
        <f t="shared" si="26"/>
        <v>25.2</v>
      </c>
      <c r="Z189" s="36">
        <f>IFERROR(IF(Y189=0,"",ROUNDUP(Y189/H189,0)*0.00502),"")</f>
        <v>7.5300000000000006E-2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26.488095238095241</v>
      </c>
      <c r="BN189" s="64">
        <f t="shared" si="28"/>
        <v>26.700000000000003</v>
      </c>
      <c r="BO189" s="64">
        <f t="shared" si="29"/>
        <v>6.3593813593813608E-2</v>
      </c>
      <c r="BP189" s="64">
        <f t="shared" si="30"/>
        <v>6.4102564102564111E-2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17</v>
      </c>
      <c r="Y191" s="644">
        <f t="shared" si="26"/>
        <v>18.48</v>
      </c>
      <c r="Z191" s="36">
        <f>IFERROR(IF(Y191=0,"",ROUNDUP(Y191/H191,0)*0.00502),"")</f>
        <v>5.5220000000000005E-2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18.011904761904763</v>
      </c>
      <c r="BN191" s="64">
        <f t="shared" si="28"/>
        <v>19.580000000000002</v>
      </c>
      <c r="BO191" s="64">
        <f t="shared" si="29"/>
        <v>4.3243793243793245E-2</v>
      </c>
      <c r="BP191" s="64">
        <f t="shared" si="30"/>
        <v>4.7008547008547015E-2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101.46825396825396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104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0.74983000000000022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271</v>
      </c>
      <c r="Y193" s="645">
        <f>IFERROR(SUM(Y180:Y191),"0")</f>
        <v>276.38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40</v>
      </c>
      <c r="Y226" s="644">
        <f t="shared" ref="Y226:Y239" si="37">IFERROR(IF(X226="",0,CEILING((X226/$H226),1)*$H226),"")</f>
        <v>42</v>
      </c>
      <c r="Z226" s="36">
        <f>IFERROR(IF(Y226=0,"",ROUNDUP(Y226/H226,0)*0.00902),"")</f>
        <v>9.0200000000000002E-2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42.38095238095238</v>
      </c>
      <c r="BN226" s="64">
        <f t="shared" ref="BN226:BN239" si="39">IFERROR(Y226*I226/H226,"0")</f>
        <v>44.5</v>
      </c>
      <c r="BO226" s="64">
        <f t="shared" ref="BO226:BO239" si="40">IFERROR(1/J226*(X226/H226),"0")</f>
        <v>7.2150072150072145E-2</v>
      </c>
      <c r="BP226" s="64">
        <f t="shared" ref="BP226:BP239" si="41">IFERROR(1/J226*(Y226/H226),"0")</f>
        <v>7.575757575757576E-2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100</v>
      </c>
      <c r="Y228" s="644">
        <f t="shared" si="37"/>
        <v>100.80000000000001</v>
      </c>
      <c r="Z228" s="36">
        <f>IFERROR(IF(Y228=0,"",ROUNDUP(Y228/H228,0)*0.00902),"")</f>
        <v>0.21648000000000001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104.5238095238095</v>
      </c>
      <c r="BN228" s="64">
        <f t="shared" si="39"/>
        <v>105.36</v>
      </c>
      <c r="BO228" s="64">
        <f t="shared" si="40"/>
        <v>0.18037518037518038</v>
      </c>
      <c r="BP228" s="64">
        <f t="shared" si="41"/>
        <v>0.18181818181818182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4</v>
      </c>
      <c r="Y229" s="644">
        <f t="shared" si="37"/>
        <v>4</v>
      </c>
      <c r="Z229" s="36">
        <f>IFERROR(IF(Y229=0,"",ROUNDUP(Y229/H229,0)*0.00556),"")</f>
        <v>2.7799999999999998E-2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4.6500000000000004</v>
      </c>
      <c r="BN229" s="64">
        <f t="shared" si="39"/>
        <v>4.6500000000000004</v>
      </c>
      <c r="BO229" s="64">
        <f t="shared" si="40"/>
        <v>1.984126984126984E-2</v>
      </c>
      <c r="BP229" s="64">
        <f t="shared" si="41"/>
        <v>1.984126984126984E-2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18</v>
      </c>
      <c r="Y230" s="644">
        <f t="shared" si="37"/>
        <v>18.900000000000002</v>
      </c>
      <c r="Z230" s="36">
        <f t="shared" ref="Z230:Z235" si="42">IFERROR(IF(Y230=0,"",ROUNDUP(Y230/H230,0)*0.00502),"")</f>
        <v>4.5179999999999998E-2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19.114285714285714</v>
      </c>
      <c r="BN230" s="64">
        <f t="shared" si="39"/>
        <v>20.07</v>
      </c>
      <c r="BO230" s="64">
        <f t="shared" si="40"/>
        <v>3.6630036630036632E-2</v>
      </c>
      <c r="BP230" s="64">
        <f t="shared" si="41"/>
        <v>3.8461538461538464E-2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27</v>
      </c>
      <c r="Y235" s="644">
        <f t="shared" si="37"/>
        <v>27</v>
      </c>
      <c r="Z235" s="36">
        <f t="shared" si="42"/>
        <v>7.5300000000000006E-2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28.95</v>
      </c>
      <c r="BN235" s="64">
        <f t="shared" si="39"/>
        <v>28.95</v>
      </c>
      <c r="BO235" s="64">
        <f t="shared" si="40"/>
        <v>6.4102564102564111E-2</v>
      </c>
      <c r="BP235" s="64">
        <f t="shared" si="41"/>
        <v>6.4102564102564111E-2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4</v>
      </c>
      <c r="Y236" s="644">
        <f t="shared" si="37"/>
        <v>4</v>
      </c>
      <c r="Z236" s="36">
        <f>IFERROR(IF(Y236=0,"",ROUNDUP(Y236/H236,0)*0.00417),"")</f>
        <v>2.085E-2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5.05</v>
      </c>
      <c r="BN236" s="64">
        <f t="shared" si="39"/>
        <v>5.05</v>
      </c>
      <c r="BO236" s="64">
        <f t="shared" si="40"/>
        <v>1.488095238095238E-2</v>
      </c>
      <c r="BP236" s="64">
        <f t="shared" si="41"/>
        <v>1.488095238095238E-2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49</v>
      </c>
      <c r="Y237" s="644">
        <f t="shared" si="37"/>
        <v>50.400000000000006</v>
      </c>
      <c r="Z237" s="36">
        <f>IFERROR(IF(Y237=0,"",ROUNDUP(Y237/H237,0)*0.00502),"")</f>
        <v>0.12048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51.333333333333336</v>
      </c>
      <c r="BN237" s="64">
        <f t="shared" si="39"/>
        <v>52.800000000000011</v>
      </c>
      <c r="BO237" s="64">
        <f t="shared" si="40"/>
        <v>9.9715099715099717E-2</v>
      </c>
      <c r="BP237" s="64">
        <f t="shared" si="41"/>
        <v>0.10256410256410257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90.238095238095227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92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0.59628999999999999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242</v>
      </c>
      <c r="Y241" s="645">
        <f>IFERROR(SUM(Y226:Y239),"0")</f>
        <v>247.10000000000002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4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4.6031746031746028</v>
      </c>
      <c r="BN252" s="64">
        <f>IFERROR(Y252*I252/H252,"0")</f>
        <v>5.8</v>
      </c>
      <c r="BO252" s="64">
        <f>IFERROR(1/J252*(X252/H252),"0")</f>
        <v>1.469723691945914E-2</v>
      </c>
      <c r="BP252" s="64">
        <f>IFERROR(1/J252*(Y252/H252),"0")</f>
        <v>1.8518518518518517E-2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5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5.753968253968254</v>
      </c>
      <c r="BN253" s="64">
        <f>IFERROR(Y253*I253/H253,"0")</f>
        <v>5.8</v>
      </c>
      <c r="BO253" s="64">
        <f>IFERROR(1/J253*(X253/H253),"0")</f>
        <v>1.8371546149323927E-2</v>
      </c>
      <c r="BP253" s="64">
        <f>IFERROR(1/J253*(Y253/H253),"0")</f>
        <v>1.8518518518518517E-2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7.1428571428571423</v>
      </c>
      <c r="Y254" s="645">
        <f>IFERROR(Y251/H251,"0")+IFERROR(Y252/H252,"0")+IFERROR(Y253/H253,"0")</f>
        <v>8</v>
      </c>
      <c r="Z254" s="645">
        <f>IFERROR(IF(Z251="",0,Z251),"0")+IFERROR(IF(Z252="",0,Z252),"0")+IFERROR(IF(Z253="",0,Z253),"0")</f>
        <v>4.7199999999999999E-2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9</v>
      </c>
      <c r="Y255" s="645">
        <f>IFERROR(SUM(Y251:Y253),"0")</f>
        <v>10.08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7</v>
      </c>
      <c r="Y257" s="644">
        <f>IFERROR(IF(X257="",0,CEILING((X257/$H257),1)*$H257),"")</f>
        <v>7.5600000000000005</v>
      </c>
      <c r="Z257" s="36">
        <f>IFERROR(IF(Y257=0,"",ROUNDUP(Y257/H257,0)*0.0059),"")</f>
        <v>3.5400000000000001E-2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8.0555555555555554</v>
      </c>
      <c r="BN257" s="64">
        <f>IFERROR(Y257*I257/H257,"0")</f>
        <v>8.6999999999999993</v>
      </c>
      <c r="BO257" s="64">
        <f>IFERROR(1/J257*(X257/H257),"0")</f>
        <v>2.5720164609053495E-2</v>
      </c>
      <c r="BP257" s="64">
        <f>IFERROR(1/J257*(Y257/H257),"0")</f>
        <v>2.7777777777777776E-2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5.5555555555555554</v>
      </c>
      <c r="Y258" s="645">
        <f>IFERROR(Y257/H257,"0")</f>
        <v>6</v>
      </c>
      <c r="Z258" s="645">
        <f>IFERROR(IF(Z257="",0,Z257),"0")</f>
        <v>3.5400000000000001E-2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7</v>
      </c>
      <c r="Y259" s="645">
        <f>IFERROR(SUM(Y257:Y257),"0")</f>
        <v>7.5600000000000005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90</v>
      </c>
      <c r="Y272" s="644">
        <f t="shared" ref="Y272:Y279" si="43">IFERROR(IF(X272="",0,CEILING((X272/$H272),1)*$H272),"")</f>
        <v>91.800000000000011</v>
      </c>
      <c r="Z272" s="36">
        <f>IFERROR(IF(Y272=0,"",ROUNDUP(Y272/H272,0)*0.00902),"")</f>
        <v>0.15334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93.166666666666657</v>
      </c>
      <c r="BN272" s="64">
        <f t="shared" ref="BN272:BN279" si="45">IFERROR(Y272*I272/H272,"0")</f>
        <v>95.03</v>
      </c>
      <c r="BO272" s="64">
        <f t="shared" ref="BO272:BO279" si="46">IFERROR(1/J272*(X272/H272),"0")</f>
        <v>0.12626262626262624</v>
      </c>
      <c r="BP272" s="64">
        <f t="shared" ref="BP272:BP279" si="47">IFERROR(1/J272*(Y272/H272),"0")</f>
        <v>0.12878787878787878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60</v>
      </c>
      <c r="Y273" s="644">
        <f t="shared" si="43"/>
        <v>64.800000000000011</v>
      </c>
      <c r="Z273" s="36">
        <f>IFERROR(IF(Y273=0,"",ROUNDUP(Y273/H273,0)*0.00902),"")</f>
        <v>0.10824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62.1111111111111</v>
      </c>
      <c r="BN273" s="64">
        <f t="shared" si="45"/>
        <v>67.08</v>
      </c>
      <c r="BO273" s="64">
        <f t="shared" si="46"/>
        <v>8.4175084175084181E-2</v>
      </c>
      <c r="BP273" s="64">
        <f t="shared" si="47"/>
        <v>9.0909090909090925E-2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360</v>
      </c>
      <c r="Y274" s="644">
        <f t="shared" si="43"/>
        <v>361.8</v>
      </c>
      <c r="Z274" s="36">
        <f>IFERROR(IF(Y274=0,"",ROUNDUP(Y274/H274,0)*0.00902),"")</f>
        <v>0.60433999999999999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372.66666666666663</v>
      </c>
      <c r="BN274" s="64">
        <f t="shared" si="45"/>
        <v>374.53</v>
      </c>
      <c r="BO274" s="64">
        <f t="shared" si="46"/>
        <v>0.50505050505050497</v>
      </c>
      <c r="BP274" s="64">
        <f t="shared" si="47"/>
        <v>0.50757575757575757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90</v>
      </c>
      <c r="Y275" s="644">
        <f t="shared" si="43"/>
        <v>91.800000000000011</v>
      </c>
      <c r="Z275" s="36">
        <f>IFERROR(IF(Y275=0,"",ROUNDUP(Y275/H275,0)*0.00902),"")</f>
        <v>0.15334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93.166666666666657</v>
      </c>
      <c r="BN275" s="64">
        <f t="shared" si="45"/>
        <v>95.03</v>
      </c>
      <c r="BO275" s="64">
        <f t="shared" si="46"/>
        <v>0.12626262626262624</v>
      </c>
      <c r="BP275" s="64">
        <f t="shared" si="47"/>
        <v>0.12878787878787878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11</v>
      </c>
      <c r="Y276" s="644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11.794444444444444</v>
      </c>
      <c r="BN276" s="64">
        <f t="shared" si="45"/>
        <v>13.509999999999998</v>
      </c>
      <c r="BO276" s="64">
        <f t="shared" si="46"/>
        <v>2.6115859449192782E-2</v>
      </c>
      <c r="BP276" s="64">
        <f t="shared" si="47"/>
        <v>2.9914529914529919E-2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18</v>
      </c>
      <c r="Y277" s="644">
        <f t="shared" si="43"/>
        <v>18</v>
      </c>
      <c r="Z277" s="36">
        <f>IFERROR(IF(Y277=0,"",ROUNDUP(Y277/H277,0)*0.00502),"")</f>
        <v>5.0200000000000002E-2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18.999999999999996</v>
      </c>
      <c r="BN277" s="64">
        <f t="shared" si="45"/>
        <v>18.999999999999996</v>
      </c>
      <c r="BO277" s="64">
        <f t="shared" si="46"/>
        <v>4.2735042735042736E-2</v>
      </c>
      <c r="BP277" s="64">
        <f t="shared" si="47"/>
        <v>4.2735042735042736E-2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17</v>
      </c>
      <c r="Y279" s="644">
        <f t="shared" si="43"/>
        <v>18</v>
      </c>
      <c r="Z279" s="36">
        <f>IFERROR(IF(Y279=0,"",ROUNDUP(Y279/H279,0)*0.00502),"")</f>
        <v>5.0200000000000002E-2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17.944444444444443</v>
      </c>
      <c r="BN279" s="64">
        <f t="shared" si="45"/>
        <v>18.999999999999996</v>
      </c>
      <c r="BO279" s="64">
        <f t="shared" si="46"/>
        <v>4.0360873694207031E-2</v>
      </c>
      <c r="BP279" s="64">
        <f t="shared" si="47"/>
        <v>4.2735042735042736E-2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136.66666666666666</v>
      </c>
      <c r="Y280" s="645">
        <f>IFERROR(Y272/H272,"0")+IFERROR(Y273/H273,"0")+IFERROR(Y274/H274,"0")+IFERROR(Y275/H275,"0")+IFERROR(Y276/H276,"0")+IFERROR(Y277/H277,"0")+IFERROR(Y278/H278,"0")+IFERROR(Y279/H279,"0")</f>
        <v>140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1.1548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646</v>
      </c>
      <c r="Y281" s="645">
        <f>IFERROR(SUM(Y272:Y279),"0")</f>
        <v>658.80000000000007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60</v>
      </c>
      <c r="Y283" s="644">
        <f t="shared" ref="Y283:Y294" si="48">IFERROR(IF(X283="",0,CEILING((X283/$H283),1)*$H283),"")</f>
        <v>64.8</v>
      </c>
      <c r="Z283" s="36">
        <f>IFERROR(IF(Y283=0,"",ROUNDUP(Y283/H283,0)*0.01898),"")</f>
        <v>0.15184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63.659259259259258</v>
      </c>
      <c r="BN283" s="64">
        <f t="shared" ref="BN283:BN294" si="50">IFERROR(Y283*I283/H283,"0")</f>
        <v>68.751999999999995</v>
      </c>
      <c r="BO283" s="64">
        <f t="shared" ref="BO283:BO294" si="51">IFERROR(1/J283*(X283/H283),"0")</f>
        <v>0.11574074074074074</v>
      </c>
      <c r="BP283" s="64">
        <f t="shared" ref="BP283:BP294" si="52">IFERROR(1/J283*(Y283/H283),"0")</f>
        <v>0.125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69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73.054814814814819</v>
      </c>
      <c r="BN284" s="64">
        <f t="shared" si="50"/>
        <v>77.183999999999997</v>
      </c>
      <c r="BO284" s="64">
        <f t="shared" si="51"/>
        <v>0.13310185185185186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100</v>
      </c>
      <c r="Y285" s="644">
        <f t="shared" si="48"/>
        <v>104.39999999999999</v>
      </c>
      <c r="Z285" s="36">
        <f>IFERROR(IF(Y285=0,"",ROUNDUP(Y285/H285,0)*0.01898),"")</f>
        <v>0.22776000000000002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105.67816091954025</v>
      </c>
      <c r="BN285" s="64">
        <f t="shared" si="50"/>
        <v>110.32800000000002</v>
      </c>
      <c r="BO285" s="64">
        <f t="shared" si="51"/>
        <v>0.1795977011494253</v>
      </c>
      <c r="BP285" s="64">
        <f t="shared" si="52"/>
        <v>0.1875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101</v>
      </c>
      <c r="Y286" s="644">
        <f t="shared" si="48"/>
        <v>103.2</v>
      </c>
      <c r="Z286" s="36">
        <f>IFERROR(IF(Y286=0,"",ROUNDUP(Y286/H286,0)*0.00651),"")</f>
        <v>0.27993000000000001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112.36250000000001</v>
      </c>
      <c r="BN286" s="64">
        <f t="shared" si="50"/>
        <v>114.81</v>
      </c>
      <c r="BO286" s="64">
        <f t="shared" si="51"/>
        <v>0.23122710622710627</v>
      </c>
      <c r="BP286" s="64">
        <f t="shared" si="52"/>
        <v>0.23626373626373628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220</v>
      </c>
      <c r="Y289" s="644">
        <f t="shared" si="48"/>
        <v>220.79999999999998</v>
      </c>
      <c r="Z289" s="36">
        <f>IFERROR(IF(Y289=0,"",ROUNDUP(Y289/H289,0)*0.00651),"")</f>
        <v>0.59892000000000001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243.10000000000002</v>
      </c>
      <c r="BN289" s="64">
        <f t="shared" si="50"/>
        <v>243.98400000000001</v>
      </c>
      <c r="BO289" s="64">
        <f t="shared" si="51"/>
        <v>0.50366300366300376</v>
      </c>
      <c r="BP289" s="64">
        <f t="shared" si="52"/>
        <v>0.50549450549450559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92</v>
      </c>
      <c r="Y291" s="644">
        <f t="shared" si="48"/>
        <v>93.6</v>
      </c>
      <c r="Z291" s="36">
        <f>IFERROR(IF(Y291=0,"",ROUNDUP(Y291/H291,0)*0.00651),"")</f>
        <v>0.25389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101.66000000000001</v>
      </c>
      <c r="BN291" s="64">
        <f t="shared" si="50"/>
        <v>103.42800000000001</v>
      </c>
      <c r="BO291" s="64">
        <f t="shared" si="51"/>
        <v>0.21062271062271065</v>
      </c>
      <c r="BP291" s="64">
        <f t="shared" si="52"/>
        <v>0.2142857142857143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36</v>
      </c>
      <c r="Y292" s="644">
        <f t="shared" si="48"/>
        <v>36</v>
      </c>
      <c r="Z292" s="36">
        <f>IFERROR(IF(Y292=0,"",ROUNDUP(Y292/H292,0)*0.00651),"")</f>
        <v>9.7650000000000001E-2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39.780000000000008</v>
      </c>
      <c r="BN292" s="64">
        <f t="shared" si="50"/>
        <v>39.780000000000008</v>
      </c>
      <c r="BO292" s="64">
        <f t="shared" si="51"/>
        <v>8.241758241758243E-2</v>
      </c>
      <c r="BP292" s="64">
        <f t="shared" si="52"/>
        <v>8.241758241758243E-2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80</v>
      </c>
      <c r="Y293" s="644">
        <f t="shared" si="48"/>
        <v>81.599999999999994</v>
      </c>
      <c r="Z293" s="36">
        <f>IFERROR(IF(Y293=0,"",ROUNDUP(Y293/H293,0)*0.00651),"")</f>
        <v>0.22134000000000001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88.6</v>
      </c>
      <c r="BN293" s="64">
        <f t="shared" si="50"/>
        <v>90.371999999999986</v>
      </c>
      <c r="BO293" s="64">
        <f t="shared" si="51"/>
        <v>0.18315018315018317</v>
      </c>
      <c r="BP293" s="64">
        <f t="shared" si="52"/>
        <v>0.18681318681318682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247.83684546615584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252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2.0021499999999999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758</v>
      </c>
      <c r="Y296" s="645">
        <f>IFERROR(SUM(Y283:Y294),"0")</f>
        <v>777.3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16.666666666666668</v>
      </c>
      <c r="Y300" s="645">
        <f>IFERROR(Y298/H298,"0")+IFERROR(Y299/H299,"0")</f>
        <v>18</v>
      </c>
      <c r="Z300" s="645">
        <f>IFERROR(IF(Z298="",0,Z298),"0")+IFERROR(IF(Z299="",0,Z299),"0")</f>
        <v>0.11718000000000001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40</v>
      </c>
      <c r="Y301" s="645">
        <f>IFERROR(SUM(Y298:Y299),"0")</f>
        <v>43.199999999999996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8</v>
      </c>
      <c r="Y318" s="644">
        <f>IFERROR(IF(X318="",0,CEILING((X318/$H318),1)*$H318),"")</f>
        <v>9</v>
      </c>
      <c r="Z318" s="36">
        <f>IFERROR(IF(Y318=0,"",ROUNDUP(Y318/H318,0)*0.0059),"")</f>
        <v>2.9499999999999998E-2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8.7777777777777786</v>
      </c>
      <c r="BN318" s="64">
        <f>IFERROR(Y318*I318/H318,"0")</f>
        <v>9.8750000000000018</v>
      </c>
      <c r="BO318" s="64">
        <f>IFERROR(1/J318*(X318/H318),"0")</f>
        <v>2.0576131687242798E-2</v>
      </c>
      <c r="BP318" s="64">
        <f>IFERROR(1/J318*(Y318/H318),"0")</f>
        <v>2.3148148148148147E-2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4.4444444444444446</v>
      </c>
      <c r="Y319" s="645">
        <f>IFERROR(Y318/H318,"0")</f>
        <v>5</v>
      </c>
      <c r="Z319" s="645">
        <f>IFERROR(IF(Z318="",0,Z318),"0")</f>
        <v>2.9499999999999998E-2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8</v>
      </c>
      <c r="Y320" s="645">
        <f>IFERROR(SUM(Y318:Y318),"0")</f>
        <v>9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20</v>
      </c>
      <c r="Y339" s="644">
        <f>IFERROR(IF(X339="",0,CEILING((X339/$H339),1)*$H339),"")</f>
        <v>21.599999999999998</v>
      </c>
      <c r="Z339" s="36">
        <f>IFERROR(IF(Y339=0,"",ROUNDUP(Y339/H339,0)*0.00651),"")</f>
        <v>5.8590000000000003E-2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22.100000000000005</v>
      </c>
      <c r="BN339" s="64">
        <f>IFERROR(Y339*I339/H339,"0")</f>
        <v>23.868000000000002</v>
      </c>
      <c r="BO339" s="64">
        <f>IFERROR(1/J339*(X339/H339),"0")</f>
        <v>4.5787545787545791E-2</v>
      </c>
      <c r="BP339" s="64">
        <f>IFERROR(1/J339*(Y339/H339),"0")</f>
        <v>4.9450549450549455E-2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33.333333333333336</v>
      </c>
      <c r="Y341" s="645">
        <f>IFERROR(Y338/H338,"0")+IFERROR(Y339/H339,"0")+IFERROR(Y340/H340,"0")</f>
        <v>34</v>
      </c>
      <c r="Z341" s="645">
        <f>IFERROR(IF(Z338="",0,Z338),"0")+IFERROR(IF(Z339="",0,Z339),"0")+IFERROR(IF(Z340="",0,Z340),"0")</f>
        <v>0.22134000000000001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80</v>
      </c>
      <c r="Y342" s="645">
        <f>IFERROR(SUM(Y338:Y340),"0")</f>
        <v>81.599999999999994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22</v>
      </c>
      <c r="Y359" s="644">
        <f>IFERROR(IF(X359="",0,CEILING((X359/$H359),1)*$H359),"")</f>
        <v>23.4</v>
      </c>
      <c r="Z359" s="36">
        <f>IFERROR(IF(Y359=0,"",ROUNDUP(Y359/H359,0)*0.01898),"")</f>
        <v>5.6940000000000004E-2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23.156410256410258</v>
      </c>
      <c r="BN359" s="64">
        <f>IFERROR(Y359*I359/H359,"0")</f>
        <v>24.630000000000003</v>
      </c>
      <c r="BO359" s="64">
        <f>IFERROR(1/J359*(X359/H359),"0")</f>
        <v>4.4070512820512824E-2</v>
      </c>
      <c r="BP359" s="64">
        <f>IFERROR(1/J359*(Y359/H359),"0")</f>
        <v>4.6875E-2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84</v>
      </c>
      <c r="Y360" s="644">
        <f>IFERROR(IF(X360="",0,CEILING((X360/$H360),1)*$H360),"")</f>
        <v>85.8</v>
      </c>
      <c r="Z360" s="36">
        <f>IFERROR(IF(Y360=0,"",ROUNDUP(Y360/H360,0)*0.01898),"")</f>
        <v>0.20877999999999999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88.415384615384625</v>
      </c>
      <c r="BN360" s="64">
        <f>IFERROR(Y360*I360/H360,"0")</f>
        <v>90.31</v>
      </c>
      <c r="BO360" s="64">
        <f>IFERROR(1/J360*(X360/H360),"0")</f>
        <v>0.16826923076923078</v>
      </c>
      <c r="BP360" s="64">
        <f>IFERROR(1/J360*(Y360/H360),"0")</f>
        <v>0.171875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21</v>
      </c>
      <c r="Y361" s="644">
        <f>IFERROR(IF(X361="",0,CEILING((X361/$H361),1)*$H361),"")</f>
        <v>23.4</v>
      </c>
      <c r="Z361" s="36">
        <f>IFERROR(IF(Y361=0,"",ROUNDUP(Y361/H361,0)*0.01898),"")</f>
        <v>5.6940000000000004E-2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22.103846153846156</v>
      </c>
      <c r="BN361" s="64">
        <f>IFERROR(Y361*I361/H361,"0")</f>
        <v>24.630000000000003</v>
      </c>
      <c r="BO361" s="64">
        <f>IFERROR(1/J361*(X361/H361),"0")</f>
        <v>4.2067307692307696E-2</v>
      </c>
      <c r="BP361" s="64">
        <f>IFERROR(1/J361*(Y361/H361),"0")</f>
        <v>4.6875E-2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16.282051282051285</v>
      </c>
      <c r="Y362" s="645">
        <f>IFERROR(Y359/H359,"0")+IFERROR(Y360/H360,"0")+IFERROR(Y361/H361,"0")</f>
        <v>17</v>
      </c>
      <c r="Z362" s="645">
        <f>IFERROR(IF(Z359="",0,Z359),"0")+IFERROR(IF(Z360="",0,Z360),"0")+IFERROR(IF(Z361="",0,Z361),"0")</f>
        <v>0.32266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127</v>
      </c>
      <c r="Y363" s="645">
        <f>IFERROR(SUM(Y359:Y361),"0")</f>
        <v>132.6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15</v>
      </c>
      <c r="Y380" s="644">
        <f t="shared" si="58"/>
        <v>16.2</v>
      </c>
      <c r="Z380" s="36">
        <f>IFERROR(IF(Y380=0,"",ROUNDUP(Y380/H380,0)*0.00651),"")</f>
        <v>5.8590000000000003E-2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16.900000000000002</v>
      </c>
      <c r="BN380" s="64">
        <f t="shared" si="60"/>
        <v>18.251999999999999</v>
      </c>
      <c r="BO380" s="64">
        <f t="shared" si="61"/>
        <v>4.5787545787545791E-2</v>
      </c>
      <c r="BP380" s="64">
        <f t="shared" si="62"/>
        <v>4.9450549450549455E-2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8.3333333333333339</v>
      </c>
      <c r="Y381" s="645">
        <f>IFERROR(Y374/H374,"0")+IFERROR(Y375/H375,"0")+IFERROR(Y376/H376,"0")+IFERROR(Y377/H377,"0")+IFERROR(Y378/H378,"0")+IFERROR(Y379/H379,"0")+IFERROR(Y380/H380,"0")</f>
        <v>9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5.8590000000000003E-2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15</v>
      </c>
      <c r="Y382" s="645">
        <f>IFERROR(SUM(Y374:Y380),"0")</f>
        <v>16.2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87</v>
      </c>
      <c r="Y391" s="644">
        <f>IFERROR(IF(X391="",0,CEILING((X391/$H391),1)*$H391),"")</f>
        <v>92.4</v>
      </c>
      <c r="Z391" s="36">
        <f>IFERROR(IF(Y391=0,"",ROUNDUP(Y391/H391,0)*0.01898),"")</f>
        <v>0.20877999999999999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92.116428571428571</v>
      </c>
      <c r="BN391" s="64">
        <f>IFERROR(Y391*I391/H391,"0")</f>
        <v>97.834000000000003</v>
      </c>
      <c r="BO391" s="64">
        <f>IFERROR(1/J391*(X391/H391),"0")</f>
        <v>0.16183035714285712</v>
      </c>
      <c r="BP391" s="64">
        <f>IFERROR(1/J391*(Y391/H391),"0")</f>
        <v>0.171875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96</v>
      </c>
      <c r="Y392" s="644">
        <f>IFERROR(IF(X392="",0,CEILING((X392/$H392),1)*$H392),"")</f>
        <v>101.39999999999999</v>
      </c>
      <c r="Z392" s="36">
        <f>IFERROR(IF(Y392=0,"",ROUNDUP(Y392/H392,0)*0.01898),"")</f>
        <v>0.24674000000000001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102.08000000000001</v>
      </c>
      <c r="BN392" s="64">
        <f>IFERROR(Y392*I392/H392,"0")</f>
        <v>107.82199999999999</v>
      </c>
      <c r="BO392" s="64">
        <f>IFERROR(1/J392*(X392/H392),"0")</f>
        <v>0.19230769230769232</v>
      </c>
      <c r="BP392" s="64">
        <f>IFERROR(1/J392*(Y392/H392),"0")</f>
        <v>0.203125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40</v>
      </c>
      <c r="Y393" s="644">
        <f>IFERROR(IF(X393="",0,CEILING((X393/$H393),1)*$H393),"")</f>
        <v>42</v>
      </c>
      <c r="Z393" s="36">
        <f>IFERROR(IF(Y393=0,"",ROUNDUP(Y393/H393,0)*0.01898),"")</f>
        <v>9.4899999999999998E-2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42.352380952380948</v>
      </c>
      <c r="BN393" s="64">
        <f>IFERROR(Y393*I393/H393,"0")</f>
        <v>44.47</v>
      </c>
      <c r="BO393" s="64">
        <f>IFERROR(1/J393*(X393/H393),"0")</f>
        <v>7.4404761904761904E-2</v>
      </c>
      <c r="BP393" s="64">
        <f>IFERROR(1/J393*(Y393/H393),"0")</f>
        <v>7.8125E-2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27.426739926739927</v>
      </c>
      <c r="Y394" s="645">
        <f>IFERROR(Y391/H391,"0")+IFERROR(Y392/H392,"0")+IFERROR(Y393/H393,"0")</f>
        <v>29</v>
      </c>
      <c r="Z394" s="645">
        <f>IFERROR(IF(Z391="",0,Z391),"0")+IFERROR(IF(Z392="",0,Z392),"0")+IFERROR(IF(Z393="",0,Z393),"0")</f>
        <v>0.55042000000000002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223</v>
      </c>
      <c r="Y395" s="645">
        <f>IFERROR(SUM(Y391:Y393),"0")</f>
        <v>235.8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50</v>
      </c>
      <c r="Y398" s="644">
        <f>IFERROR(IF(X398="",0,CEILING((X398/$H398),1)*$H398),"")</f>
        <v>51.68</v>
      </c>
      <c r="Z398" s="36">
        <f>IFERROR(IF(Y398=0,"",ROUNDUP(Y398/H398,0)*0.00902),"")</f>
        <v>0.15334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53.782894736842103</v>
      </c>
      <c r="BN398" s="64">
        <f>IFERROR(Y398*I398/H398,"0")</f>
        <v>55.589999999999996</v>
      </c>
      <c r="BO398" s="64">
        <f>IFERROR(1/J398*(X398/H398),"0")</f>
        <v>0.12460127591706538</v>
      </c>
      <c r="BP398" s="64">
        <f>IFERROR(1/J398*(Y398/H398),"0")</f>
        <v>0.12878787878787878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6</v>
      </c>
      <c r="Y399" s="644">
        <f>IFERROR(IF(X399="",0,CEILING((X399/$H399),1)*$H399),"")</f>
        <v>7.6499999999999995</v>
      </c>
      <c r="Z399" s="36">
        <f>IFERROR(IF(Y399=0,"",ROUNDUP(Y399/H399,0)*0.00651),"")</f>
        <v>1.9529999999999999E-2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6.9529411764705893</v>
      </c>
      <c r="BN399" s="64">
        <f>IFERROR(Y399*I399/H399,"0")</f>
        <v>8.8650000000000002</v>
      </c>
      <c r="BO399" s="64">
        <f>IFERROR(1/J399*(X399/H399),"0")</f>
        <v>1.292824822236587E-2</v>
      </c>
      <c r="BP399" s="64">
        <f>IFERROR(1/J399*(Y399/H399),"0")</f>
        <v>1.6483516483516484E-2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16</v>
      </c>
      <c r="Y400" s="644">
        <f>IFERROR(IF(X400="",0,CEILING((X400/$H400),1)*$H400),"")</f>
        <v>17.849999999999998</v>
      </c>
      <c r="Z400" s="36">
        <f>IFERROR(IF(Y400=0,"",ROUNDUP(Y400/H400,0)*0.00651),"")</f>
        <v>4.5569999999999999E-2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18.070588235294117</v>
      </c>
      <c r="BN400" s="64">
        <f>IFERROR(Y400*I400/H400,"0")</f>
        <v>20.16</v>
      </c>
      <c r="BO400" s="64">
        <f>IFERROR(1/J400*(X400/H400),"0")</f>
        <v>3.4475328592975661E-2</v>
      </c>
      <c r="BP400" s="64">
        <f>IFERROR(1/J400*(Y400/H400),"0")</f>
        <v>3.8461538461538464E-2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25.074819401444785</v>
      </c>
      <c r="Y401" s="645">
        <f>IFERROR(Y397/H397,"0")+IFERROR(Y398/H398,"0")+IFERROR(Y399/H399,"0")+IFERROR(Y400/H400,"0")</f>
        <v>27</v>
      </c>
      <c r="Z401" s="645">
        <f>IFERROR(IF(Z397="",0,Z397),"0")+IFERROR(IF(Z398="",0,Z398),"0")+IFERROR(IF(Z399="",0,Z399),"0")+IFERROR(IF(Z400="",0,Z400),"0")</f>
        <v>0.21844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72</v>
      </c>
      <c r="Y402" s="645">
        <f>IFERROR(SUM(Y397:Y400),"0")</f>
        <v>77.179999999999993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35</v>
      </c>
      <c r="Y404" s="644">
        <f>IFERROR(IF(X404="",0,CEILING((X404/$H404),1)*$H404),"")</f>
        <v>36</v>
      </c>
      <c r="Z404" s="36">
        <f>IFERROR(IF(Y404=0,"",ROUNDUP(Y404/H404,0)*0.00474),"")</f>
        <v>8.5320000000000007E-2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39.200000000000003</v>
      </c>
      <c r="BN404" s="64">
        <f>IFERROR(Y404*I404/H404,"0")</f>
        <v>40.320000000000007</v>
      </c>
      <c r="BO404" s="64">
        <f>IFERROR(1/J404*(X404/H404),"0")</f>
        <v>7.3529411764705885E-2</v>
      </c>
      <c r="BP404" s="64">
        <f>IFERROR(1/J404*(Y404/H404),"0")</f>
        <v>7.5630252100840331E-2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25</v>
      </c>
      <c r="Y405" s="644">
        <f>IFERROR(IF(X405="",0,CEILING((X405/$H405),1)*$H405),"")</f>
        <v>26</v>
      </c>
      <c r="Z405" s="36">
        <f>IFERROR(IF(Y405=0,"",ROUNDUP(Y405/H405,0)*0.00474),"")</f>
        <v>6.1620000000000001E-2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28.000000000000004</v>
      </c>
      <c r="BN405" s="64">
        <f>IFERROR(Y405*I405/H405,"0")</f>
        <v>29.120000000000005</v>
      </c>
      <c r="BO405" s="64">
        <f>IFERROR(1/J405*(X405/H405),"0")</f>
        <v>5.2521008403361345E-2</v>
      </c>
      <c r="BP405" s="64">
        <f>IFERROR(1/J405*(Y405/H405),"0")</f>
        <v>5.4621848739495799E-2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23</v>
      </c>
      <c r="Y406" s="644">
        <f>IFERROR(IF(X406="",0,CEILING((X406/$H406),1)*$H406),"")</f>
        <v>24</v>
      </c>
      <c r="Z406" s="36">
        <f>IFERROR(IF(Y406=0,"",ROUNDUP(Y406/H406,0)*0.00474),"")</f>
        <v>5.688E-2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25.76</v>
      </c>
      <c r="BN406" s="64">
        <f>IFERROR(Y406*I406/H406,"0")</f>
        <v>26.880000000000003</v>
      </c>
      <c r="BO406" s="64">
        <f>IFERROR(1/J406*(X406/H406),"0")</f>
        <v>4.8319327731092432E-2</v>
      </c>
      <c r="BP406" s="64">
        <f>IFERROR(1/J406*(Y406/H406),"0")</f>
        <v>5.0420168067226892E-2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41.5</v>
      </c>
      <c r="Y407" s="645">
        <f>IFERROR(Y404/H404,"0")+IFERROR(Y405/H405,"0")+IFERROR(Y406/H406,"0")</f>
        <v>43</v>
      </c>
      <c r="Z407" s="645">
        <f>IFERROR(IF(Z404="",0,Z404),"0")+IFERROR(IF(Z405="",0,Z405),"0")+IFERROR(IF(Z406="",0,Z406),"0")</f>
        <v>0.20382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83</v>
      </c>
      <c r="Y408" s="645">
        <f>IFERROR(SUM(Y404:Y406),"0")</f>
        <v>86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45</v>
      </c>
      <c r="Y410" s="644">
        <f>IFERROR(IF(X410="",0,CEILING((X410/$H410),1)*$H410),"")</f>
        <v>45</v>
      </c>
      <c r="Z410" s="36">
        <f>IFERROR(IF(Y410=0,"",ROUNDUP(Y410/H410,0)*0.0045),"")</f>
        <v>6.7499999999999991E-2</v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48.300000000000004</v>
      </c>
      <c r="BN410" s="64">
        <f>IFERROR(Y410*I410/H410,"0")</f>
        <v>48.300000000000004</v>
      </c>
      <c r="BO410" s="64">
        <f>IFERROR(1/J410*(X410/H410),"0")</f>
        <v>6.6964285714285712E-2</v>
      </c>
      <c r="BP410" s="64">
        <f>IFERROR(1/J410*(Y410/H410),"0")</f>
        <v>6.6964285714285712E-2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36</v>
      </c>
      <c r="Y411" s="644">
        <f>IFERROR(IF(X411="",0,CEILING((X411/$H411),1)*$H411),"")</f>
        <v>39</v>
      </c>
      <c r="Z411" s="36">
        <f>IFERROR(IF(Y411=0,"",ROUNDUP(Y411/H411,0)*0.006),"")</f>
        <v>0.06</v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38.492307692307698</v>
      </c>
      <c r="BN411" s="64">
        <f>IFERROR(Y411*I411/H411,"0")</f>
        <v>41.7</v>
      </c>
      <c r="BO411" s="64">
        <f>IFERROR(1/J411*(X411/H411),"0")</f>
        <v>6.4102564102564111E-2</v>
      </c>
      <c r="BP411" s="64">
        <f>IFERROR(1/J411*(Y411/H411),"0")</f>
        <v>6.9444444444444448E-2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33</v>
      </c>
      <c r="Y412" s="644">
        <f>IFERROR(IF(X412="",0,CEILING((X412/$H412),1)*$H412),"")</f>
        <v>33</v>
      </c>
      <c r="Z412" s="36">
        <f>IFERROR(IF(Y412=0,"",ROUNDUP(Y412/H412,0)*0.0045),"")</f>
        <v>4.9499999999999995E-2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35.42</v>
      </c>
      <c r="BN412" s="64">
        <f>IFERROR(Y412*I412/H412,"0")</f>
        <v>35.42</v>
      </c>
      <c r="BO412" s="64">
        <f>IFERROR(1/J412*(X412/H412),"0")</f>
        <v>4.9107142857142856E-2</v>
      </c>
      <c r="BP412" s="64">
        <f>IFERROR(1/J412*(Y412/H412),"0")</f>
        <v>4.9107142857142856E-2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35.230769230769234</v>
      </c>
      <c r="Y413" s="645">
        <f>IFERROR(Y410/H410,"0")+IFERROR(Y411/H411,"0")+IFERROR(Y412/H412,"0")</f>
        <v>36</v>
      </c>
      <c r="Z413" s="645">
        <f>IFERROR(IF(Z410="",0,Z410),"0")+IFERROR(IF(Z411="",0,Z411),"0")+IFERROR(IF(Z412="",0,Z412),"0")</f>
        <v>0.17699999999999999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114</v>
      </c>
      <c r="Y414" s="645">
        <f>IFERROR(SUM(Y410:Y412),"0")</f>
        <v>117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613</v>
      </c>
      <c r="Y432" s="644">
        <f t="shared" si="63"/>
        <v>615</v>
      </c>
      <c r="Z432" s="36">
        <f>IFERROR(IF(Y432=0,"",ROUNDUP(Y432/H432,0)*0.02175),"")</f>
        <v>0.89174999999999993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632.20733333333339</v>
      </c>
      <c r="BN432" s="64">
        <f t="shared" si="65"/>
        <v>634.2700000000001</v>
      </c>
      <c r="BO432" s="64">
        <f t="shared" si="66"/>
        <v>0.85138888888888886</v>
      </c>
      <c r="BP432" s="64">
        <f t="shared" si="67"/>
        <v>0.85416666666666663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585</v>
      </c>
      <c r="Y433" s="644">
        <f t="shared" si="63"/>
        <v>585</v>
      </c>
      <c r="Z433" s="36">
        <f>IFERROR(IF(Y433=0,"",ROUNDUP(Y433/H433,0)*0.02175),"")</f>
        <v>0.84824999999999995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603.33000000000004</v>
      </c>
      <c r="BN433" s="64">
        <f t="shared" si="65"/>
        <v>603.33000000000004</v>
      </c>
      <c r="BO433" s="64">
        <f t="shared" si="66"/>
        <v>0.8125</v>
      </c>
      <c r="BP433" s="64">
        <f t="shared" si="67"/>
        <v>0.8125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369</v>
      </c>
      <c r="Y434" s="644">
        <f t="shared" si="63"/>
        <v>375</v>
      </c>
      <c r="Z434" s="36">
        <f>IFERROR(IF(Y434=0,"",ROUNDUP(Y434/H434,0)*0.02175),"")</f>
        <v>0.54374999999999996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380.56200000000001</v>
      </c>
      <c r="BN434" s="64">
        <f t="shared" si="65"/>
        <v>386.75</v>
      </c>
      <c r="BO434" s="64">
        <f t="shared" si="66"/>
        <v>0.51249999999999996</v>
      </c>
      <c r="BP434" s="64">
        <f t="shared" si="67"/>
        <v>0.52083333333333326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104.46666666666667</v>
      </c>
      <c r="Y439" s="645">
        <f>IFERROR(Y431/H431,"0")+IFERROR(Y432/H432,"0")+IFERROR(Y433/H433,"0")+IFERROR(Y434/H434,"0")+IFERROR(Y435/H435,"0")+IFERROR(Y436/H436,"0")+IFERROR(Y437/H437,"0")+IFERROR(Y438/H438,"0")</f>
        <v>105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2.2837499999999995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1567</v>
      </c>
      <c r="Y440" s="645">
        <f>IFERROR(SUM(Y431:Y438),"0")</f>
        <v>1575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922</v>
      </c>
      <c r="Y442" s="644">
        <f>IFERROR(IF(X442="",0,CEILING((X442/$H442),1)*$H442),"")</f>
        <v>930</v>
      </c>
      <c r="Z442" s="36">
        <f>IFERROR(IF(Y442=0,"",ROUNDUP(Y442/H442,0)*0.02175),"")</f>
        <v>1.3484999999999998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950.8893333333333</v>
      </c>
      <c r="BN442" s="64">
        <f>IFERROR(Y442*I442/H442,"0")</f>
        <v>959.14</v>
      </c>
      <c r="BO442" s="64">
        <f>IFERROR(1/J442*(X442/H442),"0")</f>
        <v>1.2805555555555554</v>
      </c>
      <c r="BP442" s="64">
        <f>IFERROR(1/J442*(Y442/H442),"0")</f>
        <v>1.2916666666666665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61.466666666666669</v>
      </c>
      <c r="Y445" s="645">
        <f>IFERROR(Y442/H442,"0")+IFERROR(Y443/H443,"0")+IFERROR(Y444/H444,"0")</f>
        <v>62</v>
      </c>
      <c r="Z445" s="645">
        <f>IFERROR(IF(Z442="",0,Z442),"0")+IFERROR(IF(Z443="",0,Z443),"0")+IFERROR(IF(Z444="",0,Z444),"0")</f>
        <v>1.3484999999999998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922</v>
      </c>
      <c r="Y446" s="645">
        <f>IFERROR(SUM(Y442:Y444),"0")</f>
        <v>930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10</v>
      </c>
      <c r="Y449" s="644">
        <f>IFERROR(IF(X449="",0,CEILING((X449/$H449),1)*$H449),"")</f>
        <v>18</v>
      </c>
      <c r="Z449" s="36">
        <f>IFERROR(IF(Y449=0,"",ROUNDUP(Y449/H449,0)*0.01898),"")</f>
        <v>3.7960000000000001E-2</v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10.548888888888889</v>
      </c>
      <c r="BN449" s="64">
        <f>IFERROR(Y449*I449/H449,"0")</f>
        <v>18.988</v>
      </c>
      <c r="BO449" s="64">
        <f>IFERROR(1/J449*(X449/H449),"0")</f>
        <v>1.7361111111111112E-2</v>
      </c>
      <c r="BP449" s="64">
        <f>IFERROR(1/J449*(Y449/H449),"0")</f>
        <v>3.125E-2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1.1111111111111112</v>
      </c>
      <c r="Y451" s="645">
        <f>IFERROR(Y448/H448,"0")+IFERROR(Y449/H449,"0")+IFERROR(Y450/H450,"0")</f>
        <v>2</v>
      </c>
      <c r="Z451" s="645">
        <f>IFERROR(IF(Z448="",0,Z448),"0")+IFERROR(IF(Z449="",0,Z449),"0")+IFERROR(IF(Z450="",0,Z450),"0")</f>
        <v>3.7960000000000001E-2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10</v>
      </c>
      <c r="Y452" s="645">
        <f>IFERROR(SUM(Y448:Y450),"0")</f>
        <v>18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90</v>
      </c>
      <c r="Y455" s="644">
        <f>IFERROR(IF(X455="",0,CEILING((X455/$H455),1)*$H455),"")</f>
        <v>90</v>
      </c>
      <c r="Z455" s="36">
        <f>IFERROR(IF(Y455=0,"",ROUNDUP(Y455/H455,0)*0.01898),"")</f>
        <v>0.1898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94.94</v>
      </c>
      <c r="BN455" s="64">
        <f>IFERROR(Y455*I455/H455,"0")</f>
        <v>94.94</v>
      </c>
      <c r="BO455" s="64">
        <f>IFERROR(1/J455*(X455/H455),"0")</f>
        <v>0.15625</v>
      </c>
      <c r="BP455" s="64">
        <f>IFERROR(1/J455*(Y455/H455),"0")</f>
        <v>0.15625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10</v>
      </c>
      <c r="Y456" s="645">
        <f>IFERROR(Y454/H454,"0")+IFERROR(Y455/H455,"0")</f>
        <v>10</v>
      </c>
      <c r="Z456" s="645">
        <f>IFERROR(IF(Z454="",0,Z454),"0")+IFERROR(IF(Z455="",0,Z455),"0")</f>
        <v>0.1898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90</v>
      </c>
      <c r="Y457" s="645">
        <f>IFERROR(SUM(Y454:Y455),"0")</f>
        <v>90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360</v>
      </c>
      <c r="Y469" s="644">
        <f>IFERROR(IF(X469="",0,CEILING((X469/$H469),1)*$H469),"")</f>
        <v>360</v>
      </c>
      <c r="Z469" s="36">
        <f>IFERROR(IF(Y469=0,"",ROUNDUP(Y469/H469,0)*0.01898),"")</f>
        <v>0.75919999999999999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379.76</v>
      </c>
      <c r="BN469" s="64">
        <f>IFERROR(Y469*I469/H469,"0")</f>
        <v>379.76</v>
      </c>
      <c r="BO469" s="64">
        <f>IFERROR(1/J469*(X469/H469),"0")</f>
        <v>0.625</v>
      </c>
      <c r="BP469" s="64">
        <f>IFERROR(1/J469*(Y469/H469),"0")</f>
        <v>0.625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20</v>
      </c>
      <c r="Y470" s="644">
        <f>IFERROR(IF(X470="",0,CEILING((X470/$H470),1)*$H470),"")</f>
        <v>21.599999999999998</v>
      </c>
      <c r="Z470" s="36">
        <f>IFERROR(IF(Y470=0,"",ROUNDUP(Y470/H470,0)*0.00651),"")</f>
        <v>5.8590000000000003E-2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22.200000000000003</v>
      </c>
      <c r="BN470" s="64">
        <f>IFERROR(Y470*I470/H470,"0")</f>
        <v>23.976000000000003</v>
      </c>
      <c r="BO470" s="64">
        <f>IFERROR(1/J470*(X470/H470),"0")</f>
        <v>4.5787545787545791E-2</v>
      </c>
      <c r="BP470" s="64">
        <f>IFERROR(1/J470*(Y470/H470),"0")</f>
        <v>4.9450549450549455E-2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48.333333333333336</v>
      </c>
      <c r="Y472" s="645">
        <f>IFERROR(Y469/H469,"0")+IFERROR(Y470/H470,"0")+IFERROR(Y471/H471,"0")</f>
        <v>49</v>
      </c>
      <c r="Z472" s="645">
        <f>IFERROR(IF(Z469="",0,Z469),"0")+IFERROR(IF(Z470="",0,Z470),"0")+IFERROR(IF(Z471="",0,Z471),"0")</f>
        <v>0.81779000000000002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380</v>
      </c>
      <c r="Y473" s="645">
        <f>IFERROR(SUM(Y469:Y471),"0")</f>
        <v>381.6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100</v>
      </c>
      <c r="Y496" s="644">
        <f>IFERROR(IF(X496="",0,CEILING((X496/$H496),1)*$H496),"")</f>
        <v>102.60000000000001</v>
      </c>
      <c r="Z496" s="36">
        <f>IFERROR(IF(Y496=0,"",ROUNDUP(Y496/H496,0)*0.00902),"")</f>
        <v>0.17138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103.5185185185185</v>
      </c>
      <c r="BN496" s="64">
        <f>IFERROR(Y496*I496/H496,"0")</f>
        <v>106.21</v>
      </c>
      <c r="BO496" s="64">
        <f>IFERROR(1/J496*(X496/H496),"0")</f>
        <v>0.14029180695847362</v>
      </c>
      <c r="BP496" s="64">
        <f>IFERROR(1/J496*(Y496/H496),"0")</f>
        <v>0.14393939393939395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18.518518518518519</v>
      </c>
      <c r="Y499" s="645">
        <f>IFERROR(Y496/H496,"0")+IFERROR(Y497/H497,"0")+IFERROR(Y498/H498,"0")</f>
        <v>19</v>
      </c>
      <c r="Z499" s="645">
        <f>IFERROR(IF(Z496="",0,Z496),"0")+IFERROR(IF(Z497="",0,Z497),"0")+IFERROR(IF(Z498="",0,Z498),"0")</f>
        <v>0.17138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100</v>
      </c>
      <c r="Y500" s="645">
        <f>IFERROR(SUM(Y496:Y498),"0")</f>
        <v>102.60000000000001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44</v>
      </c>
      <c r="Y504" s="644">
        <f t="shared" ref="Y504:Y512" si="73">IFERROR(IF(X504="",0,CEILING((X504/$H504),1)*$H504),"")</f>
        <v>47.52</v>
      </c>
      <c r="Z504" s="36">
        <f t="shared" ref="Z504:Z509" si="74">IFERROR(IF(Y504=0,"",ROUNDUP(Y504/H504,0)*0.01196),"")</f>
        <v>0.10764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46.916666666666664</v>
      </c>
      <c r="BN504" s="64">
        <f t="shared" ref="BN504:BN512" si="76">IFERROR(Y504*I504/H504,"0")</f>
        <v>50.669999999999995</v>
      </c>
      <c r="BO504" s="64">
        <f t="shared" ref="BO504:BO512" si="77">IFERROR(1/J504*(X504/H504),"0")</f>
        <v>8.0128205128205121E-2</v>
      </c>
      <c r="BP504" s="64">
        <f t="shared" ref="BP504:BP512" si="78">IFERROR(1/J504*(Y504/H504),"0")</f>
        <v>8.6538461538461536E-2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35</v>
      </c>
      <c r="Y506" s="644">
        <f t="shared" si="73"/>
        <v>36.96</v>
      </c>
      <c r="Z506" s="36">
        <f t="shared" si="74"/>
        <v>8.3720000000000003E-2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37.320075757575751</v>
      </c>
      <c r="BN506" s="64">
        <f t="shared" si="76"/>
        <v>39.409999999999997</v>
      </c>
      <c r="BO506" s="64">
        <f t="shared" si="77"/>
        <v>6.3738344988344992E-2</v>
      </c>
      <c r="BP506" s="64">
        <f t="shared" si="78"/>
        <v>6.7307692307692318E-2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81</v>
      </c>
      <c r="Y507" s="644">
        <f t="shared" si="73"/>
        <v>84.48</v>
      </c>
      <c r="Z507" s="36">
        <f t="shared" si="74"/>
        <v>0.19136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86.369318181818173</v>
      </c>
      <c r="BN507" s="64">
        <f t="shared" si="76"/>
        <v>90.08</v>
      </c>
      <c r="BO507" s="64">
        <f t="shared" si="77"/>
        <v>0.14750874125874125</v>
      </c>
      <c r="BP507" s="64">
        <f t="shared" si="78"/>
        <v>0.15384615384615385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141</v>
      </c>
      <c r="Y509" s="644">
        <f t="shared" si="73"/>
        <v>142.56</v>
      </c>
      <c r="Z509" s="36">
        <f t="shared" si="74"/>
        <v>0.32291999999999998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150.34659090909091</v>
      </c>
      <c r="BN509" s="64">
        <f t="shared" si="76"/>
        <v>152.01</v>
      </c>
      <c r="BO509" s="64">
        <f t="shared" si="77"/>
        <v>0.25677447552447552</v>
      </c>
      <c r="BP509" s="64">
        <f t="shared" si="78"/>
        <v>0.25961538461538464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42</v>
      </c>
      <c r="Y512" s="644">
        <f t="shared" si="73"/>
        <v>43.199999999999996</v>
      </c>
      <c r="Z512" s="36">
        <f>IFERROR(IF(Y512=0,"",ROUNDUP(Y512/H512,0)*0.00902),"")</f>
        <v>8.1180000000000002E-2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60.462500000000006</v>
      </c>
      <c r="BN512" s="64">
        <f t="shared" si="76"/>
        <v>62.190000000000005</v>
      </c>
      <c r="BO512" s="64">
        <f t="shared" si="77"/>
        <v>6.6287878787878785E-2</v>
      </c>
      <c r="BP512" s="64">
        <f t="shared" si="78"/>
        <v>6.8181818181818177E-2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65.757575757575751</v>
      </c>
      <c r="Y513" s="645">
        <f>IFERROR(Y504/H504,"0")+IFERROR(Y505/H505,"0")+IFERROR(Y506/H506,"0")+IFERROR(Y507/H507,"0")+IFERROR(Y508/H508,"0")+IFERROR(Y509/H509,"0")+IFERROR(Y510/H510,"0")+IFERROR(Y511/H511,"0")+IFERROR(Y512/H512,"0")</f>
        <v>68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0.78682000000000007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343</v>
      </c>
      <c r="Y514" s="645">
        <f>IFERROR(SUM(Y504:Y512),"0")</f>
        <v>354.71999999999997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208</v>
      </c>
      <c r="Y516" s="644">
        <f>IFERROR(IF(X516="",0,CEILING((X516/$H516),1)*$H516),"")</f>
        <v>211.20000000000002</v>
      </c>
      <c r="Z516" s="36">
        <f>IFERROR(IF(Y516=0,"",ROUNDUP(Y516/H516,0)*0.01196),"")</f>
        <v>0.47839999999999999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221.78787878787878</v>
      </c>
      <c r="BN516" s="64">
        <f>IFERROR(Y516*I516/H516,"0")</f>
        <v>225.2</v>
      </c>
      <c r="BO516" s="64">
        <f>IFERROR(1/J516*(X516/H516),"0")</f>
        <v>0.37878787878787878</v>
      </c>
      <c r="BP516" s="64">
        <f>IFERROR(1/J516*(Y516/H516),"0")</f>
        <v>0.38461538461538464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6</v>
      </c>
      <c r="Y518" s="644">
        <f>IFERROR(IF(X518="",0,CEILING((X518/$H518),1)*$H518),"")</f>
        <v>9.6</v>
      </c>
      <c r="Z518" s="36">
        <f>IFERROR(IF(Y518=0,"",ROUNDUP(Y518/H518,0)*0.00902),"")</f>
        <v>1.804E-2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8.6375000000000011</v>
      </c>
      <c r="BN518" s="64">
        <f>IFERROR(Y518*I518/H518,"0")</f>
        <v>13.82</v>
      </c>
      <c r="BO518" s="64">
        <f>IFERROR(1/J518*(X518/H518),"0")</f>
        <v>9.46969696969697E-3</v>
      </c>
      <c r="BP518" s="64">
        <f>IFERROR(1/J518*(Y518/H518),"0")</f>
        <v>1.5151515151515152E-2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40.643939393939391</v>
      </c>
      <c r="Y519" s="645">
        <f>IFERROR(Y516/H516,"0")+IFERROR(Y517/H517,"0")+IFERROR(Y518/H518,"0")</f>
        <v>42</v>
      </c>
      <c r="Z519" s="645">
        <f>IFERROR(IF(Z516="",0,Z516),"0")+IFERROR(IF(Z517="",0,Z517),"0")+IFERROR(IF(Z518="",0,Z518),"0")</f>
        <v>0.49643999999999999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214</v>
      </c>
      <c r="Y520" s="645">
        <f>IFERROR(SUM(Y516:Y518),"0")</f>
        <v>220.8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100</v>
      </c>
      <c r="Y522" s="644">
        <f t="shared" ref="Y522:Y528" si="79">IFERROR(IF(X522="",0,CEILING((X522/$H522),1)*$H522),"")</f>
        <v>100.32000000000001</v>
      </c>
      <c r="Z522" s="36">
        <f>IFERROR(IF(Y522=0,"",ROUNDUP(Y522/H522,0)*0.01196),"")</f>
        <v>0.22724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106.62878787878788</v>
      </c>
      <c r="BN522" s="64">
        <f t="shared" ref="BN522:BN528" si="81">IFERROR(Y522*I522/H522,"0")</f>
        <v>106.97</v>
      </c>
      <c r="BO522" s="64">
        <f t="shared" ref="BO522:BO528" si="82">IFERROR(1/J522*(X522/H522),"0")</f>
        <v>0.18210955710955709</v>
      </c>
      <c r="BP522" s="64">
        <f t="shared" ref="BP522:BP528" si="83">IFERROR(1/J522*(Y522/H522),"0")</f>
        <v>0.18269230769230771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90</v>
      </c>
      <c r="Y523" s="644">
        <f t="shared" si="79"/>
        <v>95.04</v>
      </c>
      <c r="Z523" s="36">
        <f>IFERROR(IF(Y523=0,"",ROUNDUP(Y523/H523,0)*0.01196),"")</f>
        <v>0.21528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95.965909090909079</v>
      </c>
      <c r="BN523" s="64">
        <f t="shared" si="81"/>
        <v>101.33999999999999</v>
      </c>
      <c r="BO523" s="64">
        <f t="shared" si="82"/>
        <v>0.16389860139860138</v>
      </c>
      <c r="BP523" s="64">
        <f t="shared" si="83"/>
        <v>0.17307692307692307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300</v>
      </c>
      <c r="Y524" s="644">
        <f t="shared" si="79"/>
        <v>300.96000000000004</v>
      </c>
      <c r="Z524" s="36">
        <f>IFERROR(IF(Y524=0,"",ROUNDUP(Y524/H524,0)*0.01196),"")</f>
        <v>0.68171999999999999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319.88636363636363</v>
      </c>
      <c r="BN524" s="64">
        <f t="shared" si="81"/>
        <v>320.91000000000003</v>
      </c>
      <c r="BO524" s="64">
        <f t="shared" si="82"/>
        <v>0.54632867132867136</v>
      </c>
      <c r="BP524" s="64">
        <f t="shared" si="83"/>
        <v>0.54807692307692313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92.803030303030297</v>
      </c>
      <c r="Y529" s="645">
        <f>IFERROR(Y522/H522,"0")+IFERROR(Y523/H523,"0")+IFERROR(Y524/H524,"0")+IFERROR(Y525/H525,"0")+IFERROR(Y526/H526,"0")+IFERROR(Y527/H527,"0")+IFERROR(Y528/H528,"0")</f>
        <v>94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1.1242399999999999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490</v>
      </c>
      <c r="Y530" s="645">
        <f>IFERROR(SUM(Y522:Y528),"0")</f>
        <v>496.32000000000005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110</v>
      </c>
      <c r="Y546" s="644">
        <f>IFERROR(IF(X546="",0,CEILING((X546/$H546),1)*$H546),"")</f>
        <v>117</v>
      </c>
      <c r="Z546" s="36">
        <f>IFERROR(IF(Y546=0,"",ROUNDUP(Y546/H546,0)*0.01898),"")</f>
        <v>0.24674000000000001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116.03777777777776</v>
      </c>
      <c r="BN546" s="64">
        <f>IFERROR(Y546*I546/H546,"0")</f>
        <v>123.422</v>
      </c>
      <c r="BO546" s="64">
        <f>IFERROR(1/J546*(X546/H546),"0")</f>
        <v>0.19097222222222221</v>
      </c>
      <c r="BP546" s="64">
        <f>IFERROR(1/J546*(Y546/H546),"0")</f>
        <v>0.203125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12.222222222222221</v>
      </c>
      <c r="Y547" s="645">
        <f>IFERROR(Y546/H546,"0")</f>
        <v>13</v>
      </c>
      <c r="Z547" s="645">
        <f>IFERROR(IF(Z546="",0,Z546),"0")</f>
        <v>0.24674000000000001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110</v>
      </c>
      <c r="Y548" s="645">
        <f>IFERROR(SUM(Y546:Y546),"0")</f>
        <v>117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8505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8707.6400000000012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9000.5823874018679</v>
      </c>
      <c r="Y560" s="645">
        <f>IFERROR(SUM(BN22:BN556),"0")</f>
        <v>9217.9920000000038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15</v>
      </c>
      <c r="Y561" s="38">
        <f>ROUNDUP(SUM(BP22:BP556),0)</f>
        <v>16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9375.5823874018679</v>
      </c>
      <c r="Y562" s="645">
        <f>GrossWeightTotalR+PalletQtyTotalR*25</f>
        <v>9617.9920000000038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1530.2904646672337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1572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17.551629999999999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25.2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140.70000000000002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276.7</v>
      </c>
      <c r="F569" s="46">
        <f>IFERROR(Y85*1,"0")+IFERROR(Y86*1,"0")+IFERROR(Y87*1,"0")+IFERROR(Y88*1,"0")+IFERROR(Y89*1,"0")+IFERROR(Y93*1,"0")+IFERROR(Y94*1,"0")+IFERROR(Y95*1,"0")+IFERROR(Y96*1,"0")+IFERROR(Y97*1,"0")+IFERROR(Y98*1,"0")</f>
        <v>577.79999999999995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530.04000000000008</v>
      </c>
      <c r="H569" s="46">
        <f>IFERROR(Y138*1,"0")+IFERROR(Y139*1,"0")+IFERROR(Y143*1,"0")+IFERROR(Y144*1,"0")+IFERROR(Y148*1,"0")+IFERROR(Y149*1,"0")</f>
        <v>95.36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276.38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264.74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1479.2999999999997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9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81.599999999999994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132.6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532.18000000000006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2613</v>
      </c>
      <c r="X569" s="46">
        <f>IFERROR(Y460*1,"0")+IFERROR(Y461*1,"0")+IFERROR(Y465*1,"0")+IFERROR(Y469*1,"0")+IFERROR(Y470*1,"0")+IFERROR(Y471*1,"0")</f>
        <v>381.6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102.60000000000001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1071.8400000000001</v>
      </c>
      <c r="AB569" s="46">
        <f>IFERROR(Y534*1,"0")+IFERROR(Y538*1,"0")+IFERROR(Y542*1,"0")+IFERROR(Y546*1,"0")+IFERROR(Y550*1,"0")+IFERROR(Y551*1,"0")</f>
        <v>117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