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7C71073-FF3F-4DCA-A9C8-B5ACEF20834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69" i="1" l="1"/>
  <c r="X558" i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Y493" i="1"/>
  <c r="X493" i="1"/>
  <c r="BP492" i="1"/>
  <c r="BO492" i="1"/>
  <c r="BN492" i="1"/>
  <c r="BM492" i="1"/>
  <c r="Z492" i="1"/>
  <c r="Z493" i="1" s="1"/>
  <c r="Y492" i="1"/>
  <c r="Y494" i="1" s="1"/>
  <c r="P492" i="1"/>
  <c r="X489" i="1"/>
  <c r="Y488" i="1"/>
  <c r="X488" i="1"/>
  <c r="BP487" i="1"/>
  <c r="BO487" i="1"/>
  <c r="BN487" i="1"/>
  <c r="BM487" i="1"/>
  <c r="Z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Y466" i="1"/>
  <c r="X466" i="1"/>
  <c r="BP465" i="1"/>
  <c r="BO465" i="1"/>
  <c r="BN465" i="1"/>
  <c r="BM465" i="1"/>
  <c r="Z465" i="1"/>
  <c r="Z466" i="1" s="1"/>
  <c r="Y465" i="1"/>
  <c r="Y467" i="1" s="1"/>
  <c r="P465" i="1"/>
  <c r="X463" i="1"/>
  <c r="Y462" i="1"/>
  <c r="X462" i="1"/>
  <c r="BP461" i="1"/>
  <c r="BO461" i="1"/>
  <c r="BN461" i="1"/>
  <c r="BM461" i="1"/>
  <c r="Z461" i="1"/>
  <c r="Y461" i="1"/>
  <c r="P461" i="1"/>
  <c r="BO460" i="1"/>
  <c r="BM460" i="1"/>
  <c r="Y460" i="1"/>
  <c r="P460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Y456" i="1" s="1"/>
  <c r="P454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X446" i="1"/>
  <c r="Y445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Y446" i="1" s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X414" i="1"/>
  <c r="Y413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Y414" i="1" s="1"/>
  <c r="P410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P374" i="1"/>
  <c r="BO374" i="1"/>
  <c r="BN374" i="1"/>
  <c r="BM374" i="1"/>
  <c r="Z374" i="1"/>
  <c r="Y374" i="1"/>
  <c r="Y382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T569" i="1" s="1"/>
  <c r="P366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P359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Y300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N287" i="1"/>
  <c r="BM287" i="1"/>
  <c r="Z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70" i="1"/>
  <c r="X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Y255" i="1" s="1"/>
  <c r="P251" i="1"/>
  <c r="X249" i="1"/>
  <c r="X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X241" i="1"/>
  <c r="X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Y223" i="1"/>
  <c r="X223" i="1"/>
  <c r="BP222" i="1"/>
  <c r="BO222" i="1"/>
  <c r="BN222" i="1"/>
  <c r="BM222" i="1"/>
  <c r="Z222" i="1"/>
  <c r="Z223" i="1" s="1"/>
  <c r="Y222" i="1"/>
  <c r="P222" i="1"/>
  <c r="X219" i="1"/>
  <c r="X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Y202" i="1"/>
  <c r="X202" i="1"/>
  <c r="BP201" i="1"/>
  <c r="BO201" i="1"/>
  <c r="BN201" i="1"/>
  <c r="BM201" i="1"/>
  <c r="Z201" i="1"/>
  <c r="Z202" i="1" s="1"/>
  <c r="Y201" i="1"/>
  <c r="Y203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P189" i="1"/>
  <c r="BO188" i="1"/>
  <c r="BM188" i="1"/>
  <c r="Y188" i="1"/>
  <c r="P188" i="1"/>
  <c r="BP187" i="1"/>
  <c r="BO187" i="1"/>
  <c r="BN187" i="1"/>
  <c r="BM187" i="1"/>
  <c r="Z187" i="1"/>
  <c r="Y187" i="1"/>
  <c r="P187" i="1"/>
  <c r="BO186" i="1"/>
  <c r="BM186" i="1"/>
  <c r="Y186" i="1"/>
  <c r="BO185" i="1"/>
  <c r="BM185" i="1"/>
  <c r="Y185" i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Y161" i="1" s="1"/>
  <c r="P155" i="1"/>
  <c r="BP154" i="1"/>
  <c r="BO154" i="1"/>
  <c r="BN154" i="1"/>
  <c r="BM154" i="1"/>
  <c r="Z154" i="1"/>
  <c r="Y154" i="1"/>
  <c r="P154" i="1"/>
  <c r="X151" i="1"/>
  <c r="Y150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0" i="1" s="1"/>
  <c r="P138" i="1"/>
  <c r="X135" i="1"/>
  <c r="X134" i="1"/>
  <c r="BO133" i="1"/>
  <c r="BM133" i="1"/>
  <c r="Y133" i="1"/>
  <c r="BO132" i="1"/>
  <c r="BM132" i="1"/>
  <c r="Y132" i="1"/>
  <c r="P132" i="1"/>
  <c r="X130" i="1"/>
  <c r="X129" i="1"/>
  <c r="BO128" i="1"/>
  <c r="BM128" i="1"/>
  <c r="Y128" i="1"/>
  <c r="BO127" i="1"/>
  <c r="BM127" i="1"/>
  <c r="Y127" i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Y129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20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Y61" i="1" s="1"/>
  <c r="P55" i="1"/>
  <c r="X52" i="1"/>
  <c r="X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P40" i="1"/>
  <c r="BP39" i="1"/>
  <c r="BO39" i="1"/>
  <c r="BN39" i="1"/>
  <c r="BM39" i="1"/>
  <c r="Z39" i="1"/>
  <c r="Y39" i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Y33" i="1" s="1"/>
  <c r="P27" i="1"/>
  <c r="X25" i="1"/>
  <c r="X559" i="1" s="1"/>
  <c r="X24" i="1"/>
  <c r="BP23" i="1"/>
  <c r="BO23" i="1"/>
  <c r="BN23" i="1"/>
  <c r="BM23" i="1"/>
  <c r="Z23" i="1"/>
  <c r="Y23" i="1"/>
  <c r="P23" i="1"/>
  <c r="BO22" i="1"/>
  <c r="X561" i="1" s="1"/>
  <c r="BM22" i="1"/>
  <c r="Y22" i="1"/>
  <c r="P22" i="1"/>
  <c r="H10" i="1"/>
  <c r="H9" i="1"/>
  <c r="A9" i="1"/>
  <c r="D7" i="1"/>
  <c r="Q6" i="1"/>
  <c r="P2" i="1"/>
  <c r="B569" i="1" l="1"/>
  <c r="Y25" i="1"/>
  <c r="BP22" i="1"/>
  <c r="BN22" i="1"/>
  <c r="Z22" i="1"/>
  <c r="Z24" i="1" s="1"/>
  <c r="BP50" i="1"/>
  <c r="BN50" i="1"/>
  <c r="Z50" i="1"/>
  <c r="Y52" i="1"/>
  <c r="BP59" i="1"/>
  <c r="BN59" i="1"/>
  <c r="Z59" i="1"/>
  <c r="BP67" i="1"/>
  <c r="BN67" i="1"/>
  <c r="Z67" i="1"/>
  <c r="Y69" i="1"/>
  <c r="BP79" i="1"/>
  <c r="BN79" i="1"/>
  <c r="Z79" i="1"/>
  <c r="BP87" i="1"/>
  <c r="BN87" i="1"/>
  <c r="Z87" i="1"/>
  <c r="BP97" i="1"/>
  <c r="BN97" i="1"/>
  <c r="Z97" i="1"/>
  <c r="BP127" i="1"/>
  <c r="BN127" i="1"/>
  <c r="Z127" i="1"/>
  <c r="F10" i="1"/>
  <c r="J9" i="1"/>
  <c r="F9" i="1"/>
  <c r="A10" i="1"/>
  <c r="X560" i="1"/>
  <c r="X562" i="1" s="1"/>
  <c r="Y24" i="1"/>
  <c r="BP28" i="1"/>
  <c r="BN28" i="1"/>
  <c r="Z28" i="1"/>
  <c r="Y32" i="1"/>
  <c r="BP38" i="1"/>
  <c r="BN38" i="1"/>
  <c r="Z38" i="1"/>
  <c r="Z42" i="1" s="1"/>
  <c r="Y42" i="1"/>
  <c r="BP48" i="1"/>
  <c r="BN48" i="1"/>
  <c r="Z48" i="1"/>
  <c r="Z51" i="1" s="1"/>
  <c r="BP57" i="1"/>
  <c r="BN57" i="1"/>
  <c r="Z57" i="1"/>
  <c r="BP65" i="1"/>
  <c r="BN65" i="1"/>
  <c r="Z65" i="1"/>
  <c r="Z68" i="1" s="1"/>
  <c r="BP73" i="1"/>
  <c r="BN73" i="1"/>
  <c r="Z73" i="1"/>
  <c r="Y82" i="1"/>
  <c r="BP77" i="1"/>
  <c r="BN77" i="1"/>
  <c r="Z77" i="1"/>
  <c r="Z81" i="1" s="1"/>
  <c r="Y81" i="1"/>
  <c r="BP86" i="1"/>
  <c r="BN86" i="1"/>
  <c r="Z86" i="1"/>
  <c r="Z90" i="1" s="1"/>
  <c r="BP89" i="1"/>
  <c r="BN89" i="1"/>
  <c r="Z89" i="1"/>
  <c r="Y91" i="1"/>
  <c r="Y100" i="1"/>
  <c r="BP93" i="1"/>
  <c r="BN93" i="1"/>
  <c r="Z93" i="1"/>
  <c r="BP96" i="1"/>
  <c r="BN96" i="1"/>
  <c r="Z96" i="1"/>
  <c r="Y99" i="1"/>
  <c r="BP104" i="1"/>
  <c r="BN104" i="1"/>
  <c r="Z104" i="1"/>
  <c r="BP108" i="1"/>
  <c r="BN108" i="1"/>
  <c r="Z108" i="1"/>
  <c r="Y111" i="1"/>
  <c r="BP115" i="1"/>
  <c r="BN115" i="1"/>
  <c r="Z115" i="1"/>
  <c r="Y119" i="1"/>
  <c r="BP124" i="1"/>
  <c r="BN124" i="1"/>
  <c r="Z124" i="1"/>
  <c r="Z129" i="1" s="1"/>
  <c r="BP128" i="1"/>
  <c r="BN128" i="1"/>
  <c r="Z128" i="1"/>
  <c r="Y130" i="1"/>
  <c r="Y134" i="1"/>
  <c r="BP132" i="1"/>
  <c r="BN132" i="1"/>
  <c r="Z132" i="1"/>
  <c r="BP144" i="1"/>
  <c r="BN144" i="1"/>
  <c r="Z144" i="1"/>
  <c r="Z145" i="1" s="1"/>
  <c r="Y146" i="1"/>
  <c r="Y151" i="1"/>
  <c r="BP148" i="1"/>
  <c r="BN148" i="1"/>
  <c r="Z148" i="1"/>
  <c r="Z150" i="1" s="1"/>
  <c r="I569" i="1"/>
  <c r="BP157" i="1"/>
  <c r="BN157" i="1"/>
  <c r="Z157" i="1"/>
  <c r="Z172" i="1"/>
  <c r="BP170" i="1"/>
  <c r="BN170" i="1"/>
  <c r="Z170" i="1"/>
  <c r="Y177" i="1"/>
  <c r="BP182" i="1"/>
  <c r="BN182" i="1"/>
  <c r="Z182" i="1"/>
  <c r="BP186" i="1"/>
  <c r="BN186" i="1"/>
  <c r="Z186" i="1"/>
  <c r="BP190" i="1"/>
  <c r="BN190" i="1"/>
  <c r="Z190" i="1"/>
  <c r="Y199" i="1"/>
  <c r="BP212" i="1"/>
  <c r="BN212" i="1"/>
  <c r="Z212" i="1"/>
  <c r="Z218" i="1" s="1"/>
  <c r="BP216" i="1"/>
  <c r="BN216" i="1"/>
  <c r="Z216" i="1"/>
  <c r="Y240" i="1"/>
  <c r="BP229" i="1"/>
  <c r="BN229" i="1"/>
  <c r="Z229" i="1"/>
  <c r="BP233" i="1"/>
  <c r="BN233" i="1"/>
  <c r="Z233" i="1"/>
  <c r="BP237" i="1"/>
  <c r="BN237" i="1"/>
  <c r="Z237" i="1"/>
  <c r="BP245" i="1"/>
  <c r="BN245" i="1"/>
  <c r="Z245" i="1"/>
  <c r="BP253" i="1"/>
  <c r="BN253" i="1"/>
  <c r="Z253" i="1"/>
  <c r="Y258" i="1"/>
  <c r="BP257" i="1"/>
  <c r="BN257" i="1"/>
  <c r="Z257" i="1"/>
  <c r="Z258" i="1" s="1"/>
  <c r="Y259" i="1"/>
  <c r="M569" i="1"/>
  <c r="Y265" i="1"/>
  <c r="BP262" i="1"/>
  <c r="BN262" i="1"/>
  <c r="Z262" i="1"/>
  <c r="Z264" i="1" s="1"/>
  <c r="Y269" i="1"/>
  <c r="BP274" i="1"/>
  <c r="BN274" i="1"/>
  <c r="Z274" i="1"/>
  <c r="BP278" i="1"/>
  <c r="BN278" i="1"/>
  <c r="Z278" i="1"/>
  <c r="BP286" i="1"/>
  <c r="BN286" i="1"/>
  <c r="Z286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BP30" i="1"/>
  <c r="BN30" i="1"/>
  <c r="Z30" i="1"/>
  <c r="Z32" i="1" s="1"/>
  <c r="BP40" i="1"/>
  <c r="BN40" i="1"/>
  <c r="Z40" i="1"/>
  <c r="E569" i="1"/>
  <c r="Y62" i="1"/>
  <c r="BP55" i="1"/>
  <c r="BN55" i="1"/>
  <c r="Z55" i="1"/>
  <c r="Z61" i="1" s="1"/>
  <c r="Y74" i="1"/>
  <c r="BP71" i="1"/>
  <c r="BN71" i="1"/>
  <c r="Z71" i="1"/>
  <c r="Z74" i="1" s="1"/>
  <c r="BP94" i="1"/>
  <c r="BN94" i="1"/>
  <c r="Z94" i="1"/>
  <c r="BP106" i="1"/>
  <c r="BN106" i="1"/>
  <c r="Z106" i="1"/>
  <c r="Z111" i="1" s="1"/>
  <c r="BP109" i="1"/>
  <c r="BN109" i="1"/>
  <c r="Z109" i="1"/>
  <c r="BP117" i="1"/>
  <c r="BN117" i="1"/>
  <c r="Z117" i="1"/>
  <c r="Z119" i="1" s="1"/>
  <c r="BP133" i="1"/>
  <c r="BN133" i="1"/>
  <c r="Z133" i="1"/>
  <c r="Y135" i="1"/>
  <c r="H569" i="1"/>
  <c r="Y141" i="1"/>
  <c r="BP138" i="1"/>
  <c r="BN138" i="1"/>
  <c r="Z138" i="1"/>
  <c r="Z140" i="1" s="1"/>
  <c r="BP155" i="1"/>
  <c r="BN155" i="1"/>
  <c r="Z155" i="1"/>
  <c r="Z161" i="1" s="1"/>
  <c r="BP159" i="1"/>
  <c r="BN159" i="1"/>
  <c r="Z159" i="1"/>
  <c r="BP176" i="1"/>
  <c r="BN176" i="1"/>
  <c r="Z176" i="1"/>
  <c r="Z177" i="1" s="1"/>
  <c r="Y178" i="1"/>
  <c r="Y193" i="1"/>
  <c r="BP180" i="1"/>
  <c r="BN180" i="1"/>
  <c r="Z180" i="1"/>
  <c r="BP185" i="1"/>
  <c r="BN185" i="1"/>
  <c r="Z185" i="1"/>
  <c r="BP188" i="1"/>
  <c r="BN188" i="1"/>
  <c r="Z188" i="1"/>
  <c r="Y192" i="1"/>
  <c r="BP196" i="1"/>
  <c r="BN196" i="1"/>
  <c r="Z196" i="1"/>
  <c r="Z198" i="1" s="1"/>
  <c r="BP214" i="1"/>
  <c r="BN214" i="1"/>
  <c r="Z214" i="1"/>
  <c r="Y218" i="1"/>
  <c r="BP227" i="1"/>
  <c r="BN227" i="1"/>
  <c r="Z227" i="1"/>
  <c r="Z240" i="1" s="1"/>
  <c r="BP231" i="1"/>
  <c r="BN231" i="1"/>
  <c r="Z231" i="1"/>
  <c r="BP235" i="1"/>
  <c r="BN235" i="1"/>
  <c r="Z235" i="1"/>
  <c r="BP239" i="1"/>
  <c r="BN239" i="1"/>
  <c r="Z239" i="1"/>
  <c r="Y241" i="1"/>
  <c r="Y248" i="1"/>
  <c r="BP243" i="1"/>
  <c r="BN243" i="1"/>
  <c r="Z243" i="1"/>
  <c r="BP247" i="1"/>
  <c r="BN247" i="1"/>
  <c r="Z247" i="1"/>
  <c r="Y249" i="1"/>
  <c r="Y254" i="1"/>
  <c r="BP251" i="1"/>
  <c r="BN251" i="1"/>
  <c r="Z251" i="1"/>
  <c r="Z254" i="1" s="1"/>
  <c r="BP268" i="1"/>
  <c r="BN268" i="1"/>
  <c r="Z268" i="1"/>
  <c r="Z269" i="1" s="1"/>
  <c r="Y270" i="1"/>
  <c r="Y281" i="1"/>
  <c r="BP272" i="1"/>
  <c r="BN272" i="1"/>
  <c r="Z272" i="1"/>
  <c r="BP276" i="1"/>
  <c r="BN276" i="1"/>
  <c r="Z276" i="1"/>
  <c r="Y280" i="1"/>
  <c r="BP284" i="1"/>
  <c r="BN284" i="1"/>
  <c r="Z284" i="1"/>
  <c r="BP289" i="1"/>
  <c r="BN289" i="1"/>
  <c r="Z289" i="1"/>
  <c r="Z295" i="1" s="1"/>
  <c r="BP293" i="1"/>
  <c r="BN293" i="1"/>
  <c r="Z293" i="1"/>
  <c r="Y319" i="1"/>
  <c r="BP318" i="1"/>
  <c r="BN318" i="1"/>
  <c r="Z318" i="1"/>
  <c r="Z319" i="1" s="1"/>
  <c r="Y320" i="1"/>
  <c r="Y325" i="1"/>
  <c r="BP322" i="1"/>
  <c r="BN322" i="1"/>
  <c r="Z322" i="1"/>
  <c r="BP331" i="1"/>
  <c r="BN331" i="1"/>
  <c r="Z331" i="1"/>
  <c r="BP369" i="1"/>
  <c r="BN369" i="1"/>
  <c r="Z369" i="1"/>
  <c r="BP418" i="1"/>
  <c r="BN418" i="1"/>
  <c r="Z418" i="1"/>
  <c r="Z419" i="1" s="1"/>
  <c r="Y420" i="1"/>
  <c r="Y426" i="1"/>
  <c r="BP423" i="1"/>
  <c r="BN423" i="1"/>
  <c r="Z423" i="1"/>
  <c r="V569" i="1"/>
  <c r="Y427" i="1"/>
  <c r="BP433" i="1"/>
  <c r="BN433" i="1"/>
  <c r="Z433" i="1"/>
  <c r="BP437" i="1"/>
  <c r="BN437" i="1"/>
  <c r="Z437" i="1"/>
  <c r="Z472" i="1"/>
  <c r="BP470" i="1"/>
  <c r="BN470" i="1"/>
  <c r="Z470" i="1"/>
  <c r="Y472" i="1"/>
  <c r="X563" i="1"/>
  <c r="C569" i="1"/>
  <c r="Y43" i="1"/>
  <c r="D569" i="1"/>
  <c r="Y51" i="1"/>
  <c r="F569" i="1"/>
  <c r="Y90" i="1"/>
  <c r="G569" i="1"/>
  <c r="Y112" i="1"/>
  <c r="Y162" i="1"/>
  <c r="J569" i="1"/>
  <c r="Y173" i="1"/>
  <c r="K569" i="1"/>
  <c r="Y219" i="1"/>
  <c r="L569" i="1"/>
  <c r="Y224" i="1"/>
  <c r="Y296" i="1"/>
  <c r="BP291" i="1"/>
  <c r="BN291" i="1"/>
  <c r="Z291" i="1"/>
  <c r="Y295" i="1"/>
  <c r="BP299" i="1"/>
  <c r="BN299" i="1"/>
  <c r="Z299" i="1"/>
  <c r="Z300" i="1" s="1"/>
  <c r="Y301" i="1"/>
  <c r="O569" i="1"/>
  <c r="Y311" i="1"/>
  <c r="BP304" i="1"/>
  <c r="BN304" i="1"/>
  <c r="Z304" i="1"/>
  <c r="BP308" i="1"/>
  <c r="BN308" i="1"/>
  <c r="Z308" i="1"/>
  <c r="BP324" i="1"/>
  <c r="BN324" i="1"/>
  <c r="Z324" i="1"/>
  <c r="Y326" i="1"/>
  <c r="P569" i="1"/>
  <c r="Y334" i="1"/>
  <c r="BP329" i="1"/>
  <c r="BN329" i="1"/>
  <c r="Z329" i="1"/>
  <c r="BP333" i="1"/>
  <c r="BN333" i="1"/>
  <c r="Z333" i="1"/>
  <c r="Y335" i="1"/>
  <c r="Q569" i="1"/>
  <c r="Y341" i="1"/>
  <c r="BP338" i="1"/>
  <c r="BN338" i="1"/>
  <c r="Z338" i="1"/>
  <c r="Y342" i="1"/>
  <c r="BP347" i="1"/>
  <c r="BN347" i="1"/>
  <c r="Z347" i="1"/>
  <c r="BP360" i="1"/>
  <c r="BN360" i="1"/>
  <c r="Z360" i="1"/>
  <c r="Z362" i="1" s="1"/>
  <c r="Y362" i="1"/>
  <c r="BP377" i="1"/>
  <c r="BN377" i="1"/>
  <c r="Z377" i="1"/>
  <c r="Y381" i="1"/>
  <c r="BP385" i="1"/>
  <c r="BN385" i="1"/>
  <c r="Z385" i="1"/>
  <c r="Y389" i="1"/>
  <c r="BP393" i="1"/>
  <c r="BN393" i="1"/>
  <c r="Z393" i="1"/>
  <c r="Y395" i="1"/>
  <c r="Y402" i="1"/>
  <c r="BP397" i="1"/>
  <c r="BN397" i="1"/>
  <c r="Z397" i="1"/>
  <c r="Y401" i="1"/>
  <c r="Z407" i="1"/>
  <c r="BP405" i="1"/>
  <c r="BN405" i="1"/>
  <c r="Z405" i="1"/>
  <c r="Y407" i="1"/>
  <c r="BP449" i="1"/>
  <c r="BN449" i="1"/>
  <c r="Z449" i="1"/>
  <c r="Z451" i="1" s="1"/>
  <c r="Y451" i="1"/>
  <c r="BP480" i="1"/>
  <c r="BN480" i="1"/>
  <c r="Z480" i="1"/>
  <c r="BP498" i="1"/>
  <c r="BN498" i="1"/>
  <c r="Z498" i="1"/>
  <c r="Y500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Y520" i="1"/>
  <c r="BP524" i="1"/>
  <c r="BN524" i="1"/>
  <c r="Z524" i="1"/>
  <c r="BP528" i="1"/>
  <c r="BN528" i="1"/>
  <c r="Z528" i="1"/>
  <c r="Y530" i="1"/>
  <c r="Y535" i="1"/>
  <c r="BP534" i="1"/>
  <c r="BN534" i="1"/>
  <c r="Z534" i="1"/>
  <c r="Z535" i="1" s="1"/>
  <c r="AB569" i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2" i="1"/>
  <c r="Z569" i="1"/>
  <c r="BP340" i="1"/>
  <c r="BN340" i="1"/>
  <c r="Z340" i="1"/>
  <c r="Y350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Z371" i="1"/>
  <c r="BP367" i="1"/>
  <c r="BN367" i="1"/>
  <c r="Z367" i="1"/>
  <c r="Y371" i="1"/>
  <c r="BP375" i="1"/>
  <c r="BN375" i="1"/>
  <c r="Z375" i="1"/>
  <c r="Z381" i="1" s="1"/>
  <c r="BP379" i="1"/>
  <c r="BN379" i="1"/>
  <c r="Z379" i="1"/>
  <c r="Y388" i="1"/>
  <c r="BP387" i="1"/>
  <c r="BN387" i="1"/>
  <c r="Z387" i="1"/>
  <c r="Z388" i="1" s="1"/>
  <c r="Y394" i="1"/>
  <c r="BP391" i="1"/>
  <c r="BN391" i="1"/>
  <c r="Z391" i="1"/>
  <c r="Z394" i="1" s="1"/>
  <c r="BP399" i="1"/>
  <c r="BN399" i="1"/>
  <c r="Z399" i="1"/>
  <c r="Y408" i="1"/>
  <c r="BP411" i="1"/>
  <c r="BN411" i="1"/>
  <c r="Z411" i="1"/>
  <c r="Z413" i="1" s="1"/>
  <c r="BP425" i="1"/>
  <c r="BN425" i="1"/>
  <c r="Z425" i="1"/>
  <c r="W569" i="1"/>
  <c r="Y440" i="1"/>
  <c r="BP431" i="1"/>
  <c r="BN431" i="1"/>
  <c r="Z431" i="1"/>
  <c r="Z439" i="1" s="1"/>
  <c r="BP435" i="1"/>
  <c r="BN435" i="1"/>
  <c r="Z435" i="1"/>
  <c r="Y439" i="1"/>
  <c r="BP443" i="1"/>
  <c r="BN443" i="1"/>
  <c r="Z443" i="1"/>
  <c r="Z445" i="1" s="1"/>
  <c r="Y452" i="1"/>
  <c r="BP455" i="1"/>
  <c r="BN455" i="1"/>
  <c r="Z455" i="1"/>
  <c r="Z456" i="1" s="1"/>
  <c r="Y457" i="1"/>
  <c r="X569" i="1"/>
  <c r="Y463" i="1"/>
  <c r="BP460" i="1"/>
  <c r="BN460" i="1"/>
  <c r="Z460" i="1"/>
  <c r="Z462" i="1" s="1"/>
  <c r="Y473" i="1"/>
  <c r="BP478" i="1"/>
  <c r="BN478" i="1"/>
  <c r="Z478" i="1"/>
  <c r="Z483" i="1" s="1"/>
  <c r="BP482" i="1"/>
  <c r="BN482" i="1"/>
  <c r="Z482" i="1"/>
  <c r="Y484" i="1"/>
  <c r="Y489" i="1"/>
  <c r="BP486" i="1"/>
  <c r="BN486" i="1"/>
  <c r="Z486" i="1"/>
  <c r="Z488" i="1" s="1"/>
  <c r="S569" i="1"/>
  <c r="Y363" i="1"/>
  <c r="Y372" i="1"/>
  <c r="U569" i="1"/>
  <c r="Y419" i="1"/>
  <c r="Y569" i="1"/>
  <c r="Y483" i="1"/>
  <c r="Y499" i="1"/>
  <c r="BP496" i="1"/>
  <c r="BN496" i="1"/>
  <c r="Z496" i="1"/>
  <c r="Z499" i="1" s="1"/>
  <c r="BP506" i="1"/>
  <c r="BN506" i="1"/>
  <c r="Z506" i="1"/>
  <c r="BP510" i="1"/>
  <c r="BN510" i="1"/>
  <c r="Z510" i="1"/>
  <c r="BP518" i="1"/>
  <c r="BN518" i="1"/>
  <c r="Z518" i="1"/>
  <c r="Y529" i="1"/>
  <c r="BP522" i="1"/>
  <c r="BN522" i="1"/>
  <c r="Z522" i="1"/>
  <c r="Z529" i="1" s="1"/>
  <c r="BP526" i="1"/>
  <c r="BN526" i="1"/>
  <c r="Z526" i="1"/>
  <c r="Y558" i="1"/>
  <c r="Z350" i="1" l="1"/>
  <c r="Z519" i="1"/>
  <c r="Z334" i="1"/>
  <c r="Z311" i="1"/>
  <c r="Z426" i="1"/>
  <c r="Z325" i="1"/>
  <c r="Z280" i="1"/>
  <c r="Z248" i="1"/>
  <c r="Z192" i="1"/>
  <c r="Z134" i="1"/>
  <c r="Z99" i="1"/>
  <c r="Y563" i="1"/>
  <c r="Y560" i="1"/>
  <c r="Y559" i="1"/>
  <c r="Z513" i="1"/>
  <c r="Z401" i="1"/>
  <c r="Z341" i="1"/>
  <c r="Z564" i="1" s="1"/>
  <c r="Y561" i="1"/>
  <c r="Y562" i="1" l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<sst xmlns="http://schemas.openxmlformats.org/spreadsheetml/2006/main" count="2556" uniqueCount="916">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</sst>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41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154</v>
      </c>
      <c r="Y47" s="644">
        <f>IFERROR(IF(X47="",0,CEILING((X47/$H47),1)*$H47),"")</f>
        <v>162</v>
      </c>
      <c r="Z47" s="36">
        <f>IFERROR(IF(Y47=0,"",ROUNDUP(Y47/H47,0)*0.01898),"")</f>
        <v>0.28470000000000001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159.84629629629629</v>
      </c>
      <c r="BN47" s="64">
        <f>IFERROR(Y47*I47/H47,"0")</f>
        <v>168.15</v>
      </c>
      <c r="BO47" s="64">
        <f>IFERROR(1/J47*(X47/H47),"0")</f>
        <v>0.2228009259259259</v>
      </c>
      <c r="BP47" s="64">
        <f>IFERROR(1/J47*(Y47/H47),"0")</f>
        <v>0.23437499999999997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14.259259259259258</v>
      </c>
      <c r="Y51" s="645">
        <f>IFERROR(Y47/H47,"0")+IFERROR(Y48/H48,"0")+IFERROR(Y49/H49,"0")+IFERROR(Y50/H50,"0")</f>
        <v>14.999999999999998</v>
      </c>
      <c r="Z51" s="645">
        <f>IFERROR(IF(Z47="",0,Z47),"0")+IFERROR(IF(Z48="",0,Z48),"0")+IFERROR(IF(Z49="",0,Z49),"0")+IFERROR(IF(Z50="",0,Z50),"0")</f>
        <v>0.28470000000000001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154</v>
      </c>
      <c r="Y52" s="645">
        <f>IFERROR(SUM(Y47:Y50),"0")</f>
        <v>162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50</v>
      </c>
      <c r="Y55" s="644">
        <f t="shared" ref="Y55:Y60" si="0">IFERROR(IF(X55="",0,CEILING((X55/$H55),1)*$H55),"")</f>
        <v>56</v>
      </c>
      <c r="Z55" s="36">
        <f>IFERROR(IF(Y55=0,"",ROUNDUP(Y55/H55,0)*0.01898),"")</f>
        <v>9.4899999999999998E-2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51.830357142857146</v>
      </c>
      <c r="BN55" s="64">
        <f t="shared" ref="BN55:BN60" si="2">IFERROR(Y55*I55/H55,"0")</f>
        <v>58.050000000000004</v>
      </c>
      <c r="BO55" s="64">
        <f t="shared" ref="BO55:BO60" si="3">IFERROR(1/J55*(X55/H55),"0")</f>
        <v>6.9754464285714288E-2</v>
      </c>
      <c r="BP55" s="64">
        <f t="shared" ref="BP55:BP60" si="4">IFERROR(1/J55*(Y55/H55),"0")</f>
        <v>7.8125E-2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262</v>
      </c>
      <c r="Y56" s="644">
        <f t="shared" si="0"/>
        <v>270</v>
      </c>
      <c r="Z56" s="36">
        <f>IFERROR(IF(Y56=0,"",ROUNDUP(Y56/H56,0)*0.01898),"")</f>
        <v>0.47450000000000003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271.94629629629634</v>
      </c>
      <c r="BN56" s="64">
        <f t="shared" si="2"/>
        <v>280.25</v>
      </c>
      <c r="BO56" s="64">
        <f t="shared" si="3"/>
        <v>0.37905092592592587</v>
      </c>
      <c r="BP56" s="64">
        <f t="shared" si="4"/>
        <v>0.390625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28.723544973544971</v>
      </c>
      <c r="Y61" s="645">
        <f>IFERROR(Y55/H55,"0")+IFERROR(Y56/H56,"0")+IFERROR(Y57/H57,"0")+IFERROR(Y58/H58,"0")+IFERROR(Y59/H59,"0")+IFERROR(Y60/H60,"0")</f>
        <v>30</v>
      </c>
      <c r="Z61" s="645">
        <f>IFERROR(IF(Z55="",0,Z55),"0")+IFERROR(IF(Z56="",0,Z56),"0")+IFERROR(IF(Z57="",0,Z57),"0")+IFERROR(IF(Z58="",0,Z58),"0")+IFERROR(IF(Z59="",0,Z59),"0")+IFERROR(IF(Z60="",0,Z60),"0")</f>
        <v>0.56940000000000002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312</v>
      </c>
      <c r="Y62" s="645">
        <f>IFERROR(SUM(Y55:Y60),"0")</f>
        <v>326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168</v>
      </c>
      <c r="Y64" s="644">
        <f>IFERROR(IF(X64="",0,CEILING((X64/$H64),1)*$H64),"")</f>
        <v>172.8</v>
      </c>
      <c r="Z64" s="36">
        <f>IFERROR(IF(Y64=0,"",ROUNDUP(Y64/H64,0)*0.01898),"")</f>
        <v>0.30368000000000001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174.37777777777779</v>
      </c>
      <c r="BN64" s="64">
        <f>IFERROR(Y64*I64/H64,"0")</f>
        <v>179.36</v>
      </c>
      <c r="BO64" s="64">
        <f>IFERROR(1/J64*(X64/H64),"0")</f>
        <v>0.24305555555555555</v>
      </c>
      <c r="BP64" s="64">
        <f>IFERROR(1/J64*(Y64/H64),"0")</f>
        <v>0.25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15.555555555555555</v>
      </c>
      <c r="Y68" s="645">
        <f>IFERROR(Y64/H64,"0")+IFERROR(Y65/H65,"0")+IFERROR(Y66/H66,"0")+IFERROR(Y67/H67,"0")</f>
        <v>16</v>
      </c>
      <c r="Z68" s="645">
        <f>IFERROR(IF(Z64="",0,Z64),"0")+IFERROR(IF(Z65="",0,Z65),"0")+IFERROR(IF(Z66="",0,Z66),"0")+IFERROR(IF(Z67="",0,Z67),"0")</f>
        <v>0.30368000000000001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168</v>
      </c>
      <c r="Y69" s="645">
        <f>IFERROR(SUM(Y64:Y67),"0")</f>
        <v>172.8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328</v>
      </c>
      <c r="Y77" s="644">
        <f>IFERROR(IF(X77="",0,CEILING((X77/$H77),1)*$H77),"")</f>
        <v>335.4</v>
      </c>
      <c r="Z77" s="36">
        <f>IFERROR(IF(Y77=0,"",ROUNDUP(Y77/H77,0)*0.01898),"")</f>
        <v>0.81613999999999998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345.24102564102566</v>
      </c>
      <c r="BN77" s="64">
        <f>IFERROR(Y77*I77/H77,"0")</f>
        <v>353.03000000000003</v>
      </c>
      <c r="BO77" s="64">
        <f>IFERROR(1/J77*(X77/H77),"0")</f>
        <v>0.65705128205128205</v>
      </c>
      <c r="BP77" s="64">
        <f>IFERROR(1/J77*(Y77/H77),"0")</f>
        <v>0.671875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42.051282051282051</v>
      </c>
      <c r="Y81" s="645">
        <f>IFERROR(Y77/H77,"0")+IFERROR(Y78/H78,"0")+IFERROR(Y79/H79,"0")+IFERROR(Y80/H80,"0")</f>
        <v>43</v>
      </c>
      <c r="Z81" s="645">
        <f>IFERROR(IF(Z77="",0,Z77),"0")+IFERROR(IF(Z78="",0,Z78),"0")+IFERROR(IF(Z79="",0,Z79),"0")+IFERROR(IF(Z80="",0,Z80),"0")</f>
        <v>0.81613999999999998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328</v>
      </c>
      <c r="Y82" s="645">
        <f>IFERROR(SUM(Y77:Y80),"0")</f>
        <v>335.4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0</v>
      </c>
      <c r="Y85" s="6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0</v>
      </c>
      <c r="Y90" s="645">
        <f>IFERROR(Y85/H85,"0")+IFERROR(Y86/H86,"0")+IFERROR(Y87/H87,"0")+IFERROR(Y88/H88,"0")+IFERROR(Y89/H89,"0")</f>
        <v>0</v>
      </c>
      <c r="Z90" s="645">
        <f>IFERROR(IF(Z85="",0,Z85),"0")+IFERROR(IF(Z86="",0,Z86),"0")+IFERROR(IF(Z87="",0,Z87),"0")+IFERROR(IF(Z88="",0,Z88),"0")+IFERROR(IF(Z89="",0,Z89),"0")</f>
        <v>0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0</v>
      </c>
      <c r="Y91" s="645">
        <f>IFERROR(SUM(Y85:Y89),"0")</f>
        <v>0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1950</v>
      </c>
      <c r="Y93" s="644">
        <f t="shared" ref="Y93:Y98" si="5">IFERROR(IF(X93="",0,CEILING((X93/$H93),1)*$H93),"")</f>
        <v>1952.1</v>
      </c>
      <c r="Z93" s="36">
        <f>IFERROR(IF(Y93=0,"",ROUNDUP(Y93/H93,0)*0.01898),"")</f>
        <v>4.5741800000000001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2068.9259259259261</v>
      </c>
      <c r="BN93" s="64">
        <f t="shared" ref="BN93:BN98" si="7">IFERROR(Y93*I93/H93,"0")</f>
        <v>2071.154</v>
      </c>
      <c r="BO93" s="64">
        <f t="shared" ref="BO93:BO98" si="8">IFERROR(1/J93*(X93/H93),"0")</f>
        <v>3.7615740740740744</v>
      </c>
      <c r="BP93" s="64">
        <f t="shared" ref="BP93:BP98" si="9">IFERROR(1/J93*(Y93/H93),"0")</f>
        <v>3.765625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245</v>
      </c>
      <c r="Y96" s="644">
        <f t="shared" si="5"/>
        <v>245.70000000000002</v>
      </c>
      <c r="Z96" s="36">
        <f>IFERROR(IF(Y96=0,"",ROUNDUP(Y96/H96,0)*0.00651),"")</f>
        <v>0.59240999999999999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267.86666666666667</v>
      </c>
      <c r="BN96" s="64">
        <f t="shared" si="7"/>
        <v>268.63200000000001</v>
      </c>
      <c r="BO96" s="64">
        <f t="shared" si="8"/>
        <v>0.4985754985754986</v>
      </c>
      <c r="BP96" s="64">
        <f t="shared" si="9"/>
        <v>0.5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331.48148148148152</v>
      </c>
      <c r="Y99" s="645">
        <f>IFERROR(Y93/H93,"0")+IFERROR(Y94/H94,"0")+IFERROR(Y95/H95,"0")+IFERROR(Y96/H96,"0")+IFERROR(Y97/H97,"0")+IFERROR(Y98/H98,"0")</f>
        <v>332</v>
      </c>
      <c r="Z99" s="645">
        <f>IFERROR(IF(Z93="",0,Z93),"0")+IFERROR(IF(Z94="",0,Z94),"0")+IFERROR(IF(Z95="",0,Z95),"0")+IFERROR(IF(Z96="",0,Z96),"0")+IFERROR(IF(Z97="",0,Z97),"0")+IFERROR(IF(Z98="",0,Z98),"0")</f>
        <v>5.1665900000000002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2195</v>
      </c>
      <c r="Y100" s="645">
        <f>IFERROR(SUM(Y93:Y98),"0")</f>
        <v>2197.7999999999997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142</v>
      </c>
      <c r="Y103" s="644">
        <f t="shared" ref="Y103:Y110" si="10">IFERROR(IF(X103="",0,CEILING((X103/$H103),1)*$H103),"")</f>
        <v>151.20000000000002</v>
      </c>
      <c r="Z103" s="36">
        <f>IFERROR(IF(Y103=0,"",ROUNDUP(Y103/H103,0)*0.01898),"")</f>
        <v>0.26572000000000001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147.39074074074074</v>
      </c>
      <c r="BN103" s="64">
        <f t="shared" ref="BN103:BN110" si="12">IFERROR(Y103*I103/H103,"0")</f>
        <v>156.94</v>
      </c>
      <c r="BO103" s="64">
        <f t="shared" ref="BO103:BO110" si="13">IFERROR(1/J103*(X103/H103),"0")</f>
        <v>0.2054398148148148</v>
      </c>
      <c r="BP103" s="64">
        <f t="shared" ref="BP103:BP110" si="14">IFERROR(1/J103*(Y103/H103),"0")</f>
        <v>0.21875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90</v>
      </c>
      <c r="Y108" s="644">
        <f t="shared" si="10"/>
        <v>90</v>
      </c>
      <c r="Z108" s="36">
        <f>IFERROR(IF(Y108=0,"",ROUNDUP(Y108/H108,0)*0.00902),"")</f>
        <v>0.1804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93.800000000000011</v>
      </c>
      <c r="BN108" s="64">
        <f t="shared" si="12"/>
        <v>93.800000000000011</v>
      </c>
      <c r="BO108" s="64">
        <f t="shared" si="13"/>
        <v>0.15151515151515152</v>
      </c>
      <c r="BP108" s="64">
        <f t="shared" si="14"/>
        <v>0.15151515151515152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33.148148148148145</v>
      </c>
      <c r="Y111" s="645">
        <f>IFERROR(Y103/H103,"0")+IFERROR(Y104/H104,"0")+IFERROR(Y105/H105,"0")+IFERROR(Y106/H106,"0")+IFERROR(Y107/H107,"0")+IFERROR(Y108/H108,"0")+IFERROR(Y109/H109,"0")+IFERROR(Y110/H110,"0")</f>
        <v>34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0.44612000000000002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232</v>
      </c>
      <c r="Y112" s="645">
        <f>IFERROR(SUM(Y103:Y110),"0")</f>
        <v>241.20000000000002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11</v>
      </c>
      <c r="Y118" s="644">
        <f>IFERROR(IF(X118="",0,CEILING((X118/$H118),1)*$H118),"")</f>
        <v>12</v>
      </c>
      <c r="Z118" s="36">
        <f>IFERROR(IF(Y118=0,"",ROUNDUP(Y118/H118,0)*0.00651),"")</f>
        <v>3.2550000000000003E-2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11.825000000000001</v>
      </c>
      <c r="BN118" s="64">
        <f>IFERROR(Y118*I118/H118,"0")</f>
        <v>12.9</v>
      </c>
      <c r="BO118" s="64">
        <f>IFERROR(1/J118*(X118/H118),"0")</f>
        <v>2.5183150183150187E-2</v>
      </c>
      <c r="BP118" s="64">
        <f>IFERROR(1/J118*(Y118/H118),"0")</f>
        <v>2.7472527472527476E-2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4.5833333333333339</v>
      </c>
      <c r="Y119" s="645">
        <f>IFERROR(Y114/H114,"0")+IFERROR(Y115/H115,"0")+IFERROR(Y116/H116,"0")+IFERROR(Y117/H117,"0")+IFERROR(Y118/H118,"0")</f>
        <v>5</v>
      </c>
      <c r="Z119" s="645">
        <f>IFERROR(IF(Z114="",0,Z114),"0")+IFERROR(IF(Z115="",0,Z115),"0")+IFERROR(IF(Z116="",0,Z116),"0")+IFERROR(IF(Z117="",0,Z117),"0")+IFERROR(IF(Z118="",0,Z118),"0")</f>
        <v>3.2550000000000003E-2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11</v>
      </c>
      <c r="Y120" s="645">
        <f>IFERROR(SUM(Y114:Y118),"0")</f>
        <v>12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2624</v>
      </c>
      <c r="Y122" s="644">
        <f t="shared" ref="Y122:Y128" si="15">IFERROR(IF(X122="",0,CEILING((X122/$H122),1)*$H122),"")</f>
        <v>2624.4</v>
      </c>
      <c r="Z122" s="36">
        <f>IFERROR(IF(Y122=0,"",ROUNDUP(Y122/H122,0)*0.01898),"")</f>
        <v>6.1495199999999999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2782.0879012345677</v>
      </c>
      <c r="BN122" s="64">
        <f t="shared" ref="BN122:BN128" si="17">IFERROR(Y122*I122/H122,"0")</f>
        <v>2782.5120000000002</v>
      </c>
      <c r="BO122" s="64">
        <f t="shared" ref="BO122:BO128" si="18">IFERROR(1/J122*(X122/H122),"0")</f>
        <v>5.0617283950617287</v>
      </c>
      <c r="BP122" s="64">
        <f t="shared" ref="BP122:BP128" si="19">IFERROR(1/J122*(Y122/H122),"0")</f>
        <v>5.0625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885</v>
      </c>
      <c r="Y125" s="644">
        <f t="shared" si="15"/>
        <v>885.6</v>
      </c>
      <c r="Z125" s="36">
        <f>IFERROR(IF(Y125=0,"",ROUNDUP(Y125/H125,0)*0.00651),"")</f>
        <v>2.1352799999999998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967.59999999999991</v>
      </c>
      <c r="BN125" s="64">
        <f t="shared" si="17"/>
        <v>968.25599999999997</v>
      </c>
      <c r="BO125" s="64">
        <f t="shared" si="18"/>
        <v>1.800976800976801</v>
      </c>
      <c r="BP125" s="64">
        <f t="shared" si="19"/>
        <v>1.8021978021978022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651.72839506172841</v>
      </c>
      <c r="Y129" s="645">
        <f>IFERROR(Y122/H122,"0")+IFERROR(Y123/H123,"0")+IFERROR(Y124/H124,"0")+IFERROR(Y125/H125,"0")+IFERROR(Y126/H126,"0")+IFERROR(Y127/H127,"0")+IFERROR(Y128/H128,"0")</f>
        <v>652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8.2848000000000006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3509</v>
      </c>
      <c r="Y130" s="645">
        <f>IFERROR(SUM(Y122:Y128),"0")</f>
        <v>3510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97</v>
      </c>
      <c r="Y132" s="644">
        <f>IFERROR(IF(X132="",0,CEILING((X132/$H132),1)*$H132),"")</f>
        <v>97.02</v>
      </c>
      <c r="Z132" s="36">
        <f>IFERROR(IF(Y132=0,"",ROUNDUP(Y132/H132,0)*0.00651),"")</f>
        <v>0.31899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109.63939393939394</v>
      </c>
      <c r="BN132" s="64">
        <f>IFERROR(Y132*I132/H132,"0")</f>
        <v>109.66199999999999</v>
      </c>
      <c r="BO132" s="64">
        <f>IFERROR(1/J132*(X132/H132),"0")</f>
        <v>0.26917526917526918</v>
      </c>
      <c r="BP132" s="64">
        <f>IFERROR(1/J132*(Y132/H132),"0")</f>
        <v>0.26923076923076927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48.98989898989899</v>
      </c>
      <c r="Y134" s="645">
        <f>IFERROR(Y132/H132,"0")+IFERROR(Y133/H133,"0")</f>
        <v>49</v>
      </c>
      <c r="Z134" s="645">
        <f>IFERROR(IF(Z132="",0,Z132),"0")+IFERROR(IF(Z133="",0,Z133),"0")</f>
        <v>0.31899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97</v>
      </c>
      <c r="Y135" s="645">
        <f>IFERROR(SUM(Y132:Y133),"0")</f>
        <v>97.02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5</v>
      </c>
      <c r="Y138" s="644">
        <f>IFERROR(IF(X138="",0,CEILING((X138/$H138),1)*$H138),"")</f>
        <v>6.4</v>
      </c>
      <c r="Z138" s="36">
        <f>IFERROR(IF(Y138=0,"",ROUNDUP(Y138/H138,0)*0.00651),"")</f>
        <v>1.302E-2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5.2812499999999991</v>
      </c>
      <c r="BN138" s="64">
        <f>IFERROR(Y138*I138/H138,"0")</f>
        <v>6.76</v>
      </c>
      <c r="BO138" s="64">
        <f>IFERROR(1/J138*(X138/H138),"0")</f>
        <v>8.5851648351648359E-3</v>
      </c>
      <c r="BP138" s="64">
        <f>IFERROR(1/J138*(Y138/H138),"0")</f>
        <v>1.098901098901099E-2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1.5625</v>
      </c>
      <c r="Y140" s="645">
        <f>IFERROR(Y138/H138,"0")+IFERROR(Y139/H139,"0")</f>
        <v>2</v>
      </c>
      <c r="Z140" s="645">
        <f>IFERROR(IF(Z138="",0,Z138),"0")+IFERROR(IF(Z139="",0,Z139),"0")</f>
        <v>1.302E-2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5</v>
      </c>
      <c r="Y141" s="645">
        <f>IFERROR(SUM(Y138:Y139),"0")</f>
        <v>6.4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18</v>
      </c>
      <c r="Y143" s="644">
        <f>IFERROR(IF(X143="",0,CEILING((X143/$H143),1)*$H143),"")</f>
        <v>19.599999999999998</v>
      </c>
      <c r="Z143" s="36">
        <f>IFERROR(IF(Y143=0,"",ROUNDUP(Y143/H143,0)*0.00651),"")</f>
        <v>4.5569999999999999E-2</v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19.722857142857144</v>
      </c>
      <c r="BN143" s="64">
        <f>IFERROR(Y143*I143/H143,"0")</f>
        <v>21.475999999999999</v>
      </c>
      <c r="BO143" s="64">
        <f>IFERROR(1/J143*(X143/H143),"0")</f>
        <v>3.5321821036106753E-2</v>
      </c>
      <c r="BP143" s="64">
        <f>IFERROR(1/J143*(Y143/H143),"0")</f>
        <v>3.8461538461538464E-2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6.4285714285714288</v>
      </c>
      <c r="Y145" s="645">
        <f>IFERROR(Y143/H143,"0")+IFERROR(Y144/H144,"0")</f>
        <v>7</v>
      </c>
      <c r="Z145" s="645">
        <f>IFERROR(IF(Z143="",0,Z143),"0")+IFERROR(IF(Z144="",0,Z144),"0")</f>
        <v>4.5569999999999999E-2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18</v>
      </c>
      <c r="Y146" s="645">
        <f>IFERROR(SUM(Y143:Y144),"0")</f>
        <v>19.599999999999998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20</v>
      </c>
      <c r="Y169" s="644">
        <f>IFERROR(IF(X169="",0,CEILING((X169/$H169),1)*$H169),"")</f>
        <v>24</v>
      </c>
      <c r="Z169" s="36">
        <f>IFERROR(IF(Y169=0,"",ROUNDUP(Y169/H169,0)*0.01196),"")</f>
        <v>4.7840000000000001E-2</v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21.166666666666668</v>
      </c>
      <c r="BN169" s="64">
        <f>IFERROR(Y169*I169/H169,"0")</f>
        <v>25.399999999999995</v>
      </c>
      <c r="BO169" s="64">
        <f>IFERROR(1/J169*(X169/H169),"0")</f>
        <v>3.2051282051282055E-2</v>
      </c>
      <c r="BP169" s="64">
        <f>IFERROR(1/J169*(Y169/H169),"0")</f>
        <v>3.8461538461538464E-2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3.3333333333333335</v>
      </c>
      <c r="Y172" s="645">
        <f>IFERROR(Y169/H169,"0")+IFERROR(Y170/H170,"0")+IFERROR(Y171/H171,"0")</f>
        <v>4</v>
      </c>
      <c r="Z172" s="645">
        <f>IFERROR(IF(Z169="",0,Z169),"0")+IFERROR(IF(Z170="",0,Z170),"0")+IFERROR(IF(Z171="",0,Z171),"0")</f>
        <v>4.7840000000000001E-2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20</v>
      </c>
      <c r="Y173" s="645">
        <f>IFERROR(SUM(Y169:Y171),"0")</f>
        <v>24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100</v>
      </c>
      <c r="Y180" s="644">
        <f t="shared" ref="Y180:Y191" si="26">IFERROR(IF(X180="",0,CEILING((X180/$H180),1)*$H180),"")</f>
        <v>101.5</v>
      </c>
      <c r="Z180" s="36">
        <f>IFERROR(IF(Y180=0,"",ROUNDUP(Y180/H180,0)*0.00902),"")</f>
        <v>0.26158000000000003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105.42857142857143</v>
      </c>
      <c r="BN180" s="64">
        <f t="shared" ref="BN180:BN191" si="28">IFERROR(Y180*I180/H180,"0")</f>
        <v>107.00999999999999</v>
      </c>
      <c r="BO180" s="64">
        <f t="shared" ref="BO180:BO191" si="29">IFERROR(1/J180*(X180/H180),"0")</f>
        <v>0.21645021645021648</v>
      </c>
      <c r="BP180" s="64">
        <f t="shared" ref="BP180:BP191" si="30">IFERROR(1/J180*(Y180/H180),"0")</f>
        <v>0.2196969696969697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200</v>
      </c>
      <c r="Y182" s="644">
        <f t="shared" si="26"/>
        <v>203</v>
      </c>
      <c r="Z182" s="36">
        <f>IFERROR(IF(Y182=0,"",ROUNDUP(Y182/H182,0)*0.00902),"")</f>
        <v>0.52316000000000007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210.85714285714286</v>
      </c>
      <c r="BN182" s="64">
        <f t="shared" si="28"/>
        <v>214.01999999999998</v>
      </c>
      <c r="BO182" s="64">
        <f t="shared" si="29"/>
        <v>0.43290043290043295</v>
      </c>
      <c r="BP182" s="64">
        <f t="shared" si="30"/>
        <v>0.43939393939393939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180</v>
      </c>
      <c r="Y183" s="644">
        <f t="shared" si="26"/>
        <v>182</v>
      </c>
      <c r="Z183" s="36">
        <f>IFERROR(IF(Y183=0,"",ROUNDUP(Y183/H183,0)*0.00902),"")</f>
        <v>0.46904000000000001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189.77142857142857</v>
      </c>
      <c r="BN183" s="64">
        <f t="shared" si="28"/>
        <v>191.88000000000002</v>
      </c>
      <c r="BO183" s="64">
        <f t="shared" si="29"/>
        <v>0.38961038961038963</v>
      </c>
      <c r="BP183" s="64">
        <f t="shared" si="30"/>
        <v>0.39393939393939392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5</v>
      </c>
      <c r="Y185" s="644">
        <f t="shared" si="26"/>
        <v>5.4</v>
      </c>
      <c r="Z185" s="36">
        <f>IFERROR(IF(Y185=0,"",ROUNDUP(Y185/H185,0)*0.00417),"")</f>
        <v>2.5020000000000001E-2</v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6.166666666666667</v>
      </c>
      <c r="BN185" s="64">
        <f t="shared" si="28"/>
        <v>6.66</v>
      </c>
      <c r="BO185" s="64">
        <f t="shared" si="29"/>
        <v>1.6534391534391533E-2</v>
      </c>
      <c r="BP185" s="64">
        <f t="shared" si="30"/>
        <v>1.7857142857142856E-2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42</v>
      </c>
      <c r="Y187" s="644">
        <f t="shared" si="26"/>
        <v>42</v>
      </c>
      <c r="Z187" s="36">
        <f>IFERROR(IF(Y187=0,"",ROUNDUP(Y187/H187,0)*0.00502),"")</f>
        <v>0.1255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44.500000000000007</v>
      </c>
      <c r="BN187" s="64">
        <f t="shared" si="28"/>
        <v>44.500000000000007</v>
      </c>
      <c r="BO187" s="64">
        <f t="shared" si="29"/>
        <v>0.10683760683760685</v>
      </c>
      <c r="BP187" s="64">
        <f t="shared" si="30"/>
        <v>0.10683760683760685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34</v>
      </c>
      <c r="Y189" s="644">
        <f t="shared" si="26"/>
        <v>35.28</v>
      </c>
      <c r="Z189" s="36">
        <f>IFERROR(IF(Y189=0,"",ROUNDUP(Y189/H189,0)*0.00502),"")</f>
        <v>0.10542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36.023809523809526</v>
      </c>
      <c r="BN189" s="64">
        <f t="shared" si="28"/>
        <v>37.380000000000003</v>
      </c>
      <c r="BO189" s="64">
        <f t="shared" si="29"/>
        <v>8.648758648758649E-2</v>
      </c>
      <c r="BP189" s="64">
        <f t="shared" si="30"/>
        <v>8.9743589743589758E-2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56</v>
      </c>
      <c r="Y191" s="644">
        <f t="shared" si="26"/>
        <v>57.12</v>
      </c>
      <c r="Z191" s="36">
        <f>IFERROR(IF(Y191=0,"",ROUNDUP(Y191/H191,0)*0.00502),"")</f>
        <v>0.17068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59.333333333333343</v>
      </c>
      <c r="BN191" s="64">
        <f t="shared" si="28"/>
        <v>60.519999999999996</v>
      </c>
      <c r="BO191" s="64">
        <f t="shared" si="29"/>
        <v>0.14245014245014248</v>
      </c>
      <c r="BP191" s="64">
        <f t="shared" si="30"/>
        <v>0.14529914529914531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221.26984126984129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225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1.6804000000000001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617</v>
      </c>
      <c r="Y193" s="645">
        <f>IFERROR(SUM(Y180:Y191),"0")</f>
        <v>626.29999999999995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8</v>
      </c>
      <c r="Y229" s="644">
        <f t="shared" si="37"/>
        <v>8</v>
      </c>
      <c r="Z229" s="36">
        <f>IFERROR(IF(Y229=0,"",ROUNDUP(Y229/H229,0)*0.00556),"")</f>
        <v>5.5599999999999997E-2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9.3000000000000007</v>
      </c>
      <c r="BN229" s="64">
        <f t="shared" si="39"/>
        <v>9.3000000000000007</v>
      </c>
      <c r="BO229" s="64">
        <f t="shared" si="40"/>
        <v>3.968253968253968E-2</v>
      </c>
      <c r="BP229" s="64">
        <f t="shared" si="41"/>
        <v>3.968253968253968E-2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14</v>
      </c>
      <c r="Y230" s="644">
        <f t="shared" si="37"/>
        <v>14.700000000000001</v>
      </c>
      <c r="Z230" s="36">
        <f t="shared" ref="Z230:Z235" si="42">IFERROR(IF(Y230=0,"",ROUNDUP(Y230/H230,0)*0.00502),"")</f>
        <v>3.5140000000000005E-2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14.866666666666665</v>
      </c>
      <c r="BN230" s="64">
        <f t="shared" si="39"/>
        <v>15.61</v>
      </c>
      <c r="BO230" s="64">
        <f t="shared" si="40"/>
        <v>2.8490028490028491E-2</v>
      </c>
      <c r="BP230" s="64">
        <f t="shared" si="41"/>
        <v>2.9914529914529919E-2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6</v>
      </c>
      <c r="Y235" s="644">
        <f t="shared" si="37"/>
        <v>7.2</v>
      </c>
      <c r="Z235" s="36">
        <f t="shared" si="42"/>
        <v>2.0080000000000001E-2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6.4333333333333336</v>
      </c>
      <c r="BN235" s="64">
        <f t="shared" si="39"/>
        <v>7.7199999999999989</v>
      </c>
      <c r="BO235" s="64">
        <f t="shared" si="40"/>
        <v>1.4245014245014245E-2</v>
      </c>
      <c r="BP235" s="64">
        <f t="shared" si="41"/>
        <v>1.7094017094017096E-2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57</v>
      </c>
      <c r="Y237" s="644">
        <f t="shared" si="37"/>
        <v>58.800000000000004</v>
      </c>
      <c r="Z237" s="36">
        <f>IFERROR(IF(Y237=0,"",ROUNDUP(Y237/H237,0)*0.00502),"")</f>
        <v>0.14056000000000002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59.714285714285715</v>
      </c>
      <c r="BN237" s="64">
        <f t="shared" si="39"/>
        <v>61.6</v>
      </c>
      <c r="BO237" s="64">
        <f t="shared" si="40"/>
        <v>0.115995115995116</v>
      </c>
      <c r="BP237" s="64">
        <f t="shared" si="41"/>
        <v>0.11965811965811968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47.142857142857139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49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0.25138000000000005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85</v>
      </c>
      <c r="Y241" s="645">
        <f>IFERROR(SUM(Y226:Y239),"0")</f>
        <v>88.7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7</v>
      </c>
      <c r="Y252" s="644">
        <f>IFERROR(IF(X252="",0,CEILING((X252/$H252),1)*$H252),"")</f>
        <v>7.5600000000000005</v>
      </c>
      <c r="Z252" s="36">
        <f>IFERROR(IF(Y252=0,"",ROUNDUP(Y252/H252,0)*0.0059),"")</f>
        <v>3.5400000000000001E-2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8.0555555555555554</v>
      </c>
      <c r="BN252" s="64">
        <f>IFERROR(Y252*I252/H252,"0")</f>
        <v>8.6999999999999993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7</v>
      </c>
      <c r="Y253" s="644">
        <f>IFERROR(IF(X253="",0,CEILING((X253/$H253),1)*$H253),"")</f>
        <v>7.5600000000000005</v>
      </c>
      <c r="Z253" s="36">
        <f>IFERROR(IF(Y253=0,"",ROUNDUP(Y253/H253,0)*0.0059),"")</f>
        <v>3.5400000000000001E-2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8.0555555555555554</v>
      </c>
      <c r="BN253" s="64">
        <f>IFERROR(Y253*I253/H253,"0")</f>
        <v>8.6999999999999993</v>
      </c>
      <c r="BO253" s="64">
        <f>IFERROR(1/J253*(X253/H253),"0")</f>
        <v>2.5720164609053495E-2</v>
      </c>
      <c r="BP253" s="64">
        <f>IFERROR(1/J253*(Y253/H253),"0")</f>
        <v>2.7777777777777776E-2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11.111111111111111</v>
      </c>
      <c r="Y254" s="645">
        <f>IFERROR(Y251/H251,"0")+IFERROR(Y252/H252,"0")+IFERROR(Y253/H253,"0")</f>
        <v>12</v>
      </c>
      <c r="Z254" s="645">
        <f>IFERROR(IF(Z251="",0,Z251),"0")+IFERROR(IF(Z252="",0,Z252),"0")+IFERROR(IF(Z253="",0,Z253),"0")</f>
        <v>7.0800000000000002E-2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14</v>
      </c>
      <c r="Y255" s="645">
        <f>IFERROR(SUM(Y251:Y253),"0")</f>
        <v>15.120000000000001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4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4.6031746031746028</v>
      </c>
      <c r="BN257" s="64">
        <f>IFERROR(Y257*I257/H257,"0")</f>
        <v>5.8</v>
      </c>
      <c r="BO257" s="64">
        <f>IFERROR(1/J257*(X257/H257),"0")</f>
        <v>1.469723691945914E-2</v>
      </c>
      <c r="BP257" s="64">
        <f>IFERROR(1/J257*(Y257/H257),"0")</f>
        <v>1.8518518518518517E-2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3.1746031746031744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4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30</v>
      </c>
      <c r="Y272" s="644">
        <f t="shared" ref="Y272:Y279" si="43">IFERROR(IF(X272="",0,CEILING((X272/$H272),1)*$H272),"")</f>
        <v>32.400000000000006</v>
      </c>
      <c r="Z272" s="36">
        <f>IFERROR(IF(Y272=0,"",ROUNDUP(Y272/H272,0)*0.00902),"")</f>
        <v>5.4120000000000001E-2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31.05555555555555</v>
      </c>
      <c r="BN272" s="64">
        <f t="shared" ref="BN272:BN279" si="45">IFERROR(Y272*I272/H272,"0")</f>
        <v>33.54</v>
      </c>
      <c r="BO272" s="64">
        <f t="shared" ref="BO272:BO279" si="46">IFERROR(1/J272*(X272/H272),"0")</f>
        <v>4.208754208754209E-2</v>
      </c>
      <c r="BP272" s="64">
        <f t="shared" ref="BP272:BP279" si="47">IFERROR(1/J272*(Y272/H272),"0")</f>
        <v>4.5454545454545463E-2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200</v>
      </c>
      <c r="Y274" s="644">
        <f t="shared" si="43"/>
        <v>205.20000000000002</v>
      </c>
      <c r="Z274" s="36">
        <f>IFERROR(IF(Y274=0,"",ROUNDUP(Y274/H274,0)*0.00902),"")</f>
        <v>0.34276000000000001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207.03703703703701</v>
      </c>
      <c r="BN274" s="64">
        <f t="shared" si="45"/>
        <v>212.42</v>
      </c>
      <c r="BO274" s="64">
        <f t="shared" si="46"/>
        <v>0.28058361391694725</v>
      </c>
      <c r="BP274" s="64">
        <f t="shared" si="47"/>
        <v>0.2878787878787879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50</v>
      </c>
      <c r="Y275" s="644">
        <f t="shared" si="43"/>
        <v>54</v>
      </c>
      <c r="Z275" s="36">
        <f>IFERROR(IF(Y275=0,"",ROUNDUP(Y275/H275,0)*0.00902),"")</f>
        <v>9.0200000000000002E-2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51.759259259259252</v>
      </c>
      <c r="BN275" s="64">
        <f t="shared" si="45"/>
        <v>55.9</v>
      </c>
      <c r="BO275" s="64">
        <f t="shared" si="46"/>
        <v>7.0145903479236812E-2</v>
      </c>
      <c r="BP275" s="64">
        <f t="shared" si="47"/>
        <v>7.575757575757576E-2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21</v>
      </c>
      <c r="Y276" s="644">
        <f t="shared" si="43"/>
        <v>21.6</v>
      </c>
      <c r="Z276" s="36">
        <f>IFERROR(IF(Y276=0,"",ROUNDUP(Y276/H276,0)*0.00502),"")</f>
        <v>6.0240000000000002E-2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22.516666666666666</v>
      </c>
      <c r="BN276" s="64">
        <f t="shared" si="45"/>
        <v>23.16</v>
      </c>
      <c r="BO276" s="64">
        <f t="shared" si="46"/>
        <v>4.9857549857549859E-2</v>
      </c>
      <c r="BP276" s="64">
        <f t="shared" si="47"/>
        <v>5.1282051282051287E-2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15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15.833333333333332</v>
      </c>
      <c r="BN277" s="64">
        <f t="shared" si="45"/>
        <v>17.099999999999998</v>
      </c>
      <c r="BO277" s="64">
        <f t="shared" si="46"/>
        <v>3.561253561253562E-2</v>
      </c>
      <c r="BP277" s="64">
        <f t="shared" si="47"/>
        <v>3.8461538461538464E-2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12</v>
      </c>
      <c r="Y279" s="644">
        <f t="shared" si="43"/>
        <v>12.6</v>
      </c>
      <c r="Z279" s="36">
        <f>IFERROR(IF(Y279=0,"",ROUNDUP(Y279/H279,0)*0.00502),"")</f>
        <v>3.5140000000000005E-2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12.666666666666664</v>
      </c>
      <c r="BN279" s="64">
        <f t="shared" si="45"/>
        <v>13.299999999999999</v>
      </c>
      <c r="BO279" s="64">
        <f t="shared" si="46"/>
        <v>2.8490028490028491E-2</v>
      </c>
      <c r="BP279" s="64">
        <f t="shared" si="47"/>
        <v>2.9914529914529919E-2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78.518518518518519</v>
      </c>
      <c r="Y280" s="645">
        <f>IFERROR(Y272/H272,"0")+IFERROR(Y273/H273,"0")+IFERROR(Y274/H274,"0")+IFERROR(Y275/H275,"0")+IFERROR(Y276/H276,"0")+IFERROR(Y277/H277,"0")+IFERROR(Y278/H278,"0")+IFERROR(Y279/H279,"0")</f>
        <v>82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0.62763999999999998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328</v>
      </c>
      <c r="Y281" s="645">
        <f>IFERROR(SUM(Y272:Y279),"0")</f>
        <v>342.00000000000006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130</v>
      </c>
      <c r="Y283" s="644">
        <f t="shared" ref="Y283:Y294" si="48">IFERROR(IF(X283="",0,CEILING((X283/$H283),1)*$H283),"")</f>
        <v>137.69999999999999</v>
      </c>
      <c r="Z283" s="36">
        <f>IFERROR(IF(Y283=0,"",ROUNDUP(Y283/H283,0)*0.01898),"")</f>
        <v>0.32266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137.92839506172839</v>
      </c>
      <c r="BN283" s="64">
        <f t="shared" ref="BN283:BN294" si="50">IFERROR(Y283*I283/H283,"0")</f>
        <v>146.09799999999998</v>
      </c>
      <c r="BO283" s="64">
        <f t="shared" ref="BO283:BO294" si="51">IFERROR(1/J283*(X283/H283),"0")</f>
        <v>0.25077160493827161</v>
      </c>
      <c r="BP283" s="64">
        <f t="shared" ref="BP283:BP294" si="52">IFERROR(1/J283*(Y283/H283),"0")</f>
        <v>0.265625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70</v>
      </c>
      <c r="Y284" s="644">
        <f t="shared" si="48"/>
        <v>72.899999999999991</v>
      </c>
      <c r="Z284" s="36">
        <f>IFERROR(IF(Y284=0,"",ROUNDUP(Y284/H284,0)*0.01898),"")</f>
        <v>0.17082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74.113580246913585</v>
      </c>
      <c r="BN284" s="64">
        <f t="shared" si="50"/>
        <v>77.183999999999997</v>
      </c>
      <c r="BO284" s="64">
        <f t="shared" si="51"/>
        <v>0.13503086419753088</v>
      </c>
      <c r="BP284" s="64">
        <f t="shared" si="52"/>
        <v>0.140625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50</v>
      </c>
      <c r="Y285" s="644">
        <f t="shared" si="48"/>
        <v>52.199999999999996</v>
      </c>
      <c r="Z285" s="36">
        <f>IFERROR(IF(Y285=0,"",ROUNDUP(Y285/H285,0)*0.01898),"")</f>
        <v>0.11388000000000001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52.839080459770123</v>
      </c>
      <c r="BN285" s="64">
        <f t="shared" si="50"/>
        <v>55.164000000000009</v>
      </c>
      <c r="BO285" s="64">
        <f t="shared" si="51"/>
        <v>8.9798850574712652E-2</v>
      </c>
      <c r="BP285" s="64">
        <f t="shared" si="52"/>
        <v>9.375E-2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55</v>
      </c>
      <c r="Y286" s="644">
        <f t="shared" si="48"/>
        <v>55.199999999999996</v>
      </c>
      <c r="Z286" s="36">
        <f>IFERROR(IF(Y286=0,"",ROUNDUP(Y286/H286,0)*0.00651),"")</f>
        <v>0.14973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61.1875</v>
      </c>
      <c r="BN286" s="64">
        <f t="shared" si="50"/>
        <v>61.41</v>
      </c>
      <c r="BO286" s="64">
        <f t="shared" si="51"/>
        <v>0.12591575091575094</v>
      </c>
      <c r="BP286" s="64">
        <f t="shared" si="52"/>
        <v>0.1263736263736264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603</v>
      </c>
      <c r="Y289" s="644">
        <f t="shared" si="48"/>
        <v>604.79999999999995</v>
      </c>
      <c r="Z289" s="36">
        <f>IFERROR(IF(Y289=0,"",ROUNDUP(Y289/H289,0)*0.00651),"")</f>
        <v>1.64052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666.31500000000005</v>
      </c>
      <c r="BN289" s="64">
        <f t="shared" si="50"/>
        <v>668.30399999999997</v>
      </c>
      <c r="BO289" s="64">
        <f t="shared" si="51"/>
        <v>1.3804945054945057</v>
      </c>
      <c r="BP289" s="64">
        <f t="shared" si="52"/>
        <v>1.3846153846153848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66</v>
      </c>
      <c r="Y291" s="644">
        <f t="shared" si="48"/>
        <v>67.2</v>
      </c>
      <c r="Z291" s="36">
        <f>IFERROR(IF(Y291=0,"",ROUNDUP(Y291/H291,0)*0.00651),"")</f>
        <v>0.18228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72.930000000000007</v>
      </c>
      <c r="BN291" s="64">
        <f t="shared" si="50"/>
        <v>74.256000000000014</v>
      </c>
      <c r="BO291" s="64">
        <f t="shared" si="51"/>
        <v>0.15109890109890112</v>
      </c>
      <c r="BP291" s="64">
        <f t="shared" si="52"/>
        <v>0.15384615384615388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92</v>
      </c>
      <c r="Y292" s="644">
        <f t="shared" si="48"/>
        <v>93.6</v>
      </c>
      <c r="Z292" s="36">
        <f>IFERROR(IF(Y292=0,"",ROUNDUP(Y292/H292,0)*0.00651),"")</f>
        <v>0.25389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101.66000000000001</v>
      </c>
      <c r="BN292" s="64">
        <f t="shared" si="50"/>
        <v>103.42800000000001</v>
      </c>
      <c r="BO292" s="64">
        <f t="shared" si="51"/>
        <v>0.21062271062271065</v>
      </c>
      <c r="BP292" s="64">
        <f t="shared" si="52"/>
        <v>0.2142857142857143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40</v>
      </c>
      <c r="Y293" s="644">
        <f t="shared" si="48"/>
        <v>40.799999999999997</v>
      </c>
      <c r="Z293" s="36">
        <f>IFERROR(IF(Y293=0,"",ROUNDUP(Y293/H293,0)*0.00651),"")</f>
        <v>0.11067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44.3</v>
      </c>
      <c r="BN293" s="64">
        <f t="shared" si="50"/>
        <v>45.185999999999993</v>
      </c>
      <c r="BO293" s="64">
        <f t="shared" si="51"/>
        <v>9.1575091575091583E-2</v>
      </c>
      <c r="BP293" s="64">
        <f t="shared" si="52"/>
        <v>9.3406593406593408E-2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387.10515112813965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391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2.9444500000000002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1106</v>
      </c>
      <c r="Y296" s="645">
        <f>IFERROR(SUM(Y283:Y294),"0")</f>
        <v>1124.3999999999999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20</v>
      </c>
      <c r="Y298" s="644">
        <f>IFERROR(IF(X298="",0,CEILING((X298/$H298),1)*$H298),"")</f>
        <v>21.599999999999998</v>
      </c>
      <c r="Z298" s="36">
        <f>IFERROR(IF(Y298=0,"",ROUNDUP(Y298/H298,0)*0.00651),"")</f>
        <v>5.8590000000000003E-2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22.100000000000005</v>
      </c>
      <c r="BN298" s="64">
        <f>IFERROR(Y298*I298/H298,"0")</f>
        <v>23.868000000000002</v>
      </c>
      <c r="BO298" s="64">
        <f>IFERROR(1/J298*(X298/H298),"0")</f>
        <v>4.5787545787545791E-2</v>
      </c>
      <c r="BP298" s="64">
        <f>IFERROR(1/J298*(Y298/H298),"0")</f>
        <v>4.9450549450549455E-2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8.3333333333333339</v>
      </c>
      <c r="Y300" s="645">
        <f>IFERROR(Y298/H298,"0")+IFERROR(Y299/H299,"0")</f>
        <v>9</v>
      </c>
      <c r="Z300" s="645">
        <f>IFERROR(IF(Z298="",0,Z298),"0")+IFERROR(IF(Z299="",0,Z299),"0")</f>
        <v>5.8590000000000003E-2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20</v>
      </c>
      <c r="Y301" s="645">
        <f>IFERROR(SUM(Y298:Y299),"0")</f>
        <v>21.599999999999998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4</v>
      </c>
      <c r="Y318" s="644">
        <f>IFERROR(IF(X318="",0,CEILING((X318/$H318),1)*$H318),"")</f>
        <v>5.4</v>
      </c>
      <c r="Z318" s="36">
        <f>IFERROR(IF(Y318=0,"",ROUNDUP(Y318/H318,0)*0.0059),"")</f>
        <v>1.77E-2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4.3888888888888893</v>
      </c>
      <c r="BN318" s="64">
        <f>IFERROR(Y318*I318/H318,"0")</f>
        <v>5.9250000000000007</v>
      </c>
      <c r="BO318" s="64">
        <f>IFERROR(1/J318*(X318/H318),"0")</f>
        <v>1.0288065843621399E-2</v>
      </c>
      <c r="BP318" s="64">
        <f>IFERROR(1/J318*(Y318/H318),"0")</f>
        <v>1.3888888888888888E-2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2.2222222222222223</v>
      </c>
      <c r="Y319" s="645">
        <f>IFERROR(Y318/H318,"0")</f>
        <v>3</v>
      </c>
      <c r="Z319" s="645">
        <f>IFERROR(IF(Z318="",0,Z318),"0")</f>
        <v>1.77E-2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4</v>
      </c>
      <c r="Y320" s="645">
        <f>IFERROR(SUM(Y318:Y318),"0")</f>
        <v>5.4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44.20000000000001</v>
      </c>
      <c r="BN339" s="64">
        <f>IFERROR(Y339*I339/H339,"0")</f>
        <v>45.084000000000003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41.666666666666671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100</v>
      </c>
      <c r="Y342" s="645">
        <f>IFERROR(SUM(Y338:Y340),"0")</f>
        <v>100.8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150</v>
      </c>
      <c r="Y359" s="644">
        <f>IFERROR(IF(X359="",0,CEILING((X359/$H359),1)*$H359),"")</f>
        <v>156</v>
      </c>
      <c r="Z359" s="36">
        <f>IFERROR(IF(Y359=0,"",ROUNDUP(Y359/H359,0)*0.01898),"")</f>
        <v>0.37959999999999999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157.88461538461542</v>
      </c>
      <c r="BN359" s="64">
        <f>IFERROR(Y359*I359/H359,"0")</f>
        <v>164.20000000000005</v>
      </c>
      <c r="BO359" s="64">
        <f>IFERROR(1/J359*(X359/H359),"0")</f>
        <v>0.30048076923076922</v>
      </c>
      <c r="BP359" s="64">
        <f>IFERROR(1/J359*(Y359/H359),"0")</f>
        <v>0.3125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332</v>
      </c>
      <c r="Y360" s="644">
        <f>IFERROR(IF(X360="",0,CEILING((X360/$H360),1)*$H360),"")</f>
        <v>335.4</v>
      </c>
      <c r="Z360" s="36">
        <f>IFERROR(IF(Y360=0,"",ROUNDUP(Y360/H360,0)*0.01898),"")</f>
        <v>0.81613999999999998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349.45128205128208</v>
      </c>
      <c r="BN360" s="64">
        <f>IFERROR(Y360*I360/H360,"0")</f>
        <v>353.03000000000003</v>
      </c>
      <c r="BO360" s="64">
        <f>IFERROR(1/J360*(X360/H360),"0")</f>
        <v>0.66506410256410253</v>
      </c>
      <c r="BP360" s="64">
        <f>IFERROR(1/J360*(Y360/H360),"0")</f>
        <v>0.671875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80</v>
      </c>
      <c r="Y361" s="644">
        <f>IFERROR(IF(X361="",0,CEILING((X361/$H361),1)*$H361),"")</f>
        <v>85.8</v>
      </c>
      <c r="Z361" s="36">
        <f>IFERROR(IF(Y361=0,"",ROUNDUP(Y361/H361,0)*0.01898),"")</f>
        <v>0.20877999999999999</v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84.205128205128219</v>
      </c>
      <c r="BN361" s="64">
        <f>IFERROR(Y361*I361/H361,"0")</f>
        <v>90.31</v>
      </c>
      <c r="BO361" s="64">
        <f>IFERROR(1/J361*(X361/H361),"0")</f>
        <v>0.16025641025641027</v>
      </c>
      <c r="BP361" s="64">
        <f>IFERROR(1/J361*(Y361/H361),"0")</f>
        <v>0.171875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72.051282051282058</v>
      </c>
      <c r="Y362" s="645">
        <f>IFERROR(Y359/H359,"0")+IFERROR(Y360/H360,"0")+IFERROR(Y361/H361,"0")</f>
        <v>74</v>
      </c>
      <c r="Z362" s="645">
        <f>IFERROR(IF(Z359="",0,Z359),"0")+IFERROR(IF(Z360="",0,Z360),"0")+IFERROR(IF(Z361="",0,Z361),"0")</f>
        <v>1.40452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562</v>
      </c>
      <c r="Y363" s="645">
        <f>IFERROR(SUM(Y359:Y361),"0")</f>
        <v>577.19999999999993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8</v>
      </c>
      <c r="Y368" s="644">
        <f>IFERROR(IF(X368="",0,CEILING((X368/$H368),1)*$H368),"")</f>
        <v>10.8</v>
      </c>
      <c r="Z368" s="36">
        <f>IFERROR(IF(Y368=0,"",ROUNDUP(Y368/H368,0)*0.01898),"")</f>
        <v>1.898E-2</v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8.3037037037037038</v>
      </c>
      <c r="BN368" s="64">
        <f>IFERROR(Y368*I368/H368,"0")</f>
        <v>11.21</v>
      </c>
      <c r="BO368" s="64">
        <f>IFERROR(1/J368*(X368/H368),"0")</f>
        <v>1.1574074074074073E-2</v>
      </c>
      <c r="BP368" s="64">
        <f>IFERROR(1/J368*(Y368/H368),"0")</f>
        <v>1.5625E-2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0.7407407407407407</v>
      </c>
      <c r="Y371" s="645">
        <f>IFERROR(Y366/H366,"0")+IFERROR(Y367/H367,"0")+IFERROR(Y368/H368,"0")+IFERROR(Y369/H369,"0")+IFERROR(Y370/H370,"0")</f>
        <v>1</v>
      </c>
      <c r="Z371" s="645">
        <f>IFERROR(IF(Z366="",0,Z366),"0")+IFERROR(IF(Z367="",0,Z367),"0")+IFERROR(IF(Z368="",0,Z368),"0")+IFERROR(IF(Z369="",0,Z369),"0")+IFERROR(IF(Z370="",0,Z370),"0")</f>
        <v>1.898E-2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8</v>
      </c>
      <c r="Y372" s="645">
        <f>IFERROR(SUM(Y366:Y370),"0")</f>
        <v>10.8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6</v>
      </c>
      <c r="Y380" s="644">
        <f t="shared" si="58"/>
        <v>7.2</v>
      </c>
      <c r="Z380" s="36">
        <f>IFERROR(IF(Y380=0,"",ROUNDUP(Y380/H380,0)*0.00651),"")</f>
        <v>2.6040000000000001E-2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6.76</v>
      </c>
      <c r="BN380" s="64">
        <f t="shared" si="60"/>
        <v>8.1120000000000001</v>
      </c>
      <c r="BO380" s="64">
        <f t="shared" si="61"/>
        <v>1.8315018315018316E-2</v>
      </c>
      <c r="BP380" s="64">
        <f t="shared" si="62"/>
        <v>2.197802197802198E-2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3.333333333333333</v>
      </c>
      <c r="Y381" s="645">
        <f>IFERROR(Y374/H374,"0")+IFERROR(Y375/H375,"0")+IFERROR(Y376/H376,"0")+IFERROR(Y377/H377,"0")+IFERROR(Y378/H378,"0")+IFERROR(Y379/H379,"0")+IFERROR(Y380/H380,"0")</f>
        <v>4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2.6040000000000001E-2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6</v>
      </c>
      <c r="Y382" s="645">
        <f>IFERROR(SUM(Y374:Y380),"0")</f>
        <v>7.2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295</v>
      </c>
      <c r="Y392" s="644">
        <f>IFERROR(IF(X392="",0,CEILING((X392/$H392),1)*$H392),"")</f>
        <v>296.39999999999998</v>
      </c>
      <c r="Z392" s="36">
        <f>IFERROR(IF(Y392=0,"",ROUNDUP(Y392/H392,0)*0.01898),"")</f>
        <v>0.72123999999999999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313.68333333333334</v>
      </c>
      <c r="BN392" s="64">
        <f>IFERROR(Y392*I392/H392,"0")</f>
        <v>315.17199999999997</v>
      </c>
      <c r="BO392" s="64">
        <f>IFERROR(1/J392*(X392/H392),"0")</f>
        <v>0.59094551282051289</v>
      </c>
      <c r="BP392" s="64">
        <f>IFERROR(1/J392*(Y392/H392),"0")</f>
        <v>0.59375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37.820512820512825</v>
      </c>
      <c r="Y394" s="645">
        <f>IFERROR(Y391/H391,"0")+IFERROR(Y392/H392,"0")+IFERROR(Y393/H393,"0")</f>
        <v>38</v>
      </c>
      <c r="Z394" s="645">
        <f>IFERROR(IF(Z391="",0,Z391),"0")+IFERROR(IF(Z392="",0,Z392),"0")+IFERROR(IF(Z393="",0,Z393),"0")</f>
        <v>0.72123999999999999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295</v>
      </c>
      <c r="Y395" s="645">
        <f>IFERROR(SUM(Y391:Y393),"0")</f>
        <v>296.39999999999998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22</v>
      </c>
      <c r="Y400" s="644">
        <f>IFERROR(IF(X400="",0,CEILING((X400/$H400),1)*$H400),"")</f>
        <v>22.95</v>
      </c>
      <c r="Z400" s="36">
        <f>IFERROR(IF(Y400=0,"",ROUNDUP(Y400/H400,0)*0.00651),"")</f>
        <v>5.8590000000000003E-2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24.847058823529412</v>
      </c>
      <c r="BN400" s="64">
        <f>IFERROR(Y400*I400/H400,"0")</f>
        <v>25.919999999999998</v>
      </c>
      <c r="BO400" s="64">
        <f>IFERROR(1/J400*(X400/H400),"0")</f>
        <v>4.7403576815341533E-2</v>
      </c>
      <c r="BP400" s="64">
        <f>IFERROR(1/J400*(Y400/H400),"0")</f>
        <v>4.9450549450549455E-2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8.6274509803921582</v>
      </c>
      <c r="Y401" s="645">
        <f>IFERROR(Y397/H397,"0")+IFERROR(Y398/H398,"0")+IFERROR(Y399/H399,"0")+IFERROR(Y400/H400,"0")</f>
        <v>9</v>
      </c>
      <c r="Z401" s="645">
        <f>IFERROR(IF(Z397="",0,Z397),"0")+IFERROR(IF(Z398="",0,Z398),"0")+IFERROR(IF(Z399="",0,Z399),"0")+IFERROR(IF(Z400="",0,Z400),"0")</f>
        <v>5.8590000000000003E-2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22</v>
      </c>
      <c r="Y402" s="645">
        <f>IFERROR(SUM(Y397:Y400),"0")</f>
        <v>22.95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7</v>
      </c>
      <c r="Y404" s="644">
        <f>IFERROR(IF(X404="",0,CEILING((X404/$H404),1)*$H404),"")</f>
        <v>8</v>
      </c>
      <c r="Z404" s="36">
        <f>IFERROR(IF(Y404=0,"",ROUNDUP(Y404/H404,0)*0.00474),"")</f>
        <v>1.8960000000000001E-2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7.8400000000000007</v>
      </c>
      <c r="BN404" s="64">
        <f>IFERROR(Y404*I404/H404,"0")</f>
        <v>8.9600000000000009</v>
      </c>
      <c r="BO404" s="64">
        <f>IFERROR(1/J404*(X404/H404),"0")</f>
        <v>1.4705882352941176E-2</v>
      </c>
      <c r="BP404" s="64">
        <f>IFERROR(1/J404*(Y404/H404),"0")</f>
        <v>1.680672268907563E-2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7</v>
      </c>
      <c r="Y405" s="644">
        <f>IFERROR(IF(X405="",0,CEILING((X405/$H405),1)*$H405),"")</f>
        <v>8</v>
      </c>
      <c r="Z405" s="36">
        <f>IFERROR(IF(Y405=0,"",ROUNDUP(Y405/H405,0)*0.00474),"")</f>
        <v>1.8960000000000001E-2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7.8400000000000007</v>
      </c>
      <c r="BN405" s="64">
        <f>IFERROR(Y405*I405/H405,"0")</f>
        <v>8.9600000000000009</v>
      </c>
      <c r="BO405" s="64">
        <f>IFERROR(1/J405*(X405/H405),"0")</f>
        <v>1.4705882352941176E-2</v>
      </c>
      <c r="BP405" s="64">
        <f>IFERROR(1/J405*(Y405/H405),"0")</f>
        <v>1.680672268907563E-2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11</v>
      </c>
      <c r="Y406" s="644">
        <f>IFERROR(IF(X406="",0,CEILING((X406/$H406),1)*$H406),"")</f>
        <v>12</v>
      </c>
      <c r="Z406" s="36">
        <f>IFERROR(IF(Y406=0,"",ROUNDUP(Y406/H406,0)*0.00474),"")</f>
        <v>2.844E-2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12.32</v>
      </c>
      <c r="BN406" s="64">
        <f>IFERROR(Y406*I406/H406,"0")</f>
        <v>13.440000000000001</v>
      </c>
      <c r="BO406" s="64">
        <f>IFERROR(1/J406*(X406/H406),"0")</f>
        <v>2.3109243697478989E-2</v>
      </c>
      <c r="BP406" s="64">
        <f>IFERROR(1/J406*(Y406/H406),"0")</f>
        <v>2.5210084033613446E-2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12.5</v>
      </c>
      <c r="Y407" s="645">
        <f>IFERROR(Y404/H404,"0")+IFERROR(Y405/H405,"0")+IFERROR(Y406/H406,"0")</f>
        <v>14</v>
      </c>
      <c r="Z407" s="645">
        <f>IFERROR(IF(Z404="",0,Z404),"0")+IFERROR(IF(Z405="",0,Z405),"0")+IFERROR(IF(Z406="",0,Z406),"0")</f>
        <v>6.6360000000000002E-2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25</v>
      </c>
      <c r="Y408" s="645">
        <f>IFERROR(SUM(Y404:Y406),"0")</f>
        <v>28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53</v>
      </c>
      <c r="Y424" s="644">
        <f>IFERROR(IF(X424="",0,CEILING((X424/$H424),1)*$H424),"")</f>
        <v>54.6</v>
      </c>
      <c r="Z424" s="36">
        <f>IFERROR(IF(Y424=0,"",ROUNDUP(Y424/H424,0)*0.00651),"")</f>
        <v>0.16925999999999999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59.359999999999992</v>
      </c>
      <c r="BN424" s="64">
        <f>IFERROR(Y424*I424/H424,"0")</f>
        <v>61.151999999999994</v>
      </c>
      <c r="BO424" s="64">
        <f>IFERROR(1/J424*(X424/H424),"0")</f>
        <v>0.13867085295656725</v>
      </c>
      <c r="BP424" s="64">
        <f>IFERROR(1/J424*(Y424/H424),"0")</f>
        <v>0.14285714285714288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35</v>
      </c>
      <c r="Y425" s="644">
        <f>IFERROR(IF(X425="",0,CEILING((X425/$H425),1)*$H425),"")</f>
        <v>35.700000000000003</v>
      </c>
      <c r="Z425" s="36">
        <f>IFERROR(IF(Y425=0,"",ROUNDUP(Y425/H425,0)*0.00651),"")</f>
        <v>0.11067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38.999999999999993</v>
      </c>
      <c r="BN425" s="64">
        <f>IFERROR(Y425*I425/H425,"0")</f>
        <v>39.779999999999994</v>
      </c>
      <c r="BO425" s="64">
        <f>IFERROR(1/J425*(X425/H425),"0")</f>
        <v>9.1575091575091569E-2</v>
      </c>
      <c r="BP425" s="64">
        <f>IFERROR(1/J425*(Y425/H425),"0")</f>
        <v>9.3406593406593408E-2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41.904761904761898</v>
      </c>
      <c r="Y426" s="645">
        <f>IFERROR(Y423/H423,"0")+IFERROR(Y424/H424,"0")+IFERROR(Y425/H425,"0")</f>
        <v>43</v>
      </c>
      <c r="Z426" s="645">
        <f>IFERROR(IF(Z423="",0,Z423),"0")+IFERROR(IF(Z424="",0,Z424),"0")+IFERROR(IF(Z425="",0,Z425),"0")</f>
        <v>0.27993000000000001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88</v>
      </c>
      <c r="Y427" s="645">
        <f>IFERROR(SUM(Y423:Y425),"0")</f>
        <v>90.300000000000011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109</v>
      </c>
      <c r="Y432" s="644">
        <f t="shared" si="63"/>
        <v>120</v>
      </c>
      <c r="Z432" s="36">
        <f>IFERROR(IF(Y432=0,"",ROUNDUP(Y432/H432,0)*0.02175),"")</f>
        <v>0.17399999999999999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112.41533333333334</v>
      </c>
      <c r="BN432" s="64">
        <f t="shared" si="65"/>
        <v>123.76</v>
      </c>
      <c r="BO432" s="64">
        <f t="shared" si="66"/>
        <v>0.15138888888888888</v>
      </c>
      <c r="BP432" s="64">
        <f t="shared" si="67"/>
        <v>0.16666666666666666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0</v>
      </c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7.2666666666666666</v>
      </c>
      <c r="Y439" s="645">
        <f>IFERROR(Y431/H431,"0")+IFERROR(Y432/H432,"0")+IFERROR(Y433/H433,"0")+IFERROR(Y434/H434,"0")+IFERROR(Y435/H435,"0")+IFERROR(Y436/H436,"0")+IFERROR(Y437/H437,"0")+IFERROR(Y438/H438,"0")</f>
        <v>8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0.17399999999999999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109</v>
      </c>
      <c r="Y440" s="645">
        <f>IFERROR(SUM(Y431:Y438),"0")</f>
        <v>120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1700</v>
      </c>
      <c r="Y442" s="644">
        <f>IFERROR(IF(X442="",0,CEILING((X442/$H442),1)*$H442),"")</f>
        <v>1710</v>
      </c>
      <c r="Z442" s="36">
        <f>IFERROR(IF(Y442=0,"",ROUNDUP(Y442/H442,0)*0.02175),"")</f>
        <v>2.4794999999999998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1753.2666666666667</v>
      </c>
      <c r="BN442" s="64">
        <f>IFERROR(Y442*I442/H442,"0")</f>
        <v>1763.5800000000002</v>
      </c>
      <c r="BO442" s="64">
        <f>IFERROR(1/J442*(X442/H442),"0")</f>
        <v>2.3611111111111107</v>
      </c>
      <c r="BP442" s="64">
        <f>IFERROR(1/J442*(Y442/H442),"0")</f>
        <v>2.375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14</v>
      </c>
      <c r="Y443" s="644">
        <f>IFERROR(IF(X443="",0,CEILING((X443/$H443),1)*$H443),"")</f>
        <v>15</v>
      </c>
      <c r="Z443" s="36">
        <f>IFERROR(IF(Y443=0,"",ROUNDUP(Y443/H443,0)*0.02175),"")</f>
        <v>2.1749999999999999E-2</v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14.438666666666668</v>
      </c>
      <c r="BN443" s="64">
        <f>IFERROR(Y443*I443/H443,"0")</f>
        <v>15.47</v>
      </c>
      <c r="BO443" s="64">
        <f>IFERROR(1/J443*(X443/H443),"0")</f>
        <v>1.9444444444444445E-2</v>
      </c>
      <c r="BP443" s="64">
        <f>IFERROR(1/J443*(Y443/H443),"0")</f>
        <v>2.0833333333333332E-2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114.26666666666667</v>
      </c>
      <c r="Y445" s="645">
        <f>IFERROR(Y442/H442,"0")+IFERROR(Y443/H443,"0")+IFERROR(Y444/H444,"0")</f>
        <v>115</v>
      </c>
      <c r="Z445" s="645">
        <f>IFERROR(IF(Z442="",0,Z442),"0")+IFERROR(IF(Z443="",0,Z443),"0")+IFERROR(IF(Z444="",0,Z444),"0")</f>
        <v>2.5012499999999998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1714</v>
      </c>
      <c r="Y446" s="645">
        <f>IFERROR(SUM(Y442:Y444),"0")</f>
        <v>1725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328</v>
      </c>
      <c r="Y469" s="644">
        <f>IFERROR(IF(X469="",0,CEILING((X469/$H469),1)*$H469),"")</f>
        <v>333</v>
      </c>
      <c r="Z469" s="36">
        <f>IFERROR(IF(Y469=0,"",ROUNDUP(Y469/H469,0)*0.01898),"")</f>
        <v>0.70226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346.00355555555558</v>
      </c>
      <c r="BN469" s="64">
        <f>IFERROR(Y469*I469/H469,"0")</f>
        <v>351.27800000000002</v>
      </c>
      <c r="BO469" s="64">
        <f>IFERROR(1/J469*(X469/H469),"0")</f>
        <v>0.56944444444444442</v>
      </c>
      <c r="BP469" s="64">
        <f>IFERROR(1/J469*(Y469/H469),"0")</f>
        <v>0.578125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80</v>
      </c>
      <c r="Y470" s="644">
        <f>IFERROR(IF(X470="",0,CEILING((X470/$H470),1)*$H470),"")</f>
        <v>81.599999999999994</v>
      </c>
      <c r="Z470" s="36">
        <f>IFERROR(IF(Y470=0,"",ROUNDUP(Y470/H470,0)*0.00651),"")</f>
        <v>0.22134000000000001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88.800000000000011</v>
      </c>
      <c r="BN470" s="64">
        <f>IFERROR(Y470*I470/H470,"0")</f>
        <v>90.575999999999993</v>
      </c>
      <c r="BO470" s="64">
        <f>IFERROR(1/J470*(X470/H470),"0")</f>
        <v>0.18315018315018317</v>
      </c>
      <c r="BP470" s="64">
        <f>IFERROR(1/J470*(Y470/H470),"0")</f>
        <v>0.18681318681318682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69.777777777777771</v>
      </c>
      <c r="Y472" s="645">
        <f>IFERROR(Y469/H469,"0")+IFERROR(Y470/H470,"0")+IFERROR(Y471/H471,"0")</f>
        <v>71</v>
      </c>
      <c r="Z472" s="645">
        <f>IFERROR(IF(Z469="",0,Z469),"0")+IFERROR(IF(Z470="",0,Z470),"0")+IFERROR(IF(Z471="",0,Z471),"0")</f>
        <v>0.92359999999999998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408</v>
      </c>
      <c r="Y473" s="645">
        <f>IFERROR(SUM(Y469:Y471),"0")</f>
        <v>414.6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76</v>
      </c>
      <c r="Y504" s="644">
        <f t="shared" ref="Y504:Y512" si="73">IFERROR(IF(X504="",0,CEILING((X504/$H504),1)*$H504),"")</f>
        <v>79.2</v>
      </c>
      <c r="Z504" s="36">
        <f t="shared" ref="Z504:Z509" si="74">IFERROR(IF(Y504=0,"",ROUNDUP(Y504/H504,0)*0.01196),"")</f>
        <v>0.1794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81.037878787878782</v>
      </c>
      <c r="BN504" s="64">
        <f t="shared" ref="BN504:BN512" si="76">IFERROR(Y504*I504/H504,"0")</f>
        <v>84.45</v>
      </c>
      <c r="BO504" s="64">
        <f t="shared" ref="BO504:BO512" si="77">IFERROR(1/J504*(X504/H504),"0")</f>
        <v>0.13840326340326339</v>
      </c>
      <c r="BP504" s="64">
        <f t="shared" ref="BP504:BP512" si="78">IFERROR(1/J504*(Y504/H504),"0")</f>
        <v>0.14423076923076925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0</v>
      </c>
      <c r="Y509" s="644">
        <f t="shared" si="73"/>
        <v>0</v>
      </c>
      <c r="Z509" s="36" t="str">
        <f t="shared" si="74"/>
        <v/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139</v>
      </c>
      <c r="Y511" s="644">
        <f t="shared" si="73"/>
        <v>139.19999999999999</v>
      </c>
      <c r="Z511" s="36">
        <f>IFERROR(IF(Y511=0,"",ROUNDUP(Y511/H511,0)*0.00902),"")</f>
        <v>0.26158000000000003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200.10208333333335</v>
      </c>
      <c r="BN511" s="64">
        <f t="shared" si="76"/>
        <v>200.39</v>
      </c>
      <c r="BO511" s="64">
        <f t="shared" si="77"/>
        <v>0.21938131313131315</v>
      </c>
      <c r="BP511" s="64">
        <f t="shared" si="78"/>
        <v>0.2196969696969697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187</v>
      </c>
      <c r="Y512" s="644">
        <f t="shared" si="73"/>
        <v>187.2</v>
      </c>
      <c r="Z512" s="36">
        <f>IFERROR(IF(Y512=0,"",ROUNDUP(Y512/H512,0)*0.00902),"")</f>
        <v>0.35177999999999998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269.20208333333335</v>
      </c>
      <c r="BN512" s="64">
        <f t="shared" si="76"/>
        <v>269.49</v>
      </c>
      <c r="BO512" s="64">
        <f t="shared" si="77"/>
        <v>0.2951388888888889</v>
      </c>
      <c r="BP512" s="64">
        <f t="shared" si="78"/>
        <v>0.29545454545454547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82.310606060606062</v>
      </c>
      <c r="Y513" s="645">
        <f>IFERROR(Y504/H504,"0")+IFERROR(Y505/H505,"0")+IFERROR(Y506/H506,"0")+IFERROR(Y507/H507,"0")+IFERROR(Y508/H508,"0")+IFERROR(Y509/H509,"0")+IFERROR(Y510/H510,"0")+IFERROR(Y511/H511,"0")+IFERROR(Y512/H512,"0")</f>
        <v>83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0.79276000000000002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402</v>
      </c>
      <c r="Y514" s="645">
        <f>IFERROR(SUM(Y504:Y512),"0")</f>
        <v>405.59999999999997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1500</v>
      </c>
      <c r="Y516" s="644">
        <f>IFERROR(IF(X516="",0,CEILING((X516/$H516),1)*$H516),"")</f>
        <v>1504.8000000000002</v>
      </c>
      <c r="Z516" s="36">
        <f>IFERROR(IF(Y516=0,"",ROUNDUP(Y516/H516,0)*0.01196),"")</f>
        <v>3.4085999999999999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1599.431818181818</v>
      </c>
      <c r="BN516" s="64">
        <f>IFERROR(Y516*I516/H516,"0")</f>
        <v>1604.5500000000002</v>
      </c>
      <c r="BO516" s="64">
        <f>IFERROR(1/J516*(X516/H516),"0")</f>
        <v>2.7316433566433567</v>
      </c>
      <c r="BP516" s="64">
        <f>IFERROR(1/J516*(Y516/H516),"0")</f>
        <v>2.7403846153846154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46</v>
      </c>
      <c r="Y518" s="644">
        <f>IFERROR(IF(X518="",0,CEILING((X518/$H518),1)*$H518),"")</f>
        <v>48</v>
      </c>
      <c r="Z518" s="36">
        <f>IFERROR(IF(Y518=0,"",ROUNDUP(Y518/H518,0)*0.00902),"")</f>
        <v>9.0200000000000002E-2</v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66.220833333333346</v>
      </c>
      <c r="BN518" s="64">
        <f>IFERROR(Y518*I518/H518,"0")</f>
        <v>69.100000000000009</v>
      </c>
      <c r="BO518" s="64">
        <f>IFERROR(1/J518*(X518/H518),"0")</f>
        <v>7.2601010101010111E-2</v>
      </c>
      <c r="BP518" s="64">
        <f>IFERROR(1/J518*(Y518/H518),"0")</f>
        <v>7.575757575757576E-2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293.67424242424238</v>
      </c>
      <c r="Y519" s="645">
        <f>IFERROR(Y516/H516,"0")+IFERROR(Y517/H517,"0")+IFERROR(Y518/H518,"0")</f>
        <v>295</v>
      </c>
      <c r="Z519" s="645">
        <f>IFERROR(IF(Z516="",0,Z516),"0")+IFERROR(IF(Z517="",0,Z517),"0")+IFERROR(IF(Z518="",0,Z518),"0")</f>
        <v>3.4987999999999997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1546</v>
      </c>
      <c r="Y520" s="645">
        <f>IFERROR(SUM(Y516:Y518),"0")</f>
        <v>1552.8000000000002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1049</v>
      </c>
      <c r="Y523" s="644">
        <f t="shared" si="79"/>
        <v>1050.72</v>
      </c>
      <c r="Z523" s="36">
        <f>IFERROR(IF(Y523=0,"",ROUNDUP(Y523/H523,0)*0.01196),"")</f>
        <v>2.3800400000000002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1118.5359848484848</v>
      </c>
      <c r="BN523" s="64">
        <f t="shared" si="81"/>
        <v>1120.3699999999999</v>
      </c>
      <c r="BO523" s="64">
        <f t="shared" si="82"/>
        <v>1.910329254079254</v>
      </c>
      <c r="BP523" s="64">
        <f t="shared" si="83"/>
        <v>1.9134615384615385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1640</v>
      </c>
      <c r="Y524" s="644">
        <f t="shared" si="79"/>
        <v>1642.0800000000002</v>
      </c>
      <c r="Z524" s="36">
        <f>IFERROR(IF(Y524=0,"",ROUNDUP(Y524/H524,0)*0.01196),"")</f>
        <v>3.71956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1748.7121212121212</v>
      </c>
      <c r="BN524" s="64">
        <f t="shared" si="81"/>
        <v>1750.93</v>
      </c>
      <c r="BO524" s="64">
        <f t="shared" si="82"/>
        <v>2.9865967365967365</v>
      </c>
      <c r="BP524" s="64">
        <f t="shared" si="83"/>
        <v>2.9903846153846154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509.280303030303</v>
      </c>
      <c r="Y529" s="645">
        <f>IFERROR(Y522/H522,"0")+IFERROR(Y523/H523,"0")+IFERROR(Y524/H524,"0")+IFERROR(Y525/H525,"0")+IFERROR(Y526/H526,"0")+IFERROR(Y527/H527,"0")+IFERROR(Y528/H528,"0")</f>
        <v>510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6.0996000000000006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2689</v>
      </c>
      <c r="Y530" s="645">
        <f>IFERROR(SUM(Y522:Y528),"0")</f>
        <v>2692.8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17201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17377.23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18418.650789210526</v>
      </c>
      <c r="Y560" s="645">
        <f>IFERROR(SUM(BN22:BN556),"0")</f>
        <v>18605.749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33</v>
      </c>
      <c r="Y561" s="38">
        <f>ROUNDUP(SUM(BP22:BP556),0)</f>
        <v>33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19243.650789210526</v>
      </c>
      <c r="Y562" s="645">
        <f>GrossWeightTotalR+PalletQtyTotalR*25</f>
        <v>19430.749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3235.9439526407159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3271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38.843050000000005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162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834.2</v>
      </c>
      <c r="F569" s="46">
        <f>IFERROR(Y85*1,"0")+IFERROR(Y86*1,"0")+IFERROR(Y87*1,"0")+IFERROR(Y88*1,"0")+IFERROR(Y89*1,"0")+IFERROR(Y93*1,"0")+IFERROR(Y94*1,"0")+IFERROR(Y95*1,"0")+IFERROR(Y96*1,"0")+IFERROR(Y97*1,"0")+IFERROR(Y98*1,"0")</f>
        <v>2197.7999999999997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3860.22</v>
      </c>
      <c r="H569" s="46">
        <f>IFERROR(Y138*1,"0")+IFERROR(Y139*1,"0")+IFERROR(Y143*1,"0")+IFERROR(Y144*1,"0")+IFERROR(Y148*1,"0")+IFERROR(Y149*1,"0")</f>
        <v>26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650.29999999999995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108.86000000000001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1488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5.4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577.19999999999993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365.34999999999997</v>
      </c>
      <c r="U569" s="46">
        <f>IFERROR(Y417*1,"0")+IFERROR(Y418*1,"0")</f>
        <v>0</v>
      </c>
      <c r="V569" s="46">
        <f>IFERROR(Y423*1,"0")+IFERROR(Y424*1,"0")+IFERROR(Y425*1,"0")</f>
        <v>90.300000000000011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1845</v>
      </c>
      <c r="X569" s="46">
        <f>IFERROR(Y460*1,"0")+IFERROR(Y461*1,"0")+IFERROR(Y465*1,"0")+IFERROR(Y469*1,"0")+IFERROR(Y470*1,"0")+IFERROR(Y471*1,"0")</f>
        <v>414.6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4651.2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2026-08-28T09:37:55Z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