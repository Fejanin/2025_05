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27,08,26 ПОКОМ КИ\"/>
    </mc:Choice>
  </mc:AlternateContent>
  <xr:revisionPtr revIDLastSave="0" documentId="13_ncr:1_{5A5C37E4-8D18-4A28-8639-DBD322FC2F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externalReferences>
    <externalReference r:id="rId2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" i="1"/>
</calcChain>
</file>

<file path=xl/sharedStrings.xml><?xml version="1.0" encoding="utf-8"?>
<sst xmlns="http://schemas.openxmlformats.org/spreadsheetml/2006/main" count="133" uniqueCount="133">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</sst>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7,08,26%20&#1076;&#1085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</row>
        <row r="5">
          <cell r="E5">
            <v>55222.734999999993</v>
          </cell>
          <cell r="F5">
            <v>57455.780000000006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2846.1610000000001</v>
          </cell>
          <cell r="D6">
            <v>2099.3270000000002</v>
          </cell>
          <cell r="E6">
            <v>1532.6769999999999</v>
          </cell>
          <cell r="F6">
            <v>2545.52</v>
          </cell>
          <cell r="G6">
            <v>1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1282.308</v>
          </cell>
          <cell r="D7">
            <v>2244.7919999999999</v>
          </cell>
          <cell r="E7">
            <v>2062.1190000000001</v>
          </cell>
          <cell r="F7">
            <v>247.458</v>
          </cell>
          <cell r="G7">
            <v>1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2464.1559999999999</v>
          </cell>
          <cell r="D8">
            <v>5828.3620000000001</v>
          </cell>
          <cell r="E8">
            <v>4254.4949999999999</v>
          </cell>
          <cell r="F8">
            <v>1532.6990000000001</v>
          </cell>
          <cell r="G8">
            <v>1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C9">
            <v>19</v>
          </cell>
          <cell r="E9">
            <v>6</v>
          </cell>
          <cell r="F9">
            <v>12</v>
          </cell>
          <cell r="G9">
            <v>0.4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1158.376</v>
          </cell>
          <cell r="D10">
            <v>5023</v>
          </cell>
          <cell r="E10">
            <v>2025</v>
          </cell>
          <cell r="F10">
            <v>2831.3760000000002</v>
          </cell>
          <cell r="G10">
            <v>0.45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2476.6550000000002</v>
          </cell>
          <cell r="D11">
            <v>5345</v>
          </cell>
          <cell r="E11">
            <v>3591</v>
          </cell>
          <cell r="F11">
            <v>1937.655</v>
          </cell>
          <cell r="G11">
            <v>0.45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140</v>
          </cell>
          <cell r="D12">
            <v>5</v>
          </cell>
          <cell r="E12">
            <v>69</v>
          </cell>
          <cell r="F12">
            <v>69</v>
          </cell>
          <cell r="G12">
            <v>0.17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25</v>
          </cell>
          <cell r="D13">
            <v>7</v>
          </cell>
          <cell r="E13">
            <v>31</v>
          </cell>
          <cell r="F13">
            <v>-8</v>
          </cell>
          <cell r="G13">
            <v>0.3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30</v>
          </cell>
          <cell r="D14">
            <v>325</v>
          </cell>
          <cell r="E14">
            <v>93</v>
          </cell>
          <cell r="F14">
            <v>35</v>
          </cell>
          <cell r="G14">
            <v>0.17</v>
          </cell>
        </row>
        <row r="15">
          <cell r="A15" t="str">
            <v xml:space="preserve"> 103  Сосиски Классические, 0.42кг,ядрена копотьПОКОМ</v>
          </cell>
          <cell r="B15" t="str">
            <v>шт</v>
          </cell>
          <cell r="C15">
            <v>285</v>
          </cell>
          <cell r="D15">
            <v>10</v>
          </cell>
          <cell r="E15">
            <v>39</v>
          </cell>
          <cell r="F15">
            <v>251</v>
          </cell>
          <cell r="G15">
            <v>0</v>
          </cell>
        </row>
        <row r="16">
          <cell r="A16" t="str">
            <v xml:space="preserve"> 200  Ветчина Дугушка ТМ Стародворье, вектор в/у    ПОКОМ</v>
          </cell>
          <cell r="B16" t="str">
            <v>кг</v>
          </cell>
          <cell r="C16">
            <v>3538.4580000000001</v>
          </cell>
          <cell r="D16">
            <v>4014.056</v>
          </cell>
          <cell r="E16">
            <v>2907.4470000000001</v>
          </cell>
          <cell r="F16">
            <v>3656.57</v>
          </cell>
          <cell r="G16">
            <v>1</v>
          </cell>
        </row>
        <row r="17">
          <cell r="A17" t="str">
            <v xml:space="preserve"> 201  Ветчина Нежная ТМ Особый рецепт, (2,5кг), ПОКОМ</v>
          </cell>
          <cell r="B17" t="str">
            <v>кг</v>
          </cell>
          <cell r="C17">
            <v>1497.499</v>
          </cell>
          <cell r="D17">
            <v>3814.424</v>
          </cell>
          <cell r="E17">
            <v>2499.5520000000001</v>
          </cell>
          <cell r="F17">
            <v>929.96900000000005</v>
          </cell>
          <cell r="G17">
            <v>1</v>
          </cell>
        </row>
        <row r="18">
          <cell r="A18" t="str">
            <v xml:space="preserve"> 215  Колбаса Докторская ГОСТ Дугушка, ВЕС, ТМ Стародворье ПОКОМ</v>
          </cell>
          <cell r="B18" t="str">
            <v>кг</v>
          </cell>
          <cell r="C18">
            <v>-8.9990000000000006</v>
          </cell>
          <cell r="D18">
            <v>219.756</v>
          </cell>
          <cell r="E18">
            <v>108.52800000000001</v>
          </cell>
          <cell r="F18">
            <v>35.185000000000002</v>
          </cell>
          <cell r="G18">
            <v>1</v>
          </cell>
        </row>
        <row r="19">
          <cell r="A19" t="str">
            <v xml:space="preserve"> 219  Колбаса Докторская Особая ТМ Особый рецепт, ВЕС  ПОКОМ</v>
          </cell>
          <cell r="B19" t="str">
            <v>кг</v>
          </cell>
          <cell r="C19">
            <v>-22.463000000000001</v>
          </cell>
          <cell r="E19">
            <v>5.03</v>
          </cell>
          <cell r="F19">
            <v>-27.492999999999999</v>
          </cell>
          <cell r="G19">
            <v>0</v>
          </cell>
        </row>
        <row r="20">
          <cell r="A20" t="str">
            <v xml:space="preserve"> 225  Колбаса Дугушка со шпиком, ВЕС, ТМ Стародворье   ПОКОМ</v>
          </cell>
          <cell r="B20" t="str">
            <v>кг</v>
          </cell>
          <cell r="G20">
            <v>0</v>
          </cell>
        </row>
        <row r="21">
          <cell r="A21" t="str">
            <v xml:space="preserve"> 226  Колбаса Княжеская, с/к белков.обол в термоусад. пакете, ВЕС, ТМ Стародворье ПОКОМ</v>
          </cell>
          <cell r="B21" t="str">
            <v>кг</v>
          </cell>
          <cell r="C21">
            <v>21.475999999999999</v>
          </cell>
          <cell r="E21">
            <v>3.774</v>
          </cell>
          <cell r="F21">
            <v>17.702000000000002</v>
          </cell>
          <cell r="G21">
            <v>1</v>
          </cell>
        </row>
        <row r="22">
          <cell r="A22" t="str">
            <v xml:space="preserve"> 229  Колбаса Молочная Дугушка, в/у, ВЕС, ТМ Стародворье   ПОКОМ</v>
          </cell>
          <cell r="B22" t="str">
            <v>кг</v>
          </cell>
          <cell r="C22">
            <v>6235.4340000000002</v>
          </cell>
          <cell r="D22">
            <v>7930.5820000000003</v>
          </cell>
          <cell r="E22">
            <v>3764.5569999999998</v>
          </cell>
          <cell r="F22">
            <v>9428.5820000000003</v>
          </cell>
          <cell r="G22">
            <v>1</v>
          </cell>
        </row>
        <row r="23">
          <cell r="A23" t="str">
            <v xml:space="preserve"> 230  Колбаса Молочная Особая ТМ Особый рецепт, п/а, ВЕС. ПОКОМ</v>
          </cell>
          <cell r="B23" t="str">
            <v>кг</v>
          </cell>
          <cell r="C23">
            <v>-12.462999999999999</v>
          </cell>
          <cell r="F23">
            <v>-12.462999999999999</v>
          </cell>
          <cell r="G23">
            <v>0</v>
          </cell>
        </row>
        <row r="24">
          <cell r="A24" t="str">
            <v xml:space="preserve"> 236  Колбаса Рубленая ЗАПЕЧ. Дугушка ТМ Стародворье, вектор, в/к    ПОКОМ</v>
          </cell>
          <cell r="B24" t="str">
            <v>кг</v>
          </cell>
          <cell r="C24">
            <v>794.04700000000003</v>
          </cell>
          <cell r="D24">
            <v>127.502</v>
          </cell>
          <cell r="E24">
            <v>422.40899999999999</v>
          </cell>
          <cell r="F24">
            <v>341.32</v>
          </cell>
          <cell r="G24">
            <v>1</v>
          </cell>
        </row>
        <row r="25">
          <cell r="A25" t="str">
            <v xml:space="preserve"> 239  Колбаса Салями запеч Дугушка, оболочка вектор, ВЕС, ТМ Стародворье  ПОКОМ</v>
          </cell>
          <cell r="B25" t="str">
            <v>кг</v>
          </cell>
          <cell r="C25">
            <v>1137.079</v>
          </cell>
          <cell r="D25">
            <v>1673.461</v>
          </cell>
          <cell r="E25">
            <v>1345.518</v>
          </cell>
          <cell r="F25">
            <v>827.18700000000001</v>
          </cell>
          <cell r="G25">
            <v>1</v>
          </cell>
        </row>
        <row r="26">
          <cell r="A26" t="str">
            <v xml:space="preserve"> 240  Колбаса Салями охотничья, ВЕС. ПОКОМ</v>
          </cell>
          <cell r="B26" t="str">
            <v>кг</v>
          </cell>
          <cell r="G26">
            <v>0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B27" t="str">
            <v>кг</v>
          </cell>
          <cell r="C27">
            <v>885.80100000000004</v>
          </cell>
          <cell r="D27">
            <v>3179.6709999999998</v>
          </cell>
          <cell r="E27">
            <v>1947.711</v>
          </cell>
          <cell r="F27">
            <v>1470.807</v>
          </cell>
          <cell r="G27">
            <v>1</v>
          </cell>
        </row>
        <row r="28">
          <cell r="A28" t="str">
            <v xml:space="preserve"> 244  Колбаса Сервелат Кремлевский, ВЕС. ПОКОМ</v>
          </cell>
          <cell r="B28" t="str">
            <v>кг</v>
          </cell>
          <cell r="C28">
            <v>69.930000000000007</v>
          </cell>
          <cell r="D28">
            <v>6.4850000000000003</v>
          </cell>
          <cell r="E28">
            <v>10.936999999999999</v>
          </cell>
          <cell r="F28">
            <v>64.004999999999995</v>
          </cell>
          <cell r="G28">
            <v>1</v>
          </cell>
        </row>
        <row r="29">
          <cell r="A29" t="str">
            <v xml:space="preserve"> 246  Колбаса Стародворская ТМ Стародворье ТС Старый двор, ПОКОМ</v>
          </cell>
          <cell r="B29" t="str">
            <v>кг</v>
          </cell>
          <cell r="F29">
            <v>-1.6950000000000001</v>
          </cell>
          <cell r="G29">
            <v>0</v>
          </cell>
        </row>
        <row r="30">
          <cell r="A30" t="str">
            <v xml:space="preserve"> 247  Сардельки Нежные, ВЕС.  ПОКОМ</v>
          </cell>
          <cell r="B30" t="str">
            <v>кг</v>
          </cell>
          <cell r="G30">
            <v>0</v>
          </cell>
        </row>
        <row r="31">
          <cell r="A31" t="str">
            <v xml:space="preserve"> 248  Сардельки Сочные ТМ Особый рецепт,   ПОКОМ</v>
          </cell>
          <cell r="B31" t="str">
            <v>кг</v>
          </cell>
          <cell r="G31">
            <v>0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B32" t="str">
            <v>кг</v>
          </cell>
          <cell r="C32">
            <v>335.78500000000003</v>
          </cell>
          <cell r="D32">
            <v>3522.3429999999998</v>
          </cell>
          <cell r="E32">
            <v>2102.1689999999999</v>
          </cell>
          <cell r="F32">
            <v>787.02300000000002</v>
          </cell>
          <cell r="G32">
            <v>1</v>
          </cell>
        </row>
        <row r="33">
          <cell r="A33" t="str">
            <v xml:space="preserve"> 253  Сосиски Ганноверские   ПОКОМ</v>
          </cell>
          <cell r="B33" t="str">
            <v>кг</v>
          </cell>
          <cell r="C33">
            <v>-0.23</v>
          </cell>
          <cell r="F33">
            <v>-0.23</v>
          </cell>
          <cell r="G33">
            <v>0</v>
          </cell>
        </row>
        <row r="34">
          <cell r="A34" t="str">
            <v xml:space="preserve"> 255  Сосиски Молочные для завтрака ТМ Особый рецепт, п/а МГС, ВЕС, ТМ Стародворье  ПОКОМ</v>
          </cell>
          <cell r="B34" t="str">
            <v>кг</v>
          </cell>
          <cell r="C34">
            <v>-108.533</v>
          </cell>
          <cell r="D34">
            <v>2319.886</v>
          </cell>
          <cell r="E34">
            <v>1107.7460000000001</v>
          </cell>
          <cell r="F34">
            <v>-999.04399999999998</v>
          </cell>
          <cell r="G34">
            <v>1</v>
          </cell>
        </row>
        <row r="35">
          <cell r="A35" t="str">
            <v xml:space="preserve"> 257  Сосиски Молочные оригинальные ТМ Особый рецепт, ВЕС.   ПОКОМ</v>
          </cell>
          <cell r="B35" t="str">
            <v>кг</v>
          </cell>
          <cell r="G35">
            <v>0</v>
          </cell>
        </row>
        <row r="36">
          <cell r="A36" t="str">
            <v xml:space="preserve"> 263  Шпикачки Стародворские, ВЕС.  ПОКОМ</v>
          </cell>
          <cell r="B36" t="str">
            <v>кг</v>
          </cell>
          <cell r="G36">
            <v>0</v>
          </cell>
        </row>
        <row r="37">
          <cell r="A37" t="str">
            <v xml:space="preserve"> 265  Колбаса Балыкбургская, ВЕС, ТМ Баварушка  ПОКОМ</v>
          </cell>
          <cell r="B37" t="str">
            <v>кг</v>
          </cell>
          <cell r="G37">
            <v>0</v>
          </cell>
        </row>
        <row r="38">
          <cell r="A38" t="str">
            <v xml:space="preserve"> 267  Колбаса Салями Филейбургская зернистая, оболочка фиброуз, ВЕС, ТМ Баварушка  ПОКОМ</v>
          </cell>
          <cell r="B38" t="str">
            <v>кг</v>
          </cell>
          <cell r="G38">
            <v>0</v>
          </cell>
        </row>
        <row r="39">
          <cell r="A39" t="str">
            <v xml:space="preserve"> 273  Сосиски Сочинки с сочной грудинкой, МГС 0.4кг,   ПОКОМ</v>
          </cell>
          <cell r="B39" t="str">
            <v>шт</v>
          </cell>
          <cell r="C39">
            <v>-9</v>
          </cell>
          <cell r="D39">
            <v>7911</v>
          </cell>
          <cell r="E39">
            <v>3271</v>
          </cell>
          <cell r="F39">
            <v>88</v>
          </cell>
          <cell r="G39">
            <v>0.4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B40" t="str">
            <v>шт</v>
          </cell>
          <cell r="C40">
            <v>343.75</v>
          </cell>
          <cell r="D40">
            <v>1060</v>
          </cell>
          <cell r="E40">
            <v>470</v>
          </cell>
          <cell r="F40">
            <v>32.75</v>
          </cell>
          <cell r="G40">
            <v>0.45</v>
          </cell>
        </row>
        <row r="41">
          <cell r="A41" t="str">
            <v xml:space="preserve"> 278  Сосиски Сочинки с сочным окороком, МГС 0.4кг,   ПОКОМ</v>
          </cell>
          <cell r="B41" t="str">
            <v>шт</v>
          </cell>
          <cell r="C41">
            <v>43</v>
          </cell>
          <cell r="D41">
            <v>222</v>
          </cell>
          <cell r="E41">
            <v>231</v>
          </cell>
          <cell r="F41">
            <v>20</v>
          </cell>
          <cell r="G41">
            <v>0.4</v>
          </cell>
        </row>
        <row r="42">
          <cell r="A42" t="str">
            <v xml:space="preserve"> 281  Сосиски Молочные для завтрака ТМ Особый рецепт, 0,4кг  ПОКОМ</v>
          </cell>
          <cell r="B42" t="str">
            <v>шт</v>
          </cell>
          <cell r="C42">
            <v>-13</v>
          </cell>
          <cell r="F42">
            <v>-13</v>
          </cell>
          <cell r="G42">
            <v>0.4</v>
          </cell>
        </row>
        <row r="43">
          <cell r="A43" t="str">
            <v xml:space="preserve"> 283  Сосиски Сочинки, ВЕС, ТМ Стародворье ПОКОМ</v>
          </cell>
          <cell r="B43" t="str">
            <v>кг</v>
          </cell>
          <cell r="C43">
            <v>49.567</v>
          </cell>
          <cell r="D43">
            <v>53.037999999999997</v>
          </cell>
          <cell r="E43">
            <v>71.804000000000002</v>
          </cell>
          <cell r="F43">
            <v>4.282</v>
          </cell>
          <cell r="G43">
            <v>1</v>
          </cell>
        </row>
        <row r="44">
          <cell r="A44" t="str">
            <v xml:space="preserve"> 285  Паштет печеночный со слив.маслом ТМ Стародворье ламистер 0,1 кг  ПОКОМ</v>
          </cell>
          <cell r="B44" t="str">
            <v>шт</v>
          </cell>
          <cell r="C44">
            <v>277</v>
          </cell>
          <cell r="D44">
            <v>117</v>
          </cell>
          <cell r="E44">
            <v>178</v>
          </cell>
          <cell r="F44">
            <v>170</v>
          </cell>
          <cell r="G44">
            <v>0.1</v>
          </cell>
        </row>
        <row r="45">
          <cell r="A45" t="str">
            <v xml:space="preserve"> 296  Колбаса Мясорубская с рубленой грудинкой 0,35кг срез ТМ Стародворье  ПОКОМ</v>
          </cell>
          <cell r="B45" t="str">
            <v>шт</v>
          </cell>
          <cell r="C45">
            <v>-2</v>
          </cell>
          <cell r="E45">
            <v>-12</v>
          </cell>
          <cell r="F45">
            <v>-2</v>
          </cell>
          <cell r="G45">
            <v>0.35</v>
          </cell>
        </row>
        <row r="46">
          <cell r="A46" t="str">
            <v xml:space="preserve"> 297  Колбаса Мясорубская с рубленой грудинкой ВЕС ТМ Стародворье  ПОКОМ</v>
          </cell>
          <cell r="B46" t="str">
            <v>кг</v>
          </cell>
          <cell r="C46">
            <v>25.071999999999999</v>
          </cell>
          <cell r="D46">
            <v>5.8369999999999997</v>
          </cell>
          <cell r="E46">
            <v>10.916</v>
          </cell>
          <cell r="F46">
            <v>14.705</v>
          </cell>
          <cell r="G46">
            <v>1</v>
          </cell>
        </row>
        <row r="47">
          <cell r="A47" t="str">
            <v xml:space="preserve"> 301  Сосиски Сочинки по-баварски с сыром,  0.4кг, ТМ Стародворье  ПОКОМ</v>
          </cell>
          <cell r="B47" t="str">
            <v>шт</v>
          </cell>
          <cell r="C47">
            <v>3</v>
          </cell>
          <cell r="D47">
            <v>184</v>
          </cell>
          <cell r="E47">
            <v>134</v>
          </cell>
          <cell r="F47">
            <v>-36</v>
          </cell>
          <cell r="G47">
            <v>0.4</v>
          </cell>
        </row>
        <row r="48">
          <cell r="A48" t="str">
            <v xml:space="preserve"> 302  Сосиски Сочинки по-баварски,  0.4кг, ТМ Стародворье  ПОКОМ</v>
          </cell>
          <cell r="B48" t="str">
            <v>шт</v>
          </cell>
          <cell r="C48">
            <v>130</v>
          </cell>
          <cell r="D48">
            <v>117</v>
          </cell>
          <cell r="E48">
            <v>176</v>
          </cell>
          <cell r="F48">
            <v>17</v>
          </cell>
          <cell r="G48">
            <v>0.4</v>
          </cell>
        </row>
        <row r="49">
          <cell r="A49" t="str">
            <v xml:space="preserve"> 305  Колбаса Сервелат Мясорубский с мелкорубленным окороком в/у  ТМ Стародворье ВЕС   ПОКОМ</v>
          </cell>
          <cell r="B49" t="str">
            <v>кг</v>
          </cell>
          <cell r="C49">
            <v>24.257000000000001</v>
          </cell>
          <cell r="D49">
            <v>39.506</v>
          </cell>
          <cell r="E49">
            <v>4.3929999999999998</v>
          </cell>
          <cell r="F49">
            <v>46.176000000000002</v>
          </cell>
          <cell r="G49">
            <v>1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B50" t="str">
            <v>шт</v>
          </cell>
          <cell r="C50">
            <v>-16</v>
          </cell>
          <cell r="D50">
            <v>69</v>
          </cell>
          <cell r="E50">
            <v>19</v>
          </cell>
          <cell r="F50">
            <v>-43</v>
          </cell>
          <cell r="G50">
            <v>0.35</v>
          </cell>
        </row>
        <row r="51">
          <cell r="A51" t="str">
            <v xml:space="preserve"> 309  Сосиски Сочинки с сыром 0,4 кг ТМ Стародворье  ПОКОМ</v>
          </cell>
          <cell r="B51" t="str">
            <v>шт</v>
          </cell>
          <cell r="C51">
            <v>245</v>
          </cell>
          <cell r="D51">
            <v>292</v>
          </cell>
          <cell r="E51">
            <v>401</v>
          </cell>
          <cell r="F51">
            <v>68</v>
          </cell>
          <cell r="G51">
            <v>0.4</v>
          </cell>
        </row>
        <row r="52">
          <cell r="A52" t="str">
            <v xml:space="preserve"> 312  Ветчина Филейская ВЕС ТМ  Вязанка ТС Столичная  ПОКОМ</v>
          </cell>
          <cell r="B52" t="str">
            <v>кг</v>
          </cell>
          <cell r="C52">
            <v>74.016000000000005</v>
          </cell>
          <cell r="D52">
            <v>127.64400000000001</v>
          </cell>
          <cell r="E52">
            <v>119.113</v>
          </cell>
          <cell r="F52">
            <v>10.16</v>
          </cell>
          <cell r="G52">
            <v>1</v>
          </cell>
        </row>
        <row r="53">
          <cell r="A53" t="str">
            <v xml:space="preserve"> 315  Колбаса вареная Молокуша ТМ Вязанка ВЕС, ПОКОМ</v>
          </cell>
          <cell r="B53" t="str">
            <v>кг</v>
          </cell>
          <cell r="C53">
            <v>528.10900000000004</v>
          </cell>
          <cell r="D53">
            <v>1336.92</v>
          </cell>
          <cell r="E53">
            <v>506.63400000000001</v>
          </cell>
          <cell r="F53">
            <v>928.71900000000005</v>
          </cell>
          <cell r="G53">
            <v>1</v>
          </cell>
        </row>
        <row r="54">
          <cell r="A54" t="str">
            <v xml:space="preserve"> 318  Сосиски Датские ТМ Зареченские, ВЕС  ПОКОМ</v>
          </cell>
          <cell r="B54" t="str">
            <v>кг</v>
          </cell>
          <cell r="G54">
            <v>0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B55" t="str">
            <v>шт</v>
          </cell>
          <cell r="C55">
            <v>413</v>
          </cell>
          <cell r="D55">
            <v>1136</v>
          </cell>
          <cell r="E55">
            <v>246</v>
          </cell>
          <cell r="F55">
            <v>1225</v>
          </cell>
          <cell r="G55">
            <v>0.45</v>
          </cell>
        </row>
        <row r="56">
          <cell r="A56" t="str">
            <v xml:space="preserve"> 322  Колбаса вареная Молокуша 0,45кг ТМ Вязанка  ПОКОМ</v>
          </cell>
          <cell r="B56" t="str">
            <v>шт</v>
          </cell>
          <cell r="C56">
            <v>718</v>
          </cell>
          <cell r="D56">
            <v>877</v>
          </cell>
          <cell r="E56">
            <v>419</v>
          </cell>
          <cell r="F56">
            <v>1081</v>
          </cell>
          <cell r="G56">
            <v>0.45</v>
          </cell>
        </row>
        <row r="57">
          <cell r="A57" t="str">
            <v xml:space="preserve"> 328  Сардельки Сочинки Стародворье ТМ  0,4 кг ПОКОМ</v>
          </cell>
          <cell r="B57" t="str">
            <v>шт</v>
          </cell>
          <cell r="G57">
            <v>0</v>
          </cell>
        </row>
        <row r="58">
          <cell r="A58" t="str">
            <v xml:space="preserve"> 329  Сардельки Сочинки с сыром Стародворье ТМ, 0,4 кг. ПОКОМ</v>
          </cell>
          <cell r="B58" t="str">
            <v>шт</v>
          </cell>
          <cell r="C58">
            <v>29</v>
          </cell>
          <cell r="D58">
            <v>12</v>
          </cell>
          <cell r="E58">
            <v>41</v>
          </cell>
          <cell r="G58">
            <v>0.4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B59" t="str">
            <v>кг</v>
          </cell>
          <cell r="C59">
            <v>352.69900000000001</v>
          </cell>
          <cell r="D59">
            <v>544.03499999999997</v>
          </cell>
          <cell r="E59">
            <v>529.75199999999995</v>
          </cell>
          <cell r="F59">
            <v>101.809</v>
          </cell>
          <cell r="G59">
            <v>1</v>
          </cell>
        </row>
        <row r="60">
          <cell r="A60" t="str">
            <v xml:space="preserve"> 334  Паштет Любительский ТМ Стародворье ламистер 0,1 кг  ПОКОМ</v>
          </cell>
          <cell r="B60" t="str">
            <v>шт</v>
          </cell>
          <cell r="C60">
            <v>161</v>
          </cell>
          <cell r="D60">
            <v>104</v>
          </cell>
          <cell r="E60">
            <v>106</v>
          </cell>
          <cell r="F60">
            <v>115</v>
          </cell>
          <cell r="G60">
            <v>0.1</v>
          </cell>
        </row>
        <row r="61">
          <cell r="A61" t="str">
            <v xml:space="preserve"> 335  Колбаса Сливушка ТМ Вязанка. ВЕС.  ПОКОМ </v>
          </cell>
          <cell r="B61" t="str">
            <v>кг</v>
          </cell>
          <cell r="C61">
            <v>469.11799999999999</v>
          </cell>
          <cell r="D61">
            <v>520.90700000000004</v>
          </cell>
          <cell r="E61">
            <v>613.62900000000002</v>
          </cell>
          <cell r="F61">
            <v>-5.5869999999999997</v>
          </cell>
          <cell r="G61">
            <v>1</v>
          </cell>
        </row>
        <row r="62">
          <cell r="A62" t="str">
            <v xml:space="preserve"> 336  Ветчина Сливушка с индейкой ТМ Вязанка. ВЕС  ПОКОМ</v>
          </cell>
          <cell r="B62" t="str">
            <v>кг</v>
          </cell>
          <cell r="C62">
            <v>78.688999999999993</v>
          </cell>
          <cell r="D62">
            <v>1.379</v>
          </cell>
          <cell r="E62">
            <v>27.312999999999999</v>
          </cell>
          <cell r="F62">
            <v>44.63</v>
          </cell>
          <cell r="G62">
            <v>1</v>
          </cell>
        </row>
        <row r="63">
          <cell r="A63" t="str">
            <v xml:space="preserve"> 338  Паштет печеночный с морковью ТМ Стародворье ламистер 0,1 кг.  ПОКОМ</v>
          </cell>
          <cell r="B63" t="str">
            <v>шт</v>
          </cell>
          <cell r="C63">
            <v>120</v>
          </cell>
          <cell r="D63">
            <v>103</v>
          </cell>
          <cell r="E63">
            <v>86</v>
          </cell>
          <cell r="F63">
            <v>118</v>
          </cell>
          <cell r="G63">
            <v>0.1</v>
          </cell>
        </row>
        <row r="64">
          <cell r="A64" t="str">
            <v xml:space="preserve"> 339  Колбаса вареная Филейская ТМ Вязанка ТС Классическая, 0,40 кг.  ПОКОМ</v>
          </cell>
          <cell r="B64" t="str">
            <v>шт</v>
          </cell>
          <cell r="C64">
            <v>27</v>
          </cell>
          <cell r="E64">
            <v>1</v>
          </cell>
          <cell r="F64">
            <v>26</v>
          </cell>
          <cell r="G64">
            <v>0.4</v>
          </cell>
        </row>
        <row r="65">
          <cell r="A65" t="str">
            <v xml:space="preserve"> 340  Сосиски Сочинки Молочные ТМ Стародворье, ВЕС ПОКОМ</v>
          </cell>
          <cell r="B65" t="str">
            <v>кг</v>
          </cell>
          <cell r="C65">
            <v>116.74</v>
          </cell>
          <cell r="D65">
            <v>40.253999999999998</v>
          </cell>
          <cell r="E65">
            <v>131.32499999999999</v>
          </cell>
          <cell r="F65">
            <v>-18.573</v>
          </cell>
          <cell r="G65">
            <v>1</v>
          </cell>
        </row>
        <row r="66">
          <cell r="A66" t="str">
            <v xml:space="preserve"> 341 Сосиски Сочинки Сливочные ТМ Стародворье ВЕС ПОКОМ</v>
          </cell>
          <cell r="B66" t="str">
            <v>кг</v>
          </cell>
          <cell r="C66">
            <v>-42.972000000000001</v>
          </cell>
          <cell r="D66">
            <v>77.010999999999996</v>
          </cell>
          <cell r="E66">
            <v>64.293999999999997</v>
          </cell>
          <cell r="F66">
            <v>-75.352000000000004</v>
          </cell>
          <cell r="G66">
            <v>1</v>
          </cell>
        </row>
        <row r="67">
          <cell r="A67" t="str">
            <v xml:space="preserve"> 342 Сосиски Сочинки Молочные ТМ Стародворье 0,4 кг ПОКОМ</v>
          </cell>
          <cell r="B67" t="str">
            <v>шт</v>
          </cell>
          <cell r="C67">
            <v>377</v>
          </cell>
          <cell r="D67">
            <v>1411</v>
          </cell>
          <cell r="E67">
            <v>787</v>
          </cell>
          <cell r="F67">
            <v>676</v>
          </cell>
          <cell r="G67">
            <v>0.4</v>
          </cell>
        </row>
        <row r="68">
          <cell r="A68" t="str">
            <v xml:space="preserve"> 343 Сосиски Сочинки Сливочные ТМ Стародворье  0,4 кг ПОКОМ</v>
          </cell>
          <cell r="B68" t="str">
            <v>шт</v>
          </cell>
          <cell r="C68">
            <v>6</v>
          </cell>
          <cell r="D68">
            <v>233</v>
          </cell>
          <cell r="E68">
            <v>78</v>
          </cell>
          <cell r="F68">
            <v>41</v>
          </cell>
          <cell r="G68">
            <v>0.4</v>
          </cell>
        </row>
        <row r="69">
          <cell r="A69" t="str">
            <v xml:space="preserve"> 344  Колбаса Сочинка по-европейски с сочной грудинкой ТМ Стародворье, ВЕС ПОКОМ</v>
          </cell>
          <cell r="B69" t="str">
            <v>кг</v>
          </cell>
          <cell r="C69">
            <v>93.495999999999995</v>
          </cell>
          <cell r="D69">
            <v>36.293999999999997</v>
          </cell>
          <cell r="E69">
            <v>50.648000000000003</v>
          </cell>
          <cell r="F69">
            <v>35.621000000000002</v>
          </cell>
          <cell r="G69">
            <v>1</v>
          </cell>
        </row>
        <row r="70">
          <cell r="A70" t="str">
            <v xml:space="preserve"> 345  Колбаса Сочинка по-фински с сочным окроком ТМ Стародворье ВЕС ПОКОМ</v>
          </cell>
          <cell r="B70" t="str">
            <v>кг</v>
          </cell>
          <cell r="C70">
            <v>255.90600000000001</v>
          </cell>
          <cell r="D70">
            <v>35.03</v>
          </cell>
          <cell r="E70">
            <v>71.679000000000002</v>
          </cell>
          <cell r="F70">
            <v>160.983</v>
          </cell>
          <cell r="G70">
            <v>1</v>
          </cell>
        </row>
        <row r="71">
          <cell r="A71" t="str">
            <v xml:space="preserve"> 346  Колбаса Сочинка зернистая с сочной грудинкой ТМ Стародворье.ВЕС ПОКОМ</v>
          </cell>
          <cell r="B71" t="str">
            <v>кг</v>
          </cell>
          <cell r="C71">
            <v>417.44900000000001</v>
          </cell>
          <cell r="D71">
            <v>72.203999999999994</v>
          </cell>
          <cell r="E71">
            <v>453.37900000000002</v>
          </cell>
          <cell r="F71">
            <v>-50.08</v>
          </cell>
          <cell r="G71">
            <v>1</v>
          </cell>
        </row>
        <row r="72">
          <cell r="A72" t="str">
            <v xml:space="preserve"> 347  Колбаса Сочинка рубленая с сочным окороком ТМ Стародворье ВЕС ПОКОМ</v>
          </cell>
          <cell r="B72" t="str">
            <v>кг</v>
          </cell>
          <cell r="C72">
            <v>8.6519999999999992</v>
          </cell>
          <cell r="D72">
            <v>36.915999999999997</v>
          </cell>
          <cell r="E72">
            <v>19.942</v>
          </cell>
          <cell r="F72">
            <v>-8.6159999999999997</v>
          </cell>
          <cell r="G72">
            <v>1</v>
          </cell>
        </row>
        <row r="73">
          <cell r="A73" t="str">
            <v xml:space="preserve"> 355  Колбаса Сервелат запеченный ТМ Стародворье ТС Дугушка. 0,6 кг. ПОКОМ</v>
          </cell>
          <cell r="B73" t="str">
            <v>шт</v>
          </cell>
          <cell r="G73">
            <v>0</v>
          </cell>
        </row>
        <row r="74">
          <cell r="A74" t="str">
            <v xml:space="preserve"> 364  Сардельки Филейские Вязанка ВЕС NDX ТМ Вязанка  ПОКОМ</v>
          </cell>
          <cell r="B74" t="str">
            <v>кг</v>
          </cell>
          <cell r="C74">
            <v>533.97799999999995</v>
          </cell>
          <cell r="D74">
            <v>41.185000000000002</v>
          </cell>
          <cell r="E74">
            <v>400.53300000000002</v>
          </cell>
          <cell r="F74">
            <v>76.206999999999994</v>
          </cell>
          <cell r="G74">
            <v>1</v>
          </cell>
        </row>
        <row r="75">
          <cell r="A75" t="str">
            <v xml:space="preserve"> 365  Колбаса Салями Филейбургская зернистая, 0,28 кг срез ТМ Баварушка ПОКОМ</v>
          </cell>
          <cell r="B75" t="str">
            <v>шт</v>
          </cell>
          <cell r="C75">
            <v>-1</v>
          </cell>
          <cell r="F75">
            <v>-1</v>
          </cell>
          <cell r="G75">
            <v>0</v>
          </cell>
        </row>
        <row r="76">
          <cell r="A76" t="str">
            <v xml:space="preserve"> 376  Колбаса Докторская Дугушка 0,6кг ГОСТ ТМ Стародворье  ПОКОМ </v>
          </cell>
          <cell r="B76" t="str">
            <v>шт</v>
          </cell>
          <cell r="C76">
            <v>634</v>
          </cell>
          <cell r="D76">
            <v>850</v>
          </cell>
          <cell r="E76">
            <v>573</v>
          </cell>
          <cell r="F76">
            <v>555</v>
          </cell>
          <cell r="G76">
            <v>0.6</v>
          </cell>
        </row>
        <row r="77">
          <cell r="A77" t="str">
            <v xml:space="preserve"> 377  Колбаса Молочная Дугушка 0,6кг ТМ Стародворье  ПОКОМ</v>
          </cell>
          <cell r="B77" t="str">
            <v>шт</v>
          </cell>
          <cell r="C77">
            <v>649</v>
          </cell>
          <cell r="D77">
            <v>796</v>
          </cell>
          <cell r="E77">
            <v>619</v>
          </cell>
          <cell r="F77">
            <v>538</v>
          </cell>
          <cell r="G77">
            <v>0.6</v>
          </cell>
        </row>
        <row r="78">
          <cell r="A78" t="str">
            <v xml:space="preserve"> 387  Колбаса вареная Мусульманская Халяль ТМ Вязанка, 0,4 кг ПОКОМ</v>
          </cell>
          <cell r="B78" t="str">
            <v>шт</v>
          </cell>
          <cell r="C78">
            <v>40</v>
          </cell>
          <cell r="D78">
            <v>16</v>
          </cell>
          <cell r="E78">
            <v>20</v>
          </cell>
          <cell r="F78">
            <v>35</v>
          </cell>
          <cell r="G78">
            <v>0.4</v>
          </cell>
        </row>
        <row r="79">
          <cell r="A79" t="str">
            <v xml:space="preserve"> 388  Сосиски Восточные Халяль ТМ Вязанка 0,33 кг АК. ПОКОМ</v>
          </cell>
          <cell r="B79" t="str">
            <v>шт</v>
          </cell>
          <cell r="C79">
            <v>1</v>
          </cell>
          <cell r="F79">
            <v>1</v>
          </cell>
          <cell r="G79">
            <v>0</v>
          </cell>
        </row>
        <row r="80">
          <cell r="A80" t="str">
            <v xml:space="preserve"> 394 Колбаса полукопченая Аль-Ислами халяль ТМ Вязанка оболочка фиброуз в в/у 0,35 кг  ПОКОМ</v>
          </cell>
          <cell r="B80" t="str">
            <v>шт</v>
          </cell>
          <cell r="C80">
            <v>64</v>
          </cell>
          <cell r="E80">
            <v>36</v>
          </cell>
          <cell r="F80">
            <v>22</v>
          </cell>
          <cell r="G80">
            <v>0.35</v>
          </cell>
        </row>
        <row r="81">
          <cell r="A81" t="str">
            <v xml:space="preserve"> 395  Колбаса Докторская ГОСТ ТМ Вязанка в оболочке полиамид 0,37 кг. ПОКОМ</v>
          </cell>
          <cell r="B81" t="str">
            <v>шт</v>
          </cell>
          <cell r="C81">
            <v>205</v>
          </cell>
          <cell r="D81">
            <v>93</v>
          </cell>
          <cell r="E81">
            <v>91</v>
          </cell>
          <cell r="F81">
            <v>142</v>
          </cell>
          <cell r="G81">
            <v>0.37</v>
          </cell>
        </row>
        <row r="82">
          <cell r="A82" t="str">
            <v xml:space="preserve"> 397  Ветчина Дугушка ТМ Стародворье ТС Дугушка в полиамидной оболочке 0,6 кг. ПОКОМ</v>
          </cell>
          <cell r="B82" t="str">
            <v>шт</v>
          </cell>
          <cell r="C82">
            <v>404</v>
          </cell>
          <cell r="D82">
            <v>128</v>
          </cell>
          <cell r="E82">
            <v>209</v>
          </cell>
          <cell r="F82">
            <v>261</v>
          </cell>
          <cell r="G82">
            <v>0.6</v>
          </cell>
        </row>
        <row r="83">
          <cell r="A83" t="str">
            <v xml:space="preserve"> 405  Сардельки Сливушки ТМ Вязанка в оболочке айпил 0,33 кг. ПОКОМ</v>
          </cell>
          <cell r="B83" t="str">
            <v>шт</v>
          </cell>
          <cell r="C83">
            <v>133</v>
          </cell>
          <cell r="D83">
            <v>362</v>
          </cell>
          <cell r="E83">
            <v>310</v>
          </cell>
          <cell r="F83">
            <v>36</v>
          </cell>
          <cell r="G83">
            <v>0.33</v>
          </cell>
        </row>
        <row r="84">
          <cell r="A84" t="str">
            <v xml:space="preserve"> 408  Ветчина Сливушка с индейкой ТМ Вязанка, 0,4кг  ПОКОМ</v>
          </cell>
          <cell r="B84" t="str">
            <v>шт</v>
          </cell>
          <cell r="C84">
            <v>118</v>
          </cell>
          <cell r="D84">
            <v>25</v>
          </cell>
          <cell r="E84">
            <v>56</v>
          </cell>
          <cell r="F84">
            <v>80</v>
          </cell>
          <cell r="G84">
            <v>0.4</v>
          </cell>
        </row>
        <row r="85">
          <cell r="A85" t="str">
            <v xml:space="preserve"> 410  Сосиски Баварские с сыром ТМ Стародворье 0,35 кг. ПОКОМ</v>
          </cell>
          <cell r="B85" t="str">
            <v>шт</v>
          </cell>
          <cell r="C85">
            <v>298</v>
          </cell>
          <cell r="D85">
            <v>65</v>
          </cell>
          <cell r="E85">
            <v>286</v>
          </cell>
          <cell r="F85">
            <v>21</v>
          </cell>
          <cell r="G85">
            <v>0.35</v>
          </cell>
        </row>
        <row r="86">
          <cell r="A86" t="str">
            <v xml:space="preserve"> 412  Сосиски Баварские ТМ Стародворье 0,35 кг ПОКОМ</v>
          </cell>
          <cell r="B86" t="str">
            <v>шт</v>
          </cell>
          <cell r="C86">
            <v>51</v>
          </cell>
          <cell r="D86">
            <v>397</v>
          </cell>
          <cell r="E86">
            <v>246</v>
          </cell>
          <cell r="F86">
            <v>2</v>
          </cell>
          <cell r="G86">
            <v>0.35</v>
          </cell>
        </row>
        <row r="87">
          <cell r="A87" t="str">
            <v xml:space="preserve"> 425 Сосиски Сливочные Вязанка Сливушки Весовые П/а мгс Вязанка  Поком</v>
          </cell>
          <cell r="B87" t="str">
            <v>кг</v>
          </cell>
          <cell r="C87">
            <v>-5.4409999999999998</v>
          </cell>
          <cell r="F87">
            <v>-5.4409999999999998</v>
          </cell>
          <cell r="G87">
            <v>0</v>
          </cell>
        </row>
        <row r="88">
          <cell r="A88" t="str">
            <v xml:space="preserve"> 430  Колбаса Стародворская с окороком 0,4 кг. ТМ Стародворье в оболочке полиамид  ПОКОМ</v>
          </cell>
          <cell r="B88" t="str">
            <v>шт</v>
          </cell>
          <cell r="C88">
            <v>103</v>
          </cell>
          <cell r="F88">
            <v>102</v>
          </cell>
          <cell r="G88">
            <v>0.4</v>
          </cell>
        </row>
        <row r="89">
          <cell r="A89" t="str">
            <v xml:space="preserve"> 433 Колбаса Стародворская со шпиком  в оболочке полиамид. ТМ Стародворье ВЕС ПОКОМ</v>
          </cell>
          <cell r="B89" t="str">
            <v>кг</v>
          </cell>
          <cell r="C89">
            <v>17.829999999999998</v>
          </cell>
          <cell r="D89">
            <v>11.706</v>
          </cell>
          <cell r="E89">
            <v>4.2750000000000004</v>
          </cell>
          <cell r="F89">
            <v>25.260999999999999</v>
          </cell>
          <cell r="G89">
            <v>1</v>
          </cell>
        </row>
        <row r="90">
          <cell r="A90" t="str">
            <v xml:space="preserve"> 436  Колбаса Молочная стародворская с молоком, ВЕС, ТМ Стародворье  ПОКОМ</v>
          </cell>
          <cell r="B90" t="str">
            <v>кг</v>
          </cell>
          <cell r="G90">
            <v>0</v>
          </cell>
        </row>
        <row r="91">
          <cell r="A91" t="str">
            <v xml:space="preserve"> 449  Колбаса Дугушка Стародворская ВЕС ТС Дугушка ПОКОМ</v>
          </cell>
          <cell r="B91" t="str">
            <v>кг</v>
          </cell>
          <cell r="C91">
            <v>3830.933</v>
          </cell>
          <cell r="D91">
            <v>6815.2870000000003</v>
          </cell>
          <cell r="E91">
            <v>2413.9920000000002</v>
          </cell>
          <cell r="F91">
            <v>7634.3429999999998</v>
          </cell>
          <cell r="G91">
            <v>1</v>
          </cell>
        </row>
        <row r="92">
          <cell r="A92" t="str">
            <v xml:space="preserve"> 451 Сосиски Филейские ТМ Вязанка в оболочке целлофан 0,3 кг. ПОКОМ</v>
          </cell>
          <cell r="B92" t="str">
            <v>шт</v>
          </cell>
          <cell r="C92">
            <v>209</v>
          </cell>
          <cell r="D92">
            <v>237</v>
          </cell>
          <cell r="E92">
            <v>181</v>
          </cell>
          <cell r="F92">
            <v>159</v>
          </cell>
          <cell r="G92">
            <v>0.3</v>
          </cell>
        </row>
        <row r="93">
          <cell r="A93" t="str">
            <v xml:space="preserve"> 452  Колбаса Со шпиком ВЕС большой батон ТМ Особый рецепт  ПОКОМ</v>
          </cell>
          <cell r="B93" t="str">
            <v>кг</v>
          </cell>
          <cell r="C93">
            <v>1288.278</v>
          </cell>
          <cell r="D93">
            <v>4608.9369999999999</v>
          </cell>
          <cell r="E93">
            <v>1077</v>
          </cell>
          <cell r="F93">
            <v>4541.107</v>
          </cell>
          <cell r="G93">
            <v>1</v>
          </cell>
        </row>
        <row r="94">
          <cell r="A94" t="str">
            <v xml:space="preserve"> 456  Колбаса Филейная ТМ Особый рецепт ВЕС большой батон  ПОКОМ</v>
          </cell>
          <cell r="B94" t="str">
            <v>кг</v>
          </cell>
          <cell r="C94">
            <v>3409.498</v>
          </cell>
          <cell r="D94">
            <v>4149.6710000000003</v>
          </cell>
          <cell r="E94">
            <v>2117.5949999999998</v>
          </cell>
          <cell r="F94">
            <v>3004.3429999999998</v>
          </cell>
          <cell r="G94">
            <v>1</v>
          </cell>
        </row>
        <row r="95">
          <cell r="A95" t="str">
            <v xml:space="preserve"> 457  Колбаса Молочная ТМ Особый рецепт ВЕС большой батон  ПОКОМ</v>
          </cell>
          <cell r="B95" t="str">
            <v>кг</v>
          </cell>
          <cell r="C95">
            <v>6552.2209999999995</v>
          </cell>
          <cell r="D95">
            <v>3156.9839999999999</v>
          </cell>
          <cell r="E95">
            <v>2907.8069999999998</v>
          </cell>
          <cell r="F95">
            <v>4663.616</v>
          </cell>
          <cell r="G95">
            <v>1</v>
          </cell>
        </row>
        <row r="96">
          <cell r="A96" t="str">
            <v xml:space="preserve"> 460  Колбаса Стародворская Традиционная ВЕС ТМ Стародворье в оболочке полиамид. ПОКОМ</v>
          </cell>
          <cell r="B96" t="str">
            <v>кг</v>
          </cell>
          <cell r="C96">
            <v>54.01</v>
          </cell>
          <cell r="D96">
            <v>4.1219999999999999</v>
          </cell>
          <cell r="E96">
            <v>22.381</v>
          </cell>
          <cell r="F96">
            <v>29.616</v>
          </cell>
          <cell r="G96">
            <v>1</v>
          </cell>
        </row>
        <row r="97">
          <cell r="A97" t="str">
            <v xml:space="preserve"> 463  Колбаса Молочная Традиционнаяв оболочке полиамид.ТМ Стародворье. ВЕС ПОКОМ</v>
          </cell>
          <cell r="B97" t="str">
            <v>кг</v>
          </cell>
          <cell r="C97">
            <v>-1.36</v>
          </cell>
          <cell r="F97">
            <v>-1.36</v>
          </cell>
          <cell r="G97">
            <v>0</v>
          </cell>
        </row>
        <row r="98">
          <cell r="A98" t="str">
            <v xml:space="preserve"> 485  Колбаса Молочная по-стародворски ТМ Стародворье в оболочке полиамид. ВЕС ПОКОМ </v>
          </cell>
          <cell r="B98" t="str">
            <v>кг</v>
          </cell>
          <cell r="C98">
            <v>-2.5960000000000001</v>
          </cell>
          <cell r="E98">
            <v>-2.3610000000000002</v>
          </cell>
          <cell r="F98">
            <v>-2.5960000000000001</v>
          </cell>
          <cell r="G98">
            <v>0</v>
          </cell>
        </row>
        <row r="99">
          <cell r="A99" t="str">
            <v xml:space="preserve"> 498  Колбаса Сочинка рубленая с сочным окороком 0,3кг ТМ Стародворье  ПОКОМ</v>
          </cell>
          <cell r="B99" t="str">
            <v>шт</v>
          </cell>
          <cell r="C99">
            <v>-3</v>
          </cell>
          <cell r="E99">
            <v>-2</v>
          </cell>
          <cell r="F99">
            <v>-3</v>
          </cell>
          <cell r="G99">
            <v>0.3</v>
          </cell>
        </row>
        <row r="100">
          <cell r="A100" t="str">
            <v xml:space="preserve"> 517  Сосиски С сыром ТМ Ядрена копоть 0,3кг  ПОКОМ</v>
          </cell>
          <cell r="B100" t="str">
            <v>шт</v>
          </cell>
          <cell r="C100">
            <v>171</v>
          </cell>
          <cell r="D100">
            <v>4</v>
          </cell>
          <cell r="E100">
            <v>34</v>
          </cell>
          <cell r="F100">
            <v>135</v>
          </cell>
          <cell r="G100">
            <v>0.3</v>
          </cell>
        </row>
        <row r="101">
          <cell r="A101" t="str">
            <v xml:space="preserve"> 523  Колбаса Сальчичон нарезка 0,07кг ТМ Стародворье  ПОКОМ </v>
          </cell>
          <cell r="B101" t="str">
            <v>шт</v>
          </cell>
          <cell r="C101">
            <v>339</v>
          </cell>
          <cell r="D101">
            <v>26</v>
          </cell>
          <cell r="E101">
            <v>229</v>
          </cell>
          <cell r="F101">
            <v>80</v>
          </cell>
          <cell r="G101">
            <v>7.0000000000000007E-2</v>
          </cell>
        </row>
        <row r="102">
          <cell r="A102" t="str">
            <v xml:space="preserve"> 524  Колбаса Сервелат Ореховый нарезка 0,07кг ТМ Стародворье  ПОКОМ</v>
          </cell>
          <cell r="B102" t="str">
            <v>шт</v>
          </cell>
          <cell r="C102">
            <v>259</v>
          </cell>
          <cell r="D102">
            <v>22</v>
          </cell>
          <cell r="E102">
            <v>259</v>
          </cell>
          <cell r="F102">
            <v>-24</v>
          </cell>
          <cell r="G102">
            <v>7.0000000000000007E-2</v>
          </cell>
        </row>
        <row r="103">
          <cell r="A103" t="str">
            <v xml:space="preserve"> 525  Колбаса Фуэт нарезка 0,07кг ТМ Стародворье  ПОКОМ</v>
          </cell>
          <cell r="B103" t="str">
            <v>шт</v>
          </cell>
          <cell r="C103">
            <v>311</v>
          </cell>
          <cell r="D103">
            <v>17</v>
          </cell>
          <cell r="E103">
            <v>210</v>
          </cell>
          <cell r="F103">
            <v>72</v>
          </cell>
          <cell r="G103">
            <v>7.0000000000000007E-2</v>
          </cell>
        </row>
        <row r="104">
          <cell r="A104" t="str">
            <v xml:space="preserve"> 526  Корейка вяленая выдержанная нарезка 0,05кг ТМ Стародворье  ПОКОМ</v>
          </cell>
          <cell r="B104" t="str">
            <v>шт</v>
          </cell>
          <cell r="C104">
            <v>-11</v>
          </cell>
          <cell r="D104">
            <v>25</v>
          </cell>
          <cell r="E104">
            <v>-1</v>
          </cell>
          <cell r="F104">
            <v>4</v>
          </cell>
          <cell r="G104">
            <v>0</v>
          </cell>
        </row>
        <row r="105">
          <cell r="A105" t="str">
            <v xml:space="preserve"> 544  Сосиски Мясные для гриля ТС Ядрена копоть 0,3 кг  ПОКОМ</v>
          </cell>
          <cell r="B105" t="str">
            <v>шт</v>
          </cell>
          <cell r="C105">
            <v>13</v>
          </cell>
          <cell r="D105">
            <v>43</v>
          </cell>
          <cell r="E105">
            <v>6</v>
          </cell>
          <cell r="F105">
            <v>22</v>
          </cell>
          <cell r="G105">
            <v>0.3</v>
          </cell>
        </row>
        <row r="106">
          <cell r="A106" t="str">
            <v xml:space="preserve"> 547  Колбаса Мясная Классическая ТМ Вязанка в оболочке полиамид. ВЕС  ПОКОМ</v>
          </cell>
          <cell r="B106" t="str">
            <v>кг</v>
          </cell>
          <cell r="C106">
            <v>21.556999999999999</v>
          </cell>
          <cell r="E106">
            <v>17.523</v>
          </cell>
          <cell r="F106">
            <v>-0.76600000000000001</v>
          </cell>
          <cell r="G106">
            <v>1</v>
          </cell>
        </row>
        <row r="107">
          <cell r="A107" t="str">
            <v xml:space="preserve"> 551  Колбаса Сливушка ТМ Вязанка в модифицированной газовой среде 0,11 кг нарезка  ПОКОМ</v>
          </cell>
          <cell r="B107" t="str">
            <v>шт</v>
          </cell>
          <cell r="C107">
            <v>122</v>
          </cell>
          <cell r="D107">
            <v>88</v>
          </cell>
          <cell r="E107">
            <v>58</v>
          </cell>
          <cell r="F107">
            <v>90</v>
          </cell>
          <cell r="G107">
            <v>0.11</v>
          </cell>
        </row>
        <row r="108">
          <cell r="A108" t="str">
            <v xml:space="preserve"> 552  Ветчина Сливушка с индейкой ТМ Вязанка в модифицированной газовой среде 0,1 кг нарезка  ПОКОМ</v>
          </cell>
          <cell r="B108" t="str">
            <v>шт</v>
          </cell>
          <cell r="G108">
            <v>0</v>
          </cell>
        </row>
        <row r="109">
          <cell r="A109" t="str">
            <v xml:space="preserve"> 553  Ассорти колбас Мясорубская коллекция: Сервелат Делюкс, С балыком 0,08 кг нарезка  ПОКОМ</v>
          </cell>
          <cell r="B109" t="str">
            <v>шт</v>
          </cell>
          <cell r="C109">
            <v>588</v>
          </cell>
          <cell r="D109">
            <v>72</v>
          </cell>
          <cell r="E109">
            <v>276</v>
          </cell>
          <cell r="F109">
            <v>260</v>
          </cell>
          <cell r="G109">
            <v>0.08</v>
          </cell>
        </row>
        <row r="110">
          <cell r="A110" t="str">
            <v xml:space="preserve"> 554  Колбаса Сервелат Мясорубский ТМ Стародворье в упаковке скин 0,08 кг нарезка  ПОКОМ</v>
          </cell>
          <cell r="B110" t="str">
            <v>шт</v>
          </cell>
          <cell r="C110">
            <v>201</v>
          </cell>
          <cell r="D110">
            <v>202</v>
          </cell>
          <cell r="E110">
            <v>210</v>
          </cell>
          <cell r="F110">
            <v>62</v>
          </cell>
          <cell r="G110">
            <v>0.08</v>
          </cell>
        </row>
        <row r="111">
          <cell r="A111" t="str">
            <v xml:space="preserve"> 555  Колбаса Молокуша ТМ Вязанка в модифицированной газовой среде 0,17 кг нарезка  ПОКОМ</v>
          </cell>
          <cell r="B111" t="str">
            <v>шт</v>
          </cell>
          <cell r="C111">
            <v>166</v>
          </cell>
          <cell r="D111">
            <v>45</v>
          </cell>
          <cell r="E111">
            <v>96</v>
          </cell>
          <cell r="F111">
            <v>44</v>
          </cell>
          <cell r="G111">
            <v>0.17</v>
          </cell>
        </row>
        <row r="112">
          <cell r="A112" t="str">
            <v xml:space="preserve"> 556  Колбаса Сервелат Ореховый ТМ Вязанка в оболочке фиброуз в вакуумной упаковке, ВЕС  ПОКОМ</v>
          </cell>
          <cell r="B112" t="str">
            <v>кг</v>
          </cell>
          <cell r="C112">
            <v>-14.106999999999999</v>
          </cell>
          <cell r="D112">
            <v>122.328</v>
          </cell>
          <cell r="E112">
            <v>113.964</v>
          </cell>
          <cell r="F112">
            <v>-15.88</v>
          </cell>
          <cell r="G112">
            <v>1</v>
          </cell>
        </row>
        <row r="113">
          <cell r="A113" t="str">
            <v xml:space="preserve"> 557  Колбаса Сервелат Финский ТМ Вязанка в оболочке фиброуз в вакуумной упаковке, ВЕС  ПОКОМ</v>
          </cell>
          <cell r="B113" t="str">
            <v>кг</v>
          </cell>
          <cell r="C113">
            <v>62.332000000000001</v>
          </cell>
          <cell r="D113">
            <v>145.571</v>
          </cell>
          <cell r="E113">
            <v>91.957999999999998</v>
          </cell>
          <cell r="F113">
            <v>53.215000000000003</v>
          </cell>
          <cell r="G113">
            <v>1</v>
          </cell>
        </row>
        <row r="114">
          <cell r="A114" t="str">
            <v xml:space="preserve"> 558  Колбаса Балыковая НОВАЯ ВЕС Вязанка фиброуз в/у ПОКОМ</v>
          </cell>
          <cell r="B114" t="str">
            <v>кг</v>
          </cell>
          <cell r="C114">
            <v>21.577000000000002</v>
          </cell>
          <cell r="D114">
            <v>34.484999999999999</v>
          </cell>
          <cell r="E114">
            <v>31.628</v>
          </cell>
          <cell r="F114">
            <v>-7.9059999999999997</v>
          </cell>
          <cell r="G114">
            <v>1</v>
          </cell>
        </row>
        <row r="115">
          <cell r="A115" t="str">
            <v xml:space="preserve"> 564  Сосиски Сочные 0,3 кг ТМ Вязанка  ПОКОМ</v>
          </cell>
          <cell r="B115" t="str">
            <v>шт</v>
          </cell>
          <cell r="C115">
            <v>11</v>
          </cell>
          <cell r="E115">
            <v>6</v>
          </cell>
          <cell r="F115">
            <v>5</v>
          </cell>
          <cell r="G115">
            <v>0.3</v>
          </cell>
        </row>
        <row r="116">
          <cell r="A116" t="str">
            <v xml:space="preserve"> 567 Колбаса Со шпиком Стародворская ТМ Стародворье в оболочке полиамид ВЕС  ПОКОМ</v>
          </cell>
          <cell r="B116" t="str">
            <v>кг</v>
          </cell>
          <cell r="C116">
            <v>19.491</v>
          </cell>
          <cell r="D116">
            <v>2.7040000000000002</v>
          </cell>
          <cell r="E116">
            <v>1.3839999999999999</v>
          </cell>
          <cell r="F116">
            <v>16.677</v>
          </cell>
          <cell r="G116">
            <v>1</v>
          </cell>
        </row>
        <row r="117">
          <cell r="A117" t="str">
            <v xml:space="preserve"> 569  Колбаса Балыковая ТМ Вязанка в оболочке фиброуз в вакуумной упаковке 0,28 кг срез.  ПОКОМ</v>
          </cell>
          <cell r="B117" t="str">
            <v>шт</v>
          </cell>
          <cell r="C117">
            <v>223</v>
          </cell>
          <cell r="D117">
            <v>51</v>
          </cell>
          <cell r="E117">
            <v>138</v>
          </cell>
          <cell r="F117">
            <v>81</v>
          </cell>
          <cell r="G117">
            <v>0.28000000000000003</v>
          </cell>
        </row>
        <row r="118">
          <cell r="A118" t="str">
            <v xml:space="preserve"> 570  Колбаса Сервелат Финский ТМ Вязанка в оболочке фиброуз в вак. упаковке 0,28 кг срез  ПОКОМ</v>
          </cell>
          <cell r="B118" t="str">
            <v>шт</v>
          </cell>
          <cell r="C118">
            <v>-3.274</v>
          </cell>
          <cell r="F118">
            <v>-11.273999999999999</v>
          </cell>
          <cell r="G118">
            <v>0.28000000000000003</v>
          </cell>
        </row>
        <row r="119">
          <cell r="A119" t="str">
            <v xml:space="preserve"> 571  Колбаса Сервелат Ореховый ТМ Вязанка в оболочке фиброуз в вак. упаковке 0,28 кг срез  ПОКОМ</v>
          </cell>
          <cell r="B119" t="str">
            <v>шт</v>
          </cell>
          <cell r="C119">
            <v>118.5</v>
          </cell>
          <cell r="D119">
            <v>66</v>
          </cell>
          <cell r="E119">
            <v>130</v>
          </cell>
          <cell r="F119">
            <v>5.5</v>
          </cell>
          <cell r="G119">
            <v>0.28000000000000003</v>
          </cell>
        </row>
        <row r="120">
          <cell r="A120" t="str">
            <v xml:space="preserve"> 574  Колбаса Сервелат Финский ТМ Вязанка в упаковке скин 0,09 кг нарезка  ПОКОМ</v>
          </cell>
          <cell r="B120" t="str">
            <v>шт</v>
          </cell>
          <cell r="C120">
            <v>67</v>
          </cell>
          <cell r="D120">
            <v>210</v>
          </cell>
          <cell r="E120">
            <v>163</v>
          </cell>
          <cell r="F120">
            <v>9</v>
          </cell>
          <cell r="G120">
            <v>0.09</v>
          </cell>
        </row>
        <row r="121">
          <cell r="A121" t="str">
            <v xml:space="preserve"> 577  Колбаса Молочная Стародворская ТМ Стародворье в оболочке полиамид НД ВЕС.  ПОКОМ</v>
          </cell>
          <cell r="B121" t="str">
            <v>кг</v>
          </cell>
          <cell r="C121">
            <v>-0.09</v>
          </cell>
          <cell r="F121">
            <v>-0.09</v>
          </cell>
          <cell r="G121">
            <v>0</v>
          </cell>
        </row>
        <row r="122">
          <cell r="A122" t="str">
            <v xml:space="preserve"> 579  Колбаса Ветчинно-рубленая ТМ Особый рецепт в оболочке полиамид.ВЕС  ПОКОМ</v>
          </cell>
          <cell r="B122" t="str">
            <v>кг</v>
          </cell>
          <cell r="C122">
            <v>83.322999999999993</v>
          </cell>
          <cell r="E122">
            <v>30.452999999999999</v>
          </cell>
          <cell r="F122">
            <v>52.87</v>
          </cell>
          <cell r="G122">
            <v>1</v>
          </cell>
        </row>
        <row r="123">
          <cell r="A123" t="str">
            <v xml:space="preserve"> 580  Ветчина Нежная с индейкой ТМ Особый рецепт в оболочке полиамид.ВЕС  ПОКОМ</v>
          </cell>
          <cell r="B123" t="str">
            <v>кг</v>
          </cell>
          <cell r="C123">
            <v>38.676000000000002</v>
          </cell>
          <cell r="E123">
            <v>19.943000000000001</v>
          </cell>
          <cell r="F123">
            <v>16.259</v>
          </cell>
          <cell r="G123">
            <v>1</v>
          </cell>
        </row>
        <row r="124">
          <cell r="A124" t="str">
            <v xml:space="preserve"> 583  Колбаса Балыковая ТМ Вязанка в упаковке скин 0,09 кг нарезка  ПОКОМ</v>
          </cell>
          <cell r="B124" t="str">
            <v>шт</v>
          </cell>
          <cell r="C124">
            <v>258</v>
          </cell>
          <cell r="D124">
            <v>5</v>
          </cell>
          <cell r="E124">
            <v>212</v>
          </cell>
          <cell r="F124">
            <v>10</v>
          </cell>
          <cell r="G124">
            <v>0.09</v>
          </cell>
        </row>
        <row r="125">
          <cell r="A125" t="str">
            <v xml:space="preserve"> 584  Колбаса Сервелат Ореховый ТМ Вязанка в упаковке скин 0,09 кг нарезка  ПОКОМ</v>
          </cell>
          <cell r="B125" t="str">
            <v>шт</v>
          </cell>
          <cell r="C125">
            <v>247</v>
          </cell>
          <cell r="D125">
            <v>2</v>
          </cell>
          <cell r="E125">
            <v>199</v>
          </cell>
          <cell r="F125">
            <v>15</v>
          </cell>
          <cell r="G125">
            <v>0.09</v>
          </cell>
        </row>
        <row r="126">
          <cell r="A126" t="str">
            <v xml:space="preserve"> 585  Колбаса Молочная ТМ Стародворье в оболочке вектор НД ВЕС.  ПОКОМ</v>
          </cell>
          <cell r="B126" t="str">
            <v>кг</v>
          </cell>
          <cell r="C126">
            <v>183.25299999999999</v>
          </cell>
          <cell r="D126">
            <v>168.37200000000001</v>
          </cell>
          <cell r="E126">
            <v>115.01900000000001</v>
          </cell>
          <cell r="F126">
            <v>186.339</v>
          </cell>
          <cell r="G126">
            <v>1</v>
          </cell>
        </row>
        <row r="127">
          <cell r="A127" t="str">
            <v xml:space="preserve"> 586  Колбаса Мясная ТМ Стародворье в оболочке вектор НД ВЕС.  ПОКОМ</v>
          </cell>
          <cell r="B127" t="str">
            <v>кг</v>
          </cell>
          <cell r="C127">
            <v>818.53700000000003</v>
          </cell>
          <cell r="D127">
            <v>830.11599999999999</v>
          </cell>
          <cell r="E127">
            <v>588.71199999999999</v>
          </cell>
          <cell r="F127">
            <v>907.375</v>
          </cell>
          <cell r="G127">
            <v>1</v>
          </cell>
        </row>
        <row r="128">
          <cell r="A128" t="str">
            <v xml:space="preserve"> 588 Колбаса Со шпиком ТМ Стародворье в оболочке вектор ВЕС  ПОКОМ</v>
          </cell>
          <cell r="B128" t="str">
            <v>кг</v>
          </cell>
          <cell r="C128">
            <v>143.08799999999999</v>
          </cell>
          <cell r="D128">
            <v>6.82</v>
          </cell>
          <cell r="E128">
            <v>76.468000000000004</v>
          </cell>
          <cell r="F128">
            <v>50.316000000000003</v>
          </cell>
          <cell r="G128">
            <v>1</v>
          </cell>
        </row>
        <row r="129">
          <cell r="A129" t="str">
            <v xml:space="preserve"> 597  Колбаса Классическая ТМ Особый рецепт в оболочке полиамид ВЕС. ПОКОМ</v>
          </cell>
          <cell r="B129" t="str">
            <v>кг</v>
          </cell>
          <cell r="C129">
            <v>1541.306</v>
          </cell>
          <cell r="D129">
            <v>1859.117</v>
          </cell>
          <cell r="E129">
            <v>921.09399999999994</v>
          </cell>
          <cell r="F129">
            <v>2257.1770000000001</v>
          </cell>
          <cell r="G129">
            <v>1</v>
          </cell>
        </row>
        <row r="130">
          <cell r="A130" t="str">
            <v xml:space="preserve"> 614  Буженина в пряном маринаде 0,25 кг консервы из мяса индейки ТМ Стародворье  ПОКОМ</v>
          </cell>
          <cell r="B130" t="str">
            <v>шт</v>
          </cell>
          <cell r="C130">
            <v>42</v>
          </cell>
          <cell r="D130">
            <v>50</v>
          </cell>
          <cell r="E130">
            <v>18</v>
          </cell>
          <cell r="F130">
            <v>69</v>
          </cell>
          <cell r="G130">
            <v>0.25</v>
          </cell>
        </row>
        <row r="131">
          <cell r="A131" t="str">
            <v xml:space="preserve"> 615  Гречка по-купечески с говядиной и овощами 0,325кг ТМ Стародворье  ПОКОМ</v>
          </cell>
          <cell r="B131" t="str">
            <v>шт</v>
          </cell>
          <cell r="C131">
            <v>55</v>
          </cell>
          <cell r="E131">
            <v>14</v>
          </cell>
          <cell r="F131">
            <v>80</v>
          </cell>
          <cell r="G131">
            <v>0.32500000000000001</v>
          </cell>
        </row>
        <row r="132">
          <cell r="A132" t="str">
            <v xml:space="preserve"> 616  Индейка томлёная в собственном соку 0,25кг ТМ Стародлворье Консервый из мяс.птицы  ПОКОМ</v>
          </cell>
          <cell r="B132" t="str">
            <v>шт</v>
          </cell>
          <cell r="C132">
            <v>111</v>
          </cell>
          <cell r="D132">
            <v>3</v>
          </cell>
          <cell r="E132">
            <v>40</v>
          </cell>
          <cell r="F132">
            <v>63</v>
          </cell>
          <cell r="G132">
            <v>0.25</v>
          </cell>
        </row>
        <row r="133">
          <cell r="A133" t="str">
            <v>495  Колбаса Сочинка по-европейски с сочной грудинкой 0,3кг ТМ Стародворье  ПОКОМ</v>
          </cell>
          <cell r="B133" t="str">
            <v>шт</v>
          </cell>
          <cell r="C133">
            <v>36</v>
          </cell>
          <cell r="E133">
            <v>-2</v>
          </cell>
          <cell r="F133">
            <v>35</v>
          </cell>
          <cell r="G133">
            <v>0.3</v>
          </cell>
        </row>
        <row r="134">
          <cell r="A134" t="str">
            <v>496  Колбаса Сочинка по-фински с сочным окроком 0,3кг ТМ Стародворье  ПОКОМ</v>
          </cell>
          <cell r="B134" t="str">
            <v>шт</v>
          </cell>
          <cell r="C134">
            <v>-11</v>
          </cell>
          <cell r="E134">
            <v>-1</v>
          </cell>
          <cell r="F134">
            <v>-17</v>
          </cell>
          <cell r="G134">
            <v>0.3</v>
          </cell>
        </row>
        <row r="135">
          <cell r="A135" t="str">
            <v>503 Колбаса Филейская со шпиком ТМ Вязанка в оболочке полиамид.ПОКОМ</v>
          </cell>
          <cell r="B135" t="str">
            <v>кг</v>
          </cell>
          <cell r="C135">
            <v>123.35299999999999</v>
          </cell>
          <cell r="D135">
            <v>1.345</v>
          </cell>
          <cell r="E135">
            <v>53.877000000000002</v>
          </cell>
          <cell r="F135">
            <v>64.111999999999995</v>
          </cell>
          <cell r="G135">
            <v>1</v>
          </cell>
        </row>
        <row r="136">
          <cell r="A136" t="str">
            <v>515  Колбаса Сервелат Мясорубский Делюкс 0,3кг ТМ Стародворье  ПОКОМ</v>
          </cell>
          <cell r="B136" t="str">
            <v>шт</v>
          </cell>
          <cell r="C136">
            <v>3</v>
          </cell>
          <cell r="D136">
            <v>25</v>
          </cell>
          <cell r="E136">
            <v>13</v>
          </cell>
          <cell r="F136">
            <v>2</v>
          </cell>
          <cell r="G136">
            <v>0.3</v>
          </cell>
        </row>
        <row r="137">
          <cell r="A137" t="str">
            <v>519  Грудинка 0,12 кг нарезка ТМ Стародворье  ПОКОМ</v>
          </cell>
          <cell r="B137" t="str">
            <v>шт</v>
          </cell>
          <cell r="C137">
            <v>104</v>
          </cell>
          <cell r="D137">
            <v>45</v>
          </cell>
          <cell r="E137">
            <v>40</v>
          </cell>
          <cell r="F137">
            <v>96</v>
          </cell>
          <cell r="G137">
            <v>0.12</v>
          </cell>
        </row>
        <row r="138">
          <cell r="A138" t="str">
            <v>БОНУС_615  Гречка по-купечески с говядиной и овощами 0,325кг ТМ Стародворье  ПОКОМ</v>
          </cell>
          <cell r="B138" t="str">
            <v>шт</v>
          </cell>
          <cell r="C138">
            <v>43</v>
          </cell>
          <cell r="D138">
            <v>1</v>
          </cell>
          <cell r="E138">
            <v>12</v>
          </cell>
          <cell r="F138">
            <v>30</v>
          </cell>
          <cell r="G13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3"/>
  <sheetViews>
    <sheetView tabSelected="1" workbookViewId="0">
      <selection activeCell="F6" sqref="F6"/>
    </sheetView>
  </sheetViews>
  <sheetFormatPr defaultRowHeight="15" x14ac:dyDescent="0.25"/>
  <cols>
    <col min="1" max="1" width="101" bestFit="1" customWidth="1"/>
  </cols>
  <sheetData>
    <row r="1" spans="1:3" x14ac:dyDescent="0.25">
      <c r="A1" t="s">
        <v>0</v>
      </c>
      <c r="B1">
        <v>0</v>
      </c>
      <c r="C1">
        <f>B1/VLOOKUP(A1,[1]Sheet!$A:$G,7,0)</f>
        <v>0</v>
      </c>
    </row>
    <row r="2" spans="1:3" x14ac:dyDescent="0.25">
      <c r="A2" t="s">
        <v>1</v>
      </c>
      <c r="B2">
        <v>1032</v>
      </c>
      <c r="C2">
        <f>B2/VLOOKUP(A2,[1]Sheet!$A:$G,7,0)</f>
        <v>1032</v>
      </c>
    </row>
    <row r="3" spans="1:3" x14ac:dyDescent="0.25">
      <c r="A3" t="s">
        <v>2</v>
      </c>
      <c r="B3">
        <v>1376</v>
      </c>
      <c r="C3">
        <f>B3/VLOOKUP(A3,[1]Sheet!$A:$G,7,0)</f>
        <v>1376</v>
      </c>
    </row>
    <row r="4" spans="1:3" x14ac:dyDescent="0.25">
      <c r="A4" t="s">
        <v>3</v>
      </c>
      <c r="B4">
        <v>0</v>
      </c>
      <c r="C4">
        <f>B4/VLOOKUP(A4,[1]Sheet!$A:$G,7,0)</f>
        <v>0</v>
      </c>
    </row>
    <row r="5" spans="1:3" x14ac:dyDescent="0.25">
      <c r="A5" t="s">
        <v>4</v>
      </c>
      <c r="B5">
        <v>128</v>
      </c>
      <c r="C5">
        <f>B5/VLOOKUP(A5,[1]Sheet!$A:$G,7,0)</f>
        <v>284.44444444444446</v>
      </c>
    </row>
    <row r="6" spans="1:3" x14ac:dyDescent="0.25">
      <c r="A6" t="s">
        <v>5</v>
      </c>
      <c r="B6">
        <v>465</v>
      </c>
      <c r="C6">
        <f>B6/VLOOKUP(A6,[1]Sheet!$A:$G,7,0)</f>
        <v>1033.3333333333333</v>
      </c>
    </row>
    <row r="7" spans="1:3" x14ac:dyDescent="0.25">
      <c r="A7" t="s">
        <v>6</v>
      </c>
      <c r="B7">
        <v>0</v>
      </c>
      <c r="C7">
        <f>B7/VLOOKUP(A7,[1]Sheet!$A:$G,7,0)</f>
        <v>0</v>
      </c>
    </row>
    <row r="8" spans="1:3" x14ac:dyDescent="0.25">
      <c r="A8" t="s">
        <v>7</v>
      </c>
      <c r="B8">
        <v>0</v>
      </c>
      <c r="C8">
        <f>B8/VLOOKUP(A8,[1]Sheet!$A:$G,7,0)</f>
        <v>0</v>
      </c>
    </row>
    <row r="9" spans="1:3" x14ac:dyDescent="0.25">
      <c r="A9" t="s">
        <v>8</v>
      </c>
      <c r="B9">
        <v>0</v>
      </c>
      <c r="C9">
        <f>B9/VLOOKUP(A9,[1]Sheet!$A:$G,7,0)</f>
        <v>0</v>
      </c>
    </row>
    <row r="10" spans="1:3" x14ac:dyDescent="0.25">
      <c r="A10" t="s">
        <v>9</v>
      </c>
      <c r="B10">
        <v>0</v>
      </c>
      <c r="C10" t="e">
        <f>B10/VLOOKUP(A10,[1]Sheet!$A:$G,7,0)</f>
        <v>#DIV/0!</v>
      </c>
    </row>
    <row r="11" spans="1:3" x14ac:dyDescent="0.25">
      <c r="A11" t="s">
        <v>10</v>
      </c>
      <c r="B11">
        <v>860</v>
      </c>
      <c r="C11">
        <f>B11/VLOOKUP(A11,[1]Sheet!$A:$G,7,0)</f>
        <v>860</v>
      </c>
    </row>
    <row r="12" spans="1:3" x14ac:dyDescent="0.25">
      <c r="A12" t="s">
        <v>11</v>
      </c>
      <c r="B12">
        <v>890</v>
      </c>
      <c r="C12">
        <f>B12/VLOOKUP(A12,[1]Sheet!$A:$G,7,0)</f>
        <v>890</v>
      </c>
    </row>
    <row r="13" spans="1:3" x14ac:dyDescent="0.25">
      <c r="A13" t="s">
        <v>12</v>
      </c>
      <c r="B13">
        <v>0</v>
      </c>
      <c r="C13">
        <f>B13/VLOOKUP(A13,[1]Sheet!$A:$G,7,0)</f>
        <v>0</v>
      </c>
    </row>
    <row r="14" spans="1:3" x14ac:dyDescent="0.25">
      <c r="A14" t="s">
        <v>13</v>
      </c>
      <c r="B14">
        <v>0</v>
      </c>
      <c r="C14" t="e">
        <f>B14/VLOOKUP(A14,[1]Sheet!$A:$G,7,0)</f>
        <v>#DIV/0!</v>
      </c>
    </row>
    <row r="15" spans="1:3" x14ac:dyDescent="0.25">
      <c r="A15" t="s">
        <v>14</v>
      </c>
      <c r="B15">
        <v>0</v>
      </c>
      <c r="C15" t="e">
        <f>B15/VLOOKUP(A15,[1]Sheet!$A:$G,7,0)</f>
        <v>#DIV/0!</v>
      </c>
    </row>
    <row r="16" spans="1:3" x14ac:dyDescent="0.25">
      <c r="A16" t="s">
        <v>15</v>
      </c>
      <c r="B16">
        <v>0</v>
      </c>
      <c r="C16">
        <f>B16/VLOOKUP(A16,[1]Sheet!$A:$G,7,0)</f>
        <v>0</v>
      </c>
    </row>
    <row r="17" spans="1:3" x14ac:dyDescent="0.25">
      <c r="A17" t="s">
        <v>16</v>
      </c>
      <c r="B17">
        <v>0</v>
      </c>
      <c r="C17">
        <f>B17/VLOOKUP(A17,[1]Sheet!$A:$G,7,0)</f>
        <v>0</v>
      </c>
    </row>
    <row r="18" spans="1:3" x14ac:dyDescent="0.25">
      <c r="A18" t="s">
        <v>17</v>
      </c>
      <c r="B18">
        <v>0</v>
      </c>
      <c r="C18" t="e">
        <f>B18/VLOOKUP(A18,[1]Sheet!$A:$G,7,0)</f>
        <v>#DIV/0!</v>
      </c>
    </row>
    <row r="19" spans="1:3" x14ac:dyDescent="0.25">
      <c r="A19" t="s">
        <v>18</v>
      </c>
      <c r="B19">
        <v>0</v>
      </c>
      <c r="C19">
        <f>B19/VLOOKUP(A19,[1]Sheet!$A:$G,7,0)</f>
        <v>0</v>
      </c>
    </row>
    <row r="20" spans="1:3" x14ac:dyDescent="0.25">
      <c r="A20" t="s">
        <v>19</v>
      </c>
      <c r="B20">
        <v>551</v>
      </c>
      <c r="C20">
        <f>B20/VLOOKUP(A20,[1]Sheet!$A:$G,7,0)</f>
        <v>551</v>
      </c>
    </row>
    <row r="21" spans="1:3" x14ac:dyDescent="0.25">
      <c r="A21" t="s">
        <v>20</v>
      </c>
      <c r="B21">
        <v>0</v>
      </c>
      <c r="C21" t="e">
        <f>B21/VLOOKUP(A21,[1]Sheet!$A:$G,7,0)</f>
        <v>#DIV/0!</v>
      </c>
    </row>
    <row r="22" spans="1:3" x14ac:dyDescent="0.25">
      <c r="A22" t="s">
        <v>21</v>
      </c>
      <c r="B22">
        <v>860</v>
      </c>
      <c r="C22">
        <f>B22/VLOOKUP(A22,[1]Sheet!$A:$G,7,0)</f>
        <v>860</v>
      </c>
    </row>
    <row r="23" spans="1:3" x14ac:dyDescent="0.25">
      <c r="A23" t="s">
        <v>22</v>
      </c>
      <c r="B23">
        <v>0</v>
      </c>
      <c r="C23">
        <f>B23/VLOOKUP(A23,[1]Sheet!$A:$G,7,0)</f>
        <v>0</v>
      </c>
    </row>
    <row r="24" spans="1:3" x14ac:dyDescent="0.25">
      <c r="A24" t="s">
        <v>23</v>
      </c>
      <c r="B24">
        <v>0</v>
      </c>
      <c r="C24" t="e">
        <f>B24/VLOOKUP(A24,[1]Sheet!$A:$G,7,0)</f>
        <v>#DIV/0!</v>
      </c>
    </row>
    <row r="25" spans="1:3" x14ac:dyDescent="0.25">
      <c r="A25" t="s">
        <v>24</v>
      </c>
      <c r="B25">
        <v>0</v>
      </c>
      <c r="C25" t="e">
        <f>B25/VLOOKUP(A25,[1]Sheet!$A:$G,7,0)</f>
        <v>#DIV/0!</v>
      </c>
    </row>
    <row r="26" spans="1:3" x14ac:dyDescent="0.25">
      <c r="A26" t="s">
        <v>25</v>
      </c>
      <c r="B26">
        <v>0</v>
      </c>
      <c r="C26" t="e">
        <f>B26/VLOOKUP(A26,[1]Sheet!$A:$G,7,0)</f>
        <v>#DIV/0!</v>
      </c>
    </row>
    <row r="27" spans="1:3" x14ac:dyDescent="0.25">
      <c r="A27" t="s">
        <v>26</v>
      </c>
      <c r="B27">
        <v>155</v>
      </c>
      <c r="C27">
        <f>B27/VLOOKUP(A27,[1]Sheet!$A:$G,7,0)</f>
        <v>155</v>
      </c>
    </row>
    <row r="28" spans="1:3" x14ac:dyDescent="0.25">
      <c r="A28" t="s">
        <v>27</v>
      </c>
      <c r="B28">
        <v>0</v>
      </c>
      <c r="C28" t="e">
        <f>B28/VLOOKUP(A28,[1]Sheet!$A:$G,7,0)</f>
        <v>#DIV/0!</v>
      </c>
    </row>
    <row r="29" spans="1:3" x14ac:dyDescent="0.25">
      <c r="A29" t="s">
        <v>28</v>
      </c>
      <c r="B29">
        <v>172</v>
      </c>
      <c r="C29">
        <f>B29/VLOOKUP(A29,[1]Sheet!$A:$G,7,0)</f>
        <v>172</v>
      </c>
    </row>
    <row r="30" spans="1:3" x14ac:dyDescent="0.25">
      <c r="A30" t="s">
        <v>29</v>
      </c>
      <c r="B30">
        <v>0</v>
      </c>
      <c r="C30" t="e">
        <f>B30/VLOOKUP(A30,[1]Sheet!$A:$G,7,0)</f>
        <v>#DIV/0!</v>
      </c>
    </row>
    <row r="31" spans="1:3" x14ac:dyDescent="0.25">
      <c r="A31" t="s">
        <v>30</v>
      </c>
      <c r="B31">
        <v>0</v>
      </c>
      <c r="C31" t="e">
        <f>B31/VLOOKUP(A31,[1]Sheet!$A:$G,7,0)</f>
        <v>#DIV/0!</v>
      </c>
    </row>
    <row r="32" spans="1:3" x14ac:dyDescent="0.25">
      <c r="A32" t="s">
        <v>31</v>
      </c>
      <c r="B32">
        <v>0</v>
      </c>
      <c r="C32" t="e">
        <f>B32/VLOOKUP(A32,[1]Sheet!$A:$G,7,0)</f>
        <v>#DIV/0!</v>
      </c>
    </row>
    <row r="33" spans="1:3" x14ac:dyDescent="0.25">
      <c r="A33" t="s">
        <v>32</v>
      </c>
      <c r="B33">
        <v>0</v>
      </c>
      <c r="C33" t="e">
        <f>B33/VLOOKUP(A33,[1]Sheet!$A:$G,7,0)</f>
        <v>#DIV/0!</v>
      </c>
    </row>
    <row r="34" spans="1:3" x14ac:dyDescent="0.25">
      <c r="A34" t="s">
        <v>33</v>
      </c>
      <c r="B34">
        <v>317</v>
      </c>
      <c r="C34">
        <f>B34/VLOOKUP(A34,[1]Sheet!$A:$G,7,0)</f>
        <v>792.5</v>
      </c>
    </row>
    <row r="35" spans="1:3" x14ac:dyDescent="0.25">
      <c r="A35" t="s">
        <v>34</v>
      </c>
      <c r="B35">
        <v>0</v>
      </c>
      <c r="C35">
        <f>B35/VLOOKUP(A35,[1]Sheet!$A:$G,7,0)</f>
        <v>0</v>
      </c>
    </row>
    <row r="36" spans="1:3" x14ac:dyDescent="0.25">
      <c r="A36" t="s">
        <v>35</v>
      </c>
      <c r="B36">
        <v>34</v>
      </c>
      <c r="C36">
        <f>B36/VLOOKUP(A36,[1]Sheet!$A:$G,7,0)</f>
        <v>85</v>
      </c>
    </row>
    <row r="37" spans="1:3" x14ac:dyDescent="0.25">
      <c r="A37" t="s">
        <v>36</v>
      </c>
      <c r="B37">
        <v>0</v>
      </c>
      <c r="C37">
        <f>B37/VLOOKUP(A37,[1]Sheet!$A:$G,7,0)</f>
        <v>0</v>
      </c>
    </row>
    <row r="38" spans="1:3" x14ac:dyDescent="0.25">
      <c r="A38" t="s">
        <v>37</v>
      </c>
      <c r="B38">
        <v>0</v>
      </c>
      <c r="C38">
        <f>B38/VLOOKUP(A38,[1]Sheet!$A:$G,7,0)</f>
        <v>0</v>
      </c>
    </row>
    <row r="39" spans="1:3" x14ac:dyDescent="0.25">
      <c r="A39" t="s">
        <v>38</v>
      </c>
      <c r="B39">
        <v>0</v>
      </c>
      <c r="C39">
        <f>B39/VLOOKUP(A39,[1]Sheet!$A:$G,7,0)</f>
        <v>0</v>
      </c>
    </row>
    <row r="40" spans="1:3" x14ac:dyDescent="0.25">
      <c r="A40" t="s">
        <v>39</v>
      </c>
      <c r="B40">
        <v>0</v>
      </c>
      <c r="C40">
        <f>B40/VLOOKUP(A40,[1]Sheet!$A:$G,7,0)</f>
        <v>0</v>
      </c>
    </row>
    <row r="41" spans="1:3" x14ac:dyDescent="0.25">
      <c r="A41" t="s">
        <v>40</v>
      </c>
      <c r="B41">
        <v>0</v>
      </c>
      <c r="C41">
        <f>B41/VLOOKUP(A41,[1]Sheet!$A:$G,7,0)</f>
        <v>0</v>
      </c>
    </row>
    <row r="42" spans="1:3" x14ac:dyDescent="0.25">
      <c r="A42" t="s">
        <v>41</v>
      </c>
      <c r="B42">
        <v>0</v>
      </c>
      <c r="C42">
        <f>B42/VLOOKUP(A42,[1]Sheet!$A:$G,7,0)</f>
        <v>0</v>
      </c>
    </row>
    <row r="43" spans="1:3" x14ac:dyDescent="0.25">
      <c r="A43" t="s">
        <v>42</v>
      </c>
      <c r="B43">
        <v>0</v>
      </c>
      <c r="C43">
        <f>B43/VLOOKUP(A43,[1]Sheet!$A:$G,7,0)</f>
        <v>0</v>
      </c>
    </row>
    <row r="44" spans="1:3" x14ac:dyDescent="0.25">
      <c r="A44" t="s">
        <v>43</v>
      </c>
      <c r="B44">
        <v>0</v>
      </c>
      <c r="C44">
        <f>B44/VLOOKUP(A44,[1]Sheet!$A:$G,7,0)</f>
        <v>0</v>
      </c>
    </row>
    <row r="45" spans="1:3" x14ac:dyDescent="0.25">
      <c r="A45" t="s">
        <v>44</v>
      </c>
      <c r="B45">
        <v>30</v>
      </c>
      <c r="C45">
        <f>B45/VLOOKUP(A45,[1]Sheet!$A:$G,7,0)</f>
        <v>85.714285714285722</v>
      </c>
    </row>
    <row r="46" spans="1:3" x14ac:dyDescent="0.25">
      <c r="A46" t="s">
        <v>45</v>
      </c>
      <c r="B46">
        <v>48</v>
      </c>
      <c r="C46">
        <f>B46/VLOOKUP(A46,[1]Sheet!$A:$G,7,0)</f>
        <v>120</v>
      </c>
    </row>
    <row r="47" spans="1:3" x14ac:dyDescent="0.25">
      <c r="A47" t="s">
        <v>46</v>
      </c>
      <c r="B47">
        <v>0</v>
      </c>
      <c r="C47">
        <f>B47/VLOOKUP(A47,[1]Sheet!$A:$G,7,0)</f>
        <v>0</v>
      </c>
    </row>
    <row r="48" spans="1:3" x14ac:dyDescent="0.25">
      <c r="A48" t="s">
        <v>47</v>
      </c>
      <c r="B48">
        <v>0</v>
      </c>
      <c r="C48">
        <f>B48/VLOOKUP(A48,[1]Sheet!$A:$G,7,0)</f>
        <v>0</v>
      </c>
    </row>
    <row r="49" spans="1:3" x14ac:dyDescent="0.25">
      <c r="A49" t="s">
        <v>48</v>
      </c>
      <c r="B49">
        <v>0</v>
      </c>
      <c r="C49" t="e">
        <f>B49/VLOOKUP(A49,[1]Sheet!$A:$G,7,0)</f>
        <v>#DIV/0!</v>
      </c>
    </row>
    <row r="50" spans="1:3" x14ac:dyDescent="0.25">
      <c r="A50" t="s">
        <v>49</v>
      </c>
      <c r="B50">
        <v>0</v>
      </c>
      <c r="C50">
        <f>B50/VLOOKUP(A50,[1]Sheet!$A:$G,7,0)</f>
        <v>0</v>
      </c>
    </row>
    <row r="51" spans="1:3" x14ac:dyDescent="0.25">
      <c r="A51" t="s">
        <v>50</v>
      </c>
      <c r="B51">
        <v>0</v>
      </c>
      <c r="C51">
        <f>B51/VLOOKUP(A51,[1]Sheet!$A:$G,7,0)</f>
        <v>0</v>
      </c>
    </row>
    <row r="52" spans="1:3" x14ac:dyDescent="0.25">
      <c r="A52" t="s">
        <v>51</v>
      </c>
      <c r="B52">
        <v>0</v>
      </c>
      <c r="C52" t="e">
        <f>B52/VLOOKUP(A52,[1]Sheet!$A:$G,7,0)</f>
        <v>#DIV/0!</v>
      </c>
    </row>
    <row r="53" spans="1:3" x14ac:dyDescent="0.25">
      <c r="A53" t="s">
        <v>52</v>
      </c>
      <c r="B53">
        <v>0</v>
      </c>
      <c r="C53">
        <f>B53/VLOOKUP(A53,[1]Sheet!$A:$G,7,0)</f>
        <v>0</v>
      </c>
    </row>
    <row r="54" spans="1:3" x14ac:dyDescent="0.25">
      <c r="A54" t="s">
        <v>53</v>
      </c>
      <c r="B54">
        <v>138</v>
      </c>
      <c r="C54">
        <f>B54/VLOOKUP(A54,[1]Sheet!$A:$G,7,0)</f>
        <v>138</v>
      </c>
    </row>
    <row r="55" spans="1:3" x14ac:dyDescent="0.25">
      <c r="A55" t="s">
        <v>54</v>
      </c>
      <c r="B55">
        <v>0</v>
      </c>
      <c r="C55">
        <f>B55/VLOOKUP(A55,[1]Sheet!$A:$G,7,0)</f>
        <v>0</v>
      </c>
    </row>
    <row r="56" spans="1:3" x14ac:dyDescent="0.25">
      <c r="A56" t="s">
        <v>55</v>
      </c>
      <c r="B56">
        <v>74</v>
      </c>
      <c r="C56">
        <f>B56/VLOOKUP(A56,[1]Sheet!$A:$G,7,0)</f>
        <v>74</v>
      </c>
    </row>
    <row r="57" spans="1:3" x14ac:dyDescent="0.25">
      <c r="A57" t="s">
        <v>56</v>
      </c>
      <c r="B57">
        <v>0</v>
      </c>
      <c r="C57">
        <f>B57/VLOOKUP(A57,[1]Sheet!$A:$G,7,0)</f>
        <v>0</v>
      </c>
    </row>
    <row r="58" spans="1:3" x14ac:dyDescent="0.25">
      <c r="A58" t="s">
        <v>57</v>
      </c>
      <c r="B58">
        <v>0</v>
      </c>
      <c r="C58">
        <f>B58/VLOOKUP(A58,[1]Sheet!$A:$G,7,0)</f>
        <v>0</v>
      </c>
    </row>
    <row r="59" spans="1:3" x14ac:dyDescent="0.25">
      <c r="A59" t="s">
        <v>58</v>
      </c>
      <c r="B59">
        <v>0</v>
      </c>
      <c r="C59">
        <f>B59/VLOOKUP(A59,[1]Sheet!$A:$G,7,0)</f>
        <v>0</v>
      </c>
    </row>
    <row r="60" spans="1:3" x14ac:dyDescent="0.25">
      <c r="A60" t="s">
        <v>59</v>
      </c>
      <c r="B60">
        <v>0</v>
      </c>
      <c r="C60">
        <f>B60/VLOOKUP(A60,[1]Sheet!$A:$G,7,0)</f>
        <v>0</v>
      </c>
    </row>
    <row r="61" spans="1:3" x14ac:dyDescent="0.25">
      <c r="A61" t="s">
        <v>60</v>
      </c>
      <c r="B61">
        <v>0</v>
      </c>
      <c r="C61">
        <f>B61/VLOOKUP(A61,[1]Sheet!$A:$G,7,0)</f>
        <v>0</v>
      </c>
    </row>
    <row r="62" spans="1:3" x14ac:dyDescent="0.25">
      <c r="A62" t="s">
        <v>61</v>
      </c>
      <c r="B62">
        <v>29</v>
      </c>
      <c r="C62">
        <f>B62/VLOOKUP(A62,[1]Sheet!$A:$G,7,0)</f>
        <v>72.5</v>
      </c>
    </row>
    <row r="63" spans="1:3" x14ac:dyDescent="0.25">
      <c r="A63" t="s">
        <v>62</v>
      </c>
      <c r="B63">
        <v>0</v>
      </c>
      <c r="C63">
        <f>B63/VLOOKUP(A63,[1]Sheet!$A:$G,7,0)</f>
        <v>0</v>
      </c>
    </row>
    <row r="64" spans="1:3" x14ac:dyDescent="0.25">
      <c r="A64" t="s">
        <v>63</v>
      </c>
      <c r="B64">
        <v>0</v>
      </c>
      <c r="C64">
        <f>B64/VLOOKUP(A64,[1]Sheet!$A:$G,7,0)</f>
        <v>0</v>
      </c>
    </row>
    <row r="65" spans="1:3" x14ac:dyDescent="0.25">
      <c r="A65" t="s">
        <v>64</v>
      </c>
      <c r="B65">
        <v>0</v>
      </c>
      <c r="C65">
        <f>B65/VLOOKUP(A65,[1]Sheet!$A:$G,7,0)</f>
        <v>0</v>
      </c>
    </row>
    <row r="66" spans="1:3" x14ac:dyDescent="0.25">
      <c r="A66" t="s">
        <v>65</v>
      </c>
      <c r="B66">
        <v>0</v>
      </c>
      <c r="C66">
        <f>B66/VLOOKUP(A66,[1]Sheet!$A:$G,7,0)</f>
        <v>0</v>
      </c>
    </row>
    <row r="67" spans="1:3" x14ac:dyDescent="0.25">
      <c r="A67" t="s">
        <v>66</v>
      </c>
      <c r="B67">
        <v>0</v>
      </c>
      <c r="C67">
        <f>B67/VLOOKUP(A67,[1]Sheet!$A:$G,7,0)</f>
        <v>0</v>
      </c>
    </row>
    <row r="68" spans="1:3" x14ac:dyDescent="0.25">
      <c r="A68" t="s">
        <v>67</v>
      </c>
      <c r="B68">
        <v>0</v>
      </c>
      <c r="C68" t="e">
        <f>B68/VLOOKUP(A68,[1]Sheet!$A:$G,7,0)</f>
        <v>#DIV/0!</v>
      </c>
    </row>
    <row r="69" spans="1:3" x14ac:dyDescent="0.25">
      <c r="A69" t="s">
        <v>68</v>
      </c>
      <c r="B69">
        <v>172</v>
      </c>
      <c r="C69">
        <f>B69/VLOOKUP(A69,[1]Sheet!$A:$G,7,0)</f>
        <v>172</v>
      </c>
    </row>
    <row r="70" spans="1:3" x14ac:dyDescent="0.25">
      <c r="A70" t="s">
        <v>69</v>
      </c>
      <c r="B70">
        <v>0</v>
      </c>
      <c r="C70" t="e">
        <f>B70/VLOOKUP(A70,[1]Sheet!$A:$G,7,0)</f>
        <v>#DIV/0!</v>
      </c>
    </row>
    <row r="71" spans="1:3" x14ac:dyDescent="0.25">
      <c r="A71" t="s">
        <v>70</v>
      </c>
      <c r="B71">
        <v>73</v>
      </c>
      <c r="C71">
        <f>B71/VLOOKUP(A71,[1]Sheet!$A:$G,7,0)</f>
        <v>121.66666666666667</v>
      </c>
    </row>
    <row r="72" spans="1:3" x14ac:dyDescent="0.25">
      <c r="A72" t="s">
        <v>71</v>
      </c>
      <c r="B72">
        <v>98</v>
      </c>
      <c r="C72">
        <f>B72/VLOOKUP(A72,[1]Sheet!$A:$G,7,0)</f>
        <v>163.33333333333334</v>
      </c>
    </row>
    <row r="73" spans="1:3" x14ac:dyDescent="0.25">
      <c r="A73" t="s">
        <v>72</v>
      </c>
      <c r="B73">
        <v>0</v>
      </c>
      <c r="C73">
        <f>B73/VLOOKUP(A73,[1]Sheet!$A:$G,7,0)</f>
        <v>0</v>
      </c>
    </row>
    <row r="74" spans="1:3" x14ac:dyDescent="0.25">
      <c r="A74" t="s">
        <v>73</v>
      </c>
      <c r="B74">
        <v>0</v>
      </c>
      <c r="C74" t="e">
        <f>B74/VLOOKUP(A74,[1]Sheet!$A:$G,7,0)</f>
        <v>#DIV/0!</v>
      </c>
    </row>
    <row r="75" spans="1:3" x14ac:dyDescent="0.25">
      <c r="A75" t="s">
        <v>74</v>
      </c>
      <c r="B75">
        <v>0</v>
      </c>
      <c r="C75">
        <f>B75/VLOOKUP(A75,[1]Sheet!$A:$G,7,0)</f>
        <v>0</v>
      </c>
    </row>
    <row r="76" spans="1:3" x14ac:dyDescent="0.25">
      <c r="A76" t="s">
        <v>75</v>
      </c>
      <c r="B76">
        <v>0</v>
      </c>
      <c r="C76">
        <f>B76/VLOOKUP(A76,[1]Sheet!$A:$G,7,0)</f>
        <v>0</v>
      </c>
    </row>
    <row r="77" spans="1:3" x14ac:dyDescent="0.25">
      <c r="A77" t="s">
        <v>76</v>
      </c>
      <c r="B77">
        <v>0</v>
      </c>
      <c r="C77">
        <f>B77/VLOOKUP(A77,[1]Sheet!$A:$G,7,0)</f>
        <v>0</v>
      </c>
    </row>
    <row r="78" spans="1:3" x14ac:dyDescent="0.25">
      <c r="A78" t="s">
        <v>77</v>
      </c>
      <c r="B78">
        <v>51</v>
      </c>
      <c r="C78">
        <f>B78/VLOOKUP(A78,[1]Sheet!$A:$G,7,0)</f>
        <v>154.54545454545453</v>
      </c>
    </row>
    <row r="79" spans="1:3" x14ac:dyDescent="0.25">
      <c r="A79" t="s">
        <v>78</v>
      </c>
      <c r="B79">
        <v>0</v>
      </c>
      <c r="C79">
        <f>B79/VLOOKUP(A79,[1]Sheet!$A:$G,7,0)</f>
        <v>0</v>
      </c>
    </row>
    <row r="80" spans="1:3" x14ac:dyDescent="0.25">
      <c r="A80" t="s">
        <v>79</v>
      </c>
      <c r="B80">
        <v>0</v>
      </c>
      <c r="C80">
        <f>B80/VLOOKUP(A80,[1]Sheet!$A:$G,7,0)</f>
        <v>0</v>
      </c>
    </row>
    <row r="81" spans="1:3" x14ac:dyDescent="0.25">
      <c r="A81" t="s">
        <v>80</v>
      </c>
      <c r="B81">
        <v>0</v>
      </c>
      <c r="C81">
        <f>B81/VLOOKUP(A81,[1]Sheet!$A:$G,7,0)</f>
        <v>0</v>
      </c>
    </row>
    <row r="82" spans="1:3" x14ac:dyDescent="0.25">
      <c r="A82" t="s">
        <v>81</v>
      </c>
      <c r="B82">
        <v>0</v>
      </c>
      <c r="C82" t="e">
        <f>B82/VLOOKUP(A82,[1]Sheet!$A:$G,7,0)</f>
        <v>#DIV/0!</v>
      </c>
    </row>
    <row r="83" spans="1:3" x14ac:dyDescent="0.25">
      <c r="A83" t="s">
        <v>82</v>
      </c>
      <c r="B83">
        <v>0</v>
      </c>
      <c r="C83">
        <f>B83/VLOOKUP(A83,[1]Sheet!$A:$G,7,0)</f>
        <v>0</v>
      </c>
    </row>
    <row r="84" spans="1:3" x14ac:dyDescent="0.25">
      <c r="A84" t="s">
        <v>83</v>
      </c>
      <c r="B84">
        <v>0</v>
      </c>
      <c r="C84">
        <f>B84/VLOOKUP(A84,[1]Sheet!$A:$G,7,0)</f>
        <v>0</v>
      </c>
    </row>
    <row r="85" spans="1:3" x14ac:dyDescent="0.25">
      <c r="A85" t="s">
        <v>84</v>
      </c>
      <c r="B85">
        <v>0</v>
      </c>
      <c r="C85" t="e">
        <f>B85/VLOOKUP(A85,[1]Sheet!$A:$G,7,0)</f>
        <v>#DIV/0!</v>
      </c>
    </row>
    <row r="86" spans="1:3" x14ac:dyDescent="0.25">
      <c r="A86" t="s">
        <v>85</v>
      </c>
      <c r="B86">
        <v>0</v>
      </c>
      <c r="C86">
        <f>B86/VLOOKUP(A86,[1]Sheet!$A:$G,7,0)</f>
        <v>0</v>
      </c>
    </row>
    <row r="87" spans="1:3" x14ac:dyDescent="0.25">
      <c r="A87" t="s">
        <v>86</v>
      </c>
      <c r="B87">
        <v>0</v>
      </c>
      <c r="C87">
        <f>B87/VLOOKUP(A87,[1]Sheet!$A:$G,7,0)</f>
        <v>0</v>
      </c>
    </row>
    <row r="88" spans="1:3" x14ac:dyDescent="0.25">
      <c r="A88" t="s">
        <v>87</v>
      </c>
      <c r="B88">
        <v>0</v>
      </c>
      <c r="C88">
        <f>B88/VLOOKUP(A88,[1]Sheet!$A:$G,7,0)</f>
        <v>0</v>
      </c>
    </row>
    <row r="89" spans="1:3" x14ac:dyDescent="0.25">
      <c r="A89" t="s">
        <v>88</v>
      </c>
      <c r="B89">
        <v>0</v>
      </c>
      <c r="C89">
        <f>B89/VLOOKUP(A89,[1]Sheet!$A:$G,7,0)</f>
        <v>0</v>
      </c>
    </row>
    <row r="90" spans="1:3" x14ac:dyDescent="0.25">
      <c r="A90" t="s">
        <v>89</v>
      </c>
      <c r="B90">
        <v>0</v>
      </c>
      <c r="C90">
        <f>B90/VLOOKUP(A90,[1]Sheet!$A:$G,7,0)</f>
        <v>0</v>
      </c>
    </row>
    <row r="91" spans="1:3" x14ac:dyDescent="0.25">
      <c r="A91" t="s">
        <v>90</v>
      </c>
      <c r="B91">
        <v>0</v>
      </c>
      <c r="C91">
        <f>B91/VLOOKUP(A91,[1]Sheet!$A:$G,7,0)</f>
        <v>0</v>
      </c>
    </row>
    <row r="92" spans="1:3" x14ac:dyDescent="0.25">
      <c r="A92" t="s">
        <v>91</v>
      </c>
      <c r="B92">
        <v>0</v>
      </c>
      <c r="C92" t="e">
        <f>B92/VLOOKUP(A92,[1]Sheet!$A:$G,7,0)</f>
        <v>#DIV/0!</v>
      </c>
    </row>
    <row r="93" spans="1:3" x14ac:dyDescent="0.25">
      <c r="A93" t="s">
        <v>92</v>
      </c>
      <c r="B93">
        <v>0</v>
      </c>
      <c r="C93" t="e">
        <f>B93/VLOOKUP(A93,[1]Sheet!$A:$G,7,0)</f>
        <v>#DIV/0!</v>
      </c>
    </row>
    <row r="94" spans="1:3" x14ac:dyDescent="0.25">
      <c r="A94" t="s">
        <v>93</v>
      </c>
      <c r="B94">
        <v>0</v>
      </c>
      <c r="C94">
        <f>B94/VLOOKUP(A94,[1]Sheet!$A:$G,7,0)</f>
        <v>0</v>
      </c>
    </row>
    <row r="95" spans="1:3" x14ac:dyDescent="0.25">
      <c r="A95" t="s">
        <v>94</v>
      </c>
      <c r="B95">
        <v>0</v>
      </c>
      <c r="C95">
        <f>B95/VLOOKUP(A95,[1]Sheet!$A:$G,7,0)</f>
        <v>0</v>
      </c>
    </row>
    <row r="96" spans="1:3" x14ac:dyDescent="0.25">
      <c r="A96" t="s">
        <v>95</v>
      </c>
      <c r="B96">
        <v>0</v>
      </c>
      <c r="C96">
        <f>B96/VLOOKUP(A96,[1]Sheet!$A:$G,7,0)</f>
        <v>0</v>
      </c>
    </row>
    <row r="97" spans="1:3" x14ac:dyDescent="0.25">
      <c r="A97" t="s">
        <v>96</v>
      </c>
      <c r="B97">
        <v>0</v>
      </c>
      <c r="C97">
        <f>B97/VLOOKUP(A97,[1]Sheet!$A:$G,7,0)</f>
        <v>0</v>
      </c>
    </row>
    <row r="98" spans="1:3" x14ac:dyDescent="0.25">
      <c r="A98" t="s">
        <v>97</v>
      </c>
      <c r="B98">
        <v>0</v>
      </c>
      <c r="C98">
        <f>B98/VLOOKUP(A98,[1]Sheet!$A:$G,7,0)</f>
        <v>0</v>
      </c>
    </row>
    <row r="99" spans="1:3" x14ac:dyDescent="0.25">
      <c r="A99" t="s">
        <v>98</v>
      </c>
      <c r="B99">
        <v>0</v>
      </c>
      <c r="C99" t="e">
        <f>B99/VLOOKUP(A99,[1]Sheet!$A:$G,7,0)</f>
        <v>#DIV/0!</v>
      </c>
    </row>
    <row r="100" spans="1:3" x14ac:dyDescent="0.25">
      <c r="A100" t="s">
        <v>99</v>
      </c>
      <c r="B100">
        <v>0</v>
      </c>
      <c r="C100">
        <f>B100/VLOOKUP(A100,[1]Sheet!$A:$G,7,0)</f>
        <v>0</v>
      </c>
    </row>
    <row r="101" spans="1:3" x14ac:dyDescent="0.25">
      <c r="A101" t="s">
        <v>100</v>
      </c>
      <c r="B101">
        <v>0</v>
      </c>
      <c r="C101">
        <f>B101/VLOOKUP(A101,[1]Sheet!$A:$G,7,0)</f>
        <v>0</v>
      </c>
    </row>
    <row r="102" spans="1:3" x14ac:dyDescent="0.25">
      <c r="A102" t="s">
        <v>101</v>
      </c>
      <c r="B102">
        <v>0</v>
      </c>
      <c r="C102">
        <f>B102/VLOOKUP(A102,[1]Sheet!$A:$G,7,0)</f>
        <v>0</v>
      </c>
    </row>
    <row r="103" spans="1:3" x14ac:dyDescent="0.25">
      <c r="A103" t="s">
        <v>102</v>
      </c>
      <c r="B103">
        <v>0</v>
      </c>
      <c r="C103" t="e">
        <f>B103/VLOOKUP(A103,[1]Sheet!$A:$G,7,0)</f>
        <v>#DIV/0!</v>
      </c>
    </row>
    <row r="104" spans="1:3" x14ac:dyDescent="0.25">
      <c r="A104" t="s">
        <v>103</v>
      </c>
      <c r="B104">
        <v>0</v>
      </c>
      <c r="C104">
        <f>B104/VLOOKUP(A104,[1]Sheet!$A:$G,7,0)</f>
        <v>0</v>
      </c>
    </row>
    <row r="105" spans="1:3" x14ac:dyDescent="0.25">
      <c r="A105" t="s">
        <v>104</v>
      </c>
      <c r="B105">
        <v>0</v>
      </c>
      <c r="C105">
        <f>B105/VLOOKUP(A105,[1]Sheet!$A:$G,7,0)</f>
        <v>0</v>
      </c>
    </row>
    <row r="106" spans="1:3" x14ac:dyDescent="0.25">
      <c r="A106" t="s">
        <v>105</v>
      </c>
      <c r="B106">
        <v>0</v>
      </c>
      <c r="C106">
        <f>B106/VLOOKUP(A106,[1]Sheet!$A:$G,7,0)</f>
        <v>0</v>
      </c>
    </row>
    <row r="107" spans="1:3" x14ac:dyDescent="0.25">
      <c r="A107" t="s">
        <v>106</v>
      </c>
      <c r="B107">
        <v>0</v>
      </c>
      <c r="C107">
        <f>B107/VLOOKUP(A107,[1]Sheet!$A:$G,7,0)</f>
        <v>0</v>
      </c>
    </row>
    <row r="108" spans="1:3" x14ac:dyDescent="0.25">
      <c r="A108" t="s">
        <v>107</v>
      </c>
      <c r="B108">
        <v>0</v>
      </c>
      <c r="C108">
        <f>B108/VLOOKUP(A108,[1]Sheet!$A:$G,7,0)</f>
        <v>0</v>
      </c>
    </row>
    <row r="109" spans="1:3" x14ac:dyDescent="0.25">
      <c r="A109" t="s">
        <v>108</v>
      </c>
      <c r="B109">
        <v>0</v>
      </c>
      <c r="C109">
        <f>B109/VLOOKUP(A109,[1]Sheet!$A:$G,7,0)</f>
        <v>0</v>
      </c>
    </row>
    <row r="110" spans="1:3" x14ac:dyDescent="0.25">
      <c r="A110" t="s">
        <v>109</v>
      </c>
      <c r="B110">
        <v>0</v>
      </c>
      <c r="C110">
        <f>B110/VLOOKUP(A110,[1]Sheet!$A:$G,7,0)</f>
        <v>0</v>
      </c>
    </row>
    <row r="111" spans="1:3" x14ac:dyDescent="0.25">
      <c r="A111" t="s">
        <v>110</v>
      </c>
      <c r="B111">
        <v>0</v>
      </c>
      <c r="C111">
        <f>B111/VLOOKUP(A111,[1]Sheet!$A:$G,7,0)</f>
        <v>0</v>
      </c>
    </row>
    <row r="112" spans="1:3" x14ac:dyDescent="0.25">
      <c r="A112" t="s">
        <v>111</v>
      </c>
      <c r="B112">
        <v>0</v>
      </c>
      <c r="C112">
        <f>B112/VLOOKUP(A112,[1]Sheet!$A:$G,7,0)</f>
        <v>0</v>
      </c>
    </row>
    <row r="113" spans="1:3" x14ac:dyDescent="0.25">
      <c r="A113" t="s">
        <v>112</v>
      </c>
      <c r="B113">
        <v>0</v>
      </c>
      <c r="C113">
        <f>B113/VLOOKUP(A113,[1]Sheet!$A:$G,7,0)</f>
        <v>0</v>
      </c>
    </row>
    <row r="114" spans="1:3" x14ac:dyDescent="0.25">
      <c r="A114" t="s">
        <v>113</v>
      </c>
      <c r="B114">
        <v>0</v>
      </c>
      <c r="C114">
        <f>B114/VLOOKUP(A114,[1]Sheet!$A:$G,7,0)</f>
        <v>0</v>
      </c>
    </row>
    <row r="115" spans="1:3" x14ac:dyDescent="0.25">
      <c r="A115" t="s">
        <v>114</v>
      </c>
      <c r="B115">
        <v>0</v>
      </c>
      <c r="C115">
        <f>B115/VLOOKUP(A115,[1]Sheet!$A:$G,7,0)</f>
        <v>0</v>
      </c>
    </row>
    <row r="116" spans="1:3" x14ac:dyDescent="0.25">
      <c r="A116" t="s">
        <v>115</v>
      </c>
      <c r="B116">
        <v>0</v>
      </c>
      <c r="C116" t="e">
        <f>B116/VLOOKUP(A116,[1]Sheet!$A:$G,7,0)</f>
        <v>#DIV/0!</v>
      </c>
    </row>
    <row r="117" spans="1:3" x14ac:dyDescent="0.25">
      <c r="A117" t="s">
        <v>116</v>
      </c>
      <c r="B117">
        <v>0</v>
      </c>
      <c r="C117">
        <f>B117/VLOOKUP(A117,[1]Sheet!$A:$G,7,0)</f>
        <v>0</v>
      </c>
    </row>
    <row r="118" spans="1:3" x14ac:dyDescent="0.25">
      <c r="A118" t="s">
        <v>117</v>
      </c>
      <c r="B118">
        <v>0</v>
      </c>
      <c r="C118">
        <f>B118/VLOOKUP(A118,[1]Sheet!$A:$G,7,0)</f>
        <v>0</v>
      </c>
    </row>
    <row r="119" spans="1:3" x14ac:dyDescent="0.25">
      <c r="A119" t="s">
        <v>118</v>
      </c>
      <c r="B119">
        <v>0</v>
      </c>
      <c r="C119">
        <f>B119/VLOOKUP(A119,[1]Sheet!$A:$G,7,0)</f>
        <v>0</v>
      </c>
    </row>
    <row r="120" spans="1:3" x14ac:dyDescent="0.25">
      <c r="A120" t="s">
        <v>119</v>
      </c>
      <c r="B120">
        <v>0</v>
      </c>
      <c r="C120">
        <f>B120/VLOOKUP(A120,[1]Sheet!$A:$G,7,0)</f>
        <v>0</v>
      </c>
    </row>
    <row r="121" spans="1:3" x14ac:dyDescent="0.25">
      <c r="A121" t="s">
        <v>120</v>
      </c>
      <c r="B121">
        <v>0</v>
      </c>
      <c r="C121">
        <f>B121/VLOOKUP(A121,[1]Sheet!$A:$G,7,0)</f>
        <v>0</v>
      </c>
    </row>
    <row r="122" spans="1:3" x14ac:dyDescent="0.25">
      <c r="A122" t="s">
        <v>121</v>
      </c>
      <c r="B122">
        <v>174</v>
      </c>
      <c r="C122">
        <f>B122/VLOOKUP(A122,[1]Sheet!$A:$G,7,0)</f>
        <v>174</v>
      </c>
    </row>
    <row r="123" spans="1:3" x14ac:dyDescent="0.25">
      <c r="A123" t="s">
        <v>122</v>
      </c>
      <c r="B123">
        <v>0</v>
      </c>
      <c r="C123">
        <f>B123/VLOOKUP(A123,[1]Sheet!$A:$G,7,0)</f>
        <v>0</v>
      </c>
    </row>
    <row r="124" spans="1:3" x14ac:dyDescent="0.25">
      <c r="A124" t="s">
        <v>123</v>
      </c>
      <c r="B124">
        <v>0</v>
      </c>
      <c r="C124">
        <f>B124/VLOOKUP(A124,[1]Sheet!$A:$G,7,0)</f>
        <v>0</v>
      </c>
    </row>
    <row r="125" spans="1:3" x14ac:dyDescent="0.25">
      <c r="A125" t="s">
        <v>124</v>
      </c>
      <c r="B125">
        <v>0</v>
      </c>
      <c r="C125">
        <f>B125/VLOOKUP(A125,[1]Sheet!$A:$G,7,0)</f>
        <v>0</v>
      </c>
    </row>
    <row r="126" spans="1:3" x14ac:dyDescent="0.25">
      <c r="A126" t="s">
        <v>125</v>
      </c>
      <c r="B126">
        <v>0</v>
      </c>
      <c r="C126">
        <f>B126/VLOOKUP(A126,[1]Sheet!$A:$G,7,0)</f>
        <v>0</v>
      </c>
    </row>
    <row r="127" spans="1:3" x14ac:dyDescent="0.25">
      <c r="A127" t="s">
        <v>126</v>
      </c>
      <c r="B127">
        <v>0</v>
      </c>
      <c r="C127">
        <f>B127/VLOOKUP(A127,[1]Sheet!$A:$G,7,0)</f>
        <v>0</v>
      </c>
    </row>
    <row r="128" spans="1:3" x14ac:dyDescent="0.25">
      <c r="A128" t="s">
        <v>127</v>
      </c>
      <c r="B128">
        <v>0</v>
      </c>
      <c r="C128">
        <f>B128/VLOOKUP(A128,[1]Sheet!$A:$G,7,0)</f>
        <v>0</v>
      </c>
    </row>
    <row r="129" spans="1:3" x14ac:dyDescent="0.25">
      <c r="A129" t="s">
        <v>128</v>
      </c>
      <c r="B129">
        <v>0</v>
      </c>
      <c r="C129">
        <f>B129/VLOOKUP(A129,[1]Sheet!$A:$G,7,0)</f>
        <v>0</v>
      </c>
    </row>
    <row r="130" spans="1:3" x14ac:dyDescent="0.25">
      <c r="A130" t="s">
        <v>129</v>
      </c>
      <c r="B130">
        <v>0</v>
      </c>
      <c r="C130">
        <f>B130/VLOOKUP(A130,[1]Sheet!$A:$G,7,0)</f>
        <v>0</v>
      </c>
    </row>
    <row r="131" spans="1:3" x14ac:dyDescent="0.25">
      <c r="A131" t="s">
        <v>130</v>
      </c>
      <c r="B131">
        <v>0</v>
      </c>
      <c r="C131">
        <f>B131/VLOOKUP(A131,[1]Sheet!$A:$G,7,0)</f>
        <v>0</v>
      </c>
    </row>
    <row r="132" spans="1:3" x14ac:dyDescent="0.25">
      <c r="A132" t="s">
        <v>131</v>
      </c>
      <c r="B132">
        <v>0</v>
      </c>
      <c r="C132">
        <f>B132/VLOOKUP(A132,[1]Sheet!$A:$G,7,0)</f>
        <v>0</v>
      </c>
    </row>
    <row r="133" spans="1:3" x14ac:dyDescent="0.25">
      <c r="A133" t="s">
        <v>132</v>
      </c>
      <c r="B133">
        <v>0</v>
      </c>
      <c r="C133" t="e">
        <f>B133/VLOOKUP(A133,[1]Sheet!$A:$G,7,0)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2026-08-28T12:56:12Z</dcterms:modified>
</cp:coreProperties>
</file>