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7,08,26 ПОКОМ КИ\дозаказы 29-30,08,26\"/>
    </mc:Choice>
  </mc:AlternateContent>
  <xr:revisionPtr revIDLastSave="0" documentId="13_ncr:1_{EE3A82DA-42EB-49D5-A0C6-56DB12CE5B3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<sst xmlns="http://schemas.openxmlformats.org/spreadsheetml/2006/main" count="4335" uniqueCount="917">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</sst>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Z563" sqref="Z56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/>
      <c r="I5" s="652"/>
      <c r="J5" s="652"/>
      <c r="K5" s="652"/>
      <c r="L5" s="652"/>
      <c r="M5" s="652"/>
      <c r="N5" s="69"/>
      <c r="P5" s="26" t="s">
        <v>4</v>
      </c>
      <c r="Q5" s="654">
        <v>46265</v>
      </c>
      <c r="R5" s="654"/>
      <c r="T5" s="655" t="s">
        <v>3</v>
      </c>
      <c r="U5" s="656"/>
      <c r="V5" s="657" t="s">
        <v>877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8">
        <v>4680115880283</v>
      </c>
      <c r="E57" s="71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8">
        <v>4680115881525</v>
      </c>
      <c r="E58" s="71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18">
        <v>4680115885899</v>
      </c>
      <c r="E59" s="71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18">
        <v>4680115881419</v>
      </c>
      <c r="E60" s="71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6"/>
      <c r="B61" s="726"/>
      <c r="C61" s="726"/>
      <c r="D61" s="726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7"/>
      <c r="P61" s="723" t="s">
        <v>40</v>
      </c>
      <c r="Q61" s="724"/>
      <c r="R61" s="724"/>
      <c r="S61" s="724"/>
      <c r="T61" s="724"/>
      <c r="U61" s="724"/>
      <c r="V61" s="72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6"/>
      <c r="B62" s="726"/>
      <c r="C62" s="726"/>
      <c r="D62" s="726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7"/>
      <c r="P62" s="723" t="s">
        <v>40</v>
      </c>
      <c r="Q62" s="724"/>
      <c r="R62" s="724"/>
      <c r="S62" s="724"/>
      <c r="T62" s="724"/>
      <c r="U62" s="724"/>
      <c r="V62" s="72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7" t="s">
        <v>155</v>
      </c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  <c r="T63" s="717"/>
      <c r="U63" s="717"/>
      <c r="V63" s="717"/>
      <c r="W63" s="717"/>
      <c r="X63" s="717"/>
      <c r="Y63" s="717"/>
      <c r="Z63" s="71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18">
        <v>4680115881440</v>
      </c>
      <c r="E64" s="71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0"/>
      <c r="R64" s="720"/>
      <c r="S64" s="720"/>
      <c r="T64" s="72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18">
        <v>4680115885950</v>
      </c>
      <c r="E65" s="71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0"/>
      <c r="R65" s="720"/>
      <c r="S65" s="720"/>
      <c r="T65" s="72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18">
        <v>4680115887688</v>
      </c>
      <c r="E66" s="71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0"/>
      <c r="R66" s="720"/>
      <c r="S66" s="720"/>
      <c r="T66" s="72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18">
        <v>4680115881433</v>
      </c>
      <c r="E67" s="71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6"/>
      <c r="B68" s="726"/>
      <c r="C68" s="726"/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7"/>
      <c r="P68" s="723" t="s">
        <v>40</v>
      </c>
      <c r="Q68" s="724"/>
      <c r="R68" s="724"/>
      <c r="S68" s="724"/>
      <c r="T68" s="724"/>
      <c r="U68" s="724"/>
      <c r="V68" s="72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7"/>
      <c r="P69" s="723" t="s">
        <v>40</v>
      </c>
      <c r="Q69" s="724"/>
      <c r="R69" s="724"/>
      <c r="S69" s="724"/>
      <c r="T69" s="724"/>
      <c r="U69" s="724"/>
      <c r="V69" s="72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7" t="s">
        <v>86</v>
      </c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18">
        <v>4680115884311</v>
      </c>
      <c r="E71" s="71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18">
        <v>4680115884403</v>
      </c>
      <c r="E72" s="71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18">
        <v>4680115884403</v>
      </c>
      <c r="E73" s="71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0"/>
      <c r="R73" s="720"/>
      <c r="S73" s="720"/>
      <c r="T73" s="72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7" t="s">
        <v>173</v>
      </c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18">
        <v>4680115881532</v>
      </c>
      <c r="E77" s="71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18">
        <v>4680115881532</v>
      </c>
      <c r="E78" s="71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0"/>
      <c r="R78" s="720"/>
      <c r="S78" s="720"/>
      <c r="T78" s="72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18">
        <v>4680115881464</v>
      </c>
      <c r="E79" s="71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0"/>
      <c r="R79" s="720"/>
      <c r="S79" s="720"/>
      <c r="T79" s="72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18">
        <v>4680115881464</v>
      </c>
      <c r="E80" s="71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6" t="s">
        <v>182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62"/>
      <c r="AB83" s="62"/>
      <c r="AC83" s="62"/>
    </row>
    <row r="84" spans="1:68" ht="14.25" hidden="1" customHeight="1" x14ac:dyDescent="0.25">
      <c r="A84" s="717" t="s">
        <v>122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8">
        <v>4680115881327</v>
      </c>
      <c r="E85" s="71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0"/>
      <c r="R85" s="720"/>
      <c r="S85" s="720"/>
      <c r="T85" s="721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8">
        <v>4680115887732</v>
      </c>
      <c r="E86" s="71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0"/>
      <c r="R86" s="720"/>
      <c r="S86" s="720"/>
      <c r="T86" s="72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8">
        <v>4680115887732</v>
      </c>
      <c r="E87" s="71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1" t="s">
        <v>190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8">
        <v>4680115881518</v>
      </c>
      <c r="E88" s="71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18">
        <v>4680115881303</v>
      </c>
      <c r="E89" s="71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6"/>
      <c r="B90" s="726"/>
      <c r="C90" s="726"/>
      <c r="D90" s="726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7"/>
      <c r="P90" s="723" t="s">
        <v>40</v>
      </c>
      <c r="Q90" s="724"/>
      <c r="R90" s="724"/>
      <c r="S90" s="724"/>
      <c r="T90" s="724"/>
      <c r="U90" s="724"/>
      <c r="V90" s="72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7" t="s">
        <v>86</v>
      </c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  <c r="R92" s="717"/>
      <c r="S92" s="717"/>
      <c r="T92" s="717"/>
      <c r="U92" s="717"/>
      <c r="V92" s="717"/>
      <c r="W92" s="717"/>
      <c r="X92" s="717"/>
      <c r="Y92" s="717"/>
      <c r="Z92" s="717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18">
        <v>4607091386967</v>
      </c>
      <c r="E93" s="71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0"/>
      <c r="R93" s="720"/>
      <c r="S93" s="720"/>
      <c r="T93" s="72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18">
        <v>4607091386967</v>
      </c>
      <c r="E94" s="71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5" t="s">
        <v>199</v>
      </c>
      <c r="Q94" s="720"/>
      <c r="R94" s="720"/>
      <c r="S94" s="720"/>
      <c r="T94" s="72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18">
        <v>4680115884953</v>
      </c>
      <c r="E95" s="71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718">
        <v>4607091385731</v>
      </c>
      <c r="E96" s="71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68" t="s">
        <v>205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209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122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18">
        <v>4680115887718</v>
      </c>
      <c r="E104" s="718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18">
        <v>4680115887718</v>
      </c>
      <c r="E105" s="718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6" t="s">
        <v>223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6"/>
      <c r="B111" s="726"/>
      <c r="C111" s="726"/>
      <c r="D111" s="726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7"/>
      <c r="P111" s="723" t="s">
        <v>40</v>
      </c>
      <c r="Q111" s="724"/>
      <c r="R111" s="724"/>
      <c r="S111" s="724"/>
      <c r="T111" s="724"/>
      <c r="U111" s="724"/>
      <c r="V111" s="72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7" t="s">
        <v>155</v>
      </c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7"/>
      <c r="W113" s="717"/>
      <c r="X113" s="717"/>
      <c r="Y113" s="717"/>
      <c r="Z113" s="717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18">
        <v>4680115881488</v>
      </c>
      <c r="E114" s="718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0"/>
      <c r="R114" s="720"/>
      <c r="S114" s="720"/>
      <c r="T114" s="72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18">
        <v>4680115887664</v>
      </c>
      <c r="E115" s="718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18">
        <v>4680115887664</v>
      </c>
      <c r="E116" s="718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86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18">
        <v>4607091385168</v>
      </c>
      <c r="E123" s="71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4" t="s">
        <v>243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18">
        <v>4607091383256</v>
      </c>
      <c r="E124" s="71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718">
        <v>4607091385748</v>
      </c>
      <c r="E125" s="71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18">
        <v>4607091385748</v>
      </c>
      <c r="E126" s="718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7" t="s">
        <v>249</v>
      </c>
      <c r="Q126" s="720"/>
      <c r="R126" s="720"/>
      <c r="S126" s="720"/>
      <c r="T126" s="72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718">
        <v>4680115884533</v>
      </c>
      <c r="E127" s="718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0"/>
      <c r="R127" s="720"/>
      <c r="S127" s="720"/>
      <c r="T127" s="721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18">
        <v>4680115884533</v>
      </c>
      <c r="E128" s="718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89" t="s">
        <v>254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7" t="s">
        <v>173</v>
      </c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7"/>
      <c r="P131" s="717"/>
      <c r="Q131" s="717"/>
      <c r="R131" s="717"/>
      <c r="S131" s="717"/>
      <c r="T131" s="717"/>
      <c r="U131" s="717"/>
      <c r="V131" s="717"/>
      <c r="W131" s="717"/>
      <c r="X131" s="717"/>
      <c r="Y131" s="717"/>
      <c r="Z131" s="717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18">
        <v>4680115880238</v>
      </c>
      <c r="E132" s="71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0"/>
      <c r="R132" s="720"/>
      <c r="S132" s="720"/>
      <c r="T132" s="72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18">
        <v>4680115880238</v>
      </c>
      <c r="E133" s="718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1" t="s">
        <v>259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7"/>
      <c r="P134" s="723" t="s">
        <v>40</v>
      </c>
      <c r="Q134" s="724"/>
      <c r="R134" s="724"/>
      <c r="S134" s="724"/>
      <c r="T134" s="724"/>
      <c r="U134" s="724"/>
      <c r="V134" s="72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6" t="s">
        <v>260</v>
      </c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62"/>
      <c r="AB136" s="62"/>
      <c r="AC136" s="62"/>
    </row>
    <row r="137" spans="1:68" ht="14.25" hidden="1" customHeight="1" x14ac:dyDescent="0.25">
      <c r="A137" s="717" t="s">
        <v>122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18">
        <v>4680115882577</v>
      </c>
      <c r="E138" s="71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18">
        <v>4680115882577</v>
      </c>
      <c r="E139" s="718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77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718">
        <v>4680115883444</v>
      </c>
      <c r="E143" s="71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18">
        <v>4680115883444</v>
      </c>
      <c r="E144" s="718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7" t="s">
        <v>86</v>
      </c>
      <c r="B147" s="717"/>
      <c r="C147" s="717"/>
      <c r="D147" s="717"/>
      <c r="E147" s="717"/>
      <c r="F147" s="717"/>
      <c r="G147" s="717"/>
      <c r="H147" s="717"/>
      <c r="I147" s="717"/>
      <c r="J147" s="717"/>
      <c r="K147" s="717"/>
      <c r="L147" s="717"/>
      <c r="M147" s="717"/>
      <c r="N147" s="717"/>
      <c r="O147" s="717"/>
      <c r="P147" s="717"/>
      <c r="Q147" s="717"/>
      <c r="R147" s="717"/>
      <c r="S147" s="717"/>
      <c r="T147" s="717"/>
      <c r="U147" s="717"/>
      <c r="V147" s="717"/>
      <c r="W147" s="717"/>
      <c r="X147" s="717"/>
      <c r="Y147" s="717"/>
      <c r="Z147" s="717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718">
        <v>4680115882584</v>
      </c>
      <c r="E148" s="71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0"/>
      <c r="R148" s="720"/>
      <c r="S148" s="720"/>
      <c r="T148" s="721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18">
        <v>4680115882584</v>
      </c>
      <c r="E149" s="718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6" t="s">
        <v>273</v>
      </c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62"/>
      <c r="AB152" s="62"/>
      <c r="AC152" s="62"/>
    </row>
    <row r="153" spans="1:68" ht="14.25" hidden="1" customHeight="1" x14ac:dyDescent="0.25">
      <c r="A153" s="717" t="s">
        <v>86</v>
      </c>
      <c r="B153" s="717"/>
      <c r="C153" s="717"/>
      <c r="D153" s="717"/>
      <c r="E153" s="717"/>
      <c r="F153" s="717"/>
      <c r="G153" s="717"/>
      <c r="H153" s="717"/>
      <c r="I153" s="717"/>
      <c r="J153" s="717"/>
      <c r="K153" s="717"/>
      <c r="L153" s="717"/>
      <c r="M153" s="717"/>
      <c r="N153" s="717"/>
      <c r="O153" s="717"/>
      <c r="P153" s="717"/>
      <c r="Q153" s="717"/>
      <c r="R153" s="717"/>
      <c r="S153" s="717"/>
      <c r="T153" s="717"/>
      <c r="U153" s="717"/>
      <c r="V153" s="717"/>
      <c r="W153" s="717"/>
      <c r="X153" s="717"/>
      <c r="Y153" s="717"/>
      <c r="Z153" s="717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18">
        <v>4680115888203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18">
        <v>4680115888180</v>
      </c>
      <c r="E155" s="718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18">
        <v>4680115888180</v>
      </c>
      <c r="E156" s="71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0"/>
      <c r="R156" s="720"/>
      <c r="S156" s="720"/>
      <c r="T156" s="72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18">
        <v>4680115888197</v>
      </c>
      <c r="E157" s="71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0"/>
      <c r="R157" s="720"/>
      <c r="S157" s="720"/>
      <c r="T157" s="72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18">
        <v>4680115888197</v>
      </c>
      <c r="E158" s="71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18">
        <v>4680115888210</v>
      </c>
      <c r="E159" s="71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18">
        <v>4680115888210</v>
      </c>
      <c r="E160" s="71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0"/>
      <c r="R160" s="720"/>
      <c r="S160" s="720"/>
      <c r="T160" s="72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7" t="s">
        <v>289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18">
        <v>4680115889132</v>
      </c>
      <c r="E164" s="718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6"/>
      <c r="B165" s="726"/>
      <c r="C165" s="726"/>
      <c r="D165" s="726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7"/>
      <c r="P165" s="723" t="s">
        <v>40</v>
      </c>
      <c r="Q165" s="724"/>
      <c r="R165" s="724"/>
      <c r="S165" s="724"/>
      <c r="T165" s="724"/>
      <c r="U165" s="724"/>
      <c r="V165" s="72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6"/>
      <c r="B166" s="726"/>
      <c r="C166" s="726"/>
      <c r="D166" s="726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7"/>
      <c r="P166" s="723" t="s">
        <v>40</v>
      </c>
      <c r="Q166" s="724"/>
      <c r="R166" s="724"/>
      <c r="S166" s="724"/>
      <c r="T166" s="724"/>
      <c r="U166" s="724"/>
      <c r="V166" s="72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6" t="s">
        <v>120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62"/>
      <c r="AB167" s="62"/>
      <c r="AC167" s="62"/>
    </row>
    <row r="168" spans="1:68" ht="14.25" hidden="1" customHeight="1" x14ac:dyDescent="0.25">
      <c r="A168" s="717" t="s">
        <v>122</v>
      </c>
      <c r="B168" s="717"/>
      <c r="C168" s="717"/>
      <c r="D168" s="717"/>
      <c r="E168" s="717"/>
      <c r="F168" s="717"/>
      <c r="G168" s="717"/>
      <c r="H168" s="717"/>
      <c r="I168" s="717"/>
      <c r="J168" s="717"/>
      <c r="K168" s="717"/>
      <c r="L168" s="717"/>
      <c r="M168" s="717"/>
      <c r="N168" s="717"/>
      <c r="O168" s="717"/>
      <c r="P168" s="717"/>
      <c r="Q168" s="717"/>
      <c r="R168" s="717"/>
      <c r="S168" s="717"/>
      <c r="T168" s="717"/>
      <c r="U168" s="717"/>
      <c r="V168" s="717"/>
      <c r="W168" s="717"/>
      <c r="X168" s="717"/>
      <c r="Y168" s="717"/>
      <c r="Z168" s="717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18">
        <v>4680115887374</v>
      </c>
      <c r="E169" s="718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0"/>
      <c r="R169" s="720"/>
      <c r="S169" s="720"/>
      <c r="T169" s="721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18">
        <v>4607091384604</v>
      </c>
      <c r="E170" s="718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18">
        <v>4680115888876</v>
      </c>
      <c r="E171" s="718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155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718">
        <v>4680115887695</v>
      </c>
      <c r="E175" s="718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18">
        <v>4680115889491</v>
      </c>
      <c r="E176" s="718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6"/>
      <c r="B177" s="726"/>
      <c r="C177" s="726"/>
      <c r="D177" s="726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7"/>
      <c r="P177" s="723" t="s">
        <v>40</v>
      </c>
      <c r="Q177" s="724"/>
      <c r="R177" s="724"/>
      <c r="S177" s="724"/>
      <c r="T177" s="724"/>
      <c r="U177" s="724"/>
      <c r="V177" s="72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6"/>
      <c r="B178" s="726"/>
      <c r="C178" s="726"/>
      <c r="D178" s="726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7"/>
      <c r="P178" s="723" t="s">
        <v>40</v>
      </c>
      <c r="Q178" s="724"/>
      <c r="R178" s="724"/>
      <c r="S178" s="724"/>
      <c r="T178" s="724"/>
      <c r="U178" s="724"/>
      <c r="V178" s="72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7" t="s">
        <v>77</v>
      </c>
      <c r="B179" s="717"/>
      <c r="C179" s="717"/>
      <c r="D179" s="717"/>
      <c r="E179" s="717"/>
      <c r="F179" s="717"/>
      <c r="G179" s="717"/>
      <c r="H179" s="717"/>
      <c r="I179" s="717"/>
      <c r="J179" s="717"/>
      <c r="K179" s="717"/>
      <c r="L179" s="717"/>
      <c r="M179" s="717"/>
      <c r="N179" s="717"/>
      <c r="O179" s="717"/>
      <c r="P179" s="717"/>
      <c r="Q179" s="717"/>
      <c r="R179" s="717"/>
      <c r="S179" s="717"/>
      <c r="T179" s="717"/>
      <c r="U179" s="717"/>
      <c r="V179" s="717"/>
      <c r="W179" s="717"/>
      <c r="X179" s="717"/>
      <c r="Y179" s="717"/>
      <c r="Z179" s="717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718">
        <v>4680115887428</v>
      </c>
      <c r="E180" s="718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18">
        <v>4680115889170</v>
      </c>
      <c r="E181" s="718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718">
        <v>4680115887398</v>
      </c>
      <c r="E182" s="71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718">
        <v>4680115887336</v>
      </c>
      <c r="E183" s="718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18">
        <v>4680115887336</v>
      </c>
      <c r="E184" s="71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5" t="s">
        <v>324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18">
        <v>4680115887787</v>
      </c>
      <c r="E185" s="718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18">
        <v>4680115887787</v>
      </c>
      <c r="E186" s="718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7" t="s">
        <v>330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718">
        <v>4680115887503</v>
      </c>
      <c r="E187" s="718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0"/>
      <c r="R187" s="720"/>
      <c r="S187" s="720"/>
      <c r="T187" s="72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18">
        <v>4680115887763</v>
      </c>
      <c r="E188" s="71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0"/>
      <c r="R188" s="720"/>
      <c r="S188" s="720"/>
      <c r="T188" s="72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718">
        <v>4680115887480</v>
      </c>
      <c r="E189" s="718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18">
        <v>4680115888067</v>
      </c>
      <c r="E190" s="718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718">
        <v>4680115887435</v>
      </c>
      <c r="E191" s="718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86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18">
        <v>4680115888395</v>
      </c>
      <c r="E195" s="718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18">
        <v>4680115888371</v>
      </c>
      <c r="E196" s="718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18">
        <v>4680115887459</v>
      </c>
      <c r="E197" s="718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0"/>
      <c r="R197" s="720"/>
      <c r="S197" s="720"/>
      <c r="T197" s="72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6"/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7"/>
      <c r="P199" s="723" t="s">
        <v>40</v>
      </c>
      <c r="Q199" s="724"/>
      <c r="R199" s="724"/>
      <c r="S199" s="724"/>
      <c r="T199" s="724"/>
      <c r="U199" s="724"/>
      <c r="V199" s="72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7" t="s">
        <v>289</v>
      </c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7"/>
      <c r="P200" s="717"/>
      <c r="Q200" s="717"/>
      <c r="R200" s="717"/>
      <c r="S200" s="717"/>
      <c r="T200" s="717"/>
      <c r="U200" s="717"/>
      <c r="V200" s="717"/>
      <c r="W200" s="717"/>
      <c r="X200" s="717"/>
      <c r="Y200" s="717"/>
      <c r="Z200" s="717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18">
        <v>4680115889026</v>
      </c>
      <c r="E201" s="718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0"/>
      <c r="R201" s="720"/>
      <c r="S201" s="720"/>
      <c r="T201" s="72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6"/>
      <c r="B203" s="726"/>
      <c r="C203" s="726"/>
      <c r="D203" s="726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7"/>
      <c r="P203" s="723" t="s">
        <v>40</v>
      </c>
      <c r="Q203" s="724"/>
      <c r="R203" s="724"/>
      <c r="S203" s="724"/>
      <c r="T203" s="724"/>
      <c r="U203" s="724"/>
      <c r="V203" s="72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7" t="s">
        <v>356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18">
        <v>4680115889033</v>
      </c>
      <c r="E205" s="718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5" t="s">
        <v>360</v>
      </c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52"/>
      <c r="AB208" s="52"/>
      <c r="AC208" s="52"/>
    </row>
    <row r="209" spans="1:68" ht="16.5" hidden="1" customHeight="1" x14ac:dyDescent="0.25">
      <c r="A209" s="716" t="s">
        <v>361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  <c r="AA209" s="62"/>
      <c r="AB209" s="62"/>
      <c r="AC209" s="62"/>
    </row>
    <row r="210" spans="1:68" ht="14.25" hidden="1" customHeight="1" x14ac:dyDescent="0.25">
      <c r="A210" s="717" t="s">
        <v>122</v>
      </c>
      <c r="B210" s="717"/>
      <c r="C210" s="717"/>
      <c r="D210" s="717"/>
      <c r="E210" s="717"/>
      <c r="F210" s="717"/>
      <c r="G210" s="717"/>
      <c r="H210" s="717"/>
      <c r="I210" s="717"/>
      <c r="J210" s="717"/>
      <c r="K210" s="717"/>
      <c r="L210" s="717"/>
      <c r="M210" s="717"/>
      <c r="N210" s="717"/>
      <c r="O210" s="717"/>
      <c r="P210" s="717"/>
      <c r="Q210" s="717"/>
      <c r="R210" s="717"/>
      <c r="S210" s="717"/>
      <c r="T210" s="717"/>
      <c r="U210" s="717"/>
      <c r="V210" s="717"/>
      <c r="W210" s="717"/>
      <c r="X210" s="717"/>
      <c r="Y210" s="717"/>
      <c r="Z210" s="717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18">
        <v>4607091383423</v>
      </c>
      <c r="E211" s="718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18">
        <v>4680115888760</v>
      </c>
      <c r="E212" s="718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18">
        <v>4680115888807</v>
      </c>
      <c r="E213" s="718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0"/>
      <c r="R213" s="720"/>
      <c r="S213" s="720"/>
      <c r="T213" s="72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18">
        <v>4680115888852</v>
      </c>
      <c r="E214" s="718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0"/>
      <c r="R214" s="720"/>
      <c r="S214" s="720"/>
      <c r="T214" s="72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18">
        <v>4680115886957</v>
      </c>
      <c r="E215" s="718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0"/>
      <c r="R215" s="720"/>
      <c r="S215" s="720"/>
      <c r="T215" s="72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18">
        <v>4680115885660</v>
      </c>
      <c r="E216" s="718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18">
        <v>4680115886773</v>
      </c>
      <c r="E217" s="718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6" t="s">
        <v>382</v>
      </c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  <c r="AA220" s="62"/>
      <c r="AB220" s="62"/>
      <c r="AC220" s="62"/>
    </row>
    <row r="221" spans="1:68" ht="14.25" hidden="1" customHeight="1" x14ac:dyDescent="0.25">
      <c r="A221" s="717" t="s">
        <v>155</v>
      </c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7"/>
      <c r="P221" s="717"/>
      <c r="Q221" s="717"/>
      <c r="R221" s="717"/>
      <c r="S221" s="717"/>
      <c r="T221" s="717"/>
      <c r="U221" s="717"/>
      <c r="V221" s="717"/>
      <c r="W221" s="717"/>
      <c r="X221" s="717"/>
      <c r="Y221" s="717"/>
      <c r="Z221" s="717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18">
        <v>4680115886223</v>
      </c>
      <c r="E222" s="718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6"/>
      <c r="B223" s="726"/>
      <c r="C223" s="726"/>
      <c r="D223" s="726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7"/>
      <c r="P223" s="723" t="s">
        <v>40</v>
      </c>
      <c r="Q223" s="724"/>
      <c r="R223" s="724"/>
      <c r="S223" s="724"/>
      <c r="T223" s="724"/>
      <c r="U223" s="724"/>
      <c r="V223" s="72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6"/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7"/>
      <c r="P224" s="723" t="s">
        <v>40</v>
      </c>
      <c r="Q224" s="724"/>
      <c r="R224" s="724"/>
      <c r="S224" s="724"/>
      <c r="T224" s="724"/>
      <c r="U224" s="724"/>
      <c r="V224" s="72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7" t="s">
        <v>77</v>
      </c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7"/>
      <c r="O225" s="717"/>
      <c r="P225" s="717"/>
      <c r="Q225" s="717"/>
      <c r="R225" s="717"/>
      <c r="S225" s="717"/>
      <c r="T225" s="717"/>
      <c r="U225" s="717"/>
      <c r="V225" s="717"/>
      <c r="W225" s="717"/>
      <c r="X225" s="717"/>
      <c r="Y225" s="717"/>
      <c r="Z225" s="717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718">
        <v>4680115880993</v>
      </c>
      <c r="E226" s="718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18">
        <v>4680115881761</v>
      </c>
      <c r="E227" s="718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18">
        <v>4680115881563</v>
      </c>
      <c r="E228" s="718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718">
        <v>4680115887565</v>
      </c>
      <c r="E229" s="718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718">
        <v>4680115880986</v>
      </c>
      <c r="E230" s="718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18">
        <v>4680115887213</v>
      </c>
      <c r="E231" s="718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718">
        <v>4680115881785</v>
      </c>
      <c r="E232" s="718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18">
        <v>4680115888432</v>
      </c>
      <c r="E233" s="718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18">
        <v>4680115888104</v>
      </c>
      <c r="E234" s="718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18">
        <v>4680115886537</v>
      </c>
      <c r="E235" s="718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18">
        <v>4680115887596</v>
      </c>
      <c r="E236" s="718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0"/>
      <c r="R236" s="720"/>
      <c r="S236" s="720"/>
      <c r="T236" s="72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718">
        <v>4680115881679</v>
      </c>
      <c r="E237" s="718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0"/>
      <c r="R237" s="720"/>
      <c r="S237" s="720"/>
      <c r="T237" s="72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18">
        <v>4680115880191</v>
      </c>
      <c r="E238" s="718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18">
        <v>4680115883963</v>
      </c>
      <c r="E239" s="718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6"/>
      <c r="B240" s="726"/>
      <c r="C240" s="726"/>
      <c r="D240" s="726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7"/>
      <c r="P240" s="723" t="s">
        <v>40</v>
      </c>
      <c r="Q240" s="724"/>
      <c r="R240" s="724"/>
      <c r="S240" s="724"/>
      <c r="T240" s="724"/>
      <c r="U240" s="724"/>
      <c r="V240" s="72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7" t="s">
        <v>86</v>
      </c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7"/>
      <c r="P242" s="717"/>
      <c r="Q242" s="717"/>
      <c r="R242" s="717"/>
      <c r="S242" s="717"/>
      <c r="T242" s="717"/>
      <c r="U242" s="717"/>
      <c r="V242" s="717"/>
      <c r="W242" s="717"/>
      <c r="X242" s="717"/>
      <c r="Y242" s="717"/>
      <c r="Z242" s="717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18">
        <v>4680115888692</v>
      </c>
      <c r="E243" s="718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18">
        <v>4680115888722</v>
      </c>
      <c r="E244" s="718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18">
        <v>4680115888951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18">
        <v>4680115888975</v>
      </c>
      <c r="E246" s="718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289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7" t="s">
        <v>446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6" t="s">
        <v>449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122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155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77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7" t="s">
        <v>86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7" t="s">
        <v>173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6" t="s">
        <v>517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122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7" t="s">
        <v>155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539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356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18">
        <v>4680115886704</v>
      </c>
      <c r="E322" s="718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18">
        <v>4680115886681</v>
      </c>
      <c r="E323" s="718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0"/>
      <c r="R323" s="720"/>
      <c r="S323" s="720"/>
      <c r="T323" s="72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718">
        <v>4680115886735</v>
      </c>
      <c r="E324" s="718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0"/>
      <c r="R324" s="720"/>
      <c r="S324" s="720"/>
      <c r="T324" s="721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6"/>
      <c r="B325" s="726"/>
      <c r="C325" s="726"/>
      <c r="D325" s="726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7"/>
      <c r="P325" s="723" t="s">
        <v>40</v>
      </c>
      <c r="Q325" s="724"/>
      <c r="R325" s="724"/>
      <c r="S325" s="724"/>
      <c r="T325" s="724"/>
      <c r="U325" s="724"/>
      <c r="V325" s="72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6" t="s">
        <v>550</v>
      </c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62"/>
      <c r="AB327" s="62"/>
      <c r="AC327" s="62"/>
    </row>
    <row r="328" spans="1:68" ht="14.25" hidden="1" customHeight="1" x14ac:dyDescent="0.25">
      <c r="A328" s="717" t="s">
        <v>122</v>
      </c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7"/>
      <c r="P328" s="717"/>
      <c r="Q328" s="717"/>
      <c r="R328" s="717"/>
      <c r="S328" s="717"/>
      <c r="T328" s="717"/>
      <c r="U328" s="717"/>
      <c r="V328" s="717"/>
      <c r="W328" s="717"/>
      <c r="X328" s="717"/>
      <c r="Y328" s="717"/>
      <c r="Z328" s="717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18">
        <v>4680115885837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18">
        <v>4680115887237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18">
        <v>4680115885806</v>
      </c>
      <c r="E331" s="718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18">
        <v>4680115885844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18">
        <v>4680115885820</v>
      </c>
      <c r="E333" s="718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0"/>
      <c r="R333" s="720"/>
      <c r="S333" s="720"/>
      <c r="T333" s="72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6"/>
      <c r="B335" s="726"/>
      <c r="C335" s="726"/>
      <c r="D335" s="726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7"/>
      <c r="P335" s="723" t="s">
        <v>40</v>
      </c>
      <c r="Q335" s="724"/>
      <c r="R335" s="724"/>
      <c r="S335" s="724"/>
      <c r="T335" s="724"/>
      <c r="U335" s="724"/>
      <c r="V335" s="72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6" t="s">
        <v>566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62"/>
      <c r="AB336" s="62"/>
      <c r="AC336" s="62"/>
    </row>
    <row r="337" spans="1:68" ht="14.25" hidden="1" customHeight="1" x14ac:dyDescent="0.25">
      <c r="A337" s="717" t="s">
        <v>86</v>
      </c>
      <c r="B337" s="717"/>
      <c r="C337" s="717"/>
      <c r="D337" s="717"/>
      <c r="E337" s="717"/>
      <c r="F337" s="717"/>
      <c r="G337" s="717"/>
      <c r="H337" s="717"/>
      <c r="I337" s="717"/>
      <c r="J337" s="717"/>
      <c r="K337" s="717"/>
      <c r="L337" s="717"/>
      <c r="M337" s="717"/>
      <c r="N337" s="717"/>
      <c r="O337" s="717"/>
      <c r="P337" s="717"/>
      <c r="Q337" s="717"/>
      <c r="R337" s="717"/>
      <c r="S337" s="717"/>
      <c r="T337" s="717"/>
      <c r="U337" s="717"/>
      <c r="V337" s="717"/>
      <c r="W337" s="717"/>
      <c r="X337" s="717"/>
      <c r="Y337" s="717"/>
      <c r="Z337" s="717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18">
        <v>4680115886186</v>
      </c>
      <c r="E338" s="718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18">
        <v>4680115881228</v>
      </c>
      <c r="E339" s="718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718">
        <v>4680115881211</v>
      </c>
      <c r="E340" s="718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0"/>
      <c r="R340" s="720"/>
      <c r="S340" s="720"/>
      <c r="T340" s="72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6" t="s">
        <v>575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  <c r="AA343" s="62"/>
      <c r="AB343" s="62"/>
      <c r="AC343" s="62"/>
    </row>
    <row r="344" spans="1:68" ht="14.25" hidden="1" customHeight="1" x14ac:dyDescent="0.25">
      <c r="A344" s="717" t="s">
        <v>77</v>
      </c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7"/>
      <c r="P344" s="717"/>
      <c r="Q344" s="717"/>
      <c r="R344" s="717"/>
      <c r="S344" s="717"/>
      <c r="T344" s="717"/>
      <c r="U344" s="717"/>
      <c r="V344" s="717"/>
      <c r="W344" s="717"/>
      <c r="X344" s="717"/>
      <c r="Y344" s="717"/>
      <c r="Z344" s="717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18">
        <v>4680115888319</v>
      </c>
      <c r="E345" s="718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18">
        <v>4680115884700</v>
      </c>
      <c r="E346" s="718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18">
        <v>4680115880344</v>
      </c>
      <c r="E347" s="718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18">
        <v>4680115886919</v>
      </c>
      <c r="E348" s="718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18">
        <v>4680115883970</v>
      </c>
      <c r="E349" s="718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0"/>
      <c r="R349" s="720"/>
      <c r="S349" s="720"/>
      <c r="T349" s="72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7"/>
      <c r="P351" s="723" t="s">
        <v>40</v>
      </c>
      <c r="Q351" s="724"/>
      <c r="R351" s="724"/>
      <c r="S351" s="724"/>
      <c r="T351" s="724"/>
      <c r="U351" s="724"/>
      <c r="V351" s="72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7" t="s">
        <v>86</v>
      </c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7"/>
      <c r="P352" s="717"/>
      <c r="Q352" s="717"/>
      <c r="R352" s="717"/>
      <c r="S352" s="717"/>
      <c r="T352" s="717"/>
      <c r="U352" s="717"/>
      <c r="V352" s="717"/>
      <c r="W352" s="717"/>
      <c r="X352" s="717"/>
      <c r="Y352" s="717"/>
      <c r="Z352" s="717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18">
        <v>4680115884618</v>
      </c>
      <c r="E353" s="718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18">
        <v>4680115887114</v>
      </c>
      <c r="E354" s="718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0"/>
      <c r="R354" s="720"/>
      <c r="S354" s="720"/>
      <c r="T354" s="721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6" t="s">
        <v>596</v>
      </c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  <c r="AA357" s="62"/>
      <c r="AB357" s="62"/>
      <c r="AC357" s="62"/>
    </row>
    <row r="358" spans="1:68" ht="14.25" hidden="1" customHeight="1" x14ac:dyDescent="0.25">
      <c r="A358" s="717" t="s">
        <v>122</v>
      </c>
      <c r="B358" s="717"/>
      <c r="C358" s="717"/>
      <c r="D358" s="717"/>
      <c r="E358" s="717"/>
      <c r="F358" s="717"/>
      <c r="G358" s="717"/>
      <c r="H358" s="717"/>
      <c r="I358" s="717"/>
      <c r="J358" s="717"/>
      <c r="K358" s="717"/>
      <c r="L358" s="717"/>
      <c r="M358" s="717"/>
      <c r="N358" s="717"/>
      <c r="O358" s="717"/>
      <c r="P358" s="717"/>
      <c r="Q358" s="717"/>
      <c r="R358" s="717"/>
      <c r="S358" s="717"/>
      <c r="T358" s="717"/>
      <c r="U358" s="717"/>
      <c r="V358" s="717"/>
      <c r="W358" s="717"/>
      <c r="X358" s="717"/>
      <c r="Y358" s="717"/>
      <c r="Z358" s="717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718">
        <v>4680115887947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718">
        <v>4680115887978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18">
        <v>4680115887992</v>
      </c>
      <c r="E361" s="718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0"/>
      <c r="R361" s="720"/>
      <c r="S361" s="720"/>
      <c r="T361" s="721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6" t="s">
        <v>605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  <c r="AA364" s="62"/>
      <c r="AB364" s="62"/>
      <c r="AC364" s="62"/>
    </row>
    <row r="365" spans="1:68" ht="14.25" hidden="1" customHeight="1" x14ac:dyDescent="0.25">
      <c r="A365" s="717" t="s">
        <v>122</v>
      </c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7"/>
      <c r="P365" s="717"/>
      <c r="Q365" s="717"/>
      <c r="R365" s="717"/>
      <c r="S365" s="717"/>
      <c r="T365" s="717"/>
      <c r="U365" s="717"/>
      <c r="V365" s="717"/>
      <c r="W365" s="717"/>
      <c r="X365" s="717"/>
      <c r="Y365" s="717"/>
      <c r="Z365" s="717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77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86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173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289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668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677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686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86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693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86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703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704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122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155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729</v>
      </c>
      <c r="B442" s="60" t="s">
        <v>730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86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173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753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122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77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86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900</v>
      </c>
      <c r="Y469" s="53">
        <f>IFERROR(IF(X469="",0,CEILING((X469/$H469),1)*$H469),"")</f>
        <v>900</v>
      </c>
      <c r="Z469" s="39">
        <f>IFERROR(IF(Y469=0,"",ROUNDUP(Y469/H469,0)*0.01898),"")</f>
        <v>1.8980000000000001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949.40000000000009</v>
      </c>
      <c r="BN469" s="75">
        <f>IFERROR(Y469*I469/H469,"0")</f>
        <v>949.40000000000009</v>
      </c>
      <c r="BO469" s="75">
        <f>IFERROR(1/J469*(X469/H469),"0")</f>
        <v>1.5625</v>
      </c>
      <c r="BP469" s="75">
        <f>IFERROR(1/J469*(Y469/H469),"0")</f>
        <v>1.5625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100</v>
      </c>
      <c r="Y472" s="41">
        <f>IFERROR(Y469/H469,"0")+IFERROR(Y470/H470,"0")+IFERROR(Y471/H471,"0")</f>
        <v>100</v>
      </c>
      <c r="Z472" s="41">
        <f>IFERROR(IF(Z469="",0,Z469),"0")+IFERROR(IF(Z470="",0,Z470),"0")+IFERROR(IF(Z471="",0,Z471),"0")</f>
        <v>1.8980000000000001</v>
      </c>
      <c r="AA472" s="64"/>
      <c r="AB472" s="64"/>
      <c r="AC472" s="64"/>
    </row>
    <row r="473" spans="1:68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900</v>
      </c>
      <c r="Y473" s="41">
        <f>IFERROR(SUM(Y469:Y471),"0")</f>
        <v>900</v>
      </c>
      <c r="Z473" s="40"/>
      <c r="AA473" s="64"/>
      <c r="AB473" s="64"/>
      <c r="AC473" s="64"/>
    </row>
    <row r="474" spans="1:68" ht="27.75" hidden="1" customHeight="1" x14ac:dyDescent="0.2">
      <c r="A474" s="715" t="s">
        <v>769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770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77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86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793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155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77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805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805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122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155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77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852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852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122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155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718">
        <v>4640242180519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77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86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173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871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155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718">
        <v>4640242180090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900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949.40000000000009</v>
      </c>
      <c r="Y560" s="41">
        <f>IFERROR(SUM(BN22:BN556),"0")</f>
        <v>949.40000000000009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999.40000000000009</v>
      </c>
      <c r="Y562" s="41">
        <f>GrossWeightTotalR+PalletQtyTotalR*25</f>
        <v>999.40000000000009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100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1.8980000000000001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1005" t="s">
        <v>120</v>
      </c>
      <c r="E566" s="1005" t="s">
        <v>120</v>
      </c>
      <c r="F566" s="1005" t="s">
        <v>120</v>
      </c>
      <c r="G566" s="1005" t="s">
        <v>120</v>
      </c>
      <c r="H566" s="1005" t="s">
        <v>120</v>
      </c>
      <c r="I566" s="1005" t="s">
        <v>120</v>
      </c>
      <c r="J566" s="1005" t="s">
        <v>120</v>
      </c>
      <c r="K566" s="1005" t="s">
        <v>360</v>
      </c>
      <c r="L566" s="1005" t="s">
        <v>360</v>
      </c>
      <c r="M566" s="1005" t="s">
        <v>360</v>
      </c>
      <c r="N566" s="1014"/>
      <c r="O566" s="1005" t="s">
        <v>360</v>
      </c>
      <c r="P566" s="1005" t="s">
        <v>360</v>
      </c>
      <c r="Q566" s="1005" t="s">
        <v>360</v>
      </c>
      <c r="R566" s="1005" t="s">
        <v>360</v>
      </c>
      <c r="S566" s="1005" t="s">
        <v>360</v>
      </c>
      <c r="T566" s="1005" t="s">
        <v>360</v>
      </c>
      <c r="U566" s="1005" t="s">
        <v>360</v>
      </c>
      <c r="V566" s="1005" t="s">
        <v>360</v>
      </c>
      <c r="W566" s="1005" t="s">
        <v>703</v>
      </c>
      <c r="X566" s="1005" t="s">
        <v>703</v>
      </c>
      <c r="Y566" s="1005" t="s">
        <v>769</v>
      </c>
      <c r="Z566" s="1005" t="s">
        <v>769</v>
      </c>
      <c r="AA566" s="80" t="s">
        <v>805</v>
      </c>
      <c r="AB566" s="1005" t="s">
        <v>852</v>
      </c>
      <c r="AC566" s="1005" t="s">
        <v>852</v>
      </c>
      <c r="AF566" s="1"/>
    </row>
    <row r="567" spans="1:32" ht="14.25" customHeight="1" thickTop="1" x14ac:dyDescent="0.2">
      <c r="A567" s="1015" t="s">
        <v>10</v>
      </c>
      <c r="B567" s="1005" t="s">
        <v>76</v>
      </c>
      <c r="C567" s="1005" t="s">
        <v>104</v>
      </c>
      <c r="D567" s="1005" t="s">
        <v>121</v>
      </c>
      <c r="E567" s="1005" t="s">
        <v>137</v>
      </c>
      <c r="F567" s="1005" t="s">
        <v>182</v>
      </c>
      <c r="G567" s="1005" t="s">
        <v>209</v>
      </c>
      <c r="H567" s="1005" t="s">
        <v>260</v>
      </c>
      <c r="I567" s="1005" t="s">
        <v>273</v>
      </c>
      <c r="J567" s="1005" t="s">
        <v>120</v>
      </c>
      <c r="K567" s="1005" t="s">
        <v>361</v>
      </c>
      <c r="L567" s="1005" t="s">
        <v>382</v>
      </c>
      <c r="M567" s="1005" t="s">
        <v>449</v>
      </c>
      <c r="N567" s="1"/>
      <c r="O567" s="1005" t="s">
        <v>517</v>
      </c>
      <c r="P567" s="1005" t="s">
        <v>550</v>
      </c>
      <c r="Q567" s="1005" t="s">
        <v>566</v>
      </c>
      <c r="R567" s="1005" t="s">
        <v>575</v>
      </c>
      <c r="S567" s="1005" t="s">
        <v>596</v>
      </c>
      <c r="T567" s="1005" t="s">
        <v>605</v>
      </c>
      <c r="U567" s="1005" t="s">
        <v>686</v>
      </c>
      <c r="V567" s="1005" t="s">
        <v>693</v>
      </c>
      <c r="W567" s="1005" t="s">
        <v>704</v>
      </c>
      <c r="X567" s="1005" t="s">
        <v>753</v>
      </c>
      <c r="Y567" s="1005" t="s">
        <v>770</v>
      </c>
      <c r="Z567" s="1005" t="s">
        <v>793</v>
      </c>
      <c r="AA567" s="1005" t="s">
        <v>805</v>
      </c>
      <c r="AB567" s="1005" t="s">
        <v>852</v>
      </c>
      <c r="AC567" s="1005" t="s">
        <v>871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900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2026-08-29T09:52:51Z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