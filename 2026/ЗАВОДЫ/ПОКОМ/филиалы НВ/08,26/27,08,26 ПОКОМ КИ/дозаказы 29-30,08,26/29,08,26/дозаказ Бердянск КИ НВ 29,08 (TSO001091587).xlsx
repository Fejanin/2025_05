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7,08,26 ПОКОМ КИ\дозаказы 29-30,08,26\"/>
    </mc:Choice>
  </mc:AlternateContent>
  <xr:revisionPtr revIDLastSave="0" documentId="13_ncr:1_{077791B6-2130-4224-9A3E-8B0CFD7042F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Z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12" i="2" l="1"/>
  <c r="BN525" i="2"/>
  <c r="BN534" i="2"/>
  <c r="BN291" i="2"/>
  <c r="BN31" i="2"/>
  <c r="BN191" i="2"/>
  <c r="Z201" i="2"/>
  <c r="Z202" i="2" s="1"/>
  <c r="BN376" i="2"/>
  <c r="BN479" i="2"/>
  <c r="BN526" i="2"/>
  <c r="BN201" i="2"/>
  <c r="BP425" i="2"/>
  <c r="BP486" i="2"/>
  <c r="Z106" i="2"/>
  <c r="BN384" i="2"/>
  <c r="Z354" i="2"/>
  <c r="BP347" i="2"/>
  <c r="BN305" i="2"/>
  <c r="Z392" i="2"/>
  <c r="BN80" i="2"/>
  <c r="BN268" i="2"/>
  <c r="Z59" i="2"/>
  <c r="Z185" i="2"/>
  <c r="BP59" i="2"/>
  <c r="BN110" i="2"/>
  <c r="Z498" i="2"/>
  <c r="Z283" i="2"/>
  <c r="BN332" i="2"/>
  <c r="Z512" i="2"/>
  <c r="Z538" i="2"/>
  <c r="Z539" i="2" s="1"/>
  <c r="Z272" i="2"/>
  <c r="Z348" i="2"/>
  <c r="Z56" i="2"/>
  <c r="BN106" i="2"/>
  <c r="BN212" i="2"/>
  <c r="Z217" i="2"/>
  <c r="BN276" i="2"/>
  <c r="BN283" i="2"/>
  <c r="BP498" i="2"/>
  <c r="BP171" i="2"/>
  <c r="BN272" i="2"/>
  <c r="BN217" i="2"/>
  <c r="BN245" i="2"/>
  <c r="BP348" i="2"/>
  <c r="Z492" i="2"/>
  <c r="Z493" i="2" s="1"/>
  <c r="Z345" i="2"/>
  <c r="BN253" i="2"/>
  <c r="BN345" i="2"/>
  <c r="BP56" i="2"/>
  <c r="BN40" i="2"/>
  <c r="BN71" i="2"/>
  <c r="Z229" i="2"/>
  <c r="BP304" i="2"/>
  <c r="BP103" i="2"/>
  <c r="BP438" i="2"/>
  <c r="BN330" i="2"/>
  <c r="Z425" i="2"/>
  <c r="Z510" i="2"/>
  <c r="Y420" i="2"/>
  <c r="BN469" i="2"/>
  <c r="Z49" i="2"/>
  <c r="BN182" i="2"/>
  <c r="Z227" i="2"/>
  <c r="BN278" i="2"/>
  <c r="Z294" i="2"/>
  <c r="BN359" i="2"/>
  <c r="BP417" i="2"/>
  <c r="Y488" i="2"/>
  <c r="BN231" i="2"/>
  <c r="BN393" i="2"/>
  <c r="Z438" i="2"/>
  <c r="Y25" i="2"/>
  <c r="Y161" i="2"/>
  <c r="BN49" i="2"/>
  <c r="BN176" i="2"/>
  <c r="BN522" i="2"/>
  <c r="Z126" i="2"/>
  <c r="Z144" i="2"/>
  <c r="BN183" i="2"/>
  <c r="Z195" i="2"/>
  <c r="Z170" i="2"/>
  <c r="BP201" i="2"/>
  <c r="Y269" i="2"/>
  <c r="Y427" i="2"/>
  <c r="Z435" i="2"/>
  <c r="BN126" i="2"/>
  <c r="BN195" i="2"/>
  <c r="BN286" i="2"/>
  <c r="Y446" i="2"/>
  <c r="Z462" i="2"/>
  <c r="Y539" i="2"/>
  <c r="Z47" i="2"/>
  <c r="Z238" i="2"/>
  <c r="Z347" i="2"/>
  <c r="BP435" i="2"/>
  <c r="Z509" i="2"/>
  <c r="C569" i="2"/>
  <c r="Y112" i="2"/>
  <c r="BN103" i="2"/>
  <c r="Z488" i="2"/>
  <c r="BN47" i="2"/>
  <c r="Z171" i="2"/>
  <c r="BN238" i="2"/>
  <c r="Z96" i="2"/>
  <c r="Z432" i="2"/>
  <c r="Z461" i="2"/>
  <c r="Y52" i="2"/>
  <c r="Y483" i="2"/>
  <c r="BP39" i="2"/>
  <c r="Z230" i="2"/>
  <c r="BN157" i="2"/>
  <c r="BN366" i="2"/>
  <c r="BN399" i="2"/>
  <c r="Z406" i="2"/>
  <c r="Z437" i="2"/>
  <c r="BP461" i="2"/>
  <c r="Y24" i="2"/>
  <c r="BN186" i="2"/>
  <c r="BN378" i="2"/>
  <c r="BP392" i="2"/>
  <c r="BN487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51" i="2" l="1"/>
  <c r="Z401" i="2"/>
  <c r="Z240" i="2"/>
  <c r="Z419" i="2"/>
  <c r="Z150" i="2"/>
  <c r="Z68" i="2"/>
  <c r="Z129" i="2"/>
  <c r="Z61" i="2"/>
  <c r="Z254" i="2"/>
  <c r="Z145" i="2"/>
  <c r="Z388" i="2"/>
  <c r="Z426" i="2"/>
  <c r="Z341" i="2"/>
  <c r="Z19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<sst xmlns="http://schemas.openxmlformats.org/spreadsheetml/2006/main" count="4335" uniqueCount="917">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</sst>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Z565" sqref="Z5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67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68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/>
      <c r="I5" s="652"/>
      <c r="J5" s="652"/>
      <c r="K5" s="652"/>
      <c r="L5" s="652"/>
      <c r="M5" s="652"/>
      <c r="N5" s="69"/>
      <c r="P5" s="26" t="s">
        <v>4</v>
      </c>
      <c r="Q5" s="654">
        <v>46265</v>
      </c>
      <c r="R5" s="654"/>
      <c r="T5" s="655" t="s">
        <v>3</v>
      </c>
      <c r="U5" s="656"/>
      <c r="V5" s="657" t="s">
        <v>877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661" t="s">
        <v>5</v>
      </c>
      <c r="U6" s="662"/>
      <c r="V6" s="663" t="s">
        <v>70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>
        <f>IFERROR(VLOOKUP(DeliveryAddress,Table,3,0),1)</f>
        <v>1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58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71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55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72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73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61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59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66</v>
      </c>
      <c r="L17" s="693" t="s">
        <v>64</v>
      </c>
      <c r="M17" s="693" t="s">
        <v>2</v>
      </c>
      <c r="N17" s="693" t="s">
        <v>63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56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60</v>
      </c>
      <c r="AB17" s="707" t="s">
        <v>19</v>
      </c>
      <c r="AC17" s="707" t="s">
        <v>65</v>
      </c>
      <c r="AD17" s="709" t="s">
        <v>57</v>
      </c>
      <c r="AE17" s="710"/>
      <c r="AF17" s="711"/>
      <c r="AG17" s="77"/>
      <c r="BD17" s="76" t="s">
        <v>62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76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76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77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86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104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86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120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121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122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137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122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8">
        <v>4680115880283</v>
      </c>
      <c r="E57" s="71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8">
        <v>4680115881525</v>
      </c>
      <c r="E58" s="71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18">
        <v>4680115885899</v>
      </c>
      <c r="E59" s="71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718">
        <v>4680115881419</v>
      </c>
      <c r="E60" s="71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6"/>
      <c r="B61" s="726"/>
      <c r="C61" s="726"/>
      <c r="D61" s="726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7"/>
      <c r="P61" s="723" t="s">
        <v>40</v>
      </c>
      <c r="Q61" s="724"/>
      <c r="R61" s="724"/>
      <c r="S61" s="724"/>
      <c r="T61" s="724"/>
      <c r="U61" s="724"/>
      <c r="V61" s="72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6"/>
      <c r="B62" s="726"/>
      <c r="C62" s="726"/>
      <c r="D62" s="726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7"/>
      <c r="P62" s="723" t="s">
        <v>40</v>
      </c>
      <c r="Q62" s="724"/>
      <c r="R62" s="724"/>
      <c r="S62" s="724"/>
      <c r="T62" s="724"/>
      <c r="U62" s="724"/>
      <c r="V62" s="72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7" t="s">
        <v>155</v>
      </c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  <c r="T63" s="717"/>
      <c r="U63" s="717"/>
      <c r="V63" s="717"/>
      <c r="W63" s="717"/>
      <c r="X63" s="717"/>
      <c r="Y63" s="717"/>
      <c r="Z63" s="717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18">
        <v>4680115881440</v>
      </c>
      <c r="E64" s="71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0"/>
      <c r="R64" s="720"/>
      <c r="S64" s="720"/>
      <c r="T64" s="72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18">
        <v>4680115885950</v>
      </c>
      <c r="E65" s="71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0"/>
      <c r="R65" s="720"/>
      <c r="S65" s="720"/>
      <c r="T65" s="72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18">
        <v>4680115887688</v>
      </c>
      <c r="E66" s="71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0"/>
      <c r="R66" s="720"/>
      <c r="S66" s="720"/>
      <c r="T66" s="72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718">
        <v>4680115881433</v>
      </c>
      <c r="E67" s="71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6"/>
      <c r="B68" s="726"/>
      <c r="C68" s="726"/>
      <c r="D68" s="726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7"/>
      <c r="P68" s="723" t="s">
        <v>40</v>
      </c>
      <c r="Q68" s="724"/>
      <c r="R68" s="724"/>
      <c r="S68" s="724"/>
      <c r="T68" s="724"/>
      <c r="U68" s="724"/>
      <c r="V68" s="72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6"/>
      <c r="B69" s="726"/>
      <c r="C69" s="726"/>
      <c r="D69" s="726"/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7"/>
      <c r="P69" s="723" t="s">
        <v>40</v>
      </c>
      <c r="Q69" s="724"/>
      <c r="R69" s="724"/>
      <c r="S69" s="724"/>
      <c r="T69" s="724"/>
      <c r="U69" s="724"/>
      <c r="V69" s="72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7" t="s">
        <v>86</v>
      </c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  <c r="R70" s="717"/>
      <c r="S70" s="717"/>
      <c r="T70" s="717"/>
      <c r="U70" s="717"/>
      <c r="V70" s="717"/>
      <c r="W70" s="717"/>
      <c r="X70" s="717"/>
      <c r="Y70" s="717"/>
      <c r="Z70" s="71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18">
        <v>4680115884311</v>
      </c>
      <c r="E71" s="71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18">
        <v>4680115884403</v>
      </c>
      <c r="E72" s="71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0"/>
      <c r="R72" s="720"/>
      <c r="S72" s="720"/>
      <c r="T72" s="72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18">
        <v>4680115884403</v>
      </c>
      <c r="E73" s="71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0"/>
      <c r="R73" s="720"/>
      <c r="S73" s="720"/>
      <c r="T73" s="72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6"/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7"/>
      <c r="P74" s="723" t="s">
        <v>40</v>
      </c>
      <c r="Q74" s="724"/>
      <c r="R74" s="724"/>
      <c r="S74" s="724"/>
      <c r="T74" s="724"/>
      <c r="U74" s="724"/>
      <c r="V74" s="72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7" t="s">
        <v>173</v>
      </c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/>
      <c r="P76" s="717"/>
      <c r="Q76" s="717"/>
      <c r="R76" s="717"/>
      <c r="S76" s="717"/>
      <c r="T76" s="717"/>
      <c r="U76" s="717"/>
      <c r="V76" s="717"/>
      <c r="W76" s="717"/>
      <c r="X76" s="717"/>
      <c r="Y76" s="717"/>
      <c r="Z76" s="71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18">
        <v>4680115881532</v>
      </c>
      <c r="E77" s="71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0"/>
      <c r="R77" s="720"/>
      <c r="S77" s="720"/>
      <c r="T77" s="72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18">
        <v>4680115881532</v>
      </c>
      <c r="E78" s="71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0"/>
      <c r="R78" s="720"/>
      <c r="S78" s="720"/>
      <c r="T78" s="72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18">
        <v>4680115881464</v>
      </c>
      <c r="E79" s="71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0"/>
      <c r="R79" s="720"/>
      <c r="S79" s="720"/>
      <c r="T79" s="72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18">
        <v>4680115881464</v>
      </c>
      <c r="E80" s="71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6" t="s">
        <v>182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62"/>
      <c r="AB83" s="62"/>
      <c r="AC83" s="62"/>
    </row>
    <row r="84" spans="1:68" ht="14.25" hidden="1" customHeight="1" x14ac:dyDescent="0.25">
      <c r="A84" s="717" t="s">
        <v>122</v>
      </c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  <c r="R84" s="717"/>
      <c r="S84" s="717"/>
      <c r="T84" s="717"/>
      <c r="U84" s="717"/>
      <c r="V84" s="717"/>
      <c r="W84" s="717"/>
      <c r="X84" s="717"/>
      <c r="Y84" s="717"/>
      <c r="Z84" s="717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8">
        <v>4680115881327</v>
      </c>
      <c r="E85" s="71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0"/>
      <c r="R85" s="720"/>
      <c r="S85" s="720"/>
      <c r="T85" s="721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8">
        <v>4680115887732</v>
      </c>
      <c r="E86" s="71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0"/>
      <c r="R86" s="720"/>
      <c r="S86" s="720"/>
      <c r="T86" s="72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8">
        <v>4680115887732</v>
      </c>
      <c r="E87" s="71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1" t="s">
        <v>190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8">
        <v>4680115881518</v>
      </c>
      <c r="E88" s="71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718">
        <v>4680115881303</v>
      </c>
      <c r="E89" s="71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6"/>
      <c r="B90" s="726"/>
      <c r="C90" s="726"/>
      <c r="D90" s="726"/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7"/>
      <c r="P90" s="723" t="s">
        <v>40</v>
      </c>
      <c r="Q90" s="724"/>
      <c r="R90" s="724"/>
      <c r="S90" s="724"/>
      <c r="T90" s="724"/>
      <c r="U90" s="724"/>
      <c r="V90" s="72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7" t="s">
        <v>86</v>
      </c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7"/>
      <c r="P92" s="717"/>
      <c r="Q92" s="717"/>
      <c r="R92" s="717"/>
      <c r="S92" s="717"/>
      <c r="T92" s="717"/>
      <c r="U92" s="717"/>
      <c r="V92" s="717"/>
      <c r="W92" s="717"/>
      <c r="X92" s="717"/>
      <c r="Y92" s="717"/>
      <c r="Z92" s="717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718">
        <v>4607091386967</v>
      </c>
      <c r="E93" s="71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0"/>
      <c r="R93" s="720"/>
      <c r="S93" s="720"/>
      <c r="T93" s="72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18">
        <v>4607091386967</v>
      </c>
      <c r="E94" s="71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5" t="s">
        <v>199</v>
      </c>
      <c r="Q94" s="720"/>
      <c r="R94" s="720"/>
      <c r="S94" s="720"/>
      <c r="T94" s="72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18">
        <v>4680115884953</v>
      </c>
      <c r="E95" s="71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718">
        <v>4607091385731</v>
      </c>
      <c r="E96" s="71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68" t="s">
        <v>205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209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122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18">
        <v>4680115887718</v>
      </c>
      <c r="E104" s="718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7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18">
        <v>4680115887718</v>
      </c>
      <c r="E105" s="718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718">
        <v>4680115887718</v>
      </c>
      <c r="E106" s="718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718">
        <v>4680115880429</v>
      </c>
      <c r="E109" s="71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6" t="s">
        <v>223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6"/>
      <c r="B111" s="726"/>
      <c r="C111" s="726"/>
      <c r="D111" s="726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7"/>
      <c r="P111" s="723" t="s">
        <v>40</v>
      </c>
      <c r="Q111" s="724"/>
      <c r="R111" s="724"/>
      <c r="S111" s="724"/>
      <c r="T111" s="724"/>
      <c r="U111" s="724"/>
      <c r="V111" s="72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7" t="s">
        <v>155</v>
      </c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7"/>
      <c r="P113" s="717"/>
      <c r="Q113" s="717"/>
      <c r="R113" s="717"/>
      <c r="S113" s="717"/>
      <c r="T113" s="717"/>
      <c r="U113" s="717"/>
      <c r="V113" s="717"/>
      <c r="W113" s="717"/>
      <c r="X113" s="717"/>
      <c r="Y113" s="717"/>
      <c r="Z113" s="717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718">
        <v>4680115881488</v>
      </c>
      <c r="E114" s="718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0"/>
      <c r="R114" s="720"/>
      <c r="S114" s="720"/>
      <c r="T114" s="72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718">
        <v>4680115887664</v>
      </c>
      <c r="E115" s="718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718">
        <v>4680115887664</v>
      </c>
      <c r="E116" s="718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718">
        <v>4680115882775</v>
      </c>
      <c r="E117" s="718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718">
        <v>4680115880658</v>
      </c>
      <c r="E118" s="71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0"/>
      <c r="R118" s="720"/>
      <c r="S118" s="720"/>
      <c r="T118" s="72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6"/>
      <c r="B120" s="726"/>
      <c r="C120" s="726"/>
      <c r="D120" s="726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7"/>
      <c r="P120" s="723" t="s">
        <v>40</v>
      </c>
      <c r="Q120" s="724"/>
      <c r="R120" s="724"/>
      <c r="S120" s="724"/>
      <c r="T120" s="724"/>
      <c r="U120" s="724"/>
      <c r="V120" s="72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7" t="s">
        <v>86</v>
      </c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7"/>
      <c r="P121" s="717"/>
      <c r="Q121" s="717"/>
      <c r="R121" s="717"/>
      <c r="S121" s="717"/>
      <c r="T121" s="717"/>
      <c r="U121" s="717"/>
      <c r="V121" s="717"/>
      <c r="W121" s="717"/>
      <c r="X121" s="717"/>
      <c r="Y121" s="717"/>
      <c r="Z121" s="717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718">
        <v>4607091385168</v>
      </c>
      <c r="E122" s="71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7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718">
        <v>4607091385168</v>
      </c>
      <c r="E123" s="71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784" t="s">
        <v>243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718">
        <v>4607091383256</v>
      </c>
      <c r="E124" s="71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718">
        <v>4607091385748</v>
      </c>
      <c r="E125" s="71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0"/>
      <c r="R125" s="720"/>
      <c r="S125" s="720"/>
      <c r="T125" s="72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718">
        <v>4607091385748</v>
      </c>
      <c r="E126" s="718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87" t="s">
        <v>249</v>
      </c>
      <c r="Q126" s="720"/>
      <c r="R126" s="720"/>
      <c r="S126" s="720"/>
      <c r="T126" s="72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718">
        <v>4680115884533</v>
      </c>
      <c r="E127" s="718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7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0"/>
      <c r="R127" s="720"/>
      <c r="S127" s="720"/>
      <c r="T127" s="721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718">
        <v>4680115884533</v>
      </c>
      <c r="E128" s="718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89" t="s">
        <v>254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7" t="s">
        <v>173</v>
      </c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7"/>
      <c r="P131" s="717"/>
      <c r="Q131" s="717"/>
      <c r="R131" s="717"/>
      <c r="S131" s="717"/>
      <c r="T131" s="717"/>
      <c r="U131" s="717"/>
      <c r="V131" s="717"/>
      <c r="W131" s="717"/>
      <c r="X131" s="717"/>
      <c r="Y131" s="717"/>
      <c r="Z131" s="717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718">
        <v>4680115880238</v>
      </c>
      <c r="E132" s="71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79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0"/>
      <c r="R132" s="720"/>
      <c r="S132" s="720"/>
      <c r="T132" s="72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718">
        <v>4680115880238</v>
      </c>
      <c r="E133" s="718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791" t="s">
        <v>259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6"/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7"/>
      <c r="P134" s="723" t="s">
        <v>40</v>
      </c>
      <c r="Q134" s="724"/>
      <c r="R134" s="724"/>
      <c r="S134" s="724"/>
      <c r="T134" s="724"/>
      <c r="U134" s="724"/>
      <c r="V134" s="72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6" t="s">
        <v>260</v>
      </c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62"/>
      <c r="AB136" s="62"/>
      <c r="AC136" s="62"/>
    </row>
    <row r="137" spans="1:68" ht="14.25" hidden="1" customHeight="1" x14ac:dyDescent="0.25">
      <c r="A137" s="717" t="s">
        <v>122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718">
        <v>4680115882577</v>
      </c>
      <c r="E138" s="71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718">
        <v>4680115882577</v>
      </c>
      <c r="E139" s="718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77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718">
        <v>4680115883444</v>
      </c>
      <c r="E143" s="71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718">
        <v>4680115883444</v>
      </c>
      <c r="E144" s="718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7" t="s">
        <v>86</v>
      </c>
      <c r="B147" s="717"/>
      <c r="C147" s="717"/>
      <c r="D147" s="717"/>
      <c r="E147" s="717"/>
      <c r="F147" s="717"/>
      <c r="G147" s="717"/>
      <c r="H147" s="717"/>
      <c r="I147" s="717"/>
      <c r="J147" s="717"/>
      <c r="K147" s="717"/>
      <c r="L147" s="717"/>
      <c r="M147" s="717"/>
      <c r="N147" s="717"/>
      <c r="O147" s="717"/>
      <c r="P147" s="717"/>
      <c r="Q147" s="717"/>
      <c r="R147" s="717"/>
      <c r="S147" s="717"/>
      <c r="T147" s="717"/>
      <c r="U147" s="717"/>
      <c r="V147" s="717"/>
      <c r="W147" s="717"/>
      <c r="X147" s="717"/>
      <c r="Y147" s="717"/>
      <c r="Z147" s="717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718">
        <v>4680115882584</v>
      </c>
      <c r="E148" s="71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0"/>
      <c r="R148" s="720"/>
      <c r="S148" s="720"/>
      <c r="T148" s="721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718">
        <v>4680115882584</v>
      </c>
      <c r="E149" s="718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6" t="s">
        <v>273</v>
      </c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62"/>
      <c r="AB152" s="62"/>
      <c r="AC152" s="62"/>
    </row>
    <row r="153" spans="1:68" ht="14.25" hidden="1" customHeight="1" x14ac:dyDescent="0.25">
      <c r="A153" s="717" t="s">
        <v>86</v>
      </c>
      <c r="B153" s="717"/>
      <c r="C153" s="717"/>
      <c r="D153" s="717"/>
      <c r="E153" s="717"/>
      <c r="F153" s="717"/>
      <c r="G153" s="717"/>
      <c r="H153" s="717"/>
      <c r="I153" s="717"/>
      <c r="J153" s="717"/>
      <c r="K153" s="717"/>
      <c r="L153" s="717"/>
      <c r="M153" s="717"/>
      <c r="N153" s="717"/>
      <c r="O153" s="717"/>
      <c r="P153" s="717"/>
      <c r="Q153" s="717"/>
      <c r="R153" s="717"/>
      <c r="S153" s="717"/>
      <c r="T153" s="717"/>
      <c r="U153" s="717"/>
      <c r="V153" s="717"/>
      <c r="W153" s="717"/>
      <c r="X153" s="717"/>
      <c r="Y153" s="717"/>
      <c r="Z153" s="717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718">
        <v>4680115888203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718">
        <v>4680115888180</v>
      </c>
      <c r="E155" s="718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0"/>
      <c r="R155" s="720"/>
      <c r="S155" s="720"/>
      <c r="T155" s="721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718">
        <v>4680115888180</v>
      </c>
      <c r="E156" s="71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0"/>
      <c r="R156" s="720"/>
      <c r="S156" s="720"/>
      <c r="T156" s="72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718">
        <v>4680115888197</v>
      </c>
      <c r="E157" s="71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0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0"/>
      <c r="R157" s="720"/>
      <c r="S157" s="720"/>
      <c r="T157" s="72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718">
        <v>4680115888197</v>
      </c>
      <c r="E158" s="71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718">
        <v>4680115888210</v>
      </c>
      <c r="E159" s="71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0"/>
      <c r="R159" s="720"/>
      <c r="S159" s="720"/>
      <c r="T159" s="72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718">
        <v>4680115888210</v>
      </c>
      <c r="E160" s="71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0"/>
      <c r="R160" s="720"/>
      <c r="S160" s="720"/>
      <c r="T160" s="72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6"/>
      <c r="B161" s="726"/>
      <c r="C161" s="726"/>
      <c r="D161" s="726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7"/>
      <c r="P161" s="723" t="s">
        <v>40</v>
      </c>
      <c r="Q161" s="724"/>
      <c r="R161" s="724"/>
      <c r="S161" s="724"/>
      <c r="T161" s="724"/>
      <c r="U161" s="724"/>
      <c r="V161" s="72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7" t="s">
        <v>289</v>
      </c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7"/>
      <c r="P163" s="717"/>
      <c r="Q163" s="717"/>
      <c r="R163" s="717"/>
      <c r="S163" s="717"/>
      <c r="T163" s="717"/>
      <c r="U163" s="717"/>
      <c r="V163" s="717"/>
      <c r="W163" s="717"/>
      <c r="X163" s="717"/>
      <c r="Y163" s="717"/>
      <c r="Z163" s="71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718">
        <v>4680115889132</v>
      </c>
      <c r="E164" s="718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6"/>
      <c r="B165" s="726"/>
      <c r="C165" s="726"/>
      <c r="D165" s="726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7"/>
      <c r="P165" s="723" t="s">
        <v>40</v>
      </c>
      <c r="Q165" s="724"/>
      <c r="R165" s="724"/>
      <c r="S165" s="724"/>
      <c r="T165" s="724"/>
      <c r="U165" s="724"/>
      <c r="V165" s="72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6"/>
      <c r="B166" s="726"/>
      <c r="C166" s="726"/>
      <c r="D166" s="726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7"/>
      <c r="P166" s="723" t="s">
        <v>40</v>
      </c>
      <c r="Q166" s="724"/>
      <c r="R166" s="724"/>
      <c r="S166" s="724"/>
      <c r="T166" s="724"/>
      <c r="U166" s="724"/>
      <c r="V166" s="72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6" t="s">
        <v>120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62"/>
      <c r="AB167" s="62"/>
      <c r="AC167" s="62"/>
    </row>
    <row r="168" spans="1:68" ht="14.25" hidden="1" customHeight="1" x14ac:dyDescent="0.25">
      <c r="A168" s="717" t="s">
        <v>122</v>
      </c>
      <c r="B168" s="717"/>
      <c r="C168" s="717"/>
      <c r="D168" s="717"/>
      <c r="E168" s="717"/>
      <c r="F168" s="717"/>
      <c r="G168" s="717"/>
      <c r="H168" s="717"/>
      <c r="I168" s="717"/>
      <c r="J168" s="717"/>
      <c r="K168" s="717"/>
      <c r="L168" s="717"/>
      <c r="M168" s="717"/>
      <c r="N168" s="717"/>
      <c r="O168" s="717"/>
      <c r="P168" s="717"/>
      <c r="Q168" s="717"/>
      <c r="R168" s="717"/>
      <c r="S168" s="717"/>
      <c r="T168" s="717"/>
      <c r="U168" s="717"/>
      <c r="V168" s="717"/>
      <c r="W168" s="717"/>
      <c r="X168" s="717"/>
      <c r="Y168" s="717"/>
      <c r="Z168" s="717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718">
        <v>4680115887374</v>
      </c>
      <c r="E169" s="718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0"/>
      <c r="R169" s="720"/>
      <c r="S169" s="720"/>
      <c r="T169" s="721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718">
        <v>4607091384604</v>
      </c>
      <c r="E170" s="718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718">
        <v>4680115888876</v>
      </c>
      <c r="E171" s="718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155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718">
        <v>4680115887695</v>
      </c>
      <c r="E175" s="718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718">
        <v>4680115889491</v>
      </c>
      <c r="E176" s="718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6"/>
      <c r="B177" s="726"/>
      <c r="C177" s="726"/>
      <c r="D177" s="726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7"/>
      <c r="P177" s="723" t="s">
        <v>40</v>
      </c>
      <c r="Q177" s="724"/>
      <c r="R177" s="724"/>
      <c r="S177" s="724"/>
      <c r="T177" s="724"/>
      <c r="U177" s="724"/>
      <c r="V177" s="72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6"/>
      <c r="B178" s="726"/>
      <c r="C178" s="726"/>
      <c r="D178" s="726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7"/>
      <c r="P178" s="723" t="s">
        <v>40</v>
      </c>
      <c r="Q178" s="724"/>
      <c r="R178" s="724"/>
      <c r="S178" s="724"/>
      <c r="T178" s="724"/>
      <c r="U178" s="724"/>
      <c r="V178" s="72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7" t="s">
        <v>77</v>
      </c>
      <c r="B179" s="717"/>
      <c r="C179" s="717"/>
      <c r="D179" s="717"/>
      <c r="E179" s="717"/>
      <c r="F179" s="717"/>
      <c r="G179" s="717"/>
      <c r="H179" s="717"/>
      <c r="I179" s="717"/>
      <c r="J179" s="717"/>
      <c r="K179" s="717"/>
      <c r="L179" s="717"/>
      <c r="M179" s="717"/>
      <c r="N179" s="717"/>
      <c r="O179" s="717"/>
      <c r="P179" s="717"/>
      <c r="Q179" s="717"/>
      <c r="R179" s="717"/>
      <c r="S179" s="717"/>
      <c r="T179" s="717"/>
      <c r="U179" s="717"/>
      <c r="V179" s="717"/>
      <c r="W179" s="717"/>
      <c r="X179" s="717"/>
      <c r="Y179" s="717"/>
      <c r="Z179" s="717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718">
        <v>4680115887428</v>
      </c>
      <c r="E180" s="718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718">
        <v>4680115889170</v>
      </c>
      <c r="E181" s="718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718">
        <v>4680115887398</v>
      </c>
      <c r="E182" s="71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1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718">
        <v>4680115887336</v>
      </c>
      <c r="E183" s="718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1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718">
        <v>4680115887336</v>
      </c>
      <c r="E184" s="71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15" t="s">
        <v>324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718">
        <v>4680115887787</v>
      </c>
      <c r="E185" s="718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718">
        <v>4680115887787</v>
      </c>
      <c r="E186" s="718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17" t="s">
        <v>330</v>
      </c>
      <c r="Q186" s="720"/>
      <c r="R186" s="720"/>
      <c r="S186" s="720"/>
      <c r="T186" s="721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718">
        <v>4680115887503</v>
      </c>
      <c r="E187" s="718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0"/>
      <c r="R187" s="720"/>
      <c r="S187" s="720"/>
      <c r="T187" s="72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718">
        <v>4680115887763</v>
      </c>
      <c r="E188" s="71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0"/>
      <c r="R188" s="720"/>
      <c r="S188" s="720"/>
      <c r="T188" s="72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718">
        <v>4680115887480</v>
      </c>
      <c r="E189" s="718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2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718">
        <v>4680115888067</v>
      </c>
      <c r="E190" s="718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718">
        <v>4680115887435</v>
      </c>
      <c r="E191" s="718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86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718">
        <v>4680115888395</v>
      </c>
      <c r="E195" s="718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718">
        <v>4680115888371</v>
      </c>
      <c r="E196" s="718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0"/>
      <c r="R196" s="720"/>
      <c r="S196" s="720"/>
      <c r="T196" s="72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718">
        <v>4680115887459</v>
      </c>
      <c r="E197" s="718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0"/>
      <c r="R197" s="720"/>
      <c r="S197" s="720"/>
      <c r="T197" s="72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6"/>
      <c r="B198" s="726"/>
      <c r="C198" s="726"/>
      <c r="D198" s="726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7"/>
      <c r="P198" s="723" t="s">
        <v>40</v>
      </c>
      <c r="Q198" s="724"/>
      <c r="R198" s="724"/>
      <c r="S198" s="724"/>
      <c r="T198" s="724"/>
      <c r="U198" s="724"/>
      <c r="V198" s="72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6"/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7"/>
      <c r="P199" s="723" t="s">
        <v>40</v>
      </c>
      <c r="Q199" s="724"/>
      <c r="R199" s="724"/>
      <c r="S199" s="724"/>
      <c r="T199" s="724"/>
      <c r="U199" s="724"/>
      <c r="V199" s="72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7" t="s">
        <v>289</v>
      </c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7"/>
      <c r="P200" s="717"/>
      <c r="Q200" s="717"/>
      <c r="R200" s="717"/>
      <c r="S200" s="717"/>
      <c r="T200" s="717"/>
      <c r="U200" s="717"/>
      <c r="V200" s="717"/>
      <c r="W200" s="717"/>
      <c r="X200" s="717"/>
      <c r="Y200" s="717"/>
      <c r="Z200" s="717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718">
        <v>4680115889026</v>
      </c>
      <c r="E201" s="718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0"/>
      <c r="R201" s="720"/>
      <c r="S201" s="720"/>
      <c r="T201" s="72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6"/>
      <c r="B202" s="726"/>
      <c r="C202" s="726"/>
      <c r="D202" s="726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7"/>
      <c r="P202" s="723" t="s">
        <v>40</v>
      </c>
      <c r="Q202" s="724"/>
      <c r="R202" s="724"/>
      <c r="S202" s="724"/>
      <c r="T202" s="724"/>
      <c r="U202" s="724"/>
      <c r="V202" s="72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6"/>
      <c r="B203" s="726"/>
      <c r="C203" s="726"/>
      <c r="D203" s="726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7"/>
      <c r="P203" s="723" t="s">
        <v>40</v>
      </c>
      <c r="Q203" s="724"/>
      <c r="R203" s="724"/>
      <c r="S203" s="724"/>
      <c r="T203" s="724"/>
      <c r="U203" s="724"/>
      <c r="V203" s="72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7" t="s">
        <v>356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718">
        <v>4680115889033</v>
      </c>
      <c r="E205" s="718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5" t="s">
        <v>360</v>
      </c>
      <c r="B208" s="715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52"/>
      <c r="AB208" s="52"/>
      <c r="AC208" s="52"/>
    </row>
    <row r="209" spans="1:68" ht="16.5" hidden="1" customHeight="1" x14ac:dyDescent="0.25">
      <c r="A209" s="716" t="s">
        <v>361</v>
      </c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  <c r="AA209" s="62"/>
      <c r="AB209" s="62"/>
      <c r="AC209" s="62"/>
    </row>
    <row r="210" spans="1:68" ht="14.25" hidden="1" customHeight="1" x14ac:dyDescent="0.25">
      <c r="A210" s="717" t="s">
        <v>122</v>
      </c>
      <c r="B210" s="717"/>
      <c r="C210" s="717"/>
      <c r="D210" s="717"/>
      <c r="E210" s="717"/>
      <c r="F210" s="717"/>
      <c r="G210" s="717"/>
      <c r="H210" s="717"/>
      <c r="I210" s="717"/>
      <c r="J210" s="717"/>
      <c r="K210" s="717"/>
      <c r="L210" s="717"/>
      <c r="M210" s="717"/>
      <c r="N210" s="717"/>
      <c r="O210" s="717"/>
      <c r="P210" s="717"/>
      <c r="Q210" s="717"/>
      <c r="R210" s="717"/>
      <c r="S210" s="717"/>
      <c r="T210" s="717"/>
      <c r="U210" s="717"/>
      <c r="V210" s="717"/>
      <c r="W210" s="717"/>
      <c r="X210" s="717"/>
      <c r="Y210" s="717"/>
      <c r="Z210" s="717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718">
        <v>4607091383423</v>
      </c>
      <c r="E211" s="718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718">
        <v>4680115888760</v>
      </c>
      <c r="E212" s="718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0"/>
      <c r="R212" s="720"/>
      <c r="S212" s="720"/>
      <c r="T212" s="72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718">
        <v>4680115888807</v>
      </c>
      <c r="E213" s="718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0"/>
      <c r="R213" s="720"/>
      <c r="S213" s="720"/>
      <c r="T213" s="72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718">
        <v>4680115888852</v>
      </c>
      <c r="E214" s="718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0"/>
      <c r="R214" s="720"/>
      <c r="S214" s="720"/>
      <c r="T214" s="72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718">
        <v>4680115886957</v>
      </c>
      <c r="E215" s="718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0"/>
      <c r="R215" s="720"/>
      <c r="S215" s="720"/>
      <c r="T215" s="72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718">
        <v>4680115885660</v>
      </c>
      <c r="E216" s="718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718">
        <v>4680115886773</v>
      </c>
      <c r="E217" s="718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0"/>
      <c r="R217" s="720"/>
      <c r="S217" s="720"/>
      <c r="T217" s="72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6"/>
      <c r="B219" s="726"/>
      <c r="C219" s="726"/>
      <c r="D219" s="726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7"/>
      <c r="P219" s="723" t="s">
        <v>40</v>
      </c>
      <c r="Q219" s="724"/>
      <c r="R219" s="724"/>
      <c r="S219" s="724"/>
      <c r="T219" s="724"/>
      <c r="U219" s="724"/>
      <c r="V219" s="72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6" t="s">
        <v>382</v>
      </c>
      <c r="B220" s="716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  <c r="AA220" s="62"/>
      <c r="AB220" s="62"/>
      <c r="AC220" s="62"/>
    </row>
    <row r="221" spans="1:68" ht="14.25" hidden="1" customHeight="1" x14ac:dyDescent="0.25">
      <c r="A221" s="717" t="s">
        <v>155</v>
      </c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7"/>
      <c r="P221" s="717"/>
      <c r="Q221" s="717"/>
      <c r="R221" s="717"/>
      <c r="S221" s="717"/>
      <c r="T221" s="717"/>
      <c r="U221" s="717"/>
      <c r="V221" s="717"/>
      <c r="W221" s="717"/>
      <c r="X221" s="717"/>
      <c r="Y221" s="717"/>
      <c r="Z221" s="717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718">
        <v>4680115886223</v>
      </c>
      <c r="E222" s="718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6"/>
      <c r="B223" s="726"/>
      <c r="C223" s="726"/>
      <c r="D223" s="726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7"/>
      <c r="P223" s="723" t="s">
        <v>40</v>
      </c>
      <c r="Q223" s="724"/>
      <c r="R223" s="724"/>
      <c r="S223" s="724"/>
      <c r="T223" s="724"/>
      <c r="U223" s="724"/>
      <c r="V223" s="72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6"/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7"/>
      <c r="P224" s="723" t="s">
        <v>40</v>
      </c>
      <c r="Q224" s="724"/>
      <c r="R224" s="724"/>
      <c r="S224" s="724"/>
      <c r="T224" s="724"/>
      <c r="U224" s="724"/>
      <c r="V224" s="72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7" t="s">
        <v>77</v>
      </c>
      <c r="B225" s="717"/>
      <c r="C225" s="717"/>
      <c r="D225" s="717"/>
      <c r="E225" s="717"/>
      <c r="F225" s="717"/>
      <c r="G225" s="717"/>
      <c r="H225" s="717"/>
      <c r="I225" s="717"/>
      <c r="J225" s="717"/>
      <c r="K225" s="717"/>
      <c r="L225" s="717"/>
      <c r="M225" s="717"/>
      <c r="N225" s="717"/>
      <c r="O225" s="717"/>
      <c r="P225" s="717"/>
      <c r="Q225" s="717"/>
      <c r="R225" s="717"/>
      <c r="S225" s="717"/>
      <c r="T225" s="717"/>
      <c r="U225" s="717"/>
      <c r="V225" s="717"/>
      <c r="W225" s="717"/>
      <c r="X225" s="717"/>
      <c r="Y225" s="717"/>
      <c r="Z225" s="717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718">
        <v>4680115880993</v>
      </c>
      <c r="E226" s="718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718">
        <v>4680115881761</v>
      </c>
      <c r="E227" s="718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718">
        <v>4680115881563</v>
      </c>
      <c r="E228" s="718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718">
        <v>4680115887565</v>
      </c>
      <c r="E229" s="718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718">
        <v>4680115880986</v>
      </c>
      <c r="E230" s="718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718">
        <v>4680115887213</v>
      </c>
      <c r="E231" s="718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718">
        <v>4680115881785</v>
      </c>
      <c r="E232" s="718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718">
        <v>4680115888432</v>
      </c>
      <c r="E233" s="718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718">
        <v>4680115888104</v>
      </c>
      <c r="E234" s="718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718">
        <v>4680115886537</v>
      </c>
      <c r="E235" s="718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0"/>
      <c r="R235" s="720"/>
      <c r="S235" s="720"/>
      <c r="T235" s="72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718">
        <v>4680115887596</v>
      </c>
      <c r="E236" s="718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0"/>
      <c r="R236" s="720"/>
      <c r="S236" s="720"/>
      <c r="T236" s="72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718">
        <v>4680115881679</v>
      </c>
      <c r="E237" s="718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0"/>
      <c r="R237" s="720"/>
      <c r="S237" s="720"/>
      <c r="T237" s="72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718">
        <v>4680115880191</v>
      </c>
      <c r="E238" s="718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718">
        <v>4680115883963</v>
      </c>
      <c r="E239" s="718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6"/>
      <c r="B240" s="726"/>
      <c r="C240" s="726"/>
      <c r="D240" s="726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7"/>
      <c r="P240" s="723" t="s">
        <v>40</v>
      </c>
      <c r="Q240" s="724"/>
      <c r="R240" s="724"/>
      <c r="S240" s="724"/>
      <c r="T240" s="724"/>
      <c r="U240" s="724"/>
      <c r="V240" s="72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7" t="s">
        <v>86</v>
      </c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7"/>
      <c r="P242" s="717"/>
      <c r="Q242" s="717"/>
      <c r="R242" s="717"/>
      <c r="S242" s="717"/>
      <c r="T242" s="717"/>
      <c r="U242" s="717"/>
      <c r="V242" s="717"/>
      <c r="W242" s="717"/>
      <c r="X242" s="717"/>
      <c r="Y242" s="717"/>
      <c r="Z242" s="717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718">
        <v>4680115888692</v>
      </c>
      <c r="E243" s="718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718">
        <v>4680115888722</v>
      </c>
      <c r="E244" s="718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5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718">
        <v>4680115888951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718">
        <v>4680115888975</v>
      </c>
      <c r="E246" s="718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718">
        <v>4680115888982</v>
      </c>
      <c r="E247" s="718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5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0"/>
      <c r="R247" s="720"/>
      <c r="S247" s="720"/>
      <c r="T247" s="72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6"/>
      <c r="B249" s="726"/>
      <c r="C249" s="726"/>
      <c r="D249" s="726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7"/>
      <c r="P249" s="723" t="s">
        <v>40</v>
      </c>
      <c r="Q249" s="724"/>
      <c r="R249" s="724"/>
      <c r="S249" s="724"/>
      <c r="T249" s="724"/>
      <c r="U249" s="724"/>
      <c r="V249" s="72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7" t="s">
        <v>289</v>
      </c>
      <c r="B250" s="717"/>
      <c r="C250" s="717"/>
      <c r="D250" s="717"/>
      <c r="E250" s="717"/>
      <c r="F250" s="717"/>
      <c r="G250" s="717"/>
      <c r="H250" s="717"/>
      <c r="I250" s="717"/>
      <c r="J250" s="717"/>
      <c r="K250" s="717"/>
      <c r="L250" s="717"/>
      <c r="M250" s="717"/>
      <c r="N250" s="717"/>
      <c r="O250" s="717"/>
      <c r="P250" s="717"/>
      <c r="Q250" s="717"/>
      <c r="R250" s="717"/>
      <c r="S250" s="717"/>
      <c r="T250" s="717"/>
      <c r="U250" s="717"/>
      <c r="V250" s="717"/>
      <c r="W250" s="717"/>
      <c r="X250" s="717"/>
      <c r="Y250" s="717"/>
      <c r="Z250" s="717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718">
        <v>4680115886780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718">
        <v>4680115886742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718">
        <v>4680115886766</v>
      </c>
      <c r="E253" s="718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0"/>
      <c r="R253" s="720"/>
      <c r="S253" s="720"/>
      <c r="T253" s="721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6"/>
      <c r="B255" s="726"/>
      <c r="C255" s="726"/>
      <c r="D255" s="726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7"/>
      <c r="P255" s="723" t="s">
        <v>40</v>
      </c>
      <c r="Q255" s="724"/>
      <c r="R255" s="724"/>
      <c r="S255" s="724"/>
      <c r="T255" s="724"/>
      <c r="U255" s="724"/>
      <c r="V255" s="72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7" t="s">
        <v>446</v>
      </c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7"/>
      <c r="P256" s="717"/>
      <c r="Q256" s="717"/>
      <c r="R256" s="717"/>
      <c r="S256" s="717"/>
      <c r="T256" s="717"/>
      <c r="U256" s="717"/>
      <c r="V256" s="717"/>
      <c r="W256" s="717"/>
      <c r="X256" s="717"/>
      <c r="Y256" s="717"/>
      <c r="Z256" s="717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718">
        <v>4680115886797</v>
      </c>
      <c r="E257" s="71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0"/>
      <c r="R257" s="720"/>
      <c r="S257" s="720"/>
      <c r="T257" s="72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6"/>
      <c r="B259" s="726"/>
      <c r="C259" s="726"/>
      <c r="D259" s="726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7"/>
      <c r="P259" s="723" t="s">
        <v>40</v>
      </c>
      <c r="Q259" s="724"/>
      <c r="R259" s="724"/>
      <c r="S259" s="724"/>
      <c r="T259" s="724"/>
      <c r="U259" s="724"/>
      <c r="V259" s="72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6" t="s">
        <v>449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  <c r="AA260" s="62"/>
      <c r="AB260" s="62"/>
      <c r="AC260" s="62"/>
    </row>
    <row r="261" spans="1:68" ht="14.25" hidden="1" customHeight="1" x14ac:dyDescent="0.25">
      <c r="A261" s="717" t="s">
        <v>122</v>
      </c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7"/>
      <c r="P261" s="717"/>
      <c r="Q261" s="717"/>
      <c r="R261" s="717"/>
      <c r="S261" s="717"/>
      <c r="T261" s="717"/>
      <c r="U261" s="717"/>
      <c r="V261" s="717"/>
      <c r="W261" s="717"/>
      <c r="X261" s="717"/>
      <c r="Y261" s="717"/>
      <c r="Z261" s="717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718">
        <v>4680115881402</v>
      </c>
      <c r="E262" s="71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718">
        <v>4680115881396</v>
      </c>
      <c r="E263" s="718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0"/>
      <c r="R263" s="720"/>
      <c r="S263" s="720"/>
      <c r="T263" s="721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6"/>
      <c r="B265" s="726"/>
      <c r="C265" s="726"/>
      <c r="D265" s="726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7"/>
      <c r="P265" s="723" t="s">
        <v>40</v>
      </c>
      <c r="Q265" s="724"/>
      <c r="R265" s="724"/>
      <c r="S265" s="724"/>
      <c r="T265" s="724"/>
      <c r="U265" s="724"/>
      <c r="V265" s="72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7" t="s">
        <v>155</v>
      </c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7"/>
      <c r="P266" s="717"/>
      <c r="Q266" s="717"/>
      <c r="R266" s="717"/>
      <c r="S266" s="717"/>
      <c r="T266" s="717"/>
      <c r="U266" s="717"/>
      <c r="V266" s="717"/>
      <c r="W266" s="717"/>
      <c r="X266" s="717"/>
      <c r="Y266" s="717"/>
      <c r="Z266" s="717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718">
        <v>4680115882935</v>
      </c>
      <c r="E267" s="718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718">
        <v>4680115880764</v>
      </c>
      <c r="E268" s="718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0"/>
      <c r="R268" s="720"/>
      <c r="S268" s="720"/>
      <c r="T268" s="721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6"/>
      <c r="B270" s="726"/>
      <c r="C270" s="726"/>
      <c r="D270" s="726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7"/>
      <c r="P270" s="723" t="s">
        <v>40</v>
      </c>
      <c r="Q270" s="724"/>
      <c r="R270" s="724"/>
      <c r="S270" s="724"/>
      <c r="T270" s="724"/>
      <c r="U270" s="724"/>
      <c r="V270" s="72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7" t="s">
        <v>77</v>
      </c>
      <c r="B271" s="717"/>
      <c r="C271" s="717"/>
      <c r="D271" s="717"/>
      <c r="E271" s="717"/>
      <c r="F271" s="717"/>
      <c r="G271" s="717"/>
      <c r="H271" s="717"/>
      <c r="I271" s="717"/>
      <c r="J271" s="717"/>
      <c r="K271" s="717"/>
      <c r="L271" s="717"/>
      <c r="M271" s="717"/>
      <c r="N271" s="717"/>
      <c r="O271" s="717"/>
      <c r="P271" s="717"/>
      <c r="Q271" s="717"/>
      <c r="R271" s="717"/>
      <c r="S271" s="717"/>
      <c r="T271" s="717"/>
      <c r="U271" s="717"/>
      <c r="V271" s="717"/>
      <c r="W271" s="717"/>
      <c r="X271" s="717"/>
      <c r="Y271" s="717"/>
      <c r="Z271" s="717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718">
        <v>4680115882683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718">
        <v>4680115882690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718">
        <v>4680115882669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718">
        <v>4680115882676</v>
      </c>
      <c r="E275" s="718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718">
        <v>4680115884014</v>
      </c>
      <c r="E276" s="718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718">
        <v>4680115884007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718">
        <v>4680115884038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718">
        <v>4680115884021</v>
      </c>
      <c r="E279" s="718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0"/>
      <c r="R279" s="720"/>
      <c r="S279" s="720"/>
      <c r="T279" s="72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6"/>
      <c r="B281" s="726"/>
      <c r="C281" s="726"/>
      <c r="D281" s="726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7"/>
      <c r="P281" s="723" t="s">
        <v>40</v>
      </c>
      <c r="Q281" s="724"/>
      <c r="R281" s="724"/>
      <c r="S281" s="724"/>
      <c r="T281" s="724"/>
      <c r="U281" s="724"/>
      <c r="V281" s="72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7" t="s">
        <v>86</v>
      </c>
      <c r="B282" s="717"/>
      <c r="C282" s="717"/>
      <c r="D282" s="717"/>
      <c r="E282" s="717"/>
      <c r="F282" s="717"/>
      <c r="G282" s="717"/>
      <c r="H282" s="717"/>
      <c r="I282" s="717"/>
      <c r="J282" s="717"/>
      <c r="K282" s="717"/>
      <c r="L282" s="717"/>
      <c r="M282" s="717"/>
      <c r="N282" s="717"/>
      <c r="O282" s="717"/>
      <c r="P282" s="717"/>
      <c r="Q282" s="717"/>
      <c r="R282" s="717"/>
      <c r="S282" s="717"/>
      <c r="T282" s="717"/>
      <c r="U282" s="717"/>
      <c r="V282" s="717"/>
      <c r="W282" s="717"/>
      <c r="X282" s="717"/>
      <c r="Y282" s="717"/>
      <c r="Z282" s="717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718">
        <v>4680115881594</v>
      </c>
      <c r="E283" s="718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718">
        <v>4680115881617</v>
      </c>
      <c r="E284" s="718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718">
        <v>4680115880573</v>
      </c>
      <c r="E285" s="718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718">
        <v>4680115882195</v>
      </c>
      <c r="E286" s="718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718">
        <v>4680115882607</v>
      </c>
      <c r="E288" s="718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718">
        <v>4680115880092</v>
      </c>
      <c r="E289" s="71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718">
        <v>4680115889064</v>
      </c>
      <c r="E290" s="718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718">
        <v>4680115880221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718">
        <v>4680115880504</v>
      </c>
      <c r="E292" s="718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718">
        <v>4680115882164</v>
      </c>
      <c r="E293" s="718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718">
        <v>4680115888340</v>
      </c>
      <c r="E294" s="71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0"/>
      <c r="R294" s="720"/>
      <c r="S294" s="720"/>
      <c r="T294" s="72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6"/>
      <c r="B296" s="726"/>
      <c r="C296" s="726"/>
      <c r="D296" s="726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7"/>
      <c r="P296" s="723" t="s">
        <v>40</v>
      </c>
      <c r="Q296" s="724"/>
      <c r="R296" s="724"/>
      <c r="S296" s="724"/>
      <c r="T296" s="724"/>
      <c r="U296" s="724"/>
      <c r="V296" s="72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7" t="s">
        <v>173</v>
      </c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7"/>
      <c r="P297" s="717"/>
      <c r="Q297" s="717"/>
      <c r="R297" s="717"/>
      <c r="S297" s="717"/>
      <c r="T297" s="717"/>
      <c r="U297" s="717"/>
      <c r="V297" s="717"/>
      <c r="W297" s="717"/>
      <c r="X297" s="717"/>
      <c r="Y297" s="717"/>
      <c r="Z297" s="717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718">
        <v>4680115880818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718">
        <v>4680115880801</v>
      </c>
      <c r="E299" s="718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0"/>
      <c r="R299" s="720"/>
      <c r="S299" s="720"/>
      <c r="T299" s="721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6"/>
      <c r="B301" s="726"/>
      <c r="C301" s="726"/>
      <c r="D301" s="726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7"/>
      <c r="P301" s="723" t="s">
        <v>40</v>
      </c>
      <c r="Q301" s="724"/>
      <c r="R301" s="724"/>
      <c r="S301" s="724"/>
      <c r="T301" s="724"/>
      <c r="U301" s="724"/>
      <c r="V301" s="72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6" t="s">
        <v>517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  <c r="AA302" s="62"/>
      <c r="AB302" s="62"/>
      <c r="AC302" s="62"/>
    </row>
    <row r="303" spans="1:68" ht="14.25" hidden="1" customHeight="1" x14ac:dyDescent="0.25">
      <c r="A303" s="717" t="s">
        <v>122</v>
      </c>
      <c r="B303" s="717"/>
      <c r="C303" s="717"/>
      <c r="D303" s="717"/>
      <c r="E303" s="717"/>
      <c r="F303" s="717"/>
      <c r="G303" s="717"/>
      <c r="H303" s="717"/>
      <c r="I303" s="717"/>
      <c r="J303" s="717"/>
      <c r="K303" s="717"/>
      <c r="L303" s="717"/>
      <c r="M303" s="717"/>
      <c r="N303" s="717"/>
      <c r="O303" s="717"/>
      <c r="P303" s="717"/>
      <c r="Q303" s="717"/>
      <c r="R303" s="717"/>
      <c r="S303" s="717"/>
      <c r="T303" s="717"/>
      <c r="U303" s="717"/>
      <c r="V303" s="717"/>
      <c r="W303" s="717"/>
      <c r="X303" s="717"/>
      <c r="Y303" s="717"/>
      <c r="Z303" s="717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718">
        <v>4680115884137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718">
        <v>4680115884236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718">
        <v>4680115884175</v>
      </c>
      <c r="E306" s="718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718">
        <v>4680115884144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718">
        <v>4680115886551</v>
      </c>
      <c r="E308" s="718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718">
        <v>4680115887282</v>
      </c>
      <c r="E309" s="718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718">
        <v>4680115884205</v>
      </c>
      <c r="E310" s="718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0"/>
      <c r="R310" s="720"/>
      <c r="S310" s="720"/>
      <c r="T310" s="72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6"/>
      <c r="B312" s="726"/>
      <c r="C312" s="726"/>
      <c r="D312" s="726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7"/>
      <c r="P312" s="723" t="s">
        <v>40</v>
      </c>
      <c r="Q312" s="724"/>
      <c r="R312" s="724"/>
      <c r="S312" s="724"/>
      <c r="T312" s="724"/>
      <c r="U312" s="724"/>
      <c r="V312" s="72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7" t="s">
        <v>155</v>
      </c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7"/>
      <c r="P313" s="717"/>
      <c r="Q313" s="717"/>
      <c r="R313" s="717"/>
      <c r="S313" s="717"/>
      <c r="T313" s="717"/>
      <c r="U313" s="717"/>
      <c r="V313" s="717"/>
      <c r="W313" s="717"/>
      <c r="X313" s="717"/>
      <c r="Y313" s="717"/>
      <c r="Z313" s="717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718">
        <v>4680115885981</v>
      </c>
      <c r="E314" s="718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0"/>
      <c r="R314" s="720"/>
      <c r="S314" s="720"/>
      <c r="T314" s="72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6"/>
      <c r="B316" s="726"/>
      <c r="C316" s="726"/>
      <c r="D316" s="726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7"/>
      <c r="P316" s="723" t="s">
        <v>40</v>
      </c>
      <c r="Q316" s="724"/>
      <c r="R316" s="724"/>
      <c r="S316" s="724"/>
      <c r="T316" s="724"/>
      <c r="U316" s="724"/>
      <c r="V316" s="72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7" t="s">
        <v>539</v>
      </c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7"/>
      <c r="P317" s="717"/>
      <c r="Q317" s="717"/>
      <c r="R317" s="717"/>
      <c r="S317" s="717"/>
      <c r="T317" s="717"/>
      <c r="U317" s="717"/>
      <c r="V317" s="717"/>
      <c r="W317" s="717"/>
      <c r="X317" s="717"/>
      <c r="Y317" s="717"/>
      <c r="Z317" s="717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718">
        <v>4680115886803</v>
      </c>
      <c r="E318" s="71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0"/>
      <c r="R318" s="720"/>
      <c r="S318" s="720"/>
      <c r="T318" s="72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6"/>
      <c r="B320" s="726"/>
      <c r="C320" s="726"/>
      <c r="D320" s="726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7"/>
      <c r="P320" s="723" t="s">
        <v>40</v>
      </c>
      <c r="Q320" s="724"/>
      <c r="R320" s="724"/>
      <c r="S320" s="724"/>
      <c r="T320" s="724"/>
      <c r="U320" s="724"/>
      <c r="V320" s="72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7" t="s">
        <v>356</v>
      </c>
      <c r="B321" s="717"/>
      <c r="C321" s="717"/>
      <c r="D321" s="717"/>
      <c r="E321" s="717"/>
      <c r="F321" s="717"/>
      <c r="G321" s="717"/>
      <c r="H321" s="717"/>
      <c r="I321" s="717"/>
      <c r="J321" s="717"/>
      <c r="K321" s="717"/>
      <c r="L321" s="717"/>
      <c r="M321" s="717"/>
      <c r="N321" s="717"/>
      <c r="O321" s="717"/>
      <c r="P321" s="717"/>
      <c r="Q321" s="717"/>
      <c r="R321" s="717"/>
      <c r="S321" s="717"/>
      <c r="T321" s="717"/>
      <c r="U321" s="717"/>
      <c r="V321" s="717"/>
      <c r="W321" s="717"/>
      <c r="X321" s="717"/>
      <c r="Y321" s="717"/>
      <c r="Z321" s="717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718">
        <v>4680115886704</v>
      </c>
      <c r="E322" s="718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0"/>
      <c r="R322" s="720"/>
      <c r="S322" s="720"/>
      <c r="T322" s="72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718">
        <v>4680115886681</v>
      </c>
      <c r="E323" s="718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0"/>
      <c r="R323" s="720"/>
      <c r="S323" s="720"/>
      <c r="T323" s="721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718">
        <v>4680115886735</v>
      </c>
      <c r="E324" s="718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0"/>
      <c r="R324" s="720"/>
      <c r="S324" s="720"/>
      <c r="T324" s="721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6"/>
      <c r="B325" s="726"/>
      <c r="C325" s="726"/>
      <c r="D325" s="726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7"/>
      <c r="P325" s="723" t="s">
        <v>40</v>
      </c>
      <c r="Q325" s="724"/>
      <c r="R325" s="724"/>
      <c r="S325" s="724"/>
      <c r="T325" s="724"/>
      <c r="U325" s="724"/>
      <c r="V325" s="72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6" t="s">
        <v>550</v>
      </c>
      <c r="B327" s="716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  <c r="AA327" s="62"/>
      <c r="AB327" s="62"/>
      <c r="AC327" s="62"/>
    </row>
    <row r="328" spans="1:68" ht="14.25" hidden="1" customHeight="1" x14ac:dyDescent="0.25">
      <c r="A328" s="717" t="s">
        <v>122</v>
      </c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7"/>
      <c r="P328" s="717"/>
      <c r="Q328" s="717"/>
      <c r="R328" s="717"/>
      <c r="S328" s="717"/>
      <c r="T328" s="717"/>
      <c r="U328" s="717"/>
      <c r="V328" s="717"/>
      <c r="W328" s="717"/>
      <c r="X328" s="717"/>
      <c r="Y328" s="717"/>
      <c r="Z328" s="717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718">
        <v>4680115885837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718">
        <v>4680115887237</v>
      </c>
      <c r="E330" s="718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718">
        <v>4680115885806</v>
      </c>
      <c r="E331" s="718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718">
        <v>4680115885844</v>
      </c>
      <c r="E332" s="718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0"/>
      <c r="R332" s="720"/>
      <c r="S332" s="720"/>
      <c r="T332" s="72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718">
        <v>4680115885820</v>
      </c>
      <c r="E333" s="718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0"/>
      <c r="R333" s="720"/>
      <c r="S333" s="720"/>
      <c r="T333" s="72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6"/>
      <c r="B335" s="726"/>
      <c r="C335" s="726"/>
      <c r="D335" s="726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7"/>
      <c r="P335" s="723" t="s">
        <v>40</v>
      </c>
      <c r="Q335" s="724"/>
      <c r="R335" s="724"/>
      <c r="S335" s="724"/>
      <c r="T335" s="724"/>
      <c r="U335" s="724"/>
      <c r="V335" s="72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6" t="s">
        <v>566</v>
      </c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  <c r="AA336" s="62"/>
      <c r="AB336" s="62"/>
      <c r="AC336" s="62"/>
    </row>
    <row r="337" spans="1:68" ht="14.25" hidden="1" customHeight="1" x14ac:dyDescent="0.25">
      <c r="A337" s="717" t="s">
        <v>86</v>
      </c>
      <c r="B337" s="717"/>
      <c r="C337" s="717"/>
      <c r="D337" s="717"/>
      <c r="E337" s="717"/>
      <c r="F337" s="717"/>
      <c r="G337" s="717"/>
      <c r="H337" s="717"/>
      <c r="I337" s="717"/>
      <c r="J337" s="717"/>
      <c r="K337" s="717"/>
      <c r="L337" s="717"/>
      <c r="M337" s="717"/>
      <c r="N337" s="717"/>
      <c r="O337" s="717"/>
      <c r="P337" s="717"/>
      <c r="Q337" s="717"/>
      <c r="R337" s="717"/>
      <c r="S337" s="717"/>
      <c r="T337" s="717"/>
      <c r="U337" s="717"/>
      <c r="V337" s="717"/>
      <c r="W337" s="717"/>
      <c r="X337" s="717"/>
      <c r="Y337" s="717"/>
      <c r="Z337" s="717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718">
        <v>4680115886186</v>
      </c>
      <c r="E338" s="718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718">
        <v>4680115881228</v>
      </c>
      <c r="E339" s="718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0"/>
      <c r="R339" s="720"/>
      <c r="S339" s="720"/>
      <c r="T339" s="72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718">
        <v>4680115881211</v>
      </c>
      <c r="E340" s="718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0"/>
      <c r="R340" s="720"/>
      <c r="S340" s="720"/>
      <c r="T340" s="72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6" t="s">
        <v>575</v>
      </c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  <c r="AA343" s="62"/>
      <c r="AB343" s="62"/>
      <c r="AC343" s="62"/>
    </row>
    <row r="344" spans="1:68" ht="14.25" hidden="1" customHeight="1" x14ac:dyDescent="0.25">
      <c r="A344" s="717" t="s">
        <v>77</v>
      </c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7"/>
      <c r="P344" s="717"/>
      <c r="Q344" s="717"/>
      <c r="R344" s="717"/>
      <c r="S344" s="717"/>
      <c r="T344" s="717"/>
      <c r="U344" s="717"/>
      <c r="V344" s="717"/>
      <c r="W344" s="717"/>
      <c r="X344" s="717"/>
      <c r="Y344" s="717"/>
      <c r="Z344" s="717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718">
        <v>4680115888319</v>
      </c>
      <c r="E345" s="718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718">
        <v>4680115884700</v>
      </c>
      <c r="E346" s="718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718">
        <v>4680115880344</v>
      </c>
      <c r="E347" s="718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718">
        <v>4680115886919</v>
      </c>
      <c r="E348" s="718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0"/>
      <c r="R348" s="720"/>
      <c r="S348" s="720"/>
      <c r="T348" s="72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718">
        <v>4680115883970</v>
      </c>
      <c r="E349" s="718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0"/>
      <c r="R349" s="720"/>
      <c r="S349" s="720"/>
      <c r="T349" s="72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7"/>
      <c r="P350" s="723" t="s">
        <v>40</v>
      </c>
      <c r="Q350" s="724"/>
      <c r="R350" s="724"/>
      <c r="S350" s="724"/>
      <c r="T350" s="724"/>
      <c r="U350" s="724"/>
      <c r="V350" s="72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6"/>
      <c r="B351" s="726"/>
      <c r="C351" s="726"/>
      <c r="D351" s="726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7"/>
      <c r="P351" s="723" t="s">
        <v>40</v>
      </c>
      <c r="Q351" s="724"/>
      <c r="R351" s="724"/>
      <c r="S351" s="724"/>
      <c r="T351" s="724"/>
      <c r="U351" s="724"/>
      <c r="V351" s="72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7" t="s">
        <v>86</v>
      </c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7"/>
      <c r="P352" s="717"/>
      <c r="Q352" s="717"/>
      <c r="R352" s="717"/>
      <c r="S352" s="717"/>
      <c r="T352" s="717"/>
      <c r="U352" s="717"/>
      <c r="V352" s="717"/>
      <c r="W352" s="717"/>
      <c r="X352" s="717"/>
      <c r="Y352" s="717"/>
      <c r="Z352" s="717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718">
        <v>4680115884618</v>
      </c>
      <c r="E353" s="718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0"/>
      <c r="R353" s="720"/>
      <c r="S353" s="720"/>
      <c r="T353" s="72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718">
        <v>4680115887114</v>
      </c>
      <c r="E354" s="718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0"/>
      <c r="R354" s="720"/>
      <c r="S354" s="720"/>
      <c r="T354" s="721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7"/>
      <c r="P355" s="723" t="s">
        <v>40</v>
      </c>
      <c r="Q355" s="724"/>
      <c r="R355" s="724"/>
      <c r="S355" s="724"/>
      <c r="T355" s="724"/>
      <c r="U355" s="724"/>
      <c r="V355" s="72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6" t="s">
        <v>596</v>
      </c>
      <c r="B357" s="716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  <c r="AA357" s="62"/>
      <c r="AB357" s="62"/>
      <c r="AC357" s="62"/>
    </row>
    <row r="358" spans="1:68" ht="14.25" hidden="1" customHeight="1" x14ac:dyDescent="0.25">
      <c r="A358" s="717" t="s">
        <v>122</v>
      </c>
      <c r="B358" s="717"/>
      <c r="C358" s="717"/>
      <c r="D358" s="717"/>
      <c r="E358" s="717"/>
      <c r="F358" s="717"/>
      <c r="G358" s="717"/>
      <c r="H358" s="717"/>
      <c r="I358" s="717"/>
      <c r="J358" s="717"/>
      <c r="K358" s="717"/>
      <c r="L358" s="717"/>
      <c r="M358" s="717"/>
      <c r="N358" s="717"/>
      <c r="O358" s="717"/>
      <c r="P358" s="717"/>
      <c r="Q358" s="717"/>
      <c r="R358" s="717"/>
      <c r="S358" s="717"/>
      <c r="T358" s="717"/>
      <c r="U358" s="717"/>
      <c r="V358" s="717"/>
      <c r="W358" s="717"/>
      <c r="X358" s="717"/>
      <c r="Y358" s="717"/>
      <c r="Z358" s="717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718">
        <v>4680115887947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718">
        <v>4680115887978</v>
      </c>
      <c r="E360" s="718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0"/>
      <c r="R360" s="720"/>
      <c r="S360" s="720"/>
      <c r="T360" s="721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718">
        <v>4680115887992</v>
      </c>
      <c r="E361" s="718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0"/>
      <c r="R361" s="720"/>
      <c r="S361" s="720"/>
      <c r="T361" s="721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7"/>
      <c r="P362" s="723" t="s">
        <v>40</v>
      </c>
      <c r="Q362" s="724"/>
      <c r="R362" s="724"/>
      <c r="S362" s="724"/>
      <c r="T362" s="724"/>
      <c r="U362" s="724"/>
      <c r="V362" s="72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6" t="s">
        <v>605</v>
      </c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  <c r="AA364" s="62"/>
      <c r="AB364" s="62"/>
      <c r="AC364" s="62"/>
    </row>
    <row r="365" spans="1:68" ht="14.25" hidden="1" customHeight="1" x14ac:dyDescent="0.25">
      <c r="A365" s="717" t="s">
        <v>122</v>
      </c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7"/>
      <c r="P365" s="717"/>
      <c r="Q365" s="717"/>
      <c r="R365" s="717"/>
      <c r="S365" s="717"/>
      <c r="T365" s="717"/>
      <c r="U365" s="717"/>
      <c r="V365" s="717"/>
      <c r="W365" s="717"/>
      <c r="X365" s="717"/>
      <c r="Y365" s="717"/>
      <c r="Z365" s="717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77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86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173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289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668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677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686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86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693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86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703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704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122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717" t="s">
        <v>155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hidden="1" customHeight="1" x14ac:dyDescent="0.25">
      <c r="A442" s="60" t="s">
        <v>729</v>
      </c>
      <c r="B442" s="60" t="s">
        <v>730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717" t="s">
        <v>86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173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753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122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77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86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customHeight="1" x14ac:dyDescent="0.25">
      <c r="A469" s="60" t="s">
        <v>762</v>
      </c>
      <c r="B469" s="60" t="s">
        <v>763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900</v>
      </c>
      <c r="Y469" s="53">
        <f>IFERROR(IF(X469="",0,CEILING((X469/$H469),1)*$H469),"")</f>
        <v>900</v>
      </c>
      <c r="Z469" s="39">
        <f>IFERROR(IF(Y469=0,"",ROUNDUP(Y469/H469,0)*0.01898),"")</f>
        <v>1.8980000000000001</v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949.40000000000009</v>
      </c>
      <c r="BN469" s="75">
        <f>IFERROR(Y469*I469/H469,"0")</f>
        <v>949.40000000000009</v>
      </c>
      <c r="BO469" s="75">
        <f>IFERROR(1/J469*(X469/H469),"0")</f>
        <v>1.5625</v>
      </c>
      <c r="BP469" s="75">
        <f>IFERROR(1/J469*(Y469/H469),"0")</f>
        <v>1.5625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100</v>
      </c>
      <c r="Y472" s="41">
        <f>IFERROR(Y469/H469,"0")+IFERROR(Y470/H470,"0")+IFERROR(Y471/H471,"0")</f>
        <v>100</v>
      </c>
      <c r="Z472" s="41">
        <f>IFERROR(IF(Z469="",0,Z469),"0")+IFERROR(IF(Z470="",0,Z470),"0")+IFERROR(IF(Z471="",0,Z471),"0")</f>
        <v>1.8980000000000001</v>
      </c>
      <c r="AA472" s="64"/>
      <c r="AB472" s="64"/>
      <c r="AC472" s="64"/>
    </row>
    <row r="473" spans="1:68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900</v>
      </c>
      <c r="Y473" s="41">
        <f>IFERROR(SUM(Y469:Y471),"0")</f>
        <v>900</v>
      </c>
      <c r="Z473" s="40"/>
      <c r="AA473" s="64"/>
      <c r="AB473" s="64"/>
      <c r="AC473" s="64"/>
    </row>
    <row r="474" spans="1:68" ht="27.75" hidden="1" customHeight="1" x14ac:dyDescent="0.2">
      <c r="A474" s="715" t="s">
        <v>769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770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77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86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793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155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77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805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805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122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155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77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5" t="s">
        <v>852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852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122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155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718">
        <v>4640242180519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77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86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173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871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155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718">
        <v>4640242180090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900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949.40000000000009</v>
      </c>
      <c r="Y560" s="41">
        <f>IFERROR(SUM(BN22:BN556),"0")</f>
        <v>949.40000000000009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999.40000000000009</v>
      </c>
      <c r="Y562" s="41">
        <f>GrossWeightTotalR+PalletQtyTotalR*25</f>
        <v>999.40000000000009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100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100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1.8980000000000001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1005" t="s">
        <v>120</v>
      </c>
      <c r="E566" s="1005" t="s">
        <v>120</v>
      </c>
      <c r="F566" s="1005" t="s">
        <v>120</v>
      </c>
      <c r="G566" s="1005" t="s">
        <v>120</v>
      </c>
      <c r="H566" s="1005" t="s">
        <v>120</v>
      </c>
      <c r="I566" s="1005" t="s">
        <v>120</v>
      </c>
      <c r="J566" s="1005" t="s">
        <v>120</v>
      </c>
      <c r="K566" s="1005" t="s">
        <v>360</v>
      </c>
      <c r="L566" s="1005" t="s">
        <v>360</v>
      </c>
      <c r="M566" s="1005" t="s">
        <v>360</v>
      </c>
      <c r="N566" s="1014"/>
      <c r="O566" s="1005" t="s">
        <v>360</v>
      </c>
      <c r="P566" s="1005" t="s">
        <v>360</v>
      </c>
      <c r="Q566" s="1005" t="s">
        <v>360</v>
      </c>
      <c r="R566" s="1005" t="s">
        <v>360</v>
      </c>
      <c r="S566" s="1005" t="s">
        <v>360</v>
      </c>
      <c r="T566" s="1005" t="s">
        <v>360</v>
      </c>
      <c r="U566" s="1005" t="s">
        <v>360</v>
      </c>
      <c r="V566" s="1005" t="s">
        <v>360</v>
      </c>
      <c r="W566" s="1005" t="s">
        <v>703</v>
      </c>
      <c r="X566" s="1005" t="s">
        <v>703</v>
      </c>
      <c r="Y566" s="1005" t="s">
        <v>769</v>
      </c>
      <c r="Z566" s="1005" t="s">
        <v>769</v>
      </c>
      <c r="AA566" s="80" t="s">
        <v>805</v>
      </c>
      <c r="AB566" s="1005" t="s">
        <v>852</v>
      </c>
      <c r="AC566" s="1005" t="s">
        <v>852</v>
      </c>
      <c r="AF566" s="1"/>
    </row>
    <row r="567" spans="1:32" ht="14.25" customHeight="1" thickTop="1" x14ac:dyDescent="0.2">
      <c r="A567" s="1015" t="s">
        <v>10</v>
      </c>
      <c r="B567" s="1005" t="s">
        <v>76</v>
      </c>
      <c r="C567" s="1005" t="s">
        <v>104</v>
      </c>
      <c r="D567" s="1005" t="s">
        <v>121</v>
      </c>
      <c r="E567" s="1005" t="s">
        <v>137</v>
      </c>
      <c r="F567" s="1005" t="s">
        <v>182</v>
      </c>
      <c r="G567" s="1005" t="s">
        <v>209</v>
      </c>
      <c r="H567" s="1005" t="s">
        <v>260</v>
      </c>
      <c r="I567" s="1005" t="s">
        <v>273</v>
      </c>
      <c r="J567" s="1005" t="s">
        <v>120</v>
      </c>
      <c r="K567" s="1005" t="s">
        <v>361</v>
      </c>
      <c r="L567" s="1005" t="s">
        <v>382</v>
      </c>
      <c r="M567" s="1005" t="s">
        <v>449</v>
      </c>
      <c r="N567" s="1"/>
      <c r="O567" s="1005" t="s">
        <v>517</v>
      </c>
      <c r="P567" s="1005" t="s">
        <v>550</v>
      </c>
      <c r="Q567" s="1005" t="s">
        <v>566</v>
      </c>
      <c r="R567" s="1005" t="s">
        <v>575</v>
      </c>
      <c r="S567" s="1005" t="s">
        <v>596</v>
      </c>
      <c r="T567" s="1005" t="s">
        <v>605</v>
      </c>
      <c r="U567" s="1005" t="s">
        <v>686</v>
      </c>
      <c r="V567" s="1005" t="s">
        <v>693</v>
      </c>
      <c r="W567" s="1005" t="s">
        <v>704</v>
      </c>
      <c r="X567" s="1005" t="s">
        <v>753</v>
      </c>
      <c r="Y567" s="1005" t="s">
        <v>770</v>
      </c>
      <c r="Z567" s="1005" t="s">
        <v>793</v>
      </c>
      <c r="AA567" s="1005" t="s">
        <v>805</v>
      </c>
      <c r="AB567" s="1005" t="s">
        <v>852</v>
      </c>
      <c r="AC567" s="1005" t="s">
        <v>871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900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700,00"/>
        <filter val="738,42"/>
        <filter val="77,78"/>
        <filter val="788,42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2026-08-29T09:52:20Z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