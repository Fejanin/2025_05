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680F1F7A-C659-45DB-945B-26E8B964FB8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2" i="1" l="1"/>
  <c r="Q13" i="1"/>
  <c r="Q17" i="1" l="1"/>
  <c r="Q18" i="1"/>
  <c r="C20" i="1" l="1"/>
  <c r="D20" i="1"/>
  <c r="Q10" i="1"/>
  <c r="Q14" i="1" l="1"/>
  <c r="Q15" i="1"/>
  <c r="Q16" i="1" l="1"/>
  <c r="E20" i="1" l="1"/>
  <c r="E26" i="1" s="1"/>
  <c r="Q4" i="1" l="1"/>
  <c r="Q5" i="1"/>
  <c r="Q6" i="1"/>
  <c r="Q7" i="1"/>
  <c r="Q8" i="1"/>
  <c r="Q9" i="1"/>
  <c r="Q11" i="1"/>
  <c r="Q19" i="1"/>
  <c r="Q3" i="1"/>
  <c r="P20" i="1"/>
  <c r="O20" i="1"/>
  <c r="N20" i="1"/>
  <c r="N26" i="1" s="1"/>
  <c r="F20" i="1" l="1"/>
  <c r="G20" i="1"/>
  <c r="H20" i="1"/>
  <c r="H26" i="1" s="1"/>
  <c r="I20" i="1"/>
  <c r="J20" i="1"/>
  <c r="K20" i="1"/>
  <c r="K26" i="1" s="1"/>
  <c r="L20" i="1"/>
  <c r="M20" i="1"/>
  <c r="B20" i="1" l="1"/>
  <c r="Q20" i="1" l="1"/>
</calcChain>
</file>

<file path=xl/sharedStrings.xml><?xml version="1.0" encoding="utf-8"?>
<sst xmlns="http://schemas.openxmlformats.org/spreadsheetml/2006/main" count="44" uniqueCount="31">
  <si>
    <t>Бердянск</t>
  </si>
  <si>
    <t>Донецк</t>
  </si>
  <si>
    <t>Луганск</t>
  </si>
  <si>
    <t>Мелитополь</t>
  </si>
  <si>
    <t>Поляков</t>
  </si>
  <si>
    <t>ПОЛУЧАТЕЛЬ</t>
  </si>
  <si>
    <t>Остаток</t>
  </si>
  <si>
    <t>ИТОГОВЫЕ ДАННЫЕ</t>
  </si>
  <si>
    <t>Патяка</t>
  </si>
  <si>
    <t>Бутырин</t>
  </si>
  <si>
    <t>нетто</t>
  </si>
  <si>
    <t>брутто</t>
  </si>
  <si>
    <t>паллеты</t>
  </si>
  <si>
    <t>ПРС</t>
  </si>
  <si>
    <t>Бейдерман</t>
  </si>
  <si>
    <t>Малахутин</t>
  </si>
  <si>
    <t>НПК ЛП</t>
  </si>
  <si>
    <t>Горняк Горловка</t>
  </si>
  <si>
    <t>Горняк Луганск</t>
  </si>
  <si>
    <t>ВЕС НЕТТО</t>
  </si>
  <si>
    <t>ВЕС БРУТТО</t>
  </si>
  <si>
    <t>ПАЛЛЕТЫ</t>
  </si>
  <si>
    <t>Павленко (Мелитополь)</t>
  </si>
  <si>
    <t>Коныгин</t>
  </si>
  <si>
    <t>Логистон (ПРС)</t>
  </si>
  <si>
    <t>Малахутин2</t>
  </si>
  <si>
    <t>СЫРЫ</t>
  </si>
  <si>
    <t>1 машина на 17,07</t>
  </si>
  <si>
    <t>2 машина на 17,07</t>
  </si>
  <si>
    <t>3 машина на 17,07</t>
  </si>
  <si>
    <t>1 машина на 18,07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</si>
</sst>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0" borderId="11" xfId="0" applyFill="1" applyBorder="1"/>
    <xf numFmtId="0" fontId="0" fillId="0" borderId="2" xfId="0" applyFill="1" applyBorder="1"/>
    <xf numFmtId="0" fontId="0" fillId="0" borderId="12" xfId="0" applyFill="1" applyBorder="1"/>
    <xf numFmtId="0" fontId="0" fillId="0" borderId="6" xfId="0" applyFill="1" applyBorder="1"/>
    <xf numFmtId="0" fontId="0" fillId="0" borderId="1" xfId="0" applyFill="1" applyBorder="1"/>
    <xf numFmtId="0" fontId="0" fillId="0" borderId="7" xfId="0" applyFill="1" applyBorder="1"/>
    <xf numFmtId="0" fontId="0" fillId="0" borderId="18" xfId="0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6" xfId="0" applyFill="1" applyBorder="1"/>
    <xf numFmtId="0" fontId="1" fillId="2" borderId="15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tabSelected="1" zoomScale="115" zoomScaleNormal="115" workbookViewId="0">
      <selection activeCell="T30" sqref="T30"/>
    </sheetView>
  </sheetViews>
  <sheetFormatPr defaultRowHeight="15" x14ac:dyDescent="0.25"/>
  <cols>
    <col min="1" max="1" width="23.7109375" bestFit="1" customWidth="1"/>
    <col min="2" max="2" width="7.42578125" customWidth="1"/>
    <col min="3" max="3" width="8.140625" customWidth="1"/>
    <col min="4" max="4" width="6.5703125" customWidth="1"/>
    <col min="5" max="6" width="7.28515625" customWidth="1"/>
    <col min="7" max="7" width="6" customWidth="1"/>
    <col min="8" max="9" width="7.28515625" customWidth="1"/>
    <col min="10" max="10" width="6" customWidth="1"/>
    <col min="11" max="12" width="7.28515625" customWidth="1"/>
    <col min="13" max="13" width="6" customWidth="1"/>
    <col min="14" max="15" width="7.28515625" customWidth="1"/>
    <col min="16" max="16" width="6" customWidth="1"/>
    <col min="17" max="17" width="8.140625" bestFit="1" customWidth="1"/>
  </cols>
  <sheetData>
    <row r="1" spans="1:17" ht="15" customHeight="1" x14ac:dyDescent="0.25">
      <c r="A1" s="32" t="s">
        <v>5</v>
      </c>
      <c r="B1" s="34" t="s">
        <v>19</v>
      </c>
      <c r="C1" s="34" t="s">
        <v>20</v>
      </c>
      <c r="D1" s="34" t="s">
        <v>21</v>
      </c>
      <c r="E1" s="32" t="s">
        <v>27</v>
      </c>
      <c r="F1" s="36"/>
      <c r="G1" s="37"/>
      <c r="H1" s="32" t="s">
        <v>28</v>
      </c>
      <c r="I1" s="36"/>
      <c r="J1" s="37"/>
      <c r="K1" s="32" t="s">
        <v>29</v>
      </c>
      <c r="L1" s="36"/>
      <c r="M1" s="37"/>
      <c r="N1" s="32" t="s">
        <v>30</v>
      </c>
      <c r="O1" s="36"/>
      <c r="P1" s="37"/>
      <c r="Q1" s="30" t="s">
        <v>6</v>
      </c>
    </row>
    <row r="2" spans="1:17" ht="30.75" thickBot="1" x14ac:dyDescent="0.3">
      <c r="A2" s="33"/>
      <c r="B2" s="35"/>
      <c r="C2" s="35"/>
      <c r="D2" s="35"/>
      <c r="E2" s="17" t="s">
        <v>10</v>
      </c>
      <c r="F2" s="18" t="s">
        <v>11</v>
      </c>
      <c r="G2" s="19" t="s">
        <v>12</v>
      </c>
      <c r="H2" s="17" t="s">
        <v>10</v>
      </c>
      <c r="I2" s="18" t="s">
        <v>11</v>
      </c>
      <c r="J2" s="19" t="s">
        <v>12</v>
      </c>
      <c r="K2" s="17" t="s">
        <v>10</v>
      </c>
      <c r="L2" s="18" t="s">
        <v>11</v>
      </c>
      <c r="M2" s="19" t="s">
        <v>12</v>
      </c>
      <c r="N2" s="17" t="s">
        <v>10</v>
      </c>
      <c r="O2" s="18" t="s">
        <v>11</v>
      </c>
      <c r="P2" s="19" t="s">
        <v>12</v>
      </c>
      <c r="Q2" s="31"/>
    </row>
    <row r="3" spans="1:17" x14ac:dyDescent="0.25">
      <c r="A3" s="6" t="s">
        <v>0</v>
      </c>
      <c r="B3" s="20">
        <v>8406</v>
      </c>
      <c r="C3" s="21">
        <v>9667</v>
      </c>
      <c r="D3" s="22">
        <v>17</v>
      </c>
      <c r="E3" s="20">
        <v>8406</v>
      </c>
      <c r="F3" s="21">
        <v>9667</v>
      </c>
      <c r="G3" s="22">
        <v>17</v>
      </c>
      <c r="H3" s="6"/>
      <c r="I3" s="3"/>
      <c r="J3" s="7"/>
      <c r="K3" s="6"/>
      <c r="L3" s="3"/>
      <c r="M3" s="7"/>
      <c r="N3" s="6"/>
      <c r="O3" s="3"/>
      <c r="P3" s="7"/>
      <c r="Q3" s="8">
        <f>B3-E3-H3-K3-N3</f>
        <v>0</v>
      </c>
    </row>
    <row r="4" spans="1:17" x14ac:dyDescent="0.25">
      <c r="A4" s="4" t="s">
        <v>1</v>
      </c>
      <c r="B4" s="23">
        <v>34809</v>
      </c>
      <c r="C4" s="24">
        <v>38837</v>
      </c>
      <c r="D4" s="25">
        <v>63</v>
      </c>
      <c r="E4" s="23"/>
      <c r="F4" s="24"/>
      <c r="G4" s="25"/>
      <c r="H4" s="4"/>
      <c r="I4" s="2"/>
      <c r="J4" s="5"/>
      <c r="K4" s="4">
        <v>17590</v>
      </c>
      <c r="L4" s="2">
        <v>19680</v>
      </c>
      <c r="M4" s="5">
        <v>32</v>
      </c>
      <c r="N4" s="4">
        <v>17219</v>
      </c>
      <c r="O4" s="2">
        <v>19157</v>
      </c>
      <c r="P4" s="5">
        <v>31</v>
      </c>
      <c r="Q4" s="8">
        <f t="shared" ref="Q4:Q19" si="0">B4-E4-H4-K4-N4</f>
        <v>0</v>
      </c>
    </row>
    <row r="5" spans="1:17" x14ac:dyDescent="0.25">
      <c r="A5" s="4" t="s">
        <v>2</v>
      </c>
      <c r="B5" s="23">
        <v>17602</v>
      </c>
      <c r="C5" s="24">
        <v>19817</v>
      </c>
      <c r="D5" s="25">
        <v>34</v>
      </c>
      <c r="E5" s="23"/>
      <c r="F5" s="24"/>
      <c r="G5" s="25"/>
      <c r="H5" s="4">
        <v>17602</v>
      </c>
      <c r="I5" s="2">
        <v>19817</v>
      </c>
      <c r="J5" s="5">
        <v>34</v>
      </c>
      <c r="K5" s="4"/>
      <c r="L5" s="2"/>
      <c r="M5" s="5"/>
      <c r="N5" s="4"/>
      <c r="O5" s="2"/>
      <c r="P5" s="5"/>
      <c r="Q5" s="8">
        <f t="shared" si="0"/>
        <v>0</v>
      </c>
    </row>
    <row r="6" spans="1:17" ht="15.75" thickBot="1" x14ac:dyDescent="0.3">
      <c r="A6" s="4" t="s">
        <v>3</v>
      </c>
      <c r="B6" s="23">
        <v>8303</v>
      </c>
      <c r="C6" s="24">
        <v>9306</v>
      </c>
      <c r="D6" s="25">
        <v>15</v>
      </c>
      <c r="E6" s="23">
        <v>8303</v>
      </c>
      <c r="F6" s="24">
        <v>9306</v>
      </c>
      <c r="G6" s="25">
        <v>15</v>
      </c>
      <c r="H6" s="4"/>
      <c r="I6" s="2"/>
      <c r="J6" s="5"/>
      <c r="K6" s="4"/>
      <c r="L6" s="2"/>
      <c r="M6" s="5"/>
      <c r="N6" s="4"/>
      <c r="O6" s="2"/>
      <c r="P6" s="5"/>
      <c r="Q6" s="8">
        <f t="shared" si="0"/>
        <v>0</v>
      </c>
    </row>
    <row r="7" spans="1:17" hidden="1" x14ac:dyDescent="0.25">
      <c r="A7" s="4" t="s">
        <v>8</v>
      </c>
      <c r="B7" s="23"/>
      <c r="C7" s="24"/>
      <c r="D7" s="25"/>
      <c r="E7" s="23"/>
      <c r="F7" s="24"/>
      <c r="G7" s="25"/>
      <c r="H7" s="4"/>
      <c r="I7" s="2"/>
      <c r="J7" s="5"/>
      <c r="K7" s="4"/>
      <c r="L7" s="2"/>
      <c r="M7" s="5"/>
      <c r="N7" s="4"/>
      <c r="O7" s="2"/>
      <c r="P7" s="5"/>
      <c r="Q7" s="8">
        <f t="shared" si="0"/>
        <v>0</v>
      </c>
    </row>
    <row r="8" spans="1:17" hidden="1" x14ac:dyDescent="0.25">
      <c r="A8" s="4" t="s">
        <v>14</v>
      </c>
      <c r="B8" s="23"/>
      <c r="C8" s="24"/>
      <c r="D8" s="25"/>
      <c r="E8" s="23"/>
      <c r="F8" s="24"/>
      <c r="G8" s="25"/>
      <c r="H8" s="4"/>
      <c r="I8" s="2"/>
      <c r="J8" s="5"/>
      <c r="K8" s="4"/>
      <c r="L8" s="2"/>
      <c r="M8" s="5"/>
      <c r="N8" s="4"/>
      <c r="O8" s="2"/>
      <c r="P8" s="5"/>
      <c r="Q8" s="8">
        <f t="shared" si="0"/>
        <v>0</v>
      </c>
    </row>
    <row r="9" spans="1:17" hidden="1" x14ac:dyDescent="0.25">
      <c r="A9" s="4" t="s">
        <v>4</v>
      </c>
      <c r="B9" s="23"/>
      <c r="C9" s="24"/>
      <c r="D9" s="25"/>
      <c r="E9" s="23"/>
      <c r="F9" s="24"/>
      <c r="G9" s="25"/>
      <c r="H9" s="4"/>
      <c r="I9" s="2"/>
      <c r="J9" s="5"/>
      <c r="K9" s="4"/>
      <c r="L9" s="2"/>
      <c r="M9" s="5"/>
      <c r="N9" s="4"/>
      <c r="O9" s="2"/>
      <c r="P9" s="5"/>
      <c r="Q9" s="8">
        <f t="shared" si="0"/>
        <v>0</v>
      </c>
    </row>
    <row r="10" spans="1:17" hidden="1" x14ac:dyDescent="0.25">
      <c r="A10" s="9" t="s">
        <v>22</v>
      </c>
      <c r="B10" s="26"/>
      <c r="C10" s="27"/>
      <c r="D10" s="28"/>
      <c r="E10" s="26"/>
      <c r="F10" s="27"/>
      <c r="G10" s="28"/>
      <c r="H10" s="9"/>
      <c r="I10" s="10"/>
      <c r="J10" s="11"/>
      <c r="K10" s="9"/>
      <c r="L10" s="10"/>
      <c r="M10" s="11"/>
      <c r="N10" s="9"/>
      <c r="O10" s="10"/>
      <c r="P10" s="11"/>
      <c r="Q10" s="8">
        <f t="shared" si="0"/>
        <v>0</v>
      </c>
    </row>
    <row r="11" spans="1:17" hidden="1" x14ac:dyDescent="0.25">
      <c r="A11" s="9" t="s">
        <v>13</v>
      </c>
      <c r="B11" s="26"/>
      <c r="C11" s="27"/>
      <c r="D11" s="28"/>
      <c r="E11" s="26"/>
      <c r="F11" s="27"/>
      <c r="G11" s="28"/>
      <c r="H11" s="9"/>
      <c r="I11" s="10"/>
      <c r="J11" s="11"/>
      <c r="K11" s="9"/>
      <c r="L11" s="10"/>
      <c r="M11" s="11"/>
      <c r="N11" s="9"/>
      <c r="O11" s="10"/>
      <c r="P11" s="11"/>
      <c r="Q11" s="8">
        <f t="shared" si="0"/>
        <v>0</v>
      </c>
    </row>
    <row r="12" spans="1:17" hidden="1" x14ac:dyDescent="0.25">
      <c r="A12" s="9" t="s">
        <v>24</v>
      </c>
      <c r="B12" s="26"/>
      <c r="C12" s="27"/>
      <c r="D12" s="28"/>
      <c r="E12" s="26"/>
      <c r="F12" s="27"/>
      <c r="G12" s="28"/>
      <c r="H12" s="9"/>
      <c r="I12" s="10"/>
      <c r="J12" s="11"/>
      <c r="K12" s="9"/>
      <c r="L12" s="10"/>
      <c r="M12" s="11"/>
      <c r="N12" s="9"/>
      <c r="O12" s="10"/>
      <c r="P12" s="11"/>
      <c r="Q12" s="8">
        <f t="shared" si="0"/>
        <v>0</v>
      </c>
    </row>
    <row r="13" spans="1:17" hidden="1" x14ac:dyDescent="0.25">
      <c r="A13" s="9" t="s">
        <v>16</v>
      </c>
      <c r="B13" s="26"/>
      <c r="C13" s="27"/>
      <c r="D13" s="28"/>
      <c r="E13" s="26"/>
      <c r="F13" s="27"/>
      <c r="G13" s="28"/>
      <c r="H13" s="9"/>
      <c r="I13" s="10"/>
      <c r="J13" s="11"/>
      <c r="K13" s="9"/>
      <c r="L13" s="10"/>
      <c r="M13" s="11"/>
      <c r="N13" s="9"/>
      <c r="O13" s="10"/>
      <c r="P13" s="11"/>
      <c r="Q13" s="8">
        <f t="shared" si="0"/>
        <v>0</v>
      </c>
    </row>
    <row r="14" spans="1:17" hidden="1" x14ac:dyDescent="0.25">
      <c r="A14" s="9" t="s">
        <v>17</v>
      </c>
      <c r="B14" s="26"/>
      <c r="C14" s="27"/>
      <c r="D14" s="28"/>
      <c r="E14" s="26"/>
      <c r="F14" s="27"/>
      <c r="G14" s="28"/>
      <c r="H14" s="9"/>
      <c r="I14" s="10"/>
      <c r="J14" s="11"/>
      <c r="K14" s="9"/>
      <c r="L14" s="10"/>
      <c r="M14" s="11"/>
      <c r="N14" s="9"/>
      <c r="O14" s="10"/>
      <c r="P14" s="11"/>
      <c r="Q14" s="8">
        <f t="shared" si="0"/>
        <v>0</v>
      </c>
    </row>
    <row r="15" spans="1:17" hidden="1" x14ac:dyDescent="0.25">
      <c r="A15" s="9" t="s">
        <v>18</v>
      </c>
      <c r="B15" s="23"/>
      <c r="C15" s="24"/>
      <c r="D15" s="25"/>
      <c r="E15" s="23"/>
      <c r="F15" s="24"/>
      <c r="G15" s="25"/>
      <c r="H15" s="4"/>
      <c r="I15" s="2"/>
      <c r="J15" s="5"/>
      <c r="K15" s="9"/>
      <c r="L15" s="10"/>
      <c r="M15" s="11"/>
      <c r="N15" s="9"/>
      <c r="O15" s="10"/>
      <c r="P15" s="11"/>
      <c r="Q15" s="8">
        <f t="shared" si="0"/>
        <v>0</v>
      </c>
    </row>
    <row r="16" spans="1:17" hidden="1" x14ac:dyDescent="0.25">
      <c r="A16" s="9" t="s">
        <v>9</v>
      </c>
      <c r="B16" s="26"/>
      <c r="C16" s="27"/>
      <c r="D16" s="28"/>
      <c r="E16" s="26"/>
      <c r="F16" s="27"/>
      <c r="G16" s="28"/>
      <c r="H16" s="9"/>
      <c r="I16" s="10"/>
      <c r="J16" s="11"/>
      <c r="K16" s="9"/>
      <c r="L16" s="10"/>
      <c r="M16" s="11"/>
      <c r="N16" s="9"/>
      <c r="O16" s="10"/>
      <c r="P16" s="11"/>
      <c r="Q16" s="8">
        <f t="shared" ref="Q16:Q18" si="1">B16-E16-H16-K16-N16</f>
        <v>0</v>
      </c>
    </row>
    <row r="17" spans="1:17" hidden="1" x14ac:dyDescent="0.25">
      <c r="A17" s="9" t="s">
        <v>15</v>
      </c>
      <c r="B17" s="26"/>
      <c r="C17" s="27"/>
      <c r="D17" s="28"/>
      <c r="E17" s="26"/>
      <c r="F17" s="27"/>
      <c r="G17" s="28"/>
      <c r="H17" s="9"/>
      <c r="I17" s="10"/>
      <c r="J17" s="11"/>
      <c r="K17" s="9"/>
      <c r="L17" s="10"/>
      <c r="M17" s="11"/>
      <c r="N17" s="9"/>
      <c r="O17" s="10"/>
      <c r="P17" s="11"/>
      <c r="Q17" s="8">
        <f t="shared" si="1"/>
        <v>0</v>
      </c>
    </row>
    <row r="18" spans="1:17" hidden="1" x14ac:dyDescent="0.25">
      <c r="A18" s="9" t="s">
        <v>25</v>
      </c>
      <c r="B18" s="26"/>
      <c r="C18" s="27"/>
      <c r="D18" s="28"/>
      <c r="E18" s="26"/>
      <c r="F18" s="27"/>
      <c r="G18" s="28"/>
      <c r="H18" s="9"/>
      <c r="I18" s="10"/>
      <c r="J18" s="11"/>
      <c r="K18" s="9"/>
      <c r="L18" s="10"/>
      <c r="M18" s="11"/>
      <c r="N18" s="9"/>
      <c r="O18" s="10"/>
      <c r="P18" s="11"/>
      <c r="Q18" s="8">
        <f t="shared" si="1"/>
        <v>0</v>
      </c>
    </row>
    <row r="19" spans="1:17" ht="15.75" hidden="1" thickBot="1" x14ac:dyDescent="0.3">
      <c r="A19" s="9" t="s">
        <v>23</v>
      </c>
      <c r="B19" s="23"/>
      <c r="C19" s="27"/>
      <c r="D19" s="28"/>
      <c r="E19" s="23"/>
      <c r="F19" s="27"/>
      <c r="G19" s="28"/>
      <c r="H19" s="9"/>
      <c r="I19" s="10"/>
      <c r="J19" s="11"/>
      <c r="K19" s="9"/>
      <c r="L19" s="10"/>
      <c r="M19" s="11"/>
      <c r="N19" s="9"/>
      <c r="O19" s="10"/>
      <c r="P19" s="11"/>
      <c r="Q19" s="8">
        <f t="shared" si="0"/>
        <v>0</v>
      </c>
    </row>
    <row r="20" spans="1:17" s="1" customFormat="1" ht="15.75" thickBot="1" x14ac:dyDescent="0.3">
      <c r="A20" s="12" t="s">
        <v>7</v>
      </c>
      <c r="B20" s="13">
        <f t="shared" ref="B20:M20" si="2">SUM(B3:B19)</f>
        <v>69120</v>
      </c>
      <c r="C20" s="13">
        <f t="shared" si="2"/>
        <v>77627</v>
      </c>
      <c r="D20" s="13">
        <f t="shared" si="2"/>
        <v>129</v>
      </c>
      <c r="E20" s="12">
        <f t="shared" si="2"/>
        <v>16709</v>
      </c>
      <c r="F20" s="14">
        <f t="shared" si="2"/>
        <v>18973</v>
      </c>
      <c r="G20" s="15">
        <f t="shared" si="2"/>
        <v>32</v>
      </c>
      <c r="H20" s="12">
        <f t="shared" si="2"/>
        <v>17602</v>
      </c>
      <c r="I20" s="14">
        <f t="shared" si="2"/>
        <v>19817</v>
      </c>
      <c r="J20" s="15">
        <f t="shared" si="2"/>
        <v>34</v>
      </c>
      <c r="K20" s="12">
        <f t="shared" si="2"/>
        <v>17590</v>
      </c>
      <c r="L20" s="14">
        <f t="shared" si="2"/>
        <v>19680</v>
      </c>
      <c r="M20" s="15">
        <f t="shared" si="2"/>
        <v>32</v>
      </c>
      <c r="N20" s="12">
        <f t="shared" ref="N20:P20" si="3">SUM(N3:N19)</f>
        <v>17219</v>
      </c>
      <c r="O20" s="14">
        <f t="shared" si="3"/>
        <v>19157</v>
      </c>
      <c r="P20" s="15">
        <f t="shared" si="3"/>
        <v>31</v>
      </c>
      <c r="Q20" s="16">
        <f>SUM(Q3:Q19)</f>
        <v>0</v>
      </c>
    </row>
    <row r="21" spans="1:17" x14ac:dyDescent="0.25">
      <c r="A21" s="29" t="s">
        <v>26</v>
      </c>
      <c r="E21">
        <v>16700</v>
      </c>
      <c r="H21">
        <v>17600</v>
      </c>
      <c r="K21">
        <v>17600</v>
      </c>
      <c r="N21">
        <v>17200</v>
      </c>
    </row>
    <row r="22" spans="1:17" x14ac:dyDescent="0.25">
      <c r="A22" t="s">
        <v>0</v>
      </c>
      <c r="B22">
        <v>367</v>
      </c>
      <c r="D22">
        <v>1</v>
      </c>
      <c r="E22">
        <v>367</v>
      </c>
      <c r="G22">
        <v>1</v>
      </c>
    </row>
    <row r="23" spans="1:17" x14ac:dyDescent="0.25">
      <c r="A23" t="s">
        <v>1</v>
      </c>
      <c r="B23">
        <v>200</v>
      </c>
      <c r="D23">
        <v>1</v>
      </c>
      <c r="N23">
        <v>200</v>
      </c>
      <c r="P23">
        <v>1</v>
      </c>
    </row>
    <row r="24" spans="1:17" x14ac:dyDescent="0.25">
      <c r="A24" t="s">
        <v>2</v>
      </c>
      <c r="B24">
        <v>0</v>
      </c>
    </row>
    <row r="25" spans="1:17" x14ac:dyDescent="0.25">
      <c r="A25" t="s">
        <v>3</v>
      </c>
      <c r="B25">
        <v>369</v>
      </c>
      <c r="D25">
        <v>1</v>
      </c>
      <c r="E25">
        <v>369</v>
      </c>
      <c r="G25">
        <v>1</v>
      </c>
    </row>
    <row r="26" spans="1:17" x14ac:dyDescent="0.25">
      <c r="E26">
        <f>E21-E20</f>
        <v>-9</v>
      </c>
      <c r="H26">
        <f>H21-H20</f>
        <v>-2</v>
      </c>
      <c r="K26">
        <f>K21-K20</f>
        <v>10</v>
      </c>
      <c r="N26">
        <f>N21-N20</f>
        <v>-19</v>
      </c>
    </row>
  </sheetData>
  <mergeCells count="9">
    <mergeCell ref="Q1:Q2"/>
    <mergeCell ref="A1:A2"/>
    <mergeCell ref="B1:B2"/>
    <mergeCell ref="E1:G1"/>
    <mergeCell ref="H1:J1"/>
    <mergeCell ref="K1:M1"/>
    <mergeCell ref="N1:P1"/>
    <mergeCell ref="C1:C2"/>
    <mergeCell ref="D1:D2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2026-08-14T09:53:45Z</dcterms:modified>
</cp:coreProperties>
</file>