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CBEF790-687B-409B-8002-8D66B7F37F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Sheet!$A$3:$AL$136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9" i="1" l="1"/>
  <c r="V76" i="1"/>
  <c r="AL76" i="1" s="1"/>
  <c r="AM9" i="1"/>
  <c r="AM12" i="1"/>
  <c r="AM13" i="1"/>
  <c r="AM14" i="1"/>
  <c r="AM15" i="1"/>
  <c r="AM18" i="1"/>
  <c r="AM19" i="1"/>
  <c r="AM20" i="1"/>
  <c r="AM21" i="1"/>
  <c r="AM23" i="1"/>
  <c r="AM24" i="1"/>
  <c r="AM26" i="1"/>
  <c r="AM28" i="1"/>
  <c r="AM29" i="1"/>
  <c r="AM30" i="1"/>
  <c r="AM32" i="1"/>
  <c r="AM34" i="1"/>
  <c r="AM35" i="1"/>
  <c r="AM36" i="1"/>
  <c r="AM37" i="1"/>
  <c r="AM39" i="1"/>
  <c r="AM41" i="1"/>
  <c r="AM42" i="1"/>
  <c r="AM43" i="1"/>
  <c r="AM44" i="1"/>
  <c r="AM45" i="1"/>
  <c r="AM46" i="1"/>
  <c r="AM47" i="1"/>
  <c r="AM48" i="1"/>
  <c r="AM50" i="1"/>
  <c r="AM51" i="1"/>
  <c r="AM52" i="1"/>
  <c r="AM53" i="1"/>
  <c r="AM56" i="1"/>
  <c r="AM57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6" i="1"/>
  <c r="AM77" i="1"/>
  <c r="AM78" i="1"/>
  <c r="AM79" i="1"/>
  <c r="AM80" i="1"/>
  <c r="AM82" i="1"/>
  <c r="AM83" i="1"/>
  <c r="AM84" i="1"/>
  <c r="AM85" i="1"/>
  <c r="AM86" i="1"/>
  <c r="AM87" i="1"/>
  <c r="AM88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1" i="1"/>
  <c r="AM113" i="1"/>
  <c r="AM114" i="1"/>
  <c r="AM115" i="1"/>
  <c r="AM118" i="1"/>
  <c r="AM119" i="1"/>
  <c r="AM120" i="1"/>
  <c r="AM121" i="1"/>
  <c r="AM122" i="1"/>
  <c r="AM123" i="1"/>
  <c r="AM124" i="1"/>
  <c r="AM126" i="1"/>
  <c r="AM128" i="1"/>
  <c r="AM129" i="1"/>
  <c r="AM130" i="1"/>
  <c r="AM131" i="1"/>
  <c r="AM132" i="1"/>
  <c r="AM133" i="1"/>
  <c r="AM134" i="1"/>
  <c r="AM135" i="1"/>
  <c r="AM136" i="1"/>
  <c r="AL39" i="1"/>
  <c r="U9" i="1" l="1"/>
  <c r="V9" i="1" s="1"/>
  <c r="AL9" i="1" s="1"/>
  <c r="U11" i="1"/>
  <c r="U12" i="1"/>
  <c r="V12" i="1" s="1"/>
  <c r="AL12" i="1" s="1"/>
  <c r="U13" i="1"/>
  <c r="V13" i="1" s="1"/>
  <c r="AL13" i="1" s="1"/>
  <c r="U15" i="1"/>
  <c r="V15" i="1" s="1"/>
  <c r="AL15" i="1" s="1"/>
  <c r="U18" i="1"/>
  <c r="V18" i="1" s="1"/>
  <c r="AL18" i="1" s="1"/>
  <c r="U19" i="1"/>
  <c r="V19" i="1" s="1"/>
  <c r="AL19" i="1" s="1"/>
  <c r="U20" i="1"/>
  <c r="V20" i="1" s="1"/>
  <c r="AL20" i="1" s="1"/>
  <c r="U23" i="1"/>
  <c r="V23" i="1" s="1"/>
  <c r="AL23" i="1" s="1"/>
  <c r="U24" i="1"/>
  <c r="V24" i="1" s="1"/>
  <c r="AL24" i="1" s="1"/>
  <c r="U26" i="1"/>
  <c r="V26" i="1" s="1"/>
  <c r="AL26" i="1" s="1"/>
  <c r="U27" i="1"/>
  <c r="U28" i="1"/>
  <c r="V28" i="1" s="1"/>
  <c r="AL28" i="1" s="1"/>
  <c r="U29" i="1"/>
  <c r="V29" i="1" s="1"/>
  <c r="AL29" i="1" s="1"/>
  <c r="U30" i="1"/>
  <c r="V30" i="1" s="1"/>
  <c r="AL30" i="1" s="1"/>
  <c r="U31" i="1"/>
  <c r="U32" i="1"/>
  <c r="V32" i="1" s="1"/>
  <c r="AL32" i="1" s="1"/>
  <c r="U33" i="1"/>
  <c r="U34" i="1"/>
  <c r="V34" i="1" s="1"/>
  <c r="AL34" i="1" s="1"/>
  <c r="U35" i="1"/>
  <c r="V35" i="1" s="1"/>
  <c r="AL35" i="1" s="1"/>
  <c r="U36" i="1"/>
  <c r="V36" i="1" s="1"/>
  <c r="AL36" i="1" s="1"/>
  <c r="U37" i="1"/>
  <c r="V37" i="1" s="1"/>
  <c r="AL37" i="1" s="1"/>
  <c r="U38" i="1"/>
  <c r="U40" i="1"/>
  <c r="U41" i="1"/>
  <c r="AL41" i="1" s="1"/>
  <c r="U42" i="1"/>
  <c r="AL42" i="1" s="1"/>
  <c r="U44" i="1"/>
  <c r="AL44" i="1" s="1"/>
  <c r="U45" i="1"/>
  <c r="V45" i="1" s="1"/>
  <c r="AL45" i="1" s="1"/>
  <c r="U46" i="1"/>
  <c r="V46" i="1" s="1"/>
  <c r="AL46" i="1" s="1"/>
  <c r="U47" i="1"/>
  <c r="AL47" i="1" s="1"/>
  <c r="U50" i="1"/>
  <c r="AL50" i="1" s="1"/>
  <c r="U52" i="1"/>
  <c r="V52" i="1" s="1"/>
  <c r="AL52" i="1" s="1"/>
  <c r="U53" i="1"/>
  <c r="V53" i="1" s="1"/>
  <c r="AL53" i="1" s="1"/>
  <c r="U56" i="1"/>
  <c r="V56" i="1" s="1"/>
  <c r="AL56" i="1" s="1"/>
  <c r="U57" i="1"/>
  <c r="V57" i="1" s="1"/>
  <c r="AL57" i="1" s="1"/>
  <c r="U63" i="1"/>
  <c r="V63" i="1" s="1"/>
  <c r="AL63" i="1" s="1"/>
  <c r="U64" i="1"/>
  <c r="V64" i="1" s="1"/>
  <c r="AL64" i="1" s="1"/>
  <c r="U65" i="1"/>
  <c r="V65" i="1" s="1"/>
  <c r="AL65" i="1" s="1"/>
  <c r="U66" i="1"/>
  <c r="V66" i="1" s="1"/>
  <c r="AL66" i="1" s="1"/>
  <c r="U67" i="1"/>
  <c r="AL67" i="1" s="1"/>
  <c r="U70" i="1"/>
  <c r="V70" i="1" s="1"/>
  <c r="AL70" i="1" s="1"/>
  <c r="U71" i="1"/>
  <c r="V71" i="1" s="1"/>
  <c r="AL71" i="1" s="1"/>
  <c r="U72" i="1"/>
  <c r="V72" i="1" s="1"/>
  <c r="AL72" i="1" s="1"/>
  <c r="U77" i="1"/>
  <c r="V77" i="1" s="1"/>
  <c r="AL77" i="1" s="1"/>
  <c r="U79" i="1"/>
  <c r="V79" i="1" s="1"/>
  <c r="AL79" i="1" s="1"/>
  <c r="U80" i="1"/>
  <c r="V80" i="1" s="1"/>
  <c r="AL80" i="1" s="1"/>
  <c r="U83" i="1"/>
  <c r="AL83" i="1" s="1"/>
  <c r="U84" i="1"/>
  <c r="AL84" i="1" s="1"/>
  <c r="U85" i="1"/>
  <c r="V85" i="1" s="1"/>
  <c r="AL85" i="1" s="1"/>
  <c r="U87" i="1"/>
  <c r="V87" i="1" s="1"/>
  <c r="AL87" i="1" s="1"/>
  <c r="U88" i="1"/>
  <c r="V88" i="1" s="1"/>
  <c r="AL88" i="1" s="1"/>
  <c r="U94" i="1"/>
  <c r="V94" i="1" s="1"/>
  <c r="AL94" i="1" s="1"/>
  <c r="U95" i="1"/>
  <c r="V95" i="1" s="1"/>
  <c r="AL95" i="1" s="1"/>
  <c r="U96" i="1"/>
  <c r="V96" i="1" s="1"/>
  <c r="AL96" i="1" s="1"/>
  <c r="U99" i="1"/>
  <c r="V99" i="1" s="1"/>
  <c r="AL99" i="1" s="1"/>
  <c r="U100" i="1"/>
  <c r="V100" i="1" s="1"/>
  <c r="AL100" i="1" s="1"/>
  <c r="U101" i="1"/>
  <c r="V101" i="1" s="1"/>
  <c r="AL101" i="1" s="1"/>
  <c r="U102" i="1"/>
  <c r="V102" i="1" s="1"/>
  <c r="AL102" i="1" s="1"/>
  <c r="U103" i="1"/>
  <c r="V103" i="1" s="1"/>
  <c r="AL103" i="1" s="1"/>
  <c r="U104" i="1"/>
  <c r="V104" i="1" s="1"/>
  <c r="AL104" i="1" s="1"/>
  <c r="U105" i="1"/>
  <c r="V105" i="1" s="1"/>
  <c r="AL105" i="1" s="1"/>
  <c r="U106" i="1"/>
  <c r="V106" i="1" s="1"/>
  <c r="AL106" i="1" s="1"/>
  <c r="U107" i="1"/>
  <c r="V107" i="1" s="1"/>
  <c r="AL107" i="1" s="1"/>
  <c r="U108" i="1"/>
  <c r="V108" i="1" s="1"/>
  <c r="AL108" i="1" s="1"/>
  <c r="U113" i="1"/>
  <c r="V113" i="1" s="1"/>
  <c r="AL113" i="1" s="1"/>
  <c r="U114" i="1"/>
  <c r="V114" i="1" s="1"/>
  <c r="AL114" i="1" s="1"/>
  <c r="U117" i="1"/>
  <c r="U119" i="1"/>
  <c r="V119" i="1" s="1"/>
  <c r="AL119" i="1" s="1"/>
  <c r="U120" i="1"/>
  <c r="V120" i="1" s="1"/>
  <c r="AL120" i="1" s="1"/>
  <c r="U122" i="1"/>
  <c r="V122" i="1" s="1"/>
  <c r="AL122" i="1" s="1"/>
  <c r="U123" i="1"/>
  <c r="V123" i="1" s="1"/>
  <c r="AL123" i="1" s="1"/>
  <c r="U126" i="1"/>
  <c r="V126" i="1" s="1"/>
  <c r="AL126" i="1" s="1"/>
  <c r="U130" i="1"/>
  <c r="V130" i="1" s="1"/>
  <c r="AL130" i="1" s="1"/>
  <c r="U132" i="1"/>
  <c r="V132" i="1" s="1"/>
  <c r="AL132" i="1" s="1"/>
  <c r="U134" i="1"/>
  <c r="V134" i="1" s="1"/>
  <c r="AL134" i="1" s="1"/>
  <c r="U136" i="1"/>
  <c r="V136" i="1" s="1"/>
  <c r="AL136" i="1" s="1"/>
  <c r="W40" i="1" l="1"/>
  <c r="AM40" i="1" s="1"/>
  <c r="W33" i="1"/>
  <c r="AM33" i="1" s="1"/>
  <c r="W31" i="1"/>
  <c r="AM31" i="1" s="1"/>
  <c r="W27" i="1"/>
  <c r="AM27" i="1" s="1"/>
  <c r="W11" i="1"/>
  <c r="AM11" i="1" s="1"/>
  <c r="W117" i="1"/>
  <c r="AM117" i="1" s="1"/>
  <c r="W38" i="1"/>
  <c r="AM38" i="1" s="1"/>
  <c r="M7" i="1"/>
  <c r="S7" i="1" s="1"/>
  <c r="T7" i="1" s="1"/>
  <c r="M8" i="1"/>
  <c r="S8" i="1" s="1"/>
  <c r="T8" i="1" s="1"/>
  <c r="M9" i="1"/>
  <c r="S9" i="1" s="1"/>
  <c r="M10" i="1"/>
  <c r="M11" i="1"/>
  <c r="S11" i="1" s="1"/>
  <c r="M12" i="1"/>
  <c r="S12" i="1" s="1"/>
  <c r="M13" i="1"/>
  <c r="S13" i="1" s="1"/>
  <c r="M14" i="1"/>
  <c r="S14" i="1" s="1"/>
  <c r="T14" i="1" s="1"/>
  <c r="U14" i="1" s="1"/>
  <c r="V14" i="1" s="1"/>
  <c r="AL14" i="1" s="1"/>
  <c r="M15" i="1"/>
  <c r="S15" i="1" s="1"/>
  <c r="M16" i="1"/>
  <c r="S16" i="1" s="1"/>
  <c r="T16" i="1" s="1"/>
  <c r="M17" i="1"/>
  <c r="S17" i="1" s="1"/>
  <c r="T17" i="1" s="1"/>
  <c r="M18" i="1"/>
  <c r="S18" i="1" s="1"/>
  <c r="M19" i="1"/>
  <c r="S19" i="1" s="1"/>
  <c r="M20" i="1"/>
  <c r="S20" i="1" s="1"/>
  <c r="M21" i="1"/>
  <c r="S21" i="1" s="1"/>
  <c r="T21" i="1" s="1"/>
  <c r="U21" i="1" s="1"/>
  <c r="V21" i="1" s="1"/>
  <c r="AL21" i="1" s="1"/>
  <c r="M22" i="1"/>
  <c r="S22" i="1" s="1"/>
  <c r="T22" i="1" s="1"/>
  <c r="M23" i="1"/>
  <c r="S23" i="1" s="1"/>
  <c r="M24" i="1"/>
  <c r="S24" i="1" s="1"/>
  <c r="M25" i="1"/>
  <c r="S25" i="1" s="1"/>
  <c r="T25" i="1" s="1"/>
  <c r="M26" i="1"/>
  <c r="S26" i="1" s="1"/>
  <c r="M27" i="1"/>
  <c r="S27" i="1" s="1"/>
  <c r="M28" i="1"/>
  <c r="S28" i="1" s="1"/>
  <c r="M29" i="1"/>
  <c r="S29" i="1" s="1"/>
  <c r="M30" i="1"/>
  <c r="S30" i="1" s="1"/>
  <c r="M31" i="1"/>
  <c r="S31" i="1" s="1"/>
  <c r="M32" i="1"/>
  <c r="S32" i="1" s="1"/>
  <c r="M33" i="1"/>
  <c r="S33" i="1" s="1"/>
  <c r="M34" i="1"/>
  <c r="S34" i="1" s="1"/>
  <c r="M35" i="1"/>
  <c r="S35" i="1" s="1"/>
  <c r="M36" i="1"/>
  <c r="S36" i="1" s="1"/>
  <c r="M37" i="1"/>
  <c r="S37" i="1" s="1"/>
  <c r="M38" i="1"/>
  <c r="S38" i="1" s="1"/>
  <c r="M39" i="1"/>
  <c r="S39" i="1" s="1"/>
  <c r="T39" i="1" s="1"/>
  <c r="M40" i="1"/>
  <c r="S40" i="1" s="1"/>
  <c r="M41" i="1"/>
  <c r="S41" i="1" s="1"/>
  <c r="M42" i="1"/>
  <c r="S42" i="1" s="1"/>
  <c r="M43" i="1"/>
  <c r="S43" i="1" s="1"/>
  <c r="T43" i="1" s="1"/>
  <c r="U43" i="1" s="1"/>
  <c r="V43" i="1" s="1"/>
  <c r="AL43" i="1" s="1"/>
  <c r="M44" i="1"/>
  <c r="S44" i="1" s="1"/>
  <c r="M45" i="1"/>
  <c r="S45" i="1" s="1"/>
  <c r="M46" i="1"/>
  <c r="S46" i="1" s="1"/>
  <c r="M47" i="1"/>
  <c r="S47" i="1" s="1"/>
  <c r="M48" i="1"/>
  <c r="S48" i="1" s="1"/>
  <c r="T48" i="1" s="1"/>
  <c r="U48" i="1" s="1"/>
  <c r="V48" i="1" s="1"/>
  <c r="AL48" i="1" s="1"/>
  <c r="M49" i="1"/>
  <c r="S49" i="1" s="1"/>
  <c r="T49" i="1" s="1"/>
  <c r="U49" i="1" s="1"/>
  <c r="M50" i="1"/>
  <c r="S50" i="1" s="1"/>
  <c r="M51" i="1"/>
  <c r="S51" i="1" s="1"/>
  <c r="T51" i="1" s="1"/>
  <c r="U51" i="1" s="1"/>
  <c r="V51" i="1" s="1"/>
  <c r="AL51" i="1" s="1"/>
  <c r="M52" i="1"/>
  <c r="S52" i="1" s="1"/>
  <c r="M53" i="1"/>
  <c r="S53" i="1" s="1"/>
  <c r="M54" i="1"/>
  <c r="S54" i="1" s="1"/>
  <c r="T54" i="1" s="1"/>
  <c r="U54" i="1" s="1"/>
  <c r="M55" i="1"/>
  <c r="S55" i="1" s="1"/>
  <c r="T55" i="1" s="1"/>
  <c r="U55" i="1" s="1"/>
  <c r="M56" i="1"/>
  <c r="S56" i="1" s="1"/>
  <c r="M57" i="1"/>
  <c r="S57" i="1" s="1"/>
  <c r="M58" i="1"/>
  <c r="S58" i="1" s="1"/>
  <c r="T58" i="1" s="1"/>
  <c r="U58" i="1" s="1"/>
  <c r="M59" i="1"/>
  <c r="S59" i="1" s="1"/>
  <c r="T59" i="1" s="1"/>
  <c r="U59" i="1" s="1"/>
  <c r="V59" i="1" s="1"/>
  <c r="AL59" i="1" s="1"/>
  <c r="M60" i="1"/>
  <c r="S60" i="1" s="1"/>
  <c r="T60" i="1" s="1"/>
  <c r="U60" i="1" s="1"/>
  <c r="V60" i="1" s="1"/>
  <c r="AL60" i="1" s="1"/>
  <c r="M61" i="1"/>
  <c r="S61" i="1" s="1"/>
  <c r="T61" i="1" s="1"/>
  <c r="U61" i="1" s="1"/>
  <c r="V61" i="1" s="1"/>
  <c r="AL61" i="1" s="1"/>
  <c r="M62" i="1"/>
  <c r="S62" i="1" s="1"/>
  <c r="T62" i="1" s="1"/>
  <c r="U62" i="1" s="1"/>
  <c r="V62" i="1" s="1"/>
  <c r="AL62" i="1" s="1"/>
  <c r="M63" i="1"/>
  <c r="S63" i="1" s="1"/>
  <c r="M64" i="1"/>
  <c r="S64" i="1" s="1"/>
  <c r="M65" i="1"/>
  <c r="S65" i="1" s="1"/>
  <c r="M66" i="1"/>
  <c r="S66" i="1" s="1"/>
  <c r="M67" i="1"/>
  <c r="S67" i="1" s="1"/>
  <c r="M68" i="1"/>
  <c r="S68" i="1" s="1"/>
  <c r="T68" i="1" s="1"/>
  <c r="U68" i="1" s="1"/>
  <c r="V68" i="1" s="1"/>
  <c r="AL68" i="1" s="1"/>
  <c r="M69" i="1"/>
  <c r="S69" i="1" s="1"/>
  <c r="T69" i="1" s="1"/>
  <c r="U69" i="1" s="1"/>
  <c r="V69" i="1" s="1"/>
  <c r="AL69" i="1" s="1"/>
  <c r="M70" i="1"/>
  <c r="S70" i="1" s="1"/>
  <c r="M71" i="1"/>
  <c r="S71" i="1" s="1"/>
  <c r="M72" i="1"/>
  <c r="S72" i="1" s="1"/>
  <c r="M73" i="1"/>
  <c r="S73" i="1" s="1"/>
  <c r="T73" i="1" s="1"/>
  <c r="U73" i="1" s="1"/>
  <c r="V73" i="1" s="1"/>
  <c r="AL73" i="1" s="1"/>
  <c r="M74" i="1"/>
  <c r="S74" i="1" s="1"/>
  <c r="T74" i="1" s="1"/>
  <c r="U74" i="1" s="1"/>
  <c r="V74" i="1" s="1"/>
  <c r="AL74" i="1" s="1"/>
  <c r="M75" i="1"/>
  <c r="S75" i="1" s="1"/>
  <c r="T75" i="1" s="1"/>
  <c r="U75" i="1" s="1"/>
  <c r="M76" i="1"/>
  <c r="S76" i="1" s="1"/>
  <c r="M77" i="1"/>
  <c r="S77" i="1" s="1"/>
  <c r="M78" i="1"/>
  <c r="S78" i="1" s="1"/>
  <c r="T78" i="1" s="1"/>
  <c r="U78" i="1" s="1"/>
  <c r="V78" i="1" s="1"/>
  <c r="AL78" i="1" s="1"/>
  <c r="M79" i="1"/>
  <c r="S79" i="1" s="1"/>
  <c r="M80" i="1"/>
  <c r="S80" i="1" s="1"/>
  <c r="M81" i="1"/>
  <c r="S81" i="1" s="1"/>
  <c r="T81" i="1" s="1"/>
  <c r="U81" i="1" s="1"/>
  <c r="M82" i="1"/>
  <c r="S82" i="1" s="1"/>
  <c r="T82" i="1" s="1"/>
  <c r="U82" i="1" s="1"/>
  <c r="V82" i="1" s="1"/>
  <c r="AL82" i="1" s="1"/>
  <c r="M83" i="1"/>
  <c r="S83" i="1" s="1"/>
  <c r="M84" i="1"/>
  <c r="S84" i="1" s="1"/>
  <c r="M85" i="1"/>
  <c r="S85" i="1" s="1"/>
  <c r="M86" i="1"/>
  <c r="S86" i="1" s="1"/>
  <c r="T86" i="1" s="1"/>
  <c r="U86" i="1" s="1"/>
  <c r="V86" i="1" s="1"/>
  <c r="AL86" i="1" s="1"/>
  <c r="M87" i="1"/>
  <c r="S87" i="1" s="1"/>
  <c r="M88" i="1"/>
  <c r="S88" i="1" s="1"/>
  <c r="M89" i="1"/>
  <c r="S89" i="1" s="1"/>
  <c r="T89" i="1" s="1"/>
  <c r="M90" i="1"/>
  <c r="S90" i="1" s="1"/>
  <c r="M91" i="1"/>
  <c r="S91" i="1" s="1"/>
  <c r="T91" i="1" s="1"/>
  <c r="M92" i="1"/>
  <c r="S92" i="1" s="1"/>
  <c r="T92" i="1" s="1"/>
  <c r="M93" i="1"/>
  <c r="S93" i="1" s="1"/>
  <c r="T93" i="1" s="1"/>
  <c r="M94" i="1"/>
  <c r="S94" i="1" s="1"/>
  <c r="M95" i="1"/>
  <c r="S95" i="1" s="1"/>
  <c r="M96" i="1"/>
  <c r="S96" i="1" s="1"/>
  <c r="M97" i="1"/>
  <c r="S97" i="1" s="1"/>
  <c r="T97" i="1" s="1"/>
  <c r="U97" i="1" s="1"/>
  <c r="V97" i="1" s="1"/>
  <c r="AL97" i="1" s="1"/>
  <c r="M98" i="1"/>
  <c r="S98" i="1" s="1"/>
  <c r="T98" i="1" s="1"/>
  <c r="U98" i="1" s="1"/>
  <c r="V98" i="1" s="1"/>
  <c r="AL98" i="1" s="1"/>
  <c r="M99" i="1"/>
  <c r="S99" i="1" s="1"/>
  <c r="M100" i="1"/>
  <c r="S100" i="1" s="1"/>
  <c r="M101" i="1"/>
  <c r="S101" i="1" s="1"/>
  <c r="M102" i="1"/>
  <c r="S102" i="1" s="1"/>
  <c r="M103" i="1"/>
  <c r="S103" i="1" s="1"/>
  <c r="M104" i="1"/>
  <c r="S104" i="1" s="1"/>
  <c r="M105" i="1"/>
  <c r="S105" i="1" s="1"/>
  <c r="M106" i="1"/>
  <c r="S106" i="1" s="1"/>
  <c r="M107" i="1"/>
  <c r="S107" i="1" s="1"/>
  <c r="M108" i="1"/>
  <c r="S108" i="1" s="1"/>
  <c r="M109" i="1"/>
  <c r="S109" i="1" s="1"/>
  <c r="T109" i="1" s="1"/>
  <c r="U109" i="1" s="1"/>
  <c r="V109" i="1" s="1"/>
  <c r="AL109" i="1" s="1"/>
  <c r="M110" i="1"/>
  <c r="S110" i="1" s="1"/>
  <c r="T110" i="1" s="1"/>
  <c r="U110" i="1" s="1"/>
  <c r="M111" i="1"/>
  <c r="S111" i="1" s="1"/>
  <c r="T111" i="1" s="1"/>
  <c r="U111" i="1" s="1"/>
  <c r="V111" i="1" s="1"/>
  <c r="AL111" i="1" s="1"/>
  <c r="M112" i="1"/>
  <c r="S112" i="1" s="1"/>
  <c r="T112" i="1" s="1"/>
  <c r="U112" i="1" s="1"/>
  <c r="M113" i="1"/>
  <c r="S113" i="1" s="1"/>
  <c r="M114" i="1"/>
  <c r="S114" i="1" s="1"/>
  <c r="M115" i="1"/>
  <c r="S115" i="1" s="1"/>
  <c r="T115" i="1" s="1"/>
  <c r="U115" i="1" s="1"/>
  <c r="V115" i="1" s="1"/>
  <c r="AL115" i="1" s="1"/>
  <c r="M116" i="1"/>
  <c r="S116" i="1" s="1"/>
  <c r="T116" i="1" s="1"/>
  <c r="U116" i="1" s="1"/>
  <c r="M117" i="1"/>
  <c r="S117" i="1" s="1"/>
  <c r="M118" i="1"/>
  <c r="S118" i="1" s="1"/>
  <c r="T118" i="1" s="1"/>
  <c r="U118" i="1" s="1"/>
  <c r="V118" i="1" s="1"/>
  <c r="AL118" i="1" s="1"/>
  <c r="M119" i="1"/>
  <c r="S119" i="1" s="1"/>
  <c r="M120" i="1"/>
  <c r="S120" i="1" s="1"/>
  <c r="M121" i="1"/>
  <c r="S121" i="1" s="1"/>
  <c r="T121" i="1" s="1"/>
  <c r="U121" i="1" s="1"/>
  <c r="V121" i="1" s="1"/>
  <c r="AL121" i="1" s="1"/>
  <c r="M122" i="1"/>
  <c r="S122" i="1" s="1"/>
  <c r="M123" i="1"/>
  <c r="S123" i="1" s="1"/>
  <c r="M124" i="1"/>
  <c r="S124" i="1" s="1"/>
  <c r="T124" i="1" s="1"/>
  <c r="U124" i="1" s="1"/>
  <c r="V124" i="1" s="1"/>
  <c r="AL124" i="1" s="1"/>
  <c r="M125" i="1"/>
  <c r="S125" i="1" s="1"/>
  <c r="T125" i="1" s="1"/>
  <c r="U125" i="1" s="1"/>
  <c r="M126" i="1"/>
  <c r="S126" i="1" s="1"/>
  <c r="M127" i="1"/>
  <c r="S127" i="1" s="1"/>
  <c r="T127" i="1" s="1"/>
  <c r="M128" i="1"/>
  <c r="S128" i="1" s="1"/>
  <c r="T128" i="1" s="1"/>
  <c r="U128" i="1" s="1"/>
  <c r="V128" i="1" s="1"/>
  <c r="AL128" i="1" s="1"/>
  <c r="M129" i="1"/>
  <c r="S129" i="1" s="1"/>
  <c r="T129" i="1" s="1"/>
  <c r="U129" i="1" s="1"/>
  <c r="V129" i="1" s="1"/>
  <c r="AL129" i="1" s="1"/>
  <c r="M130" i="1"/>
  <c r="S130" i="1" s="1"/>
  <c r="M131" i="1"/>
  <c r="S131" i="1" s="1"/>
  <c r="T131" i="1" s="1"/>
  <c r="U131" i="1" s="1"/>
  <c r="V131" i="1" s="1"/>
  <c r="AL131" i="1" s="1"/>
  <c r="M132" i="1"/>
  <c r="S132" i="1" s="1"/>
  <c r="M133" i="1"/>
  <c r="S133" i="1" s="1"/>
  <c r="T133" i="1" s="1"/>
  <c r="U133" i="1" s="1"/>
  <c r="V133" i="1" s="1"/>
  <c r="AL133" i="1" s="1"/>
  <c r="M134" i="1"/>
  <c r="S134" i="1" s="1"/>
  <c r="M135" i="1"/>
  <c r="S135" i="1" s="1"/>
  <c r="T135" i="1" s="1"/>
  <c r="U135" i="1" s="1"/>
  <c r="V135" i="1" s="1"/>
  <c r="AL135" i="1" s="1"/>
  <c r="M136" i="1"/>
  <c r="S136" i="1" s="1"/>
  <c r="M6" i="1"/>
  <c r="S6" i="1" s="1"/>
  <c r="T6" i="1" s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AB5" i="1"/>
  <c r="AA5" i="1"/>
  <c r="R5" i="1"/>
  <c r="Q5" i="1"/>
  <c r="P5" i="1"/>
  <c r="O5" i="1"/>
  <c r="N5" i="1"/>
  <c r="K5" i="1"/>
  <c r="F5" i="1"/>
  <c r="E5" i="1"/>
  <c r="W116" i="1" l="1"/>
  <c r="AM116" i="1" s="1"/>
  <c r="W112" i="1"/>
  <c r="AM112" i="1" s="1"/>
  <c r="W110" i="1"/>
  <c r="AM110" i="1" s="1"/>
  <c r="W58" i="1"/>
  <c r="AM58" i="1" s="1"/>
  <c r="W54" i="1"/>
  <c r="AM54" i="1" s="1"/>
  <c r="W125" i="1"/>
  <c r="AM125" i="1" s="1"/>
  <c r="W81" i="1"/>
  <c r="AM81" i="1" s="1"/>
  <c r="W75" i="1"/>
  <c r="AM75" i="1" s="1"/>
  <c r="W55" i="1"/>
  <c r="AM55" i="1" s="1"/>
  <c r="W49" i="1"/>
  <c r="AM49" i="1" s="1"/>
  <c r="V38" i="1"/>
  <c r="AL38" i="1" s="1"/>
  <c r="AL117" i="1"/>
  <c r="V11" i="1"/>
  <c r="AL11" i="1" s="1"/>
  <c r="V27" i="1"/>
  <c r="AL27" i="1" s="1"/>
  <c r="AL31" i="1"/>
  <c r="V33" i="1"/>
  <c r="AL33" i="1" s="1"/>
  <c r="AL40" i="1"/>
  <c r="U6" i="1"/>
  <c r="U127" i="1"/>
  <c r="U93" i="1"/>
  <c r="U91" i="1"/>
  <c r="U89" i="1"/>
  <c r="U25" i="1"/>
  <c r="U17" i="1"/>
  <c r="U7" i="1"/>
  <c r="U92" i="1"/>
  <c r="U22" i="1"/>
  <c r="U16" i="1"/>
  <c r="U8" i="1"/>
  <c r="T90" i="1"/>
  <c r="U90" i="1" s="1"/>
  <c r="S10" i="1"/>
  <c r="T10" i="1" s="1"/>
  <c r="U10" i="1" s="1"/>
  <c r="L5" i="1"/>
  <c r="Z136" i="1"/>
  <c r="Y136" i="1"/>
  <c r="Z132" i="1"/>
  <c r="Y132" i="1"/>
  <c r="Z128" i="1"/>
  <c r="Y128" i="1"/>
  <c r="Z124" i="1"/>
  <c r="Y124" i="1"/>
  <c r="Z120" i="1"/>
  <c r="Y120" i="1"/>
  <c r="Z116" i="1"/>
  <c r="Y116" i="1"/>
  <c r="Z112" i="1"/>
  <c r="Y112" i="1"/>
  <c r="Z108" i="1"/>
  <c r="Y108" i="1"/>
  <c r="Z104" i="1"/>
  <c r="Y104" i="1"/>
  <c r="Z100" i="1"/>
  <c r="Y100" i="1"/>
  <c r="Z96" i="1"/>
  <c r="Y96" i="1"/>
  <c r="Z92" i="1"/>
  <c r="Y92" i="1"/>
  <c r="Y88" i="1"/>
  <c r="Z88" i="1"/>
  <c r="Y84" i="1"/>
  <c r="Z84" i="1"/>
  <c r="Y80" i="1"/>
  <c r="Z80" i="1"/>
  <c r="Y76" i="1"/>
  <c r="Z76" i="1"/>
  <c r="Y72" i="1"/>
  <c r="Z72" i="1"/>
  <c r="Y68" i="1"/>
  <c r="Z68" i="1"/>
  <c r="Y64" i="1"/>
  <c r="Z64" i="1"/>
  <c r="Y60" i="1"/>
  <c r="Z60" i="1"/>
  <c r="Y56" i="1"/>
  <c r="Z56" i="1"/>
  <c r="Y52" i="1"/>
  <c r="Z52" i="1"/>
  <c r="Y48" i="1"/>
  <c r="Z48" i="1"/>
  <c r="Y44" i="1"/>
  <c r="Z44" i="1"/>
  <c r="Y40" i="1"/>
  <c r="Z40" i="1"/>
  <c r="Y36" i="1"/>
  <c r="Z36" i="1"/>
  <c r="Y32" i="1"/>
  <c r="Z32" i="1"/>
  <c r="Y28" i="1"/>
  <c r="Z28" i="1"/>
  <c r="Y24" i="1"/>
  <c r="Z24" i="1"/>
  <c r="Y20" i="1"/>
  <c r="Z20" i="1"/>
  <c r="Y16" i="1"/>
  <c r="Z16" i="1"/>
  <c r="Y12" i="1"/>
  <c r="Z12" i="1"/>
  <c r="Y8" i="1"/>
  <c r="Z8" i="1"/>
  <c r="Y6" i="1"/>
  <c r="Z6" i="1"/>
  <c r="Z135" i="1"/>
  <c r="Y135" i="1"/>
  <c r="Z133" i="1"/>
  <c r="Y133" i="1"/>
  <c r="Z131" i="1"/>
  <c r="Y131" i="1"/>
  <c r="Z129" i="1"/>
  <c r="Y129" i="1"/>
  <c r="Z127" i="1"/>
  <c r="Y127" i="1"/>
  <c r="Z125" i="1"/>
  <c r="Y125" i="1"/>
  <c r="Z123" i="1"/>
  <c r="Y123" i="1"/>
  <c r="Z121" i="1"/>
  <c r="Y121" i="1"/>
  <c r="Z119" i="1"/>
  <c r="Y119" i="1"/>
  <c r="Z117" i="1"/>
  <c r="Y117" i="1"/>
  <c r="Z115" i="1"/>
  <c r="Y115" i="1"/>
  <c r="Z113" i="1"/>
  <c r="Y113" i="1"/>
  <c r="Z111" i="1"/>
  <c r="Y111" i="1"/>
  <c r="Z109" i="1"/>
  <c r="Y109" i="1"/>
  <c r="Z107" i="1"/>
  <c r="Y107" i="1"/>
  <c r="Z105" i="1"/>
  <c r="Y105" i="1"/>
  <c r="Z103" i="1"/>
  <c r="Y103" i="1"/>
  <c r="Z101" i="1"/>
  <c r="Y101" i="1"/>
  <c r="Z99" i="1"/>
  <c r="Y99" i="1"/>
  <c r="Z97" i="1"/>
  <c r="Y97" i="1"/>
  <c r="Z95" i="1"/>
  <c r="Y95" i="1"/>
  <c r="Z93" i="1"/>
  <c r="Y93" i="1"/>
  <c r="Y91" i="1"/>
  <c r="Z91" i="1"/>
  <c r="Y89" i="1"/>
  <c r="Z89" i="1"/>
  <c r="Y87" i="1"/>
  <c r="Z87" i="1"/>
  <c r="Y85" i="1"/>
  <c r="Z85" i="1"/>
  <c r="Y83" i="1"/>
  <c r="Z83" i="1"/>
  <c r="Y81" i="1"/>
  <c r="Z81" i="1"/>
  <c r="Y79" i="1"/>
  <c r="Z79" i="1"/>
  <c r="Y77" i="1"/>
  <c r="Z77" i="1"/>
  <c r="Y75" i="1"/>
  <c r="Z75" i="1"/>
  <c r="Y73" i="1"/>
  <c r="Z73" i="1"/>
  <c r="Y71" i="1"/>
  <c r="Z71" i="1"/>
  <c r="Y69" i="1"/>
  <c r="Z69" i="1"/>
  <c r="Y67" i="1"/>
  <c r="Z67" i="1"/>
  <c r="Y65" i="1"/>
  <c r="Z65" i="1"/>
  <c r="Y63" i="1"/>
  <c r="Z63" i="1"/>
  <c r="Y61" i="1"/>
  <c r="Z61" i="1"/>
  <c r="Y59" i="1"/>
  <c r="Z59" i="1"/>
  <c r="Y57" i="1"/>
  <c r="Z57" i="1"/>
  <c r="Y55" i="1"/>
  <c r="Z55" i="1"/>
  <c r="Y53" i="1"/>
  <c r="Z53" i="1"/>
  <c r="Y51" i="1"/>
  <c r="Z51" i="1"/>
  <c r="Y49" i="1"/>
  <c r="Z49" i="1"/>
  <c r="Y47" i="1"/>
  <c r="Z47" i="1"/>
  <c r="Y45" i="1"/>
  <c r="Z45" i="1"/>
  <c r="Y43" i="1"/>
  <c r="Z43" i="1"/>
  <c r="Y41" i="1"/>
  <c r="Z41" i="1"/>
  <c r="Y39" i="1"/>
  <c r="Z39" i="1"/>
  <c r="Y37" i="1"/>
  <c r="Z37" i="1"/>
  <c r="Y35" i="1"/>
  <c r="Z35" i="1"/>
  <c r="Y33" i="1"/>
  <c r="Z33" i="1"/>
  <c r="Y31" i="1"/>
  <c r="Z31" i="1"/>
  <c r="Y29" i="1"/>
  <c r="Z29" i="1"/>
  <c r="Y27" i="1"/>
  <c r="Z27" i="1"/>
  <c r="Y25" i="1"/>
  <c r="Z25" i="1"/>
  <c r="Y23" i="1"/>
  <c r="Z23" i="1"/>
  <c r="Y21" i="1"/>
  <c r="Z21" i="1"/>
  <c r="Y19" i="1"/>
  <c r="Z19" i="1"/>
  <c r="Y17" i="1"/>
  <c r="Z17" i="1"/>
  <c r="Y15" i="1"/>
  <c r="Z15" i="1"/>
  <c r="Y13" i="1"/>
  <c r="Z13" i="1"/>
  <c r="Y11" i="1"/>
  <c r="Z11" i="1"/>
  <c r="Y9" i="1"/>
  <c r="Z9" i="1"/>
  <c r="Y7" i="1"/>
  <c r="Z7" i="1"/>
  <c r="Z134" i="1"/>
  <c r="Y134" i="1"/>
  <c r="Z130" i="1"/>
  <c r="Y130" i="1"/>
  <c r="Z126" i="1"/>
  <c r="Y126" i="1"/>
  <c r="Z122" i="1"/>
  <c r="Y122" i="1"/>
  <c r="Z118" i="1"/>
  <c r="Y118" i="1"/>
  <c r="Z114" i="1"/>
  <c r="Y114" i="1"/>
  <c r="Z110" i="1"/>
  <c r="Y110" i="1"/>
  <c r="Z106" i="1"/>
  <c r="Y106" i="1"/>
  <c r="Z102" i="1"/>
  <c r="Y102" i="1"/>
  <c r="Z98" i="1"/>
  <c r="Y98" i="1"/>
  <c r="Z94" i="1"/>
  <c r="Y94" i="1"/>
  <c r="Z90" i="1"/>
  <c r="Y86" i="1"/>
  <c r="Z86" i="1"/>
  <c r="Y82" i="1"/>
  <c r="Z82" i="1"/>
  <c r="Y78" i="1"/>
  <c r="Z78" i="1"/>
  <c r="Y74" i="1"/>
  <c r="Z74" i="1"/>
  <c r="Y70" i="1"/>
  <c r="Z70" i="1"/>
  <c r="Y66" i="1"/>
  <c r="Z66" i="1"/>
  <c r="Y62" i="1"/>
  <c r="Z62" i="1"/>
  <c r="Y58" i="1"/>
  <c r="Z58" i="1"/>
  <c r="Y54" i="1"/>
  <c r="Z54" i="1"/>
  <c r="Y50" i="1"/>
  <c r="Z50" i="1"/>
  <c r="Y46" i="1"/>
  <c r="Z46" i="1"/>
  <c r="Y42" i="1"/>
  <c r="Z42" i="1"/>
  <c r="Y38" i="1"/>
  <c r="Z38" i="1"/>
  <c r="Y34" i="1"/>
  <c r="Z34" i="1"/>
  <c r="Y30" i="1"/>
  <c r="Z30" i="1"/>
  <c r="Y26" i="1"/>
  <c r="Z26" i="1"/>
  <c r="Y22" i="1"/>
  <c r="Z22" i="1"/>
  <c r="Y18" i="1"/>
  <c r="Z18" i="1"/>
  <c r="Y14" i="1"/>
  <c r="Z14" i="1"/>
  <c r="M5" i="1"/>
  <c r="W90" i="1" l="1"/>
  <c r="AM90" i="1" s="1"/>
  <c r="W16" i="1"/>
  <c r="AM16" i="1" s="1"/>
  <c r="W92" i="1"/>
  <c r="AM92" i="1" s="1"/>
  <c r="W17" i="1"/>
  <c r="AM17" i="1" s="1"/>
  <c r="W89" i="1"/>
  <c r="AM89" i="1" s="1"/>
  <c r="W93" i="1"/>
  <c r="AM93" i="1" s="1"/>
  <c r="W6" i="1"/>
  <c r="W10" i="1"/>
  <c r="AM10" i="1" s="1"/>
  <c r="W8" i="1"/>
  <c r="AM8" i="1" s="1"/>
  <c r="W22" i="1"/>
  <c r="AM22" i="1" s="1"/>
  <c r="W7" i="1"/>
  <c r="AM7" i="1" s="1"/>
  <c r="W25" i="1"/>
  <c r="AM25" i="1" s="1"/>
  <c r="W91" i="1"/>
  <c r="AM91" i="1" s="1"/>
  <c r="W127" i="1"/>
  <c r="AM127" i="1" s="1"/>
  <c r="V49" i="1"/>
  <c r="AL49" i="1" s="1"/>
  <c r="V55" i="1"/>
  <c r="AL55" i="1" s="1"/>
  <c r="V75" i="1"/>
  <c r="AL75" i="1" s="1"/>
  <c r="V81" i="1"/>
  <c r="AL81" i="1" s="1"/>
  <c r="V125" i="1"/>
  <c r="AL125" i="1" s="1"/>
  <c r="V54" i="1"/>
  <c r="AL54" i="1" s="1"/>
  <c r="V58" i="1"/>
  <c r="AL58" i="1" s="1"/>
  <c r="V110" i="1"/>
  <c r="AL110" i="1" s="1"/>
  <c r="V112" i="1"/>
  <c r="AL112" i="1" s="1"/>
  <c r="V116" i="1"/>
  <c r="AL116" i="1" s="1"/>
  <c r="Y10" i="1"/>
  <c r="U5" i="1"/>
  <c r="Y90" i="1"/>
  <c r="S5" i="1"/>
  <c r="Z10" i="1"/>
  <c r="T5" i="1"/>
  <c r="AM6" i="1" l="1"/>
  <c r="AM5" i="1" s="1"/>
  <c r="W5" i="1"/>
  <c r="V127" i="1"/>
  <c r="AL127" i="1" s="1"/>
  <c r="V91" i="1"/>
  <c r="AL91" i="1" s="1"/>
  <c r="V25" i="1"/>
  <c r="AL25" i="1" s="1"/>
  <c r="V7" i="1"/>
  <c r="AL7" i="1" s="1"/>
  <c r="V22" i="1"/>
  <c r="AL22" i="1" s="1"/>
  <c r="V8" i="1"/>
  <c r="AL8" i="1" s="1"/>
  <c r="V10" i="1"/>
  <c r="AL10" i="1" s="1"/>
  <c r="V6" i="1"/>
  <c r="V93" i="1"/>
  <c r="AL93" i="1" s="1"/>
  <c r="V89" i="1"/>
  <c r="AL89" i="1" s="1"/>
  <c r="V17" i="1"/>
  <c r="AL17" i="1" s="1"/>
  <c r="V92" i="1"/>
  <c r="AL92" i="1" s="1"/>
  <c r="V16" i="1"/>
  <c r="AL16" i="1" s="1"/>
  <c r="AL90" i="1"/>
  <c r="AL6" i="1" l="1"/>
  <c r="AL5" i="1" s="1"/>
  <c r="AL1" i="1" s="1"/>
  <c r="V5" i="1"/>
</calcChain>
</file>

<file path=xl/sharedStrings.xml><?xml version="1.0" encoding="utf-8"?>
<sst xmlns="http://schemas.openxmlformats.org/spreadsheetml/2006/main" count="506" uniqueCount="199">
  <si>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</si>
  <si>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</si>
  <si>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</si>
  <si>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</si>
  <si>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</si>
  <si>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</si>
  <si>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</si>
  <si>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</si>
  <si>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</si>
  <si>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</si>
  <si>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</si>
  <si>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</si>
  <si>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</si>
  <si>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</si>
  <si>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</si>
  <si>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</si>
  <si>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</si>
  <si>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</si>
  <si>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</si>
  <si>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</si>
  <si>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</si>
  <si>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</si>
  <si>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10,08,(2)</t>
  </si>
  <si>
    <t>10,08,(2)недогруз</t>
  </si>
  <si>
    <t>10,08,(2)доз</t>
  </si>
  <si>
    <t>16,08,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</si>
  <si>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</si>
  <si>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</si>
  <si>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</si>
  <si>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</si>
  <si>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</si>
  <si>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</si>
  <si>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</si>
  <si>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</si>
  <si>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20,07,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</si>
  <si>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</si>
  <si>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</si>
  <si>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</si>
  <si>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</si>
  <si>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</si>
  <si>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</si>
  <si>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</si>
  <si>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</si>
  <si>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</si>
  <si>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</si>
  <si>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</si>
  <si>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</si>
  <si>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</si>
  <si>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</si>
  <si>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</si>
  <si>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</si>
  <si>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</si>
  <si>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</si>
  <si>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</si>
  <si>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</si>
  <si>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</si>
  <si>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</si>
  <si>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</si>
  <si>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</si>
  <si>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</si>
  <si>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</si>
  <si>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</si>
  <si>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</si>
  <si>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</si>
  <si>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</si>
  <si>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</si>
  <si>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</si>
  <si>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</si>
  <si>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</si>
  <si>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</si>
  <si>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</si>
  <si>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</si>
  <si>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НЕДОГРУЗ / матрица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</si>
  <si>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</si>
  <si>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</si>
  <si>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</si>
  <si>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</si>
  <si>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</si>
  <si>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</si>
  <si>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</si>
  <si>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</si>
  <si>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</si>
  <si>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</si>
  <si>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</si>
  <si>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</si>
  <si>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нужно увеличить продажи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</si>
  <si>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</si>
  <si>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</si>
  <si>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</si>
  <si>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</si>
  <si>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</si>
  <si>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</si>
  <si>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</si>
  <si>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</si>
  <si>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</si>
  <si>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</si>
  <si>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</si>
  <si>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</si>
  <si>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</si>
  <si>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</si>
  <si>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</si>
  <si>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</si>
  <si>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</si>
  <si>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</si>
  <si>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</si>
  <si>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</si>
  <si>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</si>
  <si>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</si>
  <si>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</si>
  <si>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</si>
  <si>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</si>
  <si>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</si>
  <si>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</si>
  <si>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</si>
  <si>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</si>
  <si>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</si>
  <si>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</si>
  <si>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</si>
  <si>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</si>
  <si>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</si>
  <si>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</si>
  <si>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</si>
  <si>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</si>
  <si>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</si>
  <si>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</si>
  <si>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</si>
  <si>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</si>
  <si>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</si>
  <si>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</si>
  <si>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</si>
  <si>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</si>
  <si>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</si>
  <si>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</si>
  <si>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</si>
  <si>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</si>
  <si>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</si>
  <si>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</si>
  <si>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</si>
  <si>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</si>
  <si>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</si>
  <si>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</si>
  <si>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</si>
  <si>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</si>
  <si>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</si>
  <si>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</si>
  <si>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</si>
  <si>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</si>
  <si>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</si>
  <si>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300шт сеть Молоко (05,08,26)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</si>
  <si>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</si>
  <si>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</si>
  <si>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</si>
  <si>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</si>
  <si>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</si>
  <si>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</si>
  <si>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</si>
  <si>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</si>
  <si>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</si>
  <si>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</si>
  <si>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</si>
  <si>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</si>
  <si>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</si>
  <si>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</si>
  <si>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</si>
  <si>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</si>
  <si>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</si>
  <si>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</si>
  <si>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</si>
  <si>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</si>
  <si>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</si>
  <si>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</si>
  <si>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</si>
  <si>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</si>
  <si>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</si>
  <si>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</si>
  <si>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</si>
  <si>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</si>
  <si>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</si>
  <si>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</si>
  <si>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</si>
  <si>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</si>
  <si>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</si>
  <si>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</si>
  <si>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</si>
  <si>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</si>
  <si>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</si>
  <si>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</si>
  <si>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</si>
  <si>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08,07,26 +250кг (задача от завода для ТК / просили 350кг)</t>
  </si>
  <si>
    <t>итого</t>
  </si>
  <si>
    <t>с 14,08,26 начинаем заказывать</t>
  </si>
  <si>
    <t>ТК</t>
  </si>
  <si>
    <t>Рекуто</t>
  </si>
  <si>
    <t>уменьшить до 200</t>
  </si>
  <si>
    <t>заказ</t>
  </si>
  <si>
    <t>17,08,</t>
  </si>
  <si>
    <t>18,08,</t>
  </si>
  <si>
    <t>дн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</si>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</sst>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5" fillId="0" borderId="1" xfId="1" applyNumberFormat="1" applyFont="1"/>
    <xf numFmtId="164" fontId="5" fillId="7" borderId="1" xfId="1" applyNumberFormat="1" applyFon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 applyBorder="1"/>
    <xf numFmtId="164" fontId="1" fillId="0" borderId="1" xfId="1" applyNumberFormat="1" applyBorder="1"/>
    <xf numFmtId="164" fontId="1" fillId="0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7" sqref="X7"/>
    </sheetView>
  </sheetViews>
  <sheetFormatPr defaultRowHeight="15" x14ac:dyDescent="0.25"/>
  <cols>
    <col min="1" max="1" width="52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23" width="7" customWidth="1"/>
    <col min="24" max="24" width="7" style="24" customWidth="1"/>
    <col min="25" max="26" width="5" customWidth="1"/>
    <col min="27" max="36" width="6.7109375" customWidth="1"/>
    <col min="37" max="37" width="15.7109375" customWidth="1"/>
    <col min="38" max="39" width="7" customWidth="1"/>
    <col min="40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5">
        <v>0.2</v>
      </c>
      <c r="V1" s="1"/>
      <c r="W1" s="25">
        <v>0.52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f>AL5+AM5</f>
        <v>34809</v>
      </c>
      <c r="AM1" s="1">
        <v>34780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197</v>
      </c>
      <c r="V2" s="1"/>
      <c r="W2" s="1" t="s">
        <v>198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17600</v>
      </c>
      <c r="AM2" s="1">
        <v>17200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189</v>
      </c>
      <c r="V3" s="3" t="s">
        <v>194</v>
      </c>
      <c r="W3" s="3" t="s">
        <v>194</v>
      </c>
      <c r="X3" s="3" t="s">
        <v>191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 t="s">
        <v>195</v>
      </c>
      <c r="W4" s="1" t="s">
        <v>196</v>
      </c>
      <c r="X4" s="1" t="s">
        <v>192</v>
      </c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/>
      <c r="AL4" s="1" t="s">
        <v>195</v>
      </c>
      <c r="AM4" s="1" t="s">
        <v>196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68016.385999999999</v>
      </c>
      <c r="F5" s="4">
        <f>SUM(F6:F500)</f>
        <v>68356.864000000016</v>
      </c>
      <c r="G5" s="7"/>
      <c r="H5" s="1"/>
      <c r="I5" s="1"/>
      <c r="J5" s="1"/>
      <c r="K5" s="4">
        <f t="shared" ref="K5:V5" si="0">SUM(K6:K500)</f>
        <v>80949.000000000015</v>
      </c>
      <c r="L5" s="4">
        <f t="shared" si="0"/>
        <v>-12932.614</v>
      </c>
      <c r="M5" s="4">
        <f t="shared" si="0"/>
        <v>63347.309000000001</v>
      </c>
      <c r="N5" s="4">
        <f t="shared" si="0"/>
        <v>4669.0769999999993</v>
      </c>
      <c r="O5" s="4">
        <f t="shared" si="0"/>
        <v>21297.715385295993</v>
      </c>
      <c r="P5" s="4">
        <f t="shared" si="0"/>
        <v>-2944.8</v>
      </c>
      <c r="Q5" s="4">
        <f t="shared" si="0"/>
        <v>2080</v>
      </c>
      <c r="R5" s="4">
        <f t="shared" si="0"/>
        <v>21005.302231599999</v>
      </c>
      <c r="S5" s="4">
        <f t="shared" si="0"/>
        <v>12669.461800000005</v>
      </c>
      <c r="T5" s="4">
        <f t="shared" si="0"/>
        <v>39784.55222055201</v>
      </c>
      <c r="U5" s="4">
        <f t="shared" si="0"/>
        <v>40872.452340552016</v>
      </c>
      <c r="V5" s="4">
        <f t="shared" si="0"/>
        <v>21801.238411600003</v>
      </c>
      <c r="W5" s="4">
        <f t="shared" ref="W5" si="1">SUM(W6:W500)</f>
        <v>19603.011368952004</v>
      </c>
      <c r="X5" s="4"/>
      <c r="Y5" s="1"/>
      <c r="Z5" s="1"/>
      <c r="AA5" s="4">
        <f t="shared" ref="AA5:AJ5" si="2">SUM(AA6:AA500)</f>
        <v>10646.113600000001</v>
      </c>
      <c r="AB5" s="4">
        <f t="shared" si="2"/>
        <v>10433.826400000007</v>
      </c>
      <c r="AC5" s="4">
        <f t="shared" si="2"/>
        <v>11173.737200000001</v>
      </c>
      <c r="AD5" s="4">
        <f t="shared" si="2"/>
        <v>12763.749600000005</v>
      </c>
      <c r="AE5" s="4">
        <f t="shared" si="2"/>
        <v>14118.473</v>
      </c>
      <c r="AF5" s="4">
        <f t="shared" si="2"/>
        <v>10392.847799999996</v>
      </c>
      <c r="AG5" s="4">
        <f t="shared" si="2"/>
        <v>11560.837400000002</v>
      </c>
      <c r="AH5" s="4">
        <f t="shared" si="2"/>
        <v>11734.1994</v>
      </c>
      <c r="AI5" s="4">
        <f t="shared" si="2"/>
        <v>14138.868400000007</v>
      </c>
      <c r="AJ5" s="4">
        <f t="shared" si="2"/>
        <v>14537.335200000001</v>
      </c>
      <c r="AK5" s="1"/>
      <c r="AL5" s="4">
        <f>SUM(AL6:AL500)</f>
        <v>17590</v>
      </c>
      <c r="AM5" s="4">
        <f>SUM(AM6:AM500)</f>
        <v>17219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37</v>
      </c>
      <c r="B6" s="1" t="s">
        <v>38</v>
      </c>
      <c r="C6" s="1">
        <v>1453.7539999999999</v>
      </c>
      <c r="D6" s="1">
        <v>3341.9050000000002</v>
      </c>
      <c r="E6" s="1">
        <v>2096.0340000000001</v>
      </c>
      <c r="F6" s="1">
        <v>2031.607</v>
      </c>
      <c r="G6" s="7">
        <v>1</v>
      </c>
      <c r="H6" s="1">
        <v>50</v>
      </c>
      <c r="I6" s="1" t="s">
        <v>39</v>
      </c>
      <c r="J6" s="1"/>
      <c r="K6" s="1">
        <v>2240.6759999999999</v>
      </c>
      <c r="L6" s="1">
        <f t="shared" ref="L6:L37" si="3">E6-K6</f>
        <v>-144.64199999999983</v>
      </c>
      <c r="M6" s="1">
        <f>E6-N6</f>
        <v>2096.0340000000001</v>
      </c>
      <c r="N6" s="1"/>
      <c r="O6" s="1">
        <v>1107.5438154119979</v>
      </c>
      <c r="P6" s="1">
        <v>0</v>
      </c>
      <c r="Q6" s="1"/>
      <c r="R6" s="1">
        <v>875.79089540000291</v>
      </c>
      <c r="S6" s="1">
        <f t="shared" ref="S6:S37" si="4">M6/5</f>
        <v>419.20680000000004</v>
      </c>
      <c r="T6" s="5">
        <f>12*S6-R6-Q6-P6-O6-F6</f>
        <v>1015.539889188</v>
      </c>
      <c r="U6" s="5">
        <f>T6+$U$1*S6</f>
        <v>1099.3812491879999</v>
      </c>
      <c r="V6" s="5">
        <f>U6-W6</f>
        <v>527.70299961023989</v>
      </c>
      <c r="W6" s="5">
        <f>U6*$W$1</f>
        <v>571.67824957775997</v>
      </c>
      <c r="X6" s="22"/>
      <c r="Y6" s="1">
        <f>(F6+O6+P6+Q6+R6+T6)/S6</f>
        <v>12.000000000000002</v>
      </c>
      <c r="Z6" s="1">
        <f>(F6+O6+P6+Q6+R6)/S6</f>
        <v>9.5774727671688531</v>
      </c>
      <c r="AA6" s="1">
        <v>402.01659999999998</v>
      </c>
      <c r="AB6" s="1">
        <v>337.73419999999999</v>
      </c>
      <c r="AC6" s="1">
        <v>348.79259999999999</v>
      </c>
      <c r="AD6" s="1">
        <v>383.91660000000002</v>
      </c>
      <c r="AE6" s="1">
        <v>414.53539999999992</v>
      </c>
      <c r="AF6" s="1">
        <v>309.1234</v>
      </c>
      <c r="AG6" s="1">
        <v>397.22059999999999</v>
      </c>
      <c r="AH6" s="1">
        <v>387.44979999999998</v>
      </c>
      <c r="AI6" s="1">
        <v>475.30520000000001</v>
      </c>
      <c r="AJ6" s="1">
        <v>548.64239999999995</v>
      </c>
      <c r="AK6" s="1"/>
      <c r="AL6" s="1">
        <f>ROUND(G6*V6,0)</f>
        <v>528</v>
      </c>
      <c r="AM6" s="1">
        <f>ROUND(G6*W6,0)</f>
        <v>572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40</v>
      </c>
      <c r="B7" s="1" t="s">
        <v>38</v>
      </c>
      <c r="C7" s="1">
        <v>656.28099999999995</v>
      </c>
      <c r="D7" s="1">
        <v>2119.8539999999998</v>
      </c>
      <c r="E7" s="1">
        <v>1773.222</v>
      </c>
      <c r="F7" s="1">
        <v>469.65199999999999</v>
      </c>
      <c r="G7" s="7">
        <v>1</v>
      </c>
      <c r="H7" s="1">
        <v>45</v>
      </c>
      <c r="I7" s="1" t="s">
        <v>39</v>
      </c>
      <c r="J7" s="1"/>
      <c r="K7" s="1">
        <v>1786.1980000000001</v>
      </c>
      <c r="L7" s="1">
        <f t="shared" si="3"/>
        <v>-12.976000000000113</v>
      </c>
      <c r="M7" s="1">
        <f t="shared" ref="M7:M70" si="5">E7-N7</f>
        <v>1429.875</v>
      </c>
      <c r="N7" s="1">
        <v>343.34699999999998</v>
      </c>
      <c r="O7" s="1">
        <v>500</v>
      </c>
      <c r="P7" s="1">
        <v>0</v>
      </c>
      <c r="Q7" s="1"/>
      <c r="R7" s="1">
        <v>1069.8124</v>
      </c>
      <c r="S7" s="1">
        <f t="shared" si="4"/>
        <v>285.97500000000002</v>
      </c>
      <c r="T7" s="5">
        <f t="shared" ref="T7:T14" si="6">12*S7-R7-Q7-P7-O7-F7</f>
        <v>1392.2356</v>
      </c>
      <c r="U7" s="5">
        <f t="shared" ref="U7:U8" si="7">T7+$U$1*S7</f>
        <v>1449.4305999999999</v>
      </c>
      <c r="V7" s="5">
        <f t="shared" ref="V7:V70" si="8">U7-W7</f>
        <v>695.72668799999997</v>
      </c>
      <c r="W7" s="5">
        <f t="shared" ref="W7:W8" si="9">U7*$W$1</f>
        <v>753.70391199999995</v>
      </c>
      <c r="X7" s="22"/>
      <c r="Y7" s="1">
        <f t="shared" ref="Y7:Y70" si="10">(F7+O7+P7+Q7+R7+T7)/S7</f>
        <v>11.999999999999998</v>
      </c>
      <c r="Z7" s="1">
        <f t="shared" ref="Z7:Z70" si="11">(F7+O7+P7+Q7+R7)/S7</f>
        <v>7.131617798758632</v>
      </c>
      <c r="AA7" s="1">
        <v>246.8064</v>
      </c>
      <c r="AB7" s="1">
        <v>136.39259999999999</v>
      </c>
      <c r="AC7" s="1">
        <v>175.6748</v>
      </c>
      <c r="AD7" s="1">
        <v>232.39340000000001</v>
      </c>
      <c r="AE7" s="1">
        <v>194.2758</v>
      </c>
      <c r="AF7" s="1">
        <v>139.5838</v>
      </c>
      <c r="AG7" s="1">
        <v>139.13839999999999</v>
      </c>
      <c r="AH7" s="1">
        <v>153.54400000000001</v>
      </c>
      <c r="AI7" s="1">
        <v>198.9838</v>
      </c>
      <c r="AJ7" s="1">
        <v>211.20099999999999</v>
      </c>
      <c r="AK7" s="1"/>
      <c r="AL7" s="1">
        <f t="shared" ref="AL7:AM70" si="12">ROUND(G7*V7,0)</f>
        <v>696</v>
      </c>
      <c r="AM7" s="1">
        <f t="shared" ref="AM7:AM70" si="13">ROUND(G7*W7,0)</f>
        <v>754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38</v>
      </c>
      <c r="C8" s="1">
        <v>2258.42</v>
      </c>
      <c r="D8" s="1">
        <v>6690.3620000000001</v>
      </c>
      <c r="E8" s="1">
        <v>4639.7439999999997</v>
      </c>
      <c r="F8" s="1">
        <v>2786.913</v>
      </c>
      <c r="G8" s="7">
        <v>1</v>
      </c>
      <c r="H8" s="1">
        <v>45</v>
      </c>
      <c r="I8" s="1" t="s">
        <v>39</v>
      </c>
      <c r="J8" s="1"/>
      <c r="K8" s="1">
        <v>4824.1480000000001</v>
      </c>
      <c r="L8" s="1">
        <f t="shared" si="3"/>
        <v>-184.40400000000045</v>
      </c>
      <c r="M8" s="1">
        <f t="shared" si="5"/>
        <v>3367.1329999999998</v>
      </c>
      <c r="N8" s="1">
        <v>1272.6110000000001</v>
      </c>
      <c r="O8" s="1">
        <v>1062.075561379999</v>
      </c>
      <c r="P8" s="1">
        <v>0</v>
      </c>
      <c r="Q8" s="1"/>
      <c r="R8" s="1">
        <v>2488.476901</v>
      </c>
      <c r="S8" s="1">
        <f t="shared" si="4"/>
        <v>673.42660000000001</v>
      </c>
      <c r="T8" s="5">
        <f t="shared" si="6"/>
        <v>1743.6537376200008</v>
      </c>
      <c r="U8" s="5">
        <f t="shared" si="7"/>
        <v>1878.3390576200009</v>
      </c>
      <c r="V8" s="5">
        <f t="shared" si="8"/>
        <v>901.60274765760039</v>
      </c>
      <c r="W8" s="5">
        <f t="shared" si="9"/>
        <v>976.73630996240047</v>
      </c>
      <c r="X8" s="22"/>
      <c r="Y8" s="1">
        <f t="shared" si="10"/>
        <v>11.999999999999998</v>
      </c>
      <c r="Z8" s="1">
        <f t="shared" si="11"/>
        <v>9.4107738874288582</v>
      </c>
      <c r="AA8" s="1">
        <v>716.37299999999993</v>
      </c>
      <c r="AB8" s="1">
        <v>543.649</v>
      </c>
      <c r="AC8" s="1">
        <v>613.56360000000006</v>
      </c>
      <c r="AD8" s="1">
        <v>603.60799999999995</v>
      </c>
      <c r="AE8" s="1">
        <v>601.60220000000004</v>
      </c>
      <c r="AF8" s="1">
        <v>449.45300000000009</v>
      </c>
      <c r="AG8" s="1">
        <v>483.47179999999997</v>
      </c>
      <c r="AH8" s="1">
        <v>504.71640000000002</v>
      </c>
      <c r="AI8" s="1">
        <v>603.90640000000008</v>
      </c>
      <c r="AJ8" s="1">
        <v>611.28559999999993</v>
      </c>
      <c r="AK8" s="1"/>
      <c r="AL8" s="1">
        <f t="shared" si="12"/>
        <v>902</v>
      </c>
      <c r="AM8" s="1">
        <f t="shared" si="13"/>
        <v>977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43</v>
      </c>
      <c r="C9" s="1">
        <v>19</v>
      </c>
      <c r="D9" s="1">
        <v>15</v>
      </c>
      <c r="E9" s="1">
        <v>9</v>
      </c>
      <c r="F9" s="1">
        <v>23</v>
      </c>
      <c r="G9" s="7">
        <v>0.4</v>
      </c>
      <c r="H9" s="1">
        <v>50</v>
      </c>
      <c r="I9" s="1" t="s">
        <v>39</v>
      </c>
      <c r="J9" s="1"/>
      <c r="K9" s="1">
        <v>12</v>
      </c>
      <c r="L9" s="1">
        <f t="shared" si="3"/>
        <v>-3</v>
      </c>
      <c r="M9" s="1">
        <f t="shared" si="5"/>
        <v>9</v>
      </c>
      <c r="N9" s="1"/>
      <c r="O9" s="1">
        <v>0</v>
      </c>
      <c r="P9" s="1"/>
      <c r="Q9" s="1"/>
      <c r="R9" s="1">
        <v>6</v>
      </c>
      <c r="S9" s="1">
        <f t="shared" si="4"/>
        <v>1.8</v>
      </c>
      <c r="T9" s="5"/>
      <c r="U9" s="5">
        <f t="shared" ref="U7:U70" si="14">T9</f>
        <v>0</v>
      </c>
      <c r="V9" s="5">
        <f t="shared" si="8"/>
        <v>0</v>
      </c>
      <c r="W9" s="5"/>
      <c r="X9" s="22"/>
      <c r="Y9" s="1">
        <f t="shared" si="10"/>
        <v>16.111111111111111</v>
      </c>
      <c r="Z9" s="1">
        <f t="shared" si="11"/>
        <v>16.111111111111111</v>
      </c>
      <c r="AA9" s="1">
        <v>2.4</v>
      </c>
      <c r="AB9" s="1">
        <v>1</v>
      </c>
      <c r="AC9" s="1">
        <v>1.2</v>
      </c>
      <c r="AD9" s="1">
        <v>2.6</v>
      </c>
      <c r="AE9" s="1">
        <v>2.2000000000000002</v>
      </c>
      <c r="AF9" s="1">
        <v>0</v>
      </c>
      <c r="AG9" s="1">
        <v>0</v>
      </c>
      <c r="AH9" s="1">
        <v>0</v>
      </c>
      <c r="AI9" s="1">
        <v>0</v>
      </c>
      <c r="AJ9" s="1">
        <v>0.6</v>
      </c>
      <c r="AK9" s="1" t="s">
        <v>44</v>
      </c>
      <c r="AL9" s="1">
        <f t="shared" si="12"/>
        <v>0</v>
      </c>
      <c r="AM9" s="1">
        <f t="shared" si="13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45</v>
      </c>
      <c r="B10" s="1" t="s">
        <v>43</v>
      </c>
      <c r="C10" s="1">
        <v>887.64499999999998</v>
      </c>
      <c r="D10" s="1">
        <v>3666</v>
      </c>
      <c r="E10" s="1">
        <v>2192.0949999999998</v>
      </c>
      <c r="F10" s="1">
        <v>1946.55</v>
      </c>
      <c r="G10" s="7">
        <v>0.45</v>
      </c>
      <c r="H10" s="1">
        <v>45</v>
      </c>
      <c r="I10" s="15" t="s">
        <v>46</v>
      </c>
      <c r="J10" s="1"/>
      <c r="K10" s="1">
        <v>2607</v>
      </c>
      <c r="L10" s="1">
        <f t="shared" si="3"/>
        <v>-414.9050000000002</v>
      </c>
      <c r="M10" s="1">
        <f t="shared" si="5"/>
        <v>2132.0949999999998</v>
      </c>
      <c r="N10" s="1">
        <v>60</v>
      </c>
      <c r="O10" s="1">
        <v>0</v>
      </c>
      <c r="P10" s="1"/>
      <c r="Q10" s="1"/>
      <c r="R10" s="1">
        <v>998.65899999999965</v>
      </c>
      <c r="S10" s="1">
        <f t="shared" si="4"/>
        <v>426.41899999999998</v>
      </c>
      <c r="T10" s="5">
        <f>11*S10-R10-Q10-P10-O10-F10</f>
        <v>1745.3999999999999</v>
      </c>
      <c r="U10" s="5">
        <f t="shared" si="14"/>
        <v>1745.3999999999999</v>
      </c>
      <c r="V10" s="5">
        <f t="shared" si="8"/>
        <v>837.79199999999992</v>
      </c>
      <c r="W10" s="5">
        <f t="shared" ref="W10:W11" si="15">U10*$W$1</f>
        <v>907.60799999999995</v>
      </c>
      <c r="X10" s="22"/>
      <c r="Y10" s="1">
        <f t="shared" si="10"/>
        <v>11</v>
      </c>
      <c r="Z10" s="1">
        <f t="shared" si="11"/>
        <v>6.9068428001566531</v>
      </c>
      <c r="AA10" s="1">
        <v>373.01900000000001</v>
      </c>
      <c r="AB10" s="1">
        <v>298</v>
      </c>
      <c r="AC10" s="1">
        <v>339</v>
      </c>
      <c r="AD10" s="1">
        <v>705.87099999999998</v>
      </c>
      <c r="AE10" s="1">
        <v>624.67100000000005</v>
      </c>
      <c r="AF10" s="1">
        <v>265.39999999999998</v>
      </c>
      <c r="AG10" s="1">
        <v>547.20000000000005</v>
      </c>
      <c r="AH10" s="1">
        <v>563.6</v>
      </c>
      <c r="AI10" s="1">
        <v>673.6</v>
      </c>
      <c r="AJ10" s="1">
        <v>380.8</v>
      </c>
      <c r="AK10" s="1" t="s">
        <v>47</v>
      </c>
      <c r="AL10" s="1">
        <f t="shared" si="12"/>
        <v>377</v>
      </c>
      <c r="AM10" s="1">
        <f t="shared" si="13"/>
        <v>408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48</v>
      </c>
      <c r="B11" s="1" t="s">
        <v>43</v>
      </c>
      <c r="C11" s="1">
        <v>3189.1709999999998</v>
      </c>
      <c r="D11" s="1">
        <v>7297.2219999999998</v>
      </c>
      <c r="E11" s="1">
        <v>3896.15</v>
      </c>
      <c r="F11" s="1">
        <v>5834.0209999999997</v>
      </c>
      <c r="G11" s="7">
        <v>0.45</v>
      </c>
      <c r="H11" s="1">
        <v>45</v>
      </c>
      <c r="I11" s="15" t="s">
        <v>46</v>
      </c>
      <c r="J11" s="1"/>
      <c r="K11" s="1">
        <v>4433</v>
      </c>
      <c r="L11" s="1">
        <f t="shared" si="3"/>
        <v>-536.84999999999991</v>
      </c>
      <c r="M11" s="1">
        <f t="shared" si="5"/>
        <v>3590.15</v>
      </c>
      <c r="N11" s="1">
        <v>306</v>
      </c>
      <c r="O11" s="1">
        <v>845.89736083999912</v>
      </c>
      <c r="P11" s="1">
        <v>0</v>
      </c>
      <c r="Q11" s="1"/>
      <c r="R11" s="1">
        <v>0</v>
      </c>
      <c r="S11" s="1">
        <f t="shared" si="4"/>
        <v>718.03</v>
      </c>
      <c r="T11" s="5">
        <v>500</v>
      </c>
      <c r="U11" s="5">
        <f t="shared" si="14"/>
        <v>500</v>
      </c>
      <c r="V11" s="5">
        <f t="shared" si="8"/>
        <v>240</v>
      </c>
      <c r="W11" s="5">
        <f t="shared" si="15"/>
        <v>260</v>
      </c>
      <c r="X11" s="22"/>
      <c r="Y11" s="1">
        <f t="shared" si="10"/>
        <v>9.9994684913443717</v>
      </c>
      <c r="Z11" s="1">
        <f t="shared" si="11"/>
        <v>9.3031187566536211</v>
      </c>
      <c r="AA11" s="1">
        <v>763.07439999999997</v>
      </c>
      <c r="AB11" s="1">
        <v>683.4</v>
      </c>
      <c r="AC11" s="1">
        <v>536.79999999999995</v>
      </c>
      <c r="AD11" s="1">
        <v>707.36580000000004</v>
      </c>
      <c r="AE11" s="1">
        <v>771.7657999999999</v>
      </c>
      <c r="AF11" s="1">
        <v>431.2</v>
      </c>
      <c r="AG11" s="1">
        <v>445.4</v>
      </c>
      <c r="AH11" s="1">
        <v>495.2</v>
      </c>
      <c r="AI11" s="1">
        <v>660.46</v>
      </c>
      <c r="AJ11" s="1">
        <v>717.66000000000008</v>
      </c>
      <c r="AK11" s="1" t="s">
        <v>49</v>
      </c>
      <c r="AL11" s="1">
        <f t="shared" si="12"/>
        <v>108</v>
      </c>
      <c r="AM11" s="1">
        <f t="shared" si="13"/>
        <v>117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50</v>
      </c>
      <c r="B12" s="1" t="s">
        <v>43</v>
      </c>
      <c r="C12" s="1">
        <v>90.83</v>
      </c>
      <c r="D12" s="1">
        <v>263.17</v>
      </c>
      <c r="E12" s="1">
        <v>66</v>
      </c>
      <c r="F12" s="1">
        <v>279</v>
      </c>
      <c r="G12" s="7">
        <v>0.17</v>
      </c>
      <c r="H12" s="1">
        <v>180</v>
      </c>
      <c r="I12" s="1" t="s">
        <v>39</v>
      </c>
      <c r="J12" s="1"/>
      <c r="K12" s="1">
        <v>77</v>
      </c>
      <c r="L12" s="1">
        <f t="shared" si="3"/>
        <v>-11</v>
      </c>
      <c r="M12" s="1">
        <f t="shared" si="5"/>
        <v>66</v>
      </c>
      <c r="N12" s="1"/>
      <c r="O12" s="1">
        <v>0</v>
      </c>
      <c r="P12" s="1"/>
      <c r="Q12" s="1"/>
      <c r="R12" s="1">
        <v>0</v>
      </c>
      <c r="S12" s="1">
        <f t="shared" si="4"/>
        <v>13.2</v>
      </c>
      <c r="T12" s="5"/>
      <c r="U12" s="5">
        <f t="shared" si="14"/>
        <v>0</v>
      </c>
      <c r="V12" s="5">
        <f t="shared" si="8"/>
        <v>0</v>
      </c>
      <c r="W12" s="5"/>
      <c r="X12" s="22"/>
      <c r="Y12" s="1">
        <f t="shared" si="10"/>
        <v>21.136363636363637</v>
      </c>
      <c r="Z12" s="1">
        <f t="shared" si="11"/>
        <v>21.136363636363637</v>
      </c>
      <c r="AA12" s="1">
        <v>20</v>
      </c>
      <c r="AB12" s="1">
        <v>19.234000000000002</v>
      </c>
      <c r="AC12" s="1">
        <v>23.6</v>
      </c>
      <c r="AD12" s="1">
        <v>35</v>
      </c>
      <c r="AE12" s="1">
        <v>24.6</v>
      </c>
      <c r="AF12" s="1">
        <v>9</v>
      </c>
      <c r="AG12" s="1">
        <v>5.4</v>
      </c>
      <c r="AH12" s="1">
        <v>12.6</v>
      </c>
      <c r="AI12" s="1">
        <v>17.2</v>
      </c>
      <c r="AJ12" s="1">
        <v>21</v>
      </c>
      <c r="AK12" s="9" t="s">
        <v>85</v>
      </c>
      <c r="AL12" s="1">
        <f t="shared" si="12"/>
        <v>0</v>
      </c>
      <c r="AM12" s="1">
        <f t="shared" si="13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51</v>
      </c>
      <c r="B13" s="1" t="s">
        <v>43</v>
      </c>
      <c r="C13" s="1">
        <v>19</v>
      </c>
      <c r="D13" s="1">
        <v>124</v>
      </c>
      <c r="E13" s="1">
        <v>36</v>
      </c>
      <c r="F13" s="1">
        <v>96</v>
      </c>
      <c r="G13" s="7">
        <v>0.3</v>
      </c>
      <c r="H13" s="1">
        <v>40</v>
      </c>
      <c r="I13" s="1" t="s">
        <v>39</v>
      </c>
      <c r="J13" s="1"/>
      <c r="K13" s="1">
        <v>55</v>
      </c>
      <c r="L13" s="1">
        <f t="shared" si="3"/>
        <v>-19</v>
      </c>
      <c r="M13" s="1">
        <f t="shared" si="5"/>
        <v>36</v>
      </c>
      <c r="N13" s="1"/>
      <c r="O13" s="1">
        <v>0</v>
      </c>
      <c r="P13" s="1"/>
      <c r="Q13" s="1"/>
      <c r="R13" s="1">
        <v>0</v>
      </c>
      <c r="S13" s="1">
        <f t="shared" si="4"/>
        <v>7.2</v>
      </c>
      <c r="T13" s="5"/>
      <c r="U13" s="5">
        <f t="shared" si="14"/>
        <v>0</v>
      </c>
      <c r="V13" s="5">
        <f t="shared" si="8"/>
        <v>0</v>
      </c>
      <c r="W13" s="5"/>
      <c r="X13" s="22"/>
      <c r="Y13" s="1">
        <f t="shared" si="10"/>
        <v>13.333333333333332</v>
      </c>
      <c r="Z13" s="1">
        <f t="shared" si="11"/>
        <v>13.333333333333332</v>
      </c>
      <c r="AA13" s="1">
        <v>4.2</v>
      </c>
      <c r="AB13" s="1">
        <v>8.1999999999999993</v>
      </c>
      <c r="AC13" s="1">
        <v>11.8</v>
      </c>
      <c r="AD13" s="1">
        <v>8.4</v>
      </c>
      <c r="AE13" s="1">
        <v>3.2</v>
      </c>
      <c r="AF13" s="1">
        <v>1</v>
      </c>
      <c r="AG13" s="1">
        <v>0.8</v>
      </c>
      <c r="AH13" s="1">
        <v>2.6</v>
      </c>
      <c r="AI13" s="1">
        <v>9.4</v>
      </c>
      <c r="AJ13" s="1">
        <v>13.4</v>
      </c>
      <c r="AK13" s="1"/>
      <c r="AL13" s="1">
        <f t="shared" si="12"/>
        <v>0</v>
      </c>
      <c r="AM13" s="1">
        <f t="shared" si="13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52</v>
      </c>
      <c r="B14" s="1" t="s">
        <v>43</v>
      </c>
      <c r="C14" s="1">
        <v>497.83</v>
      </c>
      <c r="D14" s="1">
        <v>125.17</v>
      </c>
      <c r="E14" s="1">
        <v>231</v>
      </c>
      <c r="F14" s="1">
        <v>380</v>
      </c>
      <c r="G14" s="7">
        <v>0.17</v>
      </c>
      <c r="H14" s="1">
        <v>180</v>
      </c>
      <c r="I14" s="1" t="s">
        <v>39</v>
      </c>
      <c r="J14" s="1"/>
      <c r="K14" s="1">
        <v>241</v>
      </c>
      <c r="L14" s="1">
        <f t="shared" si="3"/>
        <v>-10</v>
      </c>
      <c r="M14" s="1">
        <f t="shared" si="5"/>
        <v>171</v>
      </c>
      <c r="N14" s="1">
        <v>60</v>
      </c>
      <c r="O14" s="1">
        <v>0</v>
      </c>
      <c r="P14" s="1"/>
      <c r="Q14" s="1"/>
      <c r="R14" s="1">
        <v>0</v>
      </c>
      <c r="S14" s="1">
        <f t="shared" si="4"/>
        <v>34.200000000000003</v>
      </c>
      <c r="T14" s="5">
        <f t="shared" si="6"/>
        <v>30.400000000000034</v>
      </c>
      <c r="U14" s="5">
        <f t="shared" si="14"/>
        <v>30.400000000000034</v>
      </c>
      <c r="V14" s="5">
        <f t="shared" si="8"/>
        <v>30.400000000000034</v>
      </c>
      <c r="W14" s="5"/>
      <c r="X14" s="22"/>
      <c r="Y14" s="1">
        <f t="shared" si="10"/>
        <v>12</v>
      </c>
      <c r="Z14" s="1">
        <f t="shared" si="11"/>
        <v>11.111111111111111</v>
      </c>
      <c r="AA14" s="1">
        <v>26</v>
      </c>
      <c r="AB14" s="1">
        <v>27.634</v>
      </c>
      <c r="AC14" s="1">
        <v>36.799999999999997</v>
      </c>
      <c r="AD14" s="1">
        <v>60.2</v>
      </c>
      <c r="AE14" s="1">
        <v>65.2</v>
      </c>
      <c r="AF14" s="1">
        <v>36.6</v>
      </c>
      <c r="AG14" s="1">
        <v>21.4</v>
      </c>
      <c r="AH14" s="1">
        <v>16.2</v>
      </c>
      <c r="AI14" s="1">
        <v>29.4</v>
      </c>
      <c r="AJ14" s="1">
        <v>74.2</v>
      </c>
      <c r="AK14" s="1"/>
      <c r="AL14" s="1">
        <f t="shared" si="12"/>
        <v>5</v>
      </c>
      <c r="AM14" s="1">
        <f t="shared" si="13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0" t="s">
        <v>53</v>
      </c>
      <c r="B15" s="10" t="s">
        <v>43</v>
      </c>
      <c r="C15" s="10">
        <v>362</v>
      </c>
      <c r="D15" s="10"/>
      <c r="E15" s="10">
        <v>26</v>
      </c>
      <c r="F15" s="10">
        <v>336</v>
      </c>
      <c r="G15" s="11">
        <v>0</v>
      </c>
      <c r="H15" s="10"/>
      <c r="I15" s="10" t="s">
        <v>54</v>
      </c>
      <c r="J15" s="10"/>
      <c r="K15" s="10">
        <v>27</v>
      </c>
      <c r="L15" s="10">
        <f t="shared" si="3"/>
        <v>-1</v>
      </c>
      <c r="M15" s="10">
        <f t="shared" si="5"/>
        <v>26</v>
      </c>
      <c r="N15" s="10"/>
      <c r="O15" s="10">
        <v>0</v>
      </c>
      <c r="P15" s="10"/>
      <c r="Q15" s="10"/>
      <c r="R15" s="10">
        <v>0</v>
      </c>
      <c r="S15" s="10">
        <f t="shared" si="4"/>
        <v>5.2</v>
      </c>
      <c r="T15" s="12"/>
      <c r="U15" s="5">
        <f t="shared" si="14"/>
        <v>0</v>
      </c>
      <c r="V15" s="5">
        <f t="shared" si="8"/>
        <v>0</v>
      </c>
      <c r="W15" s="5"/>
      <c r="X15" s="22"/>
      <c r="Y15" s="10">
        <f t="shared" si="10"/>
        <v>64.615384615384613</v>
      </c>
      <c r="Z15" s="10">
        <f t="shared" si="11"/>
        <v>64.615384615384613</v>
      </c>
      <c r="AA15" s="10">
        <v>4.4000000000000004</v>
      </c>
      <c r="AB15" s="10">
        <v>0.2</v>
      </c>
      <c r="AC15" s="10">
        <v>4.4000000000000004</v>
      </c>
      <c r="AD15" s="10">
        <v>4.2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3" t="s">
        <v>55</v>
      </c>
      <c r="AL15" s="1">
        <f t="shared" si="12"/>
        <v>0</v>
      </c>
      <c r="AM15" s="1">
        <f t="shared" si="13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38</v>
      </c>
      <c r="C16" s="1">
        <v>2425.2130000000002</v>
      </c>
      <c r="D16" s="1">
        <v>7053.3980000000001</v>
      </c>
      <c r="E16" s="1">
        <v>4452.2860000000001</v>
      </c>
      <c r="F16" s="1">
        <v>3948.3220000000001</v>
      </c>
      <c r="G16" s="7">
        <v>1</v>
      </c>
      <c r="H16" s="1">
        <v>70</v>
      </c>
      <c r="I16" s="1" t="s">
        <v>39</v>
      </c>
      <c r="J16" s="1"/>
      <c r="K16" s="1">
        <v>4614.442</v>
      </c>
      <c r="L16" s="1">
        <f t="shared" si="3"/>
        <v>-162.15599999999995</v>
      </c>
      <c r="M16" s="1">
        <f t="shared" si="5"/>
        <v>3634.703</v>
      </c>
      <c r="N16" s="1">
        <v>817.58299999999997</v>
      </c>
      <c r="O16" s="1">
        <v>1201.544169664</v>
      </c>
      <c r="P16" s="1">
        <v>0</v>
      </c>
      <c r="Q16" s="1"/>
      <c r="R16" s="1">
        <v>644.17741280000041</v>
      </c>
      <c r="S16" s="1">
        <f t="shared" si="4"/>
        <v>726.94060000000002</v>
      </c>
      <c r="T16" s="5">
        <f t="shared" ref="T16:T17" si="16">12*S16-R16-Q16-P16-O16-F16</f>
        <v>2929.2436175359999</v>
      </c>
      <c r="U16" s="5">
        <f t="shared" ref="U16:U17" si="17">T16+$U$1*S16</f>
        <v>3074.6317375359999</v>
      </c>
      <c r="V16" s="5">
        <f t="shared" si="8"/>
        <v>1475.8232340172799</v>
      </c>
      <c r="W16" s="5">
        <f t="shared" ref="W16:W17" si="18">U16*$W$1</f>
        <v>1598.80850351872</v>
      </c>
      <c r="X16" s="22"/>
      <c r="Y16" s="1">
        <f t="shared" si="10"/>
        <v>12</v>
      </c>
      <c r="Z16" s="1">
        <f t="shared" si="11"/>
        <v>7.9704498310646024</v>
      </c>
      <c r="AA16" s="1">
        <v>643.96600000000001</v>
      </c>
      <c r="AB16" s="1">
        <v>609.90919999999994</v>
      </c>
      <c r="AC16" s="1">
        <v>693.11580000000004</v>
      </c>
      <c r="AD16" s="1">
        <v>746.79539999999997</v>
      </c>
      <c r="AE16" s="1">
        <v>794.77139999999997</v>
      </c>
      <c r="AF16" s="1">
        <v>554.79759999999999</v>
      </c>
      <c r="AG16" s="1">
        <v>546.93779999999992</v>
      </c>
      <c r="AH16" s="1">
        <v>609.09219999999993</v>
      </c>
      <c r="AI16" s="1">
        <v>717.98599999999999</v>
      </c>
      <c r="AJ16" s="1">
        <v>729.06079999999997</v>
      </c>
      <c r="AK16" s="1"/>
      <c r="AL16" s="1">
        <f t="shared" si="12"/>
        <v>1476</v>
      </c>
      <c r="AM16" s="1">
        <f t="shared" si="13"/>
        <v>1599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57</v>
      </c>
      <c r="B17" s="1" t="s">
        <v>38</v>
      </c>
      <c r="C17" s="1">
        <v>3476.5320000000002</v>
      </c>
      <c r="D17" s="1">
        <v>3516.91</v>
      </c>
      <c r="E17" s="1">
        <v>2994.5949999999998</v>
      </c>
      <c r="F17" s="1">
        <v>3025.1759999999999</v>
      </c>
      <c r="G17" s="7">
        <v>1</v>
      </c>
      <c r="H17" s="1">
        <v>50</v>
      </c>
      <c r="I17" s="1" t="s">
        <v>39</v>
      </c>
      <c r="J17" s="1"/>
      <c r="K17" s="1">
        <v>3152.17</v>
      </c>
      <c r="L17" s="1">
        <f t="shared" si="3"/>
        <v>-157.57500000000027</v>
      </c>
      <c r="M17" s="1">
        <f t="shared" si="5"/>
        <v>2182.375</v>
      </c>
      <c r="N17" s="1">
        <v>812.22</v>
      </c>
      <c r="O17" s="1">
        <v>903.47630625600084</v>
      </c>
      <c r="P17" s="1">
        <v>0</v>
      </c>
      <c r="Q17" s="1">
        <v>580</v>
      </c>
      <c r="R17" s="1">
        <v>296.33760799999999</v>
      </c>
      <c r="S17" s="1">
        <f t="shared" si="4"/>
        <v>436.47500000000002</v>
      </c>
      <c r="T17" s="5">
        <f t="shared" si="16"/>
        <v>432.71008574400003</v>
      </c>
      <c r="U17" s="5">
        <f t="shared" si="17"/>
        <v>520.0050857440001</v>
      </c>
      <c r="V17" s="5">
        <f t="shared" si="8"/>
        <v>249.60244115712004</v>
      </c>
      <c r="W17" s="5">
        <f t="shared" si="18"/>
        <v>270.40264458688006</v>
      </c>
      <c r="X17" s="22"/>
      <c r="Y17" s="1">
        <f t="shared" si="10"/>
        <v>12.000000000000002</v>
      </c>
      <c r="Z17" s="1">
        <f t="shared" si="11"/>
        <v>11.008625727145885</v>
      </c>
      <c r="AA17" s="1">
        <v>435.79059999999993</v>
      </c>
      <c r="AB17" s="1">
        <v>509.04079999999999</v>
      </c>
      <c r="AC17" s="1">
        <v>530.1232</v>
      </c>
      <c r="AD17" s="1">
        <v>537.54300000000001</v>
      </c>
      <c r="AE17" s="1">
        <v>623.73239999999998</v>
      </c>
      <c r="AF17" s="1">
        <v>623.553</v>
      </c>
      <c r="AG17" s="1">
        <v>655.59559999999999</v>
      </c>
      <c r="AH17" s="1">
        <v>514.53160000000003</v>
      </c>
      <c r="AI17" s="1">
        <v>650.99779999999998</v>
      </c>
      <c r="AJ17" s="1">
        <v>665.4226000000001</v>
      </c>
      <c r="AK17" s="1"/>
      <c r="AL17" s="1">
        <f t="shared" si="12"/>
        <v>250</v>
      </c>
      <c r="AM17" s="1">
        <f t="shared" si="13"/>
        <v>270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58</v>
      </c>
      <c r="B18" s="1" t="s">
        <v>38</v>
      </c>
      <c r="C18" s="1">
        <v>288.24</v>
      </c>
      <c r="D18" s="1">
        <v>161.23699999999999</v>
      </c>
      <c r="E18" s="1">
        <v>111.786</v>
      </c>
      <c r="F18" s="1">
        <v>325.07100000000003</v>
      </c>
      <c r="G18" s="7">
        <v>1</v>
      </c>
      <c r="H18" s="1">
        <v>60</v>
      </c>
      <c r="I18" s="1" t="s">
        <v>39</v>
      </c>
      <c r="J18" s="1"/>
      <c r="K18" s="1">
        <v>477.3</v>
      </c>
      <c r="L18" s="1">
        <f t="shared" si="3"/>
        <v>-365.51400000000001</v>
      </c>
      <c r="M18" s="1">
        <f t="shared" si="5"/>
        <v>111.786</v>
      </c>
      <c r="N18" s="1"/>
      <c r="O18" s="1">
        <v>0</v>
      </c>
      <c r="P18" s="1"/>
      <c r="Q18" s="1"/>
      <c r="R18" s="1">
        <v>0</v>
      </c>
      <c r="S18" s="1">
        <f t="shared" si="4"/>
        <v>22.357199999999999</v>
      </c>
      <c r="T18" s="5"/>
      <c r="U18" s="5">
        <f t="shared" si="14"/>
        <v>0</v>
      </c>
      <c r="V18" s="5">
        <f t="shared" si="8"/>
        <v>0</v>
      </c>
      <c r="W18" s="5"/>
      <c r="X18" s="22"/>
      <c r="Y18" s="1">
        <f t="shared" si="10"/>
        <v>14.53987977027535</v>
      </c>
      <c r="Z18" s="1">
        <f t="shared" si="11"/>
        <v>14.53987977027535</v>
      </c>
      <c r="AA18" s="1">
        <v>-0.251</v>
      </c>
      <c r="AB18" s="1">
        <v>23.059200000000001</v>
      </c>
      <c r="AC18" s="1">
        <v>27.917000000000002</v>
      </c>
      <c r="AD18" s="1">
        <v>18.902000000000001</v>
      </c>
      <c r="AE18" s="1">
        <v>36.507800000000003</v>
      </c>
      <c r="AF18" s="1">
        <v>45.231999999999992</v>
      </c>
      <c r="AG18" s="1">
        <v>39.912599999999998</v>
      </c>
      <c r="AH18" s="1">
        <v>46.755800000000001</v>
      </c>
      <c r="AI18" s="1">
        <v>52.686199999999999</v>
      </c>
      <c r="AJ18" s="1">
        <v>53.1126</v>
      </c>
      <c r="AK18" s="13" t="s">
        <v>59</v>
      </c>
      <c r="AL18" s="1">
        <f t="shared" si="12"/>
        <v>0</v>
      </c>
      <c r="AM18" s="1">
        <f t="shared" si="13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0" t="s">
        <v>60</v>
      </c>
      <c r="B19" s="10" t="s">
        <v>38</v>
      </c>
      <c r="C19" s="10">
        <v>-4.9740000000000002</v>
      </c>
      <c r="D19" s="10"/>
      <c r="E19" s="10">
        <v>-1.825</v>
      </c>
      <c r="F19" s="10">
        <v>-4.9740000000000002</v>
      </c>
      <c r="G19" s="11">
        <v>0</v>
      </c>
      <c r="H19" s="10"/>
      <c r="I19" s="10" t="s">
        <v>54</v>
      </c>
      <c r="J19" s="10" t="s">
        <v>61</v>
      </c>
      <c r="K19" s="10">
        <v>300</v>
      </c>
      <c r="L19" s="10">
        <f t="shared" si="3"/>
        <v>-301.82499999999999</v>
      </c>
      <c r="M19" s="10">
        <f t="shared" si="5"/>
        <v>-1.825</v>
      </c>
      <c r="N19" s="10"/>
      <c r="O19" s="10">
        <v>0</v>
      </c>
      <c r="P19" s="10"/>
      <c r="Q19" s="10"/>
      <c r="R19" s="10">
        <v>0</v>
      </c>
      <c r="S19" s="10">
        <f t="shared" si="4"/>
        <v>-0.36499999999999999</v>
      </c>
      <c r="T19" s="12"/>
      <c r="U19" s="5">
        <f t="shared" si="14"/>
        <v>0</v>
      </c>
      <c r="V19" s="5">
        <f t="shared" si="8"/>
        <v>0</v>
      </c>
      <c r="W19" s="5"/>
      <c r="X19" s="22"/>
      <c r="Y19" s="10">
        <f t="shared" si="10"/>
        <v>13.627397260273973</v>
      </c>
      <c r="Z19" s="10">
        <f t="shared" si="11"/>
        <v>13.627397260273973</v>
      </c>
      <c r="AA19" s="10">
        <v>-0.51300000000000001</v>
      </c>
      <c r="AB19" s="10">
        <v>-0.14799999999999999</v>
      </c>
      <c r="AC19" s="10">
        <v>0</v>
      </c>
      <c r="AD19" s="10">
        <v>0.49480000000000002</v>
      </c>
      <c r="AE19" s="10">
        <v>0.49480000000000002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/>
      <c r="AL19" s="1">
        <f t="shared" si="12"/>
        <v>0</v>
      </c>
      <c r="AM19" s="1">
        <f t="shared" si="13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0" t="s">
        <v>62</v>
      </c>
      <c r="B20" s="10" t="s">
        <v>38</v>
      </c>
      <c r="C20" s="10"/>
      <c r="D20" s="10"/>
      <c r="E20" s="10"/>
      <c r="F20" s="10"/>
      <c r="G20" s="11">
        <v>0</v>
      </c>
      <c r="H20" s="10"/>
      <c r="I20" s="10" t="s">
        <v>39</v>
      </c>
      <c r="J20" s="10"/>
      <c r="K20" s="10">
        <v>80</v>
      </c>
      <c r="L20" s="10">
        <f t="shared" si="3"/>
        <v>-80</v>
      </c>
      <c r="M20" s="10">
        <f t="shared" si="5"/>
        <v>0</v>
      </c>
      <c r="N20" s="10"/>
      <c r="O20" s="10">
        <v>0</v>
      </c>
      <c r="P20" s="10"/>
      <c r="Q20" s="10"/>
      <c r="R20" s="10">
        <v>0</v>
      </c>
      <c r="S20" s="10">
        <f t="shared" si="4"/>
        <v>0</v>
      </c>
      <c r="T20" s="12"/>
      <c r="U20" s="5">
        <f t="shared" si="14"/>
        <v>0</v>
      </c>
      <c r="V20" s="5">
        <f t="shared" si="8"/>
        <v>0</v>
      </c>
      <c r="W20" s="5"/>
      <c r="X20" s="22"/>
      <c r="Y20" s="10" t="e">
        <f t="shared" si="10"/>
        <v>#DIV/0!</v>
      </c>
      <c r="Z20" s="10" t="e">
        <f t="shared" si="11"/>
        <v>#DIV/0!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 t="s">
        <v>63</v>
      </c>
      <c r="AL20" s="1">
        <f t="shared" si="12"/>
        <v>0</v>
      </c>
      <c r="AM20" s="1">
        <f t="shared" si="13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64</v>
      </c>
      <c r="B21" s="1" t="s">
        <v>38</v>
      </c>
      <c r="C21" s="1">
        <v>14.776</v>
      </c>
      <c r="D21" s="1">
        <v>4.0720000000000001</v>
      </c>
      <c r="E21" s="1">
        <v>7.3090000000000002</v>
      </c>
      <c r="F21" s="1">
        <v>7.4669999999999996</v>
      </c>
      <c r="G21" s="7">
        <v>1</v>
      </c>
      <c r="H21" s="1">
        <v>180</v>
      </c>
      <c r="I21" s="1" t="s">
        <v>39</v>
      </c>
      <c r="J21" s="1"/>
      <c r="K21" s="1">
        <v>11.2</v>
      </c>
      <c r="L21" s="1">
        <f t="shared" si="3"/>
        <v>-3.8909999999999991</v>
      </c>
      <c r="M21" s="1">
        <f t="shared" si="5"/>
        <v>7.3090000000000002</v>
      </c>
      <c r="N21" s="1"/>
      <c r="O21" s="1">
        <v>0</v>
      </c>
      <c r="P21" s="1"/>
      <c r="Q21" s="1"/>
      <c r="R21" s="1">
        <v>4</v>
      </c>
      <c r="S21" s="1">
        <f t="shared" si="4"/>
        <v>1.4618</v>
      </c>
      <c r="T21" s="5">
        <f t="shared" ref="T21:T22" si="19">12*S21-R21-Q21-P21-O21-F21</f>
        <v>6.0745999999999993</v>
      </c>
      <c r="U21" s="5">
        <f t="shared" si="14"/>
        <v>6.0745999999999993</v>
      </c>
      <c r="V21" s="5">
        <f t="shared" si="8"/>
        <v>6.0745999999999993</v>
      </c>
      <c r="W21" s="5"/>
      <c r="X21" s="22"/>
      <c r="Y21" s="1">
        <f t="shared" si="10"/>
        <v>12</v>
      </c>
      <c r="Z21" s="1">
        <f t="shared" si="11"/>
        <v>7.8444383636612391</v>
      </c>
      <c r="AA21" s="1">
        <v>1.1292</v>
      </c>
      <c r="AB21" s="1">
        <v>0.64200000000000002</v>
      </c>
      <c r="AC21" s="1">
        <v>0.42899999999999999</v>
      </c>
      <c r="AD21" s="1">
        <v>1.0448</v>
      </c>
      <c r="AE21" s="1">
        <v>1.1863999999999999</v>
      </c>
      <c r="AF21" s="1">
        <v>0.42980000000000002</v>
      </c>
      <c r="AG21" s="1">
        <v>0.57140000000000002</v>
      </c>
      <c r="AH21" s="1">
        <v>0.63460000000000005</v>
      </c>
      <c r="AI21" s="1">
        <v>1.0533999999999999</v>
      </c>
      <c r="AJ21" s="1">
        <v>1.054</v>
      </c>
      <c r="AK21" s="1"/>
      <c r="AL21" s="1">
        <f t="shared" si="12"/>
        <v>6</v>
      </c>
      <c r="AM21" s="1">
        <f t="shared" si="13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65</v>
      </c>
      <c r="B22" s="1" t="s">
        <v>38</v>
      </c>
      <c r="C22" s="1">
        <v>4315.8850000000002</v>
      </c>
      <c r="D22" s="1">
        <v>7469.9179999999997</v>
      </c>
      <c r="E22" s="1">
        <v>6022.77</v>
      </c>
      <c r="F22" s="1">
        <v>4117.0219999999999</v>
      </c>
      <c r="G22" s="7">
        <v>1</v>
      </c>
      <c r="H22" s="1">
        <v>60</v>
      </c>
      <c r="I22" s="1" t="s">
        <v>39</v>
      </c>
      <c r="J22" s="1"/>
      <c r="K22" s="1">
        <v>6082.232</v>
      </c>
      <c r="L22" s="1">
        <f t="shared" si="3"/>
        <v>-59.461999999999534</v>
      </c>
      <c r="M22" s="1">
        <f t="shared" si="5"/>
        <v>6022.77</v>
      </c>
      <c r="N22" s="1"/>
      <c r="O22" s="1">
        <v>0</v>
      </c>
      <c r="P22" s="1"/>
      <c r="Q22" s="1"/>
      <c r="R22" s="1">
        <v>3868.4727839999991</v>
      </c>
      <c r="S22" s="1">
        <f t="shared" si="4"/>
        <v>1204.5540000000001</v>
      </c>
      <c r="T22" s="5">
        <f t="shared" si="19"/>
        <v>6469.1532160000015</v>
      </c>
      <c r="U22" s="5">
        <f>T22+$U$1*S22</f>
        <v>6710.0640160000012</v>
      </c>
      <c r="V22" s="5">
        <f t="shared" si="8"/>
        <v>3220.8307276800006</v>
      </c>
      <c r="W22" s="5">
        <f>U22*$W$1</f>
        <v>3489.2332883200006</v>
      </c>
      <c r="X22" s="22"/>
      <c r="Y22" s="1">
        <f t="shared" si="10"/>
        <v>12</v>
      </c>
      <c r="Z22" s="1">
        <f t="shared" si="11"/>
        <v>6.6294203364896864</v>
      </c>
      <c r="AA22" s="1">
        <v>901.40879999999993</v>
      </c>
      <c r="AB22" s="1">
        <v>763.35619999999994</v>
      </c>
      <c r="AC22" s="1">
        <v>859.37340000000006</v>
      </c>
      <c r="AD22" s="1">
        <v>796.55060000000003</v>
      </c>
      <c r="AE22" s="1">
        <v>870.48359999999991</v>
      </c>
      <c r="AF22" s="1">
        <v>625.42460000000005</v>
      </c>
      <c r="AG22" s="1">
        <v>675.56319999999994</v>
      </c>
      <c r="AH22" s="1">
        <v>724.81880000000001</v>
      </c>
      <c r="AI22" s="1">
        <v>877.02520000000004</v>
      </c>
      <c r="AJ22" s="1">
        <v>881.83860000000004</v>
      </c>
      <c r="AK22" s="1"/>
      <c r="AL22" s="1">
        <f t="shared" si="12"/>
        <v>3221</v>
      </c>
      <c r="AM22" s="1">
        <f t="shared" si="13"/>
        <v>3489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0" t="s">
        <v>66</v>
      </c>
      <c r="B23" s="10" t="s">
        <v>38</v>
      </c>
      <c r="C23" s="10">
        <v>-7.4930000000000003</v>
      </c>
      <c r="D23" s="10"/>
      <c r="E23" s="10"/>
      <c r="F23" s="10">
        <v>-7.4930000000000003</v>
      </c>
      <c r="G23" s="11">
        <v>0</v>
      </c>
      <c r="H23" s="10"/>
      <c r="I23" s="10" t="s">
        <v>54</v>
      </c>
      <c r="J23" s="10" t="s">
        <v>67</v>
      </c>
      <c r="K23" s="10"/>
      <c r="L23" s="10">
        <f t="shared" si="3"/>
        <v>0</v>
      </c>
      <c r="M23" s="10">
        <f t="shared" si="5"/>
        <v>0</v>
      </c>
      <c r="N23" s="10"/>
      <c r="O23" s="10">
        <v>0</v>
      </c>
      <c r="P23" s="10"/>
      <c r="Q23" s="10"/>
      <c r="R23" s="10">
        <v>0</v>
      </c>
      <c r="S23" s="10">
        <f t="shared" si="4"/>
        <v>0</v>
      </c>
      <c r="T23" s="12"/>
      <c r="U23" s="5">
        <f t="shared" si="14"/>
        <v>0</v>
      </c>
      <c r="V23" s="5">
        <f t="shared" si="8"/>
        <v>0</v>
      </c>
      <c r="W23" s="5"/>
      <c r="X23" s="22"/>
      <c r="Y23" s="10" t="e">
        <f t="shared" si="10"/>
        <v>#DIV/0!</v>
      </c>
      <c r="Z23" s="10" t="e">
        <f t="shared" si="11"/>
        <v>#DIV/0!</v>
      </c>
      <c r="AA23" s="10">
        <v>0</v>
      </c>
      <c r="AB23" s="10">
        <v>0</v>
      </c>
      <c r="AC23" s="10">
        <v>0</v>
      </c>
      <c r="AD23" s="10">
        <v>1.4985999999999999</v>
      </c>
      <c r="AE23" s="10">
        <v>1.4985999999999999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/>
      <c r="AL23" s="1">
        <f t="shared" si="12"/>
        <v>0</v>
      </c>
      <c r="AM23" s="1">
        <f t="shared" si="13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68</v>
      </c>
      <c r="B24" s="1" t="s">
        <v>38</v>
      </c>
      <c r="C24" s="1">
        <v>659.71699999999998</v>
      </c>
      <c r="D24" s="1">
        <v>204.20599999999999</v>
      </c>
      <c r="E24" s="1">
        <v>385.35300000000001</v>
      </c>
      <c r="F24" s="1">
        <v>337.49599999999998</v>
      </c>
      <c r="G24" s="7">
        <v>1</v>
      </c>
      <c r="H24" s="1">
        <v>70</v>
      </c>
      <c r="I24" s="1" t="s">
        <v>39</v>
      </c>
      <c r="J24" s="1"/>
      <c r="K24" s="1">
        <v>593.65</v>
      </c>
      <c r="L24" s="1">
        <f t="shared" si="3"/>
        <v>-208.29699999999997</v>
      </c>
      <c r="M24" s="1">
        <f t="shared" si="5"/>
        <v>385.35300000000001</v>
      </c>
      <c r="N24" s="1"/>
      <c r="O24" s="1">
        <v>346.72190259999979</v>
      </c>
      <c r="P24" s="1">
        <v>0</v>
      </c>
      <c r="Q24" s="1"/>
      <c r="R24" s="1">
        <v>710.49136940000017</v>
      </c>
      <c r="S24" s="1">
        <f t="shared" si="4"/>
        <v>77.070599999999999</v>
      </c>
      <c r="T24" s="5"/>
      <c r="U24" s="5">
        <f t="shared" si="14"/>
        <v>0</v>
      </c>
      <c r="V24" s="5">
        <f t="shared" si="8"/>
        <v>0</v>
      </c>
      <c r="W24" s="5"/>
      <c r="X24" s="22"/>
      <c r="Y24" s="1">
        <f t="shared" si="10"/>
        <v>18.09651503945733</v>
      </c>
      <c r="Z24" s="1">
        <f t="shared" si="11"/>
        <v>18.09651503945733</v>
      </c>
      <c r="AA24" s="1">
        <v>121.82040000000001</v>
      </c>
      <c r="AB24" s="1">
        <v>64.7166</v>
      </c>
      <c r="AC24" s="1">
        <v>29.255199999999999</v>
      </c>
      <c r="AD24" s="1">
        <v>86.518400000000014</v>
      </c>
      <c r="AE24" s="1">
        <v>112.26900000000001</v>
      </c>
      <c r="AF24" s="1">
        <v>80.832799999999992</v>
      </c>
      <c r="AG24" s="1">
        <v>82.780600000000007</v>
      </c>
      <c r="AH24" s="1">
        <v>84.445999999999998</v>
      </c>
      <c r="AI24" s="1">
        <v>87.766999999999996</v>
      </c>
      <c r="AJ24" s="1">
        <v>81.984399999999994</v>
      </c>
      <c r="AK24" s="9" t="s">
        <v>85</v>
      </c>
      <c r="AL24" s="1">
        <f t="shared" si="12"/>
        <v>0</v>
      </c>
      <c r="AM24" s="1">
        <f t="shared" si="13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69</v>
      </c>
      <c r="B25" s="1" t="s">
        <v>38</v>
      </c>
      <c r="C25" s="1">
        <v>995.21500000000003</v>
      </c>
      <c r="D25" s="1">
        <v>2238.7130000000002</v>
      </c>
      <c r="E25" s="1">
        <v>1535.1669999999999</v>
      </c>
      <c r="F25" s="1">
        <v>1311.777</v>
      </c>
      <c r="G25" s="7">
        <v>1</v>
      </c>
      <c r="H25" s="1">
        <v>70</v>
      </c>
      <c r="I25" s="1" t="s">
        <v>39</v>
      </c>
      <c r="J25" s="1"/>
      <c r="K25" s="1">
        <v>1560.145</v>
      </c>
      <c r="L25" s="1">
        <f t="shared" si="3"/>
        <v>-24.978000000000065</v>
      </c>
      <c r="M25" s="1">
        <f t="shared" si="5"/>
        <v>1223.942</v>
      </c>
      <c r="N25" s="1">
        <v>311.22500000000002</v>
      </c>
      <c r="O25" s="1">
        <v>319.57028490800002</v>
      </c>
      <c r="P25" s="1">
        <v>0</v>
      </c>
      <c r="Q25" s="1"/>
      <c r="R25" s="1">
        <v>475.64276859999973</v>
      </c>
      <c r="S25" s="1">
        <f t="shared" si="4"/>
        <v>244.7884</v>
      </c>
      <c r="T25" s="5">
        <f t="shared" ref="T25" si="20">12*S25-R25-Q25-P25-O25-F25</f>
        <v>830.47074649200022</v>
      </c>
      <c r="U25" s="5">
        <f>T25+$U$1*S25</f>
        <v>879.4284264920002</v>
      </c>
      <c r="V25" s="5">
        <f t="shared" si="8"/>
        <v>422.12564471616008</v>
      </c>
      <c r="W25" s="5">
        <f>U25*$W$1</f>
        <v>457.30278177584012</v>
      </c>
      <c r="X25" s="22"/>
      <c r="Y25" s="1">
        <f t="shared" si="10"/>
        <v>12</v>
      </c>
      <c r="Z25" s="1">
        <f t="shared" si="11"/>
        <v>8.6073933793758179</v>
      </c>
      <c r="AA25" s="1">
        <v>233.47839999999999</v>
      </c>
      <c r="AB25" s="1">
        <v>197.40940000000001</v>
      </c>
      <c r="AC25" s="1">
        <v>248.37119999999999</v>
      </c>
      <c r="AD25" s="1">
        <v>254.24639999999999</v>
      </c>
      <c r="AE25" s="1">
        <v>255.9778</v>
      </c>
      <c r="AF25" s="1">
        <v>183.00020000000001</v>
      </c>
      <c r="AG25" s="1">
        <v>190.50559999999999</v>
      </c>
      <c r="AH25" s="1">
        <v>210.42779999999999</v>
      </c>
      <c r="AI25" s="1">
        <v>235.95099999999999</v>
      </c>
      <c r="AJ25" s="1">
        <v>225.54</v>
      </c>
      <c r="AK25" s="1"/>
      <c r="AL25" s="1">
        <f t="shared" si="12"/>
        <v>422</v>
      </c>
      <c r="AM25" s="1">
        <f t="shared" si="13"/>
        <v>457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0" t="s">
        <v>70</v>
      </c>
      <c r="B26" s="10" t="s">
        <v>38</v>
      </c>
      <c r="C26" s="10"/>
      <c r="D26" s="10"/>
      <c r="E26" s="10"/>
      <c r="F26" s="10"/>
      <c r="G26" s="11">
        <v>0</v>
      </c>
      <c r="H26" s="10"/>
      <c r="I26" s="10" t="s">
        <v>39</v>
      </c>
      <c r="J26" s="10"/>
      <c r="K26" s="10"/>
      <c r="L26" s="10">
        <f t="shared" si="3"/>
        <v>0</v>
      </c>
      <c r="M26" s="10">
        <f t="shared" si="5"/>
        <v>0</v>
      </c>
      <c r="N26" s="10"/>
      <c r="O26" s="10">
        <v>0</v>
      </c>
      <c r="P26" s="10"/>
      <c r="Q26" s="10"/>
      <c r="R26" s="10">
        <v>0</v>
      </c>
      <c r="S26" s="10">
        <f t="shared" si="4"/>
        <v>0</v>
      </c>
      <c r="T26" s="12"/>
      <c r="U26" s="5">
        <f t="shared" si="14"/>
        <v>0</v>
      </c>
      <c r="V26" s="5">
        <f t="shared" si="8"/>
        <v>0</v>
      </c>
      <c r="W26" s="5"/>
      <c r="X26" s="22"/>
      <c r="Y26" s="10" t="e">
        <f t="shared" si="10"/>
        <v>#DIV/0!</v>
      </c>
      <c r="Z26" s="10" t="e">
        <f t="shared" si="11"/>
        <v>#DIV/0!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 t="s">
        <v>63</v>
      </c>
      <c r="AL26" s="1">
        <f t="shared" si="12"/>
        <v>0</v>
      </c>
      <c r="AM26" s="1">
        <f t="shared" si="13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71</v>
      </c>
      <c r="B27" s="1" t="s">
        <v>38</v>
      </c>
      <c r="C27" s="1">
        <v>1612.579</v>
      </c>
      <c r="D27" s="1">
        <v>4079.2809999999999</v>
      </c>
      <c r="E27" s="1">
        <v>2403.5349999999999</v>
      </c>
      <c r="F27" s="1">
        <v>2320.9810000000002</v>
      </c>
      <c r="G27" s="7">
        <v>1</v>
      </c>
      <c r="H27" s="1">
        <v>70</v>
      </c>
      <c r="I27" s="16" t="s">
        <v>72</v>
      </c>
      <c r="J27" s="1"/>
      <c r="K27" s="1">
        <v>2479.9340000000002</v>
      </c>
      <c r="L27" s="1">
        <f t="shared" si="3"/>
        <v>-76.399000000000342</v>
      </c>
      <c r="M27" s="1">
        <f t="shared" si="5"/>
        <v>2183.23</v>
      </c>
      <c r="N27" s="1">
        <v>220.30500000000001</v>
      </c>
      <c r="O27" s="1">
        <v>1634.8816684159999</v>
      </c>
      <c r="P27" s="1">
        <v>-1636.8</v>
      </c>
      <c r="Q27" s="1"/>
      <c r="R27" s="1">
        <v>655.11233600000003</v>
      </c>
      <c r="S27" s="1">
        <f t="shared" si="4"/>
        <v>436.64600000000002</v>
      </c>
      <c r="T27" s="5">
        <v>800</v>
      </c>
      <c r="U27" s="5">
        <f t="shared" si="14"/>
        <v>800</v>
      </c>
      <c r="V27" s="5">
        <f t="shared" si="8"/>
        <v>384</v>
      </c>
      <c r="W27" s="5">
        <f>U27*$W$1</f>
        <v>416</v>
      </c>
      <c r="X27" s="22"/>
      <c r="Y27" s="1">
        <f t="shared" si="10"/>
        <v>8.6435579494968451</v>
      </c>
      <c r="Z27" s="1">
        <f t="shared" si="11"/>
        <v>6.8114101684568276</v>
      </c>
      <c r="AA27" s="1">
        <v>375.16520000000003</v>
      </c>
      <c r="AB27" s="1">
        <v>497.58879999999999</v>
      </c>
      <c r="AC27" s="1">
        <v>453.67960000000011</v>
      </c>
      <c r="AD27" s="1">
        <v>417.40320000000003</v>
      </c>
      <c r="AE27" s="1">
        <v>457.06279999999998</v>
      </c>
      <c r="AF27" s="1">
        <v>304.71480000000003</v>
      </c>
      <c r="AG27" s="1">
        <v>332.03960000000001</v>
      </c>
      <c r="AH27" s="1">
        <v>377.9864</v>
      </c>
      <c r="AI27" s="1">
        <v>429.1764</v>
      </c>
      <c r="AJ27" s="1">
        <v>423.87560000000002</v>
      </c>
      <c r="AK27" s="1"/>
      <c r="AL27" s="1">
        <f t="shared" si="12"/>
        <v>384</v>
      </c>
      <c r="AM27" s="1">
        <f t="shared" si="13"/>
        <v>416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73</v>
      </c>
      <c r="B28" s="1" t="s">
        <v>38</v>
      </c>
      <c r="C28" s="1">
        <v>52.256999999999998</v>
      </c>
      <c r="D28" s="1">
        <v>39.143999999999998</v>
      </c>
      <c r="E28" s="1">
        <v>9.9030000000000005</v>
      </c>
      <c r="F28" s="1">
        <v>81.498000000000005</v>
      </c>
      <c r="G28" s="7">
        <v>1</v>
      </c>
      <c r="H28" s="1">
        <v>40</v>
      </c>
      <c r="I28" s="1" t="s">
        <v>39</v>
      </c>
      <c r="J28" s="1"/>
      <c r="K28" s="1">
        <v>10.7</v>
      </c>
      <c r="L28" s="1">
        <f t="shared" si="3"/>
        <v>-0.79699999999999882</v>
      </c>
      <c r="M28" s="1">
        <f t="shared" si="5"/>
        <v>9.9030000000000005</v>
      </c>
      <c r="N28" s="1"/>
      <c r="O28" s="1">
        <v>0</v>
      </c>
      <c r="P28" s="1"/>
      <c r="Q28" s="1"/>
      <c r="R28" s="1">
        <v>0</v>
      </c>
      <c r="S28" s="1">
        <f t="shared" si="4"/>
        <v>1.9806000000000001</v>
      </c>
      <c r="T28" s="5"/>
      <c r="U28" s="5">
        <f t="shared" si="14"/>
        <v>0</v>
      </c>
      <c r="V28" s="5">
        <f t="shared" si="8"/>
        <v>0</v>
      </c>
      <c r="W28" s="5"/>
      <c r="X28" s="22"/>
      <c r="Y28" s="1">
        <f t="shared" si="10"/>
        <v>41.148136928203577</v>
      </c>
      <c r="Z28" s="1">
        <f t="shared" si="11"/>
        <v>41.148136928203577</v>
      </c>
      <c r="AA28" s="1">
        <v>1.2582</v>
      </c>
      <c r="AB28" s="1">
        <v>0.73199999999999998</v>
      </c>
      <c r="AC28" s="1">
        <v>1.3146</v>
      </c>
      <c r="AD28" s="1">
        <v>7.8512000000000004</v>
      </c>
      <c r="AE28" s="1">
        <v>8.7356000000000016</v>
      </c>
      <c r="AF28" s="1">
        <v>3.5047999999999999</v>
      </c>
      <c r="AG28" s="1">
        <v>4.6479999999999997</v>
      </c>
      <c r="AH28" s="1">
        <v>5.9480000000000004</v>
      </c>
      <c r="AI28" s="1">
        <v>7.4024000000000001</v>
      </c>
      <c r="AJ28" s="1">
        <v>6.2479999999999993</v>
      </c>
      <c r="AK28" s="13" t="s">
        <v>59</v>
      </c>
      <c r="AL28" s="1">
        <f t="shared" si="12"/>
        <v>0</v>
      </c>
      <c r="AM28" s="1">
        <f t="shared" si="13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0" t="s">
        <v>74</v>
      </c>
      <c r="B29" s="10" t="s">
        <v>38</v>
      </c>
      <c r="C29" s="10"/>
      <c r="D29" s="10"/>
      <c r="E29" s="10"/>
      <c r="F29" s="10"/>
      <c r="G29" s="11">
        <v>0</v>
      </c>
      <c r="H29" s="10"/>
      <c r="I29" s="10" t="s">
        <v>39</v>
      </c>
      <c r="J29" s="10"/>
      <c r="K29" s="10"/>
      <c r="L29" s="10">
        <f t="shared" si="3"/>
        <v>0</v>
      </c>
      <c r="M29" s="10">
        <f t="shared" si="5"/>
        <v>0</v>
      </c>
      <c r="N29" s="10"/>
      <c r="O29" s="10">
        <v>0</v>
      </c>
      <c r="P29" s="10"/>
      <c r="Q29" s="10"/>
      <c r="R29" s="10">
        <v>0</v>
      </c>
      <c r="S29" s="10">
        <f t="shared" si="4"/>
        <v>0</v>
      </c>
      <c r="T29" s="12"/>
      <c r="U29" s="5">
        <f t="shared" si="14"/>
        <v>0</v>
      </c>
      <c r="V29" s="5">
        <f t="shared" si="8"/>
        <v>0</v>
      </c>
      <c r="W29" s="5"/>
      <c r="X29" s="22"/>
      <c r="Y29" s="10" t="e">
        <f t="shared" si="10"/>
        <v>#DIV/0!</v>
      </c>
      <c r="Z29" s="10" t="e">
        <f t="shared" si="11"/>
        <v>#DIV/0!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 t="s">
        <v>63</v>
      </c>
      <c r="AL29" s="1">
        <f t="shared" si="12"/>
        <v>0</v>
      </c>
      <c r="AM29" s="1">
        <f t="shared" si="13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0" t="s">
        <v>75</v>
      </c>
      <c r="B30" s="10" t="s">
        <v>38</v>
      </c>
      <c r="C30" s="10"/>
      <c r="D30" s="10"/>
      <c r="E30" s="10"/>
      <c r="F30" s="10"/>
      <c r="G30" s="11">
        <v>0</v>
      </c>
      <c r="H30" s="10"/>
      <c r="I30" s="10" t="s">
        <v>72</v>
      </c>
      <c r="J30" s="10"/>
      <c r="K30" s="10"/>
      <c r="L30" s="10">
        <f t="shared" si="3"/>
        <v>0</v>
      </c>
      <c r="M30" s="10">
        <f t="shared" si="5"/>
        <v>0</v>
      </c>
      <c r="N30" s="10"/>
      <c r="O30" s="10">
        <v>0</v>
      </c>
      <c r="P30" s="10"/>
      <c r="Q30" s="10"/>
      <c r="R30" s="10">
        <v>0</v>
      </c>
      <c r="S30" s="10">
        <f t="shared" si="4"/>
        <v>0</v>
      </c>
      <c r="T30" s="12"/>
      <c r="U30" s="5">
        <f t="shared" si="14"/>
        <v>0</v>
      </c>
      <c r="V30" s="5">
        <f t="shared" si="8"/>
        <v>0</v>
      </c>
      <c r="W30" s="5"/>
      <c r="X30" s="22"/>
      <c r="Y30" s="10" t="e">
        <f t="shared" si="10"/>
        <v>#DIV/0!</v>
      </c>
      <c r="Z30" s="10" t="e">
        <f t="shared" si="11"/>
        <v>#DIV/0!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 t="s">
        <v>63</v>
      </c>
      <c r="AL30" s="1">
        <f t="shared" si="12"/>
        <v>0</v>
      </c>
      <c r="AM30" s="1">
        <f t="shared" si="13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76</v>
      </c>
      <c r="B31" s="1" t="s">
        <v>38</v>
      </c>
      <c r="C31" s="1">
        <v>201.64599999999999</v>
      </c>
      <c r="D31" s="1">
        <v>2928.973</v>
      </c>
      <c r="E31" s="1">
        <v>1601.5619999999999</v>
      </c>
      <c r="F31" s="1">
        <v>1389.64</v>
      </c>
      <c r="G31" s="7">
        <v>1</v>
      </c>
      <c r="H31" s="1">
        <v>30</v>
      </c>
      <c r="I31" s="16" t="s">
        <v>72</v>
      </c>
      <c r="J31" s="1"/>
      <c r="K31" s="1">
        <v>1901.646</v>
      </c>
      <c r="L31" s="1">
        <f t="shared" si="3"/>
        <v>-300.08400000000006</v>
      </c>
      <c r="M31" s="1">
        <f t="shared" si="5"/>
        <v>1554.3639999999998</v>
      </c>
      <c r="N31" s="1">
        <v>47.198</v>
      </c>
      <c r="O31" s="1">
        <v>434</v>
      </c>
      <c r="P31" s="1">
        <v>0</v>
      </c>
      <c r="Q31" s="1">
        <v>500</v>
      </c>
      <c r="R31" s="1">
        <v>0</v>
      </c>
      <c r="S31" s="1">
        <f t="shared" si="4"/>
        <v>310.87279999999998</v>
      </c>
      <c r="T31" s="5">
        <v>800</v>
      </c>
      <c r="U31" s="5">
        <f t="shared" si="14"/>
        <v>800</v>
      </c>
      <c r="V31" s="5">
        <v>400</v>
      </c>
      <c r="W31" s="5">
        <f>U31*$W$1</f>
        <v>416</v>
      </c>
      <c r="X31" s="22"/>
      <c r="Y31" s="1">
        <f t="shared" si="10"/>
        <v>10.047968172191329</v>
      </c>
      <c r="Z31" s="1">
        <f t="shared" si="11"/>
        <v>7.4745683765192723</v>
      </c>
      <c r="AA31" s="1">
        <v>178.89779999999999</v>
      </c>
      <c r="AB31" s="1">
        <v>437.43319999999989</v>
      </c>
      <c r="AC31" s="1">
        <v>568.72439999999995</v>
      </c>
      <c r="AD31" s="1">
        <v>251.48259999999999</v>
      </c>
      <c r="AE31" s="1">
        <v>368.85539999999997</v>
      </c>
      <c r="AF31" s="1">
        <v>396.49419999999998</v>
      </c>
      <c r="AG31" s="1">
        <v>440.45499999999998</v>
      </c>
      <c r="AH31" s="1">
        <v>413.21019999999999</v>
      </c>
      <c r="AI31" s="1">
        <v>344.91699999999997</v>
      </c>
      <c r="AJ31" s="1">
        <v>256.0514</v>
      </c>
      <c r="AK31" s="1"/>
      <c r="AL31" s="1">
        <f t="shared" si="12"/>
        <v>400</v>
      </c>
      <c r="AM31" s="1">
        <f t="shared" si="13"/>
        <v>416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0" t="s">
        <v>77</v>
      </c>
      <c r="B32" s="10" t="s">
        <v>38</v>
      </c>
      <c r="C32" s="10">
        <v>-0.23</v>
      </c>
      <c r="D32" s="10"/>
      <c r="E32" s="10"/>
      <c r="F32" s="10">
        <v>-0.23</v>
      </c>
      <c r="G32" s="11">
        <v>0</v>
      </c>
      <c r="H32" s="10">
        <v>40</v>
      </c>
      <c r="I32" s="10" t="s">
        <v>54</v>
      </c>
      <c r="J32" s="10"/>
      <c r="K32" s="10">
        <v>10</v>
      </c>
      <c r="L32" s="10">
        <f t="shared" si="3"/>
        <v>-10</v>
      </c>
      <c r="M32" s="10">
        <f t="shared" si="5"/>
        <v>0</v>
      </c>
      <c r="N32" s="10"/>
      <c r="O32" s="10">
        <v>0</v>
      </c>
      <c r="P32" s="10"/>
      <c r="Q32" s="10"/>
      <c r="R32" s="10">
        <v>0</v>
      </c>
      <c r="S32" s="10">
        <f t="shared" si="4"/>
        <v>0</v>
      </c>
      <c r="T32" s="12"/>
      <c r="U32" s="5">
        <f t="shared" si="14"/>
        <v>0</v>
      </c>
      <c r="V32" s="5">
        <f t="shared" si="8"/>
        <v>0</v>
      </c>
      <c r="W32" s="5"/>
      <c r="X32" s="22"/>
      <c r="Y32" s="10" t="e">
        <f t="shared" si="10"/>
        <v>#DIV/0!</v>
      </c>
      <c r="Z32" s="10" t="e">
        <f t="shared" si="11"/>
        <v>#DIV/0!</v>
      </c>
      <c r="AA32" s="10">
        <v>0</v>
      </c>
      <c r="AB32" s="10">
        <v>0</v>
      </c>
      <c r="AC32" s="10">
        <v>-9.8000000000000004E-2</v>
      </c>
      <c r="AD32" s="10">
        <v>12.5518</v>
      </c>
      <c r="AE32" s="10">
        <v>13.9894</v>
      </c>
      <c r="AF32" s="10">
        <v>4.5703999999999994</v>
      </c>
      <c r="AG32" s="10">
        <v>4.0182000000000002</v>
      </c>
      <c r="AH32" s="10">
        <v>1.0573999999999999</v>
      </c>
      <c r="AI32" s="10">
        <v>8.8558000000000003</v>
      </c>
      <c r="AJ32" s="10">
        <v>9.4266000000000005</v>
      </c>
      <c r="AK32" s="10"/>
      <c r="AL32" s="1">
        <f t="shared" si="12"/>
        <v>0</v>
      </c>
      <c r="AM32" s="1">
        <f t="shared" si="13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78</v>
      </c>
      <c r="B33" s="1" t="s">
        <v>38</v>
      </c>
      <c r="C33" s="1">
        <v>-112.038</v>
      </c>
      <c r="D33" s="1">
        <v>2984.57</v>
      </c>
      <c r="E33" s="1">
        <v>1640.7650000000001</v>
      </c>
      <c r="F33" s="1">
        <v>1130.2159999999999</v>
      </c>
      <c r="G33" s="7">
        <v>1</v>
      </c>
      <c r="H33" s="1">
        <v>40</v>
      </c>
      <c r="I33" s="16" t="s">
        <v>72</v>
      </c>
      <c r="J33" s="1"/>
      <c r="K33" s="1">
        <v>3104.2759999999998</v>
      </c>
      <c r="L33" s="1">
        <f t="shared" si="3"/>
        <v>-1463.5109999999997</v>
      </c>
      <c r="M33" s="1">
        <f t="shared" si="5"/>
        <v>1640.7650000000001</v>
      </c>
      <c r="N33" s="1"/>
      <c r="O33" s="1">
        <v>936</v>
      </c>
      <c r="P33" s="1">
        <v>0</v>
      </c>
      <c r="Q33" s="1">
        <v>1000</v>
      </c>
      <c r="R33" s="1">
        <v>1000</v>
      </c>
      <c r="S33" s="1">
        <f t="shared" si="4"/>
        <v>328.15300000000002</v>
      </c>
      <c r="T33" s="5">
        <v>1000</v>
      </c>
      <c r="U33" s="5">
        <f t="shared" si="14"/>
        <v>1000</v>
      </c>
      <c r="V33" s="5">
        <f t="shared" si="8"/>
        <v>480</v>
      </c>
      <c r="W33" s="5">
        <f>U33*$W$1</f>
        <v>520</v>
      </c>
      <c r="X33" s="22"/>
      <c r="Y33" s="1">
        <f t="shared" si="10"/>
        <v>15.438578955548174</v>
      </c>
      <c r="Z33" s="1">
        <f t="shared" si="11"/>
        <v>12.391219949230997</v>
      </c>
      <c r="AA33" s="1">
        <v>-0.84619999999999995</v>
      </c>
      <c r="AB33" s="1">
        <v>8.5924000000000014</v>
      </c>
      <c r="AC33" s="1">
        <v>9.855599999999999</v>
      </c>
      <c r="AD33" s="1">
        <v>688.04320000000007</v>
      </c>
      <c r="AE33" s="1">
        <v>1184.2532000000001</v>
      </c>
      <c r="AF33" s="1">
        <v>1031.4698000000001</v>
      </c>
      <c r="AG33" s="1">
        <v>1271.6156000000001</v>
      </c>
      <c r="AH33" s="1">
        <v>1208.7454</v>
      </c>
      <c r="AI33" s="1">
        <v>1373.8782000000001</v>
      </c>
      <c r="AJ33" s="1">
        <v>1608.1394</v>
      </c>
      <c r="AK33" s="1"/>
      <c r="AL33" s="1">
        <f t="shared" si="12"/>
        <v>480</v>
      </c>
      <c r="AM33" s="1">
        <f t="shared" si="13"/>
        <v>520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0" t="s">
        <v>79</v>
      </c>
      <c r="B34" s="10" t="s">
        <v>38</v>
      </c>
      <c r="C34" s="10"/>
      <c r="D34" s="10"/>
      <c r="E34" s="10"/>
      <c r="F34" s="10"/>
      <c r="G34" s="11">
        <v>0</v>
      </c>
      <c r="H34" s="10"/>
      <c r="I34" s="10" t="s">
        <v>39</v>
      </c>
      <c r="J34" s="10"/>
      <c r="K34" s="10"/>
      <c r="L34" s="10">
        <f t="shared" si="3"/>
        <v>0</v>
      </c>
      <c r="M34" s="10">
        <f t="shared" si="5"/>
        <v>0</v>
      </c>
      <c r="N34" s="10"/>
      <c r="O34" s="10">
        <v>0</v>
      </c>
      <c r="P34" s="10"/>
      <c r="Q34" s="10"/>
      <c r="R34" s="10">
        <v>0</v>
      </c>
      <c r="S34" s="10">
        <f t="shared" si="4"/>
        <v>0</v>
      </c>
      <c r="T34" s="12"/>
      <c r="U34" s="5">
        <f t="shared" si="14"/>
        <v>0</v>
      </c>
      <c r="V34" s="5">
        <f t="shared" si="8"/>
        <v>0</v>
      </c>
      <c r="W34" s="5"/>
      <c r="X34" s="22"/>
      <c r="Y34" s="10" t="e">
        <f t="shared" si="10"/>
        <v>#DIV/0!</v>
      </c>
      <c r="Z34" s="10" t="e">
        <f t="shared" si="11"/>
        <v>#DIV/0!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 t="s">
        <v>63</v>
      </c>
      <c r="AL34" s="1">
        <f t="shared" si="12"/>
        <v>0</v>
      </c>
      <c r="AM34" s="1">
        <f t="shared" si="13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0" t="s">
        <v>80</v>
      </c>
      <c r="B35" s="10" t="s">
        <v>38</v>
      </c>
      <c r="C35" s="10"/>
      <c r="D35" s="10"/>
      <c r="E35" s="10"/>
      <c r="F35" s="10"/>
      <c r="G35" s="11">
        <v>0</v>
      </c>
      <c r="H35" s="10"/>
      <c r="I35" s="10" t="s">
        <v>39</v>
      </c>
      <c r="J35" s="10"/>
      <c r="K35" s="10"/>
      <c r="L35" s="10">
        <f t="shared" si="3"/>
        <v>0</v>
      </c>
      <c r="M35" s="10">
        <f t="shared" si="5"/>
        <v>0</v>
      </c>
      <c r="N35" s="10"/>
      <c r="O35" s="10">
        <v>0</v>
      </c>
      <c r="P35" s="10"/>
      <c r="Q35" s="10"/>
      <c r="R35" s="10">
        <v>0</v>
      </c>
      <c r="S35" s="10">
        <f t="shared" si="4"/>
        <v>0</v>
      </c>
      <c r="T35" s="12"/>
      <c r="U35" s="5">
        <f t="shared" si="14"/>
        <v>0</v>
      </c>
      <c r="V35" s="5">
        <f t="shared" si="8"/>
        <v>0</v>
      </c>
      <c r="W35" s="5"/>
      <c r="X35" s="22"/>
      <c r="Y35" s="10" t="e">
        <f t="shared" si="10"/>
        <v>#DIV/0!</v>
      </c>
      <c r="Z35" s="10" t="e">
        <f t="shared" si="11"/>
        <v>#DIV/0!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 t="s">
        <v>63</v>
      </c>
      <c r="AL35" s="1">
        <f t="shared" si="12"/>
        <v>0</v>
      </c>
      <c r="AM35" s="1">
        <f t="shared" si="13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0" t="s">
        <v>81</v>
      </c>
      <c r="B36" s="10" t="s">
        <v>38</v>
      </c>
      <c r="C36" s="10"/>
      <c r="D36" s="10"/>
      <c r="E36" s="10"/>
      <c r="F36" s="10"/>
      <c r="G36" s="11">
        <v>0</v>
      </c>
      <c r="H36" s="10"/>
      <c r="I36" s="10" t="s">
        <v>39</v>
      </c>
      <c r="J36" s="10"/>
      <c r="K36" s="10"/>
      <c r="L36" s="10">
        <f t="shared" si="3"/>
        <v>0</v>
      </c>
      <c r="M36" s="10">
        <f t="shared" si="5"/>
        <v>0</v>
      </c>
      <c r="N36" s="10"/>
      <c r="O36" s="10">
        <v>0</v>
      </c>
      <c r="P36" s="10"/>
      <c r="Q36" s="10"/>
      <c r="R36" s="10">
        <v>0</v>
      </c>
      <c r="S36" s="10">
        <f t="shared" si="4"/>
        <v>0</v>
      </c>
      <c r="T36" s="12"/>
      <c r="U36" s="5">
        <f t="shared" si="14"/>
        <v>0</v>
      </c>
      <c r="V36" s="5">
        <f t="shared" si="8"/>
        <v>0</v>
      </c>
      <c r="W36" s="5"/>
      <c r="X36" s="22"/>
      <c r="Y36" s="10" t="e">
        <f t="shared" si="10"/>
        <v>#DIV/0!</v>
      </c>
      <c r="Z36" s="10" t="e">
        <f t="shared" si="11"/>
        <v>#DIV/0!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 t="s">
        <v>63</v>
      </c>
      <c r="AL36" s="1">
        <f t="shared" si="12"/>
        <v>0</v>
      </c>
      <c r="AM36" s="1">
        <f t="shared" si="13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0" t="s">
        <v>82</v>
      </c>
      <c r="B37" s="10" t="s">
        <v>38</v>
      </c>
      <c r="C37" s="10"/>
      <c r="D37" s="10"/>
      <c r="E37" s="10"/>
      <c r="F37" s="10"/>
      <c r="G37" s="11">
        <v>0</v>
      </c>
      <c r="H37" s="10"/>
      <c r="I37" s="10" t="s">
        <v>39</v>
      </c>
      <c r="J37" s="10"/>
      <c r="K37" s="10"/>
      <c r="L37" s="10">
        <f t="shared" si="3"/>
        <v>0</v>
      </c>
      <c r="M37" s="10">
        <f t="shared" si="5"/>
        <v>0</v>
      </c>
      <c r="N37" s="10"/>
      <c r="O37" s="10">
        <v>0</v>
      </c>
      <c r="P37" s="10"/>
      <c r="Q37" s="10"/>
      <c r="R37" s="10">
        <v>0</v>
      </c>
      <c r="S37" s="10">
        <f t="shared" si="4"/>
        <v>0</v>
      </c>
      <c r="T37" s="12"/>
      <c r="U37" s="5">
        <f t="shared" si="14"/>
        <v>0</v>
      </c>
      <c r="V37" s="5">
        <f t="shared" si="8"/>
        <v>0</v>
      </c>
      <c r="W37" s="5"/>
      <c r="X37" s="22"/>
      <c r="Y37" s="10" t="e">
        <f t="shared" si="10"/>
        <v>#DIV/0!</v>
      </c>
      <c r="Z37" s="10" t="e">
        <f t="shared" si="11"/>
        <v>#DIV/0!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 t="s">
        <v>63</v>
      </c>
      <c r="AL37" s="1">
        <f t="shared" si="12"/>
        <v>0</v>
      </c>
      <c r="AM37" s="1">
        <f t="shared" si="13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83</v>
      </c>
      <c r="B38" s="1" t="s">
        <v>43</v>
      </c>
      <c r="C38" s="1">
        <v>101</v>
      </c>
      <c r="D38" s="1">
        <v>4604</v>
      </c>
      <c r="E38" s="1">
        <v>3348</v>
      </c>
      <c r="F38" s="1">
        <v>997</v>
      </c>
      <c r="G38" s="7">
        <v>0.4</v>
      </c>
      <c r="H38" s="1">
        <v>45</v>
      </c>
      <c r="I38" s="16" t="s">
        <v>72</v>
      </c>
      <c r="J38" s="1"/>
      <c r="K38" s="1">
        <v>5052</v>
      </c>
      <c r="L38" s="1">
        <f t="shared" ref="L38:L69" si="21">E38-K38</f>
        <v>-1704</v>
      </c>
      <c r="M38" s="1">
        <f t="shared" si="5"/>
        <v>3168</v>
      </c>
      <c r="N38" s="1">
        <v>180</v>
      </c>
      <c r="O38" s="1">
        <v>992</v>
      </c>
      <c r="P38" s="1">
        <v>0</v>
      </c>
      <c r="Q38" s="1"/>
      <c r="R38" s="1">
        <v>1000</v>
      </c>
      <c r="S38" s="1">
        <f t="shared" ref="S38:S69" si="22">M38/5</f>
        <v>633.6</v>
      </c>
      <c r="T38" s="5">
        <v>1500</v>
      </c>
      <c r="U38" s="5">
        <f t="shared" si="14"/>
        <v>1500</v>
      </c>
      <c r="V38" s="5">
        <f t="shared" si="8"/>
        <v>720</v>
      </c>
      <c r="W38" s="5">
        <f>U38*$W$1</f>
        <v>780</v>
      </c>
      <c r="X38" s="22"/>
      <c r="Y38" s="1">
        <f t="shared" si="10"/>
        <v>7.0849116161616159</v>
      </c>
      <c r="Z38" s="1">
        <f t="shared" si="11"/>
        <v>4.7174873737373737</v>
      </c>
      <c r="AA38" s="1">
        <v>113.2</v>
      </c>
      <c r="AB38" s="1">
        <v>461.2</v>
      </c>
      <c r="AC38" s="1">
        <v>811.2</v>
      </c>
      <c r="AD38" s="1">
        <v>861.6</v>
      </c>
      <c r="AE38" s="1">
        <v>877.4</v>
      </c>
      <c r="AF38" s="1">
        <v>623.4</v>
      </c>
      <c r="AG38" s="1">
        <v>584.79999999999995</v>
      </c>
      <c r="AH38" s="1">
        <v>637.6</v>
      </c>
      <c r="AI38" s="1">
        <v>816</v>
      </c>
      <c r="AJ38" s="1">
        <v>898.6</v>
      </c>
      <c r="AK38" s="1"/>
      <c r="AL38" s="1">
        <f t="shared" si="12"/>
        <v>288</v>
      </c>
      <c r="AM38" s="1">
        <f t="shared" si="13"/>
        <v>312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84</v>
      </c>
      <c r="B39" s="1" t="s">
        <v>43</v>
      </c>
      <c r="C39" s="1">
        <v>887.75</v>
      </c>
      <c r="D39" s="1">
        <v>634</v>
      </c>
      <c r="E39" s="1">
        <v>563</v>
      </c>
      <c r="F39" s="1">
        <v>837.75</v>
      </c>
      <c r="G39" s="7">
        <v>0.45</v>
      </c>
      <c r="H39" s="1">
        <v>50</v>
      </c>
      <c r="I39" s="1" t="s">
        <v>39</v>
      </c>
      <c r="J39" s="1"/>
      <c r="K39" s="1">
        <v>785</v>
      </c>
      <c r="L39" s="1">
        <f t="shared" si="21"/>
        <v>-222</v>
      </c>
      <c r="M39" s="1">
        <f t="shared" si="5"/>
        <v>563</v>
      </c>
      <c r="N39" s="1"/>
      <c r="O39" s="1">
        <v>0</v>
      </c>
      <c r="P39" s="1"/>
      <c r="Q39" s="1"/>
      <c r="R39" s="1">
        <v>0</v>
      </c>
      <c r="S39" s="1">
        <f t="shared" si="22"/>
        <v>112.6</v>
      </c>
      <c r="T39" s="5">
        <f t="shared" ref="T39:T51" si="23">12*S39-R39-Q39-P39-O39-F39</f>
        <v>513.44999999999982</v>
      </c>
      <c r="U39" s="5">
        <v>200</v>
      </c>
      <c r="V39" s="5">
        <f t="shared" si="8"/>
        <v>200</v>
      </c>
      <c r="W39" s="5"/>
      <c r="X39" s="22" t="s">
        <v>193</v>
      </c>
      <c r="Y39" s="1">
        <f t="shared" si="10"/>
        <v>11.999999999999998</v>
      </c>
      <c r="Z39" s="1">
        <f t="shared" si="11"/>
        <v>7.4400532859680286</v>
      </c>
      <c r="AA39" s="1">
        <v>71</v>
      </c>
      <c r="AB39" s="1">
        <v>70.400000000000006</v>
      </c>
      <c r="AC39" s="1">
        <v>98.4</v>
      </c>
      <c r="AD39" s="1">
        <v>126.8</v>
      </c>
      <c r="AE39" s="1">
        <v>127.8</v>
      </c>
      <c r="AF39" s="1">
        <v>67.2</v>
      </c>
      <c r="AG39" s="1">
        <v>118.2</v>
      </c>
      <c r="AH39" s="1">
        <v>109.4</v>
      </c>
      <c r="AI39" s="1">
        <v>109.6</v>
      </c>
      <c r="AJ39" s="1">
        <v>174.8</v>
      </c>
      <c r="AK39" s="1"/>
      <c r="AL39" s="1">
        <f t="shared" si="12"/>
        <v>90</v>
      </c>
      <c r="AM39" s="1">
        <f t="shared" si="13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86</v>
      </c>
      <c r="B40" s="1" t="s">
        <v>43</v>
      </c>
      <c r="C40" s="1">
        <v>265</v>
      </c>
      <c r="D40" s="1">
        <v>450</v>
      </c>
      <c r="E40" s="1">
        <v>611</v>
      </c>
      <c r="F40" s="1">
        <v>-5</v>
      </c>
      <c r="G40" s="7">
        <v>0.4</v>
      </c>
      <c r="H40" s="1">
        <v>45</v>
      </c>
      <c r="I40" s="16" t="s">
        <v>72</v>
      </c>
      <c r="J40" s="1"/>
      <c r="K40" s="1">
        <v>1585</v>
      </c>
      <c r="L40" s="1">
        <f t="shared" si="21"/>
        <v>-974</v>
      </c>
      <c r="M40" s="1">
        <f t="shared" si="5"/>
        <v>611</v>
      </c>
      <c r="N40" s="1"/>
      <c r="O40" s="1">
        <v>500</v>
      </c>
      <c r="P40" s="1">
        <v>0</v>
      </c>
      <c r="Q40" s="1"/>
      <c r="R40" s="1">
        <v>210.8</v>
      </c>
      <c r="S40" s="1">
        <f t="shared" si="22"/>
        <v>122.2</v>
      </c>
      <c r="T40" s="5">
        <v>400</v>
      </c>
      <c r="U40" s="5">
        <f t="shared" si="14"/>
        <v>400</v>
      </c>
      <c r="V40" s="5">
        <v>200</v>
      </c>
      <c r="W40" s="5">
        <f>U40*$W$1</f>
        <v>208</v>
      </c>
      <c r="X40" s="22"/>
      <c r="Y40" s="1">
        <f t="shared" si="10"/>
        <v>9.0490998363338786</v>
      </c>
      <c r="Z40" s="1">
        <f t="shared" si="11"/>
        <v>5.7757774140752858</v>
      </c>
      <c r="AA40" s="1">
        <v>91.8</v>
      </c>
      <c r="AB40" s="1">
        <v>163.6</v>
      </c>
      <c r="AC40" s="1">
        <v>166.8</v>
      </c>
      <c r="AD40" s="1">
        <v>188.8</v>
      </c>
      <c r="AE40" s="1">
        <v>301.60000000000002</v>
      </c>
      <c r="AF40" s="1">
        <v>192.2</v>
      </c>
      <c r="AG40" s="1">
        <v>141.6</v>
      </c>
      <c r="AH40" s="1">
        <v>149</v>
      </c>
      <c r="AI40" s="1">
        <v>204.2</v>
      </c>
      <c r="AJ40" s="1">
        <v>235.2</v>
      </c>
      <c r="AK40" s="1"/>
      <c r="AL40" s="1">
        <f t="shared" si="12"/>
        <v>80</v>
      </c>
      <c r="AM40" s="1">
        <f t="shared" si="13"/>
        <v>83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87</v>
      </c>
      <c r="B41" s="1" t="s">
        <v>43</v>
      </c>
      <c r="C41" s="1">
        <v>131</v>
      </c>
      <c r="D41" s="1">
        <v>127</v>
      </c>
      <c r="E41" s="1">
        <v>230</v>
      </c>
      <c r="F41" s="1">
        <v>-33</v>
      </c>
      <c r="G41" s="7">
        <v>0.4</v>
      </c>
      <c r="H41" s="1">
        <v>40</v>
      </c>
      <c r="I41" s="16" t="s">
        <v>72</v>
      </c>
      <c r="J41" s="1"/>
      <c r="K41" s="1">
        <v>835</v>
      </c>
      <c r="L41" s="1">
        <f t="shared" si="21"/>
        <v>-605</v>
      </c>
      <c r="M41" s="1">
        <f t="shared" si="5"/>
        <v>230</v>
      </c>
      <c r="N41" s="1"/>
      <c r="O41" s="1">
        <v>400</v>
      </c>
      <c r="P41" s="1">
        <v>-402</v>
      </c>
      <c r="Q41" s="1"/>
      <c r="R41" s="1">
        <v>250</v>
      </c>
      <c r="S41" s="1">
        <f t="shared" si="22"/>
        <v>46</v>
      </c>
      <c r="T41" s="5">
        <v>200</v>
      </c>
      <c r="U41" s="5">
        <f t="shared" si="14"/>
        <v>200</v>
      </c>
      <c r="V41" s="5">
        <v>200</v>
      </c>
      <c r="W41" s="5">
        <v>100</v>
      </c>
      <c r="X41" s="22"/>
      <c r="Y41" s="1">
        <f t="shared" si="10"/>
        <v>9.0217391304347831</v>
      </c>
      <c r="Z41" s="1">
        <f t="shared" si="11"/>
        <v>4.6739130434782608</v>
      </c>
      <c r="AA41" s="1">
        <v>64.400000000000006</v>
      </c>
      <c r="AB41" s="1">
        <v>125</v>
      </c>
      <c r="AC41" s="1">
        <v>116.2</v>
      </c>
      <c r="AD41" s="1">
        <v>86.8</v>
      </c>
      <c r="AE41" s="1">
        <v>126.8</v>
      </c>
      <c r="AF41" s="1">
        <v>86</v>
      </c>
      <c r="AG41" s="1">
        <v>78.400000000000006</v>
      </c>
      <c r="AH41" s="1">
        <v>89</v>
      </c>
      <c r="AI41" s="1">
        <v>117.4</v>
      </c>
      <c r="AJ41" s="1">
        <v>80.400000000000006</v>
      </c>
      <c r="AK41" s="1"/>
      <c r="AL41" s="1">
        <f t="shared" si="12"/>
        <v>80</v>
      </c>
      <c r="AM41" s="1">
        <f t="shared" si="13"/>
        <v>40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4" t="s">
        <v>88</v>
      </c>
      <c r="B42" s="1" t="s">
        <v>38</v>
      </c>
      <c r="C42" s="1"/>
      <c r="D42" s="1"/>
      <c r="E42" s="1"/>
      <c r="F42" s="1"/>
      <c r="G42" s="7">
        <v>1</v>
      </c>
      <c r="H42" s="1"/>
      <c r="I42" s="16" t="s">
        <v>72</v>
      </c>
      <c r="J42" s="1"/>
      <c r="K42" s="1"/>
      <c r="L42" s="1">
        <f t="shared" si="21"/>
        <v>0</v>
      </c>
      <c r="M42" s="1">
        <f t="shared" si="5"/>
        <v>0</v>
      </c>
      <c r="N42" s="1"/>
      <c r="O42" s="1">
        <v>0</v>
      </c>
      <c r="P42" s="1"/>
      <c r="Q42" s="1"/>
      <c r="R42" s="1">
        <v>20</v>
      </c>
      <c r="S42" s="1">
        <f t="shared" si="22"/>
        <v>0</v>
      </c>
      <c r="T42" s="5">
        <v>20</v>
      </c>
      <c r="U42" s="5">
        <f t="shared" si="14"/>
        <v>20</v>
      </c>
      <c r="V42" s="5">
        <v>20</v>
      </c>
      <c r="W42" s="5">
        <v>20</v>
      </c>
      <c r="X42" s="22"/>
      <c r="Y42" s="1" t="e">
        <f t="shared" si="10"/>
        <v>#DIV/0!</v>
      </c>
      <c r="Z42" s="1" t="e">
        <f t="shared" si="11"/>
        <v>#DIV/0!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 t="s">
        <v>89</v>
      </c>
      <c r="AL42" s="1">
        <f t="shared" si="12"/>
        <v>20</v>
      </c>
      <c r="AM42" s="1">
        <f t="shared" si="13"/>
        <v>20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90</v>
      </c>
      <c r="B43" s="1" t="s">
        <v>43</v>
      </c>
      <c r="C43" s="1">
        <v>346</v>
      </c>
      <c r="D43" s="1">
        <v>245</v>
      </c>
      <c r="E43" s="1">
        <v>207</v>
      </c>
      <c r="F43" s="1">
        <v>327</v>
      </c>
      <c r="G43" s="7">
        <v>0.1</v>
      </c>
      <c r="H43" s="1">
        <v>731</v>
      </c>
      <c r="I43" s="1" t="s">
        <v>39</v>
      </c>
      <c r="J43" s="1"/>
      <c r="K43" s="1">
        <v>262</v>
      </c>
      <c r="L43" s="1">
        <f t="shared" si="21"/>
        <v>-55</v>
      </c>
      <c r="M43" s="1">
        <f t="shared" si="5"/>
        <v>207</v>
      </c>
      <c r="N43" s="1"/>
      <c r="O43" s="1">
        <v>0</v>
      </c>
      <c r="P43" s="1"/>
      <c r="Q43" s="1"/>
      <c r="R43" s="1">
        <v>0</v>
      </c>
      <c r="S43" s="1">
        <f t="shared" si="22"/>
        <v>41.4</v>
      </c>
      <c r="T43" s="5">
        <f t="shared" si="23"/>
        <v>169.79999999999995</v>
      </c>
      <c r="U43" s="5">
        <f t="shared" si="14"/>
        <v>169.79999999999995</v>
      </c>
      <c r="V43" s="5">
        <f t="shared" si="8"/>
        <v>169.79999999999995</v>
      </c>
      <c r="W43" s="5"/>
      <c r="X43" s="22"/>
      <c r="Y43" s="1">
        <f t="shared" si="10"/>
        <v>12</v>
      </c>
      <c r="Z43" s="1">
        <f t="shared" si="11"/>
        <v>7.8985507246376816</v>
      </c>
      <c r="AA43" s="1">
        <v>35</v>
      </c>
      <c r="AB43" s="1">
        <v>35.4</v>
      </c>
      <c r="AC43" s="1">
        <v>37.4</v>
      </c>
      <c r="AD43" s="1">
        <v>57.4</v>
      </c>
      <c r="AE43" s="1">
        <v>55.2</v>
      </c>
      <c r="AF43" s="1">
        <v>30.6</v>
      </c>
      <c r="AG43" s="1">
        <v>40</v>
      </c>
      <c r="AH43" s="1">
        <v>46</v>
      </c>
      <c r="AI43" s="1">
        <v>46</v>
      </c>
      <c r="AJ43" s="1">
        <v>42</v>
      </c>
      <c r="AK43" s="1"/>
      <c r="AL43" s="1">
        <f t="shared" si="12"/>
        <v>17</v>
      </c>
      <c r="AM43" s="1">
        <f t="shared" si="13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91</v>
      </c>
      <c r="B44" s="1" t="s">
        <v>43</v>
      </c>
      <c r="C44" s="1">
        <v>80</v>
      </c>
      <c r="D44" s="1">
        <v>13</v>
      </c>
      <c r="E44" s="1">
        <v>79</v>
      </c>
      <c r="F44" s="1"/>
      <c r="G44" s="7">
        <v>0.35</v>
      </c>
      <c r="H44" s="1">
        <v>40</v>
      </c>
      <c r="I44" s="16" t="s">
        <v>72</v>
      </c>
      <c r="J44" s="1"/>
      <c r="K44" s="1">
        <v>103</v>
      </c>
      <c r="L44" s="1">
        <f t="shared" si="21"/>
        <v>-24</v>
      </c>
      <c r="M44" s="1">
        <f t="shared" si="5"/>
        <v>79</v>
      </c>
      <c r="N44" s="1"/>
      <c r="O44" s="1">
        <v>30.800000000000011</v>
      </c>
      <c r="P44" s="1">
        <v>-36</v>
      </c>
      <c r="Q44" s="1"/>
      <c r="R44" s="1">
        <v>50</v>
      </c>
      <c r="S44" s="1">
        <f t="shared" si="22"/>
        <v>15.8</v>
      </c>
      <c r="T44" s="5">
        <v>50</v>
      </c>
      <c r="U44" s="5">
        <f t="shared" si="14"/>
        <v>50</v>
      </c>
      <c r="V44" s="5">
        <v>50</v>
      </c>
      <c r="W44" s="5">
        <v>50</v>
      </c>
      <c r="X44" s="22"/>
      <c r="Y44" s="1">
        <f t="shared" si="10"/>
        <v>6.0000000000000009</v>
      </c>
      <c r="Z44" s="1">
        <f t="shared" si="11"/>
        <v>2.835443037974684</v>
      </c>
      <c r="AA44" s="1">
        <v>18.2</v>
      </c>
      <c r="AB44" s="1">
        <v>15.8</v>
      </c>
      <c r="AC44" s="1">
        <v>18.8</v>
      </c>
      <c r="AD44" s="1">
        <v>28.4</v>
      </c>
      <c r="AE44" s="1">
        <v>24.4</v>
      </c>
      <c r="AF44" s="1">
        <v>10.199999999999999</v>
      </c>
      <c r="AG44" s="1">
        <v>3.8</v>
      </c>
      <c r="AH44" s="1">
        <v>4.8</v>
      </c>
      <c r="AI44" s="1">
        <v>13</v>
      </c>
      <c r="AJ44" s="1">
        <v>28.4</v>
      </c>
      <c r="AK44" s="1"/>
      <c r="AL44" s="1">
        <f t="shared" si="12"/>
        <v>18</v>
      </c>
      <c r="AM44" s="1">
        <f t="shared" si="13"/>
        <v>18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92</v>
      </c>
      <c r="B45" s="1" t="s">
        <v>38</v>
      </c>
      <c r="C45" s="1">
        <v>20.041</v>
      </c>
      <c r="D45" s="1">
        <v>13.919</v>
      </c>
      <c r="E45" s="1">
        <v>13.12</v>
      </c>
      <c r="F45" s="1">
        <v>17.940000000000001</v>
      </c>
      <c r="G45" s="7">
        <v>1</v>
      </c>
      <c r="H45" s="1">
        <v>40</v>
      </c>
      <c r="I45" s="1" t="s">
        <v>39</v>
      </c>
      <c r="J45" s="1"/>
      <c r="K45" s="1">
        <v>24.5</v>
      </c>
      <c r="L45" s="1">
        <f t="shared" si="21"/>
        <v>-11.38</v>
      </c>
      <c r="M45" s="1">
        <f t="shared" si="5"/>
        <v>13.12</v>
      </c>
      <c r="N45" s="1"/>
      <c r="O45" s="1">
        <v>22.741199999999999</v>
      </c>
      <c r="P45" s="1">
        <v>0</v>
      </c>
      <c r="Q45" s="1"/>
      <c r="R45" s="1">
        <v>0</v>
      </c>
      <c r="S45" s="1">
        <f t="shared" si="22"/>
        <v>2.6239999999999997</v>
      </c>
      <c r="T45" s="5"/>
      <c r="U45" s="5">
        <f t="shared" si="14"/>
        <v>0</v>
      </c>
      <c r="V45" s="5">
        <f t="shared" si="8"/>
        <v>0</v>
      </c>
      <c r="W45" s="5"/>
      <c r="X45" s="22"/>
      <c r="Y45" s="1">
        <f t="shared" si="10"/>
        <v>15.50350609756098</v>
      </c>
      <c r="Z45" s="1">
        <f t="shared" si="11"/>
        <v>15.50350609756098</v>
      </c>
      <c r="AA45" s="1">
        <v>3.7808000000000002</v>
      </c>
      <c r="AB45" s="1">
        <v>4.3208000000000002</v>
      </c>
      <c r="AC45" s="1">
        <v>3.3064</v>
      </c>
      <c r="AD45" s="1">
        <v>1.6506000000000001</v>
      </c>
      <c r="AE45" s="1">
        <v>2.6989999999999998</v>
      </c>
      <c r="AF45" s="1">
        <v>4.2096</v>
      </c>
      <c r="AG45" s="1">
        <v>3.2993999999999999</v>
      </c>
      <c r="AH45" s="1">
        <v>1.956</v>
      </c>
      <c r="AI45" s="1">
        <v>1.4396</v>
      </c>
      <c r="AJ45" s="1">
        <v>2.4447999999999999</v>
      </c>
      <c r="AK45" s="1"/>
      <c r="AL45" s="1">
        <f t="shared" si="12"/>
        <v>0</v>
      </c>
      <c r="AM45" s="1">
        <f t="shared" si="13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93</v>
      </c>
      <c r="B46" s="1" t="s">
        <v>43</v>
      </c>
      <c r="C46" s="1">
        <v>-29</v>
      </c>
      <c r="D46" s="1">
        <v>24</v>
      </c>
      <c r="E46" s="1">
        <v>24</v>
      </c>
      <c r="F46" s="1">
        <v>-32</v>
      </c>
      <c r="G46" s="7">
        <v>0.4</v>
      </c>
      <c r="H46" s="1">
        <v>40</v>
      </c>
      <c r="I46" s="16" t="s">
        <v>72</v>
      </c>
      <c r="J46" s="1"/>
      <c r="K46" s="1">
        <v>259</v>
      </c>
      <c r="L46" s="1">
        <f t="shared" si="21"/>
        <v>-235</v>
      </c>
      <c r="M46" s="1">
        <f t="shared" si="5"/>
        <v>24</v>
      </c>
      <c r="N46" s="1"/>
      <c r="O46" s="1">
        <v>150</v>
      </c>
      <c r="P46" s="1">
        <v>0</v>
      </c>
      <c r="Q46" s="1"/>
      <c r="R46" s="1">
        <v>100</v>
      </c>
      <c r="S46" s="1">
        <f t="shared" si="22"/>
        <v>4.8</v>
      </c>
      <c r="T46" s="5"/>
      <c r="U46" s="5">
        <f t="shared" si="14"/>
        <v>0</v>
      </c>
      <c r="V46" s="5">
        <f t="shared" si="8"/>
        <v>0</v>
      </c>
      <c r="W46" s="5"/>
      <c r="X46" s="22"/>
      <c r="Y46" s="1">
        <f t="shared" si="10"/>
        <v>45.416666666666671</v>
      </c>
      <c r="Z46" s="1">
        <f t="shared" si="11"/>
        <v>45.416666666666671</v>
      </c>
      <c r="AA46" s="1">
        <v>0.4</v>
      </c>
      <c r="AB46" s="1">
        <v>-0.2</v>
      </c>
      <c r="AC46" s="1">
        <v>-0.8</v>
      </c>
      <c r="AD46" s="1">
        <v>0.6</v>
      </c>
      <c r="AE46" s="1">
        <v>1.4</v>
      </c>
      <c r="AF46" s="1">
        <v>0.2</v>
      </c>
      <c r="AG46" s="1">
        <v>-1</v>
      </c>
      <c r="AH46" s="1">
        <v>-1.2</v>
      </c>
      <c r="AI46" s="1">
        <v>-1</v>
      </c>
      <c r="AJ46" s="1">
        <v>-1</v>
      </c>
      <c r="AK46" s="1"/>
      <c r="AL46" s="1">
        <f t="shared" si="12"/>
        <v>0</v>
      </c>
      <c r="AM46" s="1">
        <f t="shared" si="13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94</v>
      </c>
      <c r="B47" s="1" t="s">
        <v>43</v>
      </c>
      <c r="C47" s="1">
        <v>2</v>
      </c>
      <c r="D47" s="1">
        <v>65</v>
      </c>
      <c r="E47" s="1">
        <v>44</v>
      </c>
      <c r="F47" s="1">
        <v>9</v>
      </c>
      <c r="G47" s="7">
        <v>0.4</v>
      </c>
      <c r="H47" s="1">
        <v>45</v>
      </c>
      <c r="I47" s="16" t="s">
        <v>72</v>
      </c>
      <c r="J47" s="1"/>
      <c r="K47" s="1">
        <v>428</v>
      </c>
      <c r="L47" s="1">
        <f t="shared" si="21"/>
        <v>-384</v>
      </c>
      <c r="M47" s="1">
        <f t="shared" si="5"/>
        <v>44</v>
      </c>
      <c r="N47" s="1"/>
      <c r="O47" s="1">
        <v>100</v>
      </c>
      <c r="P47" s="1">
        <v>0</v>
      </c>
      <c r="Q47" s="1"/>
      <c r="R47" s="1">
        <v>100</v>
      </c>
      <c r="S47" s="1">
        <f t="shared" si="22"/>
        <v>8.8000000000000007</v>
      </c>
      <c r="T47" s="5">
        <v>100</v>
      </c>
      <c r="U47" s="5">
        <f t="shared" si="14"/>
        <v>100</v>
      </c>
      <c r="V47" s="5">
        <v>100</v>
      </c>
      <c r="W47" s="5">
        <v>50</v>
      </c>
      <c r="X47" s="22"/>
      <c r="Y47" s="1">
        <f t="shared" si="10"/>
        <v>35.11363636363636</v>
      </c>
      <c r="Z47" s="1">
        <f t="shared" si="11"/>
        <v>23.749999999999996</v>
      </c>
      <c r="AA47" s="1">
        <v>0</v>
      </c>
      <c r="AB47" s="1">
        <v>0.4</v>
      </c>
      <c r="AC47" s="1">
        <v>26</v>
      </c>
      <c r="AD47" s="1">
        <v>58.6</v>
      </c>
      <c r="AE47" s="1">
        <v>50</v>
      </c>
      <c r="AF47" s="1">
        <v>30.6</v>
      </c>
      <c r="AG47" s="1">
        <v>40.799999999999997</v>
      </c>
      <c r="AH47" s="1">
        <v>47</v>
      </c>
      <c r="AI47" s="1">
        <v>52.2</v>
      </c>
      <c r="AJ47" s="1">
        <v>48.4</v>
      </c>
      <c r="AK47" s="1"/>
      <c r="AL47" s="1">
        <f t="shared" si="12"/>
        <v>40</v>
      </c>
      <c r="AM47" s="1">
        <f t="shared" si="13"/>
        <v>20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95</v>
      </c>
      <c r="B48" s="1" t="s">
        <v>38</v>
      </c>
      <c r="C48" s="1">
        <v>54.34</v>
      </c>
      <c r="D48" s="1">
        <v>20.206</v>
      </c>
      <c r="E48" s="1">
        <v>35.046999999999997</v>
      </c>
      <c r="F48" s="1">
        <v>35.165999999999997</v>
      </c>
      <c r="G48" s="7">
        <v>1</v>
      </c>
      <c r="H48" s="1">
        <v>40</v>
      </c>
      <c r="I48" s="1" t="s">
        <v>39</v>
      </c>
      <c r="J48" s="1"/>
      <c r="K48" s="1">
        <v>39.799999999999997</v>
      </c>
      <c r="L48" s="1">
        <f t="shared" si="21"/>
        <v>-4.7530000000000001</v>
      </c>
      <c r="M48" s="1">
        <f t="shared" si="5"/>
        <v>35.046999999999997</v>
      </c>
      <c r="N48" s="1"/>
      <c r="O48" s="1">
        <v>0</v>
      </c>
      <c r="P48" s="1"/>
      <c r="Q48" s="1"/>
      <c r="R48" s="1">
        <v>20.827000000000009</v>
      </c>
      <c r="S48" s="1">
        <f t="shared" si="22"/>
        <v>7.0093999999999994</v>
      </c>
      <c r="T48" s="5">
        <f t="shared" si="23"/>
        <v>28.119799999999984</v>
      </c>
      <c r="U48" s="5">
        <f t="shared" si="14"/>
        <v>28.119799999999984</v>
      </c>
      <c r="V48" s="5">
        <f t="shared" si="8"/>
        <v>28.119799999999984</v>
      </c>
      <c r="W48" s="5"/>
      <c r="X48" s="22"/>
      <c r="Y48" s="1">
        <f t="shared" si="10"/>
        <v>12</v>
      </c>
      <c r="Z48" s="1">
        <f t="shared" si="11"/>
        <v>7.9882728906896476</v>
      </c>
      <c r="AA48" s="1">
        <v>6.5449999999999999</v>
      </c>
      <c r="AB48" s="1">
        <v>3.3479999999999999</v>
      </c>
      <c r="AC48" s="1">
        <v>1.8211999999999999</v>
      </c>
      <c r="AD48" s="1">
        <v>7.1238000000000001</v>
      </c>
      <c r="AE48" s="1">
        <v>8.9621999999999993</v>
      </c>
      <c r="AF48" s="1">
        <v>4.3483999999999998</v>
      </c>
      <c r="AG48" s="1">
        <v>3.9114</v>
      </c>
      <c r="AH48" s="1">
        <v>4.0561999999999996</v>
      </c>
      <c r="AI48" s="1">
        <v>5.2270000000000003</v>
      </c>
      <c r="AJ48" s="1">
        <v>5.5009999999999986</v>
      </c>
      <c r="AK48" s="1"/>
      <c r="AL48" s="1">
        <f t="shared" si="12"/>
        <v>28</v>
      </c>
      <c r="AM48" s="1">
        <f t="shared" si="13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96</v>
      </c>
      <c r="B49" s="1" t="s">
        <v>43</v>
      </c>
      <c r="C49" s="1">
        <v>504</v>
      </c>
      <c r="D49" s="1">
        <v>490</v>
      </c>
      <c r="E49" s="1">
        <v>449</v>
      </c>
      <c r="F49" s="1">
        <v>503</v>
      </c>
      <c r="G49" s="7">
        <v>0.35</v>
      </c>
      <c r="H49" s="1">
        <v>40</v>
      </c>
      <c r="I49" s="1" t="s">
        <v>39</v>
      </c>
      <c r="J49" s="1"/>
      <c r="K49" s="1">
        <v>487</v>
      </c>
      <c r="L49" s="1">
        <f t="shared" si="21"/>
        <v>-38</v>
      </c>
      <c r="M49" s="1">
        <f t="shared" si="5"/>
        <v>443</v>
      </c>
      <c r="N49" s="1">
        <v>6</v>
      </c>
      <c r="O49" s="1">
        <v>0</v>
      </c>
      <c r="P49" s="1"/>
      <c r="Q49" s="1"/>
      <c r="R49" s="1">
        <v>254.8</v>
      </c>
      <c r="S49" s="1">
        <f t="shared" si="22"/>
        <v>88.6</v>
      </c>
      <c r="T49" s="5">
        <f t="shared" si="23"/>
        <v>305.39999999999986</v>
      </c>
      <c r="U49" s="5">
        <f t="shared" si="14"/>
        <v>305.39999999999986</v>
      </c>
      <c r="V49" s="5">
        <f t="shared" si="8"/>
        <v>146.59199999999993</v>
      </c>
      <c r="W49" s="5">
        <f>U49*$W$1</f>
        <v>158.80799999999994</v>
      </c>
      <c r="X49" s="22"/>
      <c r="Y49" s="1">
        <f t="shared" si="10"/>
        <v>11.999999999999998</v>
      </c>
      <c r="Z49" s="1">
        <f t="shared" si="11"/>
        <v>8.5530474040632054</v>
      </c>
      <c r="AA49" s="1">
        <v>86.8</v>
      </c>
      <c r="AB49" s="1">
        <v>80.2</v>
      </c>
      <c r="AC49" s="1">
        <v>92.8</v>
      </c>
      <c r="AD49" s="1">
        <v>120.2</v>
      </c>
      <c r="AE49" s="1">
        <v>117.4</v>
      </c>
      <c r="AF49" s="1">
        <v>88</v>
      </c>
      <c r="AG49" s="1">
        <v>80.8</v>
      </c>
      <c r="AH49" s="1">
        <v>89.4</v>
      </c>
      <c r="AI49" s="1">
        <v>110</v>
      </c>
      <c r="AJ49" s="1">
        <v>269.2</v>
      </c>
      <c r="AK49" s="1"/>
      <c r="AL49" s="1">
        <f t="shared" si="12"/>
        <v>51</v>
      </c>
      <c r="AM49" s="1">
        <f t="shared" si="13"/>
        <v>56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97</v>
      </c>
      <c r="B50" s="1" t="s">
        <v>43</v>
      </c>
      <c r="C50" s="1">
        <v>150</v>
      </c>
      <c r="D50" s="1">
        <v>55</v>
      </c>
      <c r="E50" s="1">
        <v>139</v>
      </c>
      <c r="F50" s="1">
        <v>61</v>
      </c>
      <c r="G50" s="7">
        <v>0.4</v>
      </c>
      <c r="H50" s="1">
        <v>40</v>
      </c>
      <c r="I50" s="16" t="s">
        <v>72</v>
      </c>
      <c r="J50" s="1"/>
      <c r="K50" s="1">
        <v>615</v>
      </c>
      <c r="L50" s="1">
        <f t="shared" si="21"/>
        <v>-476</v>
      </c>
      <c r="M50" s="1">
        <f t="shared" si="5"/>
        <v>139</v>
      </c>
      <c r="N50" s="1"/>
      <c r="O50" s="1">
        <v>150</v>
      </c>
      <c r="P50" s="1">
        <v>0</v>
      </c>
      <c r="Q50" s="1"/>
      <c r="R50" s="1">
        <v>200</v>
      </c>
      <c r="S50" s="1">
        <f t="shared" si="22"/>
        <v>27.8</v>
      </c>
      <c r="T50" s="5">
        <v>150</v>
      </c>
      <c r="U50" s="5">
        <f t="shared" si="14"/>
        <v>150</v>
      </c>
      <c r="V50" s="5">
        <v>150</v>
      </c>
      <c r="W50" s="5">
        <v>100</v>
      </c>
      <c r="X50" s="22"/>
      <c r="Y50" s="1">
        <f t="shared" si="10"/>
        <v>20.179856115107913</v>
      </c>
      <c r="Z50" s="1">
        <f t="shared" si="11"/>
        <v>14.784172661870503</v>
      </c>
      <c r="AA50" s="1">
        <v>53.4</v>
      </c>
      <c r="AB50" s="1">
        <v>47</v>
      </c>
      <c r="AC50" s="1">
        <v>48.6</v>
      </c>
      <c r="AD50" s="1">
        <v>78.8</v>
      </c>
      <c r="AE50" s="1">
        <v>51</v>
      </c>
      <c r="AF50" s="1">
        <v>35.799999999999997</v>
      </c>
      <c r="AG50" s="1">
        <v>61</v>
      </c>
      <c r="AH50" s="1">
        <v>63.8</v>
      </c>
      <c r="AI50" s="1">
        <v>76</v>
      </c>
      <c r="AJ50" s="1">
        <v>54.6</v>
      </c>
      <c r="AK50" s="1"/>
      <c r="AL50" s="1">
        <f t="shared" si="12"/>
        <v>60</v>
      </c>
      <c r="AM50" s="1">
        <f t="shared" si="13"/>
        <v>40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98</v>
      </c>
      <c r="B51" s="1" t="s">
        <v>38</v>
      </c>
      <c r="C51" s="1">
        <v>113.252</v>
      </c>
      <c r="D51" s="1">
        <v>64</v>
      </c>
      <c r="E51" s="1">
        <v>93.757999999999996</v>
      </c>
      <c r="F51" s="1">
        <v>73.911000000000001</v>
      </c>
      <c r="G51" s="7">
        <v>1</v>
      </c>
      <c r="H51" s="1">
        <v>50</v>
      </c>
      <c r="I51" s="1" t="s">
        <v>39</v>
      </c>
      <c r="J51" s="1"/>
      <c r="K51" s="1">
        <v>248.5</v>
      </c>
      <c r="L51" s="1">
        <f t="shared" si="21"/>
        <v>-154.74200000000002</v>
      </c>
      <c r="M51" s="1">
        <f t="shared" si="5"/>
        <v>93.757999999999996</v>
      </c>
      <c r="N51" s="1"/>
      <c r="O51" s="1">
        <v>13.243199999999961</v>
      </c>
      <c r="P51" s="1">
        <v>0</v>
      </c>
      <c r="Q51" s="1"/>
      <c r="R51" s="1">
        <v>68.753000000000029</v>
      </c>
      <c r="S51" s="1">
        <f t="shared" si="22"/>
        <v>18.7516</v>
      </c>
      <c r="T51" s="5">
        <f t="shared" si="23"/>
        <v>69.111999999999995</v>
      </c>
      <c r="U51" s="5">
        <f t="shared" si="14"/>
        <v>69.111999999999995</v>
      </c>
      <c r="V51" s="5">
        <f t="shared" si="8"/>
        <v>69.111999999999995</v>
      </c>
      <c r="W51" s="5"/>
      <c r="X51" s="22"/>
      <c r="Y51" s="1">
        <f t="shared" si="10"/>
        <v>12</v>
      </c>
      <c r="Z51" s="1">
        <f t="shared" si="11"/>
        <v>8.314341176219628</v>
      </c>
      <c r="AA51" s="1">
        <v>17.372199999999999</v>
      </c>
      <c r="AB51" s="1">
        <v>14.885999999999999</v>
      </c>
      <c r="AC51" s="1">
        <v>16.802199999999999</v>
      </c>
      <c r="AD51" s="1">
        <v>14.042400000000001</v>
      </c>
      <c r="AE51" s="1">
        <v>19.11</v>
      </c>
      <c r="AF51" s="1">
        <v>17.2288</v>
      </c>
      <c r="AG51" s="1">
        <v>15.883800000000001</v>
      </c>
      <c r="AH51" s="1">
        <v>16.6876</v>
      </c>
      <c r="AI51" s="1">
        <v>20.451000000000001</v>
      </c>
      <c r="AJ51" s="1">
        <v>20.7852</v>
      </c>
      <c r="AK51" s="1"/>
      <c r="AL51" s="1">
        <f t="shared" si="12"/>
        <v>69</v>
      </c>
      <c r="AM51" s="1">
        <f t="shared" si="13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99</v>
      </c>
      <c r="B52" s="1" t="s">
        <v>38</v>
      </c>
      <c r="C52" s="1">
        <v>106.563</v>
      </c>
      <c r="D52" s="1">
        <v>1533.6569999999999</v>
      </c>
      <c r="E52" s="1">
        <v>643.81600000000003</v>
      </c>
      <c r="F52" s="1">
        <v>902.90599999999995</v>
      </c>
      <c r="G52" s="7">
        <v>1</v>
      </c>
      <c r="H52" s="1">
        <v>50</v>
      </c>
      <c r="I52" s="1" t="s">
        <v>39</v>
      </c>
      <c r="J52" s="1"/>
      <c r="K52" s="1">
        <v>675.45</v>
      </c>
      <c r="L52" s="1">
        <f t="shared" si="21"/>
        <v>-31.634000000000015</v>
      </c>
      <c r="M52" s="1">
        <f t="shared" si="5"/>
        <v>643.81600000000003</v>
      </c>
      <c r="N52" s="1"/>
      <c r="O52" s="1">
        <v>656.87827059200026</v>
      </c>
      <c r="P52" s="1">
        <v>0</v>
      </c>
      <c r="Q52" s="1"/>
      <c r="R52" s="1">
        <v>0</v>
      </c>
      <c r="S52" s="1">
        <f t="shared" si="22"/>
        <v>128.76320000000001</v>
      </c>
      <c r="T52" s="5"/>
      <c r="U52" s="5">
        <f t="shared" si="14"/>
        <v>0</v>
      </c>
      <c r="V52" s="5">
        <f t="shared" si="8"/>
        <v>0</v>
      </c>
      <c r="W52" s="5"/>
      <c r="X52" s="22"/>
      <c r="Y52" s="1">
        <f t="shared" si="10"/>
        <v>12.11358734942903</v>
      </c>
      <c r="Z52" s="1">
        <f t="shared" si="11"/>
        <v>12.11358734942903</v>
      </c>
      <c r="AA52" s="1">
        <v>111.2424</v>
      </c>
      <c r="AB52" s="1">
        <v>138.00559999999999</v>
      </c>
      <c r="AC52" s="1">
        <v>108.6206</v>
      </c>
      <c r="AD52" s="1">
        <v>78.2346</v>
      </c>
      <c r="AE52" s="1">
        <v>79.395399999999995</v>
      </c>
      <c r="AF52" s="1">
        <v>52.078800000000022</v>
      </c>
      <c r="AG52" s="1">
        <v>97.671800000000005</v>
      </c>
      <c r="AH52" s="1">
        <v>62.823599999999999</v>
      </c>
      <c r="AI52" s="1">
        <v>78.122199999999992</v>
      </c>
      <c r="AJ52" s="1">
        <v>85.384200000000007</v>
      </c>
      <c r="AK52" s="1"/>
      <c r="AL52" s="1">
        <f t="shared" si="12"/>
        <v>0</v>
      </c>
      <c r="AM52" s="1">
        <f t="shared" si="13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0" t="s">
        <v>100</v>
      </c>
      <c r="B53" s="10" t="s">
        <v>38</v>
      </c>
      <c r="C53" s="10"/>
      <c r="D53" s="10"/>
      <c r="E53" s="10"/>
      <c r="F53" s="10"/>
      <c r="G53" s="11">
        <v>0</v>
      </c>
      <c r="H53" s="10"/>
      <c r="I53" s="10" t="s">
        <v>39</v>
      </c>
      <c r="J53" s="10"/>
      <c r="K53" s="10"/>
      <c r="L53" s="10">
        <f t="shared" si="21"/>
        <v>0</v>
      </c>
      <c r="M53" s="10">
        <f t="shared" si="5"/>
        <v>0</v>
      </c>
      <c r="N53" s="10"/>
      <c r="O53" s="10">
        <v>0</v>
      </c>
      <c r="P53" s="10"/>
      <c r="Q53" s="10"/>
      <c r="R53" s="10">
        <v>0</v>
      </c>
      <c r="S53" s="10">
        <f t="shared" si="22"/>
        <v>0</v>
      </c>
      <c r="T53" s="12"/>
      <c r="U53" s="5">
        <f t="shared" si="14"/>
        <v>0</v>
      </c>
      <c r="V53" s="5">
        <f t="shared" si="8"/>
        <v>0</v>
      </c>
      <c r="W53" s="5"/>
      <c r="X53" s="22"/>
      <c r="Y53" s="10" t="e">
        <f t="shared" si="10"/>
        <v>#DIV/0!</v>
      </c>
      <c r="Z53" s="10" t="e">
        <f t="shared" si="11"/>
        <v>#DIV/0!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 t="s">
        <v>63</v>
      </c>
      <c r="AL53" s="1">
        <f t="shared" si="12"/>
        <v>0</v>
      </c>
      <c r="AM53" s="1">
        <f t="shared" si="13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101</v>
      </c>
      <c r="B54" s="1" t="s">
        <v>43</v>
      </c>
      <c r="C54" s="1">
        <v>354</v>
      </c>
      <c r="D54" s="1">
        <v>484</v>
      </c>
      <c r="E54" s="1">
        <v>410</v>
      </c>
      <c r="F54" s="1">
        <v>366</v>
      </c>
      <c r="G54" s="7">
        <v>0.45</v>
      </c>
      <c r="H54" s="1">
        <v>50</v>
      </c>
      <c r="I54" s="1" t="s">
        <v>39</v>
      </c>
      <c r="J54" s="1"/>
      <c r="K54" s="1">
        <v>485</v>
      </c>
      <c r="L54" s="1">
        <f t="shared" si="21"/>
        <v>-75</v>
      </c>
      <c r="M54" s="1">
        <f t="shared" si="5"/>
        <v>410</v>
      </c>
      <c r="N54" s="1"/>
      <c r="O54" s="1">
        <v>377.6472</v>
      </c>
      <c r="P54" s="1">
        <v>0</v>
      </c>
      <c r="Q54" s="1"/>
      <c r="R54" s="1">
        <v>0</v>
      </c>
      <c r="S54" s="1">
        <f t="shared" si="22"/>
        <v>82</v>
      </c>
      <c r="T54" s="5">
        <f t="shared" ref="T54:T55" si="24">12*S54-R54-Q54-P54-O54-F54</f>
        <v>240.3528</v>
      </c>
      <c r="U54" s="5">
        <f t="shared" si="14"/>
        <v>240.3528</v>
      </c>
      <c r="V54" s="5">
        <f t="shared" si="8"/>
        <v>115.369344</v>
      </c>
      <c r="W54" s="5">
        <f t="shared" ref="W54:W55" si="25">U54*$W$1</f>
        <v>124.983456</v>
      </c>
      <c r="X54" s="22"/>
      <c r="Y54" s="1">
        <f t="shared" si="10"/>
        <v>12</v>
      </c>
      <c r="Z54" s="1">
        <f t="shared" si="11"/>
        <v>9.0688682926829269</v>
      </c>
      <c r="AA54" s="1">
        <v>69.599999999999994</v>
      </c>
      <c r="AB54" s="1">
        <v>75.2</v>
      </c>
      <c r="AC54" s="1">
        <v>79.400000000000006</v>
      </c>
      <c r="AD54" s="1">
        <v>86.2</v>
      </c>
      <c r="AE54" s="1">
        <v>84</v>
      </c>
      <c r="AF54" s="1">
        <v>66.400000000000006</v>
      </c>
      <c r="AG54" s="1">
        <v>64.8</v>
      </c>
      <c r="AH54" s="1">
        <v>74.2</v>
      </c>
      <c r="AI54" s="1">
        <v>96</v>
      </c>
      <c r="AJ54" s="1">
        <v>96.8</v>
      </c>
      <c r="AK54" s="1"/>
      <c r="AL54" s="1">
        <f t="shared" si="12"/>
        <v>52</v>
      </c>
      <c r="AM54" s="1">
        <f t="shared" si="13"/>
        <v>56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102</v>
      </c>
      <c r="B55" s="1" t="s">
        <v>43</v>
      </c>
      <c r="C55" s="1">
        <v>951</v>
      </c>
      <c r="D55" s="1">
        <v>428</v>
      </c>
      <c r="E55" s="1">
        <v>608</v>
      </c>
      <c r="F55" s="1">
        <v>677</v>
      </c>
      <c r="G55" s="7">
        <v>0.45</v>
      </c>
      <c r="H55" s="1">
        <v>50</v>
      </c>
      <c r="I55" s="1" t="s">
        <v>39</v>
      </c>
      <c r="J55" s="1"/>
      <c r="K55" s="1">
        <v>713</v>
      </c>
      <c r="L55" s="1">
        <f t="shared" si="21"/>
        <v>-105</v>
      </c>
      <c r="M55" s="1">
        <f t="shared" si="5"/>
        <v>608</v>
      </c>
      <c r="N55" s="1"/>
      <c r="O55" s="1">
        <v>384.15138000000002</v>
      </c>
      <c r="P55" s="1">
        <v>0</v>
      </c>
      <c r="Q55" s="1"/>
      <c r="R55" s="1">
        <v>78.2</v>
      </c>
      <c r="S55" s="1">
        <f t="shared" si="22"/>
        <v>121.6</v>
      </c>
      <c r="T55" s="5">
        <f t="shared" si="24"/>
        <v>319.84861999999976</v>
      </c>
      <c r="U55" s="5">
        <f t="shared" si="14"/>
        <v>319.84861999999976</v>
      </c>
      <c r="V55" s="5">
        <f t="shared" si="8"/>
        <v>153.52733759999987</v>
      </c>
      <c r="W55" s="5">
        <f t="shared" si="25"/>
        <v>166.32128239999989</v>
      </c>
      <c r="X55" s="22"/>
      <c r="Y55" s="1">
        <f t="shared" si="10"/>
        <v>11.999999999999998</v>
      </c>
      <c r="Z55" s="1">
        <f t="shared" si="11"/>
        <v>9.3696659539473686</v>
      </c>
      <c r="AA55" s="1">
        <v>115</v>
      </c>
      <c r="AB55" s="1">
        <v>109</v>
      </c>
      <c r="AC55" s="1">
        <v>86</v>
      </c>
      <c r="AD55" s="1">
        <v>112.8</v>
      </c>
      <c r="AE55" s="1">
        <v>148.19999999999999</v>
      </c>
      <c r="AF55" s="1">
        <v>93.6</v>
      </c>
      <c r="AG55" s="1">
        <v>89.2</v>
      </c>
      <c r="AH55" s="1">
        <v>95.2</v>
      </c>
      <c r="AI55" s="1">
        <v>128.6</v>
      </c>
      <c r="AJ55" s="1">
        <v>132</v>
      </c>
      <c r="AK55" s="1"/>
      <c r="AL55" s="1">
        <f t="shared" si="12"/>
        <v>69</v>
      </c>
      <c r="AM55" s="1">
        <f t="shared" si="13"/>
        <v>75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0" t="s">
        <v>103</v>
      </c>
      <c r="B56" s="10" t="s">
        <v>43</v>
      </c>
      <c r="C56" s="10"/>
      <c r="D56" s="10"/>
      <c r="E56" s="10"/>
      <c r="F56" s="10"/>
      <c r="G56" s="11">
        <v>0</v>
      </c>
      <c r="H56" s="10"/>
      <c r="I56" s="10" t="s">
        <v>39</v>
      </c>
      <c r="J56" s="10"/>
      <c r="K56" s="10"/>
      <c r="L56" s="10">
        <f t="shared" si="21"/>
        <v>0</v>
      </c>
      <c r="M56" s="10">
        <f t="shared" si="5"/>
        <v>0</v>
      </c>
      <c r="N56" s="10"/>
      <c r="O56" s="10">
        <v>0</v>
      </c>
      <c r="P56" s="10"/>
      <c r="Q56" s="10"/>
      <c r="R56" s="10">
        <v>0</v>
      </c>
      <c r="S56" s="10">
        <f t="shared" si="22"/>
        <v>0</v>
      </c>
      <c r="T56" s="12"/>
      <c r="U56" s="5">
        <f t="shared" si="14"/>
        <v>0</v>
      </c>
      <c r="V56" s="5">
        <f t="shared" si="8"/>
        <v>0</v>
      </c>
      <c r="W56" s="5"/>
      <c r="X56" s="22"/>
      <c r="Y56" s="10" t="e">
        <f t="shared" si="10"/>
        <v>#DIV/0!</v>
      </c>
      <c r="Z56" s="10" t="e">
        <f t="shared" si="11"/>
        <v>#DIV/0!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 t="s">
        <v>63</v>
      </c>
      <c r="AL56" s="1">
        <f t="shared" si="12"/>
        <v>0</v>
      </c>
      <c r="AM56" s="1">
        <f t="shared" si="13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104</v>
      </c>
      <c r="B57" s="1" t="s">
        <v>43</v>
      </c>
      <c r="C57" s="1">
        <v>1</v>
      </c>
      <c r="D57" s="1"/>
      <c r="E57" s="1">
        <v>-2</v>
      </c>
      <c r="F57" s="1"/>
      <c r="G57" s="7">
        <v>0.4</v>
      </c>
      <c r="H57" s="1">
        <v>40</v>
      </c>
      <c r="I57" s="16" t="s">
        <v>72</v>
      </c>
      <c r="J57" s="1"/>
      <c r="K57" s="1">
        <v>17</v>
      </c>
      <c r="L57" s="1">
        <f t="shared" si="21"/>
        <v>-19</v>
      </c>
      <c r="M57" s="1">
        <f t="shared" si="5"/>
        <v>-2</v>
      </c>
      <c r="N57" s="1"/>
      <c r="O57" s="1">
        <v>20</v>
      </c>
      <c r="P57" s="1">
        <v>0</v>
      </c>
      <c r="Q57" s="1"/>
      <c r="R57" s="1">
        <v>10</v>
      </c>
      <c r="S57" s="1">
        <f t="shared" si="22"/>
        <v>-0.4</v>
      </c>
      <c r="T57" s="5">
        <v>10</v>
      </c>
      <c r="U57" s="5">
        <f t="shared" si="14"/>
        <v>10</v>
      </c>
      <c r="V57" s="5">
        <f t="shared" si="8"/>
        <v>10</v>
      </c>
      <c r="W57" s="5"/>
      <c r="X57" s="22"/>
      <c r="Y57" s="1">
        <f t="shared" si="10"/>
        <v>-100</v>
      </c>
      <c r="Z57" s="1">
        <f t="shared" si="11"/>
        <v>-75</v>
      </c>
      <c r="AA57" s="1">
        <v>0.2</v>
      </c>
      <c r="AB57" s="1">
        <v>2.4</v>
      </c>
      <c r="AC57" s="1">
        <v>2.8</v>
      </c>
      <c r="AD57" s="1">
        <v>4.8</v>
      </c>
      <c r="AE57" s="1">
        <v>5.6</v>
      </c>
      <c r="AF57" s="1">
        <v>3</v>
      </c>
      <c r="AG57" s="1">
        <v>3.2</v>
      </c>
      <c r="AH57" s="1">
        <v>3.8</v>
      </c>
      <c r="AI57" s="1">
        <v>3.8</v>
      </c>
      <c r="AJ57" s="1">
        <v>-0.6</v>
      </c>
      <c r="AK57" s="1"/>
      <c r="AL57" s="1">
        <f t="shared" si="12"/>
        <v>4</v>
      </c>
      <c r="AM57" s="1">
        <f t="shared" si="13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105</v>
      </c>
      <c r="B58" s="1" t="s">
        <v>38</v>
      </c>
      <c r="C58" s="1">
        <v>565.93600000000004</v>
      </c>
      <c r="D58" s="1">
        <v>290.70499999999998</v>
      </c>
      <c r="E58" s="1">
        <v>526.88699999999994</v>
      </c>
      <c r="F58" s="1">
        <v>235.99700000000001</v>
      </c>
      <c r="G58" s="7">
        <v>1</v>
      </c>
      <c r="H58" s="1">
        <v>50</v>
      </c>
      <c r="I58" s="1" t="s">
        <v>39</v>
      </c>
      <c r="J58" s="1"/>
      <c r="K58" s="1">
        <v>545.82500000000005</v>
      </c>
      <c r="L58" s="1">
        <f t="shared" si="21"/>
        <v>-18.938000000000102</v>
      </c>
      <c r="M58" s="1">
        <f t="shared" si="5"/>
        <v>472.38799999999992</v>
      </c>
      <c r="N58" s="1">
        <v>54.499000000000002</v>
      </c>
      <c r="O58" s="1">
        <v>311.09920370399988</v>
      </c>
      <c r="P58" s="1">
        <v>0</v>
      </c>
      <c r="Q58" s="1"/>
      <c r="R58" s="1">
        <v>140.97589080000009</v>
      </c>
      <c r="S58" s="1">
        <f t="shared" si="22"/>
        <v>94.477599999999981</v>
      </c>
      <c r="T58" s="5">
        <f t="shared" ref="T58:T69" si="26">12*S58-R58-Q58-P58-O58-F58</f>
        <v>445.65910549599977</v>
      </c>
      <c r="U58" s="5">
        <f t="shared" si="14"/>
        <v>445.65910549599977</v>
      </c>
      <c r="V58" s="5">
        <f t="shared" si="8"/>
        <v>213.91637063807988</v>
      </c>
      <c r="W58" s="5">
        <f>U58*$W$1</f>
        <v>231.74273485791988</v>
      </c>
      <c r="X58" s="22"/>
      <c r="Y58" s="1">
        <f t="shared" si="10"/>
        <v>12</v>
      </c>
      <c r="Z58" s="1">
        <f t="shared" si="11"/>
        <v>7.2829125052287544</v>
      </c>
      <c r="AA58" s="1">
        <v>78.927799999999991</v>
      </c>
      <c r="AB58" s="1">
        <v>65.617199999999997</v>
      </c>
      <c r="AC58" s="1">
        <v>68.840999999999994</v>
      </c>
      <c r="AD58" s="1">
        <v>74.638599999999997</v>
      </c>
      <c r="AE58" s="1">
        <v>99.823999999999998</v>
      </c>
      <c r="AF58" s="1">
        <v>124.6264</v>
      </c>
      <c r="AG58" s="1">
        <v>103.889</v>
      </c>
      <c r="AH58" s="1">
        <v>63.091200000000001</v>
      </c>
      <c r="AI58" s="1">
        <v>69.980199999999996</v>
      </c>
      <c r="AJ58" s="1">
        <v>120.0566</v>
      </c>
      <c r="AK58" s="1"/>
      <c r="AL58" s="1">
        <f t="shared" si="12"/>
        <v>214</v>
      </c>
      <c r="AM58" s="1">
        <f t="shared" si="13"/>
        <v>232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106</v>
      </c>
      <c r="B59" s="1" t="s">
        <v>43</v>
      </c>
      <c r="C59" s="1">
        <v>107</v>
      </c>
      <c r="D59" s="1">
        <v>162</v>
      </c>
      <c r="E59" s="1">
        <v>131</v>
      </c>
      <c r="F59" s="1">
        <v>104</v>
      </c>
      <c r="G59" s="7">
        <v>0.1</v>
      </c>
      <c r="H59" s="1">
        <v>731</v>
      </c>
      <c r="I59" s="1" t="s">
        <v>39</v>
      </c>
      <c r="J59" s="1"/>
      <c r="K59" s="1">
        <v>163</v>
      </c>
      <c r="L59" s="1">
        <f t="shared" si="21"/>
        <v>-32</v>
      </c>
      <c r="M59" s="1">
        <f t="shared" si="5"/>
        <v>131</v>
      </c>
      <c r="N59" s="1"/>
      <c r="O59" s="1">
        <v>133.40000000000009</v>
      </c>
      <c r="P59" s="1">
        <v>0</v>
      </c>
      <c r="Q59" s="1"/>
      <c r="R59" s="1">
        <v>14.39999999999992</v>
      </c>
      <c r="S59" s="1">
        <f t="shared" si="22"/>
        <v>26.2</v>
      </c>
      <c r="T59" s="5">
        <f t="shared" si="26"/>
        <v>62.599999999999966</v>
      </c>
      <c r="U59" s="5">
        <f t="shared" si="14"/>
        <v>62.599999999999966</v>
      </c>
      <c r="V59" s="5">
        <f t="shared" si="8"/>
        <v>62.599999999999966</v>
      </c>
      <c r="W59" s="5"/>
      <c r="X59" s="22"/>
      <c r="Y59" s="1">
        <f t="shared" si="10"/>
        <v>12</v>
      </c>
      <c r="Z59" s="1">
        <f t="shared" si="11"/>
        <v>9.6106870229007644</v>
      </c>
      <c r="AA59" s="1">
        <v>26.8</v>
      </c>
      <c r="AB59" s="1">
        <v>27.6</v>
      </c>
      <c r="AC59" s="1">
        <v>24.4</v>
      </c>
      <c r="AD59" s="1">
        <v>26.4</v>
      </c>
      <c r="AE59" s="1">
        <v>26.6</v>
      </c>
      <c r="AF59" s="1">
        <v>17.600000000000001</v>
      </c>
      <c r="AG59" s="1">
        <v>20.2</v>
      </c>
      <c r="AH59" s="1">
        <v>21.8</v>
      </c>
      <c r="AI59" s="1">
        <v>26.4</v>
      </c>
      <c r="AJ59" s="1">
        <v>29.2</v>
      </c>
      <c r="AK59" s="1"/>
      <c r="AL59" s="1">
        <f t="shared" si="12"/>
        <v>6</v>
      </c>
      <c r="AM59" s="1">
        <f t="shared" si="13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107</v>
      </c>
      <c r="B60" s="1" t="s">
        <v>38</v>
      </c>
      <c r="C60" s="1">
        <v>448.75900000000001</v>
      </c>
      <c r="D60" s="1">
        <v>546.85900000000004</v>
      </c>
      <c r="E60" s="1">
        <v>466.46300000000002</v>
      </c>
      <c r="F60" s="1">
        <v>489.17899999999997</v>
      </c>
      <c r="G60" s="7">
        <v>1</v>
      </c>
      <c r="H60" s="1">
        <v>50</v>
      </c>
      <c r="I60" s="1" t="s">
        <v>39</v>
      </c>
      <c r="J60" s="1"/>
      <c r="K60" s="1">
        <v>484.1</v>
      </c>
      <c r="L60" s="1">
        <f t="shared" si="21"/>
        <v>-17.637</v>
      </c>
      <c r="M60" s="1">
        <f t="shared" si="5"/>
        <v>466.46300000000002</v>
      </c>
      <c r="N60" s="1"/>
      <c r="O60" s="1">
        <v>368.89529444800007</v>
      </c>
      <c r="P60" s="1">
        <v>0</v>
      </c>
      <c r="Q60" s="1"/>
      <c r="R60" s="1">
        <v>139.7601895999999</v>
      </c>
      <c r="S60" s="1">
        <f t="shared" si="22"/>
        <v>93.292600000000007</v>
      </c>
      <c r="T60" s="5">
        <f t="shared" si="26"/>
        <v>121.67671595200022</v>
      </c>
      <c r="U60" s="5">
        <f t="shared" si="14"/>
        <v>121.67671595200022</v>
      </c>
      <c r="V60" s="5">
        <f t="shared" si="8"/>
        <v>121.67671595200022</v>
      </c>
      <c r="W60" s="5"/>
      <c r="X60" s="22"/>
      <c r="Y60" s="1">
        <f t="shared" si="10"/>
        <v>12</v>
      </c>
      <c r="Z60" s="1">
        <f t="shared" si="11"/>
        <v>10.695751689287251</v>
      </c>
      <c r="AA60" s="1">
        <v>105.92659999999999</v>
      </c>
      <c r="AB60" s="1">
        <v>80.308399999999992</v>
      </c>
      <c r="AC60" s="1">
        <v>57.7956</v>
      </c>
      <c r="AD60" s="1">
        <v>86.590799999999987</v>
      </c>
      <c r="AE60" s="1">
        <v>102.032</v>
      </c>
      <c r="AF60" s="1">
        <v>70.132199999999997</v>
      </c>
      <c r="AG60" s="1">
        <v>63.280999999999992</v>
      </c>
      <c r="AH60" s="1">
        <v>79.756600000000006</v>
      </c>
      <c r="AI60" s="1">
        <v>81.925600000000003</v>
      </c>
      <c r="AJ60" s="1">
        <v>86.080600000000004</v>
      </c>
      <c r="AK60" s="1"/>
      <c r="AL60" s="1">
        <f t="shared" si="12"/>
        <v>122</v>
      </c>
      <c r="AM60" s="1">
        <f t="shared" si="13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108</v>
      </c>
      <c r="B61" s="1" t="s">
        <v>38</v>
      </c>
      <c r="C61" s="1">
        <v>54.762999999999998</v>
      </c>
      <c r="D61" s="1">
        <v>34.393000000000001</v>
      </c>
      <c r="E61" s="1">
        <v>41.088000000000001</v>
      </c>
      <c r="F61" s="1">
        <v>48.067999999999998</v>
      </c>
      <c r="G61" s="7">
        <v>1</v>
      </c>
      <c r="H61" s="1">
        <v>55</v>
      </c>
      <c r="I61" s="1" t="s">
        <v>39</v>
      </c>
      <c r="J61" s="1"/>
      <c r="K61" s="1">
        <v>39.1</v>
      </c>
      <c r="L61" s="1">
        <f t="shared" si="21"/>
        <v>1.9879999999999995</v>
      </c>
      <c r="M61" s="1">
        <f t="shared" si="5"/>
        <v>41.088000000000001</v>
      </c>
      <c r="N61" s="1"/>
      <c r="O61" s="1">
        <v>0</v>
      </c>
      <c r="P61" s="1"/>
      <c r="Q61" s="1"/>
      <c r="R61" s="1">
        <v>11.89340000000001</v>
      </c>
      <c r="S61" s="1">
        <f t="shared" si="22"/>
        <v>8.2176000000000009</v>
      </c>
      <c r="T61" s="5">
        <f t="shared" si="26"/>
        <v>38.649799999999999</v>
      </c>
      <c r="U61" s="5">
        <f t="shared" si="14"/>
        <v>38.649799999999999</v>
      </c>
      <c r="V61" s="5">
        <f t="shared" si="8"/>
        <v>38.649799999999999</v>
      </c>
      <c r="W61" s="5"/>
      <c r="X61" s="22"/>
      <c r="Y61" s="1">
        <f t="shared" si="10"/>
        <v>12</v>
      </c>
      <c r="Z61" s="1">
        <f t="shared" si="11"/>
        <v>7.296704633956387</v>
      </c>
      <c r="AA61" s="1">
        <v>6.5724</v>
      </c>
      <c r="AB61" s="1">
        <v>2.7147999999999999</v>
      </c>
      <c r="AC61" s="1">
        <v>3.7801999999999998</v>
      </c>
      <c r="AD61" s="1">
        <v>7.5739999999999998</v>
      </c>
      <c r="AE61" s="1">
        <v>8.3827999999999996</v>
      </c>
      <c r="AF61" s="1">
        <v>3.4996</v>
      </c>
      <c r="AG61" s="1">
        <v>4.0301999999999998</v>
      </c>
      <c r="AH61" s="1">
        <v>4.2412000000000001</v>
      </c>
      <c r="AI61" s="1">
        <v>5.3171999999999997</v>
      </c>
      <c r="AJ61" s="1">
        <v>3.4356</v>
      </c>
      <c r="AK61" s="1"/>
      <c r="AL61" s="1">
        <f t="shared" si="12"/>
        <v>39</v>
      </c>
      <c r="AM61" s="1">
        <f t="shared" si="13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109</v>
      </c>
      <c r="B62" s="1" t="s">
        <v>43</v>
      </c>
      <c r="C62" s="1">
        <v>95</v>
      </c>
      <c r="D62" s="1">
        <v>145</v>
      </c>
      <c r="E62" s="1">
        <v>101</v>
      </c>
      <c r="F62" s="1">
        <v>105</v>
      </c>
      <c r="G62" s="7">
        <v>0.1</v>
      </c>
      <c r="H62" s="1">
        <v>731</v>
      </c>
      <c r="I62" s="1" t="s">
        <v>39</v>
      </c>
      <c r="J62" s="1"/>
      <c r="K62" s="1">
        <v>115</v>
      </c>
      <c r="L62" s="1">
        <f t="shared" si="21"/>
        <v>-14</v>
      </c>
      <c r="M62" s="1">
        <f t="shared" si="5"/>
        <v>101</v>
      </c>
      <c r="N62" s="1"/>
      <c r="O62" s="1">
        <v>75.599999999999966</v>
      </c>
      <c r="P62" s="1">
        <v>0</v>
      </c>
      <c r="Q62" s="1"/>
      <c r="R62" s="1">
        <v>44.400000000000027</v>
      </c>
      <c r="S62" s="1">
        <f t="shared" si="22"/>
        <v>20.2</v>
      </c>
      <c r="T62" s="5">
        <f t="shared" si="26"/>
        <v>17.399999999999977</v>
      </c>
      <c r="U62" s="5">
        <f t="shared" si="14"/>
        <v>17.399999999999977</v>
      </c>
      <c r="V62" s="5">
        <f t="shared" si="8"/>
        <v>17.399999999999977</v>
      </c>
      <c r="W62" s="5"/>
      <c r="X62" s="22"/>
      <c r="Y62" s="1">
        <f t="shared" si="10"/>
        <v>12</v>
      </c>
      <c r="Z62" s="1">
        <f t="shared" si="11"/>
        <v>11.138613861386139</v>
      </c>
      <c r="AA62" s="1">
        <v>24</v>
      </c>
      <c r="AB62" s="1">
        <v>23</v>
      </c>
      <c r="AC62" s="1">
        <v>23.6</v>
      </c>
      <c r="AD62" s="1">
        <v>23</v>
      </c>
      <c r="AE62" s="1">
        <v>24.2</v>
      </c>
      <c r="AF62" s="1">
        <v>17.600000000000001</v>
      </c>
      <c r="AG62" s="1">
        <v>17.600000000000001</v>
      </c>
      <c r="AH62" s="1">
        <v>20.8</v>
      </c>
      <c r="AI62" s="1">
        <v>23.6</v>
      </c>
      <c r="AJ62" s="1">
        <v>27.2</v>
      </c>
      <c r="AK62" s="1"/>
      <c r="AL62" s="1">
        <f t="shared" si="12"/>
        <v>2</v>
      </c>
      <c r="AM62" s="1">
        <f t="shared" si="13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110</v>
      </c>
      <c r="B63" s="1" t="s">
        <v>43</v>
      </c>
      <c r="C63" s="1">
        <v>20</v>
      </c>
      <c r="D63" s="1">
        <v>2</v>
      </c>
      <c r="E63" s="1">
        <v>4</v>
      </c>
      <c r="F63" s="1">
        <v>18</v>
      </c>
      <c r="G63" s="7">
        <v>0.4</v>
      </c>
      <c r="H63" s="1">
        <v>50</v>
      </c>
      <c r="I63" s="1" t="s">
        <v>39</v>
      </c>
      <c r="J63" s="1"/>
      <c r="K63" s="1">
        <v>15</v>
      </c>
      <c r="L63" s="1">
        <f t="shared" si="21"/>
        <v>-11</v>
      </c>
      <c r="M63" s="1">
        <f t="shared" si="5"/>
        <v>4</v>
      </c>
      <c r="N63" s="1"/>
      <c r="O63" s="1">
        <v>6.4000000000000021</v>
      </c>
      <c r="P63" s="1">
        <v>0</v>
      </c>
      <c r="Q63" s="1"/>
      <c r="R63" s="1">
        <v>0</v>
      </c>
      <c r="S63" s="1">
        <f t="shared" si="22"/>
        <v>0.8</v>
      </c>
      <c r="T63" s="5"/>
      <c r="U63" s="5">
        <f t="shared" si="14"/>
        <v>0</v>
      </c>
      <c r="V63" s="5">
        <f t="shared" si="8"/>
        <v>0</v>
      </c>
      <c r="W63" s="5"/>
      <c r="X63" s="22"/>
      <c r="Y63" s="1">
        <f t="shared" si="10"/>
        <v>30.5</v>
      </c>
      <c r="Z63" s="1">
        <f t="shared" si="11"/>
        <v>30.5</v>
      </c>
      <c r="AA63" s="1">
        <v>1.4</v>
      </c>
      <c r="AB63" s="1">
        <v>2.2000000000000002</v>
      </c>
      <c r="AC63" s="1">
        <v>2.2000000000000002</v>
      </c>
      <c r="AD63" s="1">
        <v>1</v>
      </c>
      <c r="AE63" s="1">
        <v>1.6</v>
      </c>
      <c r="AF63" s="1">
        <v>2.8</v>
      </c>
      <c r="AG63" s="1">
        <v>1.2</v>
      </c>
      <c r="AH63" s="1">
        <v>0.2</v>
      </c>
      <c r="AI63" s="1">
        <v>1.6</v>
      </c>
      <c r="AJ63" s="1">
        <v>2.8</v>
      </c>
      <c r="AK63" s="9" t="s">
        <v>85</v>
      </c>
      <c r="AL63" s="1">
        <f t="shared" si="12"/>
        <v>0</v>
      </c>
      <c r="AM63" s="1">
        <f t="shared" si="13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111</v>
      </c>
      <c r="B64" s="1" t="s">
        <v>38</v>
      </c>
      <c r="C64" s="1">
        <v>-1.1850000000000001</v>
      </c>
      <c r="D64" s="1">
        <v>159.56399999999999</v>
      </c>
      <c r="E64" s="1">
        <v>179.65199999999999</v>
      </c>
      <c r="F64" s="1">
        <v>-26.584</v>
      </c>
      <c r="G64" s="7">
        <v>1</v>
      </c>
      <c r="H64" s="1">
        <v>40</v>
      </c>
      <c r="I64" s="18" t="s">
        <v>72</v>
      </c>
      <c r="J64" s="1"/>
      <c r="K64" s="1">
        <v>201</v>
      </c>
      <c r="L64" s="1">
        <f t="shared" si="21"/>
        <v>-21.348000000000013</v>
      </c>
      <c r="M64" s="1">
        <f t="shared" si="5"/>
        <v>179.65199999999999</v>
      </c>
      <c r="N64" s="1"/>
      <c r="O64" s="1">
        <v>0</v>
      </c>
      <c r="P64" s="1"/>
      <c r="Q64" s="1"/>
      <c r="R64" s="1">
        <v>186.208</v>
      </c>
      <c r="S64" s="1">
        <f t="shared" si="22"/>
        <v>35.930399999999999</v>
      </c>
      <c r="T64" s="5">
        <v>100</v>
      </c>
      <c r="U64" s="5">
        <f t="shared" si="14"/>
        <v>100</v>
      </c>
      <c r="V64" s="5">
        <f t="shared" si="8"/>
        <v>100</v>
      </c>
      <c r="W64" s="5"/>
      <c r="X64" s="22"/>
      <c r="Y64" s="1">
        <f t="shared" si="10"/>
        <v>7.2257475563867928</v>
      </c>
      <c r="Z64" s="1">
        <f t="shared" si="11"/>
        <v>4.4425890054104604</v>
      </c>
      <c r="AA64" s="1">
        <v>33.767200000000003</v>
      </c>
      <c r="AB64" s="1">
        <v>5.1779999999999999</v>
      </c>
      <c r="AC64" s="1">
        <v>12.8698</v>
      </c>
      <c r="AD64" s="1">
        <v>11.319000000000001</v>
      </c>
      <c r="AE64" s="1">
        <v>7.4388000000000014</v>
      </c>
      <c r="AF64" s="1">
        <v>8.8168000000000006</v>
      </c>
      <c r="AG64" s="1">
        <v>9.9623999999999988</v>
      </c>
      <c r="AH64" s="1">
        <v>9.6790000000000003</v>
      </c>
      <c r="AI64" s="1">
        <v>10.668799999999999</v>
      </c>
      <c r="AJ64" s="1">
        <v>14.4322</v>
      </c>
      <c r="AK64" s="1" t="s">
        <v>112</v>
      </c>
      <c r="AL64" s="1">
        <f t="shared" si="12"/>
        <v>100</v>
      </c>
      <c r="AM64" s="1">
        <f t="shared" si="13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113</v>
      </c>
      <c r="B65" s="1" t="s">
        <v>38</v>
      </c>
      <c r="C65" s="1">
        <v>-15.063000000000001</v>
      </c>
      <c r="D65" s="1">
        <v>213.54300000000001</v>
      </c>
      <c r="E65" s="1">
        <v>179.41900000000001</v>
      </c>
      <c r="F65" s="1">
        <v>-40.819000000000003</v>
      </c>
      <c r="G65" s="7">
        <v>1</v>
      </c>
      <c r="H65" s="1">
        <v>40</v>
      </c>
      <c r="I65" s="18" t="s">
        <v>72</v>
      </c>
      <c r="J65" s="1"/>
      <c r="K65" s="1">
        <v>310.375</v>
      </c>
      <c r="L65" s="1">
        <f t="shared" si="21"/>
        <v>-130.95599999999999</v>
      </c>
      <c r="M65" s="1">
        <f t="shared" si="5"/>
        <v>179.41900000000001</v>
      </c>
      <c r="N65" s="1"/>
      <c r="O65" s="1">
        <v>0</v>
      </c>
      <c r="P65" s="1"/>
      <c r="Q65" s="1"/>
      <c r="R65" s="1">
        <v>100</v>
      </c>
      <c r="S65" s="1">
        <f t="shared" si="22"/>
        <v>35.883800000000001</v>
      </c>
      <c r="T65" s="5">
        <v>100</v>
      </c>
      <c r="U65" s="5">
        <f t="shared" si="14"/>
        <v>100</v>
      </c>
      <c r="V65" s="5">
        <f t="shared" si="8"/>
        <v>100</v>
      </c>
      <c r="W65" s="5"/>
      <c r="X65" s="22"/>
      <c r="Y65" s="1">
        <f t="shared" si="10"/>
        <v>4.4360129083318931</v>
      </c>
      <c r="Z65" s="1">
        <f t="shared" si="11"/>
        <v>1.6492400470407258</v>
      </c>
      <c r="AA65" s="1">
        <v>36.3566</v>
      </c>
      <c r="AB65" s="1">
        <v>15.0884</v>
      </c>
      <c r="AC65" s="1">
        <v>0.26879999999999998</v>
      </c>
      <c r="AD65" s="1">
        <v>0.55599999999999994</v>
      </c>
      <c r="AE65" s="1">
        <v>8.0599999999999987</v>
      </c>
      <c r="AF65" s="1">
        <v>8.0434000000000001</v>
      </c>
      <c r="AG65" s="1">
        <v>1.6077999999999999</v>
      </c>
      <c r="AH65" s="1">
        <v>1.6077999999999999</v>
      </c>
      <c r="AI65" s="1">
        <v>1.6292</v>
      </c>
      <c r="AJ65" s="1">
        <v>1.1017999999999999</v>
      </c>
      <c r="AK65" s="1" t="s">
        <v>112</v>
      </c>
      <c r="AL65" s="1">
        <f t="shared" si="12"/>
        <v>100</v>
      </c>
      <c r="AM65" s="1">
        <f t="shared" si="13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114</v>
      </c>
      <c r="B66" s="1" t="s">
        <v>43</v>
      </c>
      <c r="C66" s="1">
        <v>161</v>
      </c>
      <c r="D66" s="1">
        <v>1228</v>
      </c>
      <c r="E66" s="1">
        <v>481</v>
      </c>
      <c r="F66" s="1">
        <v>869</v>
      </c>
      <c r="G66" s="7">
        <v>0.4</v>
      </c>
      <c r="H66" s="1">
        <v>40</v>
      </c>
      <c r="I66" s="1" t="s">
        <v>39</v>
      </c>
      <c r="J66" s="1"/>
      <c r="K66" s="1">
        <v>596</v>
      </c>
      <c r="L66" s="1">
        <f t="shared" si="21"/>
        <v>-115</v>
      </c>
      <c r="M66" s="1">
        <f t="shared" si="5"/>
        <v>481</v>
      </c>
      <c r="N66" s="1"/>
      <c r="O66" s="1">
        <v>857.63112000000012</v>
      </c>
      <c r="P66" s="1">
        <v>0</v>
      </c>
      <c r="Q66" s="1"/>
      <c r="R66" s="1">
        <v>0</v>
      </c>
      <c r="S66" s="1">
        <f t="shared" si="22"/>
        <v>96.2</v>
      </c>
      <c r="T66" s="5"/>
      <c r="U66" s="5">
        <f t="shared" si="14"/>
        <v>0</v>
      </c>
      <c r="V66" s="5">
        <f t="shared" si="8"/>
        <v>0</v>
      </c>
      <c r="W66" s="5"/>
      <c r="X66" s="22"/>
      <c r="Y66" s="1">
        <f t="shared" si="10"/>
        <v>17.94834844074844</v>
      </c>
      <c r="Z66" s="1">
        <f t="shared" si="11"/>
        <v>17.94834844074844</v>
      </c>
      <c r="AA66" s="1">
        <v>124.2</v>
      </c>
      <c r="AB66" s="1">
        <v>168</v>
      </c>
      <c r="AC66" s="1">
        <v>89.6</v>
      </c>
      <c r="AD66" s="1">
        <v>26.4</v>
      </c>
      <c r="AE66" s="1">
        <v>94.8</v>
      </c>
      <c r="AF66" s="1">
        <v>113.2</v>
      </c>
      <c r="AG66" s="1">
        <v>99</v>
      </c>
      <c r="AH66" s="1">
        <v>107.8</v>
      </c>
      <c r="AI66" s="1">
        <v>129.19999999999999</v>
      </c>
      <c r="AJ66" s="1">
        <v>139.4</v>
      </c>
      <c r="AK66" s="9" t="s">
        <v>85</v>
      </c>
      <c r="AL66" s="1">
        <f t="shared" si="12"/>
        <v>0</v>
      </c>
      <c r="AM66" s="1">
        <f t="shared" si="13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115</v>
      </c>
      <c r="B67" s="1" t="s">
        <v>43</v>
      </c>
      <c r="C67" s="1">
        <v>-7</v>
      </c>
      <c r="D67" s="1">
        <v>90</v>
      </c>
      <c r="E67" s="1">
        <v>3</v>
      </c>
      <c r="F67" s="1">
        <v>79</v>
      </c>
      <c r="G67" s="7">
        <v>0.4</v>
      </c>
      <c r="H67" s="1">
        <v>40</v>
      </c>
      <c r="I67" s="16" t="s">
        <v>72</v>
      </c>
      <c r="J67" s="1"/>
      <c r="K67" s="1">
        <v>175</v>
      </c>
      <c r="L67" s="1">
        <f t="shared" si="21"/>
        <v>-172</v>
      </c>
      <c r="M67" s="1">
        <f t="shared" si="5"/>
        <v>3</v>
      </c>
      <c r="N67" s="1"/>
      <c r="O67" s="1">
        <v>150</v>
      </c>
      <c r="P67" s="1">
        <v>0</v>
      </c>
      <c r="Q67" s="1"/>
      <c r="R67" s="1">
        <v>50</v>
      </c>
      <c r="S67" s="1">
        <f t="shared" si="22"/>
        <v>0.6</v>
      </c>
      <c r="T67" s="5">
        <v>100</v>
      </c>
      <c r="U67" s="5">
        <f t="shared" si="14"/>
        <v>100</v>
      </c>
      <c r="V67" s="5">
        <v>100</v>
      </c>
      <c r="W67" s="5">
        <v>50</v>
      </c>
      <c r="X67" s="22"/>
      <c r="Y67" s="1">
        <f t="shared" si="10"/>
        <v>631.66666666666674</v>
      </c>
      <c r="Z67" s="1">
        <f t="shared" si="11"/>
        <v>465</v>
      </c>
      <c r="AA67" s="1">
        <v>0</v>
      </c>
      <c r="AB67" s="1">
        <v>0.4</v>
      </c>
      <c r="AC67" s="1">
        <v>0.8</v>
      </c>
      <c r="AD67" s="1">
        <v>45.6</v>
      </c>
      <c r="AE67" s="1">
        <v>95.8</v>
      </c>
      <c r="AF67" s="1">
        <v>80.400000000000006</v>
      </c>
      <c r="AG67" s="1">
        <v>83.4</v>
      </c>
      <c r="AH67" s="1">
        <v>95.6</v>
      </c>
      <c r="AI67" s="1">
        <v>103.6</v>
      </c>
      <c r="AJ67" s="1">
        <v>96.2</v>
      </c>
      <c r="AK67" s="1"/>
      <c r="AL67" s="1">
        <f t="shared" si="12"/>
        <v>40</v>
      </c>
      <c r="AM67" s="1">
        <f t="shared" si="13"/>
        <v>20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116</v>
      </c>
      <c r="B68" s="1" t="s">
        <v>38</v>
      </c>
      <c r="C68" s="1">
        <v>63.65</v>
      </c>
      <c r="D68" s="1">
        <v>172.18700000000001</v>
      </c>
      <c r="E68" s="1">
        <v>94.153000000000006</v>
      </c>
      <c r="F68" s="1">
        <v>131.67500000000001</v>
      </c>
      <c r="G68" s="7">
        <v>1</v>
      </c>
      <c r="H68" s="1">
        <v>40</v>
      </c>
      <c r="I68" s="1" t="s">
        <v>39</v>
      </c>
      <c r="J68" s="1"/>
      <c r="K68" s="1">
        <v>96.271000000000001</v>
      </c>
      <c r="L68" s="1">
        <f t="shared" si="21"/>
        <v>-2.117999999999995</v>
      </c>
      <c r="M68" s="1">
        <f t="shared" si="5"/>
        <v>88.682000000000002</v>
      </c>
      <c r="N68" s="1">
        <v>5.4710000000000001</v>
      </c>
      <c r="O68" s="1">
        <v>0</v>
      </c>
      <c r="P68" s="1"/>
      <c r="Q68" s="1"/>
      <c r="R68" s="1">
        <v>0</v>
      </c>
      <c r="S68" s="1">
        <f t="shared" si="22"/>
        <v>17.7364</v>
      </c>
      <c r="T68" s="5">
        <f t="shared" si="26"/>
        <v>81.161799999999971</v>
      </c>
      <c r="U68" s="5">
        <f t="shared" si="14"/>
        <v>81.161799999999971</v>
      </c>
      <c r="V68" s="5">
        <f t="shared" si="8"/>
        <v>81.161799999999971</v>
      </c>
      <c r="W68" s="5"/>
      <c r="X68" s="22"/>
      <c r="Y68" s="1">
        <f t="shared" si="10"/>
        <v>12</v>
      </c>
      <c r="Z68" s="1">
        <f t="shared" si="11"/>
        <v>7.4239981055907629</v>
      </c>
      <c r="AA68" s="1">
        <v>6.0776000000000003</v>
      </c>
      <c r="AB68" s="1">
        <v>4.7904</v>
      </c>
      <c r="AC68" s="1">
        <v>12.265599999999999</v>
      </c>
      <c r="AD68" s="1">
        <v>17.055599999999998</v>
      </c>
      <c r="AE68" s="1">
        <v>11.9252</v>
      </c>
      <c r="AF68" s="1">
        <v>7.8718000000000004</v>
      </c>
      <c r="AG68" s="1">
        <v>7.6943999999999999</v>
      </c>
      <c r="AH68" s="1">
        <v>8.5982000000000003</v>
      </c>
      <c r="AI68" s="1">
        <v>10.3788</v>
      </c>
      <c r="AJ68" s="1">
        <v>10.9048</v>
      </c>
      <c r="AK68" s="1"/>
      <c r="AL68" s="1">
        <f t="shared" si="12"/>
        <v>81</v>
      </c>
      <c r="AM68" s="1">
        <f t="shared" si="13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117</v>
      </c>
      <c r="B69" s="1" t="s">
        <v>38</v>
      </c>
      <c r="C69" s="1">
        <v>113.092</v>
      </c>
      <c r="D69" s="1">
        <v>214.15100000000001</v>
      </c>
      <c r="E69" s="1">
        <v>154.80600000000001</v>
      </c>
      <c r="F69" s="1">
        <v>59.363</v>
      </c>
      <c r="G69" s="7">
        <v>1</v>
      </c>
      <c r="H69" s="1">
        <v>40</v>
      </c>
      <c r="I69" s="1" t="s">
        <v>39</v>
      </c>
      <c r="J69" s="1"/>
      <c r="K69" s="1">
        <v>211.48400000000001</v>
      </c>
      <c r="L69" s="1">
        <f t="shared" si="21"/>
        <v>-56.677999999999997</v>
      </c>
      <c r="M69" s="1">
        <f t="shared" si="5"/>
        <v>154.80600000000001</v>
      </c>
      <c r="N69" s="1"/>
      <c r="O69" s="1">
        <v>49.051800000000092</v>
      </c>
      <c r="P69" s="1">
        <v>0</v>
      </c>
      <c r="Q69" s="1"/>
      <c r="R69" s="1">
        <v>157.82699999999991</v>
      </c>
      <c r="S69" s="1">
        <f t="shared" si="22"/>
        <v>30.961200000000002</v>
      </c>
      <c r="T69" s="5">
        <f t="shared" si="26"/>
        <v>105.29259999999999</v>
      </c>
      <c r="U69" s="5">
        <f t="shared" si="14"/>
        <v>105.29259999999999</v>
      </c>
      <c r="V69" s="5">
        <f t="shared" si="8"/>
        <v>105.29259999999999</v>
      </c>
      <c r="W69" s="5"/>
      <c r="X69" s="22"/>
      <c r="Y69" s="1">
        <f t="shared" si="10"/>
        <v>12</v>
      </c>
      <c r="Z69" s="1">
        <f t="shared" si="11"/>
        <v>8.5992080410320018</v>
      </c>
      <c r="AA69" s="1">
        <v>27.160799999999998</v>
      </c>
      <c r="AB69" s="1">
        <v>17.945</v>
      </c>
      <c r="AC69" s="1">
        <v>16.682200000000002</v>
      </c>
      <c r="AD69" s="1">
        <v>20.416399999999999</v>
      </c>
      <c r="AE69" s="1">
        <v>21.869800000000001</v>
      </c>
      <c r="AF69" s="1">
        <v>14.438000000000001</v>
      </c>
      <c r="AG69" s="1">
        <v>14.6104</v>
      </c>
      <c r="AH69" s="1">
        <v>11.178800000000001</v>
      </c>
      <c r="AI69" s="1">
        <v>12.990399999999999</v>
      </c>
      <c r="AJ69" s="1">
        <v>13.3424</v>
      </c>
      <c r="AK69" s="1"/>
      <c r="AL69" s="1">
        <f t="shared" si="12"/>
        <v>105</v>
      </c>
      <c r="AM69" s="1">
        <f t="shared" si="13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118</v>
      </c>
      <c r="B70" s="1" t="s">
        <v>38</v>
      </c>
      <c r="C70" s="1">
        <v>723.54100000000005</v>
      </c>
      <c r="D70" s="1">
        <v>504.68599999999998</v>
      </c>
      <c r="E70" s="1">
        <v>428.78100000000001</v>
      </c>
      <c r="F70" s="1">
        <v>760.68600000000004</v>
      </c>
      <c r="G70" s="7">
        <v>1</v>
      </c>
      <c r="H70" s="1">
        <v>40</v>
      </c>
      <c r="I70" s="1" t="s">
        <v>39</v>
      </c>
      <c r="J70" s="1"/>
      <c r="K70" s="1">
        <v>437.59800000000001</v>
      </c>
      <c r="L70" s="1">
        <f t="shared" ref="L70:L101" si="27">E70-K70</f>
        <v>-8.8170000000000073</v>
      </c>
      <c r="M70" s="1">
        <f t="shared" si="5"/>
        <v>407.08199999999999</v>
      </c>
      <c r="N70" s="1">
        <v>21.699000000000002</v>
      </c>
      <c r="O70" s="1">
        <v>233.04114960000001</v>
      </c>
      <c r="P70" s="1">
        <v>0</v>
      </c>
      <c r="Q70" s="1"/>
      <c r="R70" s="1">
        <v>0</v>
      </c>
      <c r="S70" s="1">
        <f t="shared" ref="S70:S101" si="28">M70/5</f>
        <v>81.416399999999996</v>
      </c>
      <c r="T70" s="5"/>
      <c r="U70" s="5">
        <f t="shared" si="14"/>
        <v>0</v>
      </c>
      <c r="V70" s="5">
        <f t="shared" si="8"/>
        <v>0</v>
      </c>
      <c r="W70" s="5"/>
      <c r="X70" s="22"/>
      <c r="Y70" s="1">
        <f t="shared" si="10"/>
        <v>12.205491149203356</v>
      </c>
      <c r="Z70" s="1">
        <f t="shared" si="11"/>
        <v>12.205491149203356</v>
      </c>
      <c r="AA70" s="1">
        <v>61.898000000000003</v>
      </c>
      <c r="AB70" s="1">
        <v>89.253599999999992</v>
      </c>
      <c r="AC70" s="1">
        <v>110.14279999999999</v>
      </c>
      <c r="AD70" s="1">
        <v>106.628</v>
      </c>
      <c r="AE70" s="1">
        <v>119.44499999999999</v>
      </c>
      <c r="AF70" s="1">
        <v>150.35599999999999</v>
      </c>
      <c r="AG70" s="1">
        <v>156.10319999999999</v>
      </c>
      <c r="AH70" s="1">
        <v>121.55540000000001</v>
      </c>
      <c r="AI70" s="1">
        <v>176.9426</v>
      </c>
      <c r="AJ70" s="1">
        <v>160.39500000000001</v>
      </c>
      <c r="AK70" s="1"/>
      <c r="AL70" s="1">
        <f t="shared" si="12"/>
        <v>0</v>
      </c>
      <c r="AM70" s="1">
        <f t="shared" si="13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119</v>
      </c>
      <c r="B71" s="1" t="s">
        <v>38</v>
      </c>
      <c r="C71" s="1">
        <v>11.391999999999999</v>
      </c>
      <c r="D71" s="1">
        <v>174.459</v>
      </c>
      <c r="E71" s="1">
        <v>65.971999999999994</v>
      </c>
      <c r="F71" s="1">
        <v>114.434</v>
      </c>
      <c r="G71" s="7">
        <v>1</v>
      </c>
      <c r="H71" s="1">
        <v>40</v>
      </c>
      <c r="I71" s="1" t="s">
        <v>39</v>
      </c>
      <c r="J71" s="1"/>
      <c r="K71" s="1">
        <v>73.8</v>
      </c>
      <c r="L71" s="1">
        <f t="shared" si="27"/>
        <v>-7.828000000000003</v>
      </c>
      <c r="M71" s="1">
        <f t="shared" ref="M71:M134" si="29">E71-N71</f>
        <v>65.971999999999994</v>
      </c>
      <c r="N71" s="1"/>
      <c r="O71" s="1">
        <v>44.020199999999981</v>
      </c>
      <c r="P71" s="1">
        <v>0</v>
      </c>
      <c r="Q71" s="1"/>
      <c r="R71" s="1">
        <v>0</v>
      </c>
      <c r="S71" s="1">
        <f t="shared" si="28"/>
        <v>13.194399999999998</v>
      </c>
      <c r="T71" s="5"/>
      <c r="U71" s="5">
        <f t="shared" ref="U71:U134" si="30">T71</f>
        <v>0</v>
      </c>
      <c r="V71" s="5">
        <f t="shared" ref="V71:V134" si="31">U71-W71</f>
        <v>0</v>
      </c>
      <c r="W71" s="5"/>
      <c r="X71" s="22"/>
      <c r="Y71" s="1">
        <f t="shared" ref="Y71:Y134" si="32">(F71+O71+P71+Q71+R71+T71)/S71</f>
        <v>12.009200873097678</v>
      </c>
      <c r="Z71" s="1">
        <f t="shared" ref="Z71:Z134" si="33">(F71+O71+P71+Q71+R71)/S71</f>
        <v>12.009200873097678</v>
      </c>
      <c r="AA71" s="1">
        <v>3.5874000000000001</v>
      </c>
      <c r="AB71" s="1">
        <v>14.342000000000001</v>
      </c>
      <c r="AC71" s="1">
        <v>18.890999999999998</v>
      </c>
      <c r="AD71" s="1">
        <v>10.531000000000001</v>
      </c>
      <c r="AE71" s="1">
        <v>10.1662</v>
      </c>
      <c r="AF71" s="1">
        <v>7.0498000000000003</v>
      </c>
      <c r="AG71" s="1">
        <v>8.1069999999999993</v>
      </c>
      <c r="AH71" s="1">
        <v>10.646599999999999</v>
      </c>
      <c r="AI71" s="1">
        <v>11.2418</v>
      </c>
      <c r="AJ71" s="1">
        <v>12.716799999999999</v>
      </c>
      <c r="AK71" s="1"/>
      <c r="AL71" s="1">
        <f t="shared" ref="AL71:AM134" si="34">ROUND(G71*V71,0)</f>
        <v>0</v>
      </c>
      <c r="AM71" s="1">
        <f t="shared" ref="AM71:AM134" si="35">ROUND(G71*W71,0)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0" t="s">
        <v>120</v>
      </c>
      <c r="B72" s="10" t="s">
        <v>43</v>
      </c>
      <c r="C72" s="10"/>
      <c r="D72" s="10"/>
      <c r="E72" s="10"/>
      <c r="F72" s="10"/>
      <c r="G72" s="11">
        <v>0</v>
      </c>
      <c r="H72" s="10"/>
      <c r="I72" s="10" t="s">
        <v>39</v>
      </c>
      <c r="J72" s="10"/>
      <c r="K72" s="10"/>
      <c r="L72" s="10">
        <f t="shared" si="27"/>
        <v>0</v>
      </c>
      <c r="M72" s="10">
        <f t="shared" si="29"/>
        <v>0</v>
      </c>
      <c r="N72" s="10"/>
      <c r="O72" s="10">
        <v>0</v>
      </c>
      <c r="P72" s="10"/>
      <c r="Q72" s="10"/>
      <c r="R72" s="10">
        <v>0</v>
      </c>
      <c r="S72" s="10">
        <f t="shared" si="28"/>
        <v>0</v>
      </c>
      <c r="T72" s="12"/>
      <c r="U72" s="5">
        <f t="shared" si="30"/>
        <v>0</v>
      </c>
      <c r="V72" s="5">
        <f t="shared" si="31"/>
        <v>0</v>
      </c>
      <c r="W72" s="5"/>
      <c r="X72" s="22"/>
      <c r="Y72" s="10" t="e">
        <f t="shared" si="32"/>
        <v>#DIV/0!</v>
      </c>
      <c r="Z72" s="10" t="e">
        <f t="shared" si="33"/>
        <v>#DIV/0!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 t="s">
        <v>63</v>
      </c>
      <c r="AL72" s="1">
        <f t="shared" si="34"/>
        <v>0</v>
      </c>
      <c r="AM72" s="1">
        <f t="shared" si="35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121</v>
      </c>
      <c r="B73" s="1" t="s">
        <v>38</v>
      </c>
      <c r="C73" s="1">
        <v>218.84700000000001</v>
      </c>
      <c r="D73" s="1">
        <v>921.79700000000003</v>
      </c>
      <c r="E73" s="1">
        <v>371.351</v>
      </c>
      <c r="F73" s="1">
        <v>709.1</v>
      </c>
      <c r="G73" s="7">
        <v>1</v>
      </c>
      <c r="H73" s="1">
        <v>30</v>
      </c>
      <c r="I73" s="1" t="s">
        <v>39</v>
      </c>
      <c r="J73" s="1"/>
      <c r="K73" s="1">
        <v>461.15899999999999</v>
      </c>
      <c r="L73" s="1">
        <f t="shared" si="27"/>
        <v>-89.807999999999993</v>
      </c>
      <c r="M73" s="1">
        <f t="shared" si="29"/>
        <v>371.351</v>
      </c>
      <c r="N73" s="1"/>
      <c r="O73" s="1">
        <v>0</v>
      </c>
      <c r="P73" s="1"/>
      <c r="Q73" s="1"/>
      <c r="R73" s="1">
        <v>0</v>
      </c>
      <c r="S73" s="1">
        <f t="shared" si="28"/>
        <v>74.270200000000003</v>
      </c>
      <c r="T73" s="5">
        <f t="shared" ref="T73:T75" si="36">12*S73-R73-Q73-P73-O73-F73</f>
        <v>182.14240000000007</v>
      </c>
      <c r="U73" s="5">
        <f t="shared" si="30"/>
        <v>182.14240000000007</v>
      </c>
      <c r="V73" s="5">
        <f t="shared" si="31"/>
        <v>182.14240000000007</v>
      </c>
      <c r="W73" s="5"/>
      <c r="X73" s="22"/>
      <c r="Y73" s="1">
        <f t="shared" si="32"/>
        <v>12</v>
      </c>
      <c r="Z73" s="1">
        <f t="shared" si="33"/>
        <v>9.5475708965372377</v>
      </c>
      <c r="AA73" s="1">
        <v>73.813599999999994</v>
      </c>
      <c r="AB73" s="1">
        <v>59.351199999999992</v>
      </c>
      <c r="AC73" s="1">
        <v>99.834000000000003</v>
      </c>
      <c r="AD73" s="1">
        <v>113.3442</v>
      </c>
      <c r="AE73" s="1">
        <v>77.829800000000006</v>
      </c>
      <c r="AF73" s="1">
        <v>48.958399999999997</v>
      </c>
      <c r="AG73" s="1">
        <v>62.925199999999997</v>
      </c>
      <c r="AH73" s="1">
        <v>91.303799999999995</v>
      </c>
      <c r="AI73" s="1">
        <v>116.23739999999999</v>
      </c>
      <c r="AJ73" s="1">
        <v>91.614599999999996</v>
      </c>
      <c r="AK73" s="1"/>
      <c r="AL73" s="1">
        <f t="shared" si="34"/>
        <v>182</v>
      </c>
      <c r="AM73" s="1">
        <f t="shared" si="35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122</v>
      </c>
      <c r="B74" s="1" t="s">
        <v>43</v>
      </c>
      <c r="C74" s="1">
        <v>548</v>
      </c>
      <c r="D74" s="1">
        <v>1271</v>
      </c>
      <c r="E74" s="1">
        <v>508</v>
      </c>
      <c r="F74" s="1">
        <v>1161</v>
      </c>
      <c r="G74" s="7">
        <v>0.6</v>
      </c>
      <c r="H74" s="1">
        <v>60</v>
      </c>
      <c r="I74" s="1" t="s">
        <v>39</v>
      </c>
      <c r="J74" s="1"/>
      <c r="K74" s="1">
        <v>746</v>
      </c>
      <c r="L74" s="1">
        <f t="shared" si="27"/>
        <v>-238</v>
      </c>
      <c r="M74" s="1">
        <f t="shared" si="29"/>
        <v>508</v>
      </c>
      <c r="N74" s="1"/>
      <c r="O74" s="1">
        <v>0</v>
      </c>
      <c r="P74" s="1"/>
      <c r="Q74" s="1"/>
      <c r="R74" s="1">
        <v>0</v>
      </c>
      <c r="S74" s="1">
        <f t="shared" si="28"/>
        <v>101.6</v>
      </c>
      <c r="T74" s="5">
        <f t="shared" si="36"/>
        <v>58.199999999999818</v>
      </c>
      <c r="U74" s="5">
        <f t="shared" si="30"/>
        <v>58.199999999999818</v>
      </c>
      <c r="V74" s="5">
        <f t="shared" si="31"/>
        <v>58.199999999999818</v>
      </c>
      <c r="W74" s="5"/>
      <c r="X74" s="22"/>
      <c r="Y74" s="1">
        <f t="shared" si="32"/>
        <v>11.999999999999998</v>
      </c>
      <c r="Z74" s="1">
        <f t="shared" si="33"/>
        <v>11.427165354330709</v>
      </c>
      <c r="AA74" s="1">
        <v>91.8</v>
      </c>
      <c r="AB74" s="1">
        <v>71.400000000000006</v>
      </c>
      <c r="AC74" s="1">
        <v>79.400000000000006</v>
      </c>
      <c r="AD74" s="1">
        <v>144.80000000000001</v>
      </c>
      <c r="AE74" s="1">
        <v>132.19999999999999</v>
      </c>
      <c r="AF74" s="1">
        <v>65.599999999999994</v>
      </c>
      <c r="AG74" s="1">
        <v>71</v>
      </c>
      <c r="AH74" s="1">
        <v>74</v>
      </c>
      <c r="AI74" s="1">
        <v>122</v>
      </c>
      <c r="AJ74" s="1">
        <v>127.6</v>
      </c>
      <c r="AK74" s="1"/>
      <c r="AL74" s="1">
        <f t="shared" si="34"/>
        <v>35</v>
      </c>
      <c r="AM74" s="1">
        <f t="shared" si="35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123</v>
      </c>
      <c r="B75" s="1" t="s">
        <v>43</v>
      </c>
      <c r="C75" s="1">
        <v>478</v>
      </c>
      <c r="D75" s="1">
        <v>1148</v>
      </c>
      <c r="E75" s="1">
        <v>630</v>
      </c>
      <c r="F75" s="1">
        <v>843</v>
      </c>
      <c r="G75" s="7">
        <v>0.6</v>
      </c>
      <c r="H75" s="1">
        <v>60</v>
      </c>
      <c r="I75" s="1" t="s">
        <v>39</v>
      </c>
      <c r="J75" s="1"/>
      <c r="K75" s="1">
        <v>813</v>
      </c>
      <c r="L75" s="1">
        <f t="shared" si="27"/>
        <v>-183</v>
      </c>
      <c r="M75" s="1">
        <f t="shared" si="29"/>
        <v>630</v>
      </c>
      <c r="N75" s="1"/>
      <c r="O75" s="1">
        <v>0</v>
      </c>
      <c r="P75" s="1"/>
      <c r="Q75" s="1"/>
      <c r="R75" s="1">
        <v>0</v>
      </c>
      <c r="S75" s="1">
        <f t="shared" si="28"/>
        <v>126</v>
      </c>
      <c r="T75" s="5">
        <f t="shared" si="36"/>
        <v>669</v>
      </c>
      <c r="U75" s="5">
        <f t="shared" si="30"/>
        <v>669</v>
      </c>
      <c r="V75" s="5">
        <f t="shared" si="31"/>
        <v>321.12</v>
      </c>
      <c r="W75" s="5">
        <f>U75*$W$1</f>
        <v>347.88</v>
      </c>
      <c r="X75" s="22"/>
      <c r="Y75" s="1">
        <f t="shared" si="32"/>
        <v>12</v>
      </c>
      <c r="Z75" s="1">
        <f t="shared" si="33"/>
        <v>6.6904761904761907</v>
      </c>
      <c r="AA75" s="1">
        <v>88.6</v>
      </c>
      <c r="AB75" s="1">
        <v>74.400000000000006</v>
      </c>
      <c r="AC75" s="1">
        <v>96.8</v>
      </c>
      <c r="AD75" s="1">
        <v>125.2</v>
      </c>
      <c r="AE75" s="1">
        <v>118.6</v>
      </c>
      <c r="AF75" s="1">
        <v>74.400000000000006</v>
      </c>
      <c r="AG75" s="1">
        <v>64.8</v>
      </c>
      <c r="AH75" s="1">
        <v>68.599999999999994</v>
      </c>
      <c r="AI75" s="1">
        <v>104.6</v>
      </c>
      <c r="AJ75" s="1">
        <v>112.2</v>
      </c>
      <c r="AK75" s="1"/>
      <c r="AL75" s="1">
        <f t="shared" si="34"/>
        <v>193</v>
      </c>
      <c r="AM75" s="1">
        <f t="shared" si="35"/>
        <v>209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s="21" customFormat="1" x14ac:dyDescent="0.25">
      <c r="A76" s="14" t="s">
        <v>124</v>
      </c>
      <c r="B76" s="14" t="s">
        <v>43</v>
      </c>
      <c r="C76" s="14"/>
      <c r="D76" s="14"/>
      <c r="E76" s="14"/>
      <c r="F76" s="14"/>
      <c r="G76" s="19">
        <v>0.4</v>
      </c>
      <c r="H76" s="14"/>
      <c r="I76" s="14" t="s">
        <v>39</v>
      </c>
      <c r="J76" s="14"/>
      <c r="K76" s="14"/>
      <c r="L76" s="14">
        <f t="shared" si="27"/>
        <v>0</v>
      </c>
      <c r="M76" s="14">
        <f t="shared" si="29"/>
        <v>0</v>
      </c>
      <c r="N76" s="14"/>
      <c r="O76" s="14">
        <v>0</v>
      </c>
      <c r="P76" s="14"/>
      <c r="Q76" s="14"/>
      <c r="R76" s="14">
        <v>0</v>
      </c>
      <c r="S76" s="14">
        <f t="shared" si="28"/>
        <v>0</v>
      </c>
      <c r="T76" s="20"/>
      <c r="U76" s="20">
        <v>40</v>
      </c>
      <c r="V76" s="5">
        <f t="shared" si="31"/>
        <v>40</v>
      </c>
      <c r="W76" s="20"/>
      <c r="X76" s="23">
        <v>40</v>
      </c>
      <c r="Y76" s="14" t="e">
        <f t="shared" si="32"/>
        <v>#DIV/0!</v>
      </c>
      <c r="Z76" s="14" t="e">
        <f t="shared" si="33"/>
        <v>#DIV/0!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 t="s">
        <v>190</v>
      </c>
      <c r="AL76" s="1">
        <f t="shared" si="34"/>
        <v>16</v>
      </c>
      <c r="AM76" s="1">
        <f t="shared" si="35"/>
        <v>0</v>
      </c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</row>
    <row r="77" spans="1:52" x14ac:dyDescent="0.25">
      <c r="A77" s="10" t="s">
        <v>125</v>
      </c>
      <c r="B77" s="10" t="s">
        <v>43</v>
      </c>
      <c r="C77" s="10">
        <v>2</v>
      </c>
      <c r="D77" s="10"/>
      <c r="E77" s="10">
        <v>1</v>
      </c>
      <c r="F77" s="10">
        <v>1</v>
      </c>
      <c r="G77" s="11">
        <v>0</v>
      </c>
      <c r="H77" s="10"/>
      <c r="I77" s="10" t="s">
        <v>39</v>
      </c>
      <c r="J77" s="10"/>
      <c r="K77" s="10">
        <v>3</v>
      </c>
      <c r="L77" s="10">
        <f t="shared" si="27"/>
        <v>-2</v>
      </c>
      <c r="M77" s="10">
        <f t="shared" si="29"/>
        <v>1</v>
      </c>
      <c r="N77" s="10"/>
      <c r="O77" s="10">
        <v>0</v>
      </c>
      <c r="P77" s="10"/>
      <c r="Q77" s="10"/>
      <c r="R77" s="10">
        <v>0</v>
      </c>
      <c r="S77" s="10">
        <f t="shared" si="28"/>
        <v>0.2</v>
      </c>
      <c r="T77" s="12"/>
      <c r="U77" s="5">
        <f t="shared" si="30"/>
        <v>0</v>
      </c>
      <c r="V77" s="5">
        <f t="shared" si="31"/>
        <v>0</v>
      </c>
      <c r="W77" s="5"/>
      <c r="X77" s="22"/>
      <c r="Y77" s="10">
        <f t="shared" si="32"/>
        <v>5</v>
      </c>
      <c r="Z77" s="10">
        <f t="shared" si="33"/>
        <v>5</v>
      </c>
      <c r="AA77" s="10">
        <v>0.2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 t="s">
        <v>63</v>
      </c>
      <c r="AL77" s="1">
        <f t="shared" si="34"/>
        <v>0</v>
      </c>
      <c r="AM77" s="1">
        <f t="shared" si="35"/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126</v>
      </c>
      <c r="B78" s="1" t="s">
        <v>43</v>
      </c>
      <c r="C78" s="1">
        <v>55</v>
      </c>
      <c r="D78" s="1">
        <v>7</v>
      </c>
      <c r="E78" s="1">
        <v>44</v>
      </c>
      <c r="F78" s="1">
        <v>16</v>
      </c>
      <c r="G78" s="7">
        <v>0.35</v>
      </c>
      <c r="H78" s="1">
        <v>90</v>
      </c>
      <c r="I78" s="1" t="s">
        <v>39</v>
      </c>
      <c r="J78" s="1"/>
      <c r="K78" s="1">
        <v>47</v>
      </c>
      <c r="L78" s="1">
        <f t="shared" si="27"/>
        <v>-3</v>
      </c>
      <c r="M78" s="1">
        <f t="shared" si="29"/>
        <v>44</v>
      </c>
      <c r="N78" s="1"/>
      <c r="O78" s="1">
        <v>15.400000000000009</v>
      </c>
      <c r="P78" s="1">
        <v>0</v>
      </c>
      <c r="Q78" s="1"/>
      <c r="R78" s="1">
        <v>30.8</v>
      </c>
      <c r="S78" s="1">
        <f t="shared" si="28"/>
        <v>8.8000000000000007</v>
      </c>
      <c r="T78" s="5">
        <f t="shared" ref="T78:T82" si="37">12*S78-R78-Q78-P78-O78-F78</f>
        <v>43.400000000000006</v>
      </c>
      <c r="U78" s="5">
        <f t="shared" si="30"/>
        <v>43.400000000000006</v>
      </c>
      <c r="V78" s="5">
        <f t="shared" si="31"/>
        <v>43.400000000000006</v>
      </c>
      <c r="W78" s="5"/>
      <c r="X78" s="22"/>
      <c r="Y78" s="1">
        <f t="shared" si="32"/>
        <v>12.000000000000002</v>
      </c>
      <c r="Z78" s="1">
        <f t="shared" si="33"/>
        <v>7.0681818181818183</v>
      </c>
      <c r="AA78" s="1">
        <v>7.2</v>
      </c>
      <c r="AB78" s="1">
        <v>9.4</v>
      </c>
      <c r="AC78" s="1">
        <v>10.4</v>
      </c>
      <c r="AD78" s="1">
        <v>6.2</v>
      </c>
      <c r="AE78" s="1">
        <v>9.4</v>
      </c>
      <c r="AF78" s="1">
        <v>9.4</v>
      </c>
      <c r="AG78" s="1">
        <v>5.2</v>
      </c>
      <c r="AH78" s="1">
        <v>8.1999999999999993</v>
      </c>
      <c r="AI78" s="1">
        <v>11.2</v>
      </c>
      <c r="AJ78" s="1">
        <v>17.399999999999999</v>
      </c>
      <c r="AK78" s="1"/>
      <c r="AL78" s="1">
        <f t="shared" si="34"/>
        <v>15</v>
      </c>
      <c r="AM78" s="1">
        <f t="shared" si="35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127</v>
      </c>
      <c r="B79" s="1" t="s">
        <v>43</v>
      </c>
      <c r="C79" s="1">
        <v>147</v>
      </c>
      <c r="D79" s="1">
        <v>92</v>
      </c>
      <c r="E79" s="1">
        <v>137</v>
      </c>
      <c r="F79" s="1">
        <v>89</v>
      </c>
      <c r="G79" s="7">
        <v>0.37</v>
      </c>
      <c r="H79" s="1">
        <v>50</v>
      </c>
      <c r="I79" s="1" t="s">
        <v>39</v>
      </c>
      <c r="J79" s="1"/>
      <c r="K79" s="1">
        <v>157</v>
      </c>
      <c r="L79" s="1">
        <f t="shared" si="27"/>
        <v>-20</v>
      </c>
      <c r="M79" s="1">
        <f t="shared" si="29"/>
        <v>137</v>
      </c>
      <c r="N79" s="1"/>
      <c r="O79" s="1">
        <v>145.16000000000011</v>
      </c>
      <c r="P79" s="1">
        <v>0</v>
      </c>
      <c r="Q79" s="1"/>
      <c r="R79" s="1">
        <v>113.2399999999999</v>
      </c>
      <c r="S79" s="1">
        <f t="shared" si="28"/>
        <v>27.4</v>
      </c>
      <c r="T79" s="5"/>
      <c r="U79" s="5">
        <f t="shared" si="30"/>
        <v>0</v>
      </c>
      <c r="V79" s="5">
        <f t="shared" si="31"/>
        <v>0</v>
      </c>
      <c r="W79" s="5"/>
      <c r="X79" s="22"/>
      <c r="Y79" s="1">
        <f t="shared" si="32"/>
        <v>12.678832116788321</v>
      </c>
      <c r="Z79" s="1">
        <f t="shared" si="33"/>
        <v>12.678832116788321</v>
      </c>
      <c r="AA79" s="1">
        <v>35.4</v>
      </c>
      <c r="AB79" s="1">
        <v>29.4</v>
      </c>
      <c r="AC79" s="1">
        <v>16.2</v>
      </c>
      <c r="AD79" s="1">
        <v>28.8</v>
      </c>
      <c r="AE79" s="1">
        <v>28.8</v>
      </c>
      <c r="AF79" s="1">
        <v>18.2</v>
      </c>
      <c r="AG79" s="1">
        <v>30.6</v>
      </c>
      <c r="AH79" s="1">
        <v>29</v>
      </c>
      <c r="AI79" s="1">
        <v>32.200000000000003</v>
      </c>
      <c r="AJ79" s="1">
        <v>29.2</v>
      </c>
      <c r="AK79" s="1"/>
      <c r="AL79" s="1">
        <f t="shared" si="34"/>
        <v>0</v>
      </c>
      <c r="AM79" s="1">
        <f t="shared" si="35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128</v>
      </c>
      <c r="B80" s="1" t="s">
        <v>43</v>
      </c>
      <c r="C80" s="1">
        <v>81</v>
      </c>
      <c r="D80" s="1">
        <v>840</v>
      </c>
      <c r="E80" s="1">
        <v>171</v>
      </c>
      <c r="F80" s="1">
        <v>723</v>
      </c>
      <c r="G80" s="7">
        <v>0.6</v>
      </c>
      <c r="H80" s="1">
        <v>70</v>
      </c>
      <c r="I80" s="15" t="s">
        <v>46</v>
      </c>
      <c r="J80" s="1"/>
      <c r="K80" s="1">
        <v>228</v>
      </c>
      <c r="L80" s="1">
        <f t="shared" si="27"/>
        <v>-57</v>
      </c>
      <c r="M80" s="1">
        <f t="shared" si="29"/>
        <v>171</v>
      </c>
      <c r="N80" s="1"/>
      <c r="O80" s="1">
        <v>0</v>
      </c>
      <c r="P80" s="1"/>
      <c r="Q80" s="1"/>
      <c r="R80" s="1">
        <v>0</v>
      </c>
      <c r="S80" s="1">
        <f t="shared" si="28"/>
        <v>34.200000000000003</v>
      </c>
      <c r="T80" s="5"/>
      <c r="U80" s="5">
        <f t="shared" si="30"/>
        <v>0</v>
      </c>
      <c r="V80" s="5">
        <f t="shared" si="31"/>
        <v>0</v>
      </c>
      <c r="W80" s="5"/>
      <c r="X80" s="22"/>
      <c r="Y80" s="1">
        <f t="shared" si="32"/>
        <v>21.140350877192979</v>
      </c>
      <c r="Z80" s="1">
        <f t="shared" si="33"/>
        <v>21.140350877192979</v>
      </c>
      <c r="AA80" s="1">
        <v>32.6</v>
      </c>
      <c r="AB80" s="1">
        <v>19.600000000000001</v>
      </c>
      <c r="AC80" s="1">
        <v>83.6</v>
      </c>
      <c r="AD80" s="1">
        <v>196.6</v>
      </c>
      <c r="AE80" s="1">
        <v>134</v>
      </c>
      <c r="AF80" s="1">
        <v>33.200000000000003</v>
      </c>
      <c r="AG80" s="1">
        <v>267.8</v>
      </c>
      <c r="AH80" s="1">
        <v>269</v>
      </c>
      <c r="AI80" s="1">
        <v>267.2</v>
      </c>
      <c r="AJ80" s="1">
        <v>46.4</v>
      </c>
      <c r="AK80" s="1" t="s">
        <v>129</v>
      </c>
      <c r="AL80" s="1">
        <f t="shared" si="34"/>
        <v>0</v>
      </c>
      <c r="AM80" s="1">
        <f t="shared" si="35"/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130</v>
      </c>
      <c r="B81" s="1" t="s">
        <v>43</v>
      </c>
      <c r="C81" s="1">
        <v>75</v>
      </c>
      <c r="D81" s="1">
        <v>262</v>
      </c>
      <c r="E81" s="1">
        <v>210</v>
      </c>
      <c r="F81" s="1">
        <v>90</v>
      </c>
      <c r="G81" s="7">
        <v>0.33</v>
      </c>
      <c r="H81" s="1">
        <v>40</v>
      </c>
      <c r="I81" s="1" t="s">
        <v>39</v>
      </c>
      <c r="J81" s="1"/>
      <c r="K81" s="1">
        <v>349</v>
      </c>
      <c r="L81" s="1">
        <f t="shared" si="27"/>
        <v>-139</v>
      </c>
      <c r="M81" s="1">
        <f t="shared" si="29"/>
        <v>210</v>
      </c>
      <c r="N81" s="1"/>
      <c r="O81" s="1">
        <v>136.93999999999991</v>
      </c>
      <c r="P81" s="1">
        <v>0</v>
      </c>
      <c r="Q81" s="1"/>
      <c r="R81" s="1">
        <v>0</v>
      </c>
      <c r="S81" s="1">
        <f t="shared" si="28"/>
        <v>42</v>
      </c>
      <c r="T81" s="5">
        <f t="shared" si="37"/>
        <v>277.06000000000006</v>
      </c>
      <c r="U81" s="5">
        <f t="shared" si="30"/>
        <v>277.06000000000006</v>
      </c>
      <c r="V81" s="5">
        <f t="shared" si="31"/>
        <v>132.98880000000003</v>
      </c>
      <c r="W81" s="5">
        <f>U81*$W$1</f>
        <v>144.07120000000003</v>
      </c>
      <c r="X81" s="22"/>
      <c r="Y81" s="1">
        <f t="shared" si="32"/>
        <v>12</v>
      </c>
      <c r="Z81" s="1">
        <f t="shared" si="33"/>
        <v>5.4033333333333315</v>
      </c>
      <c r="AA81" s="1">
        <v>24.8</v>
      </c>
      <c r="AB81" s="1">
        <v>34.4</v>
      </c>
      <c r="AC81" s="1">
        <v>51</v>
      </c>
      <c r="AD81" s="1">
        <v>66.400000000000006</v>
      </c>
      <c r="AE81" s="1">
        <v>43.8</v>
      </c>
      <c r="AF81" s="1">
        <v>14</v>
      </c>
      <c r="AG81" s="1">
        <v>35.4</v>
      </c>
      <c r="AH81" s="1">
        <v>34.799999999999997</v>
      </c>
      <c r="AI81" s="1">
        <v>35.6</v>
      </c>
      <c r="AJ81" s="1">
        <v>19.8</v>
      </c>
      <c r="AK81" s="1"/>
      <c r="AL81" s="1">
        <f t="shared" si="34"/>
        <v>44</v>
      </c>
      <c r="AM81" s="1">
        <f t="shared" si="35"/>
        <v>48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131</v>
      </c>
      <c r="B82" s="1" t="s">
        <v>43</v>
      </c>
      <c r="C82" s="1">
        <v>38</v>
      </c>
      <c r="D82" s="1">
        <v>79</v>
      </c>
      <c r="E82" s="1">
        <v>64</v>
      </c>
      <c r="F82" s="1">
        <v>50</v>
      </c>
      <c r="G82" s="7">
        <v>0.4</v>
      </c>
      <c r="H82" s="1">
        <v>55</v>
      </c>
      <c r="I82" s="1" t="s">
        <v>39</v>
      </c>
      <c r="J82" s="1"/>
      <c r="K82" s="1">
        <v>69</v>
      </c>
      <c r="L82" s="1">
        <f t="shared" si="27"/>
        <v>-5</v>
      </c>
      <c r="M82" s="1">
        <f t="shared" si="29"/>
        <v>64</v>
      </c>
      <c r="N82" s="1"/>
      <c r="O82" s="1">
        <v>8</v>
      </c>
      <c r="P82" s="1">
        <v>0</v>
      </c>
      <c r="Q82" s="1"/>
      <c r="R82" s="1">
        <v>15.599999999999991</v>
      </c>
      <c r="S82" s="1">
        <f t="shared" si="28"/>
        <v>12.8</v>
      </c>
      <c r="T82" s="5">
        <f t="shared" si="37"/>
        <v>80.000000000000028</v>
      </c>
      <c r="U82" s="5">
        <f t="shared" si="30"/>
        <v>80.000000000000028</v>
      </c>
      <c r="V82" s="5">
        <f t="shared" si="31"/>
        <v>80.000000000000028</v>
      </c>
      <c r="W82" s="5"/>
      <c r="X82" s="22"/>
      <c r="Y82" s="1">
        <f t="shared" si="32"/>
        <v>12.000000000000002</v>
      </c>
      <c r="Z82" s="1">
        <f t="shared" si="33"/>
        <v>5.7499999999999991</v>
      </c>
      <c r="AA82" s="1">
        <v>9.6</v>
      </c>
      <c r="AB82" s="1">
        <v>8.6</v>
      </c>
      <c r="AC82" s="1">
        <v>10.8</v>
      </c>
      <c r="AD82" s="1">
        <v>12.2</v>
      </c>
      <c r="AE82" s="1">
        <v>8.4</v>
      </c>
      <c r="AF82" s="1">
        <v>8.4</v>
      </c>
      <c r="AG82" s="1">
        <v>12</v>
      </c>
      <c r="AH82" s="1">
        <v>8.4</v>
      </c>
      <c r="AI82" s="1">
        <v>7.2</v>
      </c>
      <c r="AJ82" s="1">
        <v>5.8</v>
      </c>
      <c r="AK82" s="1"/>
      <c r="AL82" s="1">
        <f t="shared" si="34"/>
        <v>32</v>
      </c>
      <c r="AM82" s="1">
        <f t="shared" si="35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132</v>
      </c>
      <c r="B83" s="1" t="s">
        <v>43</v>
      </c>
      <c r="C83" s="1">
        <v>232</v>
      </c>
      <c r="D83" s="1">
        <v>25</v>
      </c>
      <c r="E83" s="1">
        <v>250</v>
      </c>
      <c r="F83" s="1">
        <v>-8</v>
      </c>
      <c r="G83" s="7">
        <v>0.35</v>
      </c>
      <c r="H83" s="1">
        <v>40</v>
      </c>
      <c r="I83" s="18" t="s">
        <v>72</v>
      </c>
      <c r="J83" s="1"/>
      <c r="K83" s="1">
        <v>456</v>
      </c>
      <c r="L83" s="1">
        <f t="shared" si="27"/>
        <v>-206</v>
      </c>
      <c r="M83" s="1">
        <f t="shared" si="29"/>
        <v>250</v>
      </c>
      <c r="N83" s="1"/>
      <c r="O83" s="1">
        <v>0</v>
      </c>
      <c r="P83" s="1"/>
      <c r="Q83" s="1"/>
      <c r="R83" s="1">
        <v>223</v>
      </c>
      <c r="S83" s="1">
        <f t="shared" si="28"/>
        <v>50</v>
      </c>
      <c r="T83" s="5">
        <v>150</v>
      </c>
      <c r="U83" s="5">
        <f t="shared" si="30"/>
        <v>150</v>
      </c>
      <c r="V83" s="5">
        <v>150</v>
      </c>
      <c r="W83" s="5">
        <v>50</v>
      </c>
      <c r="X83" s="22"/>
      <c r="Y83" s="1">
        <f t="shared" si="32"/>
        <v>7.3</v>
      </c>
      <c r="Z83" s="1">
        <f t="shared" si="33"/>
        <v>4.3</v>
      </c>
      <c r="AA83" s="1">
        <v>40</v>
      </c>
      <c r="AB83" s="1">
        <v>12.4</v>
      </c>
      <c r="AC83" s="1">
        <v>-1</v>
      </c>
      <c r="AD83" s="1">
        <v>8.8000000000000007</v>
      </c>
      <c r="AE83" s="1">
        <v>26.2</v>
      </c>
      <c r="AF83" s="1">
        <v>35.799999999999997</v>
      </c>
      <c r="AG83" s="1">
        <v>40.6</v>
      </c>
      <c r="AH83" s="1">
        <v>41.6</v>
      </c>
      <c r="AI83" s="1">
        <v>46.2</v>
      </c>
      <c r="AJ83" s="1">
        <v>34.4</v>
      </c>
      <c r="AK83" s="1"/>
      <c r="AL83" s="1">
        <f t="shared" si="34"/>
        <v>53</v>
      </c>
      <c r="AM83" s="1">
        <f t="shared" si="35"/>
        <v>18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133</v>
      </c>
      <c r="B84" s="1" t="s">
        <v>43</v>
      </c>
      <c r="C84" s="1">
        <v>-3</v>
      </c>
      <c r="D84" s="1">
        <v>5</v>
      </c>
      <c r="E84" s="1"/>
      <c r="F84" s="1">
        <v>-1</v>
      </c>
      <c r="G84" s="7">
        <v>0.35</v>
      </c>
      <c r="H84" s="1">
        <v>45</v>
      </c>
      <c r="I84" s="16" t="s">
        <v>72</v>
      </c>
      <c r="J84" s="1"/>
      <c r="K84" s="1">
        <v>34</v>
      </c>
      <c r="L84" s="1">
        <f t="shared" si="27"/>
        <v>-34</v>
      </c>
      <c r="M84" s="1">
        <f t="shared" si="29"/>
        <v>0</v>
      </c>
      <c r="N84" s="1"/>
      <c r="O84" s="1">
        <v>388.65220799999997</v>
      </c>
      <c r="P84" s="1">
        <v>-390</v>
      </c>
      <c r="Q84" s="1"/>
      <c r="R84" s="1">
        <v>150</v>
      </c>
      <c r="S84" s="1">
        <f t="shared" si="28"/>
        <v>0</v>
      </c>
      <c r="T84" s="5">
        <v>150</v>
      </c>
      <c r="U84" s="5">
        <f t="shared" si="30"/>
        <v>150</v>
      </c>
      <c r="V84" s="5">
        <v>150</v>
      </c>
      <c r="W84" s="5">
        <v>50</v>
      </c>
      <c r="X84" s="22"/>
      <c r="Y84" s="1" t="e">
        <f t="shared" si="32"/>
        <v>#DIV/0!</v>
      </c>
      <c r="Z84" s="1" t="e">
        <f t="shared" si="33"/>
        <v>#DIV/0!</v>
      </c>
      <c r="AA84" s="1">
        <v>2.8</v>
      </c>
      <c r="AB84" s="1">
        <v>74.400000000000006</v>
      </c>
      <c r="AC84" s="1">
        <v>77.2</v>
      </c>
      <c r="AD84" s="1">
        <v>16.600000000000001</v>
      </c>
      <c r="AE84" s="1">
        <v>66.599999999999994</v>
      </c>
      <c r="AF84" s="1">
        <v>83</v>
      </c>
      <c r="AG84" s="1">
        <v>72.599999999999994</v>
      </c>
      <c r="AH84" s="1">
        <v>72.599999999999994</v>
      </c>
      <c r="AI84" s="1">
        <v>82</v>
      </c>
      <c r="AJ84" s="1">
        <v>85</v>
      </c>
      <c r="AK84" s="1"/>
      <c r="AL84" s="1">
        <f t="shared" si="34"/>
        <v>53</v>
      </c>
      <c r="AM84" s="1">
        <f t="shared" si="35"/>
        <v>18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0" t="s">
        <v>134</v>
      </c>
      <c r="B85" s="10" t="s">
        <v>38</v>
      </c>
      <c r="C85" s="10">
        <v>-5.4409999999999998</v>
      </c>
      <c r="D85" s="10"/>
      <c r="E85" s="10"/>
      <c r="F85" s="10">
        <v>-5.4409999999999998</v>
      </c>
      <c r="G85" s="11">
        <v>0</v>
      </c>
      <c r="H85" s="10"/>
      <c r="I85" s="10" t="s">
        <v>54</v>
      </c>
      <c r="J85" s="10" t="s">
        <v>41</v>
      </c>
      <c r="K85" s="10"/>
      <c r="L85" s="10">
        <f t="shared" si="27"/>
        <v>0</v>
      </c>
      <c r="M85" s="10">
        <f t="shared" si="29"/>
        <v>0</v>
      </c>
      <c r="N85" s="10"/>
      <c r="O85" s="10">
        <v>0</v>
      </c>
      <c r="P85" s="10"/>
      <c r="Q85" s="10"/>
      <c r="R85" s="10">
        <v>0</v>
      </c>
      <c r="S85" s="10">
        <f t="shared" si="28"/>
        <v>0</v>
      </c>
      <c r="T85" s="12"/>
      <c r="U85" s="5">
        <f t="shared" si="30"/>
        <v>0</v>
      </c>
      <c r="V85" s="5">
        <f t="shared" si="31"/>
        <v>0</v>
      </c>
      <c r="W85" s="5"/>
      <c r="X85" s="22"/>
      <c r="Y85" s="10" t="e">
        <f t="shared" si="32"/>
        <v>#DIV/0!</v>
      </c>
      <c r="Z85" s="10" t="e">
        <f t="shared" si="33"/>
        <v>#DIV/0!</v>
      </c>
      <c r="AA85" s="10">
        <v>1.0882000000000001</v>
      </c>
      <c r="AB85" s="10">
        <v>1.0882000000000001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/>
      <c r="AL85" s="1">
        <f t="shared" si="34"/>
        <v>0</v>
      </c>
      <c r="AM85" s="1">
        <f t="shared" si="35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135</v>
      </c>
      <c r="B86" s="1" t="s">
        <v>43</v>
      </c>
      <c r="C86" s="1">
        <v>26</v>
      </c>
      <c r="D86" s="1">
        <v>70</v>
      </c>
      <c r="E86" s="1">
        <v>43</v>
      </c>
      <c r="F86" s="1">
        <v>53</v>
      </c>
      <c r="G86" s="7">
        <v>0.4</v>
      </c>
      <c r="H86" s="1">
        <v>55</v>
      </c>
      <c r="I86" s="1" t="s">
        <v>39</v>
      </c>
      <c r="J86" s="1"/>
      <c r="K86" s="1">
        <v>43</v>
      </c>
      <c r="L86" s="1">
        <f t="shared" si="27"/>
        <v>0</v>
      </c>
      <c r="M86" s="1">
        <f t="shared" si="29"/>
        <v>43</v>
      </c>
      <c r="N86" s="1"/>
      <c r="O86" s="1">
        <v>0</v>
      </c>
      <c r="P86" s="1"/>
      <c r="Q86" s="1"/>
      <c r="R86" s="1">
        <v>39.599999999999987</v>
      </c>
      <c r="S86" s="1">
        <f t="shared" si="28"/>
        <v>8.6</v>
      </c>
      <c r="T86" s="5">
        <f t="shared" ref="T86" si="38">12*S86-R86-Q86-P86-O86-F86</f>
        <v>10.600000000000001</v>
      </c>
      <c r="U86" s="5">
        <f t="shared" si="30"/>
        <v>10.600000000000001</v>
      </c>
      <c r="V86" s="5">
        <f t="shared" si="31"/>
        <v>10.600000000000001</v>
      </c>
      <c r="W86" s="5"/>
      <c r="X86" s="22"/>
      <c r="Y86" s="1">
        <f t="shared" si="32"/>
        <v>12</v>
      </c>
      <c r="Z86" s="1">
        <f t="shared" si="33"/>
        <v>10.767441860465116</v>
      </c>
      <c r="AA86" s="1">
        <v>8.6</v>
      </c>
      <c r="AB86" s="1">
        <v>4.4000000000000004</v>
      </c>
      <c r="AC86" s="1">
        <v>7.6</v>
      </c>
      <c r="AD86" s="1">
        <v>4</v>
      </c>
      <c r="AE86" s="1">
        <v>4</v>
      </c>
      <c r="AF86" s="1">
        <v>0</v>
      </c>
      <c r="AG86" s="1">
        <v>0.2</v>
      </c>
      <c r="AH86" s="1">
        <v>0.2</v>
      </c>
      <c r="AI86" s="1">
        <v>4.5999999999999996</v>
      </c>
      <c r="AJ86" s="1">
        <v>5</v>
      </c>
      <c r="AK86" s="1"/>
      <c r="AL86" s="1">
        <f t="shared" si="34"/>
        <v>4</v>
      </c>
      <c r="AM86" s="1">
        <f t="shared" si="35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136</v>
      </c>
      <c r="B87" s="1" t="s">
        <v>38</v>
      </c>
      <c r="C87" s="1">
        <v>42.249000000000002</v>
      </c>
      <c r="D87" s="1">
        <v>11.552</v>
      </c>
      <c r="E87" s="1">
        <v>8.52</v>
      </c>
      <c r="F87" s="1">
        <v>33.728999999999999</v>
      </c>
      <c r="G87" s="7">
        <v>1</v>
      </c>
      <c r="H87" s="1">
        <v>55</v>
      </c>
      <c r="I87" s="1" t="s">
        <v>39</v>
      </c>
      <c r="J87" s="1"/>
      <c r="K87" s="1">
        <v>21</v>
      </c>
      <c r="L87" s="1">
        <f t="shared" si="27"/>
        <v>-12.48</v>
      </c>
      <c r="M87" s="1">
        <f t="shared" si="29"/>
        <v>8.52</v>
      </c>
      <c r="N87" s="1"/>
      <c r="O87" s="1">
        <v>0</v>
      </c>
      <c r="P87" s="1"/>
      <c r="Q87" s="1"/>
      <c r="R87" s="1">
        <v>0</v>
      </c>
      <c r="S87" s="1">
        <f t="shared" si="28"/>
        <v>1.704</v>
      </c>
      <c r="T87" s="5"/>
      <c r="U87" s="5">
        <f t="shared" si="30"/>
        <v>0</v>
      </c>
      <c r="V87" s="5">
        <f t="shared" si="31"/>
        <v>0</v>
      </c>
      <c r="W87" s="5"/>
      <c r="X87" s="22"/>
      <c r="Y87" s="1">
        <f t="shared" si="32"/>
        <v>19.794014084507044</v>
      </c>
      <c r="Z87" s="1">
        <f t="shared" si="33"/>
        <v>19.794014084507044</v>
      </c>
      <c r="AA87" s="1">
        <v>2.0099999999999998</v>
      </c>
      <c r="AB87" s="1">
        <v>1.7163999999999999</v>
      </c>
      <c r="AC87" s="1">
        <v>1.7183999999999999</v>
      </c>
      <c r="AD87" s="1">
        <v>0.57800000000000007</v>
      </c>
      <c r="AE87" s="1">
        <v>1.7447999999999999</v>
      </c>
      <c r="AF87" s="1">
        <v>1.7296</v>
      </c>
      <c r="AG87" s="1">
        <v>1.1372</v>
      </c>
      <c r="AH87" s="1">
        <v>1.4352</v>
      </c>
      <c r="AI87" s="1">
        <v>2.8454000000000002</v>
      </c>
      <c r="AJ87" s="1">
        <v>1.7416</v>
      </c>
      <c r="AK87" s="13" t="s">
        <v>59</v>
      </c>
      <c r="AL87" s="1">
        <f t="shared" si="34"/>
        <v>0</v>
      </c>
      <c r="AM87" s="1">
        <f t="shared" si="35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0" t="s">
        <v>137</v>
      </c>
      <c r="B88" s="10" t="s">
        <v>38</v>
      </c>
      <c r="C88" s="10"/>
      <c r="D88" s="10"/>
      <c r="E88" s="10"/>
      <c r="F88" s="10"/>
      <c r="G88" s="11">
        <v>0</v>
      </c>
      <c r="H88" s="10"/>
      <c r="I88" s="10" t="s">
        <v>39</v>
      </c>
      <c r="J88" s="10"/>
      <c r="K88" s="10"/>
      <c r="L88" s="10">
        <f t="shared" si="27"/>
        <v>0</v>
      </c>
      <c r="M88" s="10">
        <f t="shared" si="29"/>
        <v>0</v>
      </c>
      <c r="N88" s="10"/>
      <c r="O88" s="10">
        <v>0</v>
      </c>
      <c r="P88" s="10"/>
      <c r="Q88" s="10"/>
      <c r="R88" s="10">
        <v>0</v>
      </c>
      <c r="S88" s="10">
        <f t="shared" si="28"/>
        <v>0</v>
      </c>
      <c r="T88" s="12"/>
      <c r="U88" s="5">
        <f t="shared" si="30"/>
        <v>0</v>
      </c>
      <c r="V88" s="5">
        <f t="shared" si="31"/>
        <v>0</v>
      </c>
      <c r="W88" s="5"/>
      <c r="X88" s="22"/>
      <c r="Y88" s="10" t="e">
        <f t="shared" si="32"/>
        <v>#DIV/0!</v>
      </c>
      <c r="Z88" s="10" t="e">
        <f t="shared" si="33"/>
        <v>#DIV/0!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 t="s">
        <v>63</v>
      </c>
      <c r="AL88" s="1">
        <f t="shared" si="34"/>
        <v>0</v>
      </c>
      <c r="AM88" s="1">
        <f t="shared" si="35"/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138</v>
      </c>
      <c r="B89" s="1" t="s">
        <v>38</v>
      </c>
      <c r="C89" s="1">
        <v>2937.66</v>
      </c>
      <c r="D89" s="1">
        <v>5244.6220000000003</v>
      </c>
      <c r="E89" s="1">
        <v>3730.4349999999999</v>
      </c>
      <c r="F89" s="1">
        <v>3855.9259999999999</v>
      </c>
      <c r="G89" s="7">
        <v>1</v>
      </c>
      <c r="H89" s="1">
        <v>60</v>
      </c>
      <c r="I89" s="1" t="s">
        <v>39</v>
      </c>
      <c r="J89" s="1"/>
      <c r="K89" s="1">
        <v>3910.2710000000002</v>
      </c>
      <c r="L89" s="1">
        <f t="shared" si="27"/>
        <v>-179.83600000000024</v>
      </c>
      <c r="M89" s="1">
        <f t="shared" si="29"/>
        <v>3730.4349999999999</v>
      </c>
      <c r="N89" s="1"/>
      <c r="O89" s="1">
        <v>2597.89883482</v>
      </c>
      <c r="P89" s="1">
        <v>0</v>
      </c>
      <c r="Q89" s="1"/>
      <c r="R89" s="1">
        <v>0</v>
      </c>
      <c r="S89" s="1">
        <f t="shared" si="28"/>
        <v>746.08699999999999</v>
      </c>
      <c r="T89" s="5">
        <f t="shared" ref="T89:T93" si="39">12*S89-R89-Q89-P89-O89-F89</f>
        <v>2499.2191651799999</v>
      </c>
      <c r="U89" s="5">
        <f>T89+$U$1*S89</f>
        <v>2648.4365651799999</v>
      </c>
      <c r="V89" s="5">
        <f t="shared" si="31"/>
        <v>1271.2495512864</v>
      </c>
      <c r="W89" s="5">
        <f t="shared" ref="W89:W93" si="40">U89*$W$1</f>
        <v>1377.1870138935999</v>
      </c>
      <c r="X89" s="22"/>
      <c r="Y89" s="1">
        <f t="shared" si="32"/>
        <v>12</v>
      </c>
      <c r="Z89" s="1">
        <f t="shared" si="33"/>
        <v>8.6502309178688268</v>
      </c>
      <c r="AA89" s="1">
        <v>678.24040000000002</v>
      </c>
      <c r="AB89" s="1">
        <v>611.37299999999993</v>
      </c>
      <c r="AC89" s="1">
        <v>524.66000000000008</v>
      </c>
      <c r="AD89" s="1">
        <v>546.37159999999994</v>
      </c>
      <c r="AE89" s="1">
        <v>631.18540000000007</v>
      </c>
      <c r="AF89" s="1">
        <v>487.42919999999992</v>
      </c>
      <c r="AG89" s="1">
        <v>486.21499999999997</v>
      </c>
      <c r="AH89" s="1">
        <v>545.07420000000002</v>
      </c>
      <c r="AI89" s="1">
        <v>663.97019999999998</v>
      </c>
      <c r="AJ89" s="1">
        <v>653.57219999999995</v>
      </c>
      <c r="AK89" s="1"/>
      <c r="AL89" s="1">
        <f t="shared" si="34"/>
        <v>1271</v>
      </c>
      <c r="AM89" s="1">
        <f t="shared" si="35"/>
        <v>1377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139</v>
      </c>
      <c r="B90" s="1" t="s">
        <v>43</v>
      </c>
      <c r="C90" s="1">
        <v>267</v>
      </c>
      <c r="D90" s="1">
        <v>172</v>
      </c>
      <c r="E90" s="1">
        <v>274</v>
      </c>
      <c r="F90" s="1">
        <v>146</v>
      </c>
      <c r="G90" s="7">
        <v>0.3</v>
      </c>
      <c r="H90" s="1">
        <v>40</v>
      </c>
      <c r="I90" s="1" t="s">
        <v>39</v>
      </c>
      <c r="J90" s="1"/>
      <c r="K90" s="1">
        <v>300</v>
      </c>
      <c r="L90" s="1">
        <f t="shared" si="27"/>
        <v>-26</v>
      </c>
      <c r="M90" s="1">
        <f t="shared" si="29"/>
        <v>274</v>
      </c>
      <c r="N90" s="1"/>
      <c r="O90" s="1">
        <v>56.377999999999993</v>
      </c>
      <c r="P90" s="1">
        <v>0</v>
      </c>
      <c r="Q90" s="1"/>
      <c r="R90" s="1">
        <v>0</v>
      </c>
      <c r="S90" s="1">
        <f t="shared" si="28"/>
        <v>54.8</v>
      </c>
      <c r="T90" s="5">
        <f>11*S90-R90-Q90-P90-O90-F90</f>
        <v>400.42199999999991</v>
      </c>
      <c r="U90" s="5">
        <f t="shared" si="30"/>
        <v>400.42199999999991</v>
      </c>
      <c r="V90" s="5">
        <v>200</v>
      </c>
      <c r="W90" s="5">
        <f t="shared" si="40"/>
        <v>208.21943999999996</v>
      </c>
      <c r="X90" s="22"/>
      <c r="Y90" s="1">
        <f t="shared" si="32"/>
        <v>11</v>
      </c>
      <c r="Z90" s="1">
        <f t="shared" si="33"/>
        <v>3.6930291970802918</v>
      </c>
      <c r="AA90" s="1">
        <v>31.2</v>
      </c>
      <c r="AB90" s="1">
        <v>37.799999999999997</v>
      </c>
      <c r="AC90" s="1">
        <v>35.799999999999997</v>
      </c>
      <c r="AD90" s="1">
        <v>44</v>
      </c>
      <c r="AE90" s="1">
        <v>54.4</v>
      </c>
      <c r="AF90" s="1">
        <v>32.200000000000003</v>
      </c>
      <c r="AG90" s="1">
        <v>19.600000000000001</v>
      </c>
      <c r="AH90" s="1">
        <v>20.399999999999999</v>
      </c>
      <c r="AI90" s="1">
        <v>31.2</v>
      </c>
      <c r="AJ90" s="1">
        <v>47.6</v>
      </c>
      <c r="AK90" s="1"/>
      <c r="AL90" s="1">
        <f t="shared" si="34"/>
        <v>60</v>
      </c>
      <c r="AM90" s="1">
        <f t="shared" si="35"/>
        <v>62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140</v>
      </c>
      <c r="B91" s="1" t="s">
        <v>38</v>
      </c>
      <c r="C91" s="1">
        <v>1177.7149999999999</v>
      </c>
      <c r="D91" s="1">
        <v>1890.903</v>
      </c>
      <c r="E91" s="1">
        <v>1535.127</v>
      </c>
      <c r="F91" s="1">
        <v>1486.385</v>
      </c>
      <c r="G91" s="7">
        <v>1</v>
      </c>
      <c r="H91" s="1">
        <v>60</v>
      </c>
      <c r="I91" s="1" t="s">
        <v>39</v>
      </c>
      <c r="J91" s="1"/>
      <c r="K91" s="1">
        <v>1575.14</v>
      </c>
      <c r="L91" s="1">
        <f t="shared" si="27"/>
        <v>-40.013000000000147</v>
      </c>
      <c r="M91" s="1">
        <f t="shared" si="29"/>
        <v>1384.2079999999999</v>
      </c>
      <c r="N91" s="1">
        <v>150.91900000000001</v>
      </c>
      <c r="O91" s="1">
        <v>363.493404204</v>
      </c>
      <c r="P91" s="1">
        <v>0</v>
      </c>
      <c r="Q91" s="1"/>
      <c r="R91" s="1">
        <v>0</v>
      </c>
      <c r="S91" s="1">
        <f t="shared" si="28"/>
        <v>276.84159999999997</v>
      </c>
      <c r="T91" s="5">
        <f t="shared" si="39"/>
        <v>1472.2207957959997</v>
      </c>
      <c r="U91" s="5">
        <f t="shared" ref="U91:U93" si="41">T91+$U$1*S91</f>
        <v>1527.5891157959998</v>
      </c>
      <c r="V91" s="5">
        <f t="shared" si="31"/>
        <v>733.24277558207984</v>
      </c>
      <c r="W91" s="5">
        <f t="shared" si="40"/>
        <v>794.34634021391992</v>
      </c>
      <c r="X91" s="22"/>
      <c r="Y91" s="1">
        <f t="shared" si="32"/>
        <v>12</v>
      </c>
      <c r="Z91" s="1">
        <f t="shared" si="33"/>
        <v>6.6820824767809466</v>
      </c>
      <c r="AA91" s="1">
        <v>190.1532</v>
      </c>
      <c r="AB91" s="1">
        <v>224.54220000000001</v>
      </c>
      <c r="AC91" s="1">
        <v>235.44120000000001</v>
      </c>
      <c r="AD91" s="1">
        <v>237.84280000000001</v>
      </c>
      <c r="AE91" s="1">
        <v>261.7706</v>
      </c>
      <c r="AF91" s="1">
        <v>210.9222</v>
      </c>
      <c r="AG91" s="1">
        <v>200.2338</v>
      </c>
      <c r="AH91" s="1">
        <v>224.22739999999999</v>
      </c>
      <c r="AI91" s="1">
        <v>269.709</v>
      </c>
      <c r="AJ91" s="1">
        <v>297.4228</v>
      </c>
      <c r="AK91" s="1"/>
      <c r="AL91" s="1">
        <f t="shared" si="34"/>
        <v>733</v>
      </c>
      <c r="AM91" s="1">
        <f t="shared" si="35"/>
        <v>794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141</v>
      </c>
      <c r="B92" s="1" t="s">
        <v>38</v>
      </c>
      <c r="C92" s="1">
        <v>5580.5469999999996</v>
      </c>
      <c r="D92" s="1">
        <v>3942.951</v>
      </c>
      <c r="E92" s="1">
        <v>3413.6239999999998</v>
      </c>
      <c r="F92" s="1">
        <v>5145.0330000000004</v>
      </c>
      <c r="G92" s="7">
        <v>1</v>
      </c>
      <c r="H92" s="1">
        <v>60</v>
      </c>
      <c r="I92" s="1" t="s">
        <v>39</v>
      </c>
      <c r="J92" s="1"/>
      <c r="K92" s="1">
        <v>3579.91</v>
      </c>
      <c r="L92" s="1">
        <f t="shared" si="27"/>
        <v>-166.28600000000006</v>
      </c>
      <c r="M92" s="1">
        <f t="shared" si="29"/>
        <v>3413.6239999999998</v>
      </c>
      <c r="N92" s="1"/>
      <c r="O92" s="1">
        <v>1185.765490452</v>
      </c>
      <c r="P92" s="1">
        <v>0</v>
      </c>
      <c r="Q92" s="1"/>
      <c r="R92" s="1">
        <v>0</v>
      </c>
      <c r="S92" s="1">
        <f t="shared" si="28"/>
        <v>682.72479999999996</v>
      </c>
      <c r="T92" s="5">
        <f t="shared" si="39"/>
        <v>1861.8991095479987</v>
      </c>
      <c r="U92" s="5">
        <f t="shared" si="41"/>
        <v>1998.4440695479987</v>
      </c>
      <c r="V92" s="5">
        <f t="shared" si="31"/>
        <v>959.25315338303926</v>
      </c>
      <c r="W92" s="5">
        <f t="shared" si="40"/>
        <v>1039.1909161649594</v>
      </c>
      <c r="X92" s="22"/>
      <c r="Y92" s="1">
        <f t="shared" si="32"/>
        <v>12</v>
      </c>
      <c r="Z92" s="1">
        <f t="shared" si="33"/>
        <v>9.272840960884972</v>
      </c>
      <c r="AA92" s="1">
        <v>684.17160000000001</v>
      </c>
      <c r="AB92" s="1">
        <v>529.6386</v>
      </c>
      <c r="AC92" s="1">
        <v>447.9076</v>
      </c>
      <c r="AD92" s="1">
        <v>485.68380000000008</v>
      </c>
      <c r="AE92" s="1">
        <v>514.53820000000007</v>
      </c>
      <c r="AF92" s="1">
        <v>401.62819999999999</v>
      </c>
      <c r="AG92" s="1">
        <v>487.01119999999992</v>
      </c>
      <c r="AH92" s="1">
        <v>453.0684</v>
      </c>
      <c r="AI92" s="1">
        <v>606.41340000000002</v>
      </c>
      <c r="AJ92" s="1">
        <v>702.14319999999998</v>
      </c>
      <c r="AK92" s="1"/>
      <c r="AL92" s="1">
        <f t="shared" si="34"/>
        <v>959</v>
      </c>
      <c r="AM92" s="1">
        <f t="shared" si="35"/>
        <v>1039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67</v>
      </c>
      <c r="B93" s="1" t="s">
        <v>38</v>
      </c>
      <c r="C93" s="1">
        <v>8518.6190000000006</v>
      </c>
      <c r="D93" s="1">
        <v>3409.14</v>
      </c>
      <c r="E93" s="1">
        <v>4244.3469999999998</v>
      </c>
      <c r="F93" s="1">
        <v>5895.2539999999999</v>
      </c>
      <c r="G93" s="7">
        <v>1</v>
      </c>
      <c r="H93" s="1">
        <v>60</v>
      </c>
      <c r="I93" s="1" t="s">
        <v>39</v>
      </c>
      <c r="J93" s="1"/>
      <c r="K93" s="1">
        <v>4476.308</v>
      </c>
      <c r="L93" s="1">
        <f t="shared" si="27"/>
        <v>-231.96100000000024</v>
      </c>
      <c r="M93" s="1">
        <f t="shared" si="29"/>
        <v>4244.3469999999998</v>
      </c>
      <c r="N93" s="1"/>
      <c r="O93" s="1">
        <v>0</v>
      </c>
      <c r="P93" s="1"/>
      <c r="Q93" s="1"/>
      <c r="R93" s="1">
        <v>1926.5142000000001</v>
      </c>
      <c r="S93" s="1">
        <f t="shared" si="28"/>
        <v>848.86939999999993</v>
      </c>
      <c r="T93" s="5">
        <f t="shared" si="39"/>
        <v>2364.6645999999992</v>
      </c>
      <c r="U93" s="5">
        <f t="shared" si="41"/>
        <v>2534.4384799999993</v>
      </c>
      <c r="V93" s="5">
        <f t="shared" si="31"/>
        <v>1216.5304703999996</v>
      </c>
      <c r="W93" s="5">
        <f t="shared" si="40"/>
        <v>1317.9080095999998</v>
      </c>
      <c r="X93" s="22"/>
      <c r="Y93" s="1">
        <f t="shared" si="32"/>
        <v>12</v>
      </c>
      <c r="Z93" s="1">
        <f t="shared" si="33"/>
        <v>9.2143363867280428</v>
      </c>
      <c r="AA93" s="1">
        <v>803.57920000000001</v>
      </c>
      <c r="AB93" s="1">
        <v>649.25559999999996</v>
      </c>
      <c r="AC93" s="1">
        <v>717.88199999999995</v>
      </c>
      <c r="AD93" s="1">
        <v>624.51419999999996</v>
      </c>
      <c r="AE93" s="1">
        <v>657.89699999999982</v>
      </c>
      <c r="AF93" s="1">
        <v>520.9251999999999</v>
      </c>
      <c r="AG93" s="1">
        <v>627.79740000000004</v>
      </c>
      <c r="AH93" s="1">
        <v>577.65159999999992</v>
      </c>
      <c r="AI93" s="1">
        <v>698.26039999999989</v>
      </c>
      <c r="AJ93" s="1">
        <v>814.36879999999996</v>
      </c>
      <c r="AK93" s="1"/>
      <c r="AL93" s="1">
        <f t="shared" si="34"/>
        <v>1217</v>
      </c>
      <c r="AM93" s="1">
        <f t="shared" si="35"/>
        <v>1318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142</v>
      </c>
      <c r="B94" s="1" t="s">
        <v>38</v>
      </c>
      <c r="C94" s="1">
        <v>92.965000000000003</v>
      </c>
      <c r="D94" s="1">
        <v>2.67</v>
      </c>
      <c r="E94" s="1">
        <v>16.091000000000001</v>
      </c>
      <c r="F94" s="1">
        <v>78.203999999999994</v>
      </c>
      <c r="G94" s="7">
        <v>1</v>
      </c>
      <c r="H94" s="1">
        <v>55</v>
      </c>
      <c r="I94" s="1" t="s">
        <v>39</v>
      </c>
      <c r="J94" s="1"/>
      <c r="K94" s="1">
        <v>33.1</v>
      </c>
      <c r="L94" s="1">
        <f t="shared" si="27"/>
        <v>-17.009</v>
      </c>
      <c r="M94" s="1">
        <f t="shared" si="29"/>
        <v>16.091000000000001</v>
      </c>
      <c r="N94" s="1"/>
      <c r="O94" s="1">
        <v>0</v>
      </c>
      <c r="P94" s="1"/>
      <c r="Q94" s="1"/>
      <c r="R94" s="1">
        <v>0</v>
      </c>
      <c r="S94" s="1">
        <f t="shared" si="28"/>
        <v>3.2182000000000004</v>
      </c>
      <c r="T94" s="5"/>
      <c r="U94" s="5">
        <f t="shared" si="30"/>
        <v>0</v>
      </c>
      <c r="V94" s="5">
        <f t="shared" si="31"/>
        <v>0</v>
      </c>
      <c r="W94" s="5"/>
      <c r="X94" s="22"/>
      <c r="Y94" s="1">
        <f t="shared" si="32"/>
        <v>24.300540674911435</v>
      </c>
      <c r="Z94" s="1">
        <f t="shared" si="33"/>
        <v>24.300540674911435</v>
      </c>
      <c r="AA94" s="1">
        <v>2.9496000000000002</v>
      </c>
      <c r="AB94" s="1">
        <v>2.4131999999999998</v>
      </c>
      <c r="AC94" s="1">
        <v>4.8087999999999997</v>
      </c>
      <c r="AD94" s="1">
        <v>2.9365999999999999</v>
      </c>
      <c r="AE94" s="1">
        <v>2.9626000000000001</v>
      </c>
      <c r="AF94" s="1">
        <v>9.1290000000000013</v>
      </c>
      <c r="AG94" s="1">
        <v>9.1308000000000007</v>
      </c>
      <c r="AH94" s="1">
        <v>9.6712000000000007</v>
      </c>
      <c r="AI94" s="1">
        <v>9.3979999999999997</v>
      </c>
      <c r="AJ94" s="1">
        <v>9.9340000000000011</v>
      </c>
      <c r="AK94" s="13" t="s">
        <v>59</v>
      </c>
      <c r="AL94" s="1">
        <f t="shared" si="34"/>
        <v>0</v>
      </c>
      <c r="AM94" s="1">
        <f t="shared" si="35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0" t="s">
        <v>143</v>
      </c>
      <c r="B95" s="10" t="s">
        <v>38</v>
      </c>
      <c r="C95" s="10">
        <v>-1.36</v>
      </c>
      <c r="D95" s="10"/>
      <c r="E95" s="10"/>
      <c r="F95" s="10">
        <v>-1.36</v>
      </c>
      <c r="G95" s="11">
        <v>0</v>
      </c>
      <c r="H95" s="10"/>
      <c r="I95" s="10" t="s">
        <v>54</v>
      </c>
      <c r="J95" s="10"/>
      <c r="K95" s="10"/>
      <c r="L95" s="10">
        <f t="shared" si="27"/>
        <v>0</v>
      </c>
      <c r="M95" s="10">
        <f t="shared" si="29"/>
        <v>0</v>
      </c>
      <c r="N95" s="10"/>
      <c r="O95" s="10">
        <v>0</v>
      </c>
      <c r="P95" s="10"/>
      <c r="Q95" s="10"/>
      <c r="R95" s="10">
        <v>0</v>
      </c>
      <c r="S95" s="10">
        <f t="shared" si="28"/>
        <v>0</v>
      </c>
      <c r="T95" s="12"/>
      <c r="U95" s="5">
        <f t="shared" si="30"/>
        <v>0</v>
      </c>
      <c r="V95" s="5">
        <f t="shared" si="31"/>
        <v>0</v>
      </c>
      <c r="W95" s="5"/>
      <c r="X95" s="22"/>
      <c r="Y95" s="10" t="e">
        <f t="shared" si="32"/>
        <v>#DIV/0!</v>
      </c>
      <c r="Z95" s="10" t="e">
        <f t="shared" si="33"/>
        <v>#DIV/0!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0.27200000000000002</v>
      </c>
      <c r="AG95" s="10">
        <v>0.27200000000000002</v>
      </c>
      <c r="AH95" s="10">
        <v>0</v>
      </c>
      <c r="AI95" s="10">
        <v>0</v>
      </c>
      <c r="AJ95" s="10">
        <v>0</v>
      </c>
      <c r="AK95" s="10"/>
      <c r="AL95" s="1">
        <f t="shared" si="34"/>
        <v>0</v>
      </c>
      <c r="AM95" s="1">
        <f t="shared" si="35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0" t="s">
        <v>144</v>
      </c>
      <c r="B96" s="10" t="s">
        <v>38</v>
      </c>
      <c r="C96" s="10">
        <v>381.87400000000002</v>
      </c>
      <c r="D96" s="10">
        <v>1.371</v>
      </c>
      <c r="E96" s="10">
        <v>2.742</v>
      </c>
      <c r="F96" s="10">
        <v>-2.5960000000000001</v>
      </c>
      <c r="G96" s="11">
        <v>0</v>
      </c>
      <c r="H96" s="10"/>
      <c r="I96" s="10" t="s">
        <v>54</v>
      </c>
      <c r="J96" s="10"/>
      <c r="K96" s="10">
        <v>4.9000000000000004</v>
      </c>
      <c r="L96" s="10">
        <f t="shared" si="27"/>
        <v>-2.1580000000000004</v>
      </c>
      <c r="M96" s="10">
        <f t="shared" si="29"/>
        <v>2.742</v>
      </c>
      <c r="N96" s="10"/>
      <c r="O96" s="10">
        <v>0</v>
      </c>
      <c r="P96" s="10"/>
      <c r="Q96" s="10"/>
      <c r="R96" s="10">
        <v>0</v>
      </c>
      <c r="S96" s="10">
        <f t="shared" si="28"/>
        <v>0.5484</v>
      </c>
      <c r="T96" s="12"/>
      <c r="U96" s="5">
        <f t="shared" si="30"/>
        <v>0</v>
      </c>
      <c r="V96" s="5">
        <f t="shared" si="31"/>
        <v>0</v>
      </c>
      <c r="W96" s="5"/>
      <c r="X96" s="22"/>
      <c r="Y96" s="10">
        <f t="shared" si="32"/>
        <v>-4.7337709700948212</v>
      </c>
      <c r="Z96" s="10">
        <f t="shared" si="33"/>
        <v>-4.7337709700948212</v>
      </c>
      <c r="AA96" s="10">
        <v>3.7995999999999999</v>
      </c>
      <c r="AB96" s="10">
        <v>5.4039999999999999</v>
      </c>
      <c r="AC96" s="10">
        <v>5.3784000000000001</v>
      </c>
      <c r="AD96" s="10">
        <v>6.8639999999999999</v>
      </c>
      <c r="AE96" s="10">
        <v>3.9003999999999999</v>
      </c>
      <c r="AF96" s="10">
        <v>2.42</v>
      </c>
      <c r="AG96" s="10">
        <v>6.7090000000000014</v>
      </c>
      <c r="AH96" s="10">
        <v>6.706999999999999</v>
      </c>
      <c r="AI96" s="10">
        <v>13.973000000000001</v>
      </c>
      <c r="AJ96" s="10">
        <v>18.044</v>
      </c>
      <c r="AK96" s="10"/>
      <c r="AL96" s="1">
        <f t="shared" si="34"/>
        <v>0</v>
      </c>
      <c r="AM96" s="1">
        <f t="shared" si="35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145</v>
      </c>
      <c r="B97" s="1" t="s">
        <v>43</v>
      </c>
      <c r="C97" s="1">
        <v>43</v>
      </c>
      <c r="D97" s="1">
        <v>2</v>
      </c>
      <c r="E97" s="1">
        <v>42</v>
      </c>
      <c r="F97" s="1">
        <v>-3</v>
      </c>
      <c r="G97" s="7">
        <v>0.3</v>
      </c>
      <c r="H97" s="1">
        <v>40</v>
      </c>
      <c r="I97" s="1" t="s">
        <v>39</v>
      </c>
      <c r="J97" s="1"/>
      <c r="K97" s="1">
        <v>98</v>
      </c>
      <c r="L97" s="1">
        <f t="shared" si="27"/>
        <v>-56</v>
      </c>
      <c r="M97" s="1">
        <f t="shared" si="29"/>
        <v>42</v>
      </c>
      <c r="N97" s="1"/>
      <c r="O97" s="1">
        <v>0</v>
      </c>
      <c r="P97" s="1"/>
      <c r="Q97" s="1"/>
      <c r="R97" s="1">
        <v>54.599999999999987</v>
      </c>
      <c r="S97" s="1">
        <f t="shared" si="28"/>
        <v>8.4</v>
      </c>
      <c r="T97" s="5">
        <f t="shared" ref="T97:T98" si="42">12*S97-R97-Q97-P97-O97-F97</f>
        <v>49.200000000000024</v>
      </c>
      <c r="U97" s="5">
        <f t="shared" si="30"/>
        <v>49.200000000000024</v>
      </c>
      <c r="V97" s="5">
        <f t="shared" si="31"/>
        <v>49.200000000000024</v>
      </c>
      <c r="W97" s="5"/>
      <c r="X97" s="22"/>
      <c r="Y97" s="1">
        <f t="shared" si="32"/>
        <v>12</v>
      </c>
      <c r="Z97" s="1">
        <f t="shared" si="33"/>
        <v>6.1428571428571415</v>
      </c>
      <c r="AA97" s="1">
        <v>9.6</v>
      </c>
      <c r="AB97" s="1">
        <v>9.1999999999999993</v>
      </c>
      <c r="AC97" s="1">
        <v>15.2</v>
      </c>
      <c r="AD97" s="1">
        <v>23.8</v>
      </c>
      <c r="AE97" s="1">
        <v>25.4</v>
      </c>
      <c r="AF97" s="1">
        <v>17.2</v>
      </c>
      <c r="AG97" s="1">
        <v>20.2</v>
      </c>
      <c r="AH97" s="1">
        <v>22.8</v>
      </c>
      <c r="AI97" s="1">
        <v>24.2</v>
      </c>
      <c r="AJ97" s="1">
        <v>18.2</v>
      </c>
      <c r="AK97" s="1"/>
      <c r="AL97" s="1">
        <f t="shared" si="34"/>
        <v>15</v>
      </c>
      <c r="AM97" s="1">
        <f t="shared" si="35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146</v>
      </c>
      <c r="B98" s="1" t="s">
        <v>43</v>
      </c>
      <c r="C98" s="1">
        <v>91</v>
      </c>
      <c r="D98" s="1">
        <v>51</v>
      </c>
      <c r="E98" s="1">
        <v>86</v>
      </c>
      <c r="F98" s="1">
        <v>56</v>
      </c>
      <c r="G98" s="7">
        <v>0.3</v>
      </c>
      <c r="H98" s="1">
        <v>40</v>
      </c>
      <c r="I98" s="1" t="s">
        <v>39</v>
      </c>
      <c r="J98" s="1"/>
      <c r="K98" s="1">
        <v>86</v>
      </c>
      <c r="L98" s="1">
        <f t="shared" si="27"/>
        <v>0</v>
      </c>
      <c r="M98" s="1">
        <f t="shared" si="29"/>
        <v>86</v>
      </c>
      <c r="N98" s="1"/>
      <c r="O98" s="1">
        <v>0</v>
      </c>
      <c r="P98" s="1"/>
      <c r="Q98" s="1"/>
      <c r="R98" s="1">
        <v>97</v>
      </c>
      <c r="S98" s="1">
        <f t="shared" si="28"/>
        <v>17.2</v>
      </c>
      <c r="T98" s="5">
        <f t="shared" si="42"/>
        <v>53.399999999999977</v>
      </c>
      <c r="U98" s="5">
        <f t="shared" si="30"/>
        <v>53.399999999999977</v>
      </c>
      <c r="V98" s="5">
        <f t="shared" si="31"/>
        <v>53.399999999999977</v>
      </c>
      <c r="W98" s="5"/>
      <c r="X98" s="22"/>
      <c r="Y98" s="1">
        <f t="shared" si="32"/>
        <v>12</v>
      </c>
      <c r="Z98" s="1">
        <f t="shared" si="33"/>
        <v>8.895348837209303</v>
      </c>
      <c r="AA98" s="1">
        <v>16.2</v>
      </c>
      <c r="AB98" s="1">
        <v>4</v>
      </c>
      <c r="AC98" s="1">
        <v>9.6</v>
      </c>
      <c r="AD98" s="1">
        <v>11</v>
      </c>
      <c r="AE98" s="1">
        <v>12.4</v>
      </c>
      <c r="AF98" s="1">
        <v>6.8</v>
      </c>
      <c r="AG98" s="1">
        <v>6.4</v>
      </c>
      <c r="AH98" s="1">
        <v>1.4</v>
      </c>
      <c r="AI98" s="1">
        <v>2</v>
      </c>
      <c r="AJ98" s="1">
        <v>2.4</v>
      </c>
      <c r="AK98" s="1"/>
      <c r="AL98" s="1">
        <f t="shared" si="34"/>
        <v>16</v>
      </c>
      <c r="AM98" s="1">
        <f t="shared" si="35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147</v>
      </c>
      <c r="B99" s="1" t="s">
        <v>43</v>
      </c>
      <c r="C99" s="1">
        <v>190</v>
      </c>
      <c r="D99" s="1">
        <v>487</v>
      </c>
      <c r="E99" s="1">
        <v>139</v>
      </c>
      <c r="F99" s="1">
        <v>511</v>
      </c>
      <c r="G99" s="7">
        <v>7.0000000000000007E-2</v>
      </c>
      <c r="H99" s="1">
        <v>90</v>
      </c>
      <c r="I99" s="1" t="s">
        <v>39</v>
      </c>
      <c r="J99" s="1"/>
      <c r="K99" s="1">
        <v>166</v>
      </c>
      <c r="L99" s="1">
        <f t="shared" si="27"/>
        <v>-27</v>
      </c>
      <c r="M99" s="1">
        <f t="shared" si="29"/>
        <v>139</v>
      </c>
      <c r="N99" s="1"/>
      <c r="O99" s="1">
        <v>0</v>
      </c>
      <c r="P99" s="1"/>
      <c r="Q99" s="1"/>
      <c r="R99" s="1">
        <v>0</v>
      </c>
      <c r="S99" s="1">
        <f t="shared" si="28"/>
        <v>27.8</v>
      </c>
      <c r="T99" s="5">
        <v>100</v>
      </c>
      <c r="U99" s="5">
        <f t="shared" si="30"/>
        <v>100</v>
      </c>
      <c r="V99" s="5">
        <f t="shared" si="31"/>
        <v>100</v>
      </c>
      <c r="W99" s="5"/>
      <c r="X99" s="22"/>
      <c r="Y99" s="1">
        <f t="shared" si="32"/>
        <v>21.978417266187051</v>
      </c>
      <c r="Z99" s="1">
        <f t="shared" si="33"/>
        <v>18.381294964028775</v>
      </c>
      <c r="AA99" s="1">
        <v>21.6</v>
      </c>
      <c r="AB99" s="1">
        <v>29</v>
      </c>
      <c r="AC99" s="1">
        <v>32.4</v>
      </c>
      <c r="AD99" s="1">
        <v>33.4</v>
      </c>
      <c r="AE99" s="1">
        <v>34.799999999999997</v>
      </c>
      <c r="AF99" s="1">
        <v>22.2</v>
      </c>
      <c r="AG99" s="1">
        <v>22.6</v>
      </c>
      <c r="AH99" s="1">
        <v>26.8</v>
      </c>
      <c r="AI99" s="1">
        <v>31.2</v>
      </c>
      <c r="AJ99" s="1">
        <v>29.2</v>
      </c>
      <c r="AK99" s="1" t="s">
        <v>148</v>
      </c>
      <c r="AL99" s="1">
        <f t="shared" si="34"/>
        <v>7</v>
      </c>
      <c r="AM99" s="1">
        <f t="shared" si="35"/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149</v>
      </c>
      <c r="B100" s="1" t="s">
        <v>43</v>
      </c>
      <c r="C100" s="1">
        <v>148</v>
      </c>
      <c r="D100" s="1">
        <v>479</v>
      </c>
      <c r="E100" s="1">
        <v>161</v>
      </c>
      <c r="F100" s="1">
        <v>429</v>
      </c>
      <c r="G100" s="7">
        <v>7.0000000000000007E-2</v>
      </c>
      <c r="H100" s="1">
        <v>90</v>
      </c>
      <c r="I100" s="1" t="s">
        <v>39</v>
      </c>
      <c r="J100" s="1"/>
      <c r="K100" s="1">
        <v>199</v>
      </c>
      <c r="L100" s="1">
        <f t="shared" si="27"/>
        <v>-38</v>
      </c>
      <c r="M100" s="1">
        <f t="shared" si="29"/>
        <v>161</v>
      </c>
      <c r="N100" s="1"/>
      <c r="O100" s="1">
        <v>0</v>
      </c>
      <c r="P100" s="1"/>
      <c r="Q100" s="1"/>
      <c r="R100" s="1">
        <v>0</v>
      </c>
      <c r="S100" s="1">
        <f t="shared" si="28"/>
        <v>32.200000000000003</v>
      </c>
      <c r="T100" s="5">
        <v>150</v>
      </c>
      <c r="U100" s="5">
        <f t="shared" si="30"/>
        <v>150</v>
      </c>
      <c r="V100" s="5">
        <f t="shared" si="31"/>
        <v>150</v>
      </c>
      <c r="W100" s="5"/>
      <c r="X100" s="22"/>
      <c r="Y100" s="1">
        <f t="shared" si="32"/>
        <v>17.981366459627328</v>
      </c>
      <c r="Z100" s="1">
        <f t="shared" si="33"/>
        <v>13.322981366459626</v>
      </c>
      <c r="AA100" s="1">
        <v>28.8</v>
      </c>
      <c r="AB100" s="1">
        <v>31.6</v>
      </c>
      <c r="AC100" s="1">
        <v>28.2</v>
      </c>
      <c r="AD100" s="1">
        <v>29.6</v>
      </c>
      <c r="AE100" s="1">
        <v>31.2</v>
      </c>
      <c r="AF100" s="1">
        <v>22.8</v>
      </c>
      <c r="AG100" s="1">
        <v>26.2</v>
      </c>
      <c r="AH100" s="1">
        <v>20.399999999999999</v>
      </c>
      <c r="AI100" s="1">
        <v>22</v>
      </c>
      <c r="AJ100" s="1">
        <v>23.4</v>
      </c>
      <c r="AK100" s="1" t="s">
        <v>148</v>
      </c>
      <c r="AL100" s="1">
        <f t="shared" si="34"/>
        <v>11</v>
      </c>
      <c r="AM100" s="1">
        <f t="shared" si="35"/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150</v>
      </c>
      <c r="B101" s="1" t="s">
        <v>43</v>
      </c>
      <c r="C101" s="1">
        <v>157</v>
      </c>
      <c r="D101" s="1">
        <v>418</v>
      </c>
      <c r="E101" s="1">
        <v>117</v>
      </c>
      <c r="F101" s="1">
        <v>439</v>
      </c>
      <c r="G101" s="7">
        <v>7.0000000000000007E-2</v>
      </c>
      <c r="H101" s="1">
        <v>90</v>
      </c>
      <c r="I101" s="1" t="s">
        <v>39</v>
      </c>
      <c r="J101" s="1"/>
      <c r="K101" s="1">
        <v>137</v>
      </c>
      <c r="L101" s="1">
        <f t="shared" si="27"/>
        <v>-20</v>
      </c>
      <c r="M101" s="1">
        <f t="shared" si="29"/>
        <v>117</v>
      </c>
      <c r="N101" s="1"/>
      <c r="O101" s="1">
        <v>0</v>
      </c>
      <c r="P101" s="1"/>
      <c r="Q101" s="1"/>
      <c r="R101" s="1">
        <v>0</v>
      </c>
      <c r="S101" s="1">
        <f t="shared" si="28"/>
        <v>23.4</v>
      </c>
      <c r="T101" s="5">
        <v>80</v>
      </c>
      <c r="U101" s="5">
        <f t="shared" si="30"/>
        <v>80</v>
      </c>
      <c r="V101" s="5">
        <f t="shared" si="31"/>
        <v>80</v>
      </c>
      <c r="W101" s="5"/>
      <c r="X101" s="22"/>
      <c r="Y101" s="1">
        <f t="shared" si="32"/>
        <v>22.179487179487182</v>
      </c>
      <c r="Z101" s="1">
        <f t="shared" si="33"/>
        <v>18.760683760683762</v>
      </c>
      <c r="AA101" s="1">
        <v>18.399999999999999</v>
      </c>
      <c r="AB101" s="1">
        <v>22.2</v>
      </c>
      <c r="AC101" s="1">
        <v>23.2</v>
      </c>
      <c r="AD101" s="1">
        <v>24.6</v>
      </c>
      <c r="AE101" s="1">
        <v>27.4</v>
      </c>
      <c r="AF101" s="1">
        <v>18.8</v>
      </c>
      <c r="AG101" s="1">
        <v>18.399999999999999</v>
      </c>
      <c r="AH101" s="1">
        <v>20.6</v>
      </c>
      <c r="AI101" s="1">
        <v>22.8</v>
      </c>
      <c r="AJ101" s="1">
        <v>20.6</v>
      </c>
      <c r="AK101" s="1" t="s">
        <v>148</v>
      </c>
      <c r="AL101" s="1">
        <f t="shared" si="34"/>
        <v>6</v>
      </c>
      <c r="AM101" s="1">
        <f t="shared" si="35"/>
        <v>0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0" t="s">
        <v>151</v>
      </c>
      <c r="B102" s="10" t="s">
        <v>43</v>
      </c>
      <c r="C102" s="10">
        <v>6</v>
      </c>
      <c r="D102" s="10"/>
      <c r="E102" s="10">
        <v>-1</v>
      </c>
      <c r="F102" s="10">
        <v>4</v>
      </c>
      <c r="G102" s="11">
        <v>0</v>
      </c>
      <c r="H102" s="10">
        <v>90</v>
      </c>
      <c r="I102" s="10" t="s">
        <v>54</v>
      </c>
      <c r="J102" s="10"/>
      <c r="K102" s="10">
        <v>109</v>
      </c>
      <c r="L102" s="10">
        <f t="shared" ref="L102:L133" si="43">E102-K102</f>
        <v>-110</v>
      </c>
      <c r="M102" s="10">
        <f t="shared" si="29"/>
        <v>-1</v>
      </c>
      <c r="N102" s="10"/>
      <c r="O102" s="10">
        <v>0</v>
      </c>
      <c r="P102" s="10"/>
      <c r="Q102" s="10"/>
      <c r="R102" s="10">
        <v>0</v>
      </c>
      <c r="S102" s="10">
        <f t="shared" ref="S102:S134" si="44">M102/5</f>
        <v>-0.2</v>
      </c>
      <c r="T102" s="12"/>
      <c r="U102" s="5">
        <f t="shared" si="30"/>
        <v>0</v>
      </c>
      <c r="V102" s="5">
        <f t="shared" si="31"/>
        <v>0</v>
      </c>
      <c r="W102" s="5"/>
      <c r="X102" s="22"/>
      <c r="Y102" s="10">
        <f t="shared" si="32"/>
        <v>-20</v>
      </c>
      <c r="Z102" s="10">
        <f t="shared" si="33"/>
        <v>-20</v>
      </c>
      <c r="AA102" s="10">
        <v>-0.4</v>
      </c>
      <c r="AB102" s="10">
        <v>9.1999999999999993</v>
      </c>
      <c r="AC102" s="10">
        <v>15.4</v>
      </c>
      <c r="AD102" s="10">
        <v>13.6</v>
      </c>
      <c r="AE102" s="10">
        <v>20.2</v>
      </c>
      <c r="AF102" s="10">
        <v>19</v>
      </c>
      <c r="AG102" s="10">
        <v>9.8000000000000007</v>
      </c>
      <c r="AH102" s="10">
        <v>11</v>
      </c>
      <c r="AI102" s="10">
        <v>12</v>
      </c>
      <c r="AJ102" s="10">
        <v>19.8</v>
      </c>
      <c r="AK102" s="10"/>
      <c r="AL102" s="1">
        <f t="shared" si="34"/>
        <v>0</v>
      </c>
      <c r="AM102" s="1">
        <f t="shared" si="35"/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152</v>
      </c>
      <c r="B103" s="1" t="s">
        <v>43</v>
      </c>
      <c r="C103" s="1">
        <v>7</v>
      </c>
      <c r="D103" s="1">
        <v>30</v>
      </c>
      <c r="E103" s="1">
        <v>3</v>
      </c>
      <c r="F103" s="1">
        <v>31</v>
      </c>
      <c r="G103" s="7">
        <v>0.3</v>
      </c>
      <c r="H103" s="1">
        <v>40</v>
      </c>
      <c r="I103" s="1" t="s">
        <v>39</v>
      </c>
      <c r="J103" s="1"/>
      <c r="K103" s="1">
        <v>6</v>
      </c>
      <c r="L103" s="1">
        <f t="shared" si="43"/>
        <v>-3</v>
      </c>
      <c r="M103" s="1">
        <f t="shared" si="29"/>
        <v>3</v>
      </c>
      <c r="N103" s="1"/>
      <c r="O103" s="1">
        <v>0</v>
      </c>
      <c r="P103" s="1"/>
      <c r="Q103" s="1"/>
      <c r="R103" s="1">
        <v>0</v>
      </c>
      <c r="S103" s="1">
        <f t="shared" si="44"/>
        <v>0.6</v>
      </c>
      <c r="T103" s="5"/>
      <c r="U103" s="5">
        <f t="shared" si="30"/>
        <v>0</v>
      </c>
      <c r="V103" s="5">
        <f t="shared" si="31"/>
        <v>0</v>
      </c>
      <c r="W103" s="5"/>
      <c r="X103" s="22"/>
      <c r="Y103" s="1">
        <f t="shared" si="32"/>
        <v>51.666666666666671</v>
      </c>
      <c r="Z103" s="1">
        <f t="shared" si="33"/>
        <v>51.666666666666671</v>
      </c>
      <c r="AA103" s="1">
        <v>-0.4</v>
      </c>
      <c r="AB103" s="1">
        <v>0.6</v>
      </c>
      <c r="AC103" s="1">
        <v>4.4000000000000004</v>
      </c>
      <c r="AD103" s="1">
        <v>4.8</v>
      </c>
      <c r="AE103" s="1">
        <v>1.6</v>
      </c>
      <c r="AF103" s="1">
        <v>2.8</v>
      </c>
      <c r="AG103" s="1">
        <v>1.6</v>
      </c>
      <c r="AH103" s="1">
        <v>1.2</v>
      </c>
      <c r="AI103" s="1">
        <v>-0.2</v>
      </c>
      <c r="AJ103" s="1">
        <v>-0.4</v>
      </c>
      <c r="AK103" s="13" t="s">
        <v>59</v>
      </c>
      <c r="AL103" s="1">
        <f t="shared" si="34"/>
        <v>0</v>
      </c>
      <c r="AM103" s="1">
        <f t="shared" si="35"/>
        <v>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153</v>
      </c>
      <c r="B104" s="1" t="s">
        <v>38</v>
      </c>
      <c r="C104" s="1">
        <v>41.128999999999998</v>
      </c>
      <c r="D104" s="1">
        <v>0.25600000000000001</v>
      </c>
      <c r="E104" s="1">
        <v>9.3450000000000006</v>
      </c>
      <c r="F104" s="1">
        <v>30.44</v>
      </c>
      <c r="G104" s="7">
        <v>1</v>
      </c>
      <c r="H104" s="1">
        <v>55</v>
      </c>
      <c r="I104" s="1" t="s">
        <v>39</v>
      </c>
      <c r="J104" s="1"/>
      <c r="K104" s="1">
        <v>8.6</v>
      </c>
      <c r="L104" s="1">
        <f t="shared" si="43"/>
        <v>0.74500000000000099</v>
      </c>
      <c r="M104" s="1">
        <f t="shared" si="29"/>
        <v>9.3450000000000006</v>
      </c>
      <c r="N104" s="1"/>
      <c r="O104" s="1">
        <v>0</v>
      </c>
      <c r="P104" s="1"/>
      <c r="Q104" s="1"/>
      <c r="R104" s="1">
        <v>0</v>
      </c>
      <c r="S104" s="1">
        <f t="shared" si="44"/>
        <v>1.8690000000000002</v>
      </c>
      <c r="T104" s="5"/>
      <c r="U104" s="5">
        <f t="shared" si="30"/>
        <v>0</v>
      </c>
      <c r="V104" s="5">
        <f t="shared" si="31"/>
        <v>0</v>
      </c>
      <c r="W104" s="5"/>
      <c r="X104" s="22"/>
      <c r="Y104" s="1">
        <f t="shared" si="32"/>
        <v>16.286784376672017</v>
      </c>
      <c r="Z104" s="1">
        <f t="shared" si="33"/>
        <v>16.286784376672017</v>
      </c>
      <c r="AA104" s="1">
        <v>0.8869999999999999</v>
      </c>
      <c r="AB104" s="1">
        <v>2.1185999999999998</v>
      </c>
      <c r="AC104" s="1">
        <v>2.1888000000000001</v>
      </c>
      <c r="AD104" s="1">
        <v>1.9019999999999999</v>
      </c>
      <c r="AE104" s="1">
        <v>2.5404</v>
      </c>
      <c r="AF104" s="1">
        <v>2.8206000000000002</v>
      </c>
      <c r="AG104" s="1">
        <v>3.2389999999999999</v>
      </c>
      <c r="AH104" s="1">
        <v>3.242</v>
      </c>
      <c r="AI104" s="1">
        <v>2.7948</v>
      </c>
      <c r="AJ104" s="1">
        <v>2.4352</v>
      </c>
      <c r="AK104" s="13" t="s">
        <v>59</v>
      </c>
      <c r="AL104" s="1">
        <f t="shared" si="34"/>
        <v>0</v>
      </c>
      <c r="AM104" s="1">
        <f t="shared" si="35"/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154</v>
      </c>
      <c r="B105" s="1" t="s">
        <v>43</v>
      </c>
      <c r="C105" s="1">
        <v>-13</v>
      </c>
      <c r="D105" s="1">
        <v>322</v>
      </c>
      <c r="E105" s="1">
        <v>60</v>
      </c>
      <c r="F105" s="1">
        <v>247</v>
      </c>
      <c r="G105" s="7">
        <v>0.11</v>
      </c>
      <c r="H105" s="1">
        <v>30</v>
      </c>
      <c r="I105" s="1" t="s">
        <v>39</v>
      </c>
      <c r="J105" s="1"/>
      <c r="K105" s="1">
        <v>136</v>
      </c>
      <c r="L105" s="1">
        <f t="shared" si="43"/>
        <v>-76</v>
      </c>
      <c r="M105" s="1">
        <f t="shared" si="29"/>
        <v>60</v>
      </c>
      <c r="N105" s="1"/>
      <c r="O105" s="1">
        <v>0</v>
      </c>
      <c r="P105" s="1"/>
      <c r="Q105" s="1"/>
      <c r="R105" s="1">
        <v>0</v>
      </c>
      <c r="S105" s="1">
        <f t="shared" si="44"/>
        <v>12</v>
      </c>
      <c r="T105" s="5"/>
      <c r="U105" s="5">
        <f t="shared" si="30"/>
        <v>0</v>
      </c>
      <c r="V105" s="5">
        <f t="shared" si="31"/>
        <v>0</v>
      </c>
      <c r="W105" s="5"/>
      <c r="X105" s="22"/>
      <c r="Y105" s="1">
        <f t="shared" si="32"/>
        <v>20.583333333333332</v>
      </c>
      <c r="Z105" s="1">
        <f t="shared" si="33"/>
        <v>20.583333333333332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0.8</v>
      </c>
      <c r="AH105" s="1">
        <v>0.4</v>
      </c>
      <c r="AI105" s="1">
        <v>0.4</v>
      </c>
      <c r="AJ105" s="1">
        <v>0.6</v>
      </c>
      <c r="AK105" s="1" t="s">
        <v>148</v>
      </c>
      <c r="AL105" s="1">
        <f t="shared" si="34"/>
        <v>0</v>
      </c>
      <c r="AM105" s="1">
        <f t="shared" si="35"/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0" t="s">
        <v>155</v>
      </c>
      <c r="B106" s="10" t="s">
        <v>43</v>
      </c>
      <c r="C106" s="10"/>
      <c r="D106" s="10"/>
      <c r="E106" s="10"/>
      <c r="F106" s="10"/>
      <c r="G106" s="11">
        <v>0</v>
      </c>
      <c r="H106" s="10"/>
      <c r="I106" s="10" t="s">
        <v>39</v>
      </c>
      <c r="J106" s="10"/>
      <c r="K106" s="10"/>
      <c r="L106" s="10">
        <f t="shared" si="43"/>
        <v>0</v>
      </c>
      <c r="M106" s="10">
        <f t="shared" si="29"/>
        <v>0</v>
      </c>
      <c r="N106" s="10"/>
      <c r="O106" s="10">
        <v>0</v>
      </c>
      <c r="P106" s="10"/>
      <c r="Q106" s="10"/>
      <c r="R106" s="10">
        <v>0</v>
      </c>
      <c r="S106" s="10">
        <f t="shared" si="44"/>
        <v>0</v>
      </c>
      <c r="T106" s="12"/>
      <c r="U106" s="5">
        <f t="shared" si="30"/>
        <v>0</v>
      </c>
      <c r="V106" s="5">
        <f t="shared" si="31"/>
        <v>0</v>
      </c>
      <c r="W106" s="5"/>
      <c r="X106" s="22"/>
      <c r="Y106" s="10" t="e">
        <f t="shared" si="32"/>
        <v>#DIV/0!</v>
      </c>
      <c r="Z106" s="10" t="e">
        <f t="shared" si="33"/>
        <v>#DIV/0!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 t="s">
        <v>63</v>
      </c>
      <c r="AL106" s="1">
        <f t="shared" si="34"/>
        <v>0</v>
      </c>
      <c r="AM106" s="1">
        <f t="shared" si="35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156</v>
      </c>
      <c r="B107" s="1" t="s">
        <v>43</v>
      </c>
      <c r="C107" s="1">
        <v>278</v>
      </c>
      <c r="D107" s="1">
        <v>568</v>
      </c>
      <c r="E107" s="1">
        <v>211</v>
      </c>
      <c r="F107" s="1">
        <v>581</v>
      </c>
      <c r="G107" s="7">
        <v>0.08</v>
      </c>
      <c r="H107" s="1">
        <v>45</v>
      </c>
      <c r="I107" s="1" t="s">
        <v>39</v>
      </c>
      <c r="J107" s="1"/>
      <c r="K107" s="1">
        <v>266</v>
      </c>
      <c r="L107" s="1">
        <f t="shared" si="43"/>
        <v>-55</v>
      </c>
      <c r="M107" s="1">
        <f t="shared" si="29"/>
        <v>211</v>
      </c>
      <c r="N107" s="1"/>
      <c r="O107" s="1">
        <v>0</v>
      </c>
      <c r="P107" s="1"/>
      <c r="Q107" s="1"/>
      <c r="R107" s="1">
        <v>50</v>
      </c>
      <c r="S107" s="1">
        <f t="shared" si="44"/>
        <v>42.2</v>
      </c>
      <c r="T107" s="5">
        <v>200</v>
      </c>
      <c r="U107" s="5">
        <f t="shared" si="30"/>
        <v>200</v>
      </c>
      <c r="V107" s="5">
        <f t="shared" si="31"/>
        <v>200</v>
      </c>
      <c r="W107" s="5"/>
      <c r="X107" s="22"/>
      <c r="Y107" s="1">
        <f t="shared" si="32"/>
        <v>19.691943127962084</v>
      </c>
      <c r="Z107" s="1">
        <f t="shared" si="33"/>
        <v>14.952606635071088</v>
      </c>
      <c r="AA107" s="1">
        <v>49.2</v>
      </c>
      <c r="AB107" s="1">
        <v>54.2</v>
      </c>
      <c r="AC107" s="1">
        <v>46.4</v>
      </c>
      <c r="AD107" s="1">
        <v>59</v>
      </c>
      <c r="AE107" s="1">
        <v>58.6</v>
      </c>
      <c r="AF107" s="1">
        <v>35.6</v>
      </c>
      <c r="AG107" s="1">
        <v>40.4</v>
      </c>
      <c r="AH107" s="1">
        <v>39</v>
      </c>
      <c r="AI107" s="1">
        <v>49</v>
      </c>
      <c r="AJ107" s="1">
        <v>45.4</v>
      </c>
      <c r="AK107" s="1" t="s">
        <v>148</v>
      </c>
      <c r="AL107" s="1">
        <f t="shared" si="34"/>
        <v>16</v>
      </c>
      <c r="AM107" s="1">
        <f t="shared" si="35"/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157</v>
      </c>
      <c r="B108" s="1" t="s">
        <v>43</v>
      </c>
      <c r="C108" s="1">
        <v>36</v>
      </c>
      <c r="D108" s="1">
        <v>564</v>
      </c>
      <c r="E108" s="1">
        <v>113</v>
      </c>
      <c r="F108" s="1">
        <v>461</v>
      </c>
      <c r="G108" s="7">
        <v>0.08</v>
      </c>
      <c r="H108" s="1">
        <v>45</v>
      </c>
      <c r="I108" s="1" t="s">
        <v>39</v>
      </c>
      <c r="J108" s="1"/>
      <c r="K108" s="1">
        <v>156</v>
      </c>
      <c r="L108" s="1">
        <f t="shared" si="43"/>
        <v>-43</v>
      </c>
      <c r="M108" s="1">
        <f t="shared" si="29"/>
        <v>113</v>
      </c>
      <c r="N108" s="1"/>
      <c r="O108" s="1">
        <v>0</v>
      </c>
      <c r="P108" s="1"/>
      <c r="Q108" s="1"/>
      <c r="R108" s="1">
        <v>0</v>
      </c>
      <c r="S108" s="1">
        <f t="shared" si="44"/>
        <v>22.6</v>
      </c>
      <c r="T108" s="5">
        <v>40</v>
      </c>
      <c r="U108" s="5">
        <f t="shared" si="30"/>
        <v>40</v>
      </c>
      <c r="V108" s="5">
        <f t="shared" si="31"/>
        <v>40</v>
      </c>
      <c r="W108" s="5"/>
      <c r="X108" s="22"/>
      <c r="Y108" s="1">
        <f t="shared" si="32"/>
        <v>22.168141592920353</v>
      </c>
      <c r="Z108" s="1">
        <f t="shared" si="33"/>
        <v>20.398230088495573</v>
      </c>
      <c r="AA108" s="1">
        <v>9.6</v>
      </c>
      <c r="AB108" s="1">
        <v>4.4000000000000004</v>
      </c>
      <c r="AC108" s="1">
        <v>25.8</v>
      </c>
      <c r="AD108" s="1">
        <v>24.4</v>
      </c>
      <c r="AE108" s="1">
        <v>2.2000000000000002</v>
      </c>
      <c r="AF108" s="1">
        <v>12.4</v>
      </c>
      <c r="AG108" s="1">
        <v>32</v>
      </c>
      <c r="AH108" s="1">
        <v>30.4</v>
      </c>
      <c r="AI108" s="1">
        <v>36.200000000000003</v>
      </c>
      <c r="AJ108" s="1">
        <v>26.6</v>
      </c>
      <c r="AK108" s="1" t="s">
        <v>148</v>
      </c>
      <c r="AL108" s="1">
        <f t="shared" si="34"/>
        <v>3</v>
      </c>
      <c r="AM108" s="1">
        <f t="shared" si="35"/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158</v>
      </c>
      <c r="B109" s="1" t="s">
        <v>43</v>
      </c>
      <c r="C109" s="1">
        <v>25</v>
      </c>
      <c r="D109" s="1">
        <v>240</v>
      </c>
      <c r="E109" s="1">
        <v>103</v>
      </c>
      <c r="F109" s="1">
        <v>140</v>
      </c>
      <c r="G109" s="7">
        <v>0.17</v>
      </c>
      <c r="H109" s="1">
        <v>30</v>
      </c>
      <c r="I109" s="1" t="s">
        <v>39</v>
      </c>
      <c r="J109" s="1"/>
      <c r="K109" s="1">
        <v>125</v>
      </c>
      <c r="L109" s="1">
        <f t="shared" si="43"/>
        <v>-22</v>
      </c>
      <c r="M109" s="1">
        <f t="shared" si="29"/>
        <v>103</v>
      </c>
      <c r="N109" s="1"/>
      <c r="O109" s="1">
        <v>0</v>
      </c>
      <c r="P109" s="1"/>
      <c r="Q109" s="1"/>
      <c r="R109" s="1">
        <v>30</v>
      </c>
      <c r="S109" s="1">
        <f t="shared" si="44"/>
        <v>20.6</v>
      </c>
      <c r="T109" s="5">
        <f t="shared" ref="T109:T118" si="45">12*S109-R109-Q109-P109-O109-F109</f>
        <v>77.200000000000017</v>
      </c>
      <c r="U109" s="5">
        <f t="shared" si="30"/>
        <v>77.200000000000017</v>
      </c>
      <c r="V109" s="5">
        <f t="shared" si="31"/>
        <v>77.200000000000017</v>
      </c>
      <c r="W109" s="5"/>
      <c r="X109" s="22"/>
      <c r="Y109" s="1">
        <f t="shared" si="32"/>
        <v>12</v>
      </c>
      <c r="Z109" s="1">
        <f t="shared" si="33"/>
        <v>8.2524271844660184</v>
      </c>
      <c r="AA109" s="1">
        <v>16</v>
      </c>
      <c r="AB109" s="1">
        <v>14.6</v>
      </c>
      <c r="AC109" s="1">
        <v>10.8</v>
      </c>
      <c r="AD109" s="1">
        <v>15.6</v>
      </c>
      <c r="AE109" s="1">
        <v>14</v>
      </c>
      <c r="AF109" s="1">
        <v>2.4</v>
      </c>
      <c r="AG109" s="1">
        <v>3.2</v>
      </c>
      <c r="AH109" s="1">
        <v>8</v>
      </c>
      <c r="AI109" s="1">
        <v>9.1999999999999993</v>
      </c>
      <c r="AJ109" s="1">
        <v>7.8</v>
      </c>
      <c r="AK109" s="1" t="s">
        <v>148</v>
      </c>
      <c r="AL109" s="1">
        <f t="shared" si="34"/>
        <v>13</v>
      </c>
      <c r="AM109" s="1">
        <f t="shared" si="35"/>
        <v>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159</v>
      </c>
      <c r="B110" s="1" t="s">
        <v>38</v>
      </c>
      <c r="C110" s="1">
        <v>309.80799999999999</v>
      </c>
      <c r="D110" s="1">
        <v>105.77200000000001</v>
      </c>
      <c r="E110" s="1">
        <v>223.20400000000001</v>
      </c>
      <c r="F110" s="1">
        <v>165.92</v>
      </c>
      <c r="G110" s="7">
        <v>1</v>
      </c>
      <c r="H110" s="1">
        <v>40</v>
      </c>
      <c r="I110" s="1" t="s">
        <v>39</v>
      </c>
      <c r="J110" s="1"/>
      <c r="K110" s="1">
        <v>258.31</v>
      </c>
      <c r="L110" s="1">
        <f t="shared" si="43"/>
        <v>-35.105999999999995</v>
      </c>
      <c r="M110" s="1">
        <f t="shared" si="29"/>
        <v>223.20400000000001</v>
      </c>
      <c r="N110" s="1"/>
      <c r="O110" s="1">
        <v>48.04689999999988</v>
      </c>
      <c r="P110" s="1">
        <v>0</v>
      </c>
      <c r="Q110" s="1"/>
      <c r="R110" s="1">
        <v>109.6897000000001</v>
      </c>
      <c r="S110" s="1">
        <f t="shared" si="44"/>
        <v>44.640799999999999</v>
      </c>
      <c r="T110" s="5">
        <f t="shared" si="45"/>
        <v>212.03299999999993</v>
      </c>
      <c r="U110" s="5">
        <f t="shared" si="30"/>
        <v>212.03299999999993</v>
      </c>
      <c r="V110" s="5">
        <f t="shared" si="31"/>
        <v>101.77583999999996</v>
      </c>
      <c r="W110" s="5">
        <f>U110*$W$1</f>
        <v>110.25715999999997</v>
      </c>
      <c r="X110" s="22"/>
      <c r="Y110" s="1">
        <f t="shared" si="32"/>
        <v>11.999999999999998</v>
      </c>
      <c r="Z110" s="1">
        <f t="shared" si="33"/>
        <v>7.2502419311481869</v>
      </c>
      <c r="AA110" s="1">
        <v>37.654600000000002</v>
      </c>
      <c r="AB110" s="1">
        <v>36.516399999999997</v>
      </c>
      <c r="AC110" s="1">
        <v>39.003799999999998</v>
      </c>
      <c r="AD110" s="1">
        <v>47.948999999999998</v>
      </c>
      <c r="AE110" s="1">
        <v>50.321599999999997</v>
      </c>
      <c r="AF110" s="1">
        <v>34.956800000000001</v>
      </c>
      <c r="AG110" s="1">
        <v>41.598399999999998</v>
      </c>
      <c r="AH110" s="1">
        <v>45.939</v>
      </c>
      <c r="AI110" s="1">
        <v>53.251199999999997</v>
      </c>
      <c r="AJ110" s="1">
        <v>53.023000000000003</v>
      </c>
      <c r="AK110" s="1"/>
      <c r="AL110" s="1">
        <f t="shared" si="34"/>
        <v>102</v>
      </c>
      <c r="AM110" s="1">
        <f t="shared" si="35"/>
        <v>110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160</v>
      </c>
      <c r="B111" s="1" t="s">
        <v>38</v>
      </c>
      <c r="C111" s="1">
        <v>72.593999999999994</v>
      </c>
      <c r="D111" s="1">
        <v>160.309</v>
      </c>
      <c r="E111" s="1">
        <v>73.569999999999993</v>
      </c>
      <c r="F111" s="1">
        <v>149.86500000000001</v>
      </c>
      <c r="G111" s="7">
        <v>1</v>
      </c>
      <c r="H111" s="1">
        <v>40</v>
      </c>
      <c r="I111" s="1" t="s">
        <v>39</v>
      </c>
      <c r="J111" s="1"/>
      <c r="K111" s="1">
        <v>86.222999999999999</v>
      </c>
      <c r="L111" s="1">
        <f t="shared" si="43"/>
        <v>-12.653000000000006</v>
      </c>
      <c r="M111" s="1">
        <f t="shared" si="29"/>
        <v>73.569999999999993</v>
      </c>
      <c r="N111" s="1"/>
      <c r="O111" s="1">
        <v>0</v>
      </c>
      <c r="P111" s="1"/>
      <c r="Q111" s="1"/>
      <c r="R111" s="1">
        <v>0</v>
      </c>
      <c r="S111" s="1">
        <f t="shared" si="44"/>
        <v>14.713999999999999</v>
      </c>
      <c r="T111" s="5">
        <f t="shared" si="45"/>
        <v>26.702999999999975</v>
      </c>
      <c r="U111" s="5">
        <f t="shared" si="30"/>
        <v>26.702999999999975</v>
      </c>
      <c r="V111" s="5">
        <f t="shared" si="31"/>
        <v>26.702999999999975</v>
      </c>
      <c r="W111" s="5"/>
      <c r="X111" s="22"/>
      <c r="Y111" s="1">
        <f t="shared" si="32"/>
        <v>12</v>
      </c>
      <c r="Z111" s="1">
        <f t="shared" si="33"/>
        <v>10.185197770830504</v>
      </c>
      <c r="AA111" s="1">
        <v>10.642200000000001</v>
      </c>
      <c r="AB111" s="1">
        <v>4.7026000000000003</v>
      </c>
      <c r="AC111" s="1">
        <v>14.215400000000001</v>
      </c>
      <c r="AD111" s="1">
        <v>21.378</v>
      </c>
      <c r="AE111" s="1">
        <v>13.5524</v>
      </c>
      <c r="AF111" s="1">
        <v>5.1452</v>
      </c>
      <c r="AG111" s="1">
        <v>6.1728000000000014</v>
      </c>
      <c r="AH111" s="1">
        <v>6.9261999999999997</v>
      </c>
      <c r="AI111" s="1">
        <v>11.025399999999999</v>
      </c>
      <c r="AJ111" s="1">
        <v>19.4436</v>
      </c>
      <c r="AK111" s="1"/>
      <c r="AL111" s="1">
        <f t="shared" si="34"/>
        <v>27</v>
      </c>
      <c r="AM111" s="1">
        <f t="shared" si="35"/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161</v>
      </c>
      <c r="B112" s="1" t="s">
        <v>38</v>
      </c>
      <c r="C112" s="1">
        <v>206.02500000000001</v>
      </c>
      <c r="D112" s="1">
        <v>188.42099999999999</v>
      </c>
      <c r="E112" s="1">
        <v>208.36099999999999</v>
      </c>
      <c r="F112" s="1">
        <v>155.05500000000001</v>
      </c>
      <c r="G112" s="7">
        <v>1</v>
      </c>
      <c r="H112" s="1">
        <v>40</v>
      </c>
      <c r="I112" s="1" t="s">
        <v>39</v>
      </c>
      <c r="J112" s="1"/>
      <c r="K112" s="1">
        <v>238.851</v>
      </c>
      <c r="L112" s="1">
        <f t="shared" si="43"/>
        <v>-30.490000000000009</v>
      </c>
      <c r="M112" s="1">
        <f t="shared" si="29"/>
        <v>208.36099999999999</v>
      </c>
      <c r="N112" s="1"/>
      <c r="O112" s="1">
        <v>7.8940000000000046</v>
      </c>
      <c r="P112" s="1">
        <v>0</v>
      </c>
      <c r="Q112" s="1"/>
      <c r="R112" s="1">
        <v>117.4778</v>
      </c>
      <c r="S112" s="1">
        <f t="shared" si="44"/>
        <v>41.672199999999997</v>
      </c>
      <c r="T112" s="5">
        <f t="shared" si="45"/>
        <v>219.63959999999992</v>
      </c>
      <c r="U112" s="5">
        <f t="shared" si="30"/>
        <v>219.63959999999992</v>
      </c>
      <c r="V112" s="5">
        <f t="shared" si="31"/>
        <v>105.42700799999996</v>
      </c>
      <c r="W112" s="5">
        <f>U112*$W$1</f>
        <v>114.21259199999996</v>
      </c>
      <c r="X112" s="22"/>
      <c r="Y112" s="1">
        <f t="shared" si="32"/>
        <v>12</v>
      </c>
      <c r="Z112" s="1">
        <f t="shared" si="33"/>
        <v>6.7293495423807723</v>
      </c>
      <c r="AA112" s="1">
        <v>33.958799999999997</v>
      </c>
      <c r="AB112" s="1">
        <v>31.296800000000001</v>
      </c>
      <c r="AC112" s="1">
        <v>35.985399999999998</v>
      </c>
      <c r="AD112" s="1">
        <v>43.4876</v>
      </c>
      <c r="AE112" s="1">
        <v>38.700800000000001</v>
      </c>
      <c r="AF112" s="1">
        <v>22.611000000000001</v>
      </c>
      <c r="AG112" s="1">
        <v>27.788799999999998</v>
      </c>
      <c r="AH112" s="1">
        <v>32.3598</v>
      </c>
      <c r="AI112" s="1">
        <v>36.879600000000003</v>
      </c>
      <c r="AJ112" s="1">
        <v>41.132800000000003</v>
      </c>
      <c r="AK112" s="1"/>
      <c r="AL112" s="1">
        <f t="shared" si="34"/>
        <v>105</v>
      </c>
      <c r="AM112" s="1">
        <f t="shared" si="35"/>
        <v>114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162</v>
      </c>
      <c r="B113" s="1" t="s">
        <v>43</v>
      </c>
      <c r="C113" s="1">
        <v>15</v>
      </c>
      <c r="D113" s="1">
        <v>54</v>
      </c>
      <c r="E113" s="1">
        <v>16</v>
      </c>
      <c r="F113" s="1">
        <v>53</v>
      </c>
      <c r="G113" s="7">
        <v>0.3</v>
      </c>
      <c r="H113" s="1">
        <v>45</v>
      </c>
      <c r="I113" s="1" t="s">
        <v>39</v>
      </c>
      <c r="J113" s="1"/>
      <c r="K113" s="1">
        <v>116</v>
      </c>
      <c r="L113" s="1">
        <f t="shared" si="43"/>
        <v>-100</v>
      </c>
      <c r="M113" s="1">
        <f t="shared" si="29"/>
        <v>16</v>
      </c>
      <c r="N113" s="1"/>
      <c r="O113" s="1">
        <v>0</v>
      </c>
      <c r="P113" s="1"/>
      <c r="Q113" s="1"/>
      <c r="R113" s="1">
        <v>0</v>
      </c>
      <c r="S113" s="1">
        <f t="shared" si="44"/>
        <v>3.2</v>
      </c>
      <c r="T113" s="5"/>
      <c r="U113" s="5">
        <f t="shared" si="30"/>
        <v>0</v>
      </c>
      <c r="V113" s="5">
        <f t="shared" si="31"/>
        <v>0</v>
      </c>
      <c r="W113" s="5"/>
      <c r="X113" s="22"/>
      <c r="Y113" s="1">
        <f t="shared" si="32"/>
        <v>16.5625</v>
      </c>
      <c r="Z113" s="1">
        <f t="shared" si="33"/>
        <v>16.5625</v>
      </c>
      <c r="AA113" s="1">
        <v>4</v>
      </c>
      <c r="AB113" s="1">
        <v>3.8</v>
      </c>
      <c r="AC113" s="1">
        <v>7.4</v>
      </c>
      <c r="AD113" s="1">
        <v>15.4</v>
      </c>
      <c r="AE113" s="1">
        <v>15.2</v>
      </c>
      <c r="AF113" s="1">
        <v>5.8</v>
      </c>
      <c r="AG113" s="1">
        <v>0.6</v>
      </c>
      <c r="AH113" s="1">
        <v>0.6</v>
      </c>
      <c r="AI113" s="1">
        <v>3.8</v>
      </c>
      <c r="AJ113" s="1">
        <v>12.4</v>
      </c>
      <c r="AK113" s="1"/>
      <c r="AL113" s="1">
        <f t="shared" si="34"/>
        <v>0</v>
      </c>
      <c r="AM113" s="1">
        <f t="shared" si="35"/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163</v>
      </c>
      <c r="B114" s="1" t="s">
        <v>38</v>
      </c>
      <c r="C114" s="1">
        <v>-2.1840000000000002</v>
      </c>
      <c r="D114" s="1">
        <v>24.434999999999999</v>
      </c>
      <c r="E114" s="1"/>
      <c r="F114" s="1">
        <v>22.251000000000001</v>
      </c>
      <c r="G114" s="7">
        <v>1</v>
      </c>
      <c r="H114" s="1">
        <v>55</v>
      </c>
      <c r="I114" s="1" t="s">
        <v>39</v>
      </c>
      <c r="J114" s="1"/>
      <c r="K114" s="1"/>
      <c r="L114" s="1">
        <f t="shared" si="43"/>
        <v>0</v>
      </c>
      <c r="M114" s="1">
        <f t="shared" si="29"/>
        <v>0</v>
      </c>
      <c r="N114" s="1"/>
      <c r="O114" s="1">
        <v>0</v>
      </c>
      <c r="P114" s="1"/>
      <c r="Q114" s="1"/>
      <c r="R114" s="1">
        <v>0</v>
      </c>
      <c r="S114" s="1">
        <f t="shared" si="44"/>
        <v>0</v>
      </c>
      <c r="T114" s="5"/>
      <c r="U114" s="5">
        <f t="shared" si="30"/>
        <v>0</v>
      </c>
      <c r="V114" s="5">
        <f t="shared" si="31"/>
        <v>0</v>
      </c>
      <c r="W114" s="5"/>
      <c r="X114" s="22"/>
      <c r="Y114" s="1" t="e">
        <f t="shared" si="32"/>
        <v>#DIV/0!</v>
      </c>
      <c r="Z114" s="1" t="e">
        <f t="shared" si="33"/>
        <v>#DIV/0!</v>
      </c>
      <c r="AA114" s="1">
        <v>0</v>
      </c>
      <c r="AB114" s="1">
        <v>0</v>
      </c>
      <c r="AC114" s="1">
        <v>0.82919999999999994</v>
      </c>
      <c r="AD114" s="1">
        <v>1.1052</v>
      </c>
      <c r="AE114" s="1">
        <v>0.27600000000000002</v>
      </c>
      <c r="AF114" s="1">
        <v>0</v>
      </c>
      <c r="AG114" s="1">
        <v>0.40500000000000003</v>
      </c>
      <c r="AH114" s="1">
        <v>0.40500000000000003</v>
      </c>
      <c r="AI114" s="1">
        <v>1.224</v>
      </c>
      <c r="AJ114" s="1">
        <v>0.5544</v>
      </c>
      <c r="AK114" s="1"/>
      <c r="AL114" s="1">
        <f t="shared" si="34"/>
        <v>0</v>
      </c>
      <c r="AM114" s="1">
        <f t="shared" si="35"/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164</v>
      </c>
      <c r="B115" s="1" t="s">
        <v>43</v>
      </c>
      <c r="C115" s="1">
        <v>345</v>
      </c>
      <c r="D115" s="1">
        <v>372</v>
      </c>
      <c r="E115" s="1">
        <v>351</v>
      </c>
      <c r="F115" s="1">
        <v>307</v>
      </c>
      <c r="G115" s="7">
        <v>0.28000000000000003</v>
      </c>
      <c r="H115" s="1">
        <v>40</v>
      </c>
      <c r="I115" s="1" t="s">
        <v>39</v>
      </c>
      <c r="J115" s="1"/>
      <c r="K115" s="1">
        <v>415</v>
      </c>
      <c r="L115" s="1">
        <f t="shared" si="43"/>
        <v>-64</v>
      </c>
      <c r="M115" s="1">
        <f t="shared" si="29"/>
        <v>351</v>
      </c>
      <c r="N115" s="1"/>
      <c r="O115" s="1">
        <v>359.22080799999998</v>
      </c>
      <c r="P115" s="1">
        <v>0</v>
      </c>
      <c r="Q115" s="1"/>
      <c r="R115" s="1">
        <v>0</v>
      </c>
      <c r="S115" s="1">
        <f t="shared" si="44"/>
        <v>70.2</v>
      </c>
      <c r="T115" s="5">
        <f t="shared" si="45"/>
        <v>176.17919200000011</v>
      </c>
      <c r="U115" s="5">
        <f t="shared" si="30"/>
        <v>176.17919200000011</v>
      </c>
      <c r="V115" s="5">
        <f t="shared" si="31"/>
        <v>176.17919200000011</v>
      </c>
      <c r="W115" s="5"/>
      <c r="X115" s="22"/>
      <c r="Y115" s="1">
        <f t="shared" si="32"/>
        <v>12</v>
      </c>
      <c r="Z115" s="1">
        <f t="shared" si="33"/>
        <v>9.4903249002849002</v>
      </c>
      <c r="AA115" s="1">
        <v>72</v>
      </c>
      <c r="AB115" s="1">
        <v>68.400000000000006</v>
      </c>
      <c r="AC115" s="1">
        <v>58.2</v>
      </c>
      <c r="AD115" s="1">
        <v>83.8</v>
      </c>
      <c r="AE115" s="1">
        <v>89</v>
      </c>
      <c r="AF115" s="1">
        <v>60.4</v>
      </c>
      <c r="AG115" s="1">
        <v>51.8</v>
      </c>
      <c r="AH115" s="1">
        <v>57</v>
      </c>
      <c r="AI115" s="1">
        <v>70</v>
      </c>
      <c r="AJ115" s="1">
        <v>76.8</v>
      </c>
      <c r="AK115" s="1"/>
      <c r="AL115" s="1">
        <f t="shared" si="34"/>
        <v>49</v>
      </c>
      <c r="AM115" s="1">
        <f t="shared" si="35"/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165</v>
      </c>
      <c r="B116" s="1" t="s">
        <v>43</v>
      </c>
      <c r="C116" s="1">
        <v>294.726</v>
      </c>
      <c r="D116" s="1">
        <v>101</v>
      </c>
      <c r="E116" s="1">
        <v>341</v>
      </c>
      <c r="F116" s="1">
        <v>-3.274</v>
      </c>
      <c r="G116" s="7">
        <v>0.28000000000000003</v>
      </c>
      <c r="H116" s="1">
        <v>40</v>
      </c>
      <c r="I116" s="1" t="s">
        <v>39</v>
      </c>
      <c r="J116" s="1"/>
      <c r="K116" s="1">
        <v>446</v>
      </c>
      <c r="L116" s="1">
        <f t="shared" si="43"/>
        <v>-105</v>
      </c>
      <c r="M116" s="1">
        <f t="shared" si="29"/>
        <v>341</v>
      </c>
      <c r="N116" s="1"/>
      <c r="O116" s="1">
        <v>0</v>
      </c>
      <c r="P116" s="1"/>
      <c r="Q116" s="1"/>
      <c r="R116" s="1">
        <v>465.87400000000002</v>
      </c>
      <c r="S116" s="1">
        <f t="shared" si="44"/>
        <v>68.2</v>
      </c>
      <c r="T116" s="5">
        <f t="shared" si="45"/>
        <v>355.80000000000007</v>
      </c>
      <c r="U116" s="5">
        <f t="shared" si="30"/>
        <v>355.80000000000007</v>
      </c>
      <c r="V116" s="5">
        <f t="shared" si="31"/>
        <v>170.78400000000002</v>
      </c>
      <c r="W116" s="5">
        <f t="shared" ref="W116:W117" si="46">U116*$W$1</f>
        <v>185.01600000000005</v>
      </c>
      <c r="X116" s="22"/>
      <c r="Y116" s="1">
        <f t="shared" si="32"/>
        <v>12</v>
      </c>
      <c r="Z116" s="1">
        <f t="shared" si="33"/>
        <v>6.7829912023460412</v>
      </c>
      <c r="AA116" s="1">
        <v>81.8</v>
      </c>
      <c r="AB116" s="1">
        <v>56.2</v>
      </c>
      <c r="AC116" s="1">
        <v>63.6</v>
      </c>
      <c r="AD116" s="1">
        <v>109</v>
      </c>
      <c r="AE116" s="1">
        <v>91.4</v>
      </c>
      <c r="AF116" s="1">
        <v>49.0548</v>
      </c>
      <c r="AG116" s="1">
        <v>24.854800000000001</v>
      </c>
      <c r="AH116" s="1">
        <v>32.654800000000002</v>
      </c>
      <c r="AI116" s="1">
        <v>50.4</v>
      </c>
      <c r="AJ116" s="1">
        <v>91.8</v>
      </c>
      <c r="AK116" s="1"/>
      <c r="AL116" s="1">
        <f t="shared" si="34"/>
        <v>48</v>
      </c>
      <c r="AM116" s="1">
        <f t="shared" si="35"/>
        <v>52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 t="s">
        <v>166</v>
      </c>
      <c r="B117" s="1" t="s">
        <v>43</v>
      </c>
      <c r="C117" s="1">
        <v>541.5</v>
      </c>
      <c r="D117" s="1">
        <v>622</v>
      </c>
      <c r="E117" s="1">
        <v>536</v>
      </c>
      <c r="F117" s="1">
        <v>543.5</v>
      </c>
      <c r="G117" s="7">
        <v>0.28000000000000003</v>
      </c>
      <c r="H117" s="1">
        <v>40</v>
      </c>
      <c r="I117" s="16" t="s">
        <v>72</v>
      </c>
      <c r="J117" s="1"/>
      <c r="K117" s="1">
        <v>620</v>
      </c>
      <c r="L117" s="1">
        <f t="shared" si="43"/>
        <v>-84</v>
      </c>
      <c r="M117" s="1">
        <f t="shared" si="29"/>
        <v>536</v>
      </c>
      <c r="N117" s="1"/>
      <c r="O117" s="1">
        <v>379.37465200000008</v>
      </c>
      <c r="P117" s="1">
        <v>-383.99999999999989</v>
      </c>
      <c r="Q117" s="1"/>
      <c r="R117" s="1">
        <v>275.88799999999998</v>
      </c>
      <c r="S117" s="1">
        <f t="shared" si="44"/>
        <v>107.2</v>
      </c>
      <c r="T117" s="5">
        <v>250</v>
      </c>
      <c r="U117" s="5">
        <f t="shared" si="30"/>
        <v>250</v>
      </c>
      <c r="V117" s="5">
        <v>150</v>
      </c>
      <c r="W117" s="5">
        <f t="shared" si="46"/>
        <v>130</v>
      </c>
      <c r="X117" s="22"/>
      <c r="Y117" s="1">
        <f t="shared" si="32"/>
        <v>9.9324874253731359</v>
      </c>
      <c r="Z117" s="1">
        <f t="shared" si="33"/>
        <v>7.6003978731343294</v>
      </c>
      <c r="AA117" s="1">
        <v>111.6</v>
      </c>
      <c r="AB117" s="1">
        <v>111.6</v>
      </c>
      <c r="AC117" s="1">
        <v>95.6</v>
      </c>
      <c r="AD117" s="1">
        <v>123.2</v>
      </c>
      <c r="AE117" s="1">
        <v>137</v>
      </c>
      <c r="AF117" s="1">
        <v>87.1</v>
      </c>
      <c r="AG117" s="1">
        <v>78.7</v>
      </c>
      <c r="AH117" s="1">
        <v>78.5</v>
      </c>
      <c r="AI117" s="1">
        <v>103.2</v>
      </c>
      <c r="AJ117" s="1">
        <v>101.8</v>
      </c>
      <c r="AK117" s="1"/>
      <c r="AL117" s="1">
        <f t="shared" si="34"/>
        <v>42</v>
      </c>
      <c r="AM117" s="1">
        <f t="shared" si="35"/>
        <v>36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167</v>
      </c>
      <c r="B118" s="1" t="s">
        <v>43</v>
      </c>
      <c r="C118" s="1">
        <v>64</v>
      </c>
      <c r="D118" s="1">
        <v>117</v>
      </c>
      <c r="E118" s="1">
        <v>87</v>
      </c>
      <c r="F118" s="1">
        <v>72</v>
      </c>
      <c r="G118" s="7">
        <v>0.09</v>
      </c>
      <c r="H118" s="1">
        <v>45</v>
      </c>
      <c r="I118" s="1" t="s">
        <v>39</v>
      </c>
      <c r="J118" s="1"/>
      <c r="K118" s="1">
        <v>136</v>
      </c>
      <c r="L118" s="1">
        <f t="shared" si="43"/>
        <v>-49</v>
      </c>
      <c r="M118" s="1">
        <f t="shared" si="29"/>
        <v>87</v>
      </c>
      <c r="N118" s="1"/>
      <c r="O118" s="1">
        <v>56.179999999999978</v>
      </c>
      <c r="P118" s="1">
        <v>0</v>
      </c>
      <c r="Q118" s="1"/>
      <c r="R118" s="1">
        <v>0</v>
      </c>
      <c r="S118" s="1">
        <f t="shared" si="44"/>
        <v>17.399999999999999</v>
      </c>
      <c r="T118" s="5">
        <f t="shared" si="45"/>
        <v>80.62</v>
      </c>
      <c r="U118" s="5">
        <f t="shared" si="30"/>
        <v>80.62</v>
      </c>
      <c r="V118" s="5">
        <f t="shared" si="31"/>
        <v>80.62</v>
      </c>
      <c r="W118" s="5"/>
      <c r="X118" s="22"/>
      <c r="Y118" s="1">
        <f t="shared" si="32"/>
        <v>12</v>
      </c>
      <c r="Z118" s="1">
        <f t="shared" si="33"/>
        <v>7.3666666666666663</v>
      </c>
      <c r="AA118" s="1">
        <v>12.2</v>
      </c>
      <c r="AB118" s="1">
        <v>15.6</v>
      </c>
      <c r="AC118" s="1">
        <v>14.2</v>
      </c>
      <c r="AD118" s="1">
        <v>12.2</v>
      </c>
      <c r="AE118" s="1">
        <v>13.2</v>
      </c>
      <c r="AF118" s="1">
        <v>5.4</v>
      </c>
      <c r="AG118" s="1">
        <v>9.8000000000000007</v>
      </c>
      <c r="AH118" s="1">
        <v>6.6</v>
      </c>
      <c r="AI118" s="1">
        <v>10</v>
      </c>
      <c r="AJ118" s="1">
        <v>8.1999999999999993</v>
      </c>
      <c r="AK118" s="1"/>
      <c r="AL118" s="1">
        <f t="shared" si="34"/>
        <v>7</v>
      </c>
      <c r="AM118" s="1">
        <f t="shared" si="35"/>
        <v>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0" t="s">
        <v>168</v>
      </c>
      <c r="B119" s="10" t="s">
        <v>38</v>
      </c>
      <c r="C119" s="10">
        <v>43.000999999999998</v>
      </c>
      <c r="D119" s="10"/>
      <c r="E119" s="10"/>
      <c r="F119" s="10">
        <v>-0.09</v>
      </c>
      <c r="G119" s="11">
        <v>0</v>
      </c>
      <c r="H119" s="10">
        <v>55</v>
      </c>
      <c r="I119" s="10" t="s">
        <v>54</v>
      </c>
      <c r="J119" s="10"/>
      <c r="K119" s="10"/>
      <c r="L119" s="10">
        <f t="shared" si="43"/>
        <v>0</v>
      </c>
      <c r="M119" s="10">
        <f t="shared" si="29"/>
        <v>0</v>
      </c>
      <c r="N119" s="10"/>
      <c r="O119" s="10">
        <v>0</v>
      </c>
      <c r="P119" s="10"/>
      <c r="Q119" s="10"/>
      <c r="R119" s="10">
        <v>0</v>
      </c>
      <c r="S119" s="10">
        <f t="shared" si="44"/>
        <v>0</v>
      </c>
      <c r="T119" s="12"/>
      <c r="U119" s="5">
        <f t="shared" si="30"/>
        <v>0</v>
      </c>
      <c r="V119" s="5">
        <f t="shared" si="31"/>
        <v>0</v>
      </c>
      <c r="W119" s="5"/>
      <c r="X119" s="22"/>
      <c r="Y119" s="10" t="e">
        <f t="shared" si="32"/>
        <v>#DIV/0!</v>
      </c>
      <c r="Z119" s="10" t="e">
        <f t="shared" si="33"/>
        <v>#DIV/0!</v>
      </c>
      <c r="AA119" s="10">
        <v>2.1854</v>
      </c>
      <c r="AB119" s="10">
        <v>2.1854</v>
      </c>
      <c r="AC119" s="10">
        <v>1.3512</v>
      </c>
      <c r="AD119" s="10">
        <v>2.4342000000000001</v>
      </c>
      <c r="AE119" s="10">
        <v>1.6259999999999999</v>
      </c>
      <c r="AF119" s="10">
        <v>1.085</v>
      </c>
      <c r="AG119" s="10">
        <v>1.8994</v>
      </c>
      <c r="AH119" s="10">
        <v>2.1669999999999998</v>
      </c>
      <c r="AI119" s="10">
        <v>2.1669999999999998</v>
      </c>
      <c r="AJ119" s="10">
        <v>0.80959999999999999</v>
      </c>
      <c r="AK119" s="10"/>
      <c r="AL119" s="1">
        <f t="shared" si="34"/>
        <v>0</v>
      </c>
      <c r="AM119" s="1">
        <f t="shared" si="35"/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 t="s">
        <v>169</v>
      </c>
      <c r="B120" s="1" t="s">
        <v>38</v>
      </c>
      <c r="C120" s="1">
        <v>101.86199999999999</v>
      </c>
      <c r="D120" s="1">
        <v>67.915999999999997</v>
      </c>
      <c r="E120" s="1">
        <v>44.600999999999999</v>
      </c>
      <c r="F120" s="1">
        <v>125.17700000000001</v>
      </c>
      <c r="G120" s="7">
        <v>1</v>
      </c>
      <c r="H120" s="1">
        <v>60</v>
      </c>
      <c r="I120" s="1" t="s">
        <v>39</v>
      </c>
      <c r="J120" s="1"/>
      <c r="K120" s="1">
        <v>45</v>
      </c>
      <c r="L120" s="1">
        <f t="shared" si="43"/>
        <v>-0.39900000000000091</v>
      </c>
      <c r="M120" s="1">
        <f t="shared" si="29"/>
        <v>44.600999999999999</v>
      </c>
      <c r="N120" s="1"/>
      <c r="O120" s="1">
        <v>0</v>
      </c>
      <c r="P120" s="1"/>
      <c r="Q120" s="1"/>
      <c r="R120" s="1">
        <v>0</v>
      </c>
      <c r="S120" s="1">
        <f t="shared" si="44"/>
        <v>8.9201999999999995</v>
      </c>
      <c r="T120" s="5"/>
      <c r="U120" s="5">
        <f t="shared" si="30"/>
        <v>0</v>
      </c>
      <c r="V120" s="5">
        <f t="shared" si="31"/>
        <v>0</v>
      </c>
      <c r="W120" s="5"/>
      <c r="X120" s="22"/>
      <c r="Y120" s="1">
        <f t="shared" si="32"/>
        <v>14.032981323288718</v>
      </c>
      <c r="Z120" s="1">
        <f t="shared" si="33"/>
        <v>14.032981323288718</v>
      </c>
      <c r="AA120" s="1">
        <v>6.9382000000000001</v>
      </c>
      <c r="AB120" s="1">
        <v>6.2747999999999999</v>
      </c>
      <c r="AC120" s="1">
        <v>10.271599999999999</v>
      </c>
      <c r="AD120" s="1">
        <v>16.718</v>
      </c>
      <c r="AE120" s="1">
        <v>14.504</v>
      </c>
      <c r="AF120" s="1">
        <v>5.6520000000000001</v>
      </c>
      <c r="AG120" s="1">
        <v>6.5449999999999999</v>
      </c>
      <c r="AH120" s="1">
        <v>9.0909999999999993</v>
      </c>
      <c r="AI120" s="1">
        <v>11.584199999999999</v>
      </c>
      <c r="AJ120" s="1">
        <v>9.4443999999999999</v>
      </c>
      <c r="AK120" s="1"/>
      <c r="AL120" s="1">
        <f t="shared" si="34"/>
        <v>0</v>
      </c>
      <c r="AM120" s="1">
        <f t="shared" si="35"/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 t="s">
        <v>170</v>
      </c>
      <c r="B121" s="1" t="s">
        <v>38</v>
      </c>
      <c r="C121" s="1">
        <v>56.079000000000001</v>
      </c>
      <c r="D121" s="1">
        <v>4.9969999999999999</v>
      </c>
      <c r="E121" s="1">
        <v>19.920000000000002</v>
      </c>
      <c r="F121" s="1">
        <v>41.155999999999999</v>
      </c>
      <c r="G121" s="7">
        <v>1</v>
      </c>
      <c r="H121" s="1">
        <v>50</v>
      </c>
      <c r="I121" s="1" t="s">
        <v>39</v>
      </c>
      <c r="J121" s="1"/>
      <c r="K121" s="1">
        <v>20</v>
      </c>
      <c r="L121" s="1">
        <f t="shared" si="43"/>
        <v>-7.9999999999998295E-2</v>
      </c>
      <c r="M121" s="1">
        <f t="shared" si="29"/>
        <v>19.920000000000002</v>
      </c>
      <c r="N121" s="1"/>
      <c r="O121" s="1">
        <v>0</v>
      </c>
      <c r="P121" s="1"/>
      <c r="Q121" s="1"/>
      <c r="R121" s="1">
        <v>0</v>
      </c>
      <c r="S121" s="1">
        <f t="shared" si="44"/>
        <v>3.9840000000000004</v>
      </c>
      <c r="T121" s="5">
        <f t="shared" ref="T121:T135" si="47">12*S121-R121-Q121-P121-O121-F121</f>
        <v>6.6520000000000081</v>
      </c>
      <c r="U121" s="5">
        <f t="shared" si="30"/>
        <v>6.6520000000000081</v>
      </c>
      <c r="V121" s="5">
        <f t="shared" si="31"/>
        <v>6.6520000000000081</v>
      </c>
      <c r="W121" s="5"/>
      <c r="X121" s="22"/>
      <c r="Y121" s="1">
        <f t="shared" si="32"/>
        <v>12</v>
      </c>
      <c r="Z121" s="1">
        <f t="shared" si="33"/>
        <v>10.330321285140561</v>
      </c>
      <c r="AA121" s="1">
        <v>3.3889999999999998</v>
      </c>
      <c r="AB121" s="1">
        <v>4.8133999999999997</v>
      </c>
      <c r="AC121" s="1">
        <v>2.9209999999999998</v>
      </c>
      <c r="AD121" s="1">
        <v>5.9039999999999999</v>
      </c>
      <c r="AE121" s="1">
        <v>10.317399999999999</v>
      </c>
      <c r="AF121" s="1">
        <v>4.4803999999999977</v>
      </c>
      <c r="AG121" s="1">
        <v>3.0777999999999999</v>
      </c>
      <c r="AH121" s="1">
        <v>4.9722</v>
      </c>
      <c r="AI121" s="1">
        <v>7.1712000000000007</v>
      </c>
      <c r="AJ121" s="1">
        <v>8.8970000000000002</v>
      </c>
      <c r="AK121" s="1"/>
      <c r="AL121" s="1">
        <f t="shared" si="34"/>
        <v>7</v>
      </c>
      <c r="AM121" s="1">
        <f t="shared" si="35"/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171</v>
      </c>
      <c r="B122" s="1" t="s">
        <v>43</v>
      </c>
      <c r="C122" s="1">
        <v>45</v>
      </c>
      <c r="D122" s="1">
        <v>385</v>
      </c>
      <c r="E122" s="1">
        <v>56</v>
      </c>
      <c r="F122" s="1">
        <v>357</v>
      </c>
      <c r="G122" s="7">
        <v>0.09</v>
      </c>
      <c r="H122" s="1">
        <v>45</v>
      </c>
      <c r="I122" s="1" t="s">
        <v>39</v>
      </c>
      <c r="J122" s="1"/>
      <c r="K122" s="1">
        <v>126</v>
      </c>
      <c r="L122" s="1">
        <f t="shared" si="43"/>
        <v>-70</v>
      </c>
      <c r="M122" s="1">
        <f t="shared" si="29"/>
        <v>56</v>
      </c>
      <c r="N122" s="1"/>
      <c r="O122" s="1">
        <v>0</v>
      </c>
      <c r="P122" s="1"/>
      <c r="Q122" s="1"/>
      <c r="R122" s="1">
        <v>0</v>
      </c>
      <c r="S122" s="1">
        <f t="shared" si="44"/>
        <v>11.2</v>
      </c>
      <c r="T122" s="5"/>
      <c r="U122" s="5">
        <f t="shared" si="30"/>
        <v>0</v>
      </c>
      <c r="V122" s="5">
        <f t="shared" si="31"/>
        <v>0</v>
      </c>
      <c r="W122" s="5"/>
      <c r="X122" s="22"/>
      <c r="Y122" s="1">
        <f t="shared" si="32"/>
        <v>31.875000000000004</v>
      </c>
      <c r="Z122" s="1">
        <f t="shared" si="33"/>
        <v>31.875000000000004</v>
      </c>
      <c r="AA122" s="1">
        <v>16.2</v>
      </c>
      <c r="AB122" s="1">
        <v>19.399999999999999</v>
      </c>
      <c r="AC122" s="1">
        <v>14.4</v>
      </c>
      <c r="AD122" s="1">
        <v>11.6</v>
      </c>
      <c r="AE122" s="1">
        <v>13.8</v>
      </c>
      <c r="AF122" s="1">
        <v>8.8000000000000007</v>
      </c>
      <c r="AG122" s="1">
        <v>6.4</v>
      </c>
      <c r="AH122" s="1">
        <v>4.8</v>
      </c>
      <c r="AI122" s="1">
        <v>6.4</v>
      </c>
      <c r="AJ122" s="1">
        <v>8.1999999999999993</v>
      </c>
      <c r="AK122" s="1" t="s">
        <v>148</v>
      </c>
      <c r="AL122" s="1">
        <f t="shared" si="34"/>
        <v>0</v>
      </c>
      <c r="AM122" s="1">
        <f t="shared" si="35"/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 t="s">
        <v>172</v>
      </c>
      <c r="B123" s="1" t="s">
        <v>43</v>
      </c>
      <c r="C123" s="1">
        <v>87</v>
      </c>
      <c r="D123" s="1">
        <v>322</v>
      </c>
      <c r="E123" s="1">
        <v>94</v>
      </c>
      <c r="F123" s="1">
        <v>298</v>
      </c>
      <c r="G123" s="7">
        <v>0.09</v>
      </c>
      <c r="H123" s="1">
        <v>45</v>
      </c>
      <c r="I123" s="1" t="s">
        <v>39</v>
      </c>
      <c r="J123" s="1"/>
      <c r="K123" s="1">
        <v>113</v>
      </c>
      <c r="L123" s="1">
        <f t="shared" si="43"/>
        <v>-19</v>
      </c>
      <c r="M123" s="1">
        <f t="shared" si="29"/>
        <v>94</v>
      </c>
      <c r="N123" s="1"/>
      <c r="O123" s="1">
        <v>0</v>
      </c>
      <c r="P123" s="1"/>
      <c r="Q123" s="1"/>
      <c r="R123" s="1">
        <v>0</v>
      </c>
      <c r="S123" s="1">
        <f t="shared" si="44"/>
        <v>18.8</v>
      </c>
      <c r="T123" s="5">
        <v>40</v>
      </c>
      <c r="U123" s="5">
        <f t="shared" si="30"/>
        <v>40</v>
      </c>
      <c r="V123" s="5">
        <f t="shared" si="31"/>
        <v>40</v>
      </c>
      <c r="W123" s="5"/>
      <c r="X123" s="22"/>
      <c r="Y123" s="1">
        <f t="shared" si="32"/>
        <v>17.978723404255319</v>
      </c>
      <c r="Z123" s="1">
        <f t="shared" si="33"/>
        <v>15.851063829787233</v>
      </c>
      <c r="AA123" s="1">
        <v>15.4</v>
      </c>
      <c r="AB123" s="1">
        <v>16.2</v>
      </c>
      <c r="AC123" s="1">
        <v>9</v>
      </c>
      <c r="AD123" s="1">
        <v>10.199999999999999</v>
      </c>
      <c r="AE123" s="1">
        <v>17.399999999999999</v>
      </c>
      <c r="AF123" s="1">
        <v>9.8000000000000007</v>
      </c>
      <c r="AG123" s="1">
        <v>1.8</v>
      </c>
      <c r="AH123" s="1">
        <v>1.4</v>
      </c>
      <c r="AI123" s="1">
        <v>0.2</v>
      </c>
      <c r="AJ123" s="1">
        <v>6</v>
      </c>
      <c r="AK123" s="1" t="s">
        <v>148</v>
      </c>
      <c r="AL123" s="1">
        <f t="shared" si="34"/>
        <v>4</v>
      </c>
      <c r="AM123" s="1">
        <f t="shared" si="35"/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 t="s">
        <v>173</v>
      </c>
      <c r="B124" s="1" t="s">
        <v>38</v>
      </c>
      <c r="C124" s="1">
        <v>133.50899999999999</v>
      </c>
      <c r="D124" s="1">
        <v>16.550999999999998</v>
      </c>
      <c r="E124" s="1">
        <v>103.13800000000001</v>
      </c>
      <c r="F124" s="1">
        <v>31.206</v>
      </c>
      <c r="G124" s="7">
        <v>1</v>
      </c>
      <c r="H124" s="1">
        <v>60</v>
      </c>
      <c r="I124" s="1" t="s">
        <v>39</v>
      </c>
      <c r="J124" s="1"/>
      <c r="K124" s="1">
        <v>120.37</v>
      </c>
      <c r="L124" s="1">
        <f t="shared" si="43"/>
        <v>-17.231999999999999</v>
      </c>
      <c r="M124" s="1">
        <f t="shared" si="29"/>
        <v>103.13800000000001</v>
      </c>
      <c r="N124" s="1"/>
      <c r="O124" s="1">
        <v>50</v>
      </c>
      <c r="P124" s="1">
        <v>0</v>
      </c>
      <c r="Q124" s="1"/>
      <c r="R124" s="1">
        <v>68.55240000000002</v>
      </c>
      <c r="S124" s="1">
        <f t="shared" si="44"/>
        <v>20.627600000000001</v>
      </c>
      <c r="T124" s="5">
        <f t="shared" si="47"/>
        <v>97.772799999999975</v>
      </c>
      <c r="U124" s="5">
        <f t="shared" si="30"/>
        <v>97.772799999999975</v>
      </c>
      <c r="V124" s="5">
        <f t="shared" si="31"/>
        <v>97.772799999999975</v>
      </c>
      <c r="W124" s="5"/>
      <c r="X124" s="22"/>
      <c r="Y124" s="1">
        <f t="shared" si="32"/>
        <v>12</v>
      </c>
      <c r="Z124" s="1">
        <f t="shared" si="33"/>
        <v>7.2600981209641455</v>
      </c>
      <c r="AA124" s="1">
        <v>16.761399999999998</v>
      </c>
      <c r="AB124" s="1">
        <v>9.4372000000000007</v>
      </c>
      <c r="AC124" s="1">
        <v>6.8977999999999993</v>
      </c>
      <c r="AD124" s="1">
        <v>9.4394000000000009</v>
      </c>
      <c r="AE124" s="1">
        <v>15.491400000000001</v>
      </c>
      <c r="AF124" s="1">
        <v>11.78399999999999</v>
      </c>
      <c r="AG124" s="1">
        <v>8.2132000000000005</v>
      </c>
      <c r="AH124" s="1">
        <v>7.9378000000000002</v>
      </c>
      <c r="AI124" s="1">
        <v>9.9105999999999987</v>
      </c>
      <c r="AJ124" s="1">
        <v>11.642799999999999</v>
      </c>
      <c r="AK124" s="1" t="s">
        <v>174</v>
      </c>
      <c r="AL124" s="1">
        <f t="shared" si="34"/>
        <v>98</v>
      </c>
      <c r="AM124" s="1">
        <f t="shared" si="35"/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 t="s">
        <v>175</v>
      </c>
      <c r="B125" s="1" t="s">
        <v>38</v>
      </c>
      <c r="C125" s="1">
        <v>759.43700000000001</v>
      </c>
      <c r="D125" s="1">
        <v>455.697</v>
      </c>
      <c r="E125" s="1">
        <v>728.23500000000001</v>
      </c>
      <c r="F125" s="1">
        <v>434.33699999999999</v>
      </c>
      <c r="G125" s="7">
        <v>1</v>
      </c>
      <c r="H125" s="1">
        <v>60</v>
      </c>
      <c r="I125" s="1" t="s">
        <v>39</v>
      </c>
      <c r="J125" s="1"/>
      <c r="K125" s="1">
        <v>776.01300000000003</v>
      </c>
      <c r="L125" s="1">
        <f t="shared" si="43"/>
        <v>-47.77800000000002</v>
      </c>
      <c r="M125" s="1">
        <f t="shared" si="29"/>
        <v>728.23500000000001</v>
      </c>
      <c r="N125" s="1"/>
      <c r="O125" s="1">
        <v>0</v>
      </c>
      <c r="P125" s="1"/>
      <c r="Q125" s="1"/>
      <c r="R125" s="1">
        <v>622.45597599999996</v>
      </c>
      <c r="S125" s="1">
        <f t="shared" si="44"/>
        <v>145.64699999999999</v>
      </c>
      <c r="T125" s="5">
        <f t="shared" si="47"/>
        <v>690.97102399999994</v>
      </c>
      <c r="U125" s="5">
        <f t="shared" si="30"/>
        <v>690.97102399999994</v>
      </c>
      <c r="V125" s="5">
        <f t="shared" si="31"/>
        <v>331.66609151999995</v>
      </c>
      <c r="W125" s="5">
        <f>U125*$W$1</f>
        <v>359.30493247999999</v>
      </c>
      <c r="X125" s="22"/>
      <c r="Y125" s="1">
        <f t="shared" si="32"/>
        <v>12</v>
      </c>
      <c r="Z125" s="1">
        <f t="shared" si="33"/>
        <v>7.2558513117331636</v>
      </c>
      <c r="AA125" s="1">
        <v>115.8732</v>
      </c>
      <c r="AB125" s="1">
        <v>76.514800000000008</v>
      </c>
      <c r="AC125" s="1">
        <v>92.683799999999991</v>
      </c>
      <c r="AD125" s="1">
        <v>121.5682</v>
      </c>
      <c r="AE125" s="1">
        <v>123.7212</v>
      </c>
      <c r="AF125" s="1">
        <v>82.874800000000008</v>
      </c>
      <c r="AG125" s="1">
        <v>81.725400000000008</v>
      </c>
      <c r="AH125" s="1">
        <v>95.796599999999998</v>
      </c>
      <c r="AI125" s="1">
        <v>110.8334</v>
      </c>
      <c r="AJ125" s="1">
        <v>111.65</v>
      </c>
      <c r="AK125" s="1"/>
      <c r="AL125" s="1">
        <f t="shared" si="34"/>
        <v>332</v>
      </c>
      <c r="AM125" s="1">
        <f t="shared" si="35"/>
        <v>359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 t="s">
        <v>176</v>
      </c>
      <c r="B126" s="1" t="s">
        <v>38</v>
      </c>
      <c r="C126" s="1">
        <v>265.08800000000002</v>
      </c>
      <c r="D126" s="1">
        <v>14.773999999999999</v>
      </c>
      <c r="E126" s="1">
        <v>82.537000000000006</v>
      </c>
      <c r="F126" s="1">
        <v>193.464</v>
      </c>
      <c r="G126" s="7">
        <v>1</v>
      </c>
      <c r="H126" s="1">
        <v>60</v>
      </c>
      <c r="I126" s="1" t="s">
        <v>39</v>
      </c>
      <c r="J126" s="1"/>
      <c r="K126" s="1">
        <v>88.1</v>
      </c>
      <c r="L126" s="1">
        <f t="shared" si="43"/>
        <v>-5.5629999999999882</v>
      </c>
      <c r="M126" s="1">
        <f t="shared" si="29"/>
        <v>82.537000000000006</v>
      </c>
      <c r="N126" s="1"/>
      <c r="O126" s="1">
        <v>0</v>
      </c>
      <c r="P126" s="1"/>
      <c r="Q126" s="1"/>
      <c r="R126" s="1">
        <v>0</v>
      </c>
      <c r="S126" s="1">
        <f t="shared" si="44"/>
        <v>16.507400000000001</v>
      </c>
      <c r="T126" s="5"/>
      <c r="U126" s="5">
        <f t="shared" si="30"/>
        <v>0</v>
      </c>
      <c r="V126" s="5">
        <f t="shared" si="31"/>
        <v>0</v>
      </c>
      <c r="W126" s="5"/>
      <c r="X126" s="22"/>
      <c r="Y126" s="1">
        <f t="shared" si="32"/>
        <v>11.719834740782922</v>
      </c>
      <c r="Z126" s="1">
        <f t="shared" si="33"/>
        <v>11.719834740782922</v>
      </c>
      <c r="AA126" s="1">
        <v>16.0214</v>
      </c>
      <c r="AB126" s="1">
        <v>12.3848</v>
      </c>
      <c r="AC126" s="1">
        <v>9.4190000000000005</v>
      </c>
      <c r="AD126" s="1">
        <v>12.1662</v>
      </c>
      <c r="AE126" s="1">
        <v>14.089600000000001</v>
      </c>
      <c r="AF126" s="1">
        <v>13.230600000000001</v>
      </c>
      <c r="AG126" s="1">
        <v>9.9158000000000008</v>
      </c>
      <c r="AH126" s="1">
        <v>6.5962000000000014</v>
      </c>
      <c r="AI126" s="1">
        <v>6.8528000000000002</v>
      </c>
      <c r="AJ126" s="1">
        <v>7.9191999999999991</v>
      </c>
      <c r="AK126" s="17" t="s">
        <v>188</v>
      </c>
      <c r="AL126" s="1">
        <f t="shared" si="34"/>
        <v>0</v>
      </c>
      <c r="AM126" s="1">
        <f t="shared" si="35"/>
        <v>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 t="s">
        <v>61</v>
      </c>
      <c r="B127" s="1" t="s">
        <v>38</v>
      </c>
      <c r="C127" s="1">
        <v>2227.6039999999998</v>
      </c>
      <c r="D127" s="1">
        <v>979.03</v>
      </c>
      <c r="E127" s="1">
        <v>1304.307</v>
      </c>
      <c r="F127" s="1">
        <v>1840.0309999999999</v>
      </c>
      <c r="G127" s="7">
        <v>1</v>
      </c>
      <c r="H127" s="1">
        <v>60</v>
      </c>
      <c r="I127" s="1" t="s">
        <v>39</v>
      </c>
      <c r="J127" s="1"/>
      <c r="K127" s="1">
        <v>1069.125</v>
      </c>
      <c r="L127" s="1">
        <f t="shared" si="43"/>
        <v>235.18200000000002</v>
      </c>
      <c r="M127" s="1">
        <f t="shared" si="29"/>
        <v>1304.307</v>
      </c>
      <c r="N127" s="1"/>
      <c r="O127" s="1">
        <v>0</v>
      </c>
      <c r="P127" s="1"/>
      <c r="Q127" s="1"/>
      <c r="R127" s="1">
        <v>0</v>
      </c>
      <c r="S127" s="1">
        <f t="shared" si="44"/>
        <v>260.8614</v>
      </c>
      <c r="T127" s="5">
        <f t="shared" si="47"/>
        <v>1290.3058000000001</v>
      </c>
      <c r="U127" s="5">
        <f>T127+$U$1*S127</f>
        <v>1342.4780800000001</v>
      </c>
      <c r="V127" s="5">
        <f t="shared" si="31"/>
        <v>644.38947840000003</v>
      </c>
      <c r="W127" s="5">
        <f>U127*$W$1</f>
        <v>698.08860160000006</v>
      </c>
      <c r="X127" s="22"/>
      <c r="Y127" s="1">
        <f t="shared" si="32"/>
        <v>12</v>
      </c>
      <c r="Z127" s="1">
        <f t="shared" si="33"/>
        <v>7.053672946629896</v>
      </c>
      <c r="AA127" s="1">
        <v>157.86420000000001</v>
      </c>
      <c r="AB127" s="1">
        <v>170.6746</v>
      </c>
      <c r="AC127" s="1">
        <v>196.4392</v>
      </c>
      <c r="AD127" s="1">
        <v>182.04040000000001</v>
      </c>
      <c r="AE127" s="1">
        <v>202.87360000000001</v>
      </c>
      <c r="AF127" s="1">
        <v>154.0368</v>
      </c>
      <c r="AG127" s="1">
        <v>145.78739999999999</v>
      </c>
      <c r="AH127" s="1">
        <v>165.05019999999999</v>
      </c>
      <c r="AI127" s="1">
        <v>223.18119999999999</v>
      </c>
      <c r="AJ127" s="1">
        <v>152.50559999999999</v>
      </c>
      <c r="AK127" s="1"/>
      <c r="AL127" s="1">
        <f t="shared" si="34"/>
        <v>644</v>
      </c>
      <c r="AM127" s="1">
        <f t="shared" si="35"/>
        <v>698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 t="s">
        <v>177</v>
      </c>
      <c r="B128" s="1" t="s">
        <v>43</v>
      </c>
      <c r="C128" s="1">
        <v>111</v>
      </c>
      <c r="D128" s="1">
        <v>3</v>
      </c>
      <c r="E128" s="1">
        <v>52</v>
      </c>
      <c r="F128" s="1">
        <v>59</v>
      </c>
      <c r="G128" s="7">
        <v>0.25</v>
      </c>
      <c r="H128" s="1"/>
      <c r="I128" s="1" t="s">
        <v>39</v>
      </c>
      <c r="J128" s="1"/>
      <c r="K128" s="1">
        <v>56</v>
      </c>
      <c r="L128" s="1">
        <f t="shared" si="43"/>
        <v>-4</v>
      </c>
      <c r="M128" s="1">
        <f t="shared" si="29"/>
        <v>52</v>
      </c>
      <c r="N128" s="1"/>
      <c r="O128" s="1">
        <v>0</v>
      </c>
      <c r="P128" s="1">
        <v>0</v>
      </c>
      <c r="Q128" s="1"/>
      <c r="R128" s="1">
        <v>19.800000000000011</v>
      </c>
      <c r="S128" s="1">
        <f t="shared" si="44"/>
        <v>10.4</v>
      </c>
      <c r="T128" s="5">
        <f t="shared" si="47"/>
        <v>46</v>
      </c>
      <c r="U128" s="5">
        <f t="shared" si="30"/>
        <v>46</v>
      </c>
      <c r="V128" s="5">
        <f t="shared" si="31"/>
        <v>46</v>
      </c>
      <c r="W128" s="5"/>
      <c r="X128" s="22"/>
      <c r="Y128" s="1">
        <f t="shared" si="32"/>
        <v>12</v>
      </c>
      <c r="Z128" s="1">
        <f t="shared" si="33"/>
        <v>7.5769230769230775</v>
      </c>
      <c r="AA128" s="1">
        <v>8.8000000000000007</v>
      </c>
      <c r="AB128" s="1">
        <v>18.600000000000001</v>
      </c>
      <c r="AC128" s="1">
        <v>16.2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 t="s">
        <v>178</v>
      </c>
      <c r="AL128" s="1">
        <f t="shared" si="34"/>
        <v>12</v>
      </c>
      <c r="AM128" s="1">
        <f t="shared" si="35"/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 t="s">
        <v>179</v>
      </c>
      <c r="B129" s="1" t="s">
        <v>43</v>
      </c>
      <c r="C129" s="1">
        <v>153</v>
      </c>
      <c r="D129" s="1">
        <v>4</v>
      </c>
      <c r="E129" s="1">
        <v>26</v>
      </c>
      <c r="F129" s="1">
        <v>52</v>
      </c>
      <c r="G129" s="7">
        <v>0.32500000000000001</v>
      </c>
      <c r="H129" s="1"/>
      <c r="I129" s="1" t="s">
        <v>39</v>
      </c>
      <c r="J129" s="1"/>
      <c r="K129" s="1">
        <v>31</v>
      </c>
      <c r="L129" s="1">
        <f t="shared" si="43"/>
        <v>-5</v>
      </c>
      <c r="M129" s="1">
        <f t="shared" si="29"/>
        <v>26</v>
      </c>
      <c r="N129" s="1"/>
      <c r="O129" s="1">
        <v>0</v>
      </c>
      <c r="P129" s="1"/>
      <c r="Q129" s="1"/>
      <c r="R129" s="1">
        <v>0</v>
      </c>
      <c r="S129" s="1">
        <f t="shared" si="44"/>
        <v>5.2</v>
      </c>
      <c r="T129" s="5">
        <f t="shared" si="47"/>
        <v>10.400000000000006</v>
      </c>
      <c r="U129" s="5">
        <f t="shared" si="30"/>
        <v>10.400000000000006</v>
      </c>
      <c r="V129" s="5">
        <f t="shared" si="31"/>
        <v>10.400000000000006</v>
      </c>
      <c r="W129" s="5"/>
      <c r="X129" s="22"/>
      <c r="Y129" s="1">
        <f t="shared" si="32"/>
        <v>12</v>
      </c>
      <c r="Z129" s="1">
        <f t="shared" si="33"/>
        <v>10</v>
      </c>
      <c r="AA129" s="1">
        <v>5.2</v>
      </c>
      <c r="AB129" s="1">
        <v>10.199999999999999</v>
      </c>
      <c r="AC129" s="1">
        <v>9.8000000000000007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 t="s">
        <v>178</v>
      </c>
      <c r="AL129" s="1">
        <f t="shared" si="34"/>
        <v>3</v>
      </c>
      <c r="AM129" s="1">
        <f t="shared" si="35"/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 t="s">
        <v>180</v>
      </c>
      <c r="B130" s="1" t="s">
        <v>43</v>
      </c>
      <c r="C130" s="1">
        <v>132</v>
      </c>
      <c r="D130" s="1">
        <v>16</v>
      </c>
      <c r="E130" s="1">
        <v>49</v>
      </c>
      <c r="F130" s="1">
        <v>95</v>
      </c>
      <c r="G130" s="7">
        <v>0.25</v>
      </c>
      <c r="H130" s="1"/>
      <c r="I130" s="1" t="s">
        <v>39</v>
      </c>
      <c r="J130" s="1"/>
      <c r="K130" s="1">
        <v>54</v>
      </c>
      <c r="L130" s="1">
        <f t="shared" si="43"/>
        <v>-5</v>
      </c>
      <c r="M130" s="1">
        <f t="shared" si="29"/>
        <v>49</v>
      </c>
      <c r="N130" s="1"/>
      <c r="O130" s="1">
        <v>33.600000000000023</v>
      </c>
      <c r="P130" s="1">
        <v>0</v>
      </c>
      <c r="Q130" s="1"/>
      <c r="R130" s="1">
        <v>0</v>
      </c>
      <c r="S130" s="1">
        <f t="shared" si="44"/>
        <v>9.8000000000000007</v>
      </c>
      <c r="T130" s="5"/>
      <c r="U130" s="5">
        <f t="shared" si="30"/>
        <v>0</v>
      </c>
      <c r="V130" s="5">
        <f t="shared" si="31"/>
        <v>0</v>
      </c>
      <c r="W130" s="5"/>
      <c r="X130" s="22"/>
      <c r="Y130" s="1">
        <f t="shared" si="32"/>
        <v>13.122448979591837</v>
      </c>
      <c r="Z130" s="1">
        <f t="shared" si="33"/>
        <v>13.122448979591837</v>
      </c>
      <c r="AA130" s="1">
        <v>6.6</v>
      </c>
      <c r="AB130" s="1">
        <v>14.4</v>
      </c>
      <c r="AC130" s="1">
        <v>13.2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 t="s">
        <v>178</v>
      </c>
      <c r="AL130" s="1">
        <f t="shared" si="34"/>
        <v>0</v>
      </c>
      <c r="AM130" s="1">
        <f t="shared" si="35"/>
        <v>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 t="s">
        <v>181</v>
      </c>
      <c r="B131" s="1" t="s">
        <v>43</v>
      </c>
      <c r="C131" s="1">
        <v>209</v>
      </c>
      <c r="D131" s="1">
        <v>25</v>
      </c>
      <c r="E131" s="1">
        <v>170</v>
      </c>
      <c r="F131" s="1">
        <v>42</v>
      </c>
      <c r="G131" s="7">
        <v>0.3</v>
      </c>
      <c r="H131" s="1">
        <v>40</v>
      </c>
      <c r="I131" s="1" t="s">
        <v>39</v>
      </c>
      <c r="J131" s="1"/>
      <c r="K131" s="1">
        <v>216</v>
      </c>
      <c r="L131" s="1">
        <f t="shared" si="43"/>
        <v>-46</v>
      </c>
      <c r="M131" s="1">
        <f t="shared" si="29"/>
        <v>170</v>
      </c>
      <c r="N131" s="1"/>
      <c r="O131" s="1">
        <v>0</v>
      </c>
      <c r="P131" s="1"/>
      <c r="Q131" s="1"/>
      <c r="R131" s="1">
        <v>173.2</v>
      </c>
      <c r="S131" s="1">
        <f t="shared" si="44"/>
        <v>34</v>
      </c>
      <c r="T131" s="5">
        <f t="shared" si="47"/>
        <v>192.8</v>
      </c>
      <c r="U131" s="5">
        <f t="shared" si="30"/>
        <v>192.8</v>
      </c>
      <c r="V131" s="5">
        <f t="shared" si="31"/>
        <v>192.8</v>
      </c>
      <c r="W131" s="5"/>
      <c r="X131" s="22"/>
      <c r="Y131" s="1">
        <f t="shared" si="32"/>
        <v>12</v>
      </c>
      <c r="Z131" s="1">
        <f t="shared" si="33"/>
        <v>6.3294117647058821</v>
      </c>
      <c r="AA131" s="1">
        <v>30.8</v>
      </c>
      <c r="AB131" s="1">
        <v>19.2</v>
      </c>
      <c r="AC131" s="1">
        <v>19</v>
      </c>
      <c r="AD131" s="1">
        <v>33.6</v>
      </c>
      <c r="AE131" s="1">
        <v>39.4</v>
      </c>
      <c r="AF131" s="1">
        <v>30.6</v>
      </c>
      <c r="AG131" s="1">
        <v>24.4</v>
      </c>
      <c r="AH131" s="1">
        <v>27</v>
      </c>
      <c r="AI131" s="1">
        <v>31.4</v>
      </c>
      <c r="AJ131" s="1">
        <v>32.799999999999997</v>
      </c>
      <c r="AK131" s="1"/>
      <c r="AL131" s="1">
        <f t="shared" si="34"/>
        <v>58</v>
      </c>
      <c r="AM131" s="1">
        <f t="shared" si="35"/>
        <v>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 t="s">
        <v>182</v>
      </c>
      <c r="B132" s="1" t="s">
        <v>43</v>
      </c>
      <c r="C132" s="1">
        <v>86</v>
      </c>
      <c r="D132" s="1">
        <v>21</v>
      </c>
      <c r="E132" s="1">
        <v>96</v>
      </c>
      <c r="F132" s="1">
        <v>-9</v>
      </c>
      <c r="G132" s="7">
        <v>0.3</v>
      </c>
      <c r="H132" s="1">
        <v>40</v>
      </c>
      <c r="I132" s="16" t="s">
        <v>72</v>
      </c>
      <c r="J132" s="1"/>
      <c r="K132" s="1">
        <v>124</v>
      </c>
      <c r="L132" s="1">
        <f t="shared" si="43"/>
        <v>-28</v>
      </c>
      <c r="M132" s="1">
        <f t="shared" si="29"/>
        <v>96</v>
      </c>
      <c r="N132" s="1"/>
      <c r="O132" s="1">
        <v>91.999999999999943</v>
      </c>
      <c r="P132" s="1">
        <v>-96</v>
      </c>
      <c r="Q132" s="1"/>
      <c r="R132" s="1">
        <v>70</v>
      </c>
      <c r="S132" s="1">
        <f t="shared" si="44"/>
        <v>19.2</v>
      </c>
      <c r="T132" s="5">
        <v>50</v>
      </c>
      <c r="U132" s="5">
        <f t="shared" si="30"/>
        <v>50</v>
      </c>
      <c r="V132" s="5">
        <f t="shared" si="31"/>
        <v>50</v>
      </c>
      <c r="W132" s="5"/>
      <c r="X132" s="22"/>
      <c r="Y132" s="1">
        <f t="shared" si="32"/>
        <v>5.5729166666666643</v>
      </c>
      <c r="Z132" s="1">
        <f t="shared" si="33"/>
        <v>2.9687499999999973</v>
      </c>
      <c r="AA132" s="1">
        <v>26.8</v>
      </c>
      <c r="AB132" s="1">
        <v>27.2</v>
      </c>
      <c r="AC132" s="1">
        <v>25.8</v>
      </c>
      <c r="AD132" s="1">
        <v>20.8</v>
      </c>
      <c r="AE132" s="1">
        <v>23.6</v>
      </c>
      <c r="AF132" s="1">
        <v>23.6</v>
      </c>
      <c r="AG132" s="1">
        <v>23</v>
      </c>
      <c r="AH132" s="1">
        <v>22</v>
      </c>
      <c r="AI132" s="1">
        <v>25.8</v>
      </c>
      <c r="AJ132" s="1">
        <v>23.2</v>
      </c>
      <c r="AK132" s="1"/>
      <c r="AL132" s="1">
        <f t="shared" si="34"/>
        <v>15</v>
      </c>
      <c r="AM132" s="1">
        <f t="shared" si="35"/>
        <v>0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 t="s">
        <v>183</v>
      </c>
      <c r="B133" s="1" t="s">
        <v>38</v>
      </c>
      <c r="C133" s="1">
        <v>116.381</v>
      </c>
      <c r="D133" s="1">
        <v>61.73</v>
      </c>
      <c r="E133" s="1">
        <v>69.518000000000001</v>
      </c>
      <c r="F133" s="1">
        <v>107.208</v>
      </c>
      <c r="G133" s="7">
        <v>1</v>
      </c>
      <c r="H133" s="1">
        <v>50</v>
      </c>
      <c r="I133" s="1" t="s">
        <v>39</v>
      </c>
      <c r="J133" s="1"/>
      <c r="K133" s="1">
        <v>64.099999999999994</v>
      </c>
      <c r="L133" s="1">
        <f t="shared" si="43"/>
        <v>5.4180000000000064</v>
      </c>
      <c r="M133" s="1">
        <f t="shared" si="29"/>
        <v>69.518000000000001</v>
      </c>
      <c r="N133" s="1"/>
      <c r="O133" s="1">
        <v>0</v>
      </c>
      <c r="P133" s="1"/>
      <c r="Q133" s="1"/>
      <c r="R133" s="1">
        <v>20.192199999999989</v>
      </c>
      <c r="S133" s="1">
        <f t="shared" si="44"/>
        <v>13.903600000000001</v>
      </c>
      <c r="T133" s="5">
        <f t="shared" si="47"/>
        <v>39.44300000000004</v>
      </c>
      <c r="U133" s="5">
        <f t="shared" si="30"/>
        <v>39.44300000000004</v>
      </c>
      <c r="V133" s="5">
        <f t="shared" si="31"/>
        <v>39.44300000000004</v>
      </c>
      <c r="W133" s="5"/>
      <c r="X133" s="22"/>
      <c r="Y133" s="1">
        <f t="shared" si="32"/>
        <v>12.000000000000002</v>
      </c>
      <c r="Z133" s="1">
        <f t="shared" si="33"/>
        <v>9.1631088351218377</v>
      </c>
      <c r="AA133" s="1">
        <v>13.324199999999999</v>
      </c>
      <c r="AB133" s="1">
        <v>7.5507999999999997</v>
      </c>
      <c r="AC133" s="1">
        <v>9.7211999999999996</v>
      </c>
      <c r="AD133" s="1">
        <v>14.6806</v>
      </c>
      <c r="AE133" s="1">
        <v>16.251000000000001</v>
      </c>
      <c r="AF133" s="1">
        <v>9.7181999999999995</v>
      </c>
      <c r="AG133" s="1">
        <v>8.9572000000000003</v>
      </c>
      <c r="AH133" s="1">
        <v>9.7802000000000007</v>
      </c>
      <c r="AI133" s="1">
        <v>11.72</v>
      </c>
      <c r="AJ133" s="1">
        <v>12.3124</v>
      </c>
      <c r="AK133" s="1"/>
      <c r="AL133" s="1">
        <f t="shared" si="34"/>
        <v>39</v>
      </c>
      <c r="AM133" s="1">
        <f t="shared" si="35"/>
        <v>0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 t="s">
        <v>184</v>
      </c>
      <c r="B134" s="1" t="s">
        <v>43</v>
      </c>
      <c r="C134" s="1">
        <v>12</v>
      </c>
      <c r="D134" s="1">
        <v>18</v>
      </c>
      <c r="E134" s="1">
        <v>23</v>
      </c>
      <c r="F134" s="1">
        <v>7</v>
      </c>
      <c r="G134" s="7">
        <v>0.3</v>
      </c>
      <c r="H134" s="1">
        <v>40</v>
      </c>
      <c r="I134" s="16" t="s">
        <v>72</v>
      </c>
      <c r="J134" s="1"/>
      <c r="K134" s="1">
        <v>76</v>
      </c>
      <c r="L134" s="1">
        <f t="shared" ref="L134:L136" si="48">E134-K134</f>
        <v>-53</v>
      </c>
      <c r="M134" s="1">
        <f t="shared" si="29"/>
        <v>23</v>
      </c>
      <c r="N134" s="1"/>
      <c r="O134" s="1">
        <v>30</v>
      </c>
      <c r="P134" s="1">
        <v>0</v>
      </c>
      <c r="Q134" s="1"/>
      <c r="R134" s="1">
        <v>20</v>
      </c>
      <c r="S134" s="1">
        <f t="shared" si="44"/>
        <v>4.5999999999999996</v>
      </c>
      <c r="T134" s="5">
        <v>15</v>
      </c>
      <c r="U134" s="5">
        <f t="shared" si="30"/>
        <v>15</v>
      </c>
      <c r="V134" s="5">
        <f t="shared" si="31"/>
        <v>15</v>
      </c>
      <c r="W134" s="5"/>
      <c r="X134" s="22"/>
      <c r="Y134" s="1">
        <f t="shared" si="32"/>
        <v>15.65217391304348</v>
      </c>
      <c r="Z134" s="1">
        <f t="shared" si="33"/>
        <v>12.391304347826088</v>
      </c>
      <c r="AA134" s="1">
        <v>2.8</v>
      </c>
      <c r="AB134" s="1">
        <v>9.1999999999999993</v>
      </c>
      <c r="AC134" s="1">
        <v>12</v>
      </c>
      <c r="AD134" s="1">
        <v>10.6</v>
      </c>
      <c r="AE134" s="1">
        <v>11.8</v>
      </c>
      <c r="AF134" s="1">
        <v>9</v>
      </c>
      <c r="AG134" s="1">
        <v>7.4</v>
      </c>
      <c r="AH134" s="1">
        <v>8.1999999999999993</v>
      </c>
      <c r="AI134" s="1">
        <v>10.4</v>
      </c>
      <c r="AJ134" s="1">
        <v>9</v>
      </c>
      <c r="AK134" s="1"/>
      <c r="AL134" s="1">
        <f t="shared" si="34"/>
        <v>5</v>
      </c>
      <c r="AM134" s="1">
        <f t="shared" si="35"/>
        <v>0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 t="s">
        <v>185</v>
      </c>
      <c r="B135" s="1" t="s">
        <v>43</v>
      </c>
      <c r="C135" s="1">
        <v>87</v>
      </c>
      <c r="D135" s="1">
        <v>14</v>
      </c>
      <c r="E135" s="1">
        <v>59</v>
      </c>
      <c r="F135" s="1">
        <v>34</v>
      </c>
      <c r="G135" s="7">
        <v>0.12</v>
      </c>
      <c r="H135" s="1">
        <v>45</v>
      </c>
      <c r="I135" s="1" t="s">
        <v>39</v>
      </c>
      <c r="J135" s="1"/>
      <c r="K135" s="1">
        <v>70</v>
      </c>
      <c r="L135" s="1">
        <f t="shared" si="48"/>
        <v>-11</v>
      </c>
      <c r="M135" s="1">
        <f t="shared" ref="M135:M136" si="49">E135-N135</f>
        <v>59</v>
      </c>
      <c r="N135" s="1"/>
      <c r="O135" s="1">
        <v>25.399999999999991</v>
      </c>
      <c r="P135" s="1">
        <v>0</v>
      </c>
      <c r="Q135" s="1"/>
      <c r="R135" s="1">
        <v>10</v>
      </c>
      <c r="S135" s="1">
        <f t="shared" ref="S135:S136" si="50">M135/5</f>
        <v>11.8</v>
      </c>
      <c r="T135" s="5">
        <f t="shared" si="47"/>
        <v>72.200000000000031</v>
      </c>
      <c r="U135" s="5">
        <f t="shared" ref="U135:U136" si="51">T135</f>
        <v>72.200000000000031</v>
      </c>
      <c r="V135" s="5">
        <f t="shared" ref="V135:V136" si="52">U135-W135</f>
        <v>72.200000000000031</v>
      </c>
      <c r="W135" s="5"/>
      <c r="X135" s="22"/>
      <c r="Y135" s="1">
        <f t="shared" ref="Y135:Y136" si="53">(F135+O135+P135+Q135+R135+T135)/S135</f>
        <v>12.000000000000002</v>
      </c>
      <c r="Z135" s="1">
        <f t="shared" ref="Z135:Z136" si="54">(F135+O135+P135+Q135+R135)/S135</f>
        <v>5.8813559322033884</v>
      </c>
      <c r="AA135" s="1">
        <v>8.6</v>
      </c>
      <c r="AB135" s="1">
        <v>9.1999999999999993</v>
      </c>
      <c r="AC135" s="1">
        <v>6.6</v>
      </c>
      <c r="AD135" s="1">
        <v>6</v>
      </c>
      <c r="AE135" s="1">
        <v>11.4</v>
      </c>
      <c r="AF135" s="1">
        <v>10.4</v>
      </c>
      <c r="AG135" s="1">
        <v>2.2000000000000002</v>
      </c>
      <c r="AH135" s="1">
        <v>3.6</v>
      </c>
      <c r="AI135" s="1">
        <v>6.6</v>
      </c>
      <c r="AJ135" s="1">
        <v>11.8</v>
      </c>
      <c r="AK135" s="1"/>
      <c r="AL135" s="1">
        <f t="shared" ref="AL135:AM136" si="55">ROUND(G135*V135,0)</f>
        <v>9</v>
      </c>
      <c r="AM135" s="1">
        <f t="shared" ref="AM135:AM136" si="56">ROUND(G135*W135,0)</f>
        <v>0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0" t="s">
        <v>186</v>
      </c>
      <c r="B136" s="10" t="s">
        <v>43</v>
      </c>
      <c r="C136" s="10"/>
      <c r="D136" s="10">
        <v>77</v>
      </c>
      <c r="E136" s="10">
        <v>24</v>
      </c>
      <c r="F136" s="10">
        <v>51</v>
      </c>
      <c r="G136" s="11">
        <v>0</v>
      </c>
      <c r="H136" s="10"/>
      <c r="I136" s="10" t="s">
        <v>187</v>
      </c>
      <c r="J136" s="10" t="s">
        <v>179</v>
      </c>
      <c r="K136" s="10">
        <v>26</v>
      </c>
      <c r="L136" s="10">
        <f t="shared" si="48"/>
        <v>-2</v>
      </c>
      <c r="M136" s="10">
        <f t="shared" si="49"/>
        <v>24</v>
      </c>
      <c r="N136" s="10"/>
      <c r="O136" s="10">
        <v>0</v>
      </c>
      <c r="P136" s="10"/>
      <c r="Q136" s="10"/>
      <c r="R136" s="10">
        <v>0</v>
      </c>
      <c r="S136" s="10">
        <f t="shared" si="50"/>
        <v>4.8</v>
      </c>
      <c r="T136" s="12"/>
      <c r="U136" s="5">
        <f t="shared" si="51"/>
        <v>0</v>
      </c>
      <c r="V136" s="5">
        <f t="shared" si="52"/>
        <v>0</v>
      </c>
      <c r="W136" s="5"/>
      <c r="X136" s="22"/>
      <c r="Y136" s="10">
        <f t="shared" si="53"/>
        <v>10.625</v>
      </c>
      <c r="Z136" s="10">
        <f t="shared" si="54"/>
        <v>10.625</v>
      </c>
      <c r="AA136" s="10">
        <v>2.4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/>
      <c r="AL136" s="1">
        <f t="shared" si="55"/>
        <v>0</v>
      </c>
      <c r="AM136" s="1">
        <f t="shared" si="56"/>
        <v>0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L136" xr:uid="{88473050-FE9F-4A1A-B983-9F7F495E78A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2026-08-13T10:53:31Z</dcterms:created>
  <dcterms:modified xsi:type="dcterms:W3CDTF">2026-08-14T08:58:41Z</dcterms:modified>
</cp:coreProperties>
</file>