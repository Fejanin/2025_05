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8F58E37-9A85-4CFD-A261-DDF37F9D09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97" i="1" l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7" i="1" s="1"/>
  <c r="X556" i="1"/>
  <c r="Z23" i="1"/>
  <c r="Z24" i="1" s="1"/>
  <c r="BN23" i="1"/>
  <c r="Y555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Y557" i="1" l="1"/>
  <c r="Z290" i="1"/>
  <c r="Z357" i="1"/>
  <c r="Y558" i="1"/>
  <c r="Z213" i="1"/>
  <c r="Z167" i="1"/>
  <c r="Z494" i="1"/>
  <c r="Z508" i="1"/>
  <c r="Z478" i="1"/>
  <c r="Z440" i="1"/>
  <c r="Z524" i="1"/>
  <c r="Z467" i="1"/>
  <c r="Z44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<sst xmlns="http://schemas.openxmlformats.org/spreadsheetml/2006/main" count="2515" uniqueCount="912">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</sst>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8" t="s">
        <v>0</v>
      </c>
      <c r="E1" s="668"/>
      <c r="F1" s="668"/>
      <c r="G1" s="12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6" t="s">
        <v>8</v>
      </c>
      <c r="B5" s="737"/>
      <c r="C5" s="683"/>
      <c r="D5" s="756"/>
      <c r="E5" s="758"/>
      <c r="F5" s="701" t="s">
        <v>9</v>
      </c>
      <c r="G5" s="683"/>
      <c r="H5" s="756"/>
      <c r="I5" s="757"/>
      <c r="J5" s="757"/>
      <c r="K5" s="757"/>
      <c r="L5" s="757"/>
      <c r="M5" s="758"/>
      <c r="N5" s="58"/>
      <c r="P5" s="24" t="s">
        <v>10</v>
      </c>
      <c r="Q5" s="670">
        <v>46244</v>
      </c>
      <c r="R5" s="671"/>
      <c r="T5" s="839" t="s">
        <v>11</v>
      </c>
      <c r="U5" s="833"/>
      <c r="V5" s="841" t="s">
        <v>12</v>
      </c>
      <c r="W5" s="671"/>
      <c r="AB5" s="51"/>
      <c r="AC5" s="51"/>
      <c r="AD5" s="51"/>
      <c r="AE5" s="51"/>
    </row>
    <row r="6" spans="1:32" s="627" customFormat="1" ht="24" customHeight="1" x14ac:dyDescent="0.2">
      <c r="A6" s="876" t="s">
        <v>13</v>
      </c>
      <c r="B6" s="737"/>
      <c r="C6" s="683"/>
      <c r="D6" s="760"/>
      <c r="E6" s="761"/>
      <c r="F6" s="761"/>
      <c r="G6" s="761"/>
      <c r="H6" s="761"/>
      <c r="I6" s="761"/>
      <c r="J6" s="761"/>
      <c r="K6" s="761"/>
      <c r="L6" s="761"/>
      <c r="M6" s="671"/>
      <c r="N6" s="59"/>
      <c r="P6" s="24" t="s">
        <v>14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2" t="s">
        <v>15</v>
      </c>
      <c r="U6" s="833"/>
      <c r="V6" s="769" t="s">
        <v>16</v>
      </c>
      <c r="W6" s="770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8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844"/>
      <c r="N7" s="60"/>
      <c r="P7" s="24"/>
      <c r="Q7" s="42"/>
      <c r="R7" s="42"/>
      <c r="T7" s="655"/>
      <c r="U7" s="833"/>
      <c r="V7" s="771"/>
      <c r="W7" s="772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61"/>
      <c r="P8" s="24" t="s">
        <v>18</v>
      </c>
      <c r="Q8" s="843">
        <v>0.41666666666666669</v>
      </c>
      <c r="R8" s="844"/>
      <c r="T8" s="655"/>
      <c r="U8" s="833"/>
      <c r="V8" s="771"/>
      <c r="W8" s="772"/>
      <c r="AB8" s="51"/>
      <c r="AC8" s="51"/>
      <c r="AD8" s="51"/>
      <c r="AE8" s="51"/>
    </row>
    <row r="9" spans="1:32" s="62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884"/>
      <c r="R9" s="704"/>
      <c r="T9" s="655"/>
      <c r="U9" s="833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26"/>
      <c r="P10" s="26" t="s">
        <v>20</v>
      </c>
      <c r="Q10" s="834"/>
      <c r="R10" s="835"/>
      <c r="U10" s="24" t="s">
        <v>21</v>
      </c>
      <c r="V10" s="992" t="s">
        <v>22</v>
      </c>
      <c r="W10" s="770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6"/>
      <c r="R11" s="671"/>
      <c r="U11" s="24" t="s">
        <v>25</v>
      </c>
      <c r="V11" s="703" t="s">
        <v>26</v>
      </c>
      <c r="W11" s="704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4" t="s">
        <v>27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62"/>
      <c r="P12" s="24" t="s">
        <v>28</v>
      </c>
      <c r="Q12" s="843"/>
      <c r="R12" s="844"/>
      <c r="S12" s="23"/>
      <c r="U12" s="24"/>
      <c r="V12" s="668"/>
      <c r="W12" s="655"/>
      <c r="AB12" s="51"/>
      <c r="AC12" s="51"/>
      <c r="AD12" s="51"/>
      <c r="AE12" s="51"/>
    </row>
    <row r="13" spans="1:32" s="627" customFormat="1" ht="23.25" customHeight="1" x14ac:dyDescent="0.2">
      <c r="A13" s="824" t="s">
        <v>29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62"/>
      <c r="O13" s="26"/>
      <c r="P13" s="26" t="s">
        <v>30</v>
      </c>
      <c r="Q13" s="703"/>
      <c r="R13" s="70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4" t="s">
        <v>31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5" t="s">
        <v>32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63"/>
      <c r="P15" s="86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3"/>
      <c r="Q16" s="863"/>
      <c r="R16" s="863"/>
      <c r="S16" s="863"/>
      <c r="T16" s="8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34</v>
      </c>
      <c r="B17" s="637" t="s">
        <v>35</v>
      </c>
      <c r="C17" s="883" t="s">
        <v>36</v>
      </c>
      <c r="D17" s="637" t="s">
        <v>37</v>
      </c>
      <c r="E17" s="687"/>
      <c r="F17" s="637" t="s">
        <v>38</v>
      </c>
      <c r="G17" s="637" t="s">
        <v>39</v>
      </c>
      <c r="H17" s="637" t="s">
        <v>40</v>
      </c>
      <c r="I17" s="637" t="s">
        <v>41</v>
      </c>
      <c r="J17" s="637" t="s">
        <v>42</v>
      </c>
      <c r="K17" s="637" t="s">
        <v>43</v>
      </c>
      <c r="L17" s="637" t="s">
        <v>44</v>
      </c>
      <c r="M17" s="637" t="s">
        <v>45</v>
      </c>
      <c r="N17" s="637" t="s">
        <v>46</v>
      </c>
      <c r="O17" s="637" t="s">
        <v>47</v>
      </c>
      <c r="P17" s="637" t="s">
        <v>48</v>
      </c>
      <c r="Q17" s="921"/>
      <c r="R17" s="921"/>
      <c r="S17" s="921"/>
      <c r="T17" s="687"/>
      <c r="U17" s="682" t="s">
        <v>49</v>
      </c>
      <c r="V17" s="683"/>
      <c r="W17" s="637" t="s">
        <v>50</v>
      </c>
      <c r="X17" s="637" t="s">
        <v>51</v>
      </c>
      <c r="Y17" s="684" t="s">
        <v>52</v>
      </c>
      <c r="Z17" s="784" t="s">
        <v>53</v>
      </c>
      <c r="AA17" s="695" t="s">
        <v>54</v>
      </c>
      <c r="AB17" s="695" t="s">
        <v>55</v>
      </c>
      <c r="AC17" s="695" t="s">
        <v>56</v>
      </c>
      <c r="AD17" s="695" t="s">
        <v>57</v>
      </c>
      <c r="AE17" s="696"/>
      <c r="AF17" s="697"/>
      <c r="AG17" s="66"/>
      <c r="BD17" s="65" t="s">
        <v>58</v>
      </c>
    </row>
    <row r="18" spans="1:68" ht="14.25" customHeight="1" x14ac:dyDescent="0.2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67" t="s">
        <v>59</v>
      </c>
      <c r="V18" s="67" t="s">
        <v>60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66"/>
      <c r="BD18" s="65"/>
    </row>
    <row r="19" spans="1:68" ht="27.75" customHeight="1" x14ac:dyDescent="0.2">
      <c r="A19" s="734" t="s">
        <v>61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48"/>
      <c r="AB19" s="48"/>
      <c r="AC19" s="48"/>
    </row>
    <row r="20" spans="1:68" ht="16.5" customHeight="1" x14ac:dyDescent="0.25">
      <c r="A20" s="657" t="s">
        <v>61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8"/>
      <c r="AB20" s="628"/>
      <c r="AC20" s="628"/>
    </row>
    <row r="21" spans="1:68" ht="14.25" customHeight="1" x14ac:dyDescent="0.25">
      <c r="A21" s="658" t="s">
        <v>62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72</v>
      </c>
      <c r="Q24" s="647"/>
      <c r="R24" s="647"/>
      <c r="S24" s="647"/>
      <c r="T24" s="647"/>
      <c r="U24" s="647"/>
      <c r="V24" s="648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72</v>
      </c>
      <c r="Q25" s="647"/>
      <c r="R25" s="647"/>
      <c r="S25" s="647"/>
      <c r="T25" s="647"/>
      <c r="U25" s="647"/>
      <c r="V25" s="648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58" t="s">
        <v>74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40</v>
      </c>
      <c r="Y29" s="634">
        <f>IFERROR(IF(X29="",0,CEILING((X29/$H29),1)*$H29),"")</f>
        <v>41.4</v>
      </c>
      <c r="Z29" s="36">
        <f>IFERROR(IF(Y29=0,"",ROUNDUP(Y29/H29,0)*0.00651),"")</f>
        <v>0.14973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70.666666666666671</v>
      </c>
      <c r="BN29" s="64">
        <f>IFERROR(Y29*I29/H29,"0")</f>
        <v>73.14</v>
      </c>
      <c r="BO29" s="64">
        <f>IFERROR(1/J29*(X29/H29),"0")</f>
        <v>0.12210012210012211</v>
      </c>
      <c r="BP29" s="64">
        <f>IFERROR(1/J29*(Y29/H29),"0")</f>
        <v>0.1263736263736264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72</v>
      </c>
      <c r="Q32" s="647"/>
      <c r="R32" s="647"/>
      <c r="S32" s="647"/>
      <c r="T32" s="647"/>
      <c r="U32" s="647"/>
      <c r="V32" s="648"/>
      <c r="W32" s="37" t="s">
        <v>73</v>
      </c>
      <c r="X32" s="635">
        <f>IFERROR(X27/H27,"0")+IFERROR(X28/H28,"0")+IFERROR(X29/H29,"0")+IFERROR(X30/H30,"0")+IFERROR(X31/H31,"0")</f>
        <v>22.222222222222221</v>
      </c>
      <c r="Y32" s="635">
        <f>IFERROR(Y27/H27,"0")+IFERROR(Y28/H28,"0")+IFERROR(Y29/H29,"0")+IFERROR(Y30/H30,"0")+IFERROR(Y31/H31,"0")</f>
        <v>23</v>
      </c>
      <c r="Z32" s="635">
        <f>IFERROR(IF(Z27="",0,Z27),"0")+IFERROR(IF(Z28="",0,Z28),"0")+IFERROR(IF(Z29="",0,Z29),"0")+IFERROR(IF(Z30="",0,Z30),"0")+IFERROR(IF(Z31="",0,Z31),"0")</f>
        <v>0.14973</v>
      </c>
      <c r="AA32" s="636"/>
      <c r="AB32" s="636"/>
      <c r="AC32" s="636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72</v>
      </c>
      <c r="Q33" s="647"/>
      <c r="R33" s="647"/>
      <c r="S33" s="647"/>
      <c r="T33" s="647"/>
      <c r="U33" s="647"/>
      <c r="V33" s="648"/>
      <c r="W33" s="37" t="s">
        <v>67</v>
      </c>
      <c r="X33" s="635">
        <f>IFERROR(SUM(X27:X31),"0")</f>
        <v>40</v>
      </c>
      <c r="Y33" s="635">
        <f>IFERROR(SUM(Y27:Y31),"0")</f>
        <v>41.4</v>
      </c>
      <c r="Z33" s="37"/>
      <c r="AA33" s="636"/>
      <c r="AB33" s="636"/>
      <c r="AC33" s="636"/>
    </row>
    <row r="34" spans="1:68" ht="27.75" customHeight="1" x14ac:dyDescent="0.2">
      <c r="A34" s="734" t="s">
        <v>92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48"/>
      <c r="AB34" s="48"/>
      <c r="AC34" s="48"/>
    </row>
    <row r="35" spans="1:68" ht="16.5" customHeight="1" x14ac:dyDescent="0.25">
      <c r="A35" s="657" t="s">
        <v>93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8"/>
      <c r="AB35" s="628"/>
      <c r="AC35" s="628"/>
    </row>
    <row r="36" spans="1:68" ht="14.25" customHeight="1" x14ac:dyDescent="0.25">
      <c r="A36" s="658" t="s">
        <v>74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72</v>
      </c>
      <c r="Q42" s="647"/>
      <c r="R42" s="647"/>
      <c r="S42" s="647"/>
      <c r="T42" s="647"/>
      <c r="U42" s="647"/>
      <c r="V42" s="648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72</v>
      </c>
      <c r="Q43" s="647"/>
      <c r="R43" s="647"/>
      <c r="S43" s="647"/>
      <c r="T43" s="647"/>
      <c r="U43" s="647"/>
      <c r="V43" s="648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734" t="s">
        <v>109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48"/>
      <c r="AB44" s="48"/>
      <c r="AC44" s="48"/>
    </row>
    <row r="45" spans="1:68" ht="16.5" customHeight="1" x14ac:dyDescent="0.25">
      <c r="A45" s="657" t="s">
        <v>110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8"/>
      <c r="AB45" s="628"/>
      <c r="AC45" s="628"/>
    </row>
    <row r="46" spans="1:68" ht="14.25" customHeight="1" x14ac:dyDescent="0.25">
      <c r="A46" s="658" t="s">
        <v>111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3">
        <v>105</v>
      </c>
      <c r="Y47" s="634">
        <f>IFERROR(IF(X47="",0,CEILING((X47/$H47),1)*$H47),"")</f>
        <v>108</v>
      </c>
      <c r="Z47" s="36">
        <f>IFERROR(IF(Y47=0,"",ROUNDUP(Y47/H47,0)*0.01898),"")</f>
        <v>0.1898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108.98611111111111</v>
      </c>
      <c r="BN47" s="64">
        <f>IFERROR(Y47*I47/H47,"0")</f>
        <v>112.1</v>
      </c>
      <c r="BO47" s="64">
        <f>IFERROR(1/J47*(X47/H47),"0")</f>
        <v>0.15190972222222221</v>
      </c>
      <c r="BP47" s="64">
        <f>IFERROR(1/J47*(Y47/H47),"0")</f>
        <v>0.15625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3">
        <v>206</v>
      </c>
      <c r="Y50" s="634">
        <f>IFERROR(IF(X50="",0,CEILING((X50/$H50),1)*$H50),"")</f>
        <v>207.20000000000002</v>
      </c>
      <c r="Z50" s="36">
        <f>IFERROR(IF(Y50=0,"",ROUNDUP(Y50/H50,0)*0.00902),"")</f>
        <v>0.50512000000000001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216.57837837837837</v>
      </c>
      <c r="BN50" s="64">
        <f>IFERROR(Y50*I50/H50,"0")</f>
        <v>217.84</v>
      </c>
      <c r="BO50" s="64">
        <f>IFERROR(1/J50*(X50/H50),"0")</f>
        <v>0.42178542178542178</v>
      </c>
      <c r="BP50" s="64">
        <f>IFERROR(1/J50*(Y50/H50),"0")</f>
        <v>0.42424242424242425</v>
      </c>
    </row>
    <row r="51" spans="1:68" x14ac:dyDescent="0.2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72</v>
      </c>
      <c r="Q51" s="647"/>
      <c r="R51" s="647"/>
      <c r="S51" s="647"/>
      <c r="T51" s="647"/>
      <c r="U51" s="647"/>
      <c r="V51" s="648"/>
      <c r="W51" s="37" t="s">
        <v>73</v>
      </c>
      <c r="X51" s="635">
        <f>IFERROR(X47/H47,"0")+IFERROR(X48/H48,"0")+IFERROR(X49/H49,"0")+IFERROR(X50/H50,"0")</f>
        <v>65.397897897897892</v>
      </c>
      <c r="Y51" s="635">
        <f>IFERROR(Y47/H47,"0")+IFERROR(Y48/H48,"0")+IFERROR(Y49/H49,"0")+IFERROR(Y50/H50,"0")</f>
        <v>66</v>
      </c>
      <c r="Z51" s="635">
        <f>IFERROR(IF(Z47="",0,Z47),"0")+IFERROR(IF(Z48="",0,Z48),"0")+IFERROR(IF(Z49="",0,Z49),"0")+IFERROR(IF(Z50="",0,Z50),"0")</f>
        <v>0.69491999999999998</v>
      </c>
      <c r="AA51" s="636"/>
      <c r="AB51" s="636"/>
      <c r="AC51" s="636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72</v>
      </c>
      <c r="Q52" s="647"/>
      <c r="R52" s="647"/>
      <c r="S52" s="647"/>
      <c r="T52" s="647"/>
      <c r="U52" s="647"/>
      <c r="V52" s="648"/>
      <c r="W52" s="37" t="s">
        <v>67</v>
      </c>
      <c r="X52" s="635">
        <f>IFERROR(SUM(X47:X50),"0")</f>
        <v>311</v>
      </c>
      <c r="Y52" s="635">
        <f>IFERROR(SUM(Y47:Y50),"0")</f>
        <v>315.20000000000005</v>
      </c>
      <c r="Z52" s="37"/>
      <c r="AA52" s="636"/>
      <c r="AB52" s="636"/>
      <c r="AC52" s="636"/>
    </row>
    <row r="53" spans="1:68" ht="16.5" customHeight="1" x14ac:dyDescent="0.25">
      <c r="A53" s="657" t="s">
        <v>126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8"/>
      <c r="AB53" s="628"/>
      <c r="AC53" s="628"/>
    </row>
    <row r="54" spans="1:68" ht="14.25" customHeight="1" x14ac:dyDescent="0.25">
      <c r="A54" s="658" t="s">
        <v>111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3">
        <v>194</v>
      </c>
      <c r="Y55" s="634">
        <f t="shared" ref="Y55:Y62" si="0">IFERROR(IF(X55="",0,CEILING((X55/$H55),1)*$H55),"")</f>
        <v>201.6</v>
      </c>
      <c r="Z55" s="36">
        <f>IFERROR(IF(Y55=0,"",ROUNDUP(Y55/H55,0)*0.01898),"")</f>
        <v>0.34164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201.10178571428571</v>
      </c>
      <c r="BN55" s="64">
        <f t="shared" ref="BN55:BN62" si="2">IFERROR(Y55*I55/H55,"0")</f>
        <v>208.98000000000002</v>
      </c>
      <c r="BO55" s="64">
        <f t="shared" ref="BO55:BO62" si="3">IFERROR(1/J55*(X55/H55),"0")</f>
        <v>0.27064732142857145</v>
      </c>
      <c r="BP55" s="64">
        <f t="shared" ref="BP55:BP62" si="4">IFERROR(1/J55*(Y55/H55),"0")</f>
        <v>0.28125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3">
        <v>268</v>
      </c>
      <c r="Y57" s="634">
        <f t="shared" si="0"/>
        <v>270</v>
      </c>
      <c r="Z57" s="36">
        <f>IFERROR(IF(Y57=0,"",ROUNDUP(Y57/H57,0)*0.01898),"")</f>
        <v>0.47450000000000003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278.1740740740741</v>
      </c>
      <c r="BN57" s="64">
        <f t="shared" si="2"/>
        <v>280.25</v>
      </c>
      <c r="BO57" s="64">
        <f t="shared" si="3"/>
        <v>0.38773148148148145</v>
      </c>
      <c r="BP57" s="64">
        <f t="shared" si="4"/>
        <v>0.390625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67</v>
      </c>
      <c r="X60" s="633">
        <v>112</v>
      </c>
      <c r="Y60" s="634">
        <f t="shared" si="0"/>
        <v>112</v>
      </c>
      <c r="Z60" s="36">
        <f>IFERROR(IF(Y60=0,"",ROUNDUP(Y60/H60,0)*0.00902),"")</f>
        <v>0.25256000000000001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117.32000000000001</v>
      </c>
      <c r="BN60" s="64">
        <f t="shared" si="2"/>
        <v>117.32000000000001</v>
      </c>
      <c r="BO60" s="64">
        <f t="shared" si="3"/>
        <v>0.21212121212121213</v>
      </c>
      <c r="BP60" s="64">
        <f t="shared" si="4"/>
        <v>0.21212121212121213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73</v>
      </c>
      <c r="Y62" s="634">
        <f t="shared" si="0"/>
        <v>76.5</v>
      </c>
      <c r="Z62" s="36">
        <f>IFERROR(IF(Y62=0,"",ROUNDUP(Y62/H62,0)*0.00902),"")</f>
        <v>0.15334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76.082222222222228</v>
      </c>
      <c r="BN62" s="64">
        <f t="shared" si="2"/>
        <v>79.73</v>
      </c>
      <c r="BO62" s="64">
        <f t="shared" si="3"/>
        <v>0.12289562289562289</v>
      </c>
      <c r="BP62" s="64">
        <f t="shared" si="4"/>
        <v>0.12878787878787878</v>
      </c>
    </row>
    <row r="63" spans="1:68" x14ac:dyDescent="0.2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72</v>
      </c>
      <c r="Q63" s="647"/>
      <c r="R63" s="647"/>
      <c r="S63" s="647"/>
      <c r="T63" s="647"/>
      <c r="U63" s="647"/>
      <c r="V63" s="648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86.358465608465622</v>
      </c>
      <c r="Y63" s="635">
        <f>IFERROR(Y55/H55,"0")+IFERROR(Y56/H56,"0")+IFERROR(Y57/H57,"0")+IFERROR(Y58/H58,"0")+IFERROR(Y59/H59,"0")+IFERROR(Y60/H60,"0")+IFERROR(Y61/H61,"0")+IFERROR(Y62/H62,"0")</f>
        <v>88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1.2220400000000002</v>
      </c>
      <c r="AA63" s="636"/>
      <c r="AB63" s="636"/>
      <c r="AC63" s="636"/>
    </row>
    <row r="64" spans="1:68" x14ac:dyDescent="0.2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72</v>
      </c>
      <c r="Q64" s="647"/>
      <c r="R64" s="647"/>
      <c r="S64" s="647"/>
      <c r="T64" s="647"/>
      <c r="U64" s="647"/>
      <c r="V64" s="648"/>
      <c r="W64" s="37" t="s">
        <v>67</v>
      </c>
      <c r="X64" s="635">
        <f>IFERROR(SUM(X55:X62),"0")</f>
        <v>647</v>
      </c>
      <c r="Y64" s="635">
        <f>IFERROR(SUM(Y55:Y62),"0")</f>
        <v>660.1</v>
      </c>
      <c r="Z64" s="37"/>
      <c r="AA64" s="636"/>
      <c r="AB64" s="636"/>
      <c r="AC64" s="636"/>
    </row>
    <row r="65" spans="1:68" ht="14.25" customHeight="1" x14ac:dyDescent="0.25">
      <c r="A65" s="658" t="s">
        <v>147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48</v>
      </c>
      <c r="Y66" s="634">
        <f>IFERROR(IF(X66="",0,CEILING((X66/$H66),1)*$H66),"")</f>
        <v>54</v>
      </c>
      <c r="Z66" s="36">
        <f>IFERROR(IF(Y66=0,"",ROUNDUP(Y66/H66,0)*0.01898),"")</f>
        <v>9.4899999999999998E-2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49.822222222222223</v>
      </c>
      <c r="BN66" s="64">
        <f>IFERROR(Y66*I66/H66,"0")</f>
        <v>56.05</v>
      </c>
      <c r="BO66" s="64">
        <f>IFERROR(1/J66*(X66/H66),"0")</f>
        <v>6.9444444444444434E-2</v>
      </c>
      <c r="BP66" s="64">
        <f>IFERROR(1/J66*(Y66/H66),"0")</f>
        <v>7.8125E-2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72</v>
      </c>
      <c r="Q70" s="647"/>
      <c r="R70" s="647"/>
      <c r="S70" s="647"/>
      <c r="T70" s="647"/>
      <c r="U70" s="647"/>
      <c r="V70" s="648"/>
      <c r="W70" s="37" t="s">
        <v>73</v>
      </c>
      <c r="X70" s="635">
        <f>IFERROR(X66/H66,"0")+IFERROR(X67/H67,"0")+IFERROR(X68/H68,"0")+IFERROR(X69/H69,"0")</f>
        <v>4.4444444444444438</v>
      </c>
      <c r="Y70" s="635">
        <f>IFERROR(Y66/H66,"0")+IFERROR(Y67/H67,"0")+IFERROR(Y68/H68,"0")+IFERROR(Y69/H69,"0")</f>
        <v>5</v>
      </c>
      <c r="Z70" s="635">
        <f>IFERROR(IF(Z66="",0,Z66),"0")+IFERROR(IF(Z67="",0,Z67),"0")+IFERROR(IF(Z68="",0,Z68),"0")+IFERROR(IF(Z69="",0,Z69),"0")</f>
        <v>9.4899999999999998E-2</v>
      </c>
      <c r="AA70" s="636"/>
      <c r="AB70" s="636"/>
      <c r="AC70" s="636"/>
    </row>
    <row r="71" spans="1:68" x14ac:dyDescent="0.2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72</v>
      </c>
      <c r="Q71" s="647"/>
      <c r="R71" s="647"/>
      <c r="S71" s="647"/>
      <c r="T71" s="647"/>
      <c r="U71" s="647"/>
      <c r="V71" s="648"/>
      <c r="W71" s="37" t="s">
        <v>67</v>
      </c>
      <c r="X71" s="635">
        <f>IFERROR(SUM(X66:X69),"0")</f>
        <v>48</v>
      </c>
      <c r="Y71" s="635">
        <f>IFERROR(SUM(Y66:Y69),"0")</f>
        <v>54</v>
      </c>
      <c r="Z71" s="37"/>
      <c r="AA71" s="636"/>
      <c r="AB71" s="636"/>
      <c r="AC71" s="636"/>
    </row>
    <row r="72" spans="1:68" ht="14.25" customHeight="1" x14ac:dyDescent="0.25">
      <c r="A72" s="658" t="s">
        <v>74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72</v>
      </c>
      <c r="Q75" s="647"/>
      <c r="R75" s="647"/>
      <c r="S75" s="647"/>
      <c r="T75" s="647"/>
      <c r="U75" s="647"/>
      <c r="V75" s="648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72</v>
      </c>
      <c r="Q76" s="647"/>
      <c r="R76" s="647"/>
      <c r="S76" s="647"/>
      <c r="T76" s="647"/>
      <c r="U76" s="647"/>
      <c r="V76" s="648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58" t="s">
        <v>164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39</v>
      </c>
      <c r="Y78" s="634">
        <f>IFERROR(IF(X78="",0,CEILING((X78/$H78),1)*$H78),"")</f>
        <v>39</v>
      </c>
      <c r="Z78" s="36">
        <f>IFERROR(IF(Y78=0,"",ROUNDUP(Y78/H78,0)*0.01898),"")</f>
        <v>9.4899999999999998E-2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41.050000000000011</v>
      </c>
      <c r="BN78" s="64">
        <f>IFERROR(Y78*I78/H78,"0")</f>
        <v>41.050000000000011</v>
      </c>
      <c r="BO78" s="64">
        <f>IFERROR(1/J78*(X78/H78),"0")</f>
        <v>7.8125E-2</v>
      </c>
      <c r="BP78" s="64">
        <f>IFERROR(1/J78*(Y78/H78),"0")</f>
        <v>7.8125E-2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72</v>
      </c>
      <c r="Q80" s="647"/>
      <c r="R80" s="647"/>
      <c r="S80" s="647"/>
      <c r="T80" s="647"/>
      <c r="U80" s="647"/>
      <c r="V80" s="648"/>
      <c r="W80" s="37" t="s">
        <v>73</v>
      </c>
      <c r="X80" s="635">
        <f>IFERROR(X78/H78,"0")+IFERROR(X79/H79,"0")</f>
        <v>5</v>
      </c>
      <c r="Y80" s="635">
        <f>IFERROR(Y78/H78,"0")+IFERROR(Y79/H79,"0")</f>
        <v>5</v>
      </c>
      <c r="Z80" s="635">
        <f>IFERROR(IF(Z78="",0,Z78),"0")+IFERROR(IF(Z79="",0,Z79),"0")</f>
        <v>9.4899999999999998E-2</v>
      </c>
      <c r="AA80" s="636"/>
      <c r="AB80" s="636"/>
      <c r="AC80" s="636"/>
    </row>
    <row r="81" spans="1:68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72</v>
      </c>
      <c r="Q81" s="647"/>
      <c r="R81" s="647"/>
      <c r="S81" s="647"/>
      <c r="T81" s="647"/>
      <c r="U81" s="647"/>
      <c r="V81" s="648"/>
      <c r="W81" s="37" t="s">
        <v>67</v>
      </c>
      <c r="X81" s="635">
        <f>IFERROR(SUM(X78:X79),"0")</f>
        <v>39</v>
      </c>
      <c r="Y81" s="635">
        <f>IFERROR(SUM(Y78:Y79),"0")</f>
        <v>39</v>
      </c>
      <c r="Z81" s="37"/>
      <c r="AA81" s="636"/>
      <c r="AB81" s="636"/>
      <c r="AC81" s="636"/>
    </row>
    <row r="82" spans="1:68" ht="16.5" customHeight="1" x14ac:dyDescent="0.25">
      <c r="A82" s="657" t="s">
        <v>171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8"/>
      <c r="AB82" s="628"/>
      <c r="AC82" s="628"/>
    </row>
    <row r="83" spans="1:68" ht="14.25" customHeight="1" x14ac:dyDescent="0.25">
      <c r="A83" s="658" t="s">
        <v>111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67</v>
      </c>
      <c r="X84" s="633">
        <v>370</v>
      </c>
      <c r="Y84" s="634">
        <f>IFERROR(IF(X84="",0,CEILING((X84/$H84),1)*$H84),"")</f>
        <v>378</v>
      </c>
      <c r="Z84" s="36">
        <f>IFERROR(IF(Y84=0,"",ROUNDUP(Y84/H84,0)*0.01898),"")</f>
        <v>0.6643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384.04629629629636</v>
      </c>
      <c r="BN84" s="64">
        <f>IFERROR(Y84*I84/H84,"0")</f>
        <v>392.34999999999997</v>
      </c>
      <c r="BO84" s="64">
        <f>IFERROR(1/J84*(X84/H84),"0")</f>
        <v>0.53530092592592593</v>
      </c>
      <c r="BP84" s="64">
        <f>IFERROR(1/J84*(Y84/H84),"0")</f>
        <v>0.546875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67</v>
      </c>
      <c r="X87" s="633">
        <v>125</v>
      </c>
      <c r="Y87" s="634">
        <f>IFERROR(IF(X87="",0,CEILING((X87/$H87),1)*$H87),"")</f>
        <v>126</v>
      </c>
      <c r="Z87" s="36">
        <f>IFERROR(IF(Y87=0,"",ROUNDUP(Y87/H87,0)*0.00902),"")</f>
        <v>0.25256000000000001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130.27777777777777</v>
      </c>
      <c r="BN87" s="64">
        <f>IFERROR(Y87*I87/H87,"0")</f>
        <v>131.32000000000002</v>
      </c>
      <c r="BO87" s="64">
        <f>IFERROR(1/J87*(X87/H87),"0")</f>
        <v>0.21043771043771045</v>
      </c>
      <c r="BP87" s="64">
        <f>IFERROR(1/J87*(Y87/H87),"0")</f>
        <v>0.21212121212121213</v>
      </c>
    </row>
    <row r="88" spans="1:68" x14ac:dyDescent="0.2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72</v>
      </c>
      <c r="Q88" s="647"/>
      <c r="R88" s="647"/>
      <c r="S88" s="647"/>
      <c r="T88" s="647"/>
      <c r="U88" s="647"/>
      <c r="V88" s="648"/>
      <c r="W88" s="37" t="s">
        <v>73</v>
      </c>
      <c r="X88" s="635">
        <f>IFERROR(X84/H84,"0")+IFERROR(X85/H85,"0")+IFERROR(X86/H86,"0")+IFERROR(X87/H87,"0")</f>
        <v>62.037037037037038</v>
      </c>
      <c r="Y88" s="635">
        <f>IFERROR(Y84/H84,"0")+IFERROR(Y85/H85,"0")+IFERROR(Y86/H86,"0")+IFERROR(Y87/H87,"0")</f>
        <v>63</v>
      </c>
      <c r="Z88" s="635">
        <f>IFERROR(IF(Z84="",0,Z84),"0")+IFERROR(IF(Z85="",0,Z85),"0")+IFERROR(IF(Z86="",0,Z86),"0")+IFERROR(IF(Z87="",0,Z87),"0")</f>
        <v>0.91686000000000001</v>
      </c>
      <c r="AA88" s="636"/>
      <c r="AB88" s="636"/>
      <c r="AC88" s="636"/>
    </row>
    <row r="89" spans="1:68" x14ac:dyDescent="0.2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72</v>
      </c>
      <c r="Q89" s="647"/>
      <c r="R89" s="647"/>
      <c r="S89" s="647"/>
      <c r="T89" s="647"/>
      <c r="U89" s="647"/>
      <c r="V89" s="648"/>
      <c r="W89" s="37" t="s">
        <v>67</v>
      </c>
      <c r="X89" s="635">
        <f>IFERROR(SUM(X84:X87),"0")</f>
        <v>495</v>
      </c>
      <c r="Y89" s="635">
        <f>IFERROR(SUM(Y84:Y87),"0")</f>
        <v>504</v>
      </c>
      <c r="Z89" s="37"/>
      <c r="AA89" s="636"/>
      <c r="AB89" s="636"/>
      <c r="AC89" s="636"/>
    </row>
    <row r="90" spans="1:68" ht="14.25" customHeight="1" x14ac:dyDescent="0.25">
      <c r="A90" s="658" t="s">
        <v>74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1528</v>
      </c>
      <c r="Y91" s="634">
        <f>IFERROR(IF(X91="",0,CEILING((X91/$H91),1)*$H91),"")</f>
        <v>1530.8999999999999</v>
      </c>
      <c r="Z91" s="36">
        <f>IFERROR(IF(Y91=0,"",ROUNDUP(Y91/H91,0)*0.01898),"")</f>
        <v>3.5872199999999999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1621.1891358024691</v>
      </c>
      <c r="BN91" s="64">
        <f>IFERROR(Y91*I91/H91,"0")</f>
        <v>1624.2659999999998</v>
      </c>
      <c r="BO91" s="64">
        <f>IFERROR(1/J91*(X91/H91),"0")</f>
        <v>2.9475308641975309</v>
      </c>
      <c r="BP91" s="64">
        <f>IFERROR(1/J91*(Y91/H91),"0")</f>
        <v>2.953125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264</v>
      </c>
      <c r="Y93" s="634">
        <f>IFERROR(IF(X93="",0,CEILING((X93/$H93),1)*$H93),"")</f>
        <v>264.60000000000002</v>
      </c>
      <c r="Z93" s="36">
        <f>IFERROR(IF(Y93=0,"",ROUNDUP(Y93/H93,0)*0.00651),"")</f>
        <v>0.63797999999999999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288.64</v>
      </c>
      <c r="BN93" s="64">
        <f>IFERROR(Y93*I93/H93,"0")</f>
        <v>289.29600000000005</v>
      </c>
      <c r="BO93" s="64">
        <f>IFERROR(1/J93*(X93/H93),"0")</f>
        <v>0.53724053724053722</v>
      </c>
      <c r="BP93" s="64">
        <f>IFERROR(1/J93*(Y93/H93),"0")</f>
        <v>0.53846153846153855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72</v>
      </c>
      <c r="Q95" s="647"/>
      <c r="R95" s="647"/>
      <c r="S95" s="647"/>
      <c r="T95" s="647"/>
      <c r="U95" s="647"/>
      <c r="V95" s="648"/>
      <c r="W95" s="37" t="s">
        <v>73</v>
      </c>
      <c r="X95" s="635">
        <f>IFERROR(X91/H91,"0")+IFERROR(X92/H92,"0")+IFERROR(X93/H93,"0")+IFERROR(X94/H94,"0")</f>
        <v>286.41975308641975</v>
      </c>
      <c r="Y95" s="635">
        <f>IFERROR(Y91/H91,"0")+IFERROR(Y92/H92,"0")+IFERROR(Y93/H93,"0")+IFERROR(Y94/H94,"0")</f>
        <v>287</v>
      </c>
      <c r="Z95" s="635">
        <f>IFERROR(IF(Z91="",0,Z91),"0")+IFERROR(IF(Z92="",0,Z92),"0")+IFERROR(IF(Z93="",0,Z93),"0")+IFERROR(IF(Z94="",0,Z94),"0")</f>
        <v>4.2252000000000001</v>
      </c>
      <c r="AA95" s="636"/>
      <c r="AB95" s="636"/>
      <c r="AC95" s="636"/>
    </row>
    <row r="96" spans="1:68" x14ac:dyDescent="0.2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72</v>
      </c>
      <c r="Q96" s="647"/>
      <c r="R96" s="647"/>
      <c r="S96" s="647"/>
      <c r="T96" s="647"/>
      <c r="U96" s="647"/>
      <c r="V96" s="648"/>
      <c r="W96" s="37" t="s">
        <v>67</v>
      </c>
      <c r="X96" s="635">
        <f>IFERROR(SUM(X91:X94),"0")</f>
        <v>1792</v>
      </c>
      <c r="Y96" s="635">
        <f>IFERROR(SUM(Y91:Y94),"0")</f>
        <v>1795.5</v>
      </c>
      <c r="Z96" s="37"/>
      <c r="AA96" s="636"/>
      <c r="AB96" s="636"/>
      <c r="AC96" s="636"/>
    </row>
    <row r="97" spans="1:68" ht="16.5" customHeight="1" x14ac:dyDescent="0.25">
      <c r="A97" s="657" t="s">
        <v>192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8"/>
      <c r="AB97" s="628"/>
      <c r="AC97" s="628"/>
    </row>
    <row r="98" spans="1:68" ht="14.25" customHeight="1" x14ac:dyDescent="0.25">
      <c r="A98" s="658" t="s">
        <v>111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677</v>
      </c>
      <c r="Y99" s="634">
        <f t="shared" ref="Y99:Y105" si="5">IFERROR(IF(X99="",0,CEILING((X99/$H99),1)*$H99),"")</f>
        <v>680.40000000000009</v>
      </c>
      <c r="Z99" s="36">
        <f>IFERROR(IF(Y99=0,"",ROUNDUP(Y99/H99,0)*0.01898),"")</f>
        <v>1.19574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702.70092592592596</v>
      </c>
      <c r="BN99" s="64">
        <f t="shared" ref="BN99:BN105" si="7">IFERROR(Y99*I99/H99,"0")</f>
        <v>706.23000000000013</v>
      </c>
      <c r="BO99" s="64">
        <f t="shared" ref="BO99:BO105" si="8">IFERROR(1/J99*(X99/H99),"0")</f>
        <v>0.97945601851851849</v>
      </c>
      <c r="BP99" s="64">
        <f t="shared" ref="BP99:BP105" si="9">IFERROR(1/J99*(Y99/H99),"0")</f>
        <v>0.98437500000000011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67</v>
      </c>
      <c r="X104" s="633">
        <v>150</v>
      </c>
      <c r="Y104" s="634">
        <f t="shared" si="5"/>
        <v>153</v>
      </c>
      <c r="Z104" s="36">
        <f>IFERROR(IF(Y104=0,"",ROUNDUP(Y104/H104,0)*0.00902),"")</f>
        <v>0.30668000000000001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156.33333333333337</v>
      </c>
      <c r="BN104" s="64">
        <f t="shared" si="7"/>
        <v>159.46</v>
      </c>
      <c r="BO104" s="64">
        <f t="shared" si="8"/>
        <v>0.25252525252525254</v>
      </c>
      <c r="BP104" s="64">
        <f t="shared" si="9"/>
        <v>0.25757575757575757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72</v>
      </c>
      <c r="Q106" s="647"/>
      <c r="R106" s="647"/>
      <c r="S106" s="647"/>
      <c r="T106" s="647"/>
      <c r="U106" s="647"/>
      <c r="V106" s="648"/>
      <c r="W106" s="37" t="s">
        <v>73</v>
      </c>
      <c r="X106" s="635">
        <f>IFERROR(X99/H99,"0")+IFERROR(X100/H100,"0")+IFERROR(X101/H101,"0")+IFERROR(X102/H102,"0")+IFERROR(X103/H103,"0")+IFERROR(X104/H104,"0")+IFERROR(X105/H105,"0")</f>
        <v>96.018518518518519</v>
      </c>
      <c r="Y106" s="635">
        <f>IFERROR(Y99/H99,"0")+IFERROR(Y100/H100,"0")+IFERROR(Y101/H101,"0")+IFERROR(Y102/H102,"0")+IFERROR(Y103/H103,"0")+IFERROR(Y104/H104,"0")+IFERROR(Y105/H105,"0")</f>
        <v>97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1.5024200000000001</v>
      </c>
      <c r="AA106" s="636"/>
      <c r="AB106" s="636"/>
      <c r="AC106" s="636"/>
    </row>
    <row r="107" spans="1:68" x14ac:dyDescent="0.2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72</v>
      </c>
      <c r="Q107" s="647"/>
      <c r="R107" s="647"/>
      <c r="S107" s="647"/>
      <c r="T107" s="647"/>
      <c r="U107" s="647"/>
      <c r="V107" s="648"/>
      <c r="W107" s="37" t="s">
        <v>67</v>
      </c>
      <c r="X107" s="635">
        <f>IFERROR(SUM(X99:X105),"0")</f>
        <v>827</v>
      </c>
      <c r="Y107" s="635">
        <f>IFERROR(SUM(Y99:Y105),"0")</f>
        <v>833.40000000000009</v>
      </c>
      <c r="Z107" s="37"/>
      <c r="AA107" s="636"/>
      <c r="AB107" s="636"/>
      <c r="AC107" s="636"/>
    </row>
    <row r="108" spans="1:68" ht="14.25" customHeight="1" x14ac:dyDescent="0.25">
      <c r="A108" s="658" t="s">
        <v>147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95</v>
      </c>
      <c r="Y109" s="634">
        <f>IFERROR(IF(X109="",0,CEILING((X109/$H109),1)*$H109),"")</f>
        <v>97.2</v>
      </c>
      <c r="Z109" s="36">
        <f>IFERROR(IF(Y109=0,"",ROUNDUP(Y109/H109,0)*0.01898),"")</f>
        <v>0.17082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98.606481481481481</v>
      </c>
      <c r="BN109" s="64">
        <f>IFERROR(Y109*I109/H109,"0")</f>
        <v>100.89</v>
      </c>
      <c r="BO109" s="64">
        <f>IFERROR(1/J109*(X109/H109),"0")</f>
        <v>0.13744212962962962</v>
      </c>
      <c r="BP109" s="64">
        <f>IFERROR(1/J109*(Y109/H109),"0")</f>
        <v>0.140625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3">
        <v>94</v>
      </c>
      <c r="Y113" s="634">
        <f>IFERROR(IF(X113="",0,CEILING((X113/$H113),1)*$H113),"")</f>
        <v>96</v>
      </c>
      <c r="Z113" s="36">
        <f>IFERROR(IF(Y113=0,"",ROUNDUP(Y113/H113,0)*0.00651),"")</f>
        <v>0.26040000000000002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101.05000000000001</v>
      </c>
      <c r="BN113" s="64">
        <f>IFERROR(Y113*I113/H113,"0")</f>
        <v>103.2</v>
      </c>
      <c r="BO113" s="64">
        <f>IFERROR(1/J113*(X113/H113),"0")</f>
        <v>0.21520146520146524</v>
      </c>
      <c r="BP113" s="64">
        <f>IFERROR(1/J113*(Y113/H113),"0")</f>
        <v>0.2197802197802198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72</v>
      </c>
      <c r="Q114" s="647"/>
      <c r="R114" s="647"/>
      <c r="S114" s="647"/>
      <c r="T114" s="647"/>
      <c r="U114" s="647"/>
      <c r="V114" s="648"/>
      <c r="W114" s="37" t="s">
        <v>73</v>
      </c>
      <c r="X114" s="635">
        <f>IFERROR(X109/H109,"0")+IFERROR(X110/H110,"0")+IFERROR(X111/H111,"0")+IFERROR(X112/H112,"0")+IFERROR(X113/H113,"0")</f>
        <v>47.962962962962969</v>
      </c>
      <c r="Y114" s="635">
        <f>IFERROR(Y109/H109,"0")+IFERROR(Y110/H110,"0")+IFERROR(Y111/H111,"0")+IFERROR(Y112/H112,"0")+IFERROR(Y113/H113,"0")</f>
        <v>49</v>
      </c>
      <c r="Z114" s="635">
        <f>IFERROR(IF(Z109="",0,Z109),"0")+IFERROR(IF(Z110="",0,Z110),"0")+IFERROR(IF(Z111="",0,Z111),"0")+IFERROR(IF(Z112="",0,Z112),"0")+IFERROR(IF(Z113="",0,Z113),"0")</f>
        <v>0.43122000000000005</v>
      </c>
      <c r="AA114" s="636"/>
      <c r="AB114" s="636"/>
      <c r="AC114" s="636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72</v>
      </c>
      <c r="Q115" s="647"/>
      <c r="R115" s="647"/>
      <c r="S115" s="647"/>
      <c r="T115" s="647"/>
      <c r="U115" s="647"/>
      <c r="V115" s="648"/>
      <c r="W115" s="37" t="s">
        <v>67</v>
      </c>
      <c r="X115" s="635">
        <f>IFERROR(SUM(X109:X113),"0")</f>
        <v>189</v>
      </c>
      <c r="Y115" s="635">
        <f>IFERROR(SUM(Y109:Y113),"0")</f>
        <v>193.2</v>
      </c>
      <c r="Z115" s="37"/>
      <c r="AA115" s="636"/>
      <c r="AB115" s="636"/>
      <c r="AC115" s="636"/>
    </row>
    <row r="116" spans="1:68" ht="14.25" customHeight="1" x14ac:dyDescent="0.25">
      <c r="A116" s="658" t="s">
        <v>74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861</v>
      </c>
      <c r="Y117" s="634">
        <f>IFERROR(IF(X117="",0,CEILING((X117/$H117),1)*$H117),"")</f>
        <v>866.69999999999993</v>
      </c>
      <c r="Z117" s="36">
        <f>IFERROR(IF(Y117=0,"",ROUNDUP(Y117/H117,0)*0.01898),"")</f>
        <v>2.0308600000000001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912.87259259259247</v>
      </c>
      <c r="BN117" s="64">
        <f>IFERROR(Y117*I117/H117,"0")</f>
        <v>918.91599999999983</v>
      </c>
      <c r="BO117" s="64">
        <f>IFERROR(1/J117*(X117/H117),"0")</f>
        <v>1.6608796296296298</v>
      </c>
      <c r="BP117" s="64">
        <f>IFERROR(1/J117*(Y117/H117),"0")</f>
        <v>1.671875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363</v>
      </c>
      <c r="Y119" s="634">
        <f>IFERROR(IF(X119="",0,CEILING((X119/$H119),1)*$H119),"")</f>
        <v>364.5</v>
      </c>
      <c r="Z119" s="36">
        <f>IFERROR(IF(Y119=0,"",ROUNDUP(Y119/H119,0)*0.00651),"")</f>
        <v>0.87885000000000002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396.88</v>
      </c>
      <c r="BN119" s="64">
        <f>IFERROR(Y119*I119/H119,"0")</f>
        <v>398.51999999999992</v>
      </c>
      <c r="BO119" s="64">
        <f>IFERROR(1/J119*(X119/H119),"0")</f>
        <v>0.73870573870573863</v>
      </c>
      <c r="BP119" s="64">
        <f>IFERROR(1/J119*(Y119/H119),"0")</f>
        <v>0.74175824175824179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72</v>
      </c>
      <c r="Q121" s="647"/>
      <c r="R121" s="647"/>
      <c r="S121" s="647"/>
      <c r="T121" s="647"/>
      <c r="U121" s="647"/>
      <c r="V121" s="648"/>
      <c r="W121" s="37" t="s">
        <v>73</v>
      </c>
      <c r="X121" s="635">
        <f>IFERROR(X117/H117,"0")+IFERROR(X118/H118,"0")+IFERROR(X119/H119,"0")+IFERROR(X120/H120,"0")</f>
        <v>240.74074074074073</v>
      </c>
      <c r="Y121" s="635">
        <f>IFERROR(Y117/H117,"0")+IFERROR(Y118/H118,"0")+IFERROR(Y119/H119,"0")+IFERROR(Y120/H120,"0")</f>
        <v>242</v>
      </c>
      <c r="Z121" s="635">
        <f>IFERROR(IF(Z117="",0,Z117),"0")+IFERROR(IF(Z118="",0,Z118),"0")+IFERROR(IF(Z119="",0,Z119),"0")+IFERROR(IF(Z120="",0,Z120),"0")</f>
        <v>2.90971</v>
      </c>
      <c r="AA121" s="636"/>
      <c r="AB121" s="636"/>
      <c r="AC121" s="636"/>
    </row>
    <row r="122" spans="1:68" x14ac:dyDescent="0.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72</v>
      </c>
      <c r="Q122" s="647"/>
      <c r="R122" s="647"/>
      <c r="S122" s="647"/>
      <c r="T122" s="647"/>
      <c r="U122" s="647"/>
      <c r="V122" s="648"/>
      <c r="W122" s="37" t="s">
        <v>67</v>
      </c>
      <c r="X122" s="635">
        <f>IFERROR(SUM(X117:X120),"0")</f>
        <v>1224</v>
      </c>
      <c r="Y122" s="635">
        <f>IFERROR(SUM(Y117:Y120),"0")</f>
        <v>1231.1999999999998</v>
      </c>
      <c r="Z122" s="37"/>
      <c r="AA122" s="636"/>
      <c r="AB122" s="636"/>
      <c r="AC122" s="636"/>
    </row>
    <row r="123" spans="1:68" ht="14.25" customHeight="1" x14ac:dyDescent="0.25">
      <c r="A123" s="658" t="s">
        <v>164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72</v>
      </c>
      <c r="Q125" s="647"/>
      <c r="R125" s="647"/>
      <c r="S125" s="647"/>
      <c r="T125" s="647"/>
      <c r="U125" s="647"/>
      <c r="V125" s="648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72</v>
      </c>
      <c r="Q126" s="647"/>
      <c r="R126" s="647"/>
      <c r="S126" s="647"/>
      <c r="T126" s="647"/>
      <c r="U126" s="647"/>
      <c r="V126" s="648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7" t="s">
        <v>232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8"/>
      <c r="AB127" s="628"/>
      <c r="AC127" s="628"/>
    </row>
    <row r="128" spans="1:68" ht="14.25" customHeight="1" x14ac:dyDescent="0.25">
      <c r="A128" s="658" t="s">
        <v>111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15</v>
      </c>
      <c r="Y130" s="634">
        <f>IFERROR(IF(X130="",0,CEILING((X130/$H130),1)*$H130),"")</f>
        <v>16</v>
      </c>
      <c r="Z130" s="36">
        <f>IFERROR(IF(Y130=0,"",ROUNDUP(Y130/H130,0)*0.00651),"")</f>
        <v>3.2550000000000003E-2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15.843749999999998</v>
      </c>
      <c r="BN130" s="64">
        <f>IFERROR(Y130*I130/H130,"0")</f>
        <v>16.899999999999999</v>
      </c>
      <c r="BO130" s="64">
        <f>IFERROR(1/J130*(X130/H130),"0")</f>
        <v>2.5755494505494508E-2</v>
      </c>
      <c r="BP130" s="64">
        <f>IFERROR(1/J130*(Y130/H130),"0")</f>
        <v>2.7472527472527476E-2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72</v>
      </c>
      <c r="Q132" s="647"/>
      <c r="R132" s="647"/>
      <c r="S132" s="647"/>
      <c r="T132" s="647"/>
      <c r="U132" s="647"/>
      <c r="V132" s="648"/>
      <c r="W132" s="37" t="s">
        <v>73</v>
      </c>
      <c r="X132" s="635">
        <f>IFERROR(X129/H129,"0")+IFERROR(X130/H130,"0")+IFERROR(X131/H131,"0")</f>
        <v>4.6875</v>
      </c>
      <c r="Y132" s="635">
        <f>IFERROR(Y129/H129,"0")+IFERROR(Y130/H130,"0")+IFERROR(Y131/H131,"0")</f>
        <v>5</v>
      </c>
      <c r="Z132" s="635">
        <f>IFERROR(IF(Z129="",0,Z129),"0")+IFERROR(IF(Z130="",0,Z130),"0")+IFERROR(IF(Z131="",0,Z131),"0")</f>
        <v>3.2550000000000003E-2</v>
      </c>
      <c r="AA132" s="636"/>
      <c r="AB132" s="636"/>
      <c r="AC132" s="636"/>
    </row>
    <row r="133" spans="1:68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72</v>
      </c>
      <c r="Q133" s="647"/>
      <c r="R133" s="647"/>
      <c r="S133" s="647"/>
      <c r="T133" s="647"/>
      <c r="U133" s="647"/>
      <c r="V133" s="648"/>
      <c r="W133" s="37" t="s">
        <v>67</v>
      </c>
      <c r="X133" s="635">
        <f>IFERROR(SUM(X129:X131),"0")</f>
        <v>15</v>
      </c>
      <c r="Y133" s="635">
        <f>IFERROR(SUM(Y129:Y131),"0")</f>
        <v>16</v>
      </c>
      <c r="Z133" s="37"/>
      <c r="AA133" s="636"/>
      <c r="AB133" s="636"/>
      <c r="AC133" s="636"/>
    </row>
    <row r="134" spans="1:68" ht="14.25" customHeight="1" x14ac:dyDescent="0.25">
      <c r="A134" s="658" t="s">
        <v>62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24</v>
      </c>
      <c r="Y136" s="634">
        <f>IFERROR(IF(X136="",0,CEILING((X136/$H136),1)*$H136),"")</f>
        <v>25.2</v>
      </c>
      <c r="Z136" s="36">
        <f>IFERROR(IF(Y136=0,"",ROUNDUP(Y136/H136,0)*0.00651),"")</f>
        <v>5.8590000000000003E-2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26.297142857142859</v>
      </c>
      <c r="BN136" s="64">
        <f>IFERROR(Y136*I136/H136,"0")</f>
        <v>27.611999999999998</v>
      </c>
      <c r="BO136" s="64">
        <f>IFERROR(1/J136*(X136/H136),"0")</f>
        <v>4.709576138147567E-2</v>
      </c>
      <c r="BP136" s="64">
        <f>IFERROR(1/J136*(Y136/H136),"0")</f>
        <v>4.9450549450549455E-2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72</v>
      </c>
      <c r="Q139" s="647"/>
      <c r="R139" s="647"/>
      <c r="S139" s="647"/>
      <c r="T139" s="647"/>
      <c r="U139" s="647"/>
      <c r="V139" s="648"/>
      <c r="W139" s="37" t="s">
        <v>73</v>
      </c>
      <c r="X139" s="635">
        <f>IFERROR(X135/H135,"0")+IFERROR(X136/H136,"0")+IFERROR(X137/H137,"0")+IFERROR(X138/H138,"0")</f>
        <v>8.5714285714285712</v>
      </c>
      <c r="Y139" s="635">
        <f>IFERROR(Y135/H135,"0")+IFERROR(Y136/H136,"0")+IFERROR(Y137/H137,"0")+IFERROR(Y138/H138,"0")</f>
        <v>9</v>
      </c>
      <c r="Z139" s="635">
        <f>IFERROR(IF(Z135="",0,Z135),"0")+IFERROR(IF(Z136="",0,Z136),"0")+IFERROR(IF(Z137="",0,Z137),"0")+IFERROR(IF(Z138="",0,Z138),"0")</f>
        <v>5.8590000000000003E-2</v>
      </c>
      <c r="AA139" s="636"/>
      <c r="AB139" s="636"/>
      <c r="AC139" s="636"/>
    </row>
    <row r="140" spans="1:68" x14ac:dyDescent="0.2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72</v>
      </c>
      <c r="Q140" s="647"/>
      <c r="R140" s="647"/>
      <c r="S140" s="647"/>
      <c r="T140" s="647"/>
      <c r="U140" s="647"/>
      <c r="V140" s="648"/>
      <c r="W140" s="37" t="s">
        <v>67</v>
      </c>
      <c r="X140" s="635">
        <f>IFERROR(SUM(X135:X138),"0")</f>
        <v>24</v>
      </c>
      <c r="Y140" s="635">
        <f>IFERROR(SUM(Y135:Y138),"0")</f>
        <v>25.2</v>
      </c>
      <c r="Z140" s="37"/>
      <c r="AA140" s="636"/>
      <c r="AB140" s="636"/>
      <c r="AC140" s="636"/>
    </row>
    <row r="141" spans="1:68" ht="14.25" customHeight="1" x14ac:dyDescent="0.25">
      <c r="A141" s="658" t="s">
        <v>74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67</v>
      </c>
      <c r="X143" s="633">
        <v>21</v>
      </c>
      <c r="Y143" s="634">
        <f>IFERROR(IF(X143="",0,CEILING((X143/$H143),1)*$H143),"")</f>
        <v>21.12</v>
      </c>
      <c r="Z143" s="36">
        <f>IFERROR(IF(Y143=0,"",ROUNDUP(Y143/H143,0)*0.00651),"")</f>
        <v>5.2080000000000001E-2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23.131818181818179</v>
      </c>
      <c r="BN143" s="64">
        <f>IFERROR(Y143*I143/H143,"0")</f>
        <v>23.263999999999999</v>
      </c>
      <c r="BO143" s="64">
        <f>IFERROR(1/J143*(X143/H143),"0")</f>
        <v>4.3706293706293704E-2</v>
      </c>
      <c r="BP143" s="64">
        <f>IFERROR(1/J143*(Y143/H143),"0")</f>
        <v>4.3956043956043959E-2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72</v>
      </c>
      <c r="Q145" s="647"/>
      <c r="R145" s="647"/>
      <c r="S145" s="647"/>
      <c r="T145" s="647"/>
      <c r="U145" s="647"/>
      <c r="V145" s="648"/>
      <c r="W145" s="37" t="s">
        <v>73</v>
      </c>
      <c r="X145" s="635">
        <f>IFERROR(X142/H142,"0")+IFERROR(X143/H143,"0")+IFERROR(X144/H144,"0")</f>
        <v>7.9545454545454541</v>
      </c>
      <c r="Y145" s="635">
        <f>IFERROR(Y142/H142,"0")+IFERROR(Y143/H143,"0")+IFERROR(Y144/H144,"0")</f>
        <v>8</v>
      </c>
      <c r="Z145" s="635">
        <f>IFERROR(IF(Z142="",0,Z142),"0")+IFERROR(IF(Z143="",0,Z143),"0")+IFERROR(IF(Z144="",0,Z144),"0")</f>
        <v>5.2080000000000001E-2</v>
      </c>
      <c r="AA145" s="636"/>
      <c r="AB145" s="636"/>
      <c r="AC145" s="636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72</v>
      </c>
      <c r="Q146" s="647"/>
      <c r="R146" s="647"/>
      <c r="S146" s="647"/>
      <c r="T146" s="647"/>
      <c r="U146" s="647"/>
      <c r="V146" s="648"/>
      <c r="W146" s="37" t="s">
        <v>67</v>
      </c>
      <c r="X146" s="635">
        <f>IFERROR(SUM(X142:X144),"0")</f>
        <v>21</v>
      </c>
      <c r="Y146" s="635">
        <f>IFERROR(SUM(Y142:Y144),"0")</f>
        <v>21.12</v>
      </c>
      <c r="Z146" s="37"/>
      <c r="AA146" s="636"/>
      <c r="AB146" s="636"/>
      <c r="AC146" s="636"/>
    </row>
    <row r="147" spans="1:68" ht="16.5" customHeight="1" x14ac:dyDescent="0.25">
      <c r="A147" s="657" t="s">
        <v>256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8"/>
      <c r="AB147" s="628"/>
      <c r="AC147" s="628"/>
    </row>
    <row r="148" spans="1:68" ht="14.25" customHeight="1" x14ac:dyDescent="0.25">
      <c r="A148" s="658" t="s">
        <v>74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72</v>
      </c>
      <c r="Q156" s="647"/>
      <c r="R156" s="647"/>
      <c r="S156" s="647"/>
      <c r="T156" s="647"/>
      <c r="U156" s="647"/>
      <c r="V156" s="648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72</v>
      </c>
      <c r="Q157" s="647"/>
      <c r="R157" s="647"/>
      <c r="S157" s="647"/>
      <c r="T157" s="647"/>
      <c r="U157" s="647"/>
      <c r="V157" s="648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58" t="s">
        <v>272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72</v>
      </c>
      <c r="Q160" s="647"/>
      <c r="R160" s="647"/>
      <c r="S160" s="647"/>
      <c r="T160" s="647"/>
      <c r="U160" s="647"/>
      <c r="V160" s="648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72</v>
      </c>
      <c r="Q161" s="647"/>
      <c r="R161" s="647"/>
      <c r="S161" s="647"/>
      <c r="T161" s="647"/>
      <c r="U161" s="647"/>
      <c r="V161" s="648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7" t="s">
        <v>109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8"/>
      <c r="AB162" s="628"/>
      <c r="AC162" s="628"/>
    </row>
    <row r="163" spans="1:68" ht="14.25" customHeight="1" x14ac:dyDescent="0.25">
      <c r="A163" s="658" t="s">
        <v>111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97</v>
      </c>
      <c r="Y164" s="634">
        <f>IFERROR(IF(X164="",0,CEILING((X164/$H164),1)*$H164),"")</f>
        <v>102</v>
      </c>
      <c r="Z164" s="36">
        <f>IFERROR(IF(Y164=0,"",ROUNDUP(Y164/H164,0)*0.01196),"")</f>
        <v>0.20332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102.65833333333332</v>
      </c>
      <c r="BN164" s="64">
        <f>IFERROR(Y164*I164/H164,"0")</f>
        <v>107.94999999999999</v>
      </c>
      <c r="BO164" s="64">
        <f>IFERROR(1/J164*(X164/H164),"0")</f>
        <v>0.15544871794871798</v>
      </c>
      <c r="BP164" s="64">
        <f>IFERROR(1/J164*(Y164/H164),"0")</f>
        <v>0.16346153846153846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72</v>
      </c>
      <c r="Q167" s="647"/>
      <c r="R167" s="647"/>
      <c r="S167" s="647"/>
      <c r="T167" s="647"/>
      <c r="U167" s="647"/>
      <c r="V167" s="648"/>
      <c r="W167" s="37" t="s">
        <v>73</v>
      </c>
      <c r="X167" s="635">
        <f>IFERROR(X164/H164,"0")+IFERROR(X165/H165,"0")+IFERROR(X166/H166,"0")</f>
        <v>16.166666666666668</v>
      </c>
      <c r="Y167" s="635">
        <f>IFERROR(Y164/H164,"0")+IFERROR(Y165/H165,"0")+IFERROR(Y166/H166,"0")</f>
        <v>17</v>
      </c>
      <c r="Z167" s="635">
        <f>IFERROR(IF(Z164="",0,Z164),"0")+IFERROR(IF(Z165="",0,Z165),"0")+IFERROR(IF(Z166="",0,Z166),"0")</f>
        <v>0.20332</v>
      </c>
      <c r="AA167" s="636"/>
      <c r="AB167" s="636"/>
      <c r="AC167" s="636"/>
    </row>
    <row r="168" spans="1:68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72</v>
      </c>
      <c r="Q168" s="647"/>
      <c r="R168" s="647"/>
      <c r="S168" s="647"/>
      <c r="T168" s="647"/>
      <c r="U168" s="647"/>
      <c r="V168" s="648"/>
      <c r="W168" s="37" t="s">
        <v>67</v>
      </c>
      <c r="X168" s="635">
        <f>IFERROR(SUM(X164:X166),"0")</f>
        <v>97</v>
      </c>
      <c r="Y168" s="635">
        <f>IFERROR(SUM(Y164:Y166),"0")</f>
        <v>102</v>
      </c>
      <c r="Z168" s="37"/>
      <c r="AA168" s="636"/>
      <c r="AB168" s="636"/>
      <c r="AC168" s="636"/>
    </row>
    <row r="169" spans="1:68" ht="14.25" customHeight="1" x14ac:dyDescent="0.25">
      <c r="A169" s="658" t="s">
        <v>147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72</v>
      </c>
      <c r="Q172" s="647"/>
      <c r="R172" s="647"/>
      <c r="S172" s="647"/>
      <c r="T172" s="647"/>
      <c r="U172" s="647"/>
      <c r="V172" s="648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72</v>
      </c>
      <c r="Q173" s="647"/>
      <c r="R173" s="647"/>
      <c r="S173" s="647"/>
      <c r="T173" s="647"/>
      <c r="U173" s="647"/>
      <c r="V173" s="648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58" t="s">
        <v>62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641</v>
      </c>
      <c r="Y175" s="634">
        <f t="shared" ref="Y175:Y185" si="16">IFERROR(IF(X175="",0,CEILING((X175/$H175),1)*$H175),"")</f>
        <v>644</v>
      </c>
      <c r="Z175" s="36">
        <f>IFERROR(IF(Y175=0,"",ROUNDUP(Y175/H175,0)*0.00902),"")</f>
        <v>1.65968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675.79714285714283</v>
      </c>
      <c r="BN175" s="64">
        <f t="shared" ref="BN175:BN185" si="18">IFERROR(Y175*I175/H175,"0")</f>
        <v>678.96</v>
      </c>
      <c r="BO175" s="64">
        <f t="shared" ref="BO175:BO185" si="19">IFERROR(1/J175*(X175/H175),"0")</f>
        <v>1.3874458874458875</v>
      </c>
      <c r="BP175" s="64">
        <f t="shared" ref="BP175:BP185" si="20">IFERROR(1/J175*(Y175/H175),"0")</f>
        <v>1.393939393939394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265</v>
      </c>
      <c r="Y177" s="634">
        <f t="shared" si="16"/>
        <v>266</v>
      </c>
      <c r="Z177" s="36">
        <f>IFERROR(IF(Y177=0,"",ROUNDUP(Y177/H177,0)*0.00902),"")</f>
        <v>0.68552000000000002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279.3857142857143</v>
      </c>
      <c r="BN177" s="64">
        <f t="shared" si="18"/>
        <v>280.44</v>
      </c>
      <c r="BO177" s="64">
        <f t="shared" si="19"/>
        <v>0.57359307359307354</v>
      </c>
      <c r="BP177" s="64">
        <f t="shared" si="20"/>
        <v>0.5757575757575758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284</v>
      </c>
      <c r="Y178" s="634">
        <f t="shared" si="16"/>
        <v>287</v>
      </c>
      <c r="Z178" s="36">
        <f>IFERROR(IF(Y178=0,"",ROUNDUP(Y178/H178,0)*0.00902),"")</f>
        <v>0.73964000000000008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299.41714285714289</v>
      </c>
      <c r="BN178" s="64">
        <f t="shared" si="18"/>
        <v>302.58</v>
      </c>
      <c r="BO178" s="64">
        <f t="shared" si="19"/>
        <v>0.61471861471861466</v>
      </c>
      <c r="BP178" s="64">
        <f t="shared" si="20"/>
        <v>0.62121212121212122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6</v>
      </c>
      <c r="Y179" s="634">
        <f t="shared" si="16"/>
        <v>6.3</v>
      </c>
      <c r="Z179" s="36">
        <f>IFERROR(IF(Y179=0,"",ROUNDUP(Y179/H179,0)*0.00417),"")</f>
        <v>2.9190000000000001E-2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7.4</v>
      </c>
      <c r="BN179" s="64">
        <f t="shared" si="18"/>
        <v>7.7700000000000005</v>
      </c>
      <c r="BO179" s="64">
        <f t="shared" si="19"/>
        <v>1.9841269841269837E-2</v>
      </c>
      <c r="BP179" s="64">
        <f t="shared" si="20"/>
        <v>2.0833333333333332E-2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5</v>
      </c>
      <c r="Y181" s="634">
        <f t="shared" si="16"/>
        <v>5.4</v>
      </c>
      <c r="Z181" s="36">
        <f>IFERROR(IF(Y181=0,"",ROUNDUP(Y181/H181,0)*0.00417),"")</f>
        <v>2.5020000000000001E-2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6.166666666666667</v>
      </c>
      <c r="BN181" s="64">
        <f t="shared" si="18"/>
        <v>6.66</v>
      </c>
      <c r="BO181" s="64">
        <f t="shared" si="19"/>
        <v>1.6534391534391533E-2</v>
      </c>
      <c r="BP181" s="64">
        <f t="shared" si="20"/>
        <v>1.7857142857142856E-2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3">
        <v>72</v>
      </c>
      <c r="Y185" s="634">
        <f t="shared" si="16"/>
        <v>72.239999999999995</v>
      </c>
      <c r="Z185" s="36">
        <f>IFERROR(IF(Y185=0,"",ROUNDUP(Y185/H185,0)*0.00502),"")</f>
        <v>0.21586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76.285714285714292</v>
      </c>
      <c r="BN185" s="64">
        <f t="shared" si="18"/>
        <v>76.540000000000006</v>
      </c>
      <c r="BO185" s="64">
        <f t="shared" si="19"/>
        <v>0.18315018315018319</v>
      </c>
      <c r="BP185" s="64">
        <f t="shared" si="20"/>
        <v>0.18376068376068377</v>
      </c>
    </row>
    <row r="186" spans="1:68" x14ac:dyDescent="0.2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72</v>
      </c>
      <c r="Q186" s="647"/>
      <c r="R186" s="647"/>
      <c r="S186" s="647"/>
      <c r="T186" s="647"/>
      <c r="U186" s="647"/>
      <c r="V186" s="648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395.07936507936506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398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3.3549100000000003</v>
      </c>
      <c r="AA186" s="636"/>
      <c r="AB186" s="636"/>
      <c r="AC186" s="636"/>
    </row>
    <row r="187" spans="1:68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72</v>
      </c>
      <c r="Q187" s="647"/>
      <c r="R187" s="647"/>
      <c r="S187" s="647"/>
      <c r="T187" s="647"/>
      <c r="U187" s="647"/>
      <c r="V187" s="648"/>
      <c r="W187" s="37" t="s">
        <v>67</v>
      </c>
      <c r="X187" s="635">
        <f>IFERROR(SUM(X175:X185),"0")</f>
        <v>1273</v>
      </c>
      <c r="Y187" s="635">
        <f>IFERROR(SUM(Y175:Y185),"0")</f>
        <v>1280.94</v>
      </c>
      <c r="Z187" s="37"/>
      <c r="AA187" s="636"/>
      <c r="AB187" s="636"/>
      <c r="AC187" s="636"/>
    </row>
    <row r="188" spans="1:68" ht="14.25" customHeight="1" x14ac:dyDescent="0.25">
      <c r="A188" s="658" t="s">
        <v>74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72</v>
      </c>
      <c r="Q192" s="647"/>
      <c r="R192" s="647"/>
      <c r="S192" s="647"/>
      <c r="T192" s="647"/>
      <c r="U192" s="647"/>
      <c r="V192" s="648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72</v>
      </c>
      <c r="Q193" s="647"/>
      <c r="R193" s="647"/>
      <c r="S193" s="647"/>
      <c r="T193" s="647"/>
      <c r="U193" s="647"/>
      <c r="V193" s="648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58" t="s">
        <v>272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72</v>
      </c>
      <c r="Q197" s="647"/>
      <c r="R197" s="647"/>
      <c r="S197" s="647"/>
      <c r="T197" s="647"/>
      <c r="U197" s="647"/>
      <c r="V197" s="648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72</v>
      </c>
      <c r="Q198" s="647"/>
      <c r="R198" s="647"/>
      <c r="S198" s="647"/>
      <c r="T198" s="647"/>
      <c r="U198" s="647"/>
      <c r="V198" s="648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58" t="s">
        <v>338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72</v>
      </c>
      <c r="Q201" s="647"/>
      <c r="R201" s="647"/>
      <c r="S201" s="647"/>
      <c r="T201" s="647"/>
      <c r="U201" s="647"/>
      <c r="V201" s="648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72</v>
      </c>
      <c r="Q202" s="647"/>
      <c r="R202" s="647"/>
      <c r="S202" s="647"/>
      <c r="T202" s="647"/>
      <c r="U202" s="647"/>
      <c r="V202" s="648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734" t="s">
        <v>342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48"/>
      <c r="AB203" s="48"/>
      <c r="AC203" s="48"/>
    </row>
    <row r="204" spans="1:68" ht="16.5" customHeight="1" x14ac:dyDescent="0.25">
      <c r="A204" s="657" t="s">
        <v>343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8"/>
      <c r="AB204" s="628"/>
      <c r="AC204" s="628"/>
    </row>
    <row r="205" spans="1:68" ht="14.25" customHeight="1" x14ac:dyDescent="0.25">
      <c r="A205" s="658" t="s">
        <v>111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72</v>
      </c>
      <c r="Q213" s="647"/>
      <c r="R213" s="647"/>
      <c r="S213" s="647"/>
      <c r="T213" s="647"/>
      <c r="U213" s="647"/>
      <c r="V213" s="648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72</v>
      </c>
      <c r="Q214" s="647"/>
      <c r="R214" s="647"/>
      <c r="S214" s="647"/>
      <c r="T214" s="647"/>
      <c r="U214" s="647"/>
      <c r="V214" s="648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7" t="s">
        <v>364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8"/>
      <c r="AB215" s="628"/>
      <c r="AC215" s="628"/>
    </row>
    <row r="216" spans="1:68" ht="14.25" customHeight="1" x14ac:dyDescent="0.25">
      <c r="A216" s="658" t="s">
        <v>147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72</v>
      </c>
      <c r="Q218" s="647"/>
      <c r="R218" s="647"/>
      <c r="S218" s="647"/>
      <c r="T218" s="647"/>
      <c r="U218" s="647"/>
      <c r="V218" s="648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72</v>
      </c>
      <c r="Q219" s="647"/>
      <c r="R219" s="647"/>
      <c r="S219" s="647"/>
      <c r="T219" s="647"/>
      <c r="U219" s="647"/>
      <c r="V219" s="648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58" t="s">
        <v>62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37</v>
      </c>
      <c r="Y221" s="634">
        <f t="shared" ref="Y221:Y234" si="27">IFERROR(IF(X221="",0,CEILING((X221/$H221),1)*$H221),"")</f>
        <v>37.800000000000004</v>
      </c>
      <c r="Z221" s="36">
        <f>IFERROR(IF(Y221=0,"",ROUNDUP(Y221/H221,0)*0.00902),"")</f>
        <v>8.1180000000000002E-2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39.202380952380949</v>
      </c>
      <c r="BN221" s="64">
        <f t="shared" ref="BN221:BN234" si="29">IFERROR(Y221*I221/H221,"0")</f>
        <v>40.050000000000004</v>
      </c>
      <c r="BO221" s="64">
        <f t="shared" ref="BO221:BO234" si="30">IFERROR(1/J221*(X221/H221),"0")</f>
        <v>6.6738816738816736E-2</v>
      </c>
      <c r="BP221" s="64">
        <f t="shared" ref="BP221:BP234" si="31">IFERROR(1/J221*(Y221/H221),"0")</f>
        <v>6.8181818181818177E-2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10</v>
      </c>
      <c r="Y224" s="634">
        <f t="shared" si="27"/>
        <v>10.4</v>
      </c>
      <c r="Z224" s="36">
        <f>IFERROR(IF(Y224=0,"",ROUNDUP(Y224/H224,0)*0.00556),"")</f>
        <v>7.2279999999999997E-2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11.625</v>
      </c>
      <c r="BN224" s="64">
        <f t="shared" si="29"/>
        <v>12.09</v>
      </c>
      <c r="BO224" s="64">
        <f t="shared" si="30"/>
        <v>4.96031746031746E-2</v>
      </c>
      <c r="BP224" s="64">
        <f t="shared" si="31"/>
        <v>5.1587301587301584E-2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15</v>
      </c>
      <c r="Y230" s="634">
        <f t="shared" si="27"/>
        <v>16.2</v>
      </c>
      <c r="Z230" s="36">
        <f t="shared" si="32"/>
        <v>4.5179999999999998E-2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16.083333333333332</v>
      </c>
      <c r="BN230" s="64">
        <f t="shared" si="29"/>
        <v>17.369999999999997</v>
      </c>
      <c r="BO230" s="64">
        <f t="shared" si="30"/>
        <v>3.561253561253562E-2</v>
      </c>
      <c r="BP230" s="64">
        <f t="shared" si="31"/>
        <v>3.8461538461538464E-2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3</v>
      </c>
      <c r="Y231" s="634">
        <f t="shared" si="27"/>
        <v>3.2</v>
      </c>
      <c r="Z231" s="36">
        <f>IFERROR(IF(Y231=0,"",ROUNDUP(Y231/H231,0)*0.00417),"")</f>
        <v>1.668E-2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3.7875000000000001</v>
      </c>
      <c r="BN231" s="64">
        <f t="shared" si="29"/>
        <v>4.04</v>
      </c>
      <c r="BO231" s="64">
        <f t="shared" si="30"/>
        <v>1.1160714285714284E-2</v>
      </c>
      <c r="BP231" s="64">
        <f t="shared" si="31"/>
        <v>1.1904761904761904E-2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67</v>
      </c>
      <c r="X232" s="633">
        <v>201</v>
      </c>
      <c r="Y232" s="634">
        <f t="shared" si="27"/>
        <v>201.60000000000002</v>
      </c>
      <c r="Z232" s="36">
        <f>IFERROR(IF(Y232=0,"",ROUNDUP(Y232/H232,0)*0.00502),"")</f>
        <v>0.48192000000000002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210.57142857142858</v>
      </c>
      <c r="BN232" s="64">
        <f t="shared" si="29"/>
        <v>211.20000000000005</v>
      </c>
      <c r="BO232" s="64">
        <f t="shared" si="30"/>
        <v>0.40903540903540903</v>
      </c>
      <c r="BP232" s="64">
        <f t="shared" si="31"/>
        <v>0.4102564102564103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72</v>
      </c>
      <c r="Q235" s="647"/>
      <c r="R235" s="647"/>
      <c r="S235" s="647"/>
      <c r="T235" s="647"/>
      <c r="U235" s="647"/>
      <c r="V235" s="648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145.77380952380952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148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0.78258000000000005</v>
      </c>
      <c r="AA235" s="636"/>
      <c r="AB235" s="636"/>
      <c r="AC235" s="636"/>
    </row>
    <row r="236" spans="1:68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72</v>
      </c>
      <c r="Q236" s="647"/>
      <c r="R236" s="647"/>
      <c r="S236" s="647"/>
      <c r="T236" s="647"/>
      <c r="U236" s="647"/>
      <c r="V236" s="648"/>
      <c r="W236" s="37" t="s">
        <v>67</v>
      </c>
      <c r="X236" s="635">
        <f>IFERROR(SUM(X221:X234),"0")</f>
        <v>301</v>
      </c>
      <c r="Y236" s="635">
        <f>IFERROR(SUM(Y221:Y234),"0")</f>
        <v>304.90000000000003</v>
      </c>
      <c r="Z236" s="37"/>
      <c r="AA236" s="636"/>
      <c r="AB236" s="636"/>
      <c r="AC236" s="636"/>
    </row>
    <row r="237" spans="1:68" ht="14.25" customHeight="1" x14ac:dyDescent="0.25">
      <c r="A237" s="658" t="s">
        <v>74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72</v>
      </c>
      <c r="Q243" s="647"/>
      <c r="R243" s="647"/>
      <c r="S243" s="647"/>
      <c r="T243" s="647"/>
      <c r="U243" s="647"/>
      <c r="V243" s="648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72</v>
      </c>
      <c r="Q244" s="647"/>
      <c r="R244" s="647"/>
      <c r="S244" s="647"/>
      <c r="T244" s="647"/>
      <c r="U244" s="647"/>
      <c r="V244" s="648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58" t="s">
        <v>272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67</v>
      </c>
      <c r="X248" s="633">
        <v>3</v>
      </c>
      <c r="Y248" s="634">
        <f>IFERROR(IF(X248="",0,CEILING((X248/$H248),1)*$H248),"")</f>
        <v>3.7800000000000002</v>
      </c>
      <c r="Z248" s="36">
        <f>IFERROR(IF(Y248=0,"",ROUNDUP(Y248/H248,0)*0.0059),"")</f>
        <v>1.77E-2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3.4523809523809521</v>
      </c>
      <c r="BN248" s="64">
        <f>IFERROR(Y248*I248/H248,"0")</f>
        <v>4.3499999999999996</v>
      </c>
      <c r="BO248" s="64">
        <f>IFERROR(1/J248*(X248/H248),"0")</f>
        <v>1.1022927689594356E-2</v>
      </c>
      <c r="BP248" s="64">
        <f>IFERROR(1/J248*(Y248/H248),"0")</f>
        <v>1.3888888888888888E-2</v>
      </c>
    </row>
    <row r="249" spans="1:68" x14ac:dyDescent="0.2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72</v>
      </c>
      <c r="Q249" s="647"/>
      <c r="R249" s="647"/>
      <c r="S249" s="647"/>
      <c r="T249" s="647"/>
      <c r="U249" s="647"/>
      <c r="V249" s="648"/>
      <c r="W249" s="37" t="s">
        <v>73</v>
      </c>
      <c r="X249" s="635">
        <f>IFERROR(X246/H246,"0")+IFERROR(X247/H247,"0")+IFERROR(X248/H248,"0")</f>
        <v>2.3809523809523809</v>
      </c>
      <c r="Y249" s="635">
        <f>IFERROR(Y246/H246,"0")+IFERROR(Y247/H247,"0")+IFERROR(Y248/H248,"0")</f>
        <v>3</v>
      </c>
      <c r="Z249" s="635">
        <f>IFERROR(IF(Z246="",0,Z246),"0")+IFERROR(IF(Z247="",0,Z247),"0")+IFERROR(IF(Z248="",0,Z248),"0")</f>
        <v>1.77E-2</v>
      </c>
      <c r="AA249" s="636"/>
      <c r="AB249" s="636"/>
      <c r="AC249" s="636"/>
    </row>
    <row r="250" spans="1:68" x14ac:dyDescent="0.2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72</v>
      </c>
      <c r="Q250" s="647"/>
      <c r="R250" s="647"/>
      <c r="S250" s="647"/>
      <c r="T250" s="647"/>
      <c r="U250" s="647"/>
      <c r="V250" s="648"/>
      <c r="W250" s="37" t="s">
        <v>67</v>
      </c>
      <c r="X250" s="635">
        <f>IFERROR(SUM(X246:X248),"0")</f>
        <v>3</v>
      </c>
      <c r="Y250" s="635">
        <f>IFERROR(SUM(Y246:Y248),"0")</f>
        <v>3.7800000000000002</v>
      </c>
      <c r="Z250" s="37"/>
      <c r="AA250" s="636"/>
      <c r="AB250" s="636"/>
      <c r="AC250" s="636"/>
    </row>
    <row r="251" spans="1:68" ht="14.25" customHeight="1" x14ac:dyDescent="0.25">
      <c r="A251" s="658" t="s">
        <v>428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72</v>
      </c>
      <c r="Q253" s="647"/>
      <c r="R253" s="647"/>
      <c r="S253" s="647"/>
      <c r="T253" s="647"/>
      <c r="U253" s="647"/>
      <c r="V253" s="648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72</v>
      </c>
      <c r="Q254" s="647"/>
      <c r="R254" s="647"/>
      <c r="S254" s="647"/>
      <c r="T254" s="647"/>
      <c r="U254" s="647"/>
      <c r="V254" s="648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7" t="s">
        <v>431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8"/>
      <c r="AB255" s="628"/>
      <c r="AC255" s="628"/>
    </row>
    <row r="256" spans="1:68" ht="14.25" customHeight="1" x14ac:dyDescent="0.25">
      <c r="A256" s="658" t="s">
        <v>111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72</v>
      </c>
      <c r="Q259" s="647"/>
      <c r="R259" s="647"/>
      <c r="S259" s="647"/>
      <c r="T259" s="647"/>
      <c r="U259" s="647"/>
      <c r="V259" s="648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72</v>
      </c>
      <c r="Q260" s="647"/>
      <c r="R260" s="647"/>
      <c r="S260" s="647"/>
      <c r="T260" s="647"/>
      <c r="U260" s="647"/>
      <c r="V260" s="648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58" t="s">
        <v>147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72</v>
      </c>
      <c r="Q264" s="647"/>
      <c r="R264" s="647"/>
      <c r="S264" s="647"/>
      <c r="T264" s="647"/>
      <c r="U264" s="647"/>
      <c r="V264" s="648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72</v>
      </c>
      <c r="Q265" s="647"/>
      <c r="R265" s="647"/>
      <c r="S265" s="647"/>
      <c r="T265" s="647"/>
      <c r="U265" s="647"/>
      <c r="V265" s="648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58" t="s">
        <v>62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272</v>
      </c>
      <c r="Y267" s="634">
        <f t="shared" ref="Y267:Y274" si="33">IFERROR(IF(X267="",0,CEILING((X267/$H267),1)*$H267),"")</f>
        <v>275.40000000000003</v>
      </c>
      <c r="Z267" s="36">
        <f>IFERROR(IF(Y267=0,"",ROUNDUP(Y267/H267,0)*0.00902),"")</f>
        <v>0.46001999999999998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281.57037037037037</v>
      </c>
      <c r="BN267" s="64">
        <f t="shared" ref="BN267:BN274" si="35">IFERROR(Y267*I267/H267,"0")</f>
        <v>285.08999999999997</v>
      </c>
      <c r="BO267" s="64">
        <f t="shared" ref="BO267:BO274" si="36">IFERROR(1/J267*(X267/H267),"0")</f>
        <v>0.38159371492704824</v>
      </c>
      <c r="BP267" s="64">
        <f t="shared" ref="BP267:BP274" si="37">IFERROR(1/J267*(Y267/H267),"0")</f>
        <v>0.38636363636363635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250</v>
      </c>
      <c r="Y268" s="634">
        <f t="shared" si="33"/>
        <v>253.8</v>
      </c>
      <c r="Z268" s="36">
        <f>IFERROR(IF(Y268=0,"",ROUNDUP(Y268/H268,0)*0.00902),"")</f>
        <v>0.42393999999999998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258.7962962962963</v>
      </c>
      <c r="BN268" s="64">
        <f t="shared" si="35"/>
        <v>262.72999999999996</v>
      </c>
      <c r="BO268" s="64">
        <f t="shared" si="36"/>
        <v>0.35072951739618402</v>
      </c>
      <c r="BP268" s="64">
        <f t="shared" si="37"/>
        <v>0.35606060606060608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418</v>
      </c>
      <c r="Y269" s="634">
        <f t="shared" si="33"/>
        <v>421.20000000000005</v>
      </c>
      <c r="Z269" s="36">
        <f>IFERROR(IF(Y269=0,"",ROUNDUP(Y269/H269,0)*0.00902),"")</f>
        <v>0.70355999999999996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432.70740740740735</v>
      </c>
      <c r="BN269" s="64">
        <f t="shared" si="35"/>
        <v>436.02000000000004</v>
      </c>
      <c r="BO269" s="64">
        <f t="shared" si="36"/>
        <v>0.5864197530864198</v>
      </c>
      <c r="BP269" s="64">
        <f t="shared" si="37"/>
        <v>0.59090909090909094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212</v>
      </c>
      <c r="Y270" s="634">
        <f t="shared" si="33"/>
        <v>216</v>
      </c>
      <c r="Z270" s="36">
        <f>IFERROR(IF(Y270=0,"",ROUNDUP(Y270/H270,0)*0.00902),"")</f>
        <v>0.36080000000000001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219.45925925925923</v>
      </c>
      <c r="BN270" s="64">
        <f t="shared" si="35"/>
        <v>223.6</v>
      </c>
      <c r="BO270" s="64">
        <f t="shared" si="36"/>
        <v>0.29741863075196412</v>
      </c>
      <c r="BP270" s="64">
        <f t="shared" si="37"/>
        <v>0.30303030303030304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111</v>
      </c>
      <c r="Y271" s="634">
        <f t="shared" si="33"/>
        <v>111.60000000000001</v>
      </c>
      <c r="Z271" s="36">
        <f>IFERROR(IF(Y271=0,"",ROUNDUP(Y271/H271,0)*0.00502),"")</f>
        <v>0.31124000000000002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119.01666666666665</v>
      </c>
      <c r="BN271" s="64">
        <f t="shared" si="35"/>
        <v>119.66</v>
      </c>
      <c r="BO271" s="64">
        <f t="shared" si="36"/>
        <v>0.26353276353276356</v>
      </c>
      <c r="BP271" s="64">
        <f t="shared" si="37"/>
        <v>0.26495726495726496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3">
        <v>43</v>
      </c>
      <c r="Y272" s="634">
        <f t="shared" si="33"/>
        <v>43.2</v>
      </c>
      <c r="Z272" s="36">
        <f>IFERROR(IF(Y272=0,"",ROUNDUP(Y272/H272,0)*0.00502),"")</f>
        <v>0.12048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45.388888888888893</v>
      </c>
      <c r="BN272" s="64">
        <f t="shared" si="35"/>
        <v>45.6</v>
      </c>
      <c r="BO272" s="64">
        <f t="shared" si="36"/>
        <v>0.10208926875593544</v>
      </c>
      <c r="BP272" s="64">
        <f t="shared" si="37"/>
        <v>0.10256410256410257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3">
        <v>45</v>
      </c>
      <c r="Y274" s="634">
        <f t="shared" si="33"/>
        <v>45</v>
      </c>
      <c r="Z274" s="36">
        <f>IFERROR(IF(Y274=0,"",ROUNDUP(Y274/H274,0)*0.00502),"")</f>
        <v>0.1255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47.5</v>
      </c>
      <c r="BN274" s="64">
        <f t="shared" si="35"/>
        <v>47.5</v>
      </c>
      <c r="BO274" s="64">
        <f t="shared" si="36"/>
        <v>0.10683760683760685</v>
      </c>
      <c r="BP274" s="64">
        <f t="shared" si="37"/>
        <v>0.10683760683760685</v>
      </c>
    </row>
    <row r="275" spans="1:68" x14ac:dyDescent="0.2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72</v>
      </c>
      <c r="Q275" s="647"/>
      <c r="R275" s="647"/>
      <c r="S275" s="647"/>
      <c r="T275" s="647"/>
      <c r="U275" s="647"/>
      <c r="V275" s="648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323.88888888888891</v>
      </c>
      <c r="Y275" s="635">
        <f>IFERROR(Y267/H267,"0")+IFERROR(Y268/H268,"0")+IFERROR(Y269/H269,"0")+IFERROR(Y270/H270,"0")+IFERROR(Y271/H271,"0")+IFERROR(Y272/H272,"0")+IFERROR(Y273/H273,"0")+IFERROR(Y274/H274,"0")</f>
        <v>327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2.5055400000000003</v>
      </c>
      <c r="AA275" s="636"/>
      <c r="AB275" s="636"/>
      <c r="AC275" s="636"/>
    </row>
    <row r="276" spans="1:68" x14ac:dyDescent="0.2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72</v>
      </c>
      <c r="Q276" s="647"/>
      <c r="R276" s="647"/>
      <c r="S276" s="647"/>
      <c r="T276" s="647"/>
      <c r="U276" s="647"/>
      <c r="V276" s="648"/>
      <c r="W276" s="37" t="s">
        <v>67</v>
      </c>
      <c r="X276" s="635">
        <f>IFERROR(SUM(X267:X274),"0")</f>
        <v>1351</v>
      </c>
      <c r="Y276" s="635">
        <f>IFERROR(SUM(Y267:Y274),"0")</f>
        <v>1366.2</v>
      </c>
      <c r="Z276" s="37"/>
      <c r="AA276" s="636"/>
      <c r="AB276" s="636"/>
      <c r="AC276" s="636"/>
    </row>
    <row r="277" spans="1:68" ht="14.25" customHeight="1" x14ac:dyDescent="0.25">
      <c r="A277" s="658" t="s">
        <v>74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100</v>
      </c>
      <c r="Y280" s="634">
        <f t="shared" si="38"/>
        <v>104.39999999999999</v>
      </c>
      <c r="Z280" s="36">
        <f>IFERROR(IF(Y280=0,"",ROUNDUP(Y280/H280,0)*0.01898),"")</f>
        <v>0.22776000000000002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105.67816091954025</v>
      </c>
      <c r="BN280" s="64">
        <f t="shared" si="40"/>
        <v>110.32800000000002</v>
      </c>
      <c r="BO280" s="64">
        <f t="shared" si="41"/>
        <v>0.1795977011494253</v>
      </c>
      <c r="BP280" s="64">
        <f t="shared" si="42"/>
        <v>0.1875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192</v>
      </c>
      <c r="Y281" s="634">
        <f t="shared" si="38"/>
        <v>192</v>
      </c>
      <c r="Z281" s="36">
        <f>IFERROR(IF(Y281=0,"",ROUNDUP(Y281/H281,0)*0.00651),"")</f>
        <v>0.52080000000000004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213.6</v>
      </c>
      <c r="BN281" s="64">
        <f t="shared" si="40"/>
        <v>213.6</v>
      </c>
      <c r="BO281" s="64">
        <f t="shared" si="41"/>
        <v>0.43956043956043961</v>
      </c>
      <c r="BP281" s="64">
        <f t="shared" si="42"/>
        <v>0.43956043956043961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1200</v>
      </c>
      <c r="Y284" s="634">
        <f t="shared" si="38"/>
        <v>1200</v>
      </c>
      <c r="Z284" s="36">
        <f>IFERROR(IF(Y284=0,"",ROUNDUP(Y284/H284,0)*0.00651),"")</f>
        <v>3.2549999999999999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1326</v>
      </c>
      <c r="BN284" s="64">
        <f t="shared" si="40"/>
        <v>1326</v>
      </c>
      <c r="BO284" s="64">
        <f t="shared" si="41"/>
        <v>2.7472527472527473</v>
      </c>
      <c r="BP284" s="64">
        <f t="shared" si="42"/>
        <v>2.7472527472527473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3">
        <v>200</v>
      </c>
      <c r="Y286" s="634">
        <f t="shared" si="38"/>
        <v>201.6</v>
      </c>
      <c r="Z286" s="36">
        <f>IFERROR(IF(Y286=0,"",ROUNDUP(Y286/H286,0)*0.00651),"")</f>
        <v>0.54683999999999999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221</v>
      </c>
      <c r="BN286" s="64">
        <f t="shared" si="40"/>
        <v>222.768</v>
      </c>
      <c r="BO286" s="64">
        <f t="shared" si="41"/>
        <v>0.45787545787545797</v>
      </c>
      <c r="BP286" s="64">
        <f t="shared" si="42"/>
        <v>0.46153846153846156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67</v>
      </c>
      <c r="X287" s="633">
        <v>190</v>
      </c>
      <c r="Y287" s="634">
        <f t="shared" si="38"/>
        <v>192</v>
      </c>
      <c r="Z287" s="36">
        <f>IFERROR(IF(Y287=0,"",ROUNDUP(Y287/H287,0)*0.00651),"")</f>
        <v>0.52080000000000004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209.95000000000002</v>
      </c>
      <c r="BN287" s="64">
        <f t="shared" si="40"/>
        <v>212.16000000000003</v>
      </c>
      <c r="BO287" s="64">
        <f t="shared" si="41"/>
        <v>0.43498168498168505</v>
      </c>
      <c r="BP287" s="64">
        <f t="shared" si="42"/>
        <v>0.43956043956043961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67</v>
      </c>
      <c r="X288" s="633">
        <v>100</v>
      </c>
      <c r="Y288" s="634">
        <f t="shared" si="38"/>
        <v>100.8</v>
      </c>
      <c r="Z288" s="36">
        <f>IFERROR(IF(Y288=0,"",ROUNDUP(Y288/H288,0)*0.00651),"")</f>
        <v>0.27342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110.75000000000001</v>
      </c>
      <c r="BN288" s="64">
        <f t="shared" si="40"/>
        <v>111.63600000000001</v>
      </c>
      <c r="BO288" s="64">
        <f t="shared" si="41"/>
        <v>0.22893772893772898</v>
      </c>
      <c r="BP288" s="64">
        <f t="shared" si="42"/>
        <v>0.23076923076923078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72</v>
      </c>
      <c r="Q290" s="647"/>
      <c r="R290" s="647"/>
      <c r="S290" s="647"/>
      <c r="T290" s="647"/>
      <c r="U290" s="647"/>
      <c r="V290" s="648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795.66091954022988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798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5.3446199999999999</v>
      </c>
      <c r="AA290" s="636"/>
      <c r="AB290" s="636"/>
      <c r="AC290" s="636"/>
    </row>
    <row r="291" spans="1:68" x14ac:dyDescent="0.2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72</v>
      </c>
      <c r="Q291" s="647"/>
      <c r="R291" s="647"/>
      <c r="S291" s="647"/>
      <c r="T291" s="647"/>
      <c r="U291" s="647"/>
      <c r="V291" s="648"/>
      <c r="W291" s="37" t="s">
        <v>67</v>
      </c>
      <c r="X291" s="635">
        <f>IFERROR(SUM(X278:X289),"0")</f>
        <v>1982</v>
      </c>
      <c r="Y291" s="635">
        <f>IFERROR(SUM(Y278:Y289),"0")</f>
        <v>1990.8</v>
      </c>
      <c r="Z291" s="37"/>
      <c r="AA291" s="636"/>
      <c r="AB291" s="636"/>
      <c r="AC291" s="636"/>
    </row>
    <row r="292" spans="1:68" ht="14.25" customHeight="1" x14ac:dyDescent="0.25">
      <c r="A292" s="658" t="s">
        <v>164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3">
        <v>19</v>
      </c>
      <c r="Y294" s="634">
        <f>IFERROR(IF(X294="",0,CEILING((X294/$H294),1)*$H294),"")</f>
        <v>19.2</v>
      </c>
      <c r="Z294" s="36">
        <f>IFERROR(IF(Y294=0,"",ROUNDUP(Y294/H294,0)*0.00651),"")</f>
        <v>5.2080000000000001E-2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20.995000000000005</v>
      </c>
      <c r="BN294" s="64">
        <f>IFERROR(Y294*I294/H294,"0")</f>
        <v>21.216000000000001</v>
      </c>
      <c r="BO294" s="64">
        <f>IFERROR(1/J294*(X294/H294),"0")</f>
        <v>4.3498168498168503E-2</v>
      </c>
      <c r="BP294" s="64">
        <f>IFERROR(1/J294*(Y294/H294),"0")</f>
        <v>4.3956043956043959E-2</v>
      </c>
    </row>
    <row r="295" spans="1:68" x14ac:dyDescent="0.2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72</v>
      </c>
      <c r="Q295" s="647"/>
      <c r="R295" s="647"/>
      <c r="S295" s="647"/>
      <c r="T295" s="647"/>
      <c r="U295" s="647"/>
      <c r="V295" s="648"/>
      <c r="W295" s="37" t="s">
        <v>73</v>
      </c>
      <c r="X295" s="635">
        <f>IFERROR(X293/H293,"0")+IFERROR(X294/H294,"0")</f>
        <v>11.25</v>
      </c>
      <c r="Y295" s="635">
        <f>IFERROR(Y293/H293,"0")+IFERROR(Y294/H294,"0")</f>
        <v>12</v>
      </c>
      <c r="Z295" s="635">
        <f>IFERROR(IF(Z293="",0,Z293),"0")+IFERROR(IF(Z294="",0,Z294),"0")</f>
        <v>7.8119999999999995E-2</v>
      </c>
      <c r="AA295" s="636"/>
      <c r="AB295" s="636"/>
      <c r="AC295" s="636"/>
    </row>
    <row r="296" spans="1:68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72</v>
      </c>
      <c r="Q296" s="647"/>
      <c r="R296" s="647"/>
      <c r="S296" s="647"/>
      <c r="T296" s="647"/>
      <c r="U296" s="647"/>
      <c r="V296" s="648"/>
      <c r="W296" s="37" t="s">
        <v>67</v>
      </c>
      <c r="X296" s="635">
        <f>IFERROR(SUM(X293:X294),"0")</f>
        <v>27</v>
      </c>
      <c r="Y296" s="635">
        <f>IFERROR(SUM(Y293:Y294),"0")</f>
        <v>28.799999999999997</v>
      </c>
      <c r="Z296" s="37"/>
      <c r="AA296" s="636"/>
      <c r="AB296" s="636"/>
      <c r="AC296" s="636"/>
    </row>
    <row r="297" spans="1:68" ht="16.5" customHeight="1" x14ac:dyDescent="0.25">
      <c r="A297" s="657" t="s">
        <v>499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8"/>
      <c r="AB297" s="628"/>
      <c r="AC297" s="628"/>
    </row>
    <row r="298" spans="1:68" ht="14.25" customHeight="1" x14ac:dyDescent="0.25">
      <c r="A298" s="658" t="s">
        <v>111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162</v>
      </c>
      <c r="Y299" s="634">
        <f t="shared" ref="Y299:Y305" si="43">IFERROR(IF(X299="",0,CEILING((X299/$H299),1)*$H299),"")</f>
        <v>162.4</v>
      </c>
      <c r="Z299" s="36">
        <f>IFERROR(IF(Y299=0,"",ROUNDUP(Y299/H299,0)*0.01898),"")</f>
        <v>0.26572000000000001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167.72586206896551</v>
      </c>
      <c r="BN299" s="64">
        <f t="shared" ref="BN299:BN305" si="45">IFERROR(Y299*I299/H299,"0")</f>
        <v>168.14000000000001</v>
      </c>
      <c r="BO299" s="64">
        <f t="shared" ref="BO299:BO305" si="46">IFERROR(1/J299*(X299/H299),"0")</f>
        <v>0.21821120689655174</v>
      </c>
      <c r="BP299" s="64">
        <f t="shared" ref="BP299:BP305" si="47">IFERROR(1/J299*(Y299/H299),"0")</f>
        <v>0.21875000000000003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72</v>
      </c>
      <c r="Q306" s="647"/>
      <c r="R306" s="647"/>
      <c r="S306" s="647"/>
      <c r="T306" s="647"/>
      <c r="U306" s="647"/>
      <c r="V306" s="648"/>
      <c r="W306" s="37" t="s">
        <v>73</v>
      </c>
      <c r="X306" s="635">
        <f>IFERROR(X299/H299,"0")+IFERROR(X300/H300,"0")+IFERROR(X301/H301,"0")+IFERROR(X302/H302,"0")+IFERROR(X303/H303,"0")+IFERROR(X304/H304,"0")+IFERROR(X305/H305,"0")</f>
        <v>13.965517241379311</v>
      </c>
      <c r="Y306" s="635">
        <f>IFERROR(Y299/H299,"0")+IFERROR(Y300/H300,"0")+IFERROR(Y301/H301,"0")+IFERROR(Y302/H302,"0")+IFERROR(Y303/H303,"0")+IFERROR(Y304/H304,"0")+IFERROR(Y305/H305,"0")</f>
        <v>14.000000000000002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0.26572000000000001</v>
      </c>
      <c r="AA306" s="636"/>
      <c r="AB306" s="636"/>
      <c r="AC306" s="636"/>
    </row>
    <row r="307" spans="1:68" x14ac:dyDescent="0.2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72</v>
      </c>
      <c r="Q307" s="647"/>
      <c r="R307" s="647"/>
      <c r="S307" s="647"/>
      <c r="T307" s="647"/>
      <c r="U307" s="647"/>
      <c r="V307" s="648"/>
      <c r="W307" s="37" t="s">
        <v>67</v>
      </c>
      <c r="X307" s="635">
        <f>IFERROR(SUM(X299:X305),"0")</f>
        <v>162</v>
      </c>
      <c r="Y307" s="635">
        <f>IFERROR(SUM(Y299:Y305),"0")</f>
        <v>162.4</v>
      </c>
      <c r="Z307" s="37"/>
      <c r="AA307" s="636"/>
      <c r="AB307" s="636"/>
      <c r="AC307" s="636"/>
    </row>
    <row r="308" spans="1:68" ht="14.25" customHeight="1" x14ac:dyDescent="0.25">
      <c r="A308" s="658" t="s">
        <v>147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72</v>
      </c>
      <c r="Q310" s="647"/>
      <c r="R310" s="647"/>
      <c r="S310" s="647"/>
      <c r="T310" s="647"/>
      <c r="U310" s="647"/>
      <c r="V310" s="648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72</v>
      </c>
      <c r="Q311" s="647"/>
      <c r="R311" s="647"/>
      <c r="S311" s="647"/>
      <c r="T311" s="647"/>
      <c r="U311" s="647"/>
      <c r="V311" s="648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58" t="s">
        <v>521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2</v>
      </c>
      <c r="Y313" s="634">
        <f>IFERROR(IF(X313="",0,CEILING((X313/$H313),1)*$H313),"")</f>
        <v>3.6</v>
      </c>
      <c r="Z313" s="36">
        <f>IFERROR(IF(Y313=0,"",ROUNDUP(Y313/H313,0)*0.0059),"")</f>
        <v>1.18E-2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2.1944444444444446</v>
      </c>
      <c r="BN313" s="64">
        <f>IFERROR(Y313*I313/H313,"0")</f>
        <v>3.95</v>
      </c>
      <c r="BO313" s="64">
        <f>IFERROR(1/J313*(X313/H313),"0")</f>
        <v>5.1440329218106996E-3</v>
      </c>
      <c r="BP313" s="64">
        <f>IFERROR(1/J313*(Y313/H313),"0")</f>
        <v>9.2592592592592587E-3</v>
      </c>
    </row>
    <row r="314" spans="1:68" x14ac:dyDescent="0.2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72</v>
      </c>
      <c r="Q314" s="647"/>
      <c r="R314" s="647"/>
      <c r="S314" s="647"/>
      <c r="T314" s="647"/>
      <c r="U314" s="647"/>
      <c r="V314" s="648"/>
      <c r="W314" s="37" t="s">
        <v>73</v>
      </c>
      <c r="X314" s="635">
        <f>IFERROR(X313/H313,"0")</f>
        <v>1.1111111111111112</v>
      </c>
      <c r="Y314" s="635">
        <f>IFERROR(Y313/H313,"0")</f>
        <v>2</v>
      </c>
      <c r="Z314" s="635">
        <f>IFERROR(IF(Z313="",0,Z313),"0")</f>
        <v>1.18E-2</v>
      </c>
      <c r="AA314" s="636"/>
      <c r="AB314" s="636"/>
      <c r="AC314" s="636"/>
    </row>
    <row r="315" spans="1:68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72</v>
      </c>
      <c r="Q315" s="647"/>
      <c r="R315" s="647"/>
      <c r="S315" s="647"/>
      <c r="T315" s="647"/>
      <c r="U315" s="647"/>
      <c r="V315" s="648"/>
      <c r="W315" s="37" t="s">
        <v>67</v>
      </c>
      <c r="X315" s="635">
        <f>IFERROR(SUM(X313:X313),"0")</f>
        <v>2</v>
      </c>
      <c r="Y315" s="635">
        <f>IFERROR(SUM(Y313:Y313),"0")</f>
        <v>3.6</v>
      </c>
      <c r="Z315" s="37"/>
      <c r="AA315" s="636"/>
      <c r="AB315" s="636"/>
      <c r="AC315" s="636"/>
    </row>
    <row r="316" spans="1:68" ht="14.25" customHeight="1" x14ac:dyDescent="0.25">
      <c r="A316" s="658" t="s">
        <v>338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72</v>
      </c>
      <c r="Q320" s="647"/>
      <c r="R320" s="647"/>
      <c r="S320" s="647"/>
      <c r="T320" s="647"/>
      <c r="U320" s="647"/>
      <c r="V320" s="648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72</v>
      </c>
      <c r="Q321" s="647"/>
      <c r="R321" s="647"/>
      <c r="S321" s="647"/>
      <c r="T321" s="647"/>
      <c r="U321" s="647"/>
      <c r="V321" s="648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7" t="s">
        <v>532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8"/>
      <c r="AB322" s="628"/>
      <c r="AC322" s="628"/>
    </row>
    <row r="323" spans="1:68" ht="14.25" customHeight="1" x14ac:dyDescent="0.25">
      <c r="A323" s="658" t="s">
        <v>111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72</v>
      </c>
      <c r="Q329" s="647"/>
      <c r="R329" s="647"/>
      <c r="S329" s="647"/>
      <c r="T329" s="647"/>
      <c r="U329" s="647"/>
      <c r="V329" s="648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72</v>
      </c>
      <c r="Q330" s="647"/>
      <c r="R330" s="647"/>
      <c r="S330" s="647"/>
      <c r="T330" s="647"/>
      <c r="U330" s="647"/>
      <c r="V330" s="648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7" t="s">
        <v>548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8"/>
      <c r="AB331" s="628"/>
      <c r="AC331" s="628"/>
    </row>
    <row r="332" spans="1:68" ht="14.25" customHeight="1" x14ac:dyDescent="0.25">
      <c r="A332" s="658" t="s">
        <v>74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32</v>
      </c>
      <c r="Y334" s="634">
        <f>IFERROR(IF(X334="",0,CEILING((X334/$H334),1)*$H334),"")</f>
        <v>33.6</v>
      </c>
      <c r="Z334" s="36">
        <f>IFERROR(IF(Y334=0,"",ROUNDUP(Y334/H334,0)*0.00651),"")</f>
        <v>9.1139999999999999E-2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35.360000000000007</v>
      </c>
      <c r="BN334" s="64">
        <f>IFERROR(Y334*I334/H334,"0")</f>
        <v>37.128000000000007</v>
      </c>
      <c r="BO334" s="64">
        <f>IFERROR(1/J334*(X334/H334),"0")</f>
        <v>7.3260073260073263E-2</v>
      </c>
      <c r="BP334" s="64">
        <f>IFERROR(1/J334*(Y334/H334),"0")</f>
        <v>7.6923076923076941E-2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67</v>
      </c>
      <c r="X335" s="633">
        <v>60</v>
      </c>
      <c r="Y335" s="634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64.500000000000014</v>
      </c>
      <c r="BN335" s="64">
        <f>IFERROR(Y335*I335/H335,"0")</f>
        <v>64.500000000000014</v>
      </c>
      <c r="BO335" s="64">
        <f>IFERROR(1/J335*(X335/H335),"0")</f>
        <v>0.13736263736263737</v>
      </c>
      <c r="BP335" s="64">
        <f>IFERROR(1/J335*(Y335/H335),"0")</f>
        <v>0.13736263736263737</v>
      </c>
    </row>
    <row r="336" spans="1:68" x14ac:dyDescent="0.2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72</v>
      </c>
      <c r="Q336" s="647"/>
      <c r="R336" s="647"/>
      <c r="S336" s="647"/>
      <c r="T336" s="647"/>
      <c r="U336" s="647"/>
      <c r="V336" s="648"/>
      <c r="W336" s="37" t="s">
        <v>73</v>
      </c>
      <c r="X336" s="635">
        <f>IFERROR(X333/H333,"0")+IFERROR(X334/H334,"0")+IFERROR(X335/H335,"0")</f>
        <v>38.333333333333336</v>
      </c>
      <c r="Y336" s="635">
        <f>IFERROR(Y333/H333,"0")+IFERROR(Y334/H334,"0")+IFERROR(Y335/H335,"0")</f>
        <v>39</v>
      </c>
      <c r="Z336" s="635">
        <f>IFERROR(IF(Z333="",0,Z333),"0")+IFERROR(IF(Z334="",0,Z334),"0")+IFERROR(IF(Z335="",0,Z335),"0")</f>
        <v>0.25389</v>
      </c>
      <c r="AA336" s="636"/>
      <c r="AB336" s="636"/>
      <c r="AC336" s="636"/>
    </row>
    <row r="337" spans="1:68" x14ac:dyDescent="0.2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72</v>
      </c>
      <c r="Q337" s="647"/>
      <c r="R337" s="647"/>
      <c r="S337" s="647"/>
      <c r="T337" s="647"/>
      <c r="U337" s="647"/>
      <c r="V337" s="648"/>
      <c r="W337" s="37" t="s">
        <v>67</v>
      </c>
      <c r="X337" s="635">
        <f>IFERROR(SUM(X333:X335),"0")</f>
        <v>92</v>
      </c>
      <c r="Y337" s="635">
        <f>IFERROR(SUM(Y333:Y335),"0")</f>
        <v>93.6</v>
      </c>
      <c r="Z337" s="37"/>
      <c r="AA337" s="636"/>
      <c r="AB337" s="636"/>
      <c r="AC337" s="636"/>
    </row>
    <row r="338" spans="1:68" ht="16.5" customHeight="1" x14ac:dyDescent="0.25">
      <c r="A338" s="657" t="s">
        <v>557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8"/>
      <c r="AB338" s="628"/>
      <c r="AC338" s="628"/>
    </row>
    <row r="339" spans="1:68" ht="14.25" customHeight="1" x14ac:dyDescent="0.25">
      <c r="A339" s="658" t="s">
        <v>62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72</v>
      </c>
      <c r="Q345" s="647"/>
      <c r="R345" s="647"/>
      <c r="S345" s="647"/>
      <c r="T345" s="647"/>
      <c r="U345" s="647"/>
      <c r="V345" s="648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72</v>
      </c>
      <c r="Q346" s="647"/>
      <c r="R346" s="647"/>
      <c r="S346" s="647"/>
      <c r="T346" s="647"/>
      <c r="U346" s="647"/>
      <c r="V346" s="648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58" t="s">
        <v>74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72</v>
      </c>
      <c r="Q350" s="647"/>
      <c r="R350" s="647"/>
      <c r="S350" s="647"/>
      <c r="T350" s="647"/>
      <c r="U350" s="647"/>
      <c r="V350" s="648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72</v>
      </c>
      <c r="Q351" s="647"/>
      <c r="R351" s="647"/>
      <c r="S351" s="647"/>
      <c r="T351" s="647"/>
      <c r="U351" s="647"/>
      <c r="V351" s="648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7" t="s">
        <v>578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8"/>
      <c r="AB352" s="628"/>
      <c r="AC352" s="628"/>
    </row>
    <row r="353" spans="1:68" ht="14.25" customHeight="1" x14ac:dyDescent="0.25">
      <c r="A353" s="658" t="s">
        <v>111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67</v>
      </c>
      <c r="X354" s="633">
        <v>304</v>
      </c>
      <c r="Y354" s="634">
        <f>IFERROR(IF(X354="",0,CEILING((X354/$H354),1)*$H354),"")</f>
        <v>304.2</v>
      </c>
      <c r="Z354" s="36">
        <f>IFERROR(IF(Y354=0,"",ROUNDUP(Y354/H354,0)*0.01898),"")</f>
        <v>0.74021999999999999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319.97948717948719</v>
      </c>
      <c r="BN354" s="64">
        <f>IFERROR(Y354*I354/H354,"0")</f>
        <v>320.19</v>
      </c>
      <c r="BO354" s="64">
        <f>IFERROR(1/J354*(X354/H354),"0")</f>
        <v>0.60897435897435903</v>
      </c>
      <c r="BP354" s="64">
        <f>IFERROR(1/J354*(Y354/H354),"0")</f>
        <v>0.609375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3">
        <v>454</v>
      </c>
      <c r="Y355" s="634">
        <f>IFERROR(IF(X355="",0,CEILING((X355/$H355),1)*$H355),"")</f>
        <v>460.2</v>
      </c>
      <c r="Z355" s="36">
        <f>IFERROR(IF(Y355=0,"",ROUNDUP(Y355/H355,0)*0.01898),"")</f>
        <v>1.11982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477.86410256410267</v>
      </c>
      <c r="BN355" s="64">
        <f>IFERROR(Y355*I355/H355,"0")</f>
        <v>484.39000000000004</v>
      </c>
      <c r="BO355" s="64">
        <f>IFERROR(1/J355*(X355/H355),"0")</f>
        <v>0.90945512820512819</v>
      </c>
      <c r="BP355" s="64">
        <f>IFERROR(1/J355*(Y355/H355),"0")</f>
        <v>0.921875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67</v>
      </c>
      <c r="X356" s="633">
        <v>157</v>
      </c>
      <c r="Y356" s="634">
        <f>IFERROR(IF(X356="",0,CEILING((X356/$H356),1)*$H356),"")</f>
        <v>163.79999999999998</v>
      </c>
      <c r="Z356" s="36">
        <f>IFERROR(IF(Y356=0,"",ROUNDUP(Y356/H356,0)*0.01898),"")</f>
        <v>0.39857999999999999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165.25256410256412</v>
      </c>
      <c r="BN356" s="64">
        <f>IFERROR(Y356*I356/H356,"0")</f>
        <v>172.41</v>
      </c>
      <c r="BO356" s="64">
        <f>IFERROR(1/J356*(X356/H356),"0")</f>
        <v>0.31450320512820512</v>
      </c>
      <c r="BP356" s="64">
        <f>IFERROR(1/J356*(Y356/H356),"0")</f>
        <v>0.328125</v>
      </c>
    </row>
    <row r="357" spans="1:68" x14ac:dyDescent="0.2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72</v>
      </c>
      <c r="Q357" s="647"/>
      <c r="R357" s="647"/>
      <c r="S357" s="647"/>
      <c r="T357" s="647"/>
      <c r="U357" s="647"/>
      <c r="V357" s="648"/>
      <c r="W357" s="37" t="s">
        <v>73</v>
      </c>
      <c r="X357" s="635">
        <f>IFERROR(X354/H354,"0")+IFERROR(X355/H355,"0")+IFERROR(X356/H356,"0")</f>
        <v>117.30769230769231</v>
      </c>
      <c r="Y357" s="635">
        <f>IFERROR(Y354/H354,"0")+IFERROR(Y355/H355,"0")+IFERROR(Y356/H356,"0")</f>
        <v>119</v>
      </c>
      <c r="Z357" s="635">
        <f>IFERROR(IF(Z354="",0,Z354),"0")+IFERROR(IF(Z355="",0,Z355),"0")+IFERROR(IF(Z356="",0,Z356),"0")</f>
        <v>2.2586200000000001</v>
      </c>
      <c r="AA357" s="636"/>
      <c r="AB357" s="636"/>
      <c r="AC357" s="636"/>
    </row>
    <row r="358" spans="1:68" x14ac:dyDescent="0.2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72</v>
      </c>
      <c r="Q358" s="647"/>
      <c r="R358" s="647"/>
      <c r="S358" s="647"/>
      <c r="T358" s="647"/>
      <c r="U358" s="647"/>
      <c r="V358" s="648"/>
      <c r="W358" s="37" t="s">
        <v>67</v>
      </c>
      <c r="X358" s="635">
        <f>IFERROR(SUM(X354:X356),"0")</f>
        <v>915</v>
      </c>
      <c r="Y358" s="635">
        <f>IFERROR(SUM(Y354:Y356),"0")</f>
        <v>928.19999999999993</v>
      </c>
      <c r="Z358" s="37"/>
      <c r="AA358" s="636"/>
      <c r="AB358" s="636"/>
      <c r="AC358" s="636"/>
    </row>
    <row r="359" spans="1:68" ht="16.5" customHeight="1" x14ac:dyDescent="0.25">
      <c r="A359" s="657" t="s">
        <v>587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8"/>
      <c r="AB359" s="628"/>
      <c r="AC359" s="628"/>
    </row>
    <row r="360" spans="1:68" ht="14.25" customHeight="1" x14ac:dyDescent="0.25">
      <c r="A360" s="658" t="s">
        <v>111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21</v>
      </c>
      <c r="Y363" s="634">
        <f>IFERROR(IF(X363="",0,CEILING((X363/$H363),1)*$H363),"")</f>
        <v>21.6</v>
      </c>
      <c r="Z363" s="36">
        <f>IFERROR(IF(Y363=0,"",ROUNDUP(Y363/H363,0)*0.01898),"")</f>
        <v>3.7960000000000001E-2</v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21.797222222222224</v>
      </c>
      <c r="BN363" s="64">
        <f>IFERROR(Y363*I363/H363,"0")</f>
        <v>22.42</v>
      </c>
      <c r="BO363" s="64">
        <f>IFERROR(1/J363*(X363/H363),"0")</f>
        <v>3.0381944444444444E-2</v>
      </c>
      <c r="BP363" s="64">
        <f>IFERROR(1/J363*(Y363/H363),"0")</f>
        <v>3.125E-2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72</v>
      </c>
      <c r="Q366" s="647"/>
      <c r="R366" s="647"/>
      <c r="S366" s="647"/>
      <c r="T366" s="647"/>
      <c r="U366" s="647"/>
      <c r="V366" s="648"/>
      <c r="W366" s="37" t="s">
        <v>73</v>
      </c>
      <c r="X366" s="635">
        <f>IFERROR(X361/H361,"0")+IFERROR(X362/H362,"0")+IFERROR(X363/H363,"0")+IFERROR(X364/H364,"0")+IFERROR(X365/H365,"0")</f>
        <v>1.9444444444444444</v>
      </c>
      <c r="Y366" s="635">
        <f>IFERROR(Y361/H361,"0")+IFERROR(Y362/H362,"0")+IFERROR(Y363/H363,"0")+IFERROR(Y364/H364,"0")+IFERROR(Y365/H365,"0")</f>
        <v>2</v>
      </c>
      <c r="Z366" s="635">
        <f>IFERROR(IF(Z361="",0,Z361),"0")+IFERROR(IF(Z362="",0,Z362),"0")+IFERROR(IF(Z363="",0,Z363),"0")+IFERROR(IF(Z364="",0,Z364),"0")+IFERROR(IF(Z365="",0,Z365),"0")</f>
        <v>3.7960000000000001E-2</v>
      </c>
      <c r="AA366" s="636"/>
      <c r="AB366" s="636"/>
      <c r="AC366" s="636"/>
    </row>
    <row r="367" spans="1:68" x14ac:dyDescent="0.2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72</v>
      </c>
      <c r="Q367" s="647"/>
      <c r="R367" s="647"/>
      <c r="S367" s="647"/>
      <c r="T367" s="647"/>
      <c r="U367" s="647"/>
      <c r="V367" s="648"/>
      <c r="W367" s="37" t="s">
        <v>67</v>
      </c>
      <c r="X367" s="635">
        <f>IFERROR(SUM(X361:X365),"0")</f>
        <v>21</v>
      </c>
      <c r="Y367" s="635">
        <f>IFERROR(SUM(Y361:Y365),"0")</f>
        <v>21.6</v>
      </c>
      <c r="Z367" s="37"/>
      <c r="AA367" s="636"/>
      <c r="AB367" s="636"/>
      <c r="AC367" s="636"/>
    </row>
    <row r="368" spans="1:68" ht="14.25" customHeight="1" x14ac:dyDescent="0.25">
      <c r="A368" s="658" t="s">
        <v>62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21</v>
      </c>
      <c r="Y370" s="634">
        <f t="shared" si="48"/>
        <v>21</v>
      </c>
      <c r="Z370" s="36">
        <f>IFERROR(IF(Y370=0,"",ROUNDUP(Y370/H370,0)*0.00902),"")</f>
        <v>4.5100000000000001E-2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22.25</v>
      </c>
      <c r="BN370" s="64">
        <f t="shared" si="50"/>
        <v>22.25</v>
      </c>
      <c r="BO370" s="64">
        <f t="shared" si="51"/>
        <v>3.787878787878788E-2</v>
      </c>
      <c r="BP370" s="64">
        <f t="shared" si="52"/>
        <v>3.787878787878788E-2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72</v>
      </c>
      <c r="Q376" s="647"/>
      <c r="R376" s="647"/>
      <c r="S376" s="647"/>
      <c r="T376" s="647"/>
      <c r="U376" s="647"/>
      <c r="V376" s="648"/>
      <c r="W376" s="37" t="s">
        <v>73</v>
      </c>
      <c r="X376" s="635">
        <f>IFERROR(X369/H369,"0")+IFERROR(X370/H370,"0")+IFERROR(X371/H371,"0")+IFERROR(X372/H372,"0")+IFERROR(X373/H373,"0")+IFERROR(X374/H374,"0")+IFERROR(X375/H375,"0")</f>
        <v>5</v>
      </c>
      <c r="Y376" s="635">
        <f>IFERROR(Y369/H369,"0")+IFERROR(Y370/H370,"0")+IFERROR(Y371/H371,"0")+IFERROR(Y372/H372,"0")+IFERROR(Y373/H373,"0")+IFERROR(Y374/H374,"0")+IFERROR(Y375/H375,"0")</f>
        <v>5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4.5100000000000001E-2</v>
      </c>
      <c r="AA376" s="636"/>
      <c r="AB376" s="636"/>
      <c r="AC376" s="636"/>
    </row>
    <row r="377" spans="1:68" x14ac:dyDescent="0.2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72</v>
      </c>
      <c r="Q377" s="647"/>
      <c r="R377" s="647"/>
      <c r="S377" s="647"/>
      <c r="T377" s="647"/>
      <c r="U377" s="647"/>
      <c r="V377" s="648"/>
      <c r="W377" s="37" t="s">
        <v>67</v>
      </c>
      <c r="X377" s="635">
        <f>IFERROR(SUM(X369:X375),"0")</f>
        <v>21</v>
      </c>
      <c r="Y377" s="635">
        <f>IFERROR(SUM(Y369:Y375),"0")</f>
        <v>21</v>
      </c>
      <c r="Z377" s="37"/>
      <c r="AA377" s="636"/>
      <c r="AB377" s="636"/>
      <c r="AC377" s="636"/>
    </row>
    <row r="378" spans="1:68" ht="14.25" customHeight="1" x14ac:dyDescent="0.25">
      <c r="A378" s="658" t="s">
        <v>74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72</v>
      </c>
      <c r="Q383" s="647"/>
      <c r="R383" s="647"/>
      <c r="S383" s="647"/>
      <c r="T383" s="647"/>
      <c r="U383" s="647"/>
      <c r="V383" s="648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72</v>
      </c>
      <c r="Q384" s="647"/>
      <c r="R384" s="647"/>
      <c r="S384" s="647"/>
      <c r="T384" s="647"/>
      <c r="U384" s="647"/>
      <c r="V384" s="648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58" t="s">
        <v>164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67</v>
      </c>
      <c r="X386" s="633">
        <v>230</v>
      </c>
      <c r="Y386" s="634">
        <f>IFERROR(IF(X386="",0,CEILING((X386/$H386),1)*$H386),"")</f>
        <v>235.20000000000002</v>
      </c>
      <c r="Z386" s="36">
        <f>IFERROR(IF(Y386=0,"",ROUNDUP(Y386/H386,0)*0.01898),"")</f>
        <v>0.53144000000000002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243.52619047619049</v>
      </c>
      <c r="BN386" s="64">
        <f>IFERROR(Y386*I386/H386,"0")</f>
        <v>249.03200000000001</v>
      </c>
      <c r="BO386" s="64">
        <f>IFERROR(1/J386*(X386/H386),"0")</f>
        <v>0.42782738095238093</v>
      </c>
      <c r="BP386" s="64">
        <f>IFERROR(1/J386*(Y386/H386),"0")</f>
        <v>0.4375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67</v>
      </c>
      <c r="X387" s="633">
        <v>900</v>
      </c>
      <c r="Y387" s="634">
        <f>IFERROR(IF(X387="",0,CEILING((X387/$H387),1)*$H387),"")</f>
        <v>904.8</v>
      </c>
      <c r="Z387" s="36">
        <f>IFERROR(IF(Y387=0,"",ROUNDUP(Y387/H387,0)*0.01898),"")</f>
        <v>2.2016800000000001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957.00000000000011</v>
      </c>
      <c r="BN387" s="64">
        <f>IFERROR(Y387*I387/H387,"0")</f>
        <v>962.10400000000004</v>
      </c>
      <c r="BO387" s="64">
        <f>IFERROR(1/J387*(X387/H387),"0")</f>
        <v>1.8028846153846154</v>
      </c>
      <c r="BP387" s="64">
        <f>IFERROR(1/J387*(Y387/H387),"0")</f>
        <v>1.8125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67</v>
      </c>
      <c r="X388" s="633">
        <v>216</v>
      </c>
      <c r="Y388" s="634">
        <f>IFERROR(IF(X388="",0,CEILING((X388/$H388),1)*$H388),"")</f>
        <v>218.4</v>
      </c>
      <c r="Z388" s="36">
        <f>IFERROR(IF(Y388=0,"",ROUNDUP(Y388/H388,0)*0.01898),"")</f>
        <v>0.49348000000000003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228.70285714285714</v>
      </c>
      <c r="BN388" s="64">
        <f>IFERROR(Y388*I388/H388,"0")</f>
        <v>231.244</v>
      </c>
      <c r="BO388" s="64">
        <f>IFERROR(1/J388*(X388/H388),"0")</f>
        <v>0.40178571428571425</v>
      </c>
      <c r="BP388" s="64">
        <f>IFERROR(1/J388*(Y388/H388),"0")</f>
        <v>0.40625</v>
      </c>
    </row>
    <row r="389" spans="1:68" x14ac:dyDescent="0.2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72</v>
      </c>
      <c r="Q389" s="647"/>
      <c r="R389" s="647"/>
      <c r="S389" s="647"/>
      <c r="T389" s="647"/>
      <c r="U389" s="647"/>
      <c r="V389" s="648"/>
      <c r="W389" s="37" t="s">
        <v>73</v>
      </c>
      <c r="X389" s="635">
        <f>IFERROR(X386/H386,"0")+IFERROR(X387/H387,"0")+IFERROR(X388/H388,"0")</f>
        <v>168.47985347985349</v>
      </c>
      <c r="Y389" s="635">
        <f>IFERROR(Y386/H386,"0")+IFERROR(Y387/H387,"0")+IFERROR(Y388/H388,"0")</f>
        <v>170</v>
      </c>
      <c r="Z389" s="635">
        <f>IFERROR(IF(Z386="",0,Z386),"0")+IFERROR(IF(Z387="",0,Z387),"0")+IFERROR(IF(Z388="",0,Z388),"0")</f>
        <v>3.2265999999999999</v>
      </c>
      <c r="AA389" s="636"/>
      <c r="AB389" s="636"/>
      <c r="AC389" s="636"/>
    </row>
    <row r="390" spans="1:68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72</v>
      </c>
      <c r="Q390" s="647"/>
      <c r="R390" s="647"/>
      <c r="S390" s="647"/>
      <c r="T390" s="647"/>
      <c r="U390" s="647"/>
      <c r="V390" s="648"/>
      <c r="W390" s="37" t="s">
        <v>67</v>
      </c>
      <c r="X390" s="635">
        <f>IFERROR(SUM(X386:X388),"0")</f>
        <v>1346</v>
      </c>
      <c r="Y390" s="635">
        <f>IFERROR(SUM(Y386:Y388),"0")</f>
        <v>1358.4</v>
      </c>
      <c r="Z390" s="37"/>
      <c r="AA390" s="636"/>
      <c r="AB390" s="636"/>
      <c r="AC390" s="636"/>
    </row>
    <row r="391" spans="1:68" ht="14.25" customHeight="1" x14ac:dyDescent="0.25">
      <c r="A391" s="658" t="s">
        <v>272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67</v>
      </c>
      <c r="X394" s="633">
        <v>8</v>
      </c>
      <c r="Y394" s="634">
        <f>IFERROR(IF(X394="",0,CEILING((X394/$H394),1)*$H394),"")</f>
        <v>10.199999999999999</v>
      </c>
      <c r="Z394" s="36">
        <f>IFERROR(IF(Y394=0,"",ROUNDUP(Y394/H394,0)*0.00651),"")</f>
        <v>2.6040000000000001E-2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9.2705882352941185</v>
      </c>
      <c r="BN394" s="64">
        <f>IFERROR(Y394*I394/H394,"0")</f>
        <v>11.82</v>
      </c>
      <c r="BO394" s="64">
        <f>IFERROR(1/J394*(X394/H394),"0")</f>
        <v>1.7237664296487831E-2</v>
      </c>
      <c r="BP394" s="64">
        <f>IFERROR(1/J394*(Y394/H394),"0")</f>
        <v>2.197802197802198E-2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67</v>
      </c>
      <c r="X395" s="633">
        <v>29</v>
      </c>
      <c r="Y395" s="634">
        <f>IFERROR(IF(X395="",0,CEILING((X395/$H395),1)*$H395),"")</f>
        <v>30.599999999999998</v>
      </c>
      <c r="Z395" s="36">
        <f>IFERROR(IF(Y395=0,"",ROUNDUP(Y395/H395,0)*0.00651),"")</f>
        <v>7.8119999999999995E-2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32.752941176470586</v>
      </c>
      <c r="BN395" s="64">
        <f>IFERROR(Y395*I395/H395,"0")</f>
        <v>34.559999999999995</v>
      </c>
      <c r="BO395" s="64">
        <f>IFERROR(1/J395*(X395/H395),"0")</f>
        <v>6.2486533074768376E-2</v>
      </c>
      <c r="BP395" s="64">
        <f>IFERROR(1/J395*(Y395/H395),"0")</f>
        <v>6.5934065934065936E-2</v>
      </c>
    </row>
    <row r="396" spans="1:68" x14ac:dyDescent="0.2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72</v>
      </c>
      <c r="Q396" s="647"/>
      <c r="R396" s="647"/>
      <c r="S396" s="647"/>
      <c r="T396" s="647"/>
      <c r="U396" s="647"/>
      <c r="V396" s="648"/>
      <c r="W396" s="37" t="s">
        <v>73</v>
      </c>
      <c r="X396" s="635">
        <f>IFERROR(X392/H392,"0")+IFERROR(X393/H393,"0")+IFERROR(X394/H394,"0")+IFERROR(X395/H395,"0")</f>
        <v>14.509803921568629</v>
      </c>
      <c r="Y396" s="635">
        <f>IFERROR(Y392/H392,"0")+IFERROR(Y393/H393,"0")+IFERROR(Y394/H394,"0")+IFERROR(Y395/H395,"0")</f>
        <v>16</v>
      </c>
      <c r="Z396" s="635">
        <f>IFERROR(IF(Z392="",0,Z392),"0")+IFERROR(IF(Z393="",0,Z393),"0")+IFERROR(IF(Z394="",0,Z394),"0")+IFERROR(IF(Z395="",0,Z395),"0")</f>
        <v>0.10416</v>
      </c>
      <c r="AA396" s="636"/>
      <c r="AB396" s="636"/>
      <c r="AC396" s="636"/>
    </row>
    <row r="397" spans="1:68" x14ac:dyDescent="0.2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72</v>
      </c>
      <c r="Q397" s="647"/>
      <c r="R397" s="647"/>
      <c r="S397" s="647"/>
      <c r="T397" s="647"/>
      <c r="U397" s="647"/>
      <c r="V397" s="648"/>
      <c r="W397" s="37" t="s">
        <v>67</v>
      </c>
      <c r="X397" s="635">
        <f>IFERROR(SUM(X392:X395),"0")</f>
        <v>37</v>
      </c>
      <c r="Y397" s="635">
        <f>IFERROR(SUM(Y392:Y395),"0")</f>
        <v>40.799999999999997</v>
      </c>
      <c r="Z397" s="37"/>
      <c r="AA397" s="636"/>
      <c r="AB397" s="636"/>
      <c r="AC397" s="636"/>
    </row>
    <row r="398" spans="1:68" ht="14.25" customHeight="1" x14ac:dyDescent="0.25">
      <c r="A398" s="658" t="s">
        <v>650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67</v>
      </c>
      <c r="X399" s="633">
        <v>10</v>
      </c>
      <c r="Y399" s="634">
        <f>IFERROR(IF(X399="",0,CEILING((X399/$H399),1)*$H399),"")</f>
        <v>10</v>
      </c>
      <c r="Z399" s="36">
        <f>IFERROR(IF(Y399=0,"",ROUNDUP(Y399/H399,0)*0.00474),"")</f>
        <v>2.3700000000000002E-2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11.200000000000001</v>
      </c>
      <c r="BN399" s="64">
        <f>IFERROR(Y399*I399/H399,"0")</f>
        <v>11.200000000000001</v>
      </c>
      <c r="BO399" s="64">
        <f>IFERROR(1/J399*(X399/H399),"0")</f>
        <v>2.1008403361344536E-2</v>
      </c>
      <c r="BP399" s="64">
        <f>IFERROR(1/J399*(Y399/H399),"0")</f>
        <v>2.1008403361344536E-2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67</v>
      </c>
      <c r="X400" s="633">
        <v>15</v>
      </c>
      <c r="Y400" s="634">
        <f>IFERROR(IF(X400="",0,CEILING((X400/$H400),1)*$H400),"")</f>
        <v>16</v>
      </c>
      <c r="Z400" s="36">
        <f>IFERROR(IF(Y400=0,"",ROUNDUP(Y400/H400,0)*0.00474),"")</f>
        <v>3.7920000000000002E-2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16.8</v>
      </c>
      <c r="BN400" s="64">
        <f>IFERROR(Y400*I400/H400,"0")</f>
        <v>17.920000000000002</v>
      </c>
      <c r="BO400" s="64">
        <f>IFERROR(1/J400*(X400/H400),"0")</f>
        <v>3.1512605042016806E-2</v>
      </c>
      <c r="BP400" s="64">
        <f>IFERROR(1/J400*(Y400/H400),"0")</f>
        <v>3.3613445378151259E-2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72</v>
      </c>
      <c r="Q402" s="647"/>
      <c r="R402" s="647"/>
      <c r="S402" s="647"/>
      <c r="T402" s="647"/>
      <c r="U402" s="647"/>
      <c r="V402" s="648"/>
      <c r="W402" s="37" t="s">
        <v>73</v>
      </c>
      <c r="X402" s="635">
        <f>IFERROR(X399/H399,"0")+IFERROR(X400/H400,"0")+IFERROR(X401/H401,"0")</f>
        <v>12.5</v>
      </c>
      <c r="Y402" s="635">
        <f>IFERROR(Y399/H399,"0")+IFERROR(Y400/H400,"0")+IFERROR(Y401/H401,"0")</f>
        <v>13</v>
      </c>
      <c r="Z402" s="635">
        <f>IFERROR(IF(Z399="",0,Z399),"0")+IFERROR(IF(Z400="",0,Z400),"0")+IFERROR(IF(Z401="",0,Z401),"0")</f>
        <v>6.1620000000000008E-2</v>
      </c>
      <c r="AA402" s="636"/>
      <c r="AB402" s="636"/>
      <c r="AC402" s="636"/>
    </row>
    <row r="403" spans="1:68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72</v>
      </c>
      <c r="Q403" s="647"/>
      <c r="R403" s="647"/>
      <c r="S403" s="647"/>
      <c r="T403" s="647"/>
      <c r="U403" s="647"/>
      <c r="V403" s="648"/>
      <c r="W403" s="37" t="s">
        <v>67</v>
      </c>
      <c r="X403" s="635">
        <f>IFERROR(SUM(X399:X401),"0")</f>
        <v>25</v>
      </c>
      <c r="Y403" s="635">
        <f>IFERROR(SUM(Y399:Y401),"0")</f>
        <v>26</v>
      </c>
      <c r="Z403" s="37"/>
      <c r="AA403" s="636"/>
      <c r="AB403" s="636"/>
      <c r="AC403" s="636"/>
    </row>
    <row r="404" spans="1:68" ht="14.25" customHeight="1" x14ac:dyDescent="0.25">
      <c r="A404" s="658" t="s">
        <v>659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50</v>
      </c>
      <c r="Y405" s="634">
        <f>IFERROR(IF(X405="",0,CEILING((X405/$H405),1)*$H405),"")</f>
        <v>51</v>
      </c>
      <c r="Z405" s="36">
        <f>IFERROR(IF(Y405=0,"",ROUNDUP(Y405/H405,0)*0.0045),"")</f>
        <v>7.6499999999999999E-2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53.666666666666664</v>
      </c>
      <c r="BN405" s="64">
        <f>IFERROR(Y405*I405/H405,"0")</f>
        <v>54.74</v>
      </c>
      <c r="BO405" s="64">
        <f>IFERROR(1/J405*(X405/H405),"0")</f>
        <v>7.4404761904761904E-2</v>
      </c>
      <c r="BP405" s="64">
        <f>IFERROR(1/J405*(Y405/H405),"0")</f>
        <v>7.5892857142857137E-2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67</v>
      </c>
      <c r="X406" s="633">
        <v>65</v>
      </c>
      <c r="Y406" s="634">
        <f>IFERROR(IF(X406="",0,CEILING((X406/$H406),1)*$H406),"")</f>
        <v>66.3</v>
      </c>
      <c r="Z406" s="36">
        <f>IFERROR(IF(Y406=0,"",ROUNDUP(Y406/H406,0)*0.006),"")</f>
        <v>0.10200000000000001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69.5</v>
      </c>
      <c r="BN406" s="64">
        <f>IFERROR(Y406*I406/H406,"0")</f>
        <v>70.89</v>
      </c>
      <c r="BO406" s="64">
        <f>IFERROR(1/J406*(X406/H406),"0")</f>
        <v>0.11574074074074074</v>
      </c>
      <c r="BP406" s="64">
        <f>IFERROR(1/J406*(Y406/H406),"0")</f>
        <v>0.11805555555555555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72</v>
      </c>
      <c r="Q408" s="647"/>
      <c r="R408" s="647"/>
      <c r="S408" s="647"/>
      <c r="T408" s="647"/>
      <c r="U408" s="647"/>
      <c r="V408" s="648"/>
      <c r="W408" s="37" t="s">
        <v>73</v>
      </c>
      <c r="X408" s="635">
        <f>IFERROR(X405/H405,"0")+IFERROR(X406/H406,"0")+IFERROR(X407/H407,"0")</f>
        <v>33.333333333333336</v>
      </c>
      <c r="Y408" s="635">
        <f>IFERROR(Y405/H405,"0")+IFERROR(Y406/H406,"0")+IFERROR(Y407/H407,"0")</f>
        <v>34</v>
      </c>
      <c r="Z408" s="635">
        <f>IFERROR(IF(Z405="",0,Z405),"0")+IFERROR(IF(Z406="",0,Z406),"0")+IFERROR(IF(Z407="",0,Z407),"0")</f>
        <v>0.17849999999999999</v>
      </c>
      <c r="AA408" s="636"/>
      <c r="AB408" s="636"/>
      <c r="AC408" s="636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72</v>
      </c>
      <c r="Q409" s="647"/>
      <c r="R409" s="647"/>
      <c r="S409" s="647"/>
      <c r="T409" s="647"/>
      <c r="U409" s="647"/>
      <c r="V409" s="648"/>
      <c r="W409" s="37" t="s">
        <v>67</v>
      </c>
      <c r="X409" s="635">
        <f>IFERROR(SUM(X405:X407),"0")</f>
        <v>115</v>
      </c>
      <c r="Y409" s="635">
        <f>IFERROR(SUM(Y405:Y407),"0")</f>
        <v>117.3</v>
      </c>
      <c r="Z409" s="37"/>
      <c r="AA409" s="636"/>
      <c r="AB409" s="636"/>
      <c r="AC409" s="636"/>
    </row>
    <row r="410" spans="1:68" ht="16.5" customHeight="1" x14ac:dyDescent="0.25">
      <c r="A410" s="657" t="s">
        <v>668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8"/>
      <c r="AB410" s="628"/>
      <c r="AC410" s="628"/>
    </row>
    <row r="411" spans="1:68" ht="14.25" customHeight="1" x14ac:dyDescent="0.25">
      <c r="A411" s="658" t="s">
        <v>74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711" t="s">
        <v>671</v>
      </c>
      <c r="Q412" s="640"/>
      <c r="R412" s="640"/>
      <c r="S412" s="640"/>
      <c r="T412" s="641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946" t="s">
        <v>676</v>
      </c>
      <c r="Q413" s="640"/>
      <c r="R413" s="640"/>
      <c r="S413" s="640"/>
      <c r="T413" s="641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72</v>
      </c>
      <c r="Q414" s="647"/>
      <c r="R414" s="647"/>
      <c r="S414" s="647"/>
      <c r="T414" s="647"/>
      <c r="U414" s="647"/>
      <c r="V414" s="648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72</v>
      </c>
      <c r="Q415" s="647"/>
      <c r="R415" s="647"/>
      <c r="S415" s="647"/>
      <c r="T415" s="647"/>
      <c r="U415" s="647"/>
      <c r="V415" s="648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7" t="s">
        <v>678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8"/>
      <c r="AB416" s="628"/>
      <c r="AC416" s="628"/>
    </row>
    <row r="417" spans="1:68" ht="14.25" customHeight="1" x14ac:dyDescent="0.25">
      <c r="A417" s="658" t="s">
        <v>74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3">
        <v>18</v>
      </c>
      <c r="Y420" s="634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72</v>
      </c>
      <c r="Q421" s="647"/>
      <c r="R421" s="647"/>
      <c r="S421" s="647"/>
      <c r="T421" s="647"/>
      <c r="U421" s="647"/>
      <c r="V421" s="648"/>
      <c r="W421" s="37" t="s">
        <v>73</v>
      </c>
      <c r="X421" s="635">
        <f>IFERROR(X418/H418,"0")+IFERROR(X419/H419,"0")+IFERROR(X420/H420,"0")</f>
        <v>8.5714285714285712</v>
      </c>
      <c r="Y421" s="635">
        <f>IFERROR(Y418/H418,"0")+IFERROR(Y419/H419,"0")+IFERROR(Y420/H420,"0")</f>
        <v>9</v>
      </c>
      <c r="Z421" s="635">
        <f>IFERROR(IF(Z418="",0,Z418),"0")+IFERROR(IF(Z419="",0,Z419),"0")+IFERROR(IF(Z420="",0,Z420),"0")</f>
        <v>5.8590000000000003E-2</v>
      </c>
      <c r="AA421" s="636"/>
      <c r="AB421" s="636"/>
      <c r="AC421" s="636"/>
    </row>
    <row r="422" spans="1:68" x14ac:dyDescent="0.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72</v>
      </c>
      <c r="Q422" s="647"/>
      <c r="R422" s="647"/>
      <c r="S422" s="647"/>
      <c r="T422" s="647"/>
      <c r="U422" s="647"/>
      <c r="V422" s="648"/>
      <c r="W422" s="37" t="s">
        <v>67</v>
      </c>
      <c r="X422" s="635">
        <f>IFERROR(SUM(X418:X420),"0")</f>
        <v>18</v>
      </c>
      <c r="Y422" s="635">
        <f>IFERROR(SUM(Y418:Y420),"0")</f>
        <v>18.900000000000002</v>
      </c>
      <c r="Z422" s="37"/>
      <c r="AA422" s="636"/>
      <c r="AB422" s="636"/>
      <c r="AC422" s="636"/>
    </row>
    <row r="423" spans="1:68" ht="27.75" customHeight="1" x14ac:dyDescent="0.2">
      <c r="A423" s="734" t="s">
        <v>688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48"/>
      <c r="AB423" s="48"/>
      <c r="AC423" s="48"/>
    </row>
    <row r="424" spans="1:68" ht="16.5" customHeight="1" x14ac:dyDescent="0.25">
      <c r="A424" s="657" t="s">
        <v>689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8"/>
      <c r="AB424" s="628"/>
      <c r="AC424" s="628"/>
    </row>
    <row r="425" spans="1:68" ht="14.25" customHeight="1" x14ac:dyDescent="0.25">
      <c r="A425" s="658" t="s">
        <v>111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67</v>
      </c>
      <c r="X428" s="633">
        <v>107</v>
      </c>
      <c r="Y428" s="634">
        <f t="shared" si="53"/>
        <v>120</v>
      </c>
      <c r="Z428" s="36">
        <f>IFERROR(IF(Y428=0,"",ROUNDUP(Y428/H428,0)*0.02175),"")</f>
        <v>0.17399999999999999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110.35266666666666</v>
      </c>
      <c r="BN428" s="64">
        <f t="shared" si="55"/>
        <v>123.76</v>
      </c>
      <c r="BO428" s="64">
        <f t="shared" si="56"/>
        <v>0.14861111111111111</v>
      </c>
      <c r="BP428" s="64">
        <f t="shared" si="57"/>
        <v>0.16666666666666666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67</v>
      </c>
      <c r="X429" s="633">
        <v>140</v>
      </c>
      <c r="Y429" s="634">
        <f t="shared" si="53"/>
        <v>150</v>
      </c>
      <c r="Z429" s="36">
        <f>IFERROR(IF(Y429=0,"",ROUNDUP(Y429/H429,0)*0.02175),"")</f>
        <v>0.21749999999999997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144.38666666666668</v>
      </c>
      <c r="BN429" s="64">
        <f t="shared" si="55"/>
        <v>154.69999999999999</v>
      </c>
      <c r="BO429" s="64">
        <f t="shared" si="56"/>
        <v>0.19444444444444445</v>
      </c>
      <c r="BP429" s="64">
        <f t="shared" si="57"/>
        <v>0.20833333333333331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72</v>
      </c>
      <c r="Q434" s="647"/>
      <c r="R434" s="647"/>
      <c r="S434" s="647"/>
      <c r="T434" s="647"/>
      <c r="U434" s="647"/>
      <c r="V434" s="648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16.466666666666669</v>
      </c>
      <c r="Y434" s="635">
        <f>IFERROR(Y426/H426,"0")+IFERROR(Y427/H427,"0")+IFERROR(Y428/H428,"0")+IFERROR(Y429/H429,"0")+IFERROR(Y430/H430,"0")+IFERROR(Y431/H431,"0")+IFERROR(Y432/H432,"0")+IFERROR(Y433/H433,"0")</f>
        <v>18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0.39149999999999996</v>
      </c>
      <c r="AA434" s="636"/>
      <c r="AB434" s="636"/>
      <c r="AC434" s="636"/>
    </row>
    <row r="435" spans="1:68" x14ac:dyDescent="0.2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72</v>
      </c>
      <c r="Q435" s="647"/>
      <c r="R435" s="647"/>
      <c r="S435" s="647"/>
      <c r="T435" s="647"/>
      <c r="U435" s="647"/>
      <c r="V435" s="648"/>
      <c r="W435" s="37" t="s">
        <v>67</v>
      </c>
      <c r="X435" s="635">
        <f>IFERROR(SUM(X426:X433),"0")</f>
        <v>247</v>
      </c>
      <c r="Y435" s="635">
        <f>IFERROR(SUM(Y426:Y433),"0")</f>
        <v>270</v>
      </c>
      <c r="Z435" s="37"/>
      <c r="AA435" s="636"/>
      <c r="AB435" s="636"/>
      <c r="AC435" s="636"/>
    </row>
    <row r="436" spans="1:68" ht="14.25" customHeight="1" x14ac:dyDescent="0.25">
      <c r="A436" s="658" t="s">
        <v>147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67</v>
      </c>
      <c r="X437" s="633">
        <v>718</v>
      </c>
      <c r="Y437" s="634">
        <f>IFERROR(IF(X437="",0,CEILING((X437/$H437),1)*$H437),"")</f>
        <v>720</v>
      </c>
      <c r="Z437" s="36">
        <f>IFERROR(IF(Y437=0,"",ROUNDUP(Y437/H437,0)*0.02175),"")</f>
        <v>1.044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740.49733333333336</v>
      </c>
      <c r="BN437" s="64">
        <f>IFERROR(Y437*I437/H437,"0")</f>
        <v>742.56</v>
      </c>
      <c r="BO437" s="64">
        <f>IFERROR(1/J437*(X437/H437),"0")</f>
        <v>0.99722222222222223</v>
      </c>
      <c r="BP437" s="64">
        <f>IFERROR(1/J437*(Y437/H437),"0")</f>
        <v>1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72</v>
      </c>
      <c r="Q440" s="647"/>
      <c r="R440" s="647"/>
      <c r="S440" s="647"/>
      <c r="T440" s="647"/>
      <c r="U440" s="647"/>
      <c r="V440" s="648"/>
      <c r="W440" s="37" t="s">
        <v>73</v>
      </c>
      <c r="X440" s="635">
        <f>IFERROR(X437/H437,"0")+IFERROR(X438/H438,"0")+IFERROR(X439/H439,"0")</f>
        <v>47.866666666666667</v>
      </c>
      <c r="Y440" s="635">
        <f>IFERROR(Y437/H437,"0")+IFERROR(Y438/H438,"0")+IFERROR(Y439/H439,"0")</f>
        <v>48</v>
      </c>
      <c r="Z440" s="635">
        <f>IFERROR(IF(Z437="",0,Z437),"0")+IFERROR(IF(Z438="",0,Z438),"0")+IFERROR(IF(Z439="",0,Z439),"0")</f>
        <v>1.044</v>
      </c>
      <c r="AA440" s="636"/>
      <c r="AB440" s="636"/>
      <c r="AC440" s="636"/>
    </row>
    <row r="441" spans="1:68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72</v>
      </c>
      <c r="Q441" s="647"/>
      <c r="R441" s="647"/>
      <c r="S441" s="647"/>
      <c r="T441" s="647"/>
      <c r="U441" s="647"/>
      <c r="V441" s="648"/>
      <c r="W441" s="37" t="s">
        <v>67</v>
      </c>
      <c r="X441" s="635">
        <f>IFERROR(SUM(X437:X439),"0")</f>
        <v>718</v>
      </c>
      <c r="Y441" s="635">
        <f>IFERROR(SUM(Y437:Y439),"0")</f>
        <v>720</v>
      </c>
      <c r="Z441" s="37"/>
      <c r="AA441" s="636"/>
      <c r="AB441" s="636"/>
      <c r="AC441" s="636"/>
    </row>
    <row r="442" spans="1:68" ht="14.25" customHeight="1" x14ac:dyDescent="0.25">
      <c r="A442" s="658" t="s">
        <v>74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72</v>
      </c>
      <c r="Q446" s="647"/>
      <c r="R446" s="647"/>
      <c r="S446" s="647"/>
      <c r="T446" s="647"/>
      <c r="U446" s="647"/>
      <c r="V446" s="648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72</v>
      </c>
      <c r="Q447" s="647"/>
      <c r="R447" s="647"/>
      <c r="S447" s="647"/>
      <c r="T447" s="647"/>
      <c r="U447" s="647"/>
      <c r="V447" s="648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58" t="s">
        <v>164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72</v>
      </c>
      <c r="Q451" s="647"/>
      <c r="R451" s="647"/>
      <c r="S451" s="647"/>
      <c r="T451" s="647"/>
      <c r="U451" s="647"/>
      <c r="V451" s="648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72</v>
      </c>
      <c r="Q452" s="647"/>
      <c r="R452" s="647"/>
      <c r="S452" s="647"/>
      <c r="T452" s="647"/>
      <c r="U452" s="647"/>
      <c r="V452" s="648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customHeight="1" x14ac:dyDescent="0.25">
      <c r="A453" s="657" t="s">
        <v>738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8"/>
      <c r="AB453" s="628"/>
      <c r="AC453" s="628"/>
    </row>
    <row r="454" spans="1:68" ht="14.25" customHeight="1" x14ac:dyDescent="0.25">
      <c r="A454" s="658" t="s">
        <v>111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72</v>
      </c>
      <c r="Q457" s="647"/>
      <c r="R457" s="647"/>
      <c r="S457" s="647"/>
      <c r="T457" s="647"/>
      <c r="U457" s="647"/>
      <c r="V457" s="648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72</v>
      </c>
      <c r="Q458" s="647"/>
      <c r="R458" s="647"/>
      <c r="S458" s="647"/>
      <c r="T458" s="647"/>
      <c r="U458" s="647"/>
      <c r="V458" s="648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58" t="s">
        <v>62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72</v>
      </c>
      <c r="Q461" s="647"/>
      <c r="R461" s="647"/>
      <c r="S461" s="647"/>
      <c r="T461" s="647"/>
      <c r="U461" s="647"/>
      <c r="V461" s="648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72</v>
      </c>
      <c r="Q462" s="647"/>
      <c r="R462" s="647"/>
      <c r="S462" s="647"/>
      <c r="T462" s="647"/>
      <c r="U462" s="647"/>
      <c r="V462" s="648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58" t="s">
        <v>74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3">
        <v>10</v>
      </c>
      <c r="Y465" s="634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11.100000000000001</v>
      </c>
      <c r="BN465" s="64">
        <f>IFERROR(Y465*I465/H465,"0")</f>
        <v>13.320000000000002</v>
      </c>
      <c r="BO465" s="64">
        <f>IFERROR(1/J465*(X465/H465),"0")</f>
        <v>2.2893772893772896E-2</v>
      </c>
      <c r="BP465" s="64">
        <f>IFERROR(1/J465*(Y465/H465),"0")</f>
        <v>2.7472527472527476E-2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72</v>
      </c>
      <c r="Q467" s="647"/>
      <c r="R467" s="647"/>
      <c r="S467" s="647"/>
      <c r="T467" s="647"/>
      <c r="U467" s="647"/>
      <c r="V467" s="648"/>
      <c r="W467" s="37" t="s">
        <v>73</v>
      </c>
      <c r="X467" s="635">
        <f>IFERROR(X464/H464,"0")+IFERROR(X465/H465,"0")+IFERROR(X466/H466,"0")</f>
        <v>115.27777777777779</v>
      </c>
      <c r="Y467" s="635">
        <f>IFERROR(Y464/H464,"0")+IFERROR(Y465/H465,"0")+IFERROR(Y466/H466,"0")</f>
        <v>117</v>
      </c>
      <c r="Z467" s="635">
        <f>IFERROR(IF(Z464="",0,Z464),"0")+IFERROR(IF(Z465="",0,Z465),"0")+IFERROR(IF(Z466="",0,Z466),"0")</f>
        <v>2.1583100000000002</v>
      </c>
      <c r="AA467" s="636"/>
      <c r="AB467" s="636"/>
      <c r="AC467" s="636"/>
    </row>
    <row r="468" spans="1:68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72</v>
      </c>
      <c r="Q468" s="647"/>
      <c r="R468" s="647"/>
      <c r="S468" s="647"/>
      <c r="T468" s="647"/>
      <c r="U468" s="647"/>
      <c r="V468" s="648"/>
      <c r="W468" s="37" t="s">
        <v>67</v>
      </c>
      <c r="X468" s="635">
        <f>IFERROR(SUM(X464:X466),"0")</f>
        <v>1010</v>
      </c>
      <c r="Y468" s="635">
        <f>IFERROR(SUM(Y464:Y466),"0")</f>
        <v>1020</v>
      </c>
      <c r="Z468" s="37"/>
      <c r="AA468" s="636"/>
      <c r="AB468" s="636"/>
      <c r="AC468" s="636"/>
    </row>
    <row r="469" spans="1:68" ht="27.75" customHeight="1" x14ac:dyDescent="0.2">
      <c r="A469" s="734" t="s">
        <v>754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48"/>
      <c r="AB469" s="48"/>
      <c r="AC469" s="48"/>
    </row>
    <row r="470" spans="1:68" ht="16.5" customHeight="1" x14ac:dyDescent="0.25">
      <c r="A470" s="657" t="s">
        <v>755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8"/>
      <c r="AB470" s="628"/>
      <c r="AC470" s="628"/>
    </row>
    <row r="471" spans="1:68" ht="14.25" customHeight="1" x14ac:dyDescent="0.25">
      <c r="A471" s="658" t="s">
        <v>62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72</v>
      </c>
      <c r="Q478" s="647"/>
      <c r="R478" s="647"/>
      <c r="S478" s="647"/>
      <c r="T478" s="647"/>
      <c r="U478" s="647"/>
      <c r="V478" s="648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72</v>
      </c>
      <c r="Q479" s="647"/>
      <c r="R479" s="647"/>
      <c r="S479" s="647"/>
      <c r="T479" s="647"/>
      <c r="U479" s="647"/>
      <c r="V479" s="648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58" t="s">
        <v>74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72</v>
      </c>
      <c r="Q483" s="647"/>
      <c r="R483" s="647"/>
      <c r="S483" s="647"/>
      <c r="T483" s="647"/>
      <c r="U483" s="647"/>
      <c r="V483" s="648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72</v>
      </c>
      <c r="Q484" s="647"/>
      <c r="R484" s="647"/>
      <c r="S484" s="647"/>
      <c r="T484" s="647"/>
      <c r="U484" s="647"/>
      <c r="V484" s="648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7" t="s">
        <v>778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8"/>
      <c r="AB485" s="628"/>
      <c r="AC485" s="628"/>
    </row>
    <row r="486" spans="1:68" ht="14.25" customHeight="1" x14ac:dyDescent="0.25">
      <c r="A486" s="658" t="s">
        <v>147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72</v>
      </c>
      <c r="Q488" s="647"/>
      <c r="R488" s="647"/>
      <c r="S488" s="647"/>
      <c r="T488" s="647"/>
      <c r="U488" s="647"/>
      <c r="V488" s="648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72</v>
      </c>
      <c r="Q489" s="647"/>
      <c r="R489" s="647"/>
      <c r="S489" s="647"/>
      <c r="T489" s="647"/>
      <c r="U489" s="647"/>
      <c r="V489" s="648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58" t="s">
        <v>62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72</v>
      </c>
      <c r="Q494" s="647"/>
      <c r="R494" s="647"/>
      <c r="S494" s="647"/>
      <c r="T494" s="647"/>
      <c r="U494" s="647"/>
      <c r="V494" s="648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72</v>
      </c>
      <c r="Q495" s="647"/>
      <c r="R495" s="647"/>
      <c r="S495" s="647"/>
      <c r="T495" s="647"/>
      <c r="U495" s="647"/>
      <c r="V495" s="648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734" t="s">
        <v>790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48"/>
      <c r="AB496" s="48"/>
      <c r="AC496" s="48"/>
    </row>
    <row r="497" spans="1:68" ht="16.5" customHeight="1" x14ac:dyDescent="0.25">
      <c r="A497" s="657" t="s">
        <v>790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8"/>
      <c r="AB497" s="628"/>
      <c r="AC497" s="628"/>
    </row>
    <row r="498" spans="1:68" ht="14.25" customHeight="1" x14ac:dyDescent="0.25">
      <c r="A498" s="658" t="s">
        <v>111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67</v>
      </c>
      <c r="X499" s="633">
        <v>91</v>
      </c>
      <c r="Y499" s="634">
        <f t="shared" ref="Y499:Y507" si="63">IFERROR(IF(X499="",0,CEILING((X499/$H499),1)*$H499),"")</f>
        <v>95.04</v>
      </c>
      <c r="Z499" s="36">
        <f t="shared" ref="Z499:Z504" si="64">IFERROR(IF(Y499=0,"",ROUNDUP(Y499/H499,0)*0.01196),"")</f>
        <v>0.21528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97.032196969696969</v>
      </c>
      <c r="BN499" s="64">
        <f t="shared" ref="BN499:BN507" si="66">IFERROR(Y499*I499/H499,"0")</f>
        <v>101.33999999999999</v>
      </c>
      <c r="BO499" s="64">
        <f t="shared" ref="BO499:BO507" si="67">IFERROR(1/J499*(X499/H499),"0")</f>
        <v>0.16571969696969696</v>
      </c>
      <c r="BP499" s="64">
        <f t="shared" ref="BP499:BP507" si="68">IFERROR(1/J499*(Y499/H499),"0")</f>
        <v>0.17307692307692307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67</v>
      </c>
      <c r="X501" s="633">
        <v>39</v>
      </c>
      <c r="Y501" s="634">
        <f t="shared" si="63"/>
        <v>42.24</v>
      </c>
      <c r="Z501" s="36">
        <f t="shared" si="64"/>
        <v>9.5680000000000001E-2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41.585227272727266</v>
      </c>
      <c r="BN501" s="64">
        <f t="shared" si="66"/>
        <v>45.04</v>
      </c>
      <c r="BO501" s="64">
        <f t="shared" si="67"/>
        <v>7.1022727272727265E-2</v>
      </c>
      <c r="BP501" s="64">
        <f t="shared" si="68"/>
        <v>7.6923076923076927E-2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160</v>
      </c>
      <c r="Y502" s="634">
        <f t="shared" si="63"/>
        <v>163.68</v>
      </c>
      <c r="Z502" s="36">
        <f t="shared" si="64"/>
        <v>0.37075999999999998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170.60606060606059</v>
      </c>
      <c r="BN502" s="64">
        <f t="shared" si="66"/>
        <v>174.53</v>
      </c>
      <c r="BO502" s="64">
        <f t="shared" si="67"/>
        <v>0.29137529137529139</v>
      </c>
      <c r="BP502" s="64">
        <f t="shared" si="68"/>
        <v>0.29807692307692307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232</v>
      </c>
      <c r="Y504" s="634">
        <f t="shared" si="63"/>
        <v>232.32000000000002</v>
      </c>
      <c r="Z504" s="36">
        <f t="shared" si="64"/>
        <v>0.52624000000000004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247.37878787878788</v>
      </c>
      <c r="BN504" s="64">
        <f t="shared" si="66"/>
        <v>247.72</v>
      </c>
      <c r="BO504" s="64">
        <f t="shared" si="67"/>
        <v>0.42249417249417248</v>
      </c>
      <c r="BP504" s="64">
        <f t="shared" si="68"/>
        <v>0.42307692307692313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67</v>
      </c>
      <c r="X506" s="633">
        <v>61</v>
      </c>
      <c r="Y506" s="634">
        <f t="shared" si="63"/>
        <v>62.4</v>
      </c>
      <c r="Z506" s="36">
        <f>IFERROR(IF(Y506=0,"",ROUNDUP(Y506/H506,0)*0.00902),"")</f>
        <v>0.11726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87.814583333333331</v>
      </c>
      <c r="BN506" s="64">
        <f t="shared" si="66"/>
        <v>89.830000000000013</v>
      </c>
      <c r="BO506" s="64">
        <f t="shared" si="67"/>
        <v>9.6275252525252528E-2</v>
      </c>
      <c r="BP506" s="64">
        <f t="shared" si="68"/>
        <v>9.8484848484848481E-2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67</v>
      </c>
      <c r="X507" s="633">
        <v>21</v>
      </c>
      <c r="Y507" s="634">
        <f t="shared" si="63"/>
        <v>24</v>
      </c>
      <c r="Z507" s="36">
        <f>IFERROR(IF(Y507=0,"",ROUNDUP(Y507/H507,0)*0.00902),"")</f>
        <v>4.5100000000000001E-2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30.231250000000003</v>
      </c>
      <c r="BN507" s="64">
        <f t="shared" si="66"/>
        <v>34.550000000000004</v>
      </c>
      <c r="BO507" s="64">
        <f t="shared" si="67"/>
        <v>3.3143939393939392E-2</v>
      </c>
      <c r="BP507" s="64">
        <f t="shared" si="68"/>
        <v>3.787878787878788E-2</v>
      </c>
    </row>
    <row r="508" spans="1:68" x14ac:dyDescent="0.2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72</v>
      </c>
      <c r="Q508" s="647"/>
      <c r="R508" s="647"/>
      <c r="S508" s="647"/>
      <c r="T508" s="647"/>
      <c r="U508" s="647"/>
      <c r="V508" s="648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115.94696969696969</v>
      </c>
      <c r="Y508" s="635">
        <f>IFERROR(Y499/H499,"0")+IFERROR(Y500/H500,"0")+IFERROR(Y501/H501,"0")+IFERROR(Y502/H502,"0")+IFERROR(Y503/H503,"0")+IFERROR(Y504/H504,"0")+IFERROR(Y505/H505,"0")+IFERROR(Y506/H506,"0")+IFERROR(Y507/H507,"0")</f>
        <v>119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1.3703199999999998</v>
      </c>
      <c r="AA508" s="636"/>
      <c r="AB508" s="636"/>
      <c r="AC508" s="636"/>
    </row>
    <row r="509" spans="1:68" x14ac:dyDescent="0.2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72</v>
      </c>
      <c r="Q509" s="647"/>
      <c r="R509" s="647"/>
      <c r="S509" s="647"/>
      <c r="T509" s="647"/>
      <c r="U509" s="647"/>
      <c r="V509" s="648"/>
      <c r="W509" s="37" t="s">
        <v>67</v>
      </c>
      <c r="X509" s="635">
        <f>IFERROR(SUM(X499:X507),"0")</f>
        <v>604</v>
      </c>
      <c r="Y509" s="635">
        <f>IFERROR(SUM(Y499:Y507),"0")</f>
        <v>619.68000000000006</v>
      </c>
      <c r="Z509" s="37"/>
      <c r="AA509" s="636"/>
      <c r="AB509" s="636"/>
      <c r="AC509" s="636"/>
    </row>
    <row r="510" spans="1:68" ht="14.25" customHeight="1" x14ac:dyDescent="0.25">
      <c r="A510" s="658" t="s">
        <v>147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484</v>
      </c>
      <c r="Y511" s="634">
        <f>IFERROR(IF(X511="",0,CEILING((X511/$H511),1)*$H511),"")</f>
        <v>485.76000000000005</v>
      </c>
      <c r="Z511" s="36">
        <f>IFERROR(IF(Y511=0,"",ROUNDUP(Y511/H511,0)*0.01196),"")</f>
        <v>1.10032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516.08333333333337</v>
      </c>
      <c r="BN511" s="64">
        <f>IFERROR(Y511*I511/H511,"0")</f>
        <v>517.96</v>
      </c>
      <c r="BO511" s="64">
        <f>IFERROR(1/J511*(X511/H511),"0")</f>
        <v>0.88141025641025639</v>
      </c>
      <c r="BP511" s="64">
        <f>IFERROR(1/J511*(Y511/H511),"0")</f>
        <v>0.88461538461538469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8</v>
      </c>
      <c r="Y513" s="634">
        <f>IFERROR(IF(X513="",0,CEILING((X513/$H513),1)*$H513),"")</f>
        <v>9.6</v>
      </c>
      <c r="Z513" s="36">
        <f>IFERROR(IF(Y513=0,"",ROUNDUP(Y513/H513,0)*0.00902),"")</f>
        <v>1.804E-2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11.516666666666667</v>
      </c>
      <c r="BN513" s="64">
        <f>IFERROR(Y513*I513/H513,"0")</f>
        <v>13.82</v>
      </c>
      <c r="BO513" s="64">
        <f>IFERROR(1/J513*(X513/H513),"0")</f>
        <v>1.2626262626262628E-2</v>
      </c>
      <c r="BP513" s="64">
        <f>IFERROR(1/J513*(Y513/H513),"0")</f>
        <v>1.5151515151515152E-2</v>
      </c>
    </row>
    <row r="514" spans="1:68" x14ac:dyDescent="0.2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72</v>
      </c>
      <c r="Q514" s="647"/>
      <c r="R514" s="647"/>
      <c r="S514" s="647"/>
      <c r="T514" s="647"/>
      <c r="U514" s="647"/>
      <c r="V514" s="648"/>
      <c r="W514" s="37" t="s">
        <v>73</v>
      </c>
      <c r="X514" s="635">
        <f>IFERROR(X511/H511,"0")+IFERROR(X512/H512,"0")+IFERROR(X513/H513,"0")</f>
        <v>93.333333333333329</v>
      </c>
      <c r="Y514" s="635">
        <f>IFERROR(Y511/H511,"0")+IFERROR(Y512/H512,"0")+IFERROR(Y513/H513,"0")</f>
        <v>94</v>
      </c>
      <c r="Z514" s="635">
        <f>IFERROR(IF(Z511="",0,Z511),"0")+IFERROR(IF(Z512="",0,Z512),"0")+IFERROR(IF(Z513="",0,Z513),"0")</f>
        <v>1.11836</v>
      </c>
      <c r="AA514" s="636"/>
      <c r="AB514" s="636"/>
      <c r="AC514" s="636"/>
    </row>
    <row r="515" spans="1:68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72</v>
      </c>
      <c r="Q515" s="647"/>
      <c r="R515" s="647"/>
      <c r="S515" s="647"/>
      <c r="T515" s="647"/>
      <c r="U515" s="647"/>
      <c r="V515" s="648"/>
      <c r="W515" s="37" t="s">
        <v>67</v>
      </c>
      <c r="X515" s="635">
        <f>IFERROR(SUM(X511:X513),"0")</f>
        <v>492</v>
      </c>
      <c r="Y515" s="635">
        <f>IFERROR(SUM(Y511:Y513),"0")</f>
        <v>495.36000000000007</v>
      </c>
      <c r="Z515" s="37"/>
      <c r="AA515" s="636"/>
      <c r="AB515" s="636"/>
      <c r="AC515" s="636"/>
    </row>
    <row r="516" spans="1:68" ht="14.25" customHeight="1" x14ac:dyDescent="0.25">
      <c r="A516" s="658" t="s">
        <v>62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121</v>
      </c>
      <c r="Y517" s="634">
        <f t="shared" ref="Y517:Y523" si="69">IFERROR(IF(X517="",0,CEILING((X517/$H517),1)*$H517),"")</f>
        <v>121.44000000000001</v>
      </c>
      <c r="Z517" s="36">
        <f>IFERROR(IF(Y517=0,"",ROUNDUP(Y517/H517,0)*0.01196),"")</f>
        <v>0.27507999999999999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129.02083333333334</v>
      </c>
      <c r="BN517" s="64">
        <f t="shared" ref="BN517:BN523" si="71">IFERROR(Y517*I517/H517,"0")</f>
        <v>129.49</v>
      </c>
      <c r="BO517" s="64">
        <f t="shared" ref="BO517:BO523" si="72">IFERROR(1/J517*(X517/H517),"0")</f>
        <v>0.2203525641025641</v>
      </c>
      <c r="BP517" s="64">
        <f t="shared" ref="BP517:BP523" si="73">IFERROR(1/J517*(Y517/H517),"0")</f>
        <v>0.22115384615384617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67</v>
      </c>
      <c r="X518" s="633">
        <v>233</v>
      </c>
      <c r="Y518" s="634">
        <f t="shared" si="69"/>
        <v>237.60000000000002</v>
      </c>
      <c r="Z518" s="36">
        <f>IFERROR(IF(Y518=0,"",ROUNDUP(Y518/H518,0)*0.01196),"")</f>
        <v>0.53820000000000001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248.44507575757575</v>
      </c>
      <c r="BN518" s="64">
        <f t="shared" si="71"/>
        <v>253.35</v>
      </c>
      <c r="BO518" s="64">
        <f t="shared" si="72"/>
        <v>0.42431526806526804</v>
      </c>
      <c r="BP518" s="64">
        <f t="shared" si="73"/>
        <v>0.43269230769230771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67</v>
      </c>
      <c r="X519" s="633">
        <v>562</v>
      </c>
      <c r="Y519" s="634">
        <f t="shared" si="69"/>
        <v>564.96</v>
      </c>
      <c r="Z519" s="36">
        <f>IFERROR(IF(Y519=0,"",ROUNDUP(Y519/H519,0)*0.01196),"")</f>
        <v>1.27972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599.25378787878788</v>
      </c>
      <c r="BN519" s="64">
        <f t="shared" si="71"/>
        <v>602.41</v>
      </c>
      <c r="BO519" s="64">
        <f t="shared" si="72"/>
        <v>1.023455710955711</v>
      </c>
      <c r="BP519" s="64">
        <f t="shared" si="73"/>
        <v>1.028846153846154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5</v>
      </c>
      <c r="Y523" s="634">
        <f t="shared" si="69"/>
        <v>9.6</v>
      </c>
      <c r="Z523" s="36">
        <f>IFERROR(IF(Y523=0,"",ROUNDUP(Y523/H523,0)*0.00902),"")</f>
        <v>1.804E-2</v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6.947916666666667</v>
      </c>
      <c r="BN523" s="64">
        <f t="shared" si="71"/>
        <v>13.34</v>
      </c>
      <c r="BO523" s="64">
        <f t="shared" si="72"/>
        <v>7.8914141414141419E-3</v>
      </c>
      <c r="BP523" s="64">
        <f t="shared" si="73"/>
        <v>1.5151515151515152E-2</v>
      </c>
    </row>
    <row r="524" spans="1:68" x14ac:dyDescent="0.2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72</v>
      </c>
      <c r="Q524" s="647"/>
      <c r="R524" s="647"/>
      <c r="S524" s="647"/>
      <c r="T524" s="647"/>
      <c r="U524" s="647"/>
      <c r="V524" s="648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174.52651515151513</v>
      </c>
      <c r="Y524" s="635">
        <f>IFERROR(Y517/H517,"0")+IFERROR(Y518/H518,"0")+IFERROR(Y519/H519,"0")+IFERROR(Y520/H520,"0")+IFERROR(Y521/H521,"0")+IFERROR(Y522/H522,"0")+IFERROR(Y523/H523,"0")</f>
        <v>177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2.11104</v>
      </c>
      <c r="AA524" s="636"/>
      <c r="AB524" s="636"/>
      <c r="AC524" s="636"/>
    </row>
    <row r="525" spans="1:68" x14ac:dyDescent="0.2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72</v>
      </c>
      <c r="Q525" s="647"/>
      <c r="R525" s="647"/>
      <c r="S525" s="647"/>
      <c r="T525" s="647"/>
      <c r="U525" s="647"/>
      <c r="V525" s="648"/>
      <c r="W525" s="37" t="s">
        <v>67</v>
      </c>
      <c r="X525" s="635">
        <f>IFERROR(SUM(X517:X523),"0")</f>
        <v>921</v>
      </c>
      <c r="Y525" s="635">
        <f>IFERROR(SUM(Y517:Y523),"0")</f>
        <v>933.6</v>
      </c>
      <c r="Z525" s="37"/>
      <c r="AA525" s="636"/>
      <c r="AB525" s="636"/>
      <c r="AC525" s="636"/>
    </row>
    <row r="526" spans="1:68" ht="27.75" customHeight="1" x14ac:dyDescent="0.2">
      <c r="A526" s="734" t="s">
        <v>837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48"/>
      <c r="AB526" s="48"/>
      <c r="AC526" s="48"/>
    </row>
    <row r="527" spans="1:68" ht="16.5" customHeight="1" x14ac:dyDescent="0.25">
      <c r="A527" s="657" t="s">
        <v>837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8"/>
      <c r="AB527" s="628"/>
      <c r="AC527" s="628"/>
    </row>
    <row r="528" spans="1:68" ht="14.25" customHeight="1" x14ac:dyDescent="0.25">
      <c r="A528" s="658" t="s">
        <v>111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72</v>
      </c>
      <c r="Q530" s="647"/>
      <c r="R530" s="647"/>
      <c r="S530" s="647"/>
      <c r="T530" s="647"/>
      <c r="U530" s="647"/>
      <c r="V530" s="648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72</v>
      </c>
      <c r="Q531" s="647"/>
      <c r="R531" s="647"/>
      <c r="S531" s="647"/>
      <c r="T531" s="647"/>
      <c r="U531" s="647"/>
      <c r="V531" s="648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58" t="s">
        <v>147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72</v>
      </c>
      <c r="Q534" s="647"/>
      <c r="R534" s="647"/>
      <c r="S534" s="647"/>
      <c r="T534" s="647"/>
      <c r="U534" s="647"/>
      <c r="V534" s="648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72</v>
      </c>
      <c r="Q535" s="647"/>
      <c r="R535" s="647"/>
      <c r="S535" s="647"/>
      <c r="T535" s="647"/>
      <c r="U535" s="647"/>
      <c r="V535" s="648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58" t="s">
        <v>62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72</v>
      </c>
      <c r="Q538" s="647"/>
      <c r="R538" s="647"/>
      <c r="S538" s="647"/>
      <c r="T538" s="647"/>
      <c r="U538" s="647"/>
      <c r="V538" s="648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72</v>
      </c>
      <c r="Q539" s="647"/>
      <c r="R539" s="647"/>
      <c r="S539" s="647"/>
      <c r="T539" s="647"/>
      <c r="U539" s="647"/>
      <c r="V539" s="648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58" t="s">
        <v>74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3">
        <v>50</v>
      </c>
      <c r="Y541" s="634">
        <f>IFERROR(IF(X541="",0,CEILING((X541/$H541),1)*$H541),"")</f>
        <v>54</v>
      </c>
      <c r="Z541" s="36">
        <f>IFERROR(IF(Y541=0,"",ROUNDUP(Y541/H541,0)*0.01898),"")</f>
        <v>0.11388000000000001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52.74444444444444</v>
      </c>
      <c r="BN541" s="64">
        <f>IFERROR(Y541*I541/H541,"0")</f>
        <v>56.963999999999992</v>
      </c>
      <c r="BO541" s="64">
        <f>IFERROR(1/J541*(X541/H541),"0")</f>
        <v>8.6805555555555552E-2</v>
      </c>
      <c r="BP541" s="64">
        <f>IFERROR(1/J541*(Y541/H541),"0")</f>
        <v>9.375E-2</v>
      </c>
    </row>
    <row r="542" spans="1:68" x14ac:dyDescent="0.2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72</v>
      </c>
      <c r="Q542" s="647"/>
      <c r="R542" s="647"/>
      <c r="S542" s="647"/>
      <c r="T542" s="647"/>
      <c r="U542" s="647"/>
      <c r="V542" s="648"/>
      <c r="W542" s="37" t="s">
        <v>73</v>
      </c>
      <c r="X542" s="635">
        <f>IFERROR(X541/H541,"0")</f>
        <v>5.5555555555555554</v>
      </c>
      <c r="Y542" s="635">
        <f>IFERROR(Y541/H541,"0")</f>
        <v>6</v>
      </c>
      <c r="Z542" s="635">
        <f>IFERROR(IF(Z541="",0,Z541),"0")</f>
        <v>0.11388000000000001</v>
      </c>
      <c r="AA542" s="636"/>
      <c r="AB542" s="636"/>
      <c r="AC542" s="636"/>
    </row>
    <row r="543" spans="1:68" x14ac:dyDescent="0.2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72</v>
      </c>
      <c r="Q543" s="647"/>
      <c r="R543" s="647"/>
      <c r="S543" s="647"/>
      <c r="T543" s="647"/>
      <c r="U543" s="647"/>
      <c r="V543" s="648"/>
      <c r="W543" s="37" t="s">
        <v>67</v>
      </c>
      <c r="X543" s="635">
        <f>IFERROR(SUM(X541:X541),"0")</f>
        <v>50</v>
      </c>
      <c r="Y543" s="635">
        <f>IFERROR(SUM(Y541:Y541),"0")</f>
        <v>54</v>
      </c>
      <c r="Z543" s="37"/>
      <c r="AA543" s="636"/>
      <c r="AB543" s="636"/>
      <c r="AC543" s="636"/>
    </row>
    <row r="544" spans="1:68" ht="14.25" customHeight="1" x14ac:dyDescent="0.25">
      <c r="A544" s="658" t="s">
        <v>164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72</v>
      </c>
      <c r="Q547" s="647"/>
      <c r="R547" s="647"/>
      <c r="S547" s="647"/>
      <c r="T547" s="647"/>
      <c r="U547" s="647"/>
      <c r="V547" s="648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72</v>
      </c>
      <c r="Q548" s="647"/>
      <c r="R548" s="647"/>
      <c r="S548" s="647"/>
      <c r="T548" s="647"/>
      <c r="U548" s="647"/>
      <c r="V548" s="648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7" t="s">
        <v>856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8"/>
      <c r="AB549" s="628"/>
      <c r="AC549" s="628"/>
    </row>
    <row r="550" spans="1:68" ht="14.25" customHeight="1" x14ac:dyDescent="0.25">
      <c r="A550" s="658" t="s">
        <v>147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72</v>
      </c>
      <c r="Q552" s="647"/>
      <c r="R552" s="647"/>
      <c r="S552" s="647"/>
      <c r="T552" s="647"/>
      <c r="U552" s="647"/>
      <c r="V552" s="648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72</v>
      </c>
      <c r="Q553" s="647"/>
      <c r="R553" s="647"/>
      <c r="S553" s="647"/>
      <c r="T553" s="647"/>
      <c r="U553" s="647"/>
      <c r="V553" s="648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860</v>
      </c>
      <c r="Q554" s="737"/>
      <c r="R554" s="737"/>
      <c r="S554" s="737"/>
      <c r="T554" s="737"/>
      <c r="U554" s="737"/>
      <c r="V554" s="683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17602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17819.179999999997</v>
      </c>
      <c r="Z554" s="37"/>
      <c r="AA554" s="636"/>
      <c r="AB554" s="636"/>
      <c r="AC554" s="636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861</v>
      </c>
      <c r="Q555" s="737"/>
      <c r="R555" s="737"/>
      <c r="S555" s="737"/>
      <c r="T555" s="737"/>
      <c r="U555" s="737"/>
      <c r="V555" s="683"/>
      <c r="W555" s="37" t="s">
        <v>67</v>
      </c>
      <c r="X555" s="635">
        <f>IFERROR(SUM(BM22:BM551),"0")</f>
        <v>18732.676846930397</v>
      </c>
      <c r="Y555" s="635">
        <f>IFERROR(SUM(BN22:BN551),"0")</f>
        <v>18966.998000000003</v>
      </c>
      <c r="Z555" s="37"/>
      <c r="AA555" s="636"/>
      <c r="AB555" s="636"/>
      <c r="AC555" s="636"/>
    </row>
    <row r="556" spans="1:68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862</v>
      </c>
      <c r="Q556" s="737"/>
      <c r="R556" s="737"/>
      <c r="S556" s="737"/>
      <c r="T556" s="737"/>
      <c r="U556" s="737"/>
      <c r="V556" s="683"/>
      <c r="W556" s="37" t="s">
        <v>863</v>
      </c>
      <c r="X556" s="38">
        <f>ROUNDUP(SUM(BO22:BO551),0)</f>
        <v>33</v>
      </c>
      <c r="Y556" s="38">
        <f>ROUNDUP(SUM(BP22:BP551),0)</f>
        <v>34</v>
      </c>
      <c r="Z556" s="37"/>
      <c r="AA556" s="636"/>
      <c r="AB556" s="636"/>
      <c r="AC556" s="636"/>
    </row>
    <row r="557" spans="1:68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864</v>
      </c>
      <c r="Q557" s="737"/>
      <c r="R557" s="737"/>
      <c r="S557" s="737"/>
      <c r="T557" s="737"/>
      <c r="U557" s="737"/>
      <c r="V557" s="683"/>
      <c r="W557" s="37" t="s">
        <v>67</v>
      </c>
      <c r="X557" s="635">
        <f>GrossWeightTotal+PalletQtyTotal*25</f>
        <v>19557.676846930397</v>
      </c>
      <c r="Y557" s="635">
        <f>GrossWeightTotalR+PalletQtyTotalR*25</f>
        <v>19816.998000000003</v>
      </c>
      <c r="Z557" s="37"/>
      <c r="AA557" s="636"/>
      <c r="AB557" s="636"/>
      <c r="AC557" s="636"/>
    </row>
    <row r="558" spans="1:68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865</v>
      </c>
      <c r="Q558" s="737"/>
      <c r="R558" s="737"/>
      <c r="S558" s="737"/>
      <c r="T558" s="737"/>
      <c r="U558" s="737"/>
      <c r="V558" s="683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3623.1572323283367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3664</v>
      </c>
      <c r="Z558" s="37"/>
      <c r="AA558" s="636"/>
      <c r="AB558" s="636"/>
      <c r="AC558" s="636"/>
    </row>
    <row r="559" spans="1:68" ht="14.25" customHeight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866</v>
      </c>
      <c r="Q559" s="737"/>
      <c r="R559" s="737"/>
      <c r="S559" s="737"/>
      <c r="T559" s="737"/>
      <c r="U559" s="737"/>
      <c r="V559" s="683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39.709640000000014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51" t="s">
        <v>109</v>
      </c>
      <c r="E561" s="826"/>
      <c r="F561" s="826"/>
      <c r="G561" s="826"/>
      <c r="H561" s="826"/>
      <c r="I561" s="826"/>
      <c r="J561" s="663"/>
      <c r="K561" s="651" t="s">
        <v>342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688</v>
      </c>
      <c r="X561" s="663"/>
      <c r="Y561" s="651" t="s">
        <v>754</v>
      </c>
      <c r="Z561" s="663"/>
      <c r="AA561" s="630" t="s">
        <v>790</v>
      </c>
      <c r="AB561" s="651" t="s">
        <v>837</v>
      </c>
      <c r="AC561" s="663"/>
      <c r="AF561" s="631"/>
    </row>
    <row r="562" spans="1:32" ht="14.25" customHeight="1" thickTop="1" x14ac:dyDescent="0.2">
      <c r="A562" s="941" t="s">
        <v>869</v>
      </c>
      <c r="B562" s="651" t="s">
        <v>61</v>
      </c>
      <c r="C562" s="651" t="s">
        <v>93</v>
      </c>
      <c r="D562" s="651" t="s">
        <v>110</v>
      </c>
      <c r="E562" s="651" t="s">
        <v>126</v>
      </c>
      <c r="F562" s="651" t="s">
        <v>171</v>
      </c>
      <c r="G562" s="651" t="s">
        <v>192</v>
      </c>
      <c r="H562" s="651" t="s">
        <v>232</v>
      </c>
      <c r="I562" s="651" t="s">
        <v>256</v>
      </c>
      <c r="J562" s="651" t="s">
        <v>109</v>
      </c>
      <c r="K562" s="651" t="s">
        <v>343</v>
      </c>
      <c r="L562" s="651" t="s">
        <v>364</v>
      </c>
      <c r="M562" s="651" t="s">
        <v>431</v>
      </c>
      <c r="N562" s="631"/>
      <c r="O562" s="651" t="s">
        <v>499</v>
      </c>
      <c r="P562" s="651" t="s">
        <v>532</v>
      </c>
      <c r="Q562" s="651" t="s">
        <v>548</v>
      </c>
      <c r="R562" s="651" t="s">
        <v>557</v>
      </c>
      <c r="S562" s="651" t="s">
        <v>578</v>
      </c>
      <c r="T562" s="651" t="s">
        <v>587</v>
      </c>
      <c r="U562" s="651" t="s">
        <v>668</v>
      </c>
      <c r="V562" s="651" t="s">
        <v>678</v>
      </c>
      <c r="W562" s="651" t="s">
        <v>689</v>
      </c>
      <c r="X562" s="651" t="s">
        <v>738</v>
      </c>
      <c r="Y562" s="651" t="s">
        <v>755</v>
      </c>
      <c r="Z562" s="651" t="s">
        <v>778</v>
      </c>
      <c r="AA562" s="651" t="s">
        <v>790</v>
      </c>
      <c r="AB562" s="651" t="s">
        <v>837</v>
      </c>
      <c r="AC562" s="651" t="s">
        <v>856</v>
      </c>
      <c r="AF562" s="631"/>
    </row>
    <row r="563" spans="1:32" ht="13.5" customHeight="1" thickBot="1" x14ac:dyDescent="0.25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63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41.4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315.20000000000005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753.1</v>
      </c>
      <c r="F564" s="46">
        <f>IFERROR(Y84*1,"0")+IFERROR(Y85*1,"0")+IFERROR(Y86*1,"0")+IFERROR(Y87*1,"0")+IFERROR(Y91*1,"0")+IFERROR(Y92*1,"0")+IFERROR(Y93*1,"0")+IFERROR(Y94*1,"0")</f>
        <v>2299.5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2257.8000000000002</v>
      </c>
      <c r="H564" s="46">
        <f>IFERROR(Y129*1,"0")+IFERROR(Y130*1,"0")+IFERROR(Y131*1,"0")+IFERROR(Y135*1,"0")+IFERROR(Y136*1,"0")+IFERROR(Y137*1,"0")+IFERROR(Y138*1,"0")+IFERROR(Y142*1,"0")+IFERROR(Y143*1,"0")+IFERROR(Y144*1,"0")</f>
        <v>62.320000000000007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1382.94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308.68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3385.8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166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93.6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928.19999999999993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1585.1</v>
      </c>
      <c r="U564" s="46">
        <f>IFERROR(Y412*1,"0")+IFERROR(Y413*1,"0")</f>
        <v>0</v>
      </c>
      <c r="V564" s="46">
        <f>IFERROR(Y418*1,"0")+IFERROR(Y419*1,"0")+IFERROR(Y420*1,"0")</f>
        <v>18.900000000000002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1098</v>
      </c>
      <c r="X564" s="46">
        <f>IFERROR(Y455*1,"0")+IFERROR(Y456*1,"0")+IFERROR(Y460*1,"0")+IFERROR(Y464*1,"0")+IFERROR(Y465*1,"0")+IFERROR(Y466*1,"0")</f>
        <v>1020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2048.64</v>
      </c>
      <c r="AB564" s="46">
        <f>IFERROR(Y529*1,"0")+IFERROR(Y533*1,"0")+IFERROR(Y537*1,"0")+IFERROR(Y541*1,"0")+IFERROR(Y545*1,"0")+IFERROR(Y546*1,"0")</f>
        <v>54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2026-08-14T09:45:43Z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