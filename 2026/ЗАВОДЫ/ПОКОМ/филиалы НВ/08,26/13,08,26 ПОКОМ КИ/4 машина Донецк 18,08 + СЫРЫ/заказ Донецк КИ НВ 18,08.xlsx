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A633114-CA8A-4165-9B01-07A3DF0F709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3" i="1" l="1"/>
  <c r="Z88" i="1"/>
  <c r="Z114" i="1"/>
  <c r="Z156" i="1"/>
  <c r="Z24" i="1"/>
  <c r="Y25" i="1"/>
  <c r="Y33" i="1"/>
  <c r="Y43" i="1"/>
  <c r="Y51" i="1"/>
  <c r="Y80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Z167" i="1" s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Z243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Y64" i="1"/>
  <c r="Y70" i="1"/>
  <c r="Y76" i="1"/>
  <c r="Y89" i="1"/>
  <c r="Y95" i="1"/>
  <c r="H9" i="1"/>
  <c r="B564" i="1"/>
  <c r="X555" i="1"/>
  <c r="X556" i="1"/>
  <c r="Z23" i="1"/>
  <c r="BN23" i="1"/>
  <c r="Y555" i="1" s="1"/>
  <c r="Y557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Z145" i="1" s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Z345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Z389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Z306" i="1" s="1"/>
  <c r="Y321" i="1"/>
  <c r="Z329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Z366" i="1" s="1"/>
  <c r="BP365" i="1"/>
  <c r="BN365" i="1"/>
  <c r="Z365" i="1"/>
  <c r="Y367" i="1"/>
  <c r="Y376" i="1"/>
  <c r="BP369" i="1"/>
  <c r="BN369" i="1"/>
  <c r="Z369" i="1"/>
  <c r="Z376" i="1" s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Z434" i="1" s="1"/>
  <c r="BP439" i="1"/>
  <c r="BN439" i="1"/>
  <c r="Z439" i="1"/>
  <c r="Y441" i="1"/>
  <c r="Y446" i="1"/>
  <c r="BP443" i="1"/>
  <c r="BN443" i="1"/>
  <c r="Z443" i="1"/>
  <c r="Z446" i="1" s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Z467" i="1" s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508" i="1" l="1"/>
  <c r="Z524" i="1"/>
  <c r="Z383" i="1"/>
  <c r="Z235" i="1"/>
  <c r="Z213" i="1"/>
  <c r="Y554" i="1"/>
  <c r="Z494" i="1"/>
  <c r="Z290" i="1"/>
  <c r="Z357" i="1"/>
  <c r="Z32" i="1"/>
  <c r="Z559" i="1" s="1"/>
  <c r="Y558" i="1"/>
  <c r="X557" i="1"/>
  <c r="Z402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<sst xmlns="http://schemas.openxmlformats.org/spreadsheetml/2006/main" count="2515" uniqueCount="912">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</sst>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9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572</v>
      </c>
      <c r="Y47" s="634">
        <f>IFERROR(IF(X47="",0,CEILING((X47/$H47),1)*$H47),"")</f>
        <v>572.40000000000009</v>
      </c>
      <c r="Z47" s="36">
        <f>IFERROR(IF(Y47=0,"",ROUNDUP(Y47/H47,0)*0.01898),"")</f>
        <v>1.0059400000000001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593.71481481481487</v>
      </c>
      <c r="BN47" s="64">
        <f>IFERROR(Y47*I47/H47,"0")</f>
        <v>594.13000000000011</v>
      </c>
      <c r="BO47" s="64">
        <f>IFERROR(1/J47*(X47/H47),"0")</f>
        <v>0.82754629629629628</v>
      </c>
      <c r="BP47" s="64">
        <f>IFERROR(1/J47*(Y47/H47),"0")</f>
        <v>0.82812500000000011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52.962962962962962</v>
      </c>
      <c r="Y51" s="635">
        <f>IFERROR(Y47/H47,"0")+IFERROR(Y48/H48,"0")+IFERROR(Y49/H49,"0")+IFERROR(Y50/H50,"0")</f>
        <v>53.000000000000007</v>
      </c>
      <c r="Z51" s="635">
        <f>IFERROR(IF(Z47="",0,Z47),"0")+IFERROR(IF(Z48="",0,Z48),"0")+IFERROR(IF(Z49="",0,Z49),"0")+IFERROR(IF(Z50="",0,Z50),"0")</f>
        <v>1.0059400000000001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572</v>
      </c>
      <c r="Y52" s="635">
        <f>IFERROR(SUM(Y47:Y50),"0")</f>
        <v>572.40000000000009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232</v>
      </c>
      <c r="Y57" s="634">
        <f t="shared" si="0"/>
        <v>237.60000000000002</v>
      </c>
      <c r="Z57" s="36">
        <f>IFERROR(IF(Y57=0,"",ROUNDUP(Y57/H57,0)*0.01898),"")</f>
        <v>0.41755999999999999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240.80740740740742</v>
      </c>
      <c r="BN57" s="64">
        <f t="shared" si="2"/>
        <v>246.62000000000003</v>
      </c>
      <c r="BO57" s="64">
        <f t="shared" si="3"/>
        <v>0.33564814814814814</v>
      </c>
      <c r="BP57" s="64">
        <f t="shared" si="4"/>
        <v>0.34375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56</v>
      </c>
      <c r="Y62" s="634">
        <f t="shared" si="0"/>
        <v>58.5</v>
      </c>
      <c r="Z62" s="36">
        <f>IFERROR(IF(Y62=0,"",ROUNDUP(Y62/H62,0)*0.00902),"")</f>
        <v>0.11726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58.364444444444452</v>
      </c>
      <c r="BN62" s="64">
        <f t="shared" si="2"/>
        <v>60.97</v>
      </c>
      <c r="BO62" s="64">
        <f t="shared" si="3"/>
        <v>9.4276094276094277E-2</v>
      </c>
      <c r="BP62" s="64">
        <f t="shared" si="4"/>
        <v>9.8484848484848481E-2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33.925925925925924</v>
      </c>
      <c r="Y63" s="635">
        <f>IFERROR(Y55/H55,"0")+IFERROR(Y56/H56,"0")+IFERROR(Y57/H57,"0")+IFERROR(Y58/H58,"0")+IFERROR(Y59/H59,"0")+IFERROR(Y60/H60,"0")+IFERROR(Y61/H61,"0")+IFERROR(Y62/H62,"0")</f>
        <v>35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0.53481999999999996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288</v>
      </c>
      <c r="Y64" s="635">
        <f>IFERROR(SUM(Y55:Y62),"0")</f>
        <v>296.10000000000002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62</v>
      </c>
      <c r="Y73" s="634">
        <f>IFERROR(IF(X73="",0,CEILING((X73/$H73),1)*$H73),"")</f>
        <v>63</v>
      </c>
      <c r="Z73" s="36">
        <f>IFERROR(IF(Y73=0,"",ROUNDUP(Y73/H73,0)*0.00651),"")</f>
        <v>0.22785</v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70.473333333333329</v>
      </c>
      <c r="BN73" s="64">
        <f>IFERROR(Y73*I73/H73,"0")</f>
        <v>71.61</v>
      </c>
      <c r="BO73" s="64">
        <f>IFERROR(1/J73*(X73/H73),"0")</f>
        <v>0.18925518925518925</v>
      </c>
      <c r="BP73" s="64">
        <f>IFERROR(1/J73*(Y73/H73),"0")</f>
        <v>0.19230769230769232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34.444444444444443</v>
      </c>
      <c r="Y75" s="635">
        <f>IFERROR(Y73/H73,"0")+IFERROR(Y74/H74,"0")</f>
        <v>35</v>
      </c>
      <c r="Z75" s="635">
        <f>IFERROR(IF(Z73="",0,Z73),"0")+IFERROR(IF(Z74="",0,Z74),"0")</f>
        <v>0.22785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62</v>
      </c>
      <c r="Y76" s="635">
        <f>IFERROR(SUM(Y73:Y74),"0")</f>
        <v>63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75</v>
      </c>
      <c r="Y87" s="634">
        <f>IFERROR(IF(X87="",0,CEILING((X87/$H87),1)*$H87),"")</f>
        <v>76.5</v>
      </c>
      <c r="Z87" s="36">
        <f>IFERROR(IF(Y87=0,"",ROUNDUP(Y87/H87,0)*0.00902),"")</f>
        <v>0.15334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78.166666666666686</v>
      </c>
      <c r="BN87" s="64">
        <f>IFERROR(Y87*I87/H87,"0")</f>
        <v>79.73</v>
      </c>
      <c r="BO87" s="64">
        <f>IFERROR(1/J87*(X87/H87),"0")</f>
        <v>0.12626262626262627</v>
      </c>
      <c r="BP87" s="64">
        <f>IFERROR(1/J87*(Y87/H87),"0")</f>
        <v>0.12878787878787878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16.666666666666668</v>
      </c>
      <c r="Y88" s="635">
        <f>IFERROR(Y84/H84,"0")+IFERROR(Y85/H85,"0")+IFERROR(Y86/H86,"0")+IFERROR(Y87/H87,"0")</f>
        <v>17</v>
      </c>
      <c r="Z88" s="635">
        <f>IFERROR(IF(Z84="",0,Z84),"0")+IFERROR(IF(Z85="",0,Z85),"0")+IFERROR(IF(Z86="",0,Z86),"0")+IFERROR(IF(Z87="",0,Z87),"0")</f>
        <v>0.15334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75</v>
      </c>
      <c r="Y89" s="635">
        <f>IFERROR(SUM(Y84:Y87),"0")</f>
        <v>76.5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754</v>
      </c>
      <c r="Y91" s="634">
        <f>IFERROR(IF(X91="",0,CEILING((X91/$H91),1)*$H91),"")</f>
        <v>761.4</v>
      </c>
      <c r="Z91" s="36">
        <f>IFERROR(IF(Y91=0,"",ROUNDUP(Y91/H91,0)*0.01898),"")</f>
        <v>1.7841199999999999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799.98469135802463</v>
      </c>
      <c r="BN91" s="64">
        <f>IFERROR(Y91*I91/H91,"0")</f>
        <v>807.8359999999999</v>
      </c>
      <c r="BO91" s="64">
        <f>IFERROR(1/J91*(X91/H91),"0")</f>
        <v>1.4544753086419753</v>
      </c>
      <c r="BP91" s="64">
        <f>IFERROR(1/J91*(Y91/H91),"0")</f>
        <v>1.46875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408</v>
      </c>
      <c r="Y93" s="634">
        <f>IFERROR(IF(X93="",0,CEILING((X93/$H93),1)*$H93),"")</f>
        <v>410.40000000000003</v>
      </c>
      <c r="Z93" s="36">
        <f>IFERROR(IF(Y93=0,"",ROUNDUP(Y93/H93,0)*0.00651),"")</f>
        <v>0.98952000000000007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446.07999999999993</v>
      </c>
      <c r="BN93" s="64">
        <f>IFERROR(Y93*I93/H93,"0")</f>
        <v>448.70400000000001</v>
      </c>
      <c r="BO93" s="64">
        <f>IFERROR(1/J93*(X93/H93),"0")</f>
        <v>0.83028083028083033</v>
      </c>
      <c r="BP93" s="64">
        <f>IFERROR(1/J93*(Y93/H93),"0")</f>
        <v>0.8351648351648352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244.19753086419752</v>
      </c>
      <c r="Y95" s="635">
        <f>IFERROR(Y91/H91,"0")+IFERROR(Y92/H92,"0")+IFERROR(Y93/H93,"0")+IFERROR(Y94/H94,"0")</f>
        <v>246</v>
      </c>
      <c r="Z95" s="635">
        <f>IFERROR(IF(Z91="",0,Z91),"0")+IFERROR(IF(Z92="",0,Z92),"0")+IFERROR(IF(Z93="",0,Z93),"0")+IFERROR(IF(Z94="",0,Z94),"0")</f>
        <v>2.7736399999999999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1162</v>
      </c>
      <c r="Y96" s="635">
        <f>IFERROR(SUM(Y91:Y94),"0")</f>
        <v>1171.8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977</v>
      </c>
      <c r="Y117" s="634">
        <f>IFERROR(IF(X117="",0,CEILING((X117/$H117),1)*$H117),"")</f>
        <v>980.09999999999991</v>
      </c>
      <c r="Z117" s="36">
        <f>IFERROR(IF(Y117=0,"",ROUNDUP(Y117/H117,0)*0.01898),"")</f>
        <v>2.2965800000000001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1035.8612345679012</v>
      </c>
      <c r="BN117" s="64">
        <f>IFERROR(Y117*I117/H117,"0")</f>
        <v>1039.1479999999997</v>
      </c>
      <c r="BO117" s="64">
        <f>IFERROR(1/J117*(X117/H117),"0")</f>
        <v>1.8846450617283952</v>
      </c>
      <c r="BP117" s="64">
        <f>IFERROR(1/J117*(Y117/H117),"0")</f>
        <v>1.890625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117</v>
      </c>
      <c r="Y119" s="634">
        <f>IFERROR(IF(X119="",0,CEILING((X119/$H119),1)*$H119),"")</f>
        <v>118.80000000000001</v>
      </c>
      <c r="Z119" s="36">
        <f>IFERROR(IF(Y119=0,"",ROUNDUP(Y119/H119,0)*0.00651),"")</f>
        <v>0.28644000000000003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127.92</v>
      </c>
      <c r="BN119" s="64">
        <f>IFERROR(Y119*I119/H119,"0")</f>
        <v>129.88800000000001</v>
      </c>
      <c r="BO119" s="64">
        <f>IFERROR(1/J119*(X119/H119),"0")</f>
        <v>0.23809523809523808</v>
      </c>
      <c r="BP119" s="64">
        <f>IFERROR(1/J119*(Y119/H119),"0")</f>
        <v>0.24175824175824179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163.95061728395063</v>
      </c>
      <c r="Y121" s="635">
        <f>IFERROR(Y117/H117,"0")+IFERROR(Y118/H118,"0")+IFERROR(Y119/H119,"0")+IFERROR(Y120/H120,"0")</f>
        <v>165</v>
      </c>
      <c r="Z121" s="635">
        <f>IFERROR(IF(Z117="",0,Z117),"0")+IFERROR(IF(Z118="",0,Z118),"0")+IFERROR(IF(Z119="",0,Z119),"0")+IFERROR(IF(Z120="",0,Z120),"0")</f>
        <v>2.5830200000000003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1094</v>
      </c>
      <c r="Y122" s="635">
        <f>IFERROR(SUM(Y117:Y120),"0")</f>
        <v>1098.8999999999999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48</v>
      </c>
      <c r="Y124" s="634">
        <f>IFERROR(IF(X124="",0,CEILING((X124/$H124),1)*$H124),"")</f>
        <v>49.5</v>
      </c>
      <c r="Z124" s="36">
        <f>IFERROR(IF(Y124=0,"",ROUNDUP(Y124/H124,0)*0.00651),"")</f>
        <v>0.16275000000000001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54.254545454545458</v>
      </c>
      <c r="BN124" s="64">
        <f>IFERROR(Y124*I124/H124,"0")</f>
        <v>55.95</v>
      </c>
      <c r="BO124" s="64">
        <f>IFERROR(1/J124*(X124/H124),"0")</f>
        <v>0.13320013320013321</v>
      </c>
      <c r="BP124" s="64">
        <f>IFERROR(1/J124*(Y124/H124),"0")</f>
        <v>0.13736263736263737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24.242424242424242</v>
      </c>
      <c r="Y125" s="635">
        <f>IFERROR(Y124/H124,"0")</f>
        <v>25</v>
      </c>
      <c r="Z125" s="635">
        <f>IFERROR(IF(Z124="",0,Z124),"0")</f>
        <v>0.16275000000000001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48</v>
      </c>
      <c r="Y126" s="635">
        <f>IFERROR(SUM(Y124:Y124),"0")</f>
        <v>49.5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114</v>
      </c>
      <c r="Y175" s="634">
        <f t="shared" ref="Y175:Y185" si="16">IFERROR(IF(X175="",0,CEILING((X175/$H175),1)*$H175),"")</f>
        <v>115.5</v>
      </c>
      <c r="Z175" s="36">
        <f>IFERROR(IF(Y175=0,"",ROUNDUP(Y175/H175,0)*0.00902),"")</f>
        <v>0.29766000000000004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120.18857142857142</v>
      </c>
      <c r="BN175" s="64">
        <f t="shared" ref="BN175:BN185" si="18">IFERROR(Y175*I175/H175,"0")</f>
        <v>121.77</v>
      </c>
      <c r="BO175" s="64">
        <f t="shared" ref="BO175:BO185" si="19">IFERROR(1/J175*(X175/H175),"0")</f>
        <v>0.24675324675324675</v>
      </c>
      <c r="BP175" s="64">
        <f t="shared" ref="BP175:BP185" si="20">IFERROR(1/J175*(Y175/H175),"0")</f>
        <v>0.25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110</v>
      </c>
      <c r="Y178" s="634">
        <f t="shared" si="16"/>
        <v>112</v>
      </c>
      <c r="Z178" s="36">
        <f>IFERROR(IF(Y178=0,"",ROUNDUP(Y178/H178,0)*0.00902),"")</f>
        <v>0.28864000000000001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115.97142857142856</v>
      </c>
      <c r="BN178" s="64">
        <f t="shared" si="18"/>
        <v>118.08</v>
      </c>
      <c r="BO178" s="64">
        <f t="shared" si="19"/>
        <v>0.23809523809523808</v>
      </c>
      <c r="BP178" s="64">
        <f t="shared" si="20"/>
        <v>0.24242424242424243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52</v>
      </c>
      <c r="Y183" s="634">
        <f t="shared" si="16"/>
        <v>52.08</v>
      </c>
      <c r="Z183" s="36">
        <f>IFERROR(IF(Y183=0,"",ROUNDUP(Y183/H183,0)*0.00502),"")</f>
        <v>0.15562000000000001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55.095238095238102</v>
      </c>
      <c r="BN183" s="64">
        <f t="shared" si="18"/>
        <v>55.18</v>
      </c>
      <c r="BO183" s="64">
        <f t="shared" si="19"/>
        <v>0.1322751322751323</v>
      </c>
      <c r="BP183" s="64">
        <f t="shared" si="20"/>
        <v>0.13247863247863248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36</v>
      </c>
      <c r="Y185" s="634">
        <f t="shared" si="16"/>
        <v>36.96</v>
      </c>
      <c r="Z185" s="36">
        <f>IFERROR(IF(Y185=0,"",ROUNDUP(Y185/H185,0)*0.00502),"")</f>
        <v>0.11044000000000001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38.142857142857146</v>
      </c>
      <c r="BN185" s="64">
        <f t="shared" si="18"/>
        <v>39.160000000000004</v>
      </c>
      <c r="BO185" s="64">
        <f t="shared" si="19"/>
        <v>9.1575091575091597E-2</v>
      </c>
      <c r="BP185" s="64">
        <f t="shared" si="20"/>
        <v>9.401709401709403E-2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116.38095238095238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0.85236000000000001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312</v>
      </c>
      <c r="Y187" s="635">
        <f>IFERROR(SUM(Y175:Y185),"0")</f>
        <v>316.53999999999996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56</v>
      </c>
      <c r="Y232" s="634">
        <f t="shared" si="27"/>
        <v>56.7</v>
      </c>
      <c r="Z232" s="36">
        <f>IFERROR(IF(Y232=0,"",ROUNDUP(Y232/H232,0)*0.00502),"")</f>
        <v>0.13553999999999999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58.666666666666671</v>
      </c>
      <c r="BN232" s="64">
        <f t="shared" si="29"/>
        <v>59.400000000000006</v>
      </c>
      <c r="BO232" s="64">
        <f t="shared" si="30"/>
        <v>0.11396011396011396</v>
      </c>
      <c r="BP232" s="64">
        <f t="shared" si="31"/>
        <v>0.11538461538461539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35.238095238095234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0.18071999999999999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74</v>
      </c>
      <c r="Y236" s="635">
        <f>IFERROR(SUM(Y221:Y234),"0")</f>
        <v>75.600000000000009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312</v>
      </c>
      <c r="Y284" s="634">
        <f t="shared" si="38"/>
        <v>312</v>
      </c>
      <c r="Z284" s="36">
        <f>IFERROR(IF(Y284=0,"",ROUNDUP(Y284/H284,0)*0.00651),"")</f>
        <v>0.84630000000000005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344.76000000000005</v>
      </c>
      <c r="BN284" s="64">
        <f t="shared" si="40"/>
        <v>344.76000000000005</v>
      </c>
      <c r="BO284" s="64">
        <f t="shared" si="41"/>
        <v>0.7142857142857143</v>
      </c>
      <c r="BP284" s="64">
        <f t="shared" si="42"/>
        <v>0.7142857142857143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83</v>
      </c>
      <c r="Y286" s="634">
        <f t="shared" si="38"/>
        <v>84</v>
      </c>
      <c r="Z286" s="36">
        <f>IFERROR(IF(Y286=0,"",ROUNDUP(Y286/H286,0)*0.00651),"")</f>
        <v>0.22785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91.715000000000003</v>
      </c>
      <c r="BN286" s="64">
        <f t="shared" si="40"/>
        <v>92.820000000000007</v>
      </c>
      <c r="BO286" s="64">
        <f t="shared" si="41"/>
        <v>0.19001831501831504</v>
      </c>
      <c r="BP286" s="64">
        <f t="shared" si="42"/>
        <v>0.19230769230769232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40</v>
      </c>
      <c r="Y287" s="634">
        <f t="shared" si="38"/>
        <v>40.799999999999997</v>
      </c>
      <c r="Z287" s="36">
        <f>IFERROR(IF(Y287=0,"",ROUNDUP(Y287/H287,0)*0.00651),"")</f>
        <v>0.11067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44.20000000000001</v>
      </c>
      <c r="BN287" s="64">
        <f t="shared" si="40"/>
        <v>45.084000000000003</v>
      </c>
      <c r="BO287" s="64">
        <f t="shared" si="41"/>
        <v>9.1575091575091583E-2</v>
      </c>
      <c r="BP287" s="64">
        <f t="shared" si="42"/>
        <v>9.3406593406593408E-2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20</v>
      </c>
      <c r="Y288" s="634">
        <f t="shared" si="38"/>
        <v>21.599999999999998</v>
      </c>
      <c r="Z288" s="36">
        <f>IFERROR(IF(Y288=0,"",ROUNDUP(Y288/H288,0)*0.00651),"")</f>
        <v>5.8590000000000003E-2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22.15</v>
      </c>
      <c r="BN288" s="64">
        <f t="shared" si="40"/>
        <v>23.921999999999997</v>
      </c>
      <c r="BO288" s="64">
        <f t="shared" si="41"/>
        <v>4.5787545787545791E-2</v>
      </c>
      <c r="BP288" s="64">
        <f t="shared" si="42"/>
        <v>4.9450549450549455E-2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191.88218390804599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194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1.3003499999999999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475</v>
      </c>
      <c r="Y291" s="635">
        <f>IFERROR(SUM(Y278:Y289),"0")</f>
        <v>484.50000000000006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20</v>
      </c>
      <c r="Y335" s="634">
        <f>IFERROR(IF(X335="",0,CEILING((X335/$H335),1)*$H335),"")</f>
        <v>21.599999999999998</v>
      </c>
      <c r="Z335" s="36">
        <f>IFERROR(IF(Y335=0,"",ROUNDUP(Y335/H335,0)*0.00651),"")</f>
        <v>5.8590000000000003E-2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21.5</v>
      </c>
      <c r="BN335" s="64">
        <f>IFERROR(Y335*I335/H335,"0")</f>
        <v>23.22</v>
      </c>
      <c r="BO335" s="64">
        <f>IFERROR(1/J335*(X335/H335),"0")</f>
        <v>4.5787545787545791E-2</v>
      </c>
      <c r="BP335" s="64">
        <f>IFERROR(1/J335*(Y335/H335),"0")</f>
        <v>4.9450549450549455E-2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8.3333333333333339</v>
      </c>
      <c r="Y336" s="635">
        <f>IFERROR(Y333/H333,"0")+IFERROR(Y334/H334,"0")+IFERROR(Y335/H335,"0")</f>
        <v>9</v>
      </c>
      <c r="Z336" s="635">
        <f>IFERROR(IF(Z333="",0,Z333),"0")+IFERROR(IF(Z334="",0,Z334),"0")+IFERROR(IF(Z335="",0,Z335),"0")</f>
        <v>5.8590000000000003E-2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20</v>
      </c>
      <c r="Y337" s="635">
        <f>IFERROR(SUM(Y333:Y335),"0")</f>
        <v>21.599999999999998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359</v>
      </c>
      <c r="Y355" s="634">
        <f>IFERROR(IF(X355="",0,CEILING((X355/$H355),1)*$H355),"")</f>
        <v>366.59999999999997</v>
      </c>
      <c r="Z355" s="36">
        <f>IFERROR(IF(Y355=0,"",ROUNDUP(Y355/H355,0)*0.01898),"")</f>
        <v>0.89205999999999996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377.87051282051289</v>
      </c>
      <c r="BN355" s="64">
        <f>IFERROR(Y355*I355/H355,"0")</f>
        <v>385.87</v>
      </c>
      <c r="BO355" s="64">
        <f>IFERROR(1/J355*(X355/H355),"0")</f>
        <v>0.71915064102564108</v>
      </c>
      <c r="BP355" s="64">
        <f>IFERROR(1/J355*(Y355/H355),"0")</f>
        <v>0.734375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46.025641025641029</v>
      </c>
      <c r="Y357" s="635">
        <f>IFERROR(Y354/H354,"0")+IFERROR(Y355/H355,"0")+IFERROR(Y356/H356,"0")</f>
        <v>47</v>
      </c>
      <c r="Z357" s="635">
        <f>IFERROR(IF(Z354="",0,Z354),"0")+IFERROR(IF(Z355="",0,Z355),"0")+IFERROR(IF(Z356="",0,Z356),"0")</f>
        <v>0.89205999999999996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359</v>
      </c>
      <c r="Y358" s="635">
        <f>IFERROR(SUM(Y354:Y356),"0")</f>
        <v>366.59999999999997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416</v>
      </c>
      <c r="Y387" s="634">
        <f>IFERROR(IF(X387="",0,CEILING((X387/$H387),1)*$H387),"")</f>
        <v>421.2</v>
      </c>
      <c r="Z387" s="36">
        <f>IFERROR(IF(Y387=0,"",ROUNDUP(Y387/H387,0)*0.01898),"")</f>
        <v>1.0249200000000001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442.34666666666669</v>
      </c>
      <c r="BN387" s="64">
        <f>IFERROR(Y387*I387/H387,"0")</f>
        <v>447.87600000000003</v>
      </c>
      <c r="BO387" s="64">
        <f>IFERROR(1/J387*(X387/H387),"0")</f>
        <v>0.83333333333333337</v>
      </c>
      <c r="BP387" s="64">
        <f>IFERROR(1/J387*(Y387/H387),"0")</f>
        <v>0.84375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53.333333333333336</v>
      </c>
      <c r="Y389" s="635">
        <f>IFERROR(Y386/H386,"0")+IFERROR(Y387/H387,"0")+IFERROR(Y388/H388,"0")</f>
        <v>54</v>
      </c>
      <c r="Z389" s="635">
        <f>IFERROR(IF(Z386="",0,Z386),"0")+IFERROR(IF(Z387="",0,Z387),"0")+IFERROR(IF(Z388="",0,Z388),"0")</f>
        <v>1.0249200000000001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416</v>
      </c>
      <c r="Y390" s="635">
        <f>IFERROR(SUM(Y386:Y388),"0")</f>
        <v>421.2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18</v>
      </c>
      <c r="Y419" s="634">
        <f>IFERROR(IF(X419="",0,CEILING((X419/$H419),1)*$H419),"")</f>
        <v>18.900000000000002</v>
      </c>
      <c r="Z419" s="36">
        <f>IFERROR(IF(Y419=0,"",ROUNDUP(Y419/H419,0)*0.00651),"")</f>
        <v>5.8590000000000003E-2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20.16</v>
      </c>
      <c r="BN419" s="64">
        <f>IFERROR(Y419*I419/H419,"0")</f>
        <v>21.167999999999999</v>
      </c>
      <c r="BO419" s="64">
        <f>IFERROR(1/J419*(X419/H419),"0")</f>
        <v>4.709576138147567E-2</v>
      </c>
      <c r="BP419" s="64">
        <f>IFERROR(1/J419*(Y419/H419),"0")</f>
        <v>4.9450549450549455E-2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18</v>
      </c>
      <c r="Y420" s="634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17.142857142857142</v>
      </c>
      <c r="Y421" s="635">
        <f>IFERROR(Y418/H418,"0")+IFERROR(Y419/H419,"0")+IFERROR(Y420/H420,"0")</f>
        <v>18</v>
      </c>
      <c r="Z421" s="635">
        <f>IFERROR(IF(Z418="",0,Z418),"0")+IFERROR(IF(Z419="",0,Z419),"0")+IFERROR(IF(Z420="",0,Z420),"0")</f>
        <v>0.11718000000000001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36</v>
      </c>
      <c r="Y422" s="635">
        <f>IFERROR(SUM(Y418:Y420),"0")</f>
        <v>37.800000000000004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1318</v>
      </c>
      <c r="Y427" s="634">
        <f t="shared" si="53"/>
        <v>1320</v>
      </c>
      <c r="Z427" s="36">
        <f>IFERROR(IF(Y427=0,"",ROUNDUP(Y427/H427,0)*0.02175),"")</f>
        <v>1.9139999999999999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1359.2973333333332</v>
      </c>
      <c r="BN427" s="64">
        <f t="shared" si="55"/>
        <v>1361.3600000000001</v>
      </c>
      <c r="BO427" s="64">
        <f t="shared" si="56"/>
        <v>1.8305555555555553</v>
      </c>
      <c r="BP427" s="64">
        <f t="shared" si="57"/>
        <v>1.8333333333333333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794</v>
      </c>
      <c r="Y428" s="634">
        <f t="shared" si="53"/>
        <v>795</v>
      </c>
      <c r="Z428" s="36">
        <f>IFERROR(IF(Y428=0,"",ROUNDUP(Y428/H428,0)*0.02175),"")</f>
        <v>1.1527499999999999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818.87866666666673</v>
      </c>
      <c r="BN428" s="64">
        <f t="shared" si="55"/>
        <v>819.91</v>
      </c>
      <c r="BO428" s="64">
        <f t="shared" si="56"/>
        <v>1.1027777777777776</v>
      </c>
      <c r="BP428" s="64">
        <f t="shared" si="57"/>
        <v>1.1041666666666665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1039</v>
      </c>
      <c r="Y429" s="634">
        <f t="shared" si="53"/>
        <v>1050</v>
      </c>
      <c r="Z429" s="36">
        <f>IFERROR(IF(Y429=0,"",ROUNDUP(Y429/H429,0)*0.02175),"")</f>
        <v>1.5225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1071.5553333333332</v>
      </c>
      <c r="BN429" s="64">
        <f t="shared" si="55"/>
        <v>1082.9000000000001</v>
      </c>
      <c r="BO429" s="64">
        <f t="shared" si="56"/>
        <v>1.4430555555555555</v>
      </c>
      <c r="BP429" s="64">
        <f t="shared" si="57"/>
        <v>1.4583333333333333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698</v>
      </c>
      <c r="Y430" s="634">
        <f t="shared" si="53"/>
        <v>705</v>
      </c>
      <c r="Z430" s="36">
        <f>IFERROR(IF(Y430=0,"",ROUNDUP(Y430/H430,0)*0.02175),"")</f>
        <v>1.0222499999999999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719.87066666666681</v>
      </c>
      <c r="BN430" s="64">
        <f t="shared" si="55"/>
        <v>727.09</v>
      </c>
      <c r="BO430" s="64">
        <f t="shared" si="56"/>
        <v>0.96944444444444433</v>
      </c>
      <c r="BP430" s="64">
        <f t="shared" si="57"/>
        <v>0.97916666666666663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256.60000000000002</v>
      </c>
      <c r="Y434" s="635">
        <f>IFERROR(Y426/H426,"0")+IFERROR(Y427/H427,"0")+IFERROR(Y428/H428,"0")+IFERROR(Y429/H429,"0")+IFERROR(Y430/H430,"0")+IFERROR(Y431/H431,"0")+IFERROR(Y432/H432,"0")+IFERROR(Y433/H433,"0")</f>
        <v>258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5.6114999999999995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3849</v>
      </c>
      <c r="Y435" s="635">
        <f>IFERROR(SUM(Y426:Y433),"0")</f>
        <v>3870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270</v>
      </c>
      <c r="Y437" s="634">
        <f>IFERROR(IF(X437="",0,CEILING((X437/$H437),1)*$H437),"")</f>
        <v>270</v>
      </c>
      <c r="Z437" s="36">
        <f>IFERROR(IF(Y437=0,"",ROUNDUP(Y437/H437,0)*0.02175),"")</f>
        <v>0.39149999999999996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278.46000000000004</v>
      </c>
      <c r="BN437" s="64">
        <f>IFERROR(Y437*I437/H437,"0")</f>
        <v>278.46000000000004</v>
      </c>
      <c r="BO437" s="64">
        <f>IFERROR(1/J437*(X437/H437),"0")</f>
        <v>0.375</v>
      </c>
      <c r="BP437" s="64">
        <f>IFERROR(1/J437*(Y437/H437),"0")</f>
        <v>0.375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18</v>
      </c>
      <c r="Y440" s="635">
        <f>IFERROR(Y437/H437,"0")+IFERROR(Y438/H438,"0")+IFERROR(Y439/H439,"0")</f>
        <v>18</v>
      </c>
      <c r="Z440" s="635">
        <f>IFERROR(IF(Z437="",0,Z437),"0")+IFERROR(IF(Z438="",0,Z438),"0")+IFERROR(IF(Z439="",0,Z439),"0")</f>
        <v>0.39149999999999996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270</v>
      </c>
      <c r="Y441" s="635">
        <f>IFERROR(SUM(Y437:Y439),"0")</f>
        <v>270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520</v>
      </c>
      <c r="Y464" s="634">
        <f>IFERROR(IF(X464="",0,CEILING((X464/$H464),1)*$H464),"")</f>
        <v>522</v>
      </c>
      <c r="Z464" s="36">
        <f>IFERROR(IF(Y464=0,"",ROUNDUP(Y464/H464,0)*0.01898),"")</f>
        <v>1.10084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548.54222222222222</v>
      </c>
      <c r="BN464" s="64">
        <f>IFERROR(Y464*I464/H464,"0")</f>
        <v>550.65199999999993</v>
      </c>
      <c r="BO464" s="64">
        <f>IFERROR(1/J464*(X464/H464),"0")</f>
        <v>0.90277777777777779</v>
      </c>
      <c r="BP464" s="64">
        <f>IFERROR(1/J464*(Y464/H464),"0")</f>
        <v>0.90625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40</v>
      </c>
      <c r="Y465" s="634">
        <f>IFERROR(IF(X465="",0,CEILING((X465/$H465),1)*$H465),"")</f>
        <v>40.799999999999997</v>
      </c>
      <c r="Z465" s="36">
        <f>IFERROR(IF(Y465=0,"",ROUNDUP(Y465/H465,0)*0.00651),"")</f>
        <v>0.11067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44.400000000000006</v>
      </c>
      <c r="BN465" s="64">
        <f>IFERROR(Y465*I465/H465,"0")</f>
        <v>45.287999999999997</v>
      </c>
      <c r="BO465" s="64">
        <f>IFERROR(1/J465*(X465/H465),"0")</f>
        <v>9.1575091575091583E-2</v>
      </c>
      <c r="BP465" s="64">
        <f>IFERROR(1/J465*(Y465/H465),"0")</f>
        <v>9.3406593406593408E-2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74.444444444444443</v>
      </c>
      <c r="Y467" s="635">
        <f>IFERROR(Y464/H464,"0")+IFERROR(Y465/H465,"0")+IFERROR(Y466/H466,"0")</f>
        <v>75</v>
      </c>
      <c r="Z467" s="635">
        <f>IFERROR(IF(Z464="",0,Z464),"0")+IFERROR(IF(Z465="",0,Z465),"0")+IFERROR(IF(Z466="",0,Z466),"0")</f>
        <v>1.2115100000000001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560</v>
      </c>
      <c r="Y468" s="635">
        <f>IFERROR(SUM(Y464:Y466),"0")</f>
        <v>562.79999999999995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1377</v>
      </c>
      <c r="Y502" s="634">
        <f t="shared" si="63"/>
        <v>1378.0800000000002</v>
      </c>
      <c r="Z502" s="36">
        <f t="shared" si="64"/>
        <v>3.1215600000000001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1468.278409090909</v>
      </c>
      <c r="BN502" s="64">
        <f t="shared" si="66"/>
        <v>1469.43</v>
      </c>
      <c r="BO502" s="64">
        <f t="shared" si="67"/>
        <v>2.5076486013986017</v>
      </c>
      <c r="BP502" s="64">
        <f t="shared" si="68"/>
        <v>2.5096153846153846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3489</v>
      </c>
      <c r="Y504" s="634">
        <f t="shared" si="63"/>
        <v>3490.0800000000004</v>
      </c>
      <c r="Z504" s="36">
        <f t="shared" si="64"/>
        <v>7.9055600000000004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3720.278409090909</v>
      </c>
      <c r="BN504" s="64">
        <f t="shared" si="66"/>
        <v>3721.4300000000003</v>
      </c>
      <c r="BO504" s="64">
        <f t="shared" si="67"/>
        <v>6.3538024475524475</v>
      </c>
      <c r="BP504" s="64">
        <f t="shared" si="68"/>
        <v>6.3557692307692308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209</v>
      </c>
      <c r="Y507" s="634">
        <f t="shared" si="63"/>
        <v>211.2</v>
      </c>
      <c r="Z507" s="36">
        <f>IFERROR(IF(Y507=0,"",ROUNDUP(Y507/H507,0)*0.00902),"")</f>
        <v>0.39688000000000001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300.8729166666667</v>
      </c>
      <c r="BN507" s="64">
        <f t="shared" si="66"/>
        <v>304.04000000000002</v>
      </c>
      <c r="BO507" s="64">
        <f t="shared" si="67"/>
        <v>0.32986111111111116</v>
      </c>
      <c r="BP507" s="64">
        <f t="shared" si="68"/>
        <v>0.33333333333333337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965.13257575757564</v>
      </c>
      <c r="Y508" s="635">
        <f>IFERROR(Y499/H499,"0")+IFERROR(Y500/H500,"0")+IFERROR(Y501/H501,"0")+IFERROR(Y502/H502,"0")+IFERROR(Y503/H503,"0")+IFERROR(Y504/H504,"0")+IFERROR(Y505/H505,"0")+IFERROR(Y506/H506,"0")+IFERROR(Y507/H507,"0")</f>
        <v>966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11.423999999999999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5075</v>
      </c>
      <c r="Y509" s="635">
        <f>IFERROR(SUM(Y499:Y507),"0")</f>
        <v>5079.3600000000006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1599</v>
      </c>
      <c r="Y511" s="634">
        <f>IFERROR(IF(X511="",0,CEILING((X511/$H511),1)*$H511),"")</f>
        <v>1599.8400000000001</v>
      </c>
      <c r="Z511" s="36">
        <f>IFERROR(IF(Y511=0,"",ROUNDUP(Y511/H511,0)*0.01196),"")</f>
        <v>3.6238800000000002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1704.994318181818</v>
      </c>
      <c r="BN511" s="64">
        <f>IFERROR(Y511*I511/H511,"0")</f>
        <v>1705.89</v>
      </c>
      <c r="BO511" s="64">
        <f>IFERROR(1/J511*(X511/H511),"0")</f>
        <v>2.9119318181818179</v>
      </c>
      <c r="BP511" s="64">
        <f>IFERROR(1/J511*(Y511/H511),"0")</f>
        <v>2.9134615384615388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302.84090909090907</v>
      </c>
      <c r="Y514" s="635">
        <f>IFERROR(Y511/H511,"0")+IFERROR(Y512/H512,"0")+IFERROR(Y513/H513,"0")</f>
        <v>303</v>
      </c>
      <c r="Z514" s="635">
        <f>IFERROR(IF(Z511="",0,Z511),"0")+IFERROR(IF(Z512="",0,Z512),"0")+IFERROR(IF(Z513="",0,Z513),"0")</f>
        <v>3.6238800000000002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1599</v>
      </c>
      <c r="Y515" s="635">
        <f>IFERROR(SUM(Y511:Y513),"0")</f>
        <v>1599.8400000000001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457</v>
      </c>
      <c r="Y518" s="634">
        <f t="shared" si="69"/>
        <v>459.36</v>
      </c>
      <c r="Z518" s="36">
        <f>IFERROR(IF(Y518=0,"",ROUNDUP(Y518/H518,0)*0.01196),"")</f>
        <v>1.0405200000000001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487.29356060606057</v>
      </c>
      <c r="BN518" s="64">
        <f t="shared" si="71"/>
        <v>489.81</v>
      </c>
      <c r="BO518" s="64">
        <f t="shared" si="72"/>
        <v>0.83224067599067597</v>
      </c>
      <c r="BP518" s="64">
        <f t="shared" si="73"/>
        <v>0.83653846153846156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416</v>
      </c>
      <c r="Y519" s="634">
        <f t="shared" si="69"/>
        <v>417.12</v>
      </c>
      <c r="Z519" s="36">
        <f>IFERROR(IF(Y519=0,"",ROUNDUP(Y519/H519,0)*0.01196),"")</f>
        <v>0.94484000000000001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443.57575757575756</v>
      </c>
      <c r="BN519" s="64">
        <f t="shared" si="71"/>
        <v>444.77</v>
      </c>
      <c r="BO519" s="64">
        <f t="shared" si="72"/>
        <v>0.75757575757575757</v>
      </c>
      <c r="BP519" s="64">
        <f t="shared" si="73"/>
        <v>0.75961538461538469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165.34090909090907</v>
      </c>
      <c r="Y524" s="635">
        <f>IFERROR(Y517/H517,"0")+IFERROR(Y518/H518,"0")+IFERROR(Y519/H519,"0")+IFERROR(Y520/H520,"0")+IFERROR(Y521/H521,"0")+IFERROR(Y522/H522,"0")+IFERROR(Y523/H523,"0")</f>
        <v>166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1.98536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873</v>
      </c>
      <c r="Y525" s="635">
        <f>IFERROR(SUM(Y517:Y523),"0")</f>
        <v>876.48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17219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17310.52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18284.99873362876</v>
      </c>
      <c r="Y555" s="635">
        <f>IFERROR(SUM(BN22:BN551),"0")</f>
        <v>18382.638000000003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31</v>
      </c>
      <c r="Y556" s="38">
        <f>ROUNDUP(SUM(BP22:BP551),0)</f>
        <v>31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19059.99873362876</v>
      </c>
      <c r="Y557" s="635">
        <f>GrossWeightTotalR+PalletQtyTotalR*25</f>
        <v>19157.638000000003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2821.0858071366688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2838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36.115290000000002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572.40000000000009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359.1</v>
      </c>
      <c r="F564" s="46">
        <f>IFERROR(Y84*1,"0")+IFERROR(Y85*1,"0")+IFERROR(Y86*1,"0")+IFERROR(Y87*1,"0")+IFERROR(Y91*1,"0")+IFERROR(Y92*1,"0")+IFERROR(Y93*1,"0")+IFERROR(Y94*1,"0")</f>
        <v>1248.3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1148.3999999999999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316.53999999999996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75.600000000000009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484.50000000000006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21.599999999999998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366.59999999999997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421.2</v>
      </c>
      <c r="U564" s="46">
        <f>IFERROR(Y412*1,"0")+IFERROR(Y413*1,"0")</f>
        <v>0</v>
      </c>
      <c r="V564" s="46">
        <f>IFERROR(Y418*1,"0")+IFERROR(Y419*1,"0")+IFERROR(Y420*1,"0")</f>
        <v>37.800000000000004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4140</v>
      </c>
      <c r="X564" s="46">
        <f>IFERROR(Y455*1,"0")+IFERROR(Y456*1,"0")+IFERROR(Y460*1,"0")+IFERROR(Y464*1,"0")+IFERROR(Y465*1,"0")+IFERROR(Y466*1,"0")</f>
        <v>562.79999999999995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7555.68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