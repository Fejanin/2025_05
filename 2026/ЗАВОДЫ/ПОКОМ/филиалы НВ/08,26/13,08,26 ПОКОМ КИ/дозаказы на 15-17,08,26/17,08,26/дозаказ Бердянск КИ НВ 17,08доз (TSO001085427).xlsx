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ADAECD5B-51B5-4E7D-A6F3-86A3CB788F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Y483" i="1"/>
  <c r="X483" i="1"/>
  <c r="BP482" i="1"/>
  <c r="BO482" i="1"/>
  <c r="BN482" i="1"/>
  <c r="BM482" i="1"/>
  <c r="Z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Y451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Y440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Y403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Y383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Y357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1" i="1"/>
  <c r="Y320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Y321" i="1" s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6" i="1"/>
  <c r="Y295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BO267" i="1"/>
  <c r="BM267" i="1"/>
  <c r="Y267" i="1"/>
  <c r="Y276" i="1" s="1"/>
  <c r="P267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Y264" i="1" s="1"/>
  <c r="P262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M564" i="1" s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49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3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Y235" i="1" s="1"/>
  <c r="P221" i="1"/>
  <c r="X219" i="1"/>
  <c r="Y218" i="1"/>
  <c r="X218" i="1"/>
  <c r="BP217" i="1"/>
  <c r="BO217" i="1"/>
  <c r="BN217" i="1"/>
  <c r="BM217" i="1"/>
  <c r="Z217" i="1"/>
  <c r="Z218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P190" i="1"/>
  <c r="BO189" i="1"/>
  <c r="BM189" i="1"/>
  <c r="Y189" i="1"/>
  <c r="Y192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86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Y17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I564" i="1" s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P142" i="1"/>
  <c r="BO142" i="1"/>
  <c r="BN142" i="1"/>
  <c r="BM142" i="1"/>
  <c r="Z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H564" i="1" s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Y121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4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8" i="1" s="1"/>
  <c r="BO23" i="1"/>
  <c r="BM23" i="1"/>
  <c r="Y23" i="1"/>
  <c r="BP23" i="1" s="1"/>
  <c r="P23" i="1"/>
  <c r="BP22" i="1"/>
  <c r="BO22" i="1"/>
  <c r="BN22" i="1"/>
  <c r="BM22" i="1"/>
  <c r="X555" i="1" s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BP283" i="1"/>
  <c r="BN283" i="1"/>
  <c r="Z283" i="1"/>
  <c r="BP287" i="1"/>
  <c r="BN287" i="1"/>
  <c r="Z287" i="1"/>
  <c r="BP300" i="1"/>
  <c r="BN300" i="1"/>
  <c r="Z300" i="1"/>
  <c r="Z306" i="1" s="1"/>
  <c r="BP304" i="1"/>
  <c r="BN304" i="1"/>
  <c r="Z304" i="1"/>
  <c r="BP325" i="1"/>
  <c r="BN325" i="1"/>
  <c r="Z325" i="1"/>
  <c r="BP335" i="1"/>
  <c r="BN335" i="1"/>
  <c r="Z335" i="1"/>
  <c r="Y337" i="1"/>
  <c r="Y345" i="1"/>
  <c r="BP340" i="1"/>
  <c r="BN340" i="1"/>
  <c r="Z340" i="1"/>
  <c r="BP344" i="1"/>
  <c r="BN344" i="1"/>
  <c r="Z344" i="1"/>
  <c r="Y346" i="1"/>
  <c r="Y351" i="1"/>
  <c r="BP348" i="1"/>
  <c r="BN348" i="1"/>
  <c r="Z348" i="1"/>
  <c r="Z350" i="1" s="1"/>
  <c r="Y350" i="1"/>
  <c r="BP382" i="1"/>
  <c r="BN382" i="1"/>
  <c r="Z382" i="1"/>
  <c r="Y384" i="1"/>
  <c r="Y389" i="1"/>
  <c r="BP386" i="1"/>
  <c r="BN386" i="1"/>
  <c r="Z386" i="1"/>
  <c r="Y390" i="1"/>
  <c r="BP394" i="1"/>
  <c r="BN394" i="1"/>
  <c r="Z394" i="1"/>
  <c r="BP413" i="1"/>
  <c r="BN413" i="1"/>
  <c r="Z413" i="1"/>
  <c r="Y415" i="1"/>
  <c r="Y421" i="1"/>
  <c r="BP418" i="1"/>
  <c r="BN418" i="1"/>
  <c r="Z418" i="1"/>
  <c r="V564" i="1"/>
  <c r="Y422" i="1"/>
  <c r="BP428" i="1"/>
  <c r="BN428" i="1"/>
  <c r="Z428" i="1"/>
  <c r="BP432" i="1"/>
  <c r="BN432" i="1"/>
  <c r="Z432" i="1"/>
  <c r="Z467" i="1"/>
  <c r="BP465" i="1"/>
  <c r="BN465" i="1"/>
  <c r="Z465" i="1"/>
  <c r="Y467" i="1"/>
  <c r="R564" i="1"/>
  <c r="H9" i="1"/>
  <c r="B564" i="1"/>
  <c r="X556" i="1"/>
  <c r="X557" i="1" s="1"/>
  <c r="Z23" i="1"/>
  <c r="Z24" i="1" s="1"/>
  <c r="BN23" i="1"/>
  <c r="Y555" i="1" s="1"/>
  <c r="Y24" i="1"/>
  <c r="X554" i="1"/>
  <c r="Z27" i="1"/>
  <c r="BN27" i="1"/>
  <c r="BP27" i="1"/>
  <c r="Y556" i="1" s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Z63" i="1" s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Z88" i="1" s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Z106" i="1" s="1"/>
  <c r="BN100" i="1"/>
  <c r="Z102" i="1"/>
  <c r="BN102" i="1"/>
  <c r="Z104" i="1"/>
  <c r="BN104" i="1"/>
  <c r="Y107" i="1"/>
  <c r="Z110" i="1"/>
  <c r="Z114" i="1" s="1"/>
  <c r="BN110" i="1"/>
  <c r="Z112" i="1"/>
  <c r="BN112" i="1"/>
  <c r="Z118" i="1"/>
  <c r="Z121" i="1" s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Z135" i="1"/>
  <c r="Z139" i="1" s="1"/>
  <c r="BN135" i="1"/>
  <c r="BP135" i="1"/>
  <c r="Z137" i="1"/>
  <c r="BN137" i="1"/>
  <c r="Z143" i="1"/>
  <c r="Z145" i="1" s="1"/>
  <c r="BN143" i="1"/>
  <c r="Z150" i="1"/>
  <c r="Z156" i="1" s="1"/>
  <c r="BN150" i="1"/>
  <c r="Z152" i="1"/>
  <c r="BN152" i="1"/>
  <c r="Z154" i="1"/>
  <c r="BN154" i="1"/>
  <c r="Y157" i="1"/>
  <c r="J564" i="1"/>
  <c r="Z165" i="1"/>
  <c r="Z167" i="1" s="1"/>
  <c r="BN165" i="1"/>
  <c r="Y168" i="1"/>
  <c r="Z171" i="1"/>
  <c r="Z172" i="1" s="1"/>
  <c r="BN171" i="1"/>
  <c r="Z175" i="1"/>
  <c r="Z186" i="1" s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Z213" i="1" s="1"/>
  <c r="BN207" i="1"/>
  <c r="Z209" i="1"/>
  <c r="BN209" i="1"/>
  <c r="Z211" i="1"/>
  <c r="BN211" i="1"/>
  <c r="Y214" i="1"/>
  <c r="L564" i="1"/>
  <c r="Y219" i="1"/>
  <c r="Z222" i="1"/>
  <c r="Z235" i="1" s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Z249" i="1" s="1"/>
  <c r="BN246" i="1"/>
  <c r="BP246" i="1"/>
  <c r="Z248" i="1"/>
  <c r="BN248" i="1"/>
  <c r="Z252" i="1"/>
  <c r="Z253" i="1" s="1"/>
  <c r="BN252" i="1"/>
  <c r="BP252" i="1"/>
  <c r="Z257" i="1"/>
  <c r="Z259" i="1" s="1"/>
  <c r="BN257" i="1"/>
  <c r="BP257" i="1"/>
  <c r="Y260" i="1"/>
  <c r="Z263" i="1"/>
  <c r="Z264" i="1" s="1"/>
  <c r="BN263" i="1"/>
  <c r="Z267" i="1"/>
  <c r="Z275" i="1" s="1"/>
  <c r="BN267" i="1"/>
  <c r="BP267" i="1"/>
  <c r="Z269" i="1"/>
  <c r="BN269" i="1"/>
  <c r="Z271" i="1"/>
  <c r="BN271" i="1"/>
  <c r="Z273" i="1"/>
  <c r="BN273" i="1"/>
  <c r="Y290" i="1"/>
  <c r="Z279" i="1"/>
  <c r="Z290" i="1" s="1"/>
  <c r="BN279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BP302" i="1"/>
  <c r="BN302" i="1"/>
  <c r="Z302" i="1"/>
  <c r="Y306" i="1"/>
  <c r="Z320" i="1"/>
  <c r="BP318" i="1"/>
  <c r="BN318" i="1"/>
  <c r="Z318" i="1"/>
  <c r="BP327" i="1"/>
  <c r="BN327" i="1"/>
  <c r="Z327" i="1"/>
  <c r="Z329" i="1" s="1"/>
  <c r="BP362" i="1"/>
  <c r="BN362" i="1"/>
  <c r="Z362" i="1"/>
  <c r="Z366" i="1" s="1"/>
  <c r="Y366" i="1"/>
  <c r="BP370" i="1"/>
  <c r="BN370" i="1"/>
  <c r="Z370" i="1"/>
  <c r="Y376" i="1"/>
  <c r="BP374" i="1"/>
  <c r="BN374" i="1"/>
  <c r="Z374" i="1"/>
  <c r="Z408" i="1"/>
  <c r="BP406" i="1"/>
  <c r="BN406" i="1"/>
  <c r="Z406" i="1"/>
  <c r="Y408" i="1"/>
  <c r="BP444" i="1"/>
  <c r="BN444" i="1"/>
  <c r="Z444" i="1"/>
  <c r="Z446" i="1" s="1"/>
  <c r="Y446" i="1"/>
  <c r="BP475" i="1"/>
  <c r="BN475" i="1"/>
  <c r="Z475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Y515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AB564" i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47" i="1"/>
  <c r="Z564" i="1"/>
  <c r="O564" i="1"/>
  <c r="Y307" i="1"/>
  <c r="P564" i="1"/>
  <c r="Y329" i="1"/>
  <c r="BP328" i="1"/>
  <c r="BN328" i="1"/>
  <c r="Z328" i="1"/>
  <c r="Y330" i="1"/>
  <c r="Q564" i="1"/>
  <c r="Y336" i="1"/>
  <c r="BP333" i="1"/>
  <c r="BN333" i="1"/>
  <c r="Z333" i="1"/>
  <c r="Z336" i="1" s="1"/>
  <c r="BP342" i="1"/>
  <c r="BN342" i="1"/>
  <c r="Z342" i="1"/>
  <c r="BP355" i="1"/>
  <c r="BN355" i="1"/>
  <c r="Z355" i="1"/>
  <c r="Z357" i="1" s="1"/>
  <c r="T564" i="1"/>
  <c r="BP364" i="1"/>
  <c r="BN364" i="1"/>
  <c r="Z364" i="1"/>
  <c r="Y377" i="1"/>
  <c r="BP372" i="1"/>
  <c r="BN372" i="1"/>
  <c r="Z372" i="1"/>
  <c r="Z376" i="1" s="1"/>
  <c r="BP380" i="1"/>
  <c r="BN380" i="1"/>
  <c r="Z380" i="1"/>
  <c r="Z383" i="1" s="1"/>
  <c r="BP388" i="1"/>
  <c r="BN388" i="1"/>
  <c r="Z388" i="1"/>
  <c r="Y397" i="1"/>
  <c r="BP392" i="1"/>
  <c r="BN392" i="1"/>
  <c r="Z392" i="1"/>
  <c r="Z396" i="1" s="1"/>
  <c r="Y396" i="1"/>
  <c r="Z402" i="1"/>
  <c r="BP400" i="1"/>
  <c r="BN400" i="1"/>
  <c r="Z400" i="1"/>
  <c r="Y409" i="1"/>
  <c r="U564" i="1"/>
  <c r="Y414" i="1"/>
  <c r="BP412" i="1"/>
  <c r="BN412" i="1"/>
  <c r="Z412" i="1"/>
  <c r="Z414" i="1" s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Z440" i="1"/>
  <c r="BP438" i="1"/>
  <c r="BN438" i="1"/>
  <c r="Z438" i="1"/>
  <c r="Y447" i="1"/>
  <c r="BP450" i="1"/>
  <c r="BN450" i="1"/>
  <c r="Z450" i="1"/>
  <c r="Z451" i="1" s="1"/>
  <c r="Y452" i="1"/>
  <c r="X564" i="1"/>
  <c r="Y458" i="1"/>
  <c r="BP455" i="1"/>
  <c r="BN455" i="1"/>
  <c r="Z455" i="1"/>
  <c r="Z457" i="1" s="1"/>
  <c r="Y468" i="1"/>
  <c r="BP473" i="1"/>
  <c r="BN473" i="1"/>
  <c r="Z473" i="1"/>
  <c r="Z478" i="1" s="1"/>
  <c r="BP477" i="1"/>
  <c r="BN477" i="1"/>
  <c r="Z477" i="1"/>
  <c r="Y479" i="1"/>
  <c r="Y484" i="1"/>
  <c r="BP481" i="1"/>
  <c r="BN481" i="1"/>
  <c r="Z481" i="1"/>
  <c r="Z483" i="1" s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24" i="1"/>
  <c r="BP517" i="1"/>
  <c r="BN517" i="1"/>
  <c r="Z517" i="1"/>
  <c r="BP521" i="1"/>
  <c r="BN521" i="1"/>
  <c r="Z521" i="1"/>
  <c r="Y553" i="1"/>
  <c r="Y557" i="1" l="1"/>
  <c r="Z524" i="1"/>
  <c r="Z434" i="1"/>
  <c r="Z514" i="1"/>
  <c r="Z243" i="1"/>
  <c r="Z192" i="1"/>
  <c r="Z32" i="1"/>
  <c r="Z559" i="1" s="1"/>
  <c r="Y558" i="1"/>
  <c r="Z345" i="1"/>
  <c r="Z508" i="1"/>
  <c r="Z421" i="1"/>
  <c r="Z389" i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<sst xmlns="http://schemas.openxmlformats.org/spreadsheetml/2006/main" count="2515" uniqueCount="912">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</sst>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6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100</v>
      </c>
      <c r="Y47" s="634">
        <f>IFERROR(IF(X47="",0,CEILING((X47/$H47),1)*$H47),"")</f>
        <v>108</v>
      </c>
      <c r="Z47" s="36">
        <f>IFERROR(IF(Y47=0,"",ROUNDUP(Y47/H47,0)*0.01898),"")</f>
        <v>0.1898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103.79629629629629</v>
      </c>
      <c r="BN47" s="64">
        <f>IFERROR(Y47*I47/H47,"0")</f>
        <v>112.1</v>
      </c>
      <c r="BO47" s="64">
        <f>IFERROR(1/J47*(X47/H47),"0")</f>
        <v>0.14467592592592593</v>
      </c>
      <c r="BP47" s="64">
        <f>IFERROR(1/J47*(Y47/H47),"0")</f>
        <v>0.15625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9.2592592592592595</v>
      </c>
      <c r="Y51" s="635">
        <f>IFERROR(Y47/H47,"0")+IFERROR(Y48/H48,"0")+IFERROR(Y49/H49,"0")+IFERROR(Y50/H50,"0")</f>
        <v>10</v>
      </c>
      <c r="Z51" s="635">
        <f>IFERROR(IF(Z47="",0,Z47),"0")+IFERROR(IF(Z48="",0,Z48),"0")+IFERROR(IF(Z49="",0,Z49),"0")+IFERROR(IF(Z50="",0,Z50),"0")</f>
        <v>0.1898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100</v>
      </c>
      <c r="Y52" s="635">
        <f>IFERROR(SUM(Y47:Y50),"0")</f>
        <v>108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500</v>
      </c>
      <c r="Y428" s="634">
        <f t="shared" si="53"/>
        <v>510</v>
      </c>
      <c r="Z428" s="36">
        <f>IFERROR(IF(Y428=0,"",ROUNDUP(Y428/H428,0)*0.02175),"")</f>
        <v>0.73949999999999994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515.66666666666663</v>
      </c>
      <c r="BN428" s="64">
        <f t="shared" si="55"/>
        <v>525.98</v>
      </c>
      <c r="BO428" s="64">
        <f t="shared" si="56"/>
        <v>0.69444444444444442</v>
      </c>
      <c r="BP428" s="64">
        <f t="shared" si="57"/>
        <v>0.70833333333333326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33.333333333333336</v>
      </c>
      <c r="Y434" s="635">
        <f>IFERROR(Y426/H426,"0")+IFERROR(Y427/H427,"0")+IFERROR(Y428/H428,"0")+IFERROR(Y429/H429,"0")+IFERROR(Y430/H430,"0")+IFERROR(Y431/H431,"0")+IFERROR(Y432/H432,"0")+IFERROR(Y433/H433,"0")</f>
        <v>34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0.73949999999999994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500</v>
      </c>
      <c r="Y435" s="635">
        <f>IFERROR(SUM(Y426:Y433),"0")</f>
        <v>510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900</v>
      </c>
      <c r="Y437" s="634">
        <f>IFERROR(IF(X437="",0,CEILING((X437/$H437),1)*$H437),"")</f>
        <v>900</v>
      </c>
      <c r="Z437" s="36">
        <f>IFERROR(IF(Y437=0,"",ROUNDUP(Y437/H437,0)*0.02175),"")</f>
        <v>1.3049999999999999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928.2</v>
      </c>
      <c r="BN437" s="64">
        <f>IFERROR(Y437*I437/H437,"0")</f>
        <v>928.2</v>
      </c>
      <c r="BO437" s="64">
        <f>IFERROR(1/J437*(X437/H437),"0")</f>
        <v>1.25</v>
      </c>
      <c r="BP437" s="64">
        <f>IFERROR(1/J437*(Y437/H437),"0")</f>
        <v>1.25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60</v>
      </c>
      <c r="Y440" s="635">
        <f>IFERROR(Y437/H437,"0")+IFERROR(Y438/H438,"0")+IFERROR(Y439/H439,"0")</f>
        <v>60</v>
      </c>
      <c r="Z440" s="635">
        <f>IFERROR(IF(Z437="",0,Z437),"0")+IFERROR(IF(Z438="",0,Z438),"0")+IFERROR(IF(Z439="",0,Z439),"0")</f>
        <v>1.3049999999999999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900</v>
      </c>
      <c r="Y441" s="635">
        <f>IFERROR(SUM(Y437:Y439),"0")</f>
        <v>900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200</v>
      </c>
      <c r="Y511" s="634">
        <f>IFERROR(IF(X511="",0,CEILING((X511/$H511),1)*$H511),"")</f>
        <v>200.64000000000001</v>
      </c>
      <c r="Z511" s="36">
        <f>IFERROR(IF(Y511=0,"",ROUNDUP(Y511/H511,0)*0.01196),"")</f>
        <v>0.45448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213.25757575757575</v>
      </c>
      <c r="BN511" s="64">
        <f>IFERROR(Y511*I511/H511,"0")</f>
        <v>213.94</v>
      </c>
      <c r="BO511" s="64">
        <f>IFERROR(1/J511*(X511/H511),"0")</f>
        <v>0.36421911421911418</v>
      </c>
      <c r="BP511" s="64">
        <f>IFERROR(1/J511*(Y511/H511),"0")</f>
        <v>0.36538461538461542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37.878787878787875</v>
      </c>
      <c r="Y514" s="635">
        <f>IFERROR(Y511/H511,"0")+IFERROR(Y512/H512,"0")+IFERROR(Y513/H513,"0")</f>
        <v>38</v>
      </c>
      <c r="Z514" s="635">
        <f>IFERROR(IF(Z511="",0,Z511),"0")+IFERROR(IF(Z512="",0,Z512),"0")+IFERROR(IF(Z513="",0,Z513),"0")</f>
        <v>0.45448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200</v>
      </c>
      <c r="Y515" s="635">
        <f>IFERROR(SUM(Y511:Y513),"0")</f>
        <v>200.64000000000001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1718.64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1760.9205387205386</v>
      </c>
      <c r="Y555" s="635">
        <f>IFERROR(SUM(BN22:BN551),"0")</f>
        <v>1780.2200000000003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</v>
      </c>
      <c r="Y556" s="38">
        <f>ROUNDUP(SUM(BP22:BP551),0)</f>
        <v>3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1835.9205387205386</v>
      </c>
      <c r="Y557" s="635">
        <f>GrossWeightTotalR+PalletQtyTotalR*25</f>
        <v>1855.2200000000003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140.47138047138048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142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2.6887799999999995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108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1410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200.64000000000001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2026-08-17T10:31:40Z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