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13,08,26 ПОКОМ КИ\дозаказы на 15-17,08,26\17,08,26\"/>
    </mc:Choice>
  </mc:AlternateContent>
  <xr:revisionPtr revIDLastSave="0" documentId="13_ncr:1_{DE9A79A2-F996-4124-96E5-4350B6839E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6" i="1"/>
  <c r="Z23" i="1"/>
  <c r="Z24" i="1" s="1"/>
  <c r="BN23" i="1"/>
  <c r="Y555" i="1" s="1"/>
  <c r="Y24" i="1"/>
  <c r="X554" i="1"/>
  <c r="Z27" i="1"/>
  <c r="BN27" i="1"/>
  <c r="BP27" i="1"/>
  <c r="Y556" i="1" s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Z139" i="1" s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Z192" i="1" s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Z389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Z306" i="1" s="1"/>
  <c r="Y321" i="1"/>
  <c r="Z329" i="1"/>
  <c r="BP325" i="1"/>
  <c r="BN325" i="1"/>
  <c r="Z325" i="1"/>
  <c r="Y329" i="1"/>
  <c r="BP334" i="1"/>
  <c r="BN334" i="1"/>
  <c r="Z334" i="1"/>
  <c r="Z336" i="1" s="1"/>
  <c r="BP343" i="1"/>
  <c r="BN343" i="1"/>
  <c r="Z343" i="1"/>
  <c r="Z345" i="1" s="1"/>
  <c r="Y350" i="1"/>
  <c r="BP356" i="1"/>
  <c r="BN356" i="1"/>
  <c r="Z356" i="1"/>
  <c r="T564" i="1"/>
  <c r="Y366" i="1"/>
  <c r="BP361" i="1"/>
  <c r="BN361" i="1"/>
  <c r="Z361" i="1"/>
  <c r="Z366" i="1" s="1"/>
  <c r="BP365" i="1"/>
  <c r="BN365" i="1"/>
  <c r="Z365" i="1"/>
  <c r="Y367" i="1"/>
  <c r="Y376" i="1"/>
  <c r="BP369" i="1"/>
  <c r="BN369" i="1"/>
  <c r="Z369" i="1"/>
  <c r="Z376" i="1" s="1"/>
  <c r="BP373" i="1"/>
  <c r="BN373" i="1"/>
  <c r="Z373" i="1"/>
  <c r="BP381" i="1"/>
  <c r="BN381" i="1"/>
  <c r="Z381" i="1"/>
  <c r="Y390" i="1"/>
  <c r="BP393" i="1"/>
  <c r="BN393" i="1"/>
  <c r="Z393" i="1"/>
  <c r="Z396" i="1" s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Z434" i="1" s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Z478" i="1" s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Y557" i="1" l="1"/>
  <c r="Z524" i="1"/>
  <c r="Z467" i="1"/>
  <c r="Z446" i="1"/>
  <c r="Z383" i="1"/>
  <c r="Z235" i="1"/>
  <c r="Z402" i="1"/>
  <c r="Y554" i="1"/>
  <c r="Z508" i="1"/>
  <c r="Z494" i="1"/>
  <c r="Z290" i="1"/>
  <c r="Z357" i="1"/>
  <c r="Z32" i="1"/>
  <c r="Z559" i="1" s="1"/>
  <c r="Y558" i="1"/>
  <c r="X557" i="1"/>
  <c r="Z213" i="1"/>
  <c r="Z167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<sst xmlns="http://schemas.openxmlformats.org/spreadsheetml/2006/main" count="2515" uniqueCount="912">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</sst>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400</v>
      </c>
      <c r="Y427" s="634">
        <f t="shared" si="53"/>
        <v>405</v>
      </c>
      <c r="Z427" s="36">
        <f>IFERROR(IF(Y427=0,"",ROUNDUP(Y427/H427,0)*0.02175),"")</f>
        <v>0.58724999999999994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412.53333333333336</v>
      </c>
      <c r="BN427" s="64">
        <f t="shared" si="55"/>
        <v>417.69</v>
      </c>
      <c r="BO427" s="64">
        <f t="shared" si="56"/>
        <v>0.55555555555555558</v>
      </c>
      <c r="BP427" s="64">
        <f t="shared" si="57"/>
        <v>0.5625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26.666666666666668</v>
      </c>
      <c r="Y434" s="635">
        <f>IFERROR(Y426/H426,"0")+IFERROR(Y427/H427,"0")+IFERROR(Y428/H428,"0")+IFERROR(Y429/H429,"0")+IFERROR(Y430/H430,"0")+IFERROR(Y431/H431,"0")+IFERROR(Y432/H432,"0")+IFERROR(Y433/H433,"0")</f>
        <v>27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0.58724999999999994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400</v>
      </c>
      <c r="Y435" s="635">
        <f>IFERROR(SUM(Y426:Y433),"0")</f>
        <v>405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400</v>
      </c>
      <c r="Y437" s="634">
        <f>IFERROR(IF(X437="",0,CEILING((X437/$H437),1)*$H437),"")</f>
        <v>405</v>
      </c>
      <c r="Z437" s="36">
        <f>IFERROR(IF(Y437=0,"",ROUNDUP(Y437/H437,0)*0.02175),"")</f>
        <v>0.58724999999999994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412.53333333333336</v>
      </c>
      <c r="BN437" s="64">
        <f>IFERROR(Y437*I437/H437,"0")</f>
        <v>417.69</v>
      </c>
      <c r="BO437" s="64">
        <f>IFERROR(1/J437*(X437/H437),"0")</f>
        <v>0.55555555555555558</v>
      </c>
      <c r="BP437" s="64">
        <f>IFERROR(1/J437*(Y437/H437),"0")</f>
        <v>0.5625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26.666666666666668</v>
      </c>
      <c r="Y440" s="635">
        <f>IFERROR(Y437/H437,"0")+IFERROR(Y438/H438,"0")+IFERROR(Y439/H439,"0")</f>
        <v>27</v>
      </c>
      <c r="Z440" s="635">
        <f>IFERROR(IF(Z437="",0,Z437),"0")+IFERROR(IF(Z438="",0,Z438),"0")+IFERROR(IF(Z439="",0,Z439),"0")</f>
        <v>0.58724999999999994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400</v>
      </c>
      <c r="Y441" s="635">
        <f>IFERROR(SUM(Y437:Y439),"0")</f>
        <v>405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450</v>
      </c>
      <c r="Y511" s="634">
        <f>IFERROR(IF(X511="",0,CEILING((X511/$H511),1)*$H511),"")</f>
        <v>454.08000000000004</v>
      </c>
      <c r="Z511" s="36">
        <f>IFERROR(IF(Y511=0,"",ROUNDUP(Y511/H511,0)*0.01196),"")</f>
        <v>1.0285599999999999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479.82954545454544</v>
      </c>
      <c r="BN511" s="64">
        <f>IFERROR(Y511*I511/H511,"0")</f>
        <v>484.18</v>
      </c>
      <c r="BO511" s="64">
        <f>IFERROR(1/J511*(X511/H511),"0")</f>
        <v>0.81949300699300698</v>
      </c>
      <c r="BP511" s="64">
        <f>IFERROR(1/J511*(Y511/H511),"0")</f>
        <v>0.82692307692307698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85.22727272727272</v>
      </c>
      <c r="Y514" s="635">
        <f>IFERROR(Y511/H511,"0")+IFERROR(Y512/H512,"0")+IFERROR(Y513/H513,"0")</f>
        <v>86</v>
      </c>
      <c r="Z514" s="635">
        <f>IFERROR(IF(Z511="",0,Z511),"0")+IFERROR(IF(Z512="",0,Z512),"0")+IFERROR(IF(Z513="",0,Z513),"0")</f>
        <v>1.0285599999999999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450</v>
      </c>
      <c r="Y515" s="635">
        <f>IFERROR(SUM(Y511:Y513),"0")</f>
        <v>454.08000000000004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1250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1264.08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1304.8962121212121</v>
      </c>
      <c r="Y555" s="635">
        <f>IFERROR(SUM(BN22:BN551),"0")</f>
        <v>1319.56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2</v>
      </c>
      <c r="Y556" s="38">
        <f>ROUNDUP(SUM(BP22:BP551),0)</f>
        <v>2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1354.8962121212121</v>
      </c>
      <c r="Y557" s="635">
        <f>GrossWeightTotalR+PalletQtyTotalR*25</f>
        <v>1369.56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138.56060606060606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140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2.2030599999999998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810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454.08000000000004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