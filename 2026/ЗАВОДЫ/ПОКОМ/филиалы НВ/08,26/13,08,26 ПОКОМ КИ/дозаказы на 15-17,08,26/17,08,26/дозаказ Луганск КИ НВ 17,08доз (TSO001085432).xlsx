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6560811-50F5-4A4A-91B4-0F19EE48AC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Y483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Y451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Y440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Y403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Y383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Y357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1" i="1"/>
  <c r="Y320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Y321" i="1" s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Y295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Y276" i="1" s="1"/>
  <c r="P267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Y264" i="1" s="1"/>
  <c r="P262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M564" i="1" s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49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3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Y235" i="1" s="1"/>
  <c r="P221" i="1"/>
  <c r="X219" i="1"/>
  <c r="Y218" i="1"/>
  <c r="X218" i="1"/>
  <c r="BP217" i="1"/>
  <c r="BO217" i="1"/>
  <c r="BN217" i="1"/>
  <c r="BM217" i="1"/>
  <c r="Z217" i="1"/>
  <c r="Z218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Y192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86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Y17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I564" i="1" s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X555" i="1" s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43" i="1"/>
  <c r="Y64" i="1"/>
  <c r="Y89" i="1"/>
  <c r="Y106" i="1"/>
  <c r="Y122" i="1"/>
  <c r="Y133" i="1"/>
  <c r="Y139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BP325" i="1"/>
  <c r="BN325" i="1"/>
  <c r="Z325" i="1"/>
  <c r="Z329" i="1" s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Z467" i="1"/>
  <c r="BP465" i="1"/>
  <c r="BN465" i="1"/>
  <c r="Z465" i="1"/>
  <c r="Y467" i="1"/>
  <c r="R564" i="1"/>
  <c r="Y33" i="1"/>
  <c r="Y51" i="1"/>
  <c r="Y70" i="1"/>
  <c r="Y76" i="1"/>
  <c r="Y80" i="1"/>
  <c r="Y95" i="1"/>
  <c r="Y114" i="1"/>
  <c r="Y126" i="1"/>
  <c r="Y145" i="1"/>
  <c r="H9" i="1"/>
  <c r="B564" i="1"/>
  <c r="X556" i="1"/>
  <c r="X557" i="1" s="1"/>
  <c r="Z23" i="1"/>
  <c r="Z24" i="1" s="1"/>
  <c r="BN23" i="1"/>
  <c r="Y555" i="1" s="1"/>
  <c r="Y24" i="1"/>
  <c r="X554" i="1"/>
  <c r="Z27" i="1"/>
  <c r="BN27" i="1"/>
  <c r="BP27" i="1"/>
  <c r="Y556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Z139" i="1" s="1"/>
  <c r="BN135" i="1"/>
  <c r="BP135" i="1"/>
  <c r="Z137" i="1"/>
  <c r="BN137" i="1"/>
  <c r="Z143" i="1"/>
  <c r="Z145" i="1" s="1"/>
  <c r="BN143" i="1"/>
  <c r="Z150" i="1"/>
  <c r="Z156" i="1" s="1"/>
  <c r="BN150" i="1"/>
  <c r="Z152" i="1"/>
  <c r="BN152" i="1"/>
  <c r="Z154" i="1"/>
  <c r="BN154" i="1"/>
  <c r="Y157" i="1"/>
  <c r="J564" i="1"/>
  <c r="Z165" i="1"/>
  <c r="Z167" i="1" s="1"/>
  <c r="BN165" i="1"/>
  <c r="Y168" i="1"/>
  <c r="Z171" i="1"/>
  <c r="Z172" i="1" s="1"/>
  <c r="BN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Z213" i="1" s="1"/>
  <c r="BN207" i="1"/>
  <c r="Z209" i="1"/>
  <c r="BN209" i="1"/>
  <c r="Z211" i="1"/>
  <c r="BN211" i="1"/>
  <c r="Y214" i="1"/>
  <c r="L564" i="1"/>
  <c r="Y219" i="1"/>
  <c r="Z222" i="1"/>
  <c r="Z235" i="1" s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Z249" i="1" s="1"/>
  <c r="BN246" i="1"/>
  <c r="BP246" i="1"/>
  <c r="Z248" i="1"/>
  <c r="BN248" i="1"/>
  <c r="Z252" i="1"/>
  <c r="Z253" i="1" s="1"/>
  <c r="BN252" i="1"/>
  <c r="BP252" i="1"/>
  <c r="Z257" i="1"/>
  <c r="Z259" i="1" s="1"/>
  <c r="BN257" i="1"/>
  <c r="BP257" i="1"/>
  <c r="Y260" i="1"/>
  <c r="Z263" i="1"/>
  <c r="Z264" i="1" s="1"/>
  <c r="BN263" i="1"/>
  <c r="Z267" i="1"/>
  <c r="Z275" i="1" s="1"/>
  <c r="BN267" i="1"/>
  <c r="BP267" i="1"/>
  <c r="Z269" i="1"/>
  <c r="BN269" i="1"/>
  <c r="Z271" i="1"/>
  <c r="BN271" i="1"/>
  <c r="Z273" i="1"/>
  <c r="BN273" i="1"/>
  <c r="Y290" i="1"/>
  <c r="Z279" i="1"/>
  <c r="Z290" i="1" s="1"/>
  <c r="BN27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Z306" i="1" s="1"/>
  <c r="Y306" i="1"/>
  <c r="Z320" i="1"/>
  <c r="BP318" i="1"/>
  <c r="BN318" i="1"/>
  <c r="Z318" i="1"/>
  <c r="BP327" i="1"/>
  <c r="BN327" i="1"/>
  <c r="Z327" i="1"/>
  <c r="BP362" i="1"/>
  <c r="BN362" i="1"/>
  <c r="Z362" i="1"/>
  <c r="Z366" i="1" s="1"/>
  <c r="Y366" i="1"/>
  <c r="BP370" i="1"/>
  <c r="BN370" i="1"/>
  <c r="Z370" i="1"/>
  <c r="Y376" i="1"/>
  <c r="BP374" i="1"/>
  <c r="BN374" i="1"/>
  <c r="Z374" i="1"/>
  <c r="Z408" i="1"/>
  <c r="BP406" i="1"/>
  <c r="BN406" i="1"/>
  <c r="Z406" i="1"/>
  <c r="Y408" i="1"/>
  <c r="BP444" i="1"/>
  <c r="BN444" i="1"/>
  <c r="Z444" i="1"/>
  <c r="Z446" i="1" s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Z336" i="1" s="1"/>
  <c r="BP342" i="1"/>
  <c r="BN342" i="1"/>
  <c r="Z342" i="1"/>
  <c r="BP355" i="1"/>
  <c r="BN355" i="1"/>
  <c r="Z355" i="1"/>
  <c r="Z357" i="1" s="1"/>
  <c r="T564" i="1"/>
  <c r="BP364" i="1"/>
  <c r="BN364" i="1"/>
  <c r="Z364" i="1"/>
  <c r="Y377" i="1"/>
  <c r="BP372" i="1"/>
  <c r="BN372" i="1"/>
  <c r="Z372" i="1"/>
  <c r="Z376" i="1" s="1"/>
  <c r="BP380" i="1"/>
  <c r="BN380" i="1"/>
  <c r="Z380" i="1"/>
  <c r="Z383" i="1" s="1"/>
  <c r="BP388" i="1"/>
  <c r="BN388" i="1"/>
  <c r="Z388" i="1"/>
  <c r="Y397" i="1"/>
  <c r="BP392" i="1"/>
  <c r="BN392" i="1"/>
  <c r="Z392" i="1"/>
  <c r="Z396" i="1" s="1"/>
  <c r="Y396" i="1"/>
  <c r="Z402" i="1"/>
  <c r="BP400" i="1"/>
  <c r="BN400" i="1"/>
  <c r="Z400" i="1"/>
  <c r="Y409" i="1"/>
  <c r="U564" i="1"/>
  <c r="Y414" i="1"/>
  <c r="BP412" i="1"/>
  <c r="BN412" i="1"/>
  <c r="Z412" i="1"/>
  <c r="Z414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Z440" i="1"/>
  <c r="BP438" i="1"/>
  <c r="BN438" i="1"/>
  <c r="Z438" i="1"/>
  <c r="Y447" i="1"/>
  <c r="BP450" i="1"/>
  <c r="BN450" i="1"/>
  <c r="Z450" i="1"/>
  <c r="Z451" i="1" s="1"/>
  <c r="Y452" i="1"/>
  <c r="X564" i="1"/>
  <c r="Y458" i="1"/>
  <c r="BP455" i="1"/>
  <c r="BN455" i="1"/>
  <c r="Z455" i="1"/>
  <c r="Z457" i="1" s="1"/>
  <c r="Y468" i="1"/>
  <c r="BP473" i="1"/>
  <c r="BN473" i="1"/>
  <c r="Z473" i="1"/>
  <c r="Z478" i="1" s="1"/>
  <c r="BP477" i="1"/>
  <c r="BN477" i="1"/>
  <c r="Z477" i="1"/>
  <c r="Y479" i="1"/>
  <c r="Y484" i="1"/>
  <c r="BP481" i="1"/>
  <c r="BN481" i="1"/>
  <c r="Z481" i="1"/>
  <c r="Z483" i="1" s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Y557" i="1" l="1"/>
  <c r="Z524" i="1"/>
  <c r="Z434" i="1"/>
  <c r="Z514" i="1"/>
  <c r="Z243" i="1"/>
  <c r="Z192" i="1"/>
  <c r="Z32" i="1"/>
  <c r="Z559" i="1" s="1"/>
  <c r="Y558" i="1"/>
  <c r="Z421" i="1"/>
  <c r="Z389" i="1"/>
  <c r="Z508" i="1"/>
  <c r="Z345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<sst xmlns="http://schemas.openxmlformats.org/spreadsheetml/2006/main" count="2515" uniqueCount="912">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</sst>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6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1000</v>
      </c>
      <c r="Y47" s="634">
        <f>IFERROR(IF(X47="",0,CEILING((X47/$H47),1)*$H47),"")</f>
        <v>1004.4000000000001</v>
      </c>
      <c r="Z47" s="36">
        <f>IFERROR(IF(Y47=0,"",ROUNDUP(Y47/H47,0)*0.01898),"")</f>
        <v>1.7651399999999999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1037.9629629629628</v>
      </c>
      <c r="BN47" s="64">
        <f>IFERROR(Y47*I47/H47,"0")</f>
        <v>1042.5300000000002</v>
      </c>
      <c r="BO47" s="64">
        <f>IFERROR(1/J47*(X47/H47),"0")</f>
        <v>1.4467592592592591</v>
      </c>
      <c r="BP47" s="64">
        <f>IFERROR(1/J47*(Y47/H47),"0")</f>
        <v>1.453125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92.592592592592581</v>
      </c>
      <c r="Y51" s="635">
        <f>IFERROR(Y47/H47,"0")+IFERROR(Y48/H48,"0")+IFERROR(Y49/H49,"0")+IFERROR(Y50/H50,"0")</f>
        <v>93</v>
      </c>
      <c r="Z51" s="635">
        <f>IFERROR(IF(Z47="",0,Z47),"0")+IFERROR(IF(Z48="",0,Z48),"0")+IFERROR(IF(Z49="",0,Z49),"0")+IFERROR(IF(Z50="",0,Z50),"0")</f>
        <v>1.7651399999999999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1000</v>
      </c>
      <c r="Y52" s="635">
        <f>IFERROR(SUM(Y47:Y50),"0")</f>
        <v>1004.4000000000001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700</v>
      </c>
      <c r="Y427" s="634">
        <f t="shared" si="53"/>
        <v>705</v>
      </c>
      <c r="Z427" s="36">
        <f>IFERROR(IF(Y427=0,"",ROUNDUP(Y427/H427,0)*0.02175),"")</f>
        <v>1.0222499999999999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721.93333333333328</v>
      </c>
      <c r="BN427" s="64">
        <f t="shared" si="55"/>
        <v>727.09</v>
      </c>
      <c r="BO427" s="64">
        <f t="shared" si="56"/>
        <v>0.9722222222222221</v>
      </c>
      <c r="BP427" s="64">
        <f t="shared" si="57"/>
        <v>0.97916666666666663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600</v>
      </c>
      <c r="Y428" s="634">
        <f t="shared" si="53"/>
        <v>600</v>
      </c>
      <c r="Z428" s="36">
        <f>IFERROR(IF(Y428=0,"",ROUNDUP(Y428/H428,0)*0.02175),"")</f>
        <v>0.86999999999999988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618.79999999999995</v>
      </c>
      <c r="BN428" s="64">
        <f t="shared" si="55"/>
        <v>618.79999999999995</v>
      </c>
      <c r="BO428" s="64">
        <f t="shared" si="56"/>
        <v>0.83333333333333326</v>
      </c>
      <c r="BP428" s="64">
        <f t="shared" si="57"/>
        <v>0.83333333333333326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86.666666666666657</v>
      </c>
      <c r="Y434" s="635">
        <f>IFERROR(Y426/H426,"0")+IFERROR(Y427/H427,"0")+IFERROR(Y428/H428,"0")+IFERROR(Y429/H429,"0")+IFERROR(Y430/H430,"0")+IFERROR(Y431/H431,"0")+IFERROR(Y432/H432,"0")+IFERROR(Y433/H433,"0")</f>
        <v>87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1.8922499999999998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1300</v>
      </c>
      <c r="Y435" s="635">
        <f>IFERROR(SUM(Y426:Y433),"0")</f>
        <v>1305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700</v>
      </c>
      <c r="Y437" s="634">
        <f>IFERROR(IF(X437="",0,CEILING((X437/$H437),1)*$H437),"")</f>
        <v>705</v>
      </c>
      <c r="Z437" s="36">
        <f>IFERROR(IF(Y437=0,"",ROUNDUP(Y437/H437,0)*0.02175),"")</f>
        <v>1.0222499999999999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721.93333333333328</v>
      </c>
      <c r="BN437" s="64">
        <f>IFERROR(Y437*I437/H437,"0")</f>
        <v>727.09</v>
      </c>
      <c r="BO437" s="64">
        <f>IFERROR(1/J437*(X437/H437),"0")</f>
        <v>0.9722222222222221</v>
      </c>
      <c r="BP437" s="64">
        <f>IFERROR(1/J437*(Y437/H437),"0")</f>
        <v>0.97916666666666663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46.666666666666664</v>
      </c>
      <c r="Y440" s="635">
        <f>IFERROR(Y437/H437,"0")+IFERROR(Y438/H438,"0")+IFERROR(Y439/H439,"0")</f>
        <v>47</v>
      </c>
      <c r="Z440" s="635">
        <f>IFERROR(IF(Z437="",0,Z437),"0")+IFERROR(IF(Z438="",0,Z438),"0")+IFERROR(IF(Z439="",0,Z439),"0")</f>
        <v>1.0222499999999999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700</v>
      </c>
      <c r="Y441" s="635">
        <f>IFERROR(SUM(Y437:Y439),"0")</f>
        <v>705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200</v>
      </c>
      <c r="Y511" s="634">
        <f>IFERROR(IF(X511="",0,CEILING((X511/$H511),1)*$H511),"")</f>
        <v>200.64000000000001</v>
      </c>
      <c r="Z511" s="36">
        <f>IFERROR(IF(Y511=0,"",ROUNDUP(Y511/H511,0)*0.01196),"")</f>
        <v>0.45448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213.25757575757575</v>
      </c>
      <c r="BN511" s="64">
        <f>IFERROR(Y511*I511/H511,"0")</f>
        <v>213.94</v>
      </c>
      <c r="BO511" s="64">
        <f>IFERROR(1/J511*(X511/H511),"0")</f>
        <v>0.36421911421911418</v>
      </c>
      <c r="BP511" s="64">
        <f>IFERROR(1/J511*(Y511/H511),"0")</f>
        <v>0.36538461538461542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37.878787878787875</v>
      </c>
      <c r="Y514" s="635">
        <f>IFERROR(Y511/H511,"0")+IFERROR(Y512/H512,"0")+IFERROR(Y513/H513,"0")</f>
        <v>38</v>
      </c>
      <c r="Z514" s="635">
        <f>IFERROR(IF(Z511="",0,Z511),"0")+IFERROR(IF(Z512="",0,Z512),"0")+IFERROR(IF(Z513="",0,Z513),"0")</f>
        <v>0.45448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200</v>
      </c>
      <c r="Y515" s="635">
        <f>IFERROR(SUM(Y511:Y513),"0")</f>
        <v>200.64000000000001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3200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3215.04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3313.8872053872055</v>
      </c>
      <c r="Y555" s="635">
        <f>IFERROR(SUM(BN22:BN551),"0")</f>
        <v>3329.4500000000003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5</v>
      </c>
      <c r="Y556" s="38">
        <f>ROUNDUP(SUM(BP22:BP551),0)</f>
        <v>5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3438.8872053872055</v>
      </c>
      <c r="Y557" s="635">
        <f>GrossWeightTotalR+PalletQtyTotalR*25</f>
        <v>3454.4500000000003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263.80471380471374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265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5.1341199999999994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1004.4000000000001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2010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200.64000000000001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