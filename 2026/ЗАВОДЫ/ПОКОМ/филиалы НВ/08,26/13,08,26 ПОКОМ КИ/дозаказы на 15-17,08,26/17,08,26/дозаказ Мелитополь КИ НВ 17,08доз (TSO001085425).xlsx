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13,08,26 ПОКОМ КИ\дозаказы на 15-17,08,26\17,08,26\"/>
    </mc:Choice>
  </mc:AlternateContent>
  <xr:revisionPtr revIDLastSave="0" documentId="13_ncr:1_{3A2EA020-16D3-4A2E-81F0-F156CAF7B1F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Y548" i="1" s="1"/>
  <c r="P546" i="1"/>
  <c r="BP545" i="1"/>
  <c r="BO545" i="1"/>
  <c r="BN545" i="1"/>
  <c r="BM545" i="1"/>
  <c r="Z545" i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AB564" i="1" s="1"/>
  <c r="P529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BP522" i="1" s="1"/>
  <c r="P522" i="1"/>
  <c r="BP521" i="1"/>
  <c r="BO521" i="1"/>
  <c r="BN521" i="1"/>
  <c r="BM521" i="1"/>
  <c r="Z521" i="1"/>
  <c r="Y521" i="1"/>
  <c r="P521" i="1"/>
  <c r="BO520" i="1"/>
  <c r="BM520" i="1"/>
  <c r="Y520" i="1"/>
  <c r="BP520" i="1" s="1"/>
  <c r="P520" i="1"/>
  <c r="BP519" i="1"/>
  <c r="BO519" i="1"/>
  <c r="BN519" i="1"/>
  <c r="BM519" i="1"/>
  <c r="Z519" i="1"/>
  <c r="Y519" i="1"/>
  <c r="P519" i="1"/>
  <c r="BO518" i="1"/>
  <c r="BM518" i="1"/>
  <c r="Y518" i="1"/>
  <c r="Y524" i="1" s="1"/>
  <c r="P518" i="1"/>
  <c r="BP517" i="1"/>
  <c r="BO517" i="1"/>
  <c r="BN517" i="1"/>
  <c r="BM517" i="1"/>
  <c r="Z517" i="1"/>
  <c r="Y517" i="1"/>
  <c r="Y525" i="1" s="1"/>
  <c r="P517" i="1"/>
  <c r="X515" i="1"/>
  <c r="X514" i="1"/>
  <c r="BP513" i="1"/>
  <c r="BO513" i="1"/>
  <c r="BN513" i="1"/>
  <c r="BM513" i="1"/>
  <c r="Z513" i="1"/>
  <c r="Y513" i="1"/>
  <c r="P513" i="1"/>
  <c r="BO512" i="1"/>
  <c r="BM512" i="1"/>
  <c r="Y512" i="1"/>
  <c r="Y514" i="1" s="1"/>
  <c r="P512" i="1"/>
  <c r="BP511" i="1"/>
  <c r="BO511" i="1"/>
  <c r="BN511" i="1"/>
  <c r="BM511" i="1"/>
  <c r="Z511" i="1"/>
  <c r="Y511" i="1"/>
  <c r="Y515" i="1" s="1"/>
  <c r="P511" i="1"/>
  <c r="X509" i="1"/>
  <c r="X508" i="1"/>
  <c r="BP507" i="1"/>
  <c r="BO507" i="1"/>
  <c r="BN507" i="1"/>
  <c r="BM507" i="1"/>
  <c r="Z507" i="1"/>
  <c r="Y507" i="1"/>
  <c r="P507" i="1"/>
  <c r="BO506" i="1"/>
  <c r="BM506" i="1"/>
  <c r="Y506" i="1"/>
  <c r="BP506" i="1" s="1"/>
  <c r="P506" i="1"/>
  <c r="BP505" i="1"/>
  <c r="BO505" i="1"/>
  <c r="BN505" i="1"/>
  <c r="BM505" i="1"/>
  <c r="Z505" i="1"/>
  <c r="Y505" i="1"/>
  <c r="P505" i="1"/>
  <c r="BO504" i="1"/>
  <c r="BM504" i="1"/>
  <c r="Y504" i="1"/>
  <c r="BP504" i="1" s="1"/>
  <c r="P504" i="1"/>
  <c r="BP503" i="1"/>
  <c r="BO503" i="1"/>
  <c r="BN503" i="1"/>
  <c r="BM503" i="1"/>
  <c r="Z503" i="1"/>
  <c r="Y503" i="1"/>
  <c r="P503" i="1"/>
  <c r="BO502" i="1"/>
  <c r="BM502" i="1"/>
  <c r="Y502" i="1"/>
  <c r="BP502" i="1" s="1"/>
  <c r="P502" i="1"/>
  <c r="BP501" i="1"/>
  <c r="BO501" i="1"/>
  <c r="BN501" i="1"/>
  <c r="BM501" i="1"/>
  <c r="Z501" i="1"/>
  <c r="Y501" i="1"/>
  <c r="P501" i="1"/>
  <c r="BO500" i="1"/>
  <c r="BM500" i="1"/>
  <c r="Y500" i="1"/>
  <c r="Y508" i="1" s="1"/>
  <c r="P500" i="1"/>
  <c r="BP499" i="1"/>
  <c r="BO499" i="1"/>
  <c r="BN499" i="1"/>
  <c r="BM499" i="1"/>
  <c r="Z499" i="1"/>
  <c r="Y499" i="1"/>
  <c r="AA564" i="1" s="1"/>
  <c r="P499" i="1"/>
  <c r="X495" i="1"/>
  <c r="X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P487" i="1"/>
  <c r="X484" i="1"/>
  <c r="Y483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N473" i="1"/>
  <c r="BM473" i="1"/>
  <c r="Z473" i="1"/>
  <c r="Y473" i="1"/>
  <c r="BP473" i="1" s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Y383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Y357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Y295" i="1" s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Y249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0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Y244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Y18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51" i="1"/>
  <c r="Y64" i="1"/>
  <c r="Y70" i="1"/>
  <c r="Y76" i="1"/>
  <c r="Y80" i="1"/>
  <c r="Y95" i="1"/>
  <c r="Y106" i="1"/>
  <c r="Y114" i="1"/>
  <c r="BP136" i="1"/>
  <c r="BN136" i="1"/>
  <c r="Z136" i="1"/>
  <c r="Z139" i="1" s="1"/>
  <c r="BP144" i="1"/>
  <c r="BN144" i="1"/>
  <c r="Z144" i="1"/>
  <c r="Y146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BP208" i="1"/>
  <c r="BN208" i="1"/>
  <c r="Z208" i="1"/>
  <c r="BP212" i="1"/>
  <c r="BN212" i="1"/>
  <c r="Z212" i="1"/>
  <c r="L564" i="1"/>
  <c r="Y218" i="1"/>
  <c r="BP217" i="1"/>
  <c r="BN217" i="1"/>
  <c r="Z217" i="1"/>
  <c r="Z218" i="1" s="1"/>
  <c r="Y236" i="1"/>
  <c r="BP221" i="1"/>
  <c r="BN221" i="1"/>
  <c r="Z221" i="1"/>
  <c r="BP233" i="1"/>
  <c r="BN233" i="1"/>
  <c r="Z233" i="1"/>
  <c r="BP301" i="1"/>
  <c r="BN301" i="1"/>
  <c r="Z301" i="1"/>
  <c r="Y307" i="1"/>
  <c r="Y320" i="1"/>
  <c r="BP317" i="1"/>
  <c r="BN317" i="1"/>
  <c r="Z317" i="1"/>
  <c r="Y321" i="1"/>
  <c r="R564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BP394" i="1"/>
  <c r="BN394" i="1"/>
  <c r="Z394" i="1"/>
  <c r="BP429" i="1"/>
  <c r="BN429" i="1"/>
  <c r="Z429" i="1"/>
  <c r="BP433" i="1"/>
  <c r="BN433" i="1"/>
  <c r="Z433" i="1"/>
  <c r="Y435" i="1"/>
  <c r="Y440" i="1"/>
  <c r="BP437" i="1"/>
  <c r="BN437" i="1"/>
  <c r="Z437" i="1"/>
  <c r="Y441" i="1"/>
  <c r="BP445" i="1"/>
  <c r="BN445" i="1"/>
  <c r="Z445" i="1"/>
  <c r="Y447" i="1"/>
  <c r="Y452" i="1"/>
  <c r="BP449" i="1"/>
  <c r="BN449" i="1"/>
  <c r="Z449" i="1"/>
  <c r="Z451" i="1" s="1"/>
  <c r="Y451" i="1"/>
  <c r="Y43" i="1"/>
  <c r="Y89" i="1"/>
  <c r="I564" i="1"/>
  <c r="Y156" i="1"/>
  <c r="BP149" i="1"/>
  <c r="BN149" i="1"/>
  <c r="Z149" i="1"/>
  <c r="BP153" i="1"/>
  <c r="BN153" i="1"/>
  <c r="Z153" i="1"/>
  <c r="BP166" i="1"/>
  <c r="BN166" i="1"/>
  <c r="Z166" i="1"/>
  <c r="Y168" i="1"/>
  <c r="BP190" i="1"/>
  <c r="BN190" i="1"/>
  <c r="Z190" i="1"/>
  <c r="Z192" i="1" s="1"/>
  <c r="Y214" i="1"/>
  <c r="Y219" i="1"/>
  <c r="BP225" i="1"/>
  <c r="BN225" i="1"/>
  <c r="Z225" i="1"/>
  <c r="BP229" i="1"/>
  <c r="BN229" i="1"/>
  <c r="Z229" i="1"/>
  <c r="BP241" i="1"/>
  <c r="BN241" i="1"/>
  <c r="Z241" i="1"/>
  <c r="BP305" i="1"/>
  <c r="BN305" i="1"/>
  <c r="Z305" i="1"/>
  <c r="Y310" i="1"/>
  <c r="BP309" i="1"/>
  <c r="BN309" i="1"/>
  <c r="Z309" i="1"/>
  <c r="Z310" i="1" s="1"/>
  <c r="Y314" i="1"/>
  <c r="BP313" i="1"/>
  <c r="BN313" i="1"/>
  <c r="Z313" i="1"/>
  <c r="Z314" i="1" s="1"/>
  <c r="Y315" i="1"/>
  <c r="BP326" i="1"/>
  <c r="BN326" i="1"/>
  <c r="Z326" i="1"/>
  <c r="BP335" i="1"/>
  <c r="BN335" i="1"/>
  <c r="Z335" i="1"/>
  <c r="Y337" i="1"/>
  <c r="Y389" i="1"/>
  <c r="BP386" i="1"/>
  <c r="BN386" i="1"/>
  <c r="Z386" i="1"/>
  <c r="Y390" i="1"/>
  <c r="H9" i="1"/>
  <c r="B564" i="1"/>
  <c r="X555" i="1"/>
  <c r="X556" i="1"/>
  <c r="Z23" i="1"/>
  <c r="Z24" i="1" s="1"/>
  <c r="BN23" i="1"/>
  <c r="Y555" i="1" s="1"/>
  <c r="Y24" i="1"/>
  <c r="X554" i="1"/>
  <c r="Z27" i="1"/>
  <c r="BN27" i="1"/>
  <c r="BP27" i="1"/>
  <c r="Y556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Y122" i="1"/>
  <c r="Z118" i="1"/>
  <c r="Z121" i="1" s="1"/>
  <c r="BN118" i="1"/>
  <c r="Z120" i="1"/>
  <c r="BN120" i="1"/>
  <c r="Y121" i="1"/>
  <c r="BP130" i="1"/>
  <c r="BN130" i="1"/>
  <c r="Z130" i="1"/>
  <c r="Z132" i="1" s="1"/>
  <c r="Y139" i="1"/>
  <c r="BP138" i="1"/>
  <c r="BN138" i="1"/>
  <c r="Z138" i="1"/>
  <c r="Y140" i="1"/>
  <c r="Y145" i="1"/>
  <c r="BP142" i="1"/>
  <c r="BN142" i="1"/>
  <c r="Z142" i="1"/>
  <c r="Z145" i="1" s="1"/>
  <c r="BP151" i="1"/>
  <c r="BN151" i="1"/>
  <c r="Z151" i="1"/>
  <c r="BP155" i="1"/>
  <c r="BN155" i="1"/>
  <c r="Z15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Z167" i="1" s="1"/>
  <c r="Y172" i="1"/>
  <c r="BP176" i="1"/>
  <c r="BN176" i="1"/>
  <c r="Z176" i="1"/>
  <c r="BP180" i="1"/>
  <c r="BN180" i="1"/>
  <c r="Z180" i="1"/>
  <c r="Z186" i="1" s="1"/>
  <c r="BP184" i="1"/>
  <c r="BN184" i="1"/>
  <c r="Z184" i="1"/>
  <c r="Y193" i="1"/>
  <c r="Y192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Z243" i="1" s="1"/>
  <c r="Y243" i="1"/>
  <c r="Z249" i="1"/>
  <c r="BP247" i="1"/>
  <c r="BN247" i="1"/>
  <c r="Z247" i="1"/>
  <c r="BP268" i="1"/>
  <c r="BN268" i="1"/>
  <c r="Z268" i="1"/>
  <c r="Y276" i="1"/>
  <c r="BP272" i="1"/>
  <c r="BN272" i="1"/>
  <c r="Z272" i="1"/>
  <c r="BP280" i="1"/>
  <c r="BN280" i="1"/>
  <c r="Z280" i="1"/>
  <c r="BP284" i="1"/>
  <c r="BN284" i="1"/>
  <c r="Z284" i="1"/>
  <c r="BP288" i="1"/>
  <c r="BN288" i="1"/>
  <c r="Z288" i="1"/>
  <c r="BP362" i="1"/>
  <c r="BN362" i="1"/>
  <c r="Z362" i="1"/>
  <c r="Y366" i="1"/>
  <c r="BP370" i="1"/>
  <c r="BN370" i="1"/>
  <c r="Z370" i="1"/>
  <c r="Z376" i="1" s="1"/>
  <c r="Y376" i="1"/>
  <c r="BP374" i="1"/>
  <c r="BN374" i="1"/>
  <c r="Z374" i="1"/>
  <c r="H564" i="1"/>
  <c r="Y133" i="1"/>
  <c r="BP258" i="1"/>
  <c r="BN258" i="1"/>
  <c r="Z258" i="1"/>
  <c r="Z259" i="1" s="1"/>
  <c r="Y260" i="1"/>
  <c r="Y265" i="1"/>
  <c r="BP262" i="1"/>
  <c r="BN262" i="1"/>
  <c r="Z262" i="1"/>
  <c r="Z264" i="1" s="1"/>
  <c r="Y275" i="1"/>
  <c r="BP270" i="1"/>
  <c r="BN270" i="1"/>
  <c r="Z270" i="1"/>
  <c r="Z275" i="1" s="1"/>
  <c r="BP274" i="1"/>
  <c r="BN274" i="1"/>
  <c r="Z274" i="1"/>
  <c r="Y291" i="1"/>
  <c r="BP278" i="1"/>
  <c r="BN278" i="1"/>
  <c r="Z278" i="1"/>
  <c r="BP282" i="1"/>
  <c r="BN282" i="1"/>
  <c r="Z282" i="1"/>
  <c r="BP286" i="1"/>
  <c r="BN286" i="1"/>
  <c r="Z286" i="1"/>
  <c r="Y290" i="1"/>
  <c r="BP294" i="1"/>
  <c r="BN294" i="1"/>
  <c r="Z294" i="1"/>
  <c r="Z295" i="1" s="1"/>
  <c r="Y296" i="1"/>
  <c r="O564" i="1"/>
  <c r="Y306" i="1"/>
  <c r="BP299" i="1"/>
  <c r="BN299" i="1"/>
  <c r="Z299" i="1"/>
  <c r="BP303" i="1"/>
  <c r="BN303" i="1"/>
  <c r="Z303" i="1"/>
  <c r="BP319" i="1"/>
  <c r="BN319" i="1"/>
  <c r="Z319" i="1"/>
  <c r="P564" i="1"/>
  <c r="Y329" i="1"/>
  <c r="BP324" i="1"/>
  <c r="BN324" i="1"/>
  <c r="Z324" i="1"/>
  <c r="Z329" i="1" s="1"/>
  <c r="BP328" i="1"/>
  <c r="BN328" i="1"/>
  <c r="Z328" i="1"/>
  <c r="Y330" i="1"/>
  <c r="Q564" i="1"/>
  <c r="Y336" i="1"/>
  <c r="BP333" i="1"/>
  <c r="BN333" i="1"/>
  <c r="Z333" i="1"/>
  <c r="Z336" i="1" s="1"/>
  <c r="BP342" i="1"/>
  <c r="BN342" i="1"/>
  <c r="Z342" i="1"/>
  <c r="BP355" i="1"/>
  <c r="BN355" i="1"/>
  <c r="Z355" i="1"/>
  <c r="Z357" i="1" s="1"/>
  <c r="BP364" i="1"/>
  <c r="BN364" i="1"/>
  <c r="Z364" i="1"/>
  <c r="Z366" i="1" s="1"/>
  <c r="Y377" i="1"/>
  <c r="BP372" i="1"/>
  <c r="BN372" i="1"/>
  <c r="Z372" i="1"/>
  <c r="BP380" i="1"/>
  <c r="BN380" i="1"/>
  <c r="Z380" i="1"/>
  <c r="Z383" i="1" s="1"/>
  <c r="BP388" i="1"/>
  <c r="BN388" i="1"/>
  <c r="Z388" i="1"/>
  <c r="Y396" i="1"/>
  <c r="BP392" i="1"/>
  <c r="BN392" i="1"/>
  <c r="Z392" i="1"/>
  <c r="Z396" i="1" s="1"/>
  <c r="Y397" i="1"/>
  <c r="Y402" i="1"/>
  <c r="BP399" i="1"/>
  <c r="BN399" i="1"/>
  <c r="Z399" i="1"/>
  <c r="Z402" i="1" s="1"/>
  <c r="Y403" i="1"/>
  <c r="BP407" i="1"/>
  <c r="BN407" i="1"/>
  <c r="Z407" i="1"/>
  <c r="Y409" i="1"/>
  <c r="Z421" i="1"/>
  <c r="BP419" i="1"/>
  <c r="BN419" i="1"/>
  <c r="Z419" i="1"/>
  <c r="Y421" i="1"/>
  <c r="BP466" i="1"/>
  <c r="BN466" i="1"/>
  <c r="Z466" i="1"/>
  <c r="Y468" i="1"/>
  <c r="Y564" i="1"/>
  <c r="Y478" i="1"/>
  <c r="Y479" i="1"/>
  <c r="BP472" i="1"/>
  <c r="BN472" i="1"/>
  <c r="Z472" i="1"/>
  <c r="M564" i="1"/>
  <c r="Y259" i="1"/>
  <c r="S564" i="1"/>
  <c r="Y358" i="1"/>
  <c r="T564" i="1"/>
  <c r="Y367" i="1"/>
  <c r="BP395" i="1"/>
  <c r="BN395" i="1"/>
  <c r="BP401" i="1"/>
  <c r="BN401" i="1"/>
  <c r="Z401" i="1"/>
  <c r="Y408" i="1"/>
  <c r="BP405" i="1"/>
  <c r="BN405" i="1"/>
  <c r="Z405" i="1"/>
  <c r="BP427" i="1"/>
  <c r="BN427" i="1"/>
  <c r="Z427" i="1"/>
  <c r="Z434" i="1" s="1"/>
  <c r="BP431" i="1"/>
  <c r="BN431" i="1"/>
  <c r="Z431" i="1"/>
  <c r="BP439" i="1"/>
  <c r="BN439" i="1"/>
  <c r="Z439" i="1"/>
  <c r="Y446" i="1"/>
  <c r="BP443" i="1"/>
  <c r="BN443" i="1"/>
  <c r="Z443" i="1"/>
  <c r="Z446" i="1" s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Z467" i="1" s="1"/>
  <c r="BP475" i="1"/>
  <c r="BN475" i="1"/>
  <c r="Z475" i="1"/>
  <c r="Y494" i="1"/>
  <c r="BP492" i="1"/>
  <c r="BN492" i="1"/>
  <c r="Z492" i="1"/>
  <c r="Z494" i="1" s="1"/>
  <c r="Y415" i="1"/>
  <c r="V564" i="1"/>
  <c r="Y422" i="1"/>
  <c r="W564" i="1"/>
  <c r="Y434" i="1"/>
  <c r="X564" i="1"/>
  <c r="Y457" i="1"/>
  <c r="BP477" i="1"/>
  <c r="BN477" i="1"/>
  <c r="Z477" i="1"/>
  <c r="Y484" i="1"/>
  <c r="BP481" i="1"/>
  <c r="BN481" i="1"/>
  <c r="Z481" i="1"/>
  <c r="Z483" i="1" s="1"/>
  <c r="Z564" i="1"/>
  <c r="Y495" i="1"/>
  <c r="Y489" i="1"/>
  <c r="Z500" i="1"/>
  <c r="BN500" i="1"/>
  <c r="BP500" i="1"/>
  <c r="Z502" i="1"/>
  <c r="Z508" i="1" s="1"/>
  <c r="BN502" i="1"/>
  <c r="Z504" i="1"/>
  <c r="BN504" i="1"/>
  <c r="Z506" i="1"/>
  <c r="BN506" i="1"/>
  <c r="Y509" i="1"/>
  <c r="Z512" i="1"/>
  <c r="Z514" i="1" s="1"/>
  <c r="BN512" i="1"/>
  <c r="BP512" i="1"/>
  <c r="Z518" i="1"/>
  <c r="Z524" i="1" s="1"/>
  <c r="BN518" i="1"/>
  <c r="BP518" i="1"/>
  <c r="Z520" i="1"/>
  <c r="BN520" i="1"/>
  <c r="Z522" i="1"/>
  <c r="BN522" i="1"/>
  <c r="Y531" i="1"/>
  <c r="Z546" i="1"/>
  <c r="Z547" i="1" s="1"/>
  <c r="BN546" i="1"/>
  <c r="BP546" i="1"/>
  <c r="Z551" i="1"/>
  <c r="Z552" i="1" s="1"/>
  <c r="BN551" i="1"/>
  <c r="BP551" i="1"/>
  <c r="Y552" i="1"/>
  <c r="Y553" i="1"/>
  <c r="Y557" i="1" l="1"/>
  <c r="Z408" i="1"/>
  <c r="Z306" i="1"/>
  <c r="Z290" i="1"/>
  <c r="Z213" i="1"/>
  <c r="Z32" i="1"/>
  <c r="Z559" i="1" s="1"/>
  <c r="Y558" i="1"/>
  <c r="X557" i="1"/>
  <c r="Z389" i="1"/>
  <c r="Z440" i="1"/>
  <c r="Z235" i="1"/>
  <c r="Z478" i="1"/>
  <c r="Z156" i="1"/>
  <c r="Z345" i="1"/>
  <c r="Z320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<sst xmlns="http://schemas.openxmlformats.org/spreadsheetml/2006/main" count="2515" uniqueCount="912">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</sst>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400</v>
      </c>
      <c r="Y427" s="634">
        <f t="shared" si="53"/>
        <v>405</v>
      </c>
      <c r="Z427" s="36">
        <f>IFERROR(IF(Y427=0,"",ROUNDUP(Y427/H427,0)*0.02175),"")</f>
        <v>0.58724999999999994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412.53333333333336</v>
      </c>
      <c r="BN427" s="64">
        <f t="shared" si="55"/>
        <v>417.69</v>
      </c>
      <c r="BO427" s="64">
        <f t="shared" si="56"/>
        <v>0.55555555555555558</v>
      </c>
      <c r="BP427" s="64">
        <f t="shared" si="57"/>
        <v>0.5625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600</v>
      </c>
      <c r="Y428" s="634">
        <f t="shared" si="53"/>
        <v>600</v>
      </c>
      <c r="Z428" s="36">
        <f>IFERROR(IF(Y428=0,"",ROUNDUP(Y428/H428,0)*0.02175),"")</f>
        <v>0.86999999999999988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618.79999999999995</v>
      </c>
      <c r="BN428" s="64">
        <f t="shared" si="55"/>
        <v>618.79999999999995</v>
      </c>
      <c r="BO428" s="64">
        <f t="shared" si="56"/>
        <v>0.83333333333333326</v>
      </c>
      <c r="BP428" s="64">
        <f t="shared" si="57"/>
        <v>0.83333333333333326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66.666666666666671</v>
      </c>
      <c r="Y434" s="635">
        <f>IFERROR(Y426/H426,"0")+IFERROR(Y427/H427,"0")+IFERROR(Y428/H428,"0")+IFERROR(Y429/H429,"0")+IFERROR(Y430/H430,"0")+IFERROR(Y431/H431,"0")+IFERROR(Y432/H432,"0")+IFERROR(Y433/H433,"0")</f>
        <v>67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1.4572499999999997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1000</v>
      </c>
      <c r="Y435" s="635">
        <f>IFERROR(SUM(Y426:Y433),"0")</f>
        <v>1005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1100</v>
      </c>
      <c r="Y437" s="634">
        <f>IFERROR(IF(X437="",0,CEILING((X437/$H437),1)*$H437),"")</f>
        <v>1110</v>
      </c>
      <c r="Z437" s="36">
        <f>IFERROR(IF(Y437=0,"",ROUNDUP(Y437/H437,0)*0.02175),"")</f>
        <v>1.6094999999999999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1134.4666666666667</v>
      </c>
      <c r="BN437" s="64">
        <f>IFERROR(Y437*I437/H437,"0")</f>
        <v>1144.78</v>
      </c>
      <c r="BO437" s="64">
        <f>IFERROR(1/J437*(X437/H437),"0")</f>
        <v>1.5277777777777777</v>
      </c>
      <c r="BP437" s="64">
        <f>IFERROR(1/J437*(Y437/H437),"0")</f>
        <v>1.5416666666666665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73.333333333333329</v>
      </c>
      <c r="Y440" s="635">
        <f>IFERROR(Y437/H437,"0")+IFERROR(Y438/H438,"0")+IFERROR(Y439/H439,"0")</f>
        <v>74</v>
      </c>
      <c r="Z440" s="635">
        <f>IFERROR(IF(Z437="",0,Z437),"0")+IFERROR(IF(Z438="",0,Z438),"0")+IFERROR(IF(Z439="",0,Z439),"0")</f>
        <v>1.6094999999999999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1100</v>
      </c>
      <c r="Y441" s="635">
        <f>IFERROR(SUM(Y437:Y439),"0")</f>
        <v>1110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2100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2115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2165.8000000000002</v>
      </c>
      <c r="Y555" s="635">
        <f>IFERROR(SUM(BN22:BN551),"0")</f>
        <v>2181.27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</v>
      </c>
      <c r="Y556" s="38">
        <f>ROUNDUP(SUM(BP22:BP551),0)</f>
        <v>3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2240.8000000000002</v>
      </c>
      <c r="Y557" s="635">
        <f>GrossWeightTotalR+PalletQtyTotalR*25</f>
        <v>2256.27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140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141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3.0667499999999999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2115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