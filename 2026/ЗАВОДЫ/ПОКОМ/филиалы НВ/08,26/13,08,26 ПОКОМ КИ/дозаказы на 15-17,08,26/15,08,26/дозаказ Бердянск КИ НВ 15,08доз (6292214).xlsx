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13,08,26 ПОКОМ КИ\дозаказы на 15,08,26\"/>
    </mc:Choice>
  </mc:AlternateContent>
  <xr:revisionPtr revIDLastSave="0" documentId="13_ncr:1_{11DD8B48-2913-459E-B046-BF9D6D514693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Y553" i="1" l="1"/>
  <c r="X553" i="1"/>
  <c r="Y552" i="1"/>
  <c r="X552" i="1"/>
  <c r="BP551" i="1"/>
  <c r="BO551" i="1"/>
  <c r="BM551" i="1"/>
  <c r="Y551" i="1"/>
  <c r="AC564" i="1" s="1"/>
  <c r="P551" i="1"/>
  <c r="Y548" i="1"/>
  <c r="X548" i="1"/>
  <c r="Y547" i="1"/>
  <c r="X547" i="1"/>
  <c r="BP546" i="1"/>
  <c r="BO546" i="1"/>
  <c r="BM546" i="1"/>
  <c r="Z546" i="1"/>
  <c r="Z547" i="1" s="1"/>
  <c r="Y546" i="1"/>
  <c r="BN546" i="1" s="1"/>
  <c r="P546" i="1"/>
  <c r="BP545" i="1"/>
  <c r="BO545" i="1"/>
  <c r="BN545" i="1"/>
  <c r="BM545" i="1"/>
  <c r="Z545" i="1"/>
  <c r="Y545" i="1"/>
  <c r="P545" i="1"/>
  <c r="X543" i="1"/>
  <c r="Z542" i="1"/>
  <c r="X542" i="1"/>
  <c r="BO541" i="1"/>
  <c r="BM541" i="1"/>
  <c r="Z541" i="1"/>
  <c r="Y541" i="1"/>
  <c r="Y543" i="1" s="1"/>
  <c r="P541" i="1"/>
  <c r="Y539" i="1"/>
  <c r="X539" i="1"/>
  <c r="X538" i="1"/>
  <c r="BO537" i="1"/>
  <c r="BM537" i="1"/>
  <c r="Y537" i="1"/>
  <c r="BN537" i="1" s="1"/>
  <c r="P537" i="1"/>
  <c r="Y535" i="1"/>
  <c r="X535" i="1"/>
  <c r="Y534" i="1"/>
  <c r="X534" i="1"/>
  <c r="BP533" i="1"/>
  <c r="BO533" i="1"/>
  <c r="BN533" i="1"/>
  <c r="BM533" i="1"/>
  <c r="Z533" i="1"/>
  <c r="Z534" i="1" s="1"/>
  <c r="Y533" i="1"/>
  <c r="P533" i="1"/>
  <c r="X531" i="1"/>
  <c r="Y530" i="1"/>
  <c r="X530" i="1"/>
  <c r="BP529" i="1"/>
  <c r="BO529" i="1"/>
  <c r="BM529" i="1"/>
  <c r="Y529" i="1"/>
  <c r="AB564" i="1" s="1"/>
  <c r="P529" i="1"/>
  <c r="X525" i="1"/>
  <c r="X524" i="1"/>
  <c r="BP523" i="1"/>
  <c r="BO523" i="1"/>
  <c r="BN523" i="1"/>
  <c r="BM523" i="1"/>
  <c r="Z523" i="1"/>
  <c r="Y523" i="1"/>
  <c r="P523" i="1"/>
  <c r="BO522" i="1"/>
  <c r="BN522" i="1"/>
  <c r="BM522" i="1"/>
  <c r="Z522" i="1"/>
  <c r="Y522" i="1"/>
  <c r="BP522" i="1" s="1"/>
  <c r="P522" i="1"/>
  <c r="BO521" i="1"/>
  <c r="BM521" i="1"/>
  <c r="Y521" i="1"/>
  <c r="P521" i="1"/>
  <c r="BO520" i="1"/>
  <c r="BM520" i="1"/>
  <c r="Y520" i="1"/>
  <c r="P520" i="1"/>
  <c r="BP519" i="1"/>
  <c r="BO519" i="1"/>
  <c r="BM519" i="1"/>
  <c r="Y519" i="1"/>
  <c r="BN519" i="1" s="1"/>
  <c r="P519" i="1"/>
  <c r="BO518" i="1"/>
  <c r="BM518" i="1"/>
  <c r="Z518" i="1"/>
  <c r="Y518" i="1"/>
  <c r="P518" i="1"/>
  <c r="BP517" i="1"/>
  <c r="BO517" i="1"/>
  <c r="BN517" i="1"/>
  <c r="BM517" i="1"/>
  <c r="Z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P511" i="1"/>
  <c r="BO511" i="1"/>
  <c r="BM511" i="1"/>
  <c r="Y511" i="1"/>
  <c r="BN511" i="1" s="1"/>
  <c r="P511" i="1"/>
  <c r="X509" i="1"/>
  <c r="X508" i="1"/>
  <c r="BP507" i="1"/>
  <c r="BO507" i="1"/>
  <c r="BN507" i="1"/>
  <c r="BM507" i="1"/>
  <c r="Z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O504" i="1"/>
  <c r="BM504" i="1"/>
  <c r="Y504" i="1"/>
  <c r="BP504" i="1" s="1"/>
  <c r="P504" i="1"/>
  <c r="BP503" i="1"/>
  <c r="BO503" i="1"/>
  <c r="BM503" i="1"/>
  <c r="Y503" i="1"/>
  <c r="BN503" i="1" s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P500" i="1"/>
  <c r="BO500" i="1"/>
  <c r="BM500" i="1"/>
  <c r="Y500" i="1"/>
  <c r="BN500" i="1" s="1"/>
  <c r="P500" i="1"/>
  <c r="BO499" i="1"/>
  <c r="BM499" i="1"/>
  <c r="Z499" i="1"/>
  <c r="Y499" i="1"/>
  <c r="P499" i="1"/>
  <c r="X495" i="1"/>
  <c r="Y494" i="1"/>
  <c r="X494" i="1"/>
  <c r="BP493" i="1"/>
  <c r="BO493" i="1"/>
  <c r="BM493" i="1"/>
  <c r="Y493" i="1"/>
  <c r="BN493" i="1" s="1"/>
  <c r="P493" i="1"/>
  <c r="BO492" i="1"/>
  <c r="BM492" i="1"/>
  <c r="Z492" i="1"/>
  <c r="Y492" i="1"/>
  <c r="P492" i="1"/>
  <c r="BP491" i="1"/>
  <c r="BO491" i="1"/>
  <c r="BN491" i="1"/>
  <c r="BM491" i="1"/>
  <c r="Z491" i="1"/>
  <c r="Y491" i="1"/>
  <c r="P491" i="1"/>
  <c r="X489" i="1"/>
  <c r="X488" i="1"/>
  <c r="BO487" i="1"/>
  <c r="BM487" i="1"/>
  <c r="Y487" i="1"/>
  <c r="P487" i="1"/>
  <c r="Y484" i="1"/>
  <c r="X484" i="1"/>
  <c r="Y483" i="1"/>
  <c r="X483" i="1"/>
  <c r="BP482" i="1"/>
  <c r="BO482" i="1"/>
  <c r="BN482" i="1"/>
  <c r="BM482" i="1"/>
  <c r="Z482" i="1"/>
  <c r="Y482" i="1"/>
  <c r="P482" i="1"/>
  <c r="BP481" i="1"/>
  <c r="BO481" i="1"/>
  <c r="BM481" i="1"/>
  <c r="Z481" i="1"/>
  <c r="Z483" i="1" s="1"/>
  <c r="Y481" i="1"/>
  <c r="BN481" i="1" s="1"/>
  <c r="P481" i="1"/>
  <c r="Y479" i="1"/>
  <c r="X479" i="1"/>
  <c r="X478" i="1"/>
  <c r="BO477" i="1"/>
  <c r="BM477" i="1"/>
  <c r="Z477" i="1"/>
  <c r="Y477" i="1"/>
  <c r="BP477" i="1" s="1"/>
  <c r="P477" i="1"/>
  <c r="BO476" i="1"/>
  <c r="BM476" i="1"/>
  <c r="Y476" i="1"/>
  <c r="BN476" i="1" s="1"/>
  <c r="P476" i="1"/>
  <c r="BO475" i="1"/>
  <c r="BM475" i="1"/>
  <c r="Y475" i="1"/>
  <c r="Z475" i="1" s="1"/>
  <c r="P475" i="1"/>
  <c r="BP474" i="1"/>
  <c r="BO474" i="1"/>
  <c r="BN474" i="1"/>
  <c r="BM474" i="1"/>
  <c r="Z474" i="1"/>
  <c r="Y474" i="1"/>
  <c r="P474" i="1"/>
  <c r="BP473" i="1"/>
  <c r="BO473" i="1"/>
  <c r="BM473" i="1"/>
  <c r="Z473" i="1"/>
  <c r="Y473" i="1"/>
  <c r="BN473" i="1" s="1"/>
  <c r="P473" i="1"/>
  <c r="BP472" i="1"/>
  <c r="BO472" i="1"/>
  <c r="BN472" i="1"/>
  <c r="BM472" i="1"/>
  <c r="Z472" i="1"/>
  <c r="Y472" i="1"/>
  <c r="Y564" i="1" s="1"/>
  <c r="P472" i="1"/>
  <c r="X468" i="1"/>
  <c r="X467" i="1"/>
  <c r="BO466" i="1"/>
  <c r="BM466" i="1"/>
  <c r="Y466" i="1"/>
  <c r="BN466" i="1" s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Y462" i="1"/>
  <c r="X462" i="1"/>
  <c r="Y461" i="1"/>
  <c r="X461" i="1"/>
  <c r="BP460" i="1"/>
  <c r="BO460" i="1"/>
  <c r="BN460" i="1"/>
  <c r="BM460" i="1"/>
  <c r="Z460" i="1"/>
  <c r="Z461" i="1" s="1"/>
  <c r="Y460" i="1"/>
  <c r="P460" i="1"/>
  <c r="X458" i="1"/>
  <c r="X457" i="1"/>
  <c r="BO456" i="1"/>
  <c r="BM456" i="1"/>
  <c r="Z456" i="1"/>
  <c r="Y456" i="1"/>
  <c r="BP456" i="1" s="1"/>
  <c r="P456" i="1"/>
  <c r="BO455" i="1"/>
  <c r="BM455" i="1"/>
  <c r="Z455" i="1"/>
  <c r="Z457" i="1" s="1"/>
  <c r="Y455" i="1"/>
  <c r="P455" i="1"/>
  <c r="Y452" i="1"/>
  <c r="X452" i="1"/>
  <c r="X451" i="1"/>
  <c r="BP450" i="1"/>
  <c r="BO450" i="1"/>
  <c r="BM450" i="1"/>
  <c r="Y450" i="1"/>
  <c r="BN450" i="1" s="1"/>
  <c r="P450" i="1"/>
  <c r="BO449" i="1"/>
  <c r="BM449" i="1"/>
  <c r="Y449" i="1"/>
  <c r="P449" i="1"/>
  <c r="X447" i="1"/>
  <c r="Y446" i="1"/>
  <c r="X446" i="1"/>
  <c r="BP445" i="1"/>
  <c r="BO445" i="1"/>
  <c r="BM445" i="1"/>
  <c r="Y445" i="1"/>
  <c r="BN445" i="1" s="1"/>
  <c r="P445" i="1"/>
  <c r="BO444" i="1"/>
  <c r="BM444" i="1"/>
  <c r="Z444" i="1"/>
  <c r="Y444" i="1"/>
  <c r="P444" i="1"/>
  <c r="BP443" i="1"/>
  <c r="BO443" i="1"/>
  <c r="BN443" i="1"/>
  <c r="BM443" i="1"/>
  <c r="Z443" i="1"/>
  <c r="Y443" i="1"/>
  <c r="P443" i="1"/>
  <c r="X441" i="1"/>
  <c r="X440" i="1"/>
  <c r="BO439" i="1"/>
  <c r="BM439" i="1"/>
  <c r="Y439" i="1"/>
  <c r="P439" i="1"/>
  <c r="BO438" i="1"/>
  <c r="BM438" i="1"/>
  <c r="Y438" i="1"/>
  <c r="Y441" i="1" s="1"/>
  <c r="P438" i="1"/>
  <c r="BP437" i="1"/>
  <c r="BO437" i="1"/>
  <c r="BM437" i="1"/>
  <c r="Y437" i="1"/>
  <c r="BN437" i="1" s="1"/>
  <c r="P437" i="1"/>
  <c r="X435" i="1"/>
  <c r="X434" i="1"/>
  <c r="BP433" i="1"/>
  <c r="BO433" i="1"/>
  <c r="BN433" i="1"/>
  <c r="BM433" i="1"/>
  <c r="Z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M429" i="1"/>
  <c r="Y429" i="1"/>
  <c r="BN429" i="1" s="1"/>
  <c r="P429" i="1"/>
  <c r="BO428" i="1"/>
  <c r="BM428" i="1"/>
  <c r="Y428" i="1"/>
  <c r="BP428" i="1" s="1"/>
  <c r="P428" i="1"/>
  <c r="BP427" i="1"/>
  <c r="BO427" i="1"/>
  <c r="BN427" i="1"/>
  <c r="BM427" i="1"/>
  <c r="Z427" i="1"/>
  <c r="Y427" i="1"/>
  <c r="P427" i="1"/>
  <c r="BP426" i="1"/>
  <c r="BO426" i="1"/>
  <c r="BM426" i="1"/>
  <c r="Y426" i="1"/>
  <c r="P426" i="1"/>
  <c r="X422" i="1"/>
  <c r="X421" i="1"/>
  <c r="BO420" i="1"/>
  <c r="BM420" i="1"/>
  <c r="Y420" i="1"/>
  <c r="P420" i="1"/>
  <c r="BP419" i="1"/>
  <c r="BO419" i="1"/>
  <c r="BM419" i="1"/>
  <c r="Y419" i="1"/>
  <c r="BN419" i="1" s="1"/>
  <c r="P419" i="1"/>
  <c r="BO418" i="1"/>
  <c r="BM418" i="1"/>
  <c r="Y418" i="1"/>
  <c r="Y421" i="1" s="1"/>
  <c r="P418" i="1"/>
  <c r="Y415" i="1"/>
  <c r="X415" i="1"/>
  <c r="Y414" i="1"/>
  <c r="X414" i="1"/>
  <c r="BP413" i="1"/>
  <c r="BO413" i="1"/>
  <c r="BN413" i="1"/>
  <c r="BM413" i="1"/>
  <c r="Z413" i="1"/>
  <c r="Y413" i="1"/>
  <c r="BP412" i="1"/>
  <c r="BO412" i="1"/>
  <c r="BM412" i="1"/>
  <c r="Z412" i="1"/>
  <c r="Z414" i="1" s="1"/>
  <c r="Y412" i="1"/>
  <c r="U564" i="1" s="1"/>
  <c r="Y409" i="1"/>
  <c r="X409" i="1"/>
  <c r="Y408" i="1"/>
  <c r="X408" i="1"/>
  <c r="BP407" i="1"/>
  <c r="BO407" i="1"/>
  <c r="BN407" i="1"/>
  <c r="BM407" i="1"/>
  <c r="Y407" i="1"/>
  <c r="Z407" i="1" s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X402" i="1"/>
  <c r="BO401" i="1"/>
  <c r="BM401" i="1"/>
  <c r="Z401" i="1"/>
  <c r="Y401" i="1"/>
  <c r="BP401" i="1" s="1"/>
  <c r="P401" i="1"/>
  <c r="BP400" i="1"/>
  <c r="BO400" i="1"/>
  <c r="BN400" i="1"/>
  <c r="BM400" i="1"/>
  <c r="Z400" i="1"/>
  <c r="Y400" i="1"/>
  <c r="P400" i="1"/>
  <c r="BO399" i="1"/>
  <c r="BM399" i="1"/>
  <c r="Y399" i="1"/>
  <c r="BP399" i="1" s="1"/>
  <c r="P399" i="1"/>
  <c r="X397" i="1"/>
  <c r="X396" i="1"/>
  <c r="BO395" i="1"/>
  <c r="BM395" i="1"/>
  <c r="Z395" i="1"/>
  <c r="Y395" i="1"/>
  <c r="BN395" i="1" s="1"/>
  <c r="P395" i="1"/>
  <c r="BO394" i="1"/>
  <c r="BN394" i="1"/>
  <c r="BM394" i="1"/>
  <c r="Y394" i="1"/>
  <c r="BP394" i="1" s="1"/>
  <c r="P394" i="1"/>
  <c r="BO393" i="1"/>
  <c r="BM393" i="1"/>
  <c r="Z393" i="1"/>
  <c r="Y393" i="1"/>
  <c r="BP393" i="1" s="1"/>
  <c r="P393" i="1"/>
  <c r="BP392" i="1"/>
  <c r="BO392" i="1"/>
  <c r="BN392" i="1"/>
  <c r="BM392" i="1"/>
  <c r="Y392" i="1"/>
  <c r="P392" i="1"/>
  <c r="X390" i="1"/>
  <c r="X389" i="1"/>
  <c r="BP388" i="1"/>
  <c r="BO388" i="1"/>
  <c r="BM388" i="1"/>
  <c r="Y388" i="1"/>
  <c r="BN388" i="1" s="1"/>
  <c r="P388" i="1"/>
  <c r="BO387" i="1"/>
  <c r="BM387" i="1"/>
  <c r="Y387" i="1"/>
  <c r="BN387" i="1" s="1"/>
  <c r="P387" i="1"/>
  <c r="BO386" i="1"/>
  <c r="BN386" i="1"/>
  <c r="BM386" i="1"/>
  <c r="Y386" i="1"/>
  <c r="BP386" i="1" s="1"/>
  <c r="P386" i="1"/>
  <c r="X384" i="1"/>
  <c r="X383" i="1"/>
  <c r="BO382" i="1"/>
  <c r="BM382" i="1"/>
  <c r="Z382" i="1"/>
  <c r="Y382" i="1"/>
  <c r="BP382" i="1" s="1"/>
  <c r="P382" i="1"/>
  <c r="BP381" i="1"/>
  <c r="BO381" i="1"/>
  <c r="BN381" i="1"/>
  <c r="BM381" i="1"/>
  <c r="Z381" i="1"/>
  <c r="Y381" i="1"/>
  <c r="P381" i="1"/>
  <c r="BP380" i="1"/>
  <c r="BO380" i="1"/>
  <c r="BM380" i="1"/>
  <c r="Y380" i="1"/>
  <c r="BN380" i="1" s="1"/>
  <c r="P380" i="1"/>
  <c r="BP379" i="1"/>
  <c r="BO379" i="1"/>
  <c r="BM379" i="1"/>
  <c r="Y379" i="1"/>
  <c r="P379" i="1"/>
  <c r="X377" i="1"/>
  <c r="X376" i="1"/>
  <c r="BP375" i="1"/>
  <c r="BO375" i="1"/>
  <c r="BM375" i="1"/>
  <c r="Y375" i="1"/>
  <c r="BN375" i="1" s="1"/>
  <c r="P375" i="1"/>
  <c r="BO374" i="1"/>
  <c r="BN374" i="1"/>
  <c r="BM374" i="1"/>
  <c r="Y374" i="1"/>
  <c r="BP374" i="1" s="1"/>
  <c r="P374" i="1"/>
  <c r="BP373" i="1"/>
  <c r="BO373" i="1"/>
  <c r="BN373" i="1"/>
  <c r="BM373" i="1"/>
  <c r="Z373" i="1"/>
  <c r="Y373" i="1"/>
  <c r="P373" i="1"/>
  <c r="BP372" i="1"/>
  <c r="BO372" i="1"/>
  <c r="BM372" i="1"/>
  <c r="Y372" i="1"/>
  <c r="BN372" i="1" s="1"/>
  <c r="P372" i="1"/>
  <c r="BO371" i="1"/>
  <c r="BM371" i="1"/>
  <c r="Z371" i="1"/>
  <c r="Y371" i="1"/>
  <c r="BN371" i="1" s="1"/>
  <c r="P371" i="1"/>
  <c r="BO370" i="1"/>
  <c r="BM370" i="1"/>
  <c r="Y370" i="1"/>
  <c r="Y377" i="1" s="1"/>
  <c r="P370" i="1"/>
  <c r="BO369" i="1"/>
  <c r="BM369" i="1"/>
  <c r="Z369" i="1"/>
  <c r="Y369" i="1"/>
  <c r="BP369" i="1" s="1"/>
  <c r="P369" i="1"/>
  <c r="X367" i="1"/>
  <c r="Y366" i="1"/>
  <c r="X366" i="1"/>
  <c r="BP365" i="1"/>
  <c r="BO365" i="1"/>
  <c r="BN365" i="1"/>
  <c r="BM365" i="1"/>
  <c r="Z365" i="1"/>
  <c r="Y365" i="1"/>
  <c r="P365" i="1"/>
  <c r="BP364" i="1"/>
  <c r="BO364" i="1"/>
  <c r="BM364" i="1"/>
  <c r="Y364" i="1"/>
  <c r="BN364" i="1" s="1"/>
  <c r="P364" i="1"/>
  <c r="BP363" i="1"/>
  <c r="BO363" i="1"/>
  <c r="BM363" i="1"/>
  <c r="Y363" i="1"/>
  <c r="BN363" i="1" s="1"/>
  <c r="P363" i="1"/>
  <c r="BO362" i="1"/>
  <c r="BM362" i="1"/>
  <c r="Y362" i="1"/>
  <c r="BP362" i="1" s="1"/>
  <c r="P362" i="1"/>
  <c r="BO361" i="1"/>
  <c r="BM361" i="1"/>
  <c r="Z361" i="1"/>
  <c r="Y361" i="1"/>
  <c r="P361" i="1"/>
  <c r="X358" i="1"/>
  <c r="X357" i="1"/>
  <c r="BP356" i="1"/>
  <c r="BO356" i="1"/>
  <c r="BN356" i="1"/>
  <c r="BM356" i="1"/>
  <c r="Z356" i="1"/>
  <c r="Y356" i="1"/>
  <c r="P356" i="1"/>
  <c r="BP355" i="1"/>
  <c r="BO355" i="1"/>
  <c r="BM355" i="1"/>
  <c r="Y355" i="1"/>
  <c r="BN355" i="1" s="1"/>
  <c r="P355" i="1"/>
  <c r="BP354" i="1"/>
  <c r="BO354" i="1"/>
  <c r="BM354" i="1"/>
  <c r="Y354" i="1"/>
  <c r="P354" i="1"/>
  <c r="X351" i="1"/>
  <c r="X350" i="1"/>
  <c r="BP349" i="1"/>
  <c r="BO349" i="1"/>
  <c r="BM349" i="1"/>
  <c r="Y349" i="1"/>
  <c r="BN349" i="1" s="1"/>
  <c r="P349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Y346" i="1" s="1"/>
  <c r="P342" i="1"/>
  <c r="BP341" i="1"/>
  <c r="BO341" i="1"/>
  <c r="BM341" i="1"/>
  <c r="Y341" i="1"/>
  <c r="BN341" i="1" s="1"/>
  <c r="P341" i="1"/>
  <c r="BO340" i="1"/>
  <c r="BM340" i="1"/>
  <c r="Z340" i="1"/>
  <c r="Y340" i="1"/>
  <c r="P340" i="1"/>
  <c r="X337" i="1"/>
  <c r="X336" i="1"/>
  <c r="BP335" i="1"/>
  <c r="BO335" i="1"/>
  <c r="BN335" i="1"/>
  <c r="BM335" i="1"/>
  <c r="Z335" i="1"/>
  <c r="Y335" i="1"/>
  <c r="P335" i="1"/>
  <c r="BO334" i="1"/>
  <c r="BN334" i="1"/>
  <c r="BM334" i="1"/>
  <c r="Y334" i="1"/>
  <c r="P334" i="1"/>
  <c r="BO333" i="1"/>
  <c r="BM333" i="1"/>
  <c r="Y333" i="1"/>
  <c r="Y337" i="1" s="1"/>
  <c r="P333" i="1"/>
  <c r="X330" i="1"/>
  <c r="X329" i="1"/>
  <c r="BP328" i="1"/>
  <c r="BO328" i="1"/>
  <c r="BM328" i="1"/>
  <c r="Z328" i="1"/>
  <c r="Y328" i="1"/>
  <c r="BN328" i="1" s="1"/>
  <c r="P328" i="1"/>
  <c r="BP327" i="1"/>
  <c r="BO327" i="1"/>
  <c r="BN327" i="1"/>
  <c r="BM327" i="1"/>
  <c r="Z327" i="1"/>
  <c r="Y327" i="1"/>
  <c r="P327" i="1"/>
  <c r="BP326" i="1"/>
  <c r="BO326" i="1"/>
  <c r="BN326" i="1"/>
  <c r="BM326" i="1"/>
  <c r="Z326" i="1"/>
  <c r="Y326" i="1"/>
  <c r="P326" i="1"/>
  <c r="BO325" i="1"/>
  <c r="BN325" i="1"/>
  <c r="BM325" i="1"/>
  <c r="Y325" i="1"/>
  <c r="P325" i="1"/>
  <c r="BP324" i="1"/>
  <c r="BO324" i="1"/>
  <c r="BM324" i="1"/>
  <c r="Y324" i="1"/>
  <c r="P324" i="1"/>
  <c r="Y321" i="1"/>
  <c r="X321" i="1"/>
  <c r="X320" i="1"/>
  <c r="BP319" i="1"/>
  <c r="BO319" i="1"/>
  <c r="BM319" i="1"/>
  <c r="Z319" i="1"/>
  <c r="Y319" i="1"/>
  <c r="BN319" i="1" s="1"/>
  <c r="P319" i="1"/>
  <c r="BP318" i="1"/>
  <c r="BO318" i="1"/>
  <c r="BN318" i="1"/>
  <c r="BM318" i="1"/>
  <c r="Z318" i="1"/>
  <c r="Y318" i="1"/>
  <c r="Y320" i="1" s="1"/>
  <c r="P318" i="1"/>
  <c r="BP317" i="1"/>
  <c r="BO317" i="1"/>
  <c r="BN317" i="1"/>
  <c r="BM317" i="1"/>
  <c r="Z317" i="1"/>
  <c r="Y317" i="1"/>
  <c r="P317" i="1"/>
  <c r="X315" i="1"/>
  <c r="X314" i="1"/>
  <c r="BO313" i="1"/>
  <c r="BM313" i="1"/>
  <c r="Y313" i="1"/>
  <c r="P313" i="1"/>
  <c r="X311" i="1"/>
  <c r="Y310" i="1"/>
  <c r="X310" i="1"/>
  <c r="BO309" i="1"/>
  <c r="BM309" i="1"/>
  <c r="Y309" i="1"/>
  <c r="P309" i="1"/>
  <c r="X307" i="1"/>
  <c r="X306" i="1"/>
  <c r="BO305" i="1"/>
  <c r="BM305" i="1"/>
  <c r="Y305" i="1"/>
  <c r="P305" i="1"/>
  <c r="BO304" i="1"/>
  <c r="BM304" i="1"/>
  <c r="Z304" i="1"/>
  <c r="Y304" i="1"/>
  <c r="BP304" i="1" s="1"/>
  <c r="P304" i="1"/>
  <c r="BP303" i="1"/>
  <c r="BO303" i="1"/>
  <c r="BM303" i="1"/>
  <c r="Y303" i="1"/>
  <c r="BN303" i="1" s="1"/>
  <c r="P303" i="1"/>
  <c r="BO302" i="1"/>
  <c r="BM302" i="1"/>
  <c r="Y302" i="1"/>
  <c r="BP302" i="1" s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P299" i="1"/>
  <c r="BO299" i="1"/>
  <c r="BM299" i="1"/>
  <c r="Z299" i="1"/>
  <c r="Y299" i="1"/>
  <c r="BN299" i="1" s="1"/>
  <c r="P299" i="1"/>
  <c r="X296" i="1"/>
  <c r="X295" i="1"/>
  <c r="BO294" i="1"/>
  <c r="BM294" i="1"/>
  <c r="Y294" i="1"/>
  <c r="BP294" i="1" s="1"/>
  <c r="P294" i="1"/>
  <c r="BP293" i="1"/>
  <c r="BO293" i="1"/>
  <c r="BM293" i="1"/>
  <c r="Y293" i="1"/>
  <c r="P293" i="1"/>
  <c r="X291" i="1"/>
  <c r="X290" i="1"/>
  <c r="BP289" i="1"/>
  <c r="BO289" i="1"/>
  <c r="BM289" i="1"/>
  <c r="Z289" i="1"/>
  <c r="Y289" i="1"/>
  <c r="BN289" i="1" s="1"/>
  <c r="P289" i="1"/>
  <c r="BO288" i="1"/>
  <c r="BM288" i="1"/>
  <c r="Y288" i="1"/>
  <c r="P288" i="1"/>
  <c r="BO287" i="1"/>
  <c r="BM287" i="1"/>
  <c r="Z287" i="1"/>
  <c r="Y287" i="1"/>
  <c r="BP287" i="1" s="1"/>
  <c r="P287" i="1"/>
  <c r="BO286" i="1"/>
  <c r="BN286" i="1"/>
  <c r="BM286" i="1"/>
  <c r="Y286" i="1"/>
  <c r="Z286" i="1" s="1"/>
  <c r="P286" i="1"/>
  <c r="BO285" i="1"/>
  <c r="BM285" i="1"/>
  <c r="Y285" i="1"/>
  <c r="BP285" i="1" s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P282" i="1"/>
  <c r="BO282" i="1"/>
  <c r="BM282" i="1"/>
  <c r="Z282" i="1"/>
  <c r="Y282" i="1"/>
  <c r="BN282" i="1" s="1"/>
  <c r="P282" i="1"/>
  <c r="BO281" i="1"/>
  <c r="BN281" i="1"/>
  <c r="BM281" i="1"/>
  <c r="Z281" i="1"/>
  <c r="Y281" i="1"/>
  <c r="BP281" i="1" s="1"/>
  <c r="P281" i="1"/>
  <c r="BP280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X276" i="1"/>
  <c r="X275" i="1"/>
  <c r="BP274" i="1"/>
  <c r="BO274" i="1"/>
  <c r="BM274" i="1"/>
  <c r="Z274" i="1"/>
  <c r="Y274" i="1"/>
  <c r="BN274" i="1" s="1"/>
  <c r="P274" i="1"/>
  <c r="BO273" i="1"/>
  <c r="BN273" i="1"/>
  <c r="BM273" i="1"/>
  <c r="Z273" i="1"/>
  <c r="Y273" i="1"/>
  <c r="BP273" i="1" s="1"/>
  <c r="P273" i="1"/>
  <c r="BO272" i="1"/>
  <c r="BN272" i="1"/>
  <c r="BM272" i="1"/>
  <c r="Y272" i="1"/>
  <c r="Z272" i="1" s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BP270" i="1" s="1"/>
  <c r="P270" i="1"/>
  <c r="BP269" i="1"/>
  <c r="BO269" i="1"/>
  <c r="BN269" i="1"/>
  <c r="BM269" i="1"/>
  <c r="Z269" i="1"/>
  <c r="Y269" i="1"/>
  <c r="P269" i="1"/>
  <c r="BP268" i="1"/>
  <c r="BO268" i="1"/>
  <c r="BN268" i="1"/>
  <c r="BM268" i="1"/>
  <c r="Z268" i="1"/>
  <c r="Y268" i="1"/>
  <c r="P268" i="1"/>
  <c r="BP267" i="1"/>
  <c r="BO267" i="1"/>
  <c r="BN267" i="1"/>
  <c r="BM267" i="1"/>
  <c r="Y267" i="1"/>
  <c r="P267" i="1"/>
  <c r="Y265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Z262" i="1"/>
  <c r="Z264" i="1" s="1"/>
  <c r="Y262" i="1"/>
  <c r="BP262" i="1" s="1"/>
  <c r="P262" i="1"/>
  <c r="X260" i="1"/>
  <c r="X259" i="1"/>
  <c r="BP258" i="1"/>
  <c r="BO258" i="1"/>
  <c r="BM258" i="1"/>
  <c r="Z258" i="1"/>
  <c r="Y258" i="1"/>
  <c r="BN258" i="1" s="1"/>
  <c r="P258" i="1"/>
  <c r="BO257" i="1"/>
  <c r="BN257" i="1"/>
  <c r="BM257" i="1"/>
  <c r="Y257" i="1"/>
  <c r="P257" i="1"/>
  <c r="Y254" i="1"/>
  <c r="X254" i="1"/>
  <c r="X253" i="1"/>
  <c r="BP252" i="1"/>
  <c r="BO252" i="1"/>
  <c r="BN252" i="1"/>
  <c r="BM252" i="1"/>
  <c r="Y252" i="1"/>
  <c r="Y253" i="1" s="1"/>
  <c r="P252" i="1"/>
  <c r="X250" i="1"/>
  <c r="Y249" i="1"/>
  <c r="X249" i="1"/>
  <c r="BP248" i="1"/>
  <c r="BO248" i="1"/>
  <c r="BM248" i="1"/>
  <c r="Z248" i="1"/>
  <c r="Y248" i="1"/>
  <c r="BN248" i="1" s="1"/>
  <c r="P248" i="1"/>
  <c r="BO247" i="1"/>
  <c r="BN247" i="1"/>
  <c r="BM247" i="1"/>
  <c r="Y247" i="1"/>
  <c r="P247" i="1"/>
  <c r="BO246" i="1"/>
  <c r="BM246" i="1"/>
  <c r="Z246" i="1"/>
  <c r="Y246" i="1"/>
  <c r="BP246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O240" i="1"/>
  <c r="BM240" i="1"/>
  <c r="Y240" i="1"/>
  <c r="BN240" i="1" s="1"/>
  <c r="P240" i="1"/>
  <c r="BO239" i="1"/>
  <c r="BN239" i="1"/>
  <c r="BM239" i="1"/>
  <c r="Y239" i="1"/>
  <c r="P239" i="1"/>
  <c r="BO238" i="1"/>
  <c r="BM238" i="1"/>
  <c r="Z238" i="1"/>
  <c r="Y238" i="1"/>
  <c r="BP238" i="1" s="1"/>
  <c r="P238" i="1"/>
  <c r="X236" i="1"/>
  <c r="X235" i="1"/>
  <c r="BP234" i="1"/>
  <c r="BO234" i="1"/>
  <c r="BN234" i="1"/>
  <c r="BM234" i="1"/>
  <c r="Z234" i="1"/>
  <c r="Y234" i="1"/>
  <c r="P234" i="1"/>
  <c r="BP233" i="1"/>
  <c r="BO233" i="1"/>
  <c r="BM233" i="1"/>
  <c r="Y233" i="1"/>
  <c r="P233" i="1"/>
  <c r="BP232" i="1"/>
  <c r="BO232" i="1"/>
  <c r="BM232" i="1"/>
  <c r="Y232" i="1"/>
  <c r="BN232" i="1" s="1"/>
  <c r="P232" i="1"/>
  <c r="BO231" i="1"/>
  <c r="BM231" i="1"/>
  <c r="Y231" i="1"/>
  <c r="P231" i="1"/>
  <c r="BO230" i="1"/>
  <c r="BM230" i="1"/>
  <c r="Z230" i="1"/>
  <c r="Y230" i="1"/>
  <c r="BP230" i="1" s="1"/>
  <c r="P230" i="1"/>
  <c r="BO229" i="1"/>
  <c r="BM229" i="1"/>
  <c r="Y229" i="1"/>
  <c r="Z229" i="1" s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P225" i="1"/>
  <c r="BO225" i="1"/>
  <c r="BM225" i="1"/>
  <c r="Z225" i="1"/>
  <c r="Y225" i="1"/>
  <c r="BN225" i="1" s="1"/>
  <c r="P225" i="1"/>
  <c r="BO224" i="1"/>
  <c r="BM224" i="1"/>
  <c r="Y224" i="1"/>
  <c r="BP224" i="1" s="1"/>
  <c r="P224" i="1"/>
  <c r="BP223" i="1"/>
  <c r="BO223" i="1"/>
  <c r="BN223" i="1"/>
  <c r="BM223" i="1"/>
  <c r="Y223" i="1"/>
  <c r="Z223" i="1" s="1"/>
  <c r="P223" i="1"/>
  <c r="BP222" i="1"/>
  <c r="BO222" i="1"/>
  <c r="BN222" i="1"/>
  <c r="BM222" i="1"/>
  <c r="Z222" i="1"/>
  <c r="Y222" i="1"/>
  <c r="P222" i="1"/>
  <c r="BO221" i="1"/>
  <c r="BM221" i="1"/>
  <c r="Z221" i="1"/>
  <c r="Y221" i="1"/>
  <c r="BP221" i="1" s="1"/>
  <c r="P221" i="1"/>
  <c r="Y219" i="1"/>
  <c r="X219" i="1"/>
  <c r="Y218" i="1"/>
  <c r="X218" i="1"/>
  <c r="BP217" i="1"/>
  <c r="BO217" i="1"/>
  <c r="BM217" i="1"/>
  <c r="Z217" i="1"/>
  <c r="Z218" i="1" s="1"/>
  <c r="Y217" i="1"/>
  <c r="BN217" i="1" s="1"/>
  <c r="P217" i="1"/>
  <c r="X214" i="1"/>
  <c r="X213" i="1"/>
  <c r="BO212" i="1"/>
  <c r="BM212" i="1"/>
  <c r="Y212" i="1"/>
  <c r="BP212" i="1" s="1"/>
  <c r="P212" i="1"/>
  <c r="BP211" i="1"/>
  <c r="BO211" i="1"/>
  <c r="BN211" i="1"/>
  <c r="BM211" i="1"/>
  <c r="Y211" i="1"/>
  <c r="Z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P208" i="1"/>
  <c r="BO208" i="1"/>
  <c r="BM208" i="1"/>
  <c r="Z208" i="1"/>
  <c r="Y208" i="1"/>
  <c r="BN208" i="1" s="1"/>
  <c r="P208" i="1"/>
  <c r="BO207" i="1"/>
  <c r="BN207" i="1"/>
  <c r="BM207" i="1"/>
  <c r="Z207" i="1"/>
  <c r="Y207" i="1"/>
  <c r="BP207" i="1" s="1"/>
  <c r="P207" i="1"/>
  <c r="BO206" i="1"/>
  <c r="BM206" i="1"/>
  <c r="Y206" i="1"/>
  <c r="BN206" i="1" s="1"/>
  <c r="P206" i="1"/>
  <c r="X202" i="1"/>
  <c r="X201" i="1"/>
  <c r="BO200" i="1"/>
  <c r="BM200" i="1"/>
  <c r="Y200" i="1"/>
  <c r="P200" i="1"/>
  <c r="X198" i="1"/>
  <c r="Y197" i="1"/>
  <c r="X197" i="1"/>
  <c r="BO196" i="1"/>
  <c r="BN196" i="1"/>
  <c r="BM196" i="1"/>
  <c r="Y196" i="1"/>
  <c r="P196" i="1"/>
  <c r="BO195" i="1"/>
  <c r="BM195" i="1"/>
  <c r="Z195" i="1"/>
  <c r="Y195" i="1"/>
  <c r="BP195" i="1" s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O189" i="1"/>
  <c r="BM189" i="1"/>
  <c r="Y189" i="1"/>
  <c r="BN189" i="1" s="1"/>
  <c r="P189" i="1"/>
  <c r="X187" i="1"/>
  <c r="X186" i="1"/>
  <c r="BP185" i="1"/>
  <c r="BO185" i="1"/>
  <c r="BM185" i="1"/>
  <c r="Y185" i="1"/>
  <c r="BN185" i="1" s="1"/>
  <c r="P185" i="1"/>
  <c r="BO184" i="1"/>
  <c r="BN184" i="1"/>
  <c r="BM184" i="1"/>
  <c r="Z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M181" i="1"/>
  <c r="Z181" i="1"/>
  <c r="Y181" i="1"/>
  <c r="BN181" i="1" s="1"/>
  <c r="P181" i="1"/>
  <c r="BO180" i="1"/>
  <c r="BM180" i="1"/>
  <c r="Y180" i="1"/>
  <c r="P180" i="1"/>
  <c r="BO179" i="1"/>
  <c r="BM179" i="1"/>
  <c r="Z179" i="1"/>
  <c r="Y179" i="1"/>
  <c r="BP179" i="1" s="1"/>
  <c r="P179" i="1"/>
  <c r="BP178" i="1"/>
  <c r="BO178" i="1"/>
  <c r="BN178" i="1"/>
  <c r="BM178" i="1"/>
  <c r="Z178" i="1"/>
  <c r="Y178" i="1"/>
  <c r="P178" i="1"/>
  <c r="BP177" i="1"/>
  <c r="BO177" i="1"/>
  <c r="BN177" i="1"/>
  <c r="BM177" i="1"/>
  <c r="Y177" i="1"/>
  <c r="Z177" i="1" s="1"/>
  <c r="P177" i="1"/>
  <c r="BO176" i="1"/>
  <c r="BM176" i="1"/>
  <c r="Y176" i="1"/>
  <c r="Y186" i="1" s="1"/>
  <c r="P176" i="1"/>
  <c r="BP175" i="1"/>
  <c r="BO175" i="1"/>
  <c r="BN175" i="1"/>
  <c r="BM175" i="1"/>
  <c r="Z175" i="1"/>
  <c r="Y175" i="1"/>
  <c r="P175" i="1"/>
  <c r="Y173" i="1"/>
  <c r="X173" i="1"/>
  <c r="Y172" i="1"/>
  <c r="X172" i="1"/>
  <c r="BO171" i="1"/>
  <c r="BM171" i="1"/>
  <c r="Z171" i="1"/>
  <c r="Y171" i="1"/>
  <c r="BP171" i="1" s="1"/>
  <c r="P171" i="1"/>
  <c r="BP170" i="1"/>
  <c r="BO170" i="1"/>
  <c r="BN170" i="1"/>
  <c r="BM170" i="1"/>
  <c r="Z170" i="1"/>
  <c r="Z172" i="1" s="1"/>
  <c r="Y170" i="1"/>
  <c r="P170" i="1"/>
  <c r="X168" i="1"/>
  <c r="X167" i="1"/>
  <c r="BP166" i="1"/>
  <c r="BO166" i="1"/>
  <c r="BM166" i="1"/>
  <c r="Y166" i="1"/>
  <c r="P166" i="1"/>
  <c r="BO165" i="1"/>
  <c r="BM165" i="1"/>
  <c r="Y165" i="1"/>
  <c r="BN165" i="1" s="1"/>
  <c r="P165" i="1"/>
  <c r="BO164" i="1"/>
  <c r="BN164" i="1"/>
  <c r="BM164" i="1"/>
  <c r="Y164" i="1"/>
  <c r="P164" i="1"/>
  <c r="X161" i="1"/>
  <c r="X160" i="1"/>
  <c r="BO159" i="1"/>
  <c r="BN159" i="1"/>
  <c r="BM159" i="1"/>
  <c r="Y159" i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Z154" i="1" s="1"/>
  <c r="P154" i="1"/>
  <c r="BP153" i="1"/>
  <c r="BO153" i="1"/>
  <c r="BM153" i="1"/>
  <c r="Z153" i="1"/>
  <c r="Y153" i="1"/>
  <c r="BN153" i="1" s="1"/>
  <c r="P153" i="1"/>
  <c r="BP152" i="1"/>
  <c r="BO152" i="1"/>
  <c r="BM152" i="1"/>
  <c r="Y152" i="1"/>
  <c r="BN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6" i="1"/>
  <c r="Y145" i="1"/>
  <c r="X145" i="1"/>
  <c r="BP144" i="1"/>
  <c r="BO144" i="1"/>
  <c r="BM144" i="1"/>
  <c r="Y144" i="1"/>
  <c r="BN144" i="1" s="1"/>
  <c r="P144" i="1"/>
  <c r="BP143" i="1"/>
  <c r="BO143" i="1"/>
  <c r="BM143" i="1"/>
  <c r="Y143" i="1"/>
  <c r="BN143" i="1" s="1"/>
  <c r="P143" i="1"/>
  <c r="BO142" i="1"/>
  <c r="BM142" i="1"/>
  <c r="Y142" i="1"/>
  <c r="BP142" i="1" s="1"/>
  <c r="P142" i="1"/>
  <c r="Y140" i="1"/>
  <c r="X140" i="1"/>
  <c r="X139" i="1"/>
  <c r="BP138" i="1"/>
  <c r="BO138" i="1"/>
  <c r="BN138" i="1"/>
  <c r="BM138" i="1"/>
  <c r="Z138" i="1"/>
  <c r="Y138" i="1"/>
  <c r="P138" i="1"/>
  <c r="BP137" i="1"/>
  <c r="BO137" i="1"/>
  <c r="BM137" i="1"/>
  <c r="Y137" i="1"/>
  <c r="Z137" i="1" s="1"/>
  <c r="P137" i="1"/>
  <c r="BP136" i="1"/>
  <c r="BO136" i="1"/>
  <c r="BM136" i="1"/>
  <c r="Z136" i="1"/>
  <c r="Y136" i="1"/>
  <c r="BN136" i="1" s="1"/>
  <c r="P136" i="1"/>
  <c r="BP135" i="1"/>
  <c r="BO135" i="1"/>
  <c r="BM135" i="1"/>
  <c r="Y135" i="1"/>
  <c r="BN135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N129" i="1"/>
  <c r="BM129" i="1"/>
  <c r="Y129" i="1"/>
  <c r="P129" i="1"/>
  <c r="Y126" i="1"/>
  <c r="X126" i="1"/>
  <c r="Z125" i="1"/>
  <c r="Y125" i="1"/>
  <c r="X125" i="1"/>
  <c r="BP124" i="1"/>
  <c r="BO124" i="1"/>
  <c r="BN124" i="1"/>
  <c r="BM124" i="1"/>
  <c r="Z124" i="1"/>
  <c r="Y124" i="1"/>
  <c r="P124" i="1"/>
  <c r="X122" i="1"/>
  <c r="Y121" i="1"/>
  <c r="X121" i="1"/>
  <c r="BP120" i="1"/>
  <c r="BO120" i="1"/>
  <c r="BN120" i="1"/>
  <c r="BM120" i="1"/>
  <c r="Z120" i="1"/>
  <c r="Y120" i="1"/>
  <c r="P120" i="1"/>
  <c r="BP119" i="1"/>
  <c r="BO119" i="1"/>
  <c r="BM119" i="1"/>
  <c r="Z119" i="1"/>
  <c r="Y119" i="1"/>
  <c r="BN119" i="1" s="1"/>
  <c r="P119" i="1"/>
  <c r="BO118" i="1"/>
  <c r="BN118" i="1"/>
  <c r="BM118" i="1"/>
  <c r="Z118" i="1"/>
  <c r="Y118" i="1"/>
  <c r="BP118" i="1" s="1"/>
  <c r="P118" i="1"/>
  <c r="BO117" i="1"/>
  <c r="BN117" i="1"/>
  <c r="BM117" i="1"/>
  <c r="Y117" i="1"/>
  <c r="P117" i="1"/>
  <c r="X115" i="1"/>
  <c r="X114" i="1"/>
  <c r="BO113" i="1"/>
  <c r="BM113" i="1"/>
  <c r="Y113" i="1"/>
  <c r="P113" i="1"/>
  <c r="BP112" i="1"/>
  <c r="BO112" i="1"/>
  <c r="BN112" i="1"/>
  <c r="BM112" i="1"/>
  <c r="Z112" i="1"/>
  <c r="Y112" i="1"/>
  <c r="P112" i="1"/>
  <c r="BP111" i="1"/>
  <c r="BO111" i="1"/>
  <c r="BM111" i="1"/>
  <c r="Z111" i="1"/>
  <c r="Y111" i="1"/>
  <c r="BN111" i="1" s="1"/>
  <c r="P111" i="1"/>
  <c r="BO110" i="1"/>
  <c r="BM110" i="1"/>
  <c r="Y110" i="1"/>
  <c r="BP110" i="1" s="1"/>
  <c r="P110" i="1"/>
  <c r="BP109" i="1"/>
  <c r="BO109" i="1"/>
  <c r="BM109" i="1"/>
  <c r="Y109" i="1"/>
  <c r="Z109" i="1" s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P103" i="1"/>
  <c r="BO103" i="1"/>
  <c r="BM103" i="1"/>
  <c r="Z103" i="1"/>
  <c r="Y103" i="1"/>
  <c r="BN103" i="1" s="1"/>
  <c r="P103" i="1"/>
  <c r="BO102" i="1"/>
  <c r="BM102" i="1"/>
  <c r="Y102" i="1"/>
  <c r="BP102" i="1" s="1"/>
  <c r="P102" i="1"/>
  <c r="BO101" i="1"/>
  <c r="BM101" i="1"/>
  <c r="Y101" i="1"/>
  <c r="Z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P99" i="1"/>
  <c r="X96" i="1"/>
  <c r="X95" i="1"/>
  <c r="BP94" i="1"/>
  <c r="BO94" i="1"/>
  <c r="BM94" i="1"/>
  <c r="Z94" i="1"/>
  <c r="Y94" i="1"/>
  <c r="BN94" i="1" s="1"/>
  <c r="P94" i="1"/>
  <c r="BO93" i="1"/>
  <c r="BN93" i="1"/>
  <c r="BM93" i="1"/>
  <c r="Z93" i="1"/>
  <c r="Y93" i="1"/>
  <c r="BP93" i="1" s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X89" i="1"/>
  <c r="X88" i="1"/>
  <c r="BP87" i="1"/>
  <c r="BO87" i="1"/>
  <c r="BN87" i="1"/>
  <c r="BM87" i="1"/>
  <c r="Z87" i="1"/>
  <c r="Y87" i="1"/>
  <c r="P87" i="1"/>
  <c r="BP86" i="1"/>
  <c r="BO86" i="1"/>
  <c r="BM86" i="1"/>
  <c r="Z86" i="1"/>
  <c r="Y86" i="1"/>
  <c r="BN86" i="1" s="1"/>
  <c r="P86" i="1"/>
  <c r="BO85" i="1"/>
  <c r="BM85" i="1"/>
  <c r="Z85" i="1"/>
  <c r="Y85" i="1"/>
  <c r="BP85" i="1" s="1"/>
  <c r="P85" i="1"/>
  <c r="BP84" i="1"/>
  <c r="BO84" i="1"/>
  <c r="BN84" i="1"/>
  <c r="BM84" i="1"/>
  <c r="Y84" i="1"/>
  <c r="Y88" i="1" s="1"/>
  <c r="P84" i="1"/>
  <c r="X81" i="1"/>
  <c r="Y80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X75" i="1"/>
  <c r="BP74" i="1"/>
  <c r="BO74" i="1"/>
  <c r="BM74" i="1"/>
  <c r="Z74" i="1"/>
  <c r="Y74" i="1"/>
  <c r="BN74" i="1" s="1"/>
  <c r="P74" i="1"/>
  <c r="BO73" i="1"/>
  <c r="BM73" i="1"/>
  <c r="Y73" i="1"/>
  <c r="Y75" i="1" s="1"/>
  <c r="P73" i="1"/>
  <c r="X71" i="1"/>
  <c r="X70" i="1"/>
  <c r="BP69" i="1"/>
  <c r="BO69" i="1"/>
  <c r="BM69" i="1"/>
  <c r="Y69" i="1"/>
  <c r="P69" i="1"/>
  <c r="BP68" i="1"/>
  <c r="BO68" i="1"/>
  <c r="BM68" i="1"/>
  <c r="Y68" i="1"/>
  <c r="BN68" i="1" s="1"/>
  <c r="P68" i="1"/>
  <c r="BO67" i="1"/>
  <c r="BM67" i="1"/>
  <c r="Y67" i="1"/>
  <c r="BN67" i="1" s="1"/>
  <c r="P67" i="1"/>
  <c r="BP66" i="1"/>
  <c r="BO66" i="1"/>
  <c r="BM66" i="1"/>
  <c r="Z66" i="1"/>
  <c r="Y66" i="1"/>
  <c r="P66" i="1"/>
  <c r="X64" i="1"/>
  <c r="X63" i="1"/>
  <c r="BP62" i="1"/>
  <c r="BO62" i="1"/>
  <c r="BN62" i="1"/>
  <c r="BM62" i="1"/>
  <c r="Z62" i="1"/>
  <c r="Y62" i="1"/>
  <c r="P62" i="1"/>
  <c r="BP61" i="1"/>
  <c r="BO61" i="1"/>
  <c r="BM61" i="1"/>
  <c r="Y61" i="1"/>
  <c r="P61" i="1"/>
  <c r="BP60" i="1"/>
  <c r="BO60" i="1"/>
  <c r="BM60" i="1"/>
  <c r="Z60" i="1"/>
  <c r="Y60" i="1"/>
  <c r="BN60" i="1" s="1"/>
  <c r="P60" i="1"/>
  <c r="BO59" i="1"/>
  <c r="BN59" i="1"/>
  <c r="BM59" i="1"/>
  <c r="Y59" i="1"/>
  <c r="P59" i="1"/>
  <c r="BP58" i="1"/>
  <c r="BO58" i="1"/>
  <c r="BM58" i="1"/>
  <c r="Z58" i="1"/>
  <c r="Y58" i="1"/>
  <c r="BN58" i="1" s="1"/>
  <c r="P58" i="1"/>
  <c r="BO57" i="1"/>
  <c r="BM57" i="1"/>
  <c r="Y57" i="1"/>
  <c r="Z57" i="1" s="1"/>
  <c r="P57" i="1"/>
  <c r="BP56" i="1"/>
  <c r="BO56" i="1"/>
  <c r="BN56" i="1"/>
  <c r="BM56" i="1"/>
  <c r="Y56" i="1"/>
  <c r="Z56" i="1" s="1"/>
  <c r="P56" i="1"/>
  <c r="BO55" i="1"/>
  <c r="BM55" i="1"/>
  <c r="Y55" i="1"/>
  <c r="P55" i="1"/>
  <c r="X52" i="1"/>
  <c r="X51" i="1"/>
  <c r="BO50" i="1"/>
  <c r="BN50" i="1"/>
  <c r="BM50" i="1"/>
  <c r="Y50" i="1"/>
  <c r="P50" i="1"/>
  <c r="BP49" i="1"/>
  <c r="BO49" i="1"/>
  <c r="BM49" i="1"/>
  <c r="Z49" i="1"/>
  <c r="Y49" i="1"/>
  <c r="BN49" i="1" s="1"/>
  <c r="P49" i="1"/>
  <c r="BO48" i="1"/>
  <c r="BM48" i="1"/>
  <c r="Y48" i="1"/>
  <c r="BN48" i="1" s="1"/>
  <c r="P48" i="1"/>
  <c r="BO47" i="1"/>
  <c r="BM47" i="1"/>
  <c r="Y47" i="1"/>
  <c r="Y51" i="1" s="1"/>
  <c r="P47" i="1"/>
  <c r="X43" i="1"/>
  <c r="X42" i="1"/>
  <c r="BP41" i="1"/>
  <c r="BO41" i="1"/>
  <c r="BM41" i="1"/>
  <c r="Y41" i="1"/>
  <c r="BN41" i="1" s="1"/>
  <c r="P41" i="1"/>
  <c r="BO40" i="1"/>
  <c r="BM40" i="1"/>
  <c r="Y40" i="1"/>
  <c r="BN40" i="1" s="1"/>
  <c r="P40" i="1"/>
  <c r="BP39" i="1"/>
  <c r="BO39" i="1"/>
  <c r="BM39" i="1"/>
  <c r="Z39" i="1"/>
  <c r="Y39" i="1"/>
  <c r="BN39" i="1" s="1"/>
  <c r="P39" i="1"/>
  <c r="BP38" i="1"/>
  <c r="BO38" i="1"/>
  <c r="BN38" i="1"/>
  <c r="BM38" i="1"/>
  <c r="Y38" i="1"/>
  <c r="Z38" i="1" s="1"/>
  <c r="P38" i="1"/>
  <c r="BO37" i="1"/>
  <c r="BM37" i="1"/>
  <c r="Y37" i="1"/>
  <c r="P37" i="1"/>
  <c r="X33" i="1"/>
  <c r="X32" i="1"/>
  <c r="BP31" i="1"/>
  <c r="BO31" i="1"/>
  <c r="BM31" i="1"/>
  <c r="Y31" i="1"/>
  <c r="BN31" i="1" s="1"/>
  <c r="P31" i="1"/>
  <c r="BO30" i="1"/>
  <c r="BM30" i="1"/>
  <c r="Y30" i="1"/>
  <c r="P30" i="1"/>
  <c r="BP29" i="1"/>
  <c r="BO29" i="1"/>
  <c r="BM29" i="1"/>
  <c r="Z29" i="1"/>
  <c r="Y29" i="1"/>
  <c r="BN29" i="1" s="1"/>
  <c r="P29" i="1"/>
  <c r="BP28" i="1"/>
  <c r="BO28" i="1"/>
  <c r="BN28" i="1"/>
  <c r="BM28" i="1"/>
  <c r="Y28" i="1"/>
  <c r="Z28" i="1" s="1"/>
  <c r="P28" i="1"/>
  <c r="BP27" i="1"/>
  <c r="BO27" i="1"/>
  <c r="BN27" i="1"/>
  <c r="BM27" i="1"/>
  <c r="Y27" i="1"/>
  <c r="Y32" i="1" s="1"/>
  <c r="P27" i="1"/>
  <c r="X25" i="1"/>
  <c r="Y24" i="1"/>
  <c r="X24" i="1"/>
  <c r="BP23" i="1"/>
  <c r="BO23" i="1"/>
  <c r="BM23" i="1"/>
  <c r="Z23" i="1"/>
  <c r="Y23" i="1"/>
  <c r="BN23" i="1" s="1"/>
  <c r="P23" i="1"/>
  <c r="BO22" i="1"/>
  <c r="BN22" i="1"/>
  <c r="BM22" i="1"/>
  <c r="Y22" i="1"/>
  <c r="P22" i="1"/>
  <c r="H10" i="1"/>
  <c r="H9" i="1"/>
  <c r="A9" i="1"/>
  <c r="D7" i="1"/>
  <c r="Q6" i="1"/>
  <c r="P2" i="1"/>
  <c r="Y76" i="1" l="1"/>
  <c r="Z280" i="1"/>
  <c r="Y290" i="1"/>
  <c r="Y296" i="1"/>
  <c r="Y295" i="1"/>
  <c r="BP309" i="1"/>
  <c r="BN309" i="1"/>
  <c r="Z309" i="1"/>
  <c r="Z310" i="1" s="1"/>
  <c r="BN354" i="1"/>
  <c r="S564" i="1"/>
  <c r="Y390" i="1"/>
  <c r="BN47" i="1"/>
  <c r="BN57" i="1"/>
  <c r="Y555" i="1" s="1"/>
  <c r="Z151" i="1"/>
  <c r="BP154" i="1"/>
  <c r="Y168" i="1"/>
  <c r="BN229" i="1"/>
  <c r="BN233" i="1"/>
  <c r="Z233" i="1"/>
  <c r="BP286" i="1"/>
  <c r="Z293" i="1"/>
  <c r="Z303" i="1"/>
  <c r="BN324" i="1"/>
  <c r="Z324" i="1"/>
  <c r="Y330" i="1"/>
  <c r="P564" i="1"/>
  <c r="Y329" i="1"/>
  <c r="Z354" i="1"/>
  <c r="Y358" i="1"/>
  <c r="BP438" i="1"/>
  <c r="Z521" i="1"/>
  <c r="BP521" i="1"/>
  <c r="BN521" i="1"/>
  <c r="C564" i="1"/>
  <c r="Y43" i="1"/>
  <c r="BN182" i="1"/>
  <c r="Z182" i="1"/>
  <c r="BN61" i="1"/>
  <c r="Z61" i="1"/>
  <c r="Y139" i="1"/>
  <c r="Y259" i="1"/>
  <c r="BP257" i="1"/>
  <c r="M564" i="1"/>
  <c r="BN280" i="1"/>
  <c r="Y397" i="1"/>
  <c r="Y396" i="1"/>
  <c r="BP47" i="1"/>
  <c r="BP57" i="1"/>
  <c r="Y71" i="1"/>
  <c r="BN109" i="1"/>
  <c r="BN151" i="1"/>
  <c r="BP164" i="1"/>
  <c r="Y167" i="1"/>
  <c r="Z164" i="1"/>
  <c r="J564" i="1"/>
  <c r="BP182" i="1"/>
  <c r="BP229" i="1"/>
  <c r="BP239" i="1"/>
  <c r="Z239" i="1"/>
  <c r="Z257" i="1"/>
  <c r="Z259" i="1" s="1"/>
  <c r="BN293" i="1"/>
  <c r="T564" i="1"/>
  <c r="Z374" i="1"/>
  <c r="Z392" i="1"/>
  <c r="BP395" i="1"/>
  <c r="Z439" i="1"/>
  <c r="BP439" i="1"/>
  <c r="BN439" i="1"/>
  <c r="Z505" i="1"/>
  <c r="BP505" i="1"/>
  <c r="BN505" i="1"/>
  <c r="BP200" i="1"/>
  <c r="BN200" i="1"/>
  <c r="Z200" i="1"/>
  <c r="Z201" i="1" s="1"/>
  <c r="Y434" i="1"/>
  <c r="X564" i="1"/>
  <c r="Y458" i="1"/>
  <c r="Y457" i="1"/>
  <c r="BP455" i="1"/>
  <c r="Z487" i="1"/>
  <c r="Z488" i="1" s="1"/>
  <c r="Z564" i="1"/>
  <c r="Y488" i="1"/>
  <c r="BP487" i="1"/>
  <c r="BN487" i="1"/>
  <c r="V564" i="1"/>
  <c r="BP418" i="1"/>
  <c r="Y422" i="1"/>
  <c r="X558" i="1"/>
  <c r="Z48" i="1"/>
  <c r="Z73" i="1"/>
  <c r="Z75" i="1" s="1"/>
  <c r="BP113" i="1"/>
  <c r="BN113" i="1"/>
  <c r="Z113" i="1"/>
  <c r="Y146" i="1"/>
  <c r="BP176" i="1"/>
  <c r="BN176" i="1"/>
  <c r="Z176" i="1"/>
  <c r="Y243" i="1"/>
  <c r="Y276" i="1"/>
  <c r="Y311" i="1"/>
  <c r="Z320" i="1"/>
  <c r="Z325" i="1"/>
  <c r="BP325" i="1"/>
  <c r="Y351" i="1"/>
  <c r="BP348" i="1"/>
  <c r="Z418" i="1"/>
  <c r="BN430" i="1"/>
  <c r="Z430" i="1"/>
  <c r="BN455" i="1"/>
  <c r="Y524" i="1"/>
  <c r="Y525" i="1"/>
  <c r="BP518" i="1"/>
  <c r="BN518" i="1"/>
  <c r="BN342" i="1"/>
  <c r="Z342" i="1"/>
  <c r="BN149" i="1"/>
  <c r="Z149" i="1"/>
  <c r="I564" i="1"/>
  <c r="Z189" i="1"/>
  <c r="Y193" i="1"/>
  <c r="Y201" i="1"/>
  <c r="Y291" i="1"/>
  <c r="BP288" i="1"/>
  <c r="BN288" i="1"/>
  <c r="Z288" i="1"/>
  <c r="Z294" i="1"/>
  <c r="Z313" i="1"/>
  <c r="Z314" i="1" s="1"/>
  <c r="Y315" i="1"/>
  <c r="BP342" i="1"/>
  <c r="BP371" i="1"/>
  <c r="Z387" i="1"/>
  <c r="BN418" i="1"/>
  <c r="Y468" i="1"/>
  <c r="BP502" i="1"/>
  <c r="BN502" i="1"/>
  <c r="BN512" i="1"/>
  <c r="Z512" i="1"/>
  <c r="BP37" i="1"/>
  <c r="Z240" i="1"/>
  <c r="Y307" i="1"/>
  <c r="BP301" i="1"/>
  <c r="BN301" i="1"/>
  <c r="Z301" i="1"/>
  <c r="Z306" i="1" s="1"/>
  <c r="BN399" i="1"/>
  <c r="Y489" i="1"/>
  <c r="Z502" i="1"/>
  <c r="E564" i="1"/>
  <c r="BP55" i="1"/>
  <c r="BN55" i="1"/>
  <c r="Z55" i="1"/>
  <c r="Z63" i="1" s="1"/>
  <c r="Z110" i="1"/>
  <c r="BP79" i="1"/>
  <c r="BN79" i="1"/>
  <c r="Z79" i="1"/>
  <c r="Z80" i="1" s="1"/>
  <c r="BN101" i="1"/>
  <c r="BP180" i="1"/>
  <c r="Z180" i="1"/>
  <c r="Z224" i="1"/>
  <c r="Z235" i="1" s="1"/>
  <c r="Y244" i="1"/>
  <c r="Y33" i="1"/>
  <c r="BP30" i="1"/>
  <c r="Z30" i="1"/>
  <c r="Z41" i="1"/>
  <c r="BP48" i="1"/>
  <c r="BP73" i="1"/>
  <c r="BN110" i="1"/>
  <c r="Y114" i="1"/>
  <c r="BN142" i="1"/>
  <c r="Y156" i="1"/>
  <c r="Z212" i="1"/>
  <c r="BP231" i="1"/>
  <c r="Z231" i="1"/>
  <c r="BP272" i="1"/>
  <c r="Z285" i="1"/>
  <c r="BN294" i="1"/>
  <c r="BN313" i="1"/>
  <c r="Z343" i="1"/>
  <c r="BP343" i="1"/>
  <c r="BP430" i="1"/>
  <c r="BN449" i="1"/>
  <c r="Y451" i="1"/>
  <c r="BP449" i="1"/>
  <c r="BN475" i="1"/>
  <c r="Z350" i="1"/>
  <c r="Z142" i="1"/>
  <c r="Z165" i="1"/>
  <c r="Z27" i="1"/>
  <c r="Z32" i="1" s="1"/>
  <c r="BP59" i="1"/>
  <c r="Z59" i="1"/>
  <c r="Z68" i="1"/>
  <c r="BP101" i="1"/>
  <c r="BN131" i="1"/>
  <c r="BN137" i="1"/>
  <c r="BP149" i="1"/>
  <c r="BN180" i="1"/>
  <c r="BP189" i="1"/>
  <c r="Y202" i="1"/>
  <c r="BN224" i="1"/>
  <c r="Z252" i="1"/>
  <c r="Z253" i="1" s="1"/>
  <c r="BP387" i="1"/>
  <c r="Z449" i="1"/>
  <c r="Y508" i="1"/>
  <c r="BN499" i="1"/>
  <c r="AA564" i="1"/>
  <c r="Y509" i="1"/>
  <c r="BP499" i="1"/>
  <c r="BP512" i="1"/>
  <c r="BN73" i="1"/>
  <c r="Z131" i="1"/>
  <c r="F10" i="1"/>
  <c r="J9" i="1"/>
  <c r="A10" i="1"/>
  <c r="F9" i="1"/>
  <c r="BN30" i="1"/>
  <c r="BP105" i="1"/>
  <c r="BN105" i="1"/>
  <c r="Z105" i="1"/>
  <c r="BP165" i="1"/>
  <c r="BN212" i="1"/>
  <c r="BN231" i="1"/>
  <c r="BP240" i="1"/>
  <c r="BN285" i="1"/>
  <c r="BP305" i="1"/>
  <c r="BN305" i="1"/>
  <c r="Z305" i="1"/>
  <c r="BP313" i="1"/>
  <c r="BN343" i="1"/>
  <c r="Z431" i="1"/>
  <c r="BP431" i="1"/>
  <c r="BN431" i="1"/>
  <c r="BP475" i="1"/>
  <c r="BP40" i="1"/>
  <c r="Z40" i="1"/>
  <c r="BN85" i="1"/>
  <c r="BN333" i="1"/>
  <c r="Y336" i="1"/>
  <c r="Z333" i="1"/>
  <c r="Q564" i="1"/>
  <c r="Z363" i="1"/>
  <c r="Y367" i="1"/>
  <c r="Y376" i="1"/>
  <c r="Z513" i="1"/>
  <c r="BP513" i="1"/>
  <c r="BN513" i="1"/>
  <c r="Y403" i="1"/>
  <c r="Y402" i="1"/>
  <c r="Z399" i="1"/>
  <c r="Z402" i="1" s="1"/>
  <c r="Y157" i="1"/>
  <c r="Y63" i="1"/>
  <c r="Z102" i="1"/>
  <c r="Z106" i="1" s="1"/>
  <c r="BN166" i="1"/>
  <c r="Z166" i="1"/>
  <c r="BN241" i="1"/>
  <c r="Z241" i="1"/>
  <c r="Z267" i="1"/>
  <c r="Z275" i="1" s="1"/>
  <c r="Y275" i="1"/>
  <c r="Z302" i="1"/>
  <c r="Y314" i="1"/>
  <c r="Y345" i="1"/>
  <c r="R564" i="1"/>
  <c r="BP340" i="1"/>
  <c r="BP406" i="1"/>
  <c r="BN406" i="1"/>
  <c r="Z406" i="1"/>
  <c r="Z408" i="1" s="1"/>
  <c r="Y96" i="1"/>
  <c r="Y115" i="1"/>
  <c r="BN190" i="1"/>
  <c r="Z190" i="1"/>
  <c r="Y235" i="1"/>
  <c r="G564" i="1"/>
  <c r="Z117" i="1"/>
  <c r="Z121" i="1" s="1"/>
  <c r="Y122" i="1"/>
  <c r="H564" i="1"/>
  <c r="Y132" i="1"/>
  <c r="Z129" i="1"/>
  <c r="Y133" i="1"/>
  <c r="Y161" i="1"/>
  <c r="Y160" i="1"/>
  <c r="BP159" i="1"/>
  <c r="Y198" i="1"/>
  <c r="BP196" i="1"/>
  <c r="Z196" i="1"/>
  <c r="Z197" i="1" s="1"/>
  <c r="Z465" i="1"/>
  <c r="Y467" i="1"/>
  <c r="Z206" i="1"/>
  <c r="Z213" i="1" s="1"/>
  <c r="Y214" i="1"/>
  <c r="K564" i="1"/>
  <c r="Y213" i="1"/>
  <c r="Y42" i="1"/>
  <c r="BN92" i="1"/>
  <c r="BP22" i="1"/>
  <c r="B564" i="1"/>
  <c r="Z22" i="1"/>
  <c r="Z24" i="1" s="1"/>
  <c r="Y25" i="1"/>
  <c r="Z31" i="1"/>
  <c r="BN69" i="1"/>
  <c r="Z69" i="1"/>
  <c r="Y81" i="1"/>
  <c r="BN102" i="1"/>
  <c r="Y106" i="1"/>
  <c r="Z159" i="1"/>
  <c r="Z160" i="1" s="1"/>
  <c r="BP190" i="1"/>
  <c r="Z232" i="1"/>
  <c r="Y236" i="1"/>
  <c r="BP247" i="1"/>
  <c r="Z247" i="1"/>
  <c r="Z249" i="1" s="1"/>
  <c r="Y260" i="1"/>
  <c r="BN302" i="1"/>
  <c r="Y306" i="1"/>
  <c r="BP333" i="1"/>
  <c r="BN379" i="1"/>
  <c r="Y384" i="1"/>
  <c r="Y383" i="1"/>
  <c r="BN420" i="1"/>
  <c r="Z420" i="1"/>
  <c r="BP67" i="1"/>
  <c r="Z67" i="1"/>
  <c r="Z70" i="1" s="1"/>
  <c r="BP284" i="1"/>
  <c r="BN284" i="1"/>
  <c r="Z284" i="1"/>
  <c r="Z290" i="1" s="1"/>
  <c r="X555" i="1"/>
  <c r="X557" i="1" s="1"/>
  <c r="Y64" i="1"/>
  <c r="BP206" i="1"/>
  <c r="BP241" i="1"/>
  <c r="BN340" i="1"/>
  <c r="Y350" i="1"/>
  <c r="Z379" i="1"/>
  <c r="BN382" i="1"/>
  <c r="Z428" i="1"/>
  <c r="Y447" i="1"/>
  <c r="BP444" i="1"/>
  <c r="BN444" i="1"/>
  <c r="BN465" i="1"/>
  <c r="BP520" i="1"/>
  <c r="BN520" i="1"/>
  <c r="Z520" i="1"/>
  <c r="Z37" i="1"/>
  <c r="Z42" i="1" s="1"/>
  <c r="BN37" i="1"/>
  <c r="Y52" i="1"/>
  <c r="D564" i="1"/>
  <c r="BP210" i="1"/>
  <c r="BN210" i="1"/>
  <c r="Z210" i="1"/>
  <c r="Z334" i="1"/>
  <c r="BP334" i="1"/>
  <c r="Y357" i="1"/>
  <c r="BN438" i="1"/>
  <c r="Z438" i="1"/>
  <c r="Y495" i="1"/>
  <c r="BP492" i="1"/>
  <c r="BN492" i="1"/>
  <c r="BN504" i="1"/>
  <c r="Z504" i="1"/>
  <c r="Y515" i="1"/>
  <c r="BP227" i="1"/>
  <c r="BN227" i="1"/>
  <c r="Z227" i="1"/>
  <c r="X554" i="1"/>
  <c r="Y95" i="1"/>
  <c r="Y558" i="1" s="1"/>
  <c r="Z92" i="1"/>
  <c r="Z95" i="1" s="1"/>
  <c r="BP50" i="1"/>
  <c r="Z50" i="1"/>
  <c r="F564" i="1"/>
  <c r="Z84" i="1"/>
  <c r="Z88" i="1" s="1"/>
  <c r="Y89" i="1"/>
  <c r="X556" i="1"/>
  <c r="Z47" i="1"/>
  <c r="Y70" i="1"/>
  <c r="Y107" i="1"/>
  <c r="BP117" i="1"/>
  <c r="BP129" i="1"/>
  <c r="Z144" i="1"/>
  <c r="BN154" i="1"/>
  <c r="Y187" i="1"/>
  <c r="BP420" i="1"/>
  <c r="BN428" i="1"/>
  <c r="BP465" i="1"/>
  <c r="Y538" i="1"/>
  <c r="BP537" i="1"/>
  <c r="Z537" i="1"/>
  <c r="Z538" i="1" s="1"/>
  <c r="Z466" i="1"/>
  <c r="Z476" i="1"/>
  <c r="Z478" i="1" s="1"/>
  <c r="BN99" i="1"/>
  <c r="BN221" i="1"/>
  <c r="BN262" i="1"/>
  <c r="BN270" i="1"/>
  <c r="BN278" i="1"/>
  <c r="BN412" i="1"/>
  <c r="Y435" i="1"/>
  <c r="BN541" i="1"/>
  <c r="L564" i="1"/>
  <c r="Z355" i="1"/>
  <c r="Z380" i="1"/>
  <c r="Z388" i="1"/>
  <c r="BP278" i="1"/>
  <c r="Z364" i="1"/>
  <c r="Z372" i="1"/>
  <c r="Z426" i="1"/>
  <c r="Z450" i="1"/>
  <c r="Z500" i="1"/>
  <c r="Z508" i="1" s="1"/>
  <c r="BN66" i="1"/>
  <c r="Z135" i="1"/>
  <c r="Z139" i="1" s="1"/>
  <c r="Z143" i="1"/>
  <c r="Z152" i="1"/>
  <c r="BN171" i="1"/>
  <c r="BN179" i="1"/>
  <c r="Z185" i="1"/>
  <c r="BN195" i="1"/>
  <c r="BN230" i="1"/>
  <c r="BN238" i="1"/>
  <c r="BN246" i="1"/>
  <c r="BN287" i="1"/>
  <c r="BN304" i="1"/>
  <c r="Z341" i="1"/>
  <c r="Z345" i="1" s="1"/>
  <c r="Z349" i="1"/>
  <c r="BN361" i="1"/>
  <c r="BN369" i="1"/>
  <c r="Z375" i="1"/>
  <c r="BN393" i="1"/>
  <c r="BN401" i="1"/>
  <c r="Z419" i="1"/>
  <c r="Z429" i="1"/>
  <c r="Z437" i="1"/>
  <c r="Z440" i="1" s="1"/>
  <c r="Y440" i="1"/>
  <c r="Z445" i="1"/>
  <c r="Z446" i="1" s="1"/>
  <c r="BN456" i="1"/>
  <c r="BP466" i="1"/>
  <c r="BP476" i="1"/>
  <c r="Z493" i="1"/>
  <c r="Z494" i="1" s="1"/>
  <c r="Z503" i="1"/>
  <c r="Z511" i="1"/>
  <c r="Z514" i="1" s="1"/>
  <c r="Y514" i="1"/>
  <c r="Z519" i="1"/>
  <c r="Z524" i="1" s="1"/>
  <c r="Z529" i="1"/>
  <c r="Z530" i="1" s="1"/>
  <c r="BP541" i="1"/>
  <c r="O564" i="1"/>
  <c r="BP99" i="1"/>
  <c r="Y250" i="1"/>
  <c r="BN426" i="1"/>
  <c r="BP361" i="1"/>
  <c r="BN529" i="1"/>
  <c r="Y542" i="1"/>
  <c r="Z362" i="1"/>
  <c r="Z366" i="1" s="1"/>
  <c r="Z370" i="1"/>
  <c r="Z376" i="1" s="1"/>
  <c r="Z386" i="1"/>
  <c r="Z389" i="1" s="1"/>
  <c r="Y389" i="1"/>
  <c r="Z394" i="1"/>
  <c r="BN477" i="1"/>
  <c r="BN362" i="1"/>
  <c r="BN370" i="1"/>
  <c r="Z551" i="1"/>
  <c r="Z552" i="1" s="1"/>
  <c r="W564" i="1"/>
  <c r="BP370" i="1"/>
  <c r="Y478" i="1"/>
  <c r="Y531" i="1"/>
  <c r="BN551" i="1"/>
  <c r="Z467" i="1" l="1"/>
  <c r="Z357" i="1"/>
  <c r="Z145" i="1"/>
  <c r="Z421" i="1"/>
  <c r="Z396" i="1"/>
  <c r="Z451" i="1"/>
  <c r="Z329" i="1"/>
  <c r="Z336" i="1"/>
  <c r="Y554" i="1"/>
  <c r="Z132" i="1"/>
  <c r="Z295" i="1"/>
  <c r="Z434" i="1"/>
  <c r="Z192" i="1"/>
  <c r="Z243" i="1"/>
  <c r="Y556" i="1"/>
  <c r="Y557" i="1" s="1"/>
  <c r="Z156" i="1"/>
  <c r="Z186" i="1"/>
  <c r="Z51" i="1"/>
  <c r="Z559" i="1" s="1"/>
  <c r="Z114" i="1"/>
  <c r="Z383" i="1"/>
  <c r="Z167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<sst xmlns="http://schemas.openxmlformats.org/spreadsheetml/2006/main" count="2515" uniqueCount="912">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</sst>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818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3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3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918" t="s">
        <v>0</v>
      </c>
      <c r="E1" s="668"/>
      <c r="F1" s="668"/>
      <c r="G1" s="14" t="s">
        <v>1</v>
      </c>
      <c r="H1" s="918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969" t="s">
        <v>3</v>
      </c>
      <c r="S1" s="668"/>
      <c r="T1" s="668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7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76" t="s">
        <v>8</v>
      </c>
      <c r="B5" s="737"/>
      <c r="C5" s="683"/>
      <c r="D5" s="756"/>
      <c r="E5" s="758"/>
      <c r="F5" s="701" t="s">
        <v>9</v>
      </c>
      <c r="G5" s="683"/>
      <c r="H5" s="756"/>
      <c r="I5" s="757"/>
      <c r="J5" s="757"/>
      <c r="K5" s="757"/>
      <c r="L5" s="757"/>
      <c r="M5" s="758"/>
      <c r="N5" s="69"/>
      <c r="P5" s="26" t="s">
        <v>10</v>
      </c>
      <c r="Q5" s="670">
        <v>46244</v>
      </c>
      <c r="R5" s="671"/>
      <c r="T5" s="839" t="s">
        <v>11</v>
      </c>
      <c r="U5" s="833"/>
      <c r="V5" s="841" t="s">
        <v>12</v>
      </c>
      <c r="W5" s="671"/>
      <c r="AB5" s="57"/>
      <c r="AC5" s="57"/>
      <c r="AD5" s="57"/>
      <c r="AE5" s="57"/>
    </row>
    <row r="6" spans="1:32" s="17" customFormat="1" ht="24" customHeight="1" x14ac:dyDescent="0.2">
      <c r="A6" s="876" t="s">
        <v>13</v>
      </c>
      <c r="B6" s="737"/>
      <c r="C6" s="683"/>
      <c r="D6" s="760"/>
      <c r="E6" s="761"/>
      <c r="F6" s="761"/>
      <c r="G6" s="761"/>
      <c r="H6" s="761"/>
      <c r="I6" s="761"/>
      <c r="J6" s="761"/>
      <c r="K6" s="761"/>
      <c r="L6" s="761"/>
      <c r="M6" s="671"/>
      <c r="N6" s="70"/>
      <c r="P6" s="26" t="s">
        <v>14</v>
      </c>
      <c r="Q6" s="665" t="str">
        <f>IF(Q5=0," ",CHOOSE(WEEKDAY(Q5,2),"Понедельник","Вторник","Среда","Четверг","Пятница","Суббота","Воскресенье"))</f>
        <v>Понедельник</v>
      </c>
      <c r="R6" s="644"/>
      <c r="T6" s="832" t="s">
        <v>15</v>
      </c>
      <c r="U6" s="833"/>
      <c r="V6" s="769" t="s">
        <v>16</v>
      </c>
      <c r="W6" s="77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844"/>
      <c r="N7" s="71"/>
      <c r="P7" s="26"/>
      <c r="Q7" s="46"/>
      <c r="R7" s="46"/>
      <c r="T7" s="655"/>
      <c r="U7" s="833"/>
      <c r="V7" s="771"/>
      <c r="W7" s="772"/>
      <c r="AB7" s="57"/>
      <c r="AC7" s="57"/>
      <c r="AD7" s="57"/>
      <c r="AE7" s="57"/>
    </row>
    <row r="8" spans="1:32" s="17" customFormat="1" ht="25.5" customHeight="1" x14ac:dyDescent="0.2">
      <c r="A8" s="646" t="s">
        <v>17</v>
      </c>
      <c r="B8" s="647"/>
      <c r="C8" s="648"/>
      <c r="D8" s="980"/>
      <c r="E8" s="981"/>
      <c r="F8" s="981"/>
      <c r="G8" s="981"/>
      <c r="H8" s="981"/>
      <c r="I8" s="981"/>
      <c r="J8" s="981"/>
      <c r="K8" s="981"/>
      <c r="L8" s="981"/>
      <c r="M8" s="982"/>
      <c r="N8" s="72"/>
      <c r="P8" s="26" t="s">
        <v>18</v>
      </c>
      <c r="Q8" s="843">
        <v>0.41666666666666669</v>
      </c>
      <c r="R8" s="844"/>
      <c r="T8" s="655"/>
      <c r="U8" s="833"/>
      <c r="V8" s="771"/>
      <c r="W8" s="772"/>
      <c r="AB8" s="57"/>
      <c r="AC8" s="57"/>
      <c r="AD8" s="57"/>
      <c r="AE8" s="57"/>
    </row>
    <row r="9" spans="1:32" s="17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712"/>
      <c r="E9" s="71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814" t="str">
        <f>IF(AND($A$9="Тип доверенности/получателя при получении в адресе перегруза:",$D$9="Разовая доверенность"),"Введите ФИО","")</f>
        <v/>
      </c>
      <c r="I9" s="713"/>
      <c r="J9" s="8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3"/>
      <c r="L9" s="713"/>
      <c r="M9" s="713"/>
      <c r="N9" s="67"/>
      <c r="P9" s="29" t="s">
        <v>19</v>
      </c>
      <c r="Q9" s="884"/>
      <c r="R9" s="704"/>
      <c r="T9" s="655"/>
      <c r="U9" s="833"/>
      <c r="V9" s="773"/>
      <c r="W9" s="77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712"/>
      <c r="E10" s="71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787" t="str">
        <f>IFERROR(VLOOKUP($D$10,Proxy,2,FALSE),"")</f>
        <v/>
      </c>
      <c r="I10" s="655"/>
      <c r="J10" s="655"/>
      <c r="K10" s="655"/>
      <c r="L10" s="655"/>
      <c r="M10" s="655"/>
      <c r="N10" s="68"/>
      <c r="P10" s="29" t="s">
        <v>20</v>
      </c>
      <c r="Q10" s="834"/>
      <c r="R10" s="835"/>
      <c r="U10" s="26" t="s">
        <v>21</v>
      </c>
      <c r="V10" s="992" t="s">
        <v>22</v>
      </c>
      <c r="W10" s="77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886"/>
      <c r="R11" s="671"/>
      <c r="U11" s="26" t="s">
        <v>25</v>
      </c>
      <c r="V11" s="703" t="s">
        <v>26</v>
      </c>
      <c r="W11" s="70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24" t="s">
        <v>27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683"/>
      <c r="N12" s="73"/>
      <c r="P12" s="26" t="s">
        <v>28</v>
      </c>
      <c r="Q12" s="843"/>
      <c r="R12" s="844"/>
      <c r="S12" s="27"/>
      <c r="U12" s="26"/>
      <c r="V12" s="668"/>
      <c r="W12" s="655"/>
      <c r="AB12" s="57"/>
      <c r="AC12" s="57"/>
      <c r="AD12" s="57"/>
      <c r="AE12" s="57"/>
    </row>
    <row r="13" spans="1:32" s="17" customFormat="1" ht="23.25" customHeight="1" x14ac:dyDescent="0.2">
      <c r="A13" s="824" t="s">
        <v>29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683"/>
      <c r="N13" s="73"/>
      <c r="O13" s="29"/>
      <c r="P13" s="29" t="s">
        <v>30</v>
      </c>
      <c r="Q13" s="703"/>
      <c r="R13" s="704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24" t="s">
        <v>31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683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25" t="s">
        <v>32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683"/>
      <c r="N15" s="74"/>
      <c r="P15" s="862" t="s">
        <v>33</v>
      </c>
      <c r="Q15" s="668"/>
      <c r="R15" s="668"/>
      <c r="S15" s="668"/>
      <c r="T15" s="668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63"/>
      <c r="Q16" s="863"/>
      <c r="R16" s="863"/>
      <c r="S16" s="863"/>
      <c r="T16" s="86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7" t="s">
        <v>34</v>
      </c>
      <c r="B17" s="637" t="s">
        <v>35</v>
      </c>
      <c r="C17" s="883" t="s">
        <v>36</v>
      </c>
      <c r="D17" s="637" t="s">
        <v>37</v>
      </c>
      <c r="E17" s="687"/>
      <c r="F17" s="637" t="s">
        <v>38</v>
      </c>
      <c r="G17" s="637" t="s">
        <v>39</v>
      </c>
      <c r="H17" s="637" t="s">
        <v>40</v>
      </c>
      <c r="I17" s="637" t="s">
        <v>41</v>
      </c>
      <c r="J17" s="637" t="s">
        <v>42</v>
      </c>
      <c r="K17" s="637" t="s">
        <v>43</v>
      </c>
      <c r="L17" s="637" t="s">
        <v>44</v>
      </c>
      <c r="M17" s="637" t="s">
        <v>45</v>
      </c>
      <c r="N17" s="637" t="s">
        <v>46</v>
      </c>
      <c r="O17" s="637" t="s">
        <v>47</v>
      </c>
      <c r="P17" s="637" t="s">
        <v>48</v>
      </c>
      <c r="Q17" s="921"/>
      <c r="R17" s="921"/>
      <c r="S17" s="921"/>
      <c r="T17" s="687"/>
      <c r="U17" s="682" t="s">
        <v>49</v>
      </c>
      <c r="V17" s="683"/>
      <c r="W17" s="637" t="s">
        <v>50</v>
      </c>
      <c r="X17" s="637" t="s">
        <v>51</v>
      </c>
      <c r="Y17" s="684" t="s">
        <v>52</v>
      </c>
      <c r="Z17" s="784" t="s">
        <v>53</v>
      </c>
      <c r="AA17" s="695" t="s">
        <v>54</v>
      </c>
      <c r="AB17" s="695" t="s">
        <v>55</v>
      </c>
      <c r="AC17" s="695" t="s">
        <v>56</v>
      </c>
      <c r="AD17" s="695" t="s">
        <v>57</v>
      </c>
      <c r="AE17" s="696"/>
      <c r="AF17" s="697"/>
      <c r="AG17" s="77"/>
      <c r="BD17" s="76" t="s">
        <v>58</v>
      </c>
    </row>
    <row r="18" spans="1:68" ht="14.25" customHeight="1" x14ac:dyDescent="0.2">
      <c r="A18" s="638"/>
      <c r="B18" s="638"/>
      <c r="C18" s="638"/>
      <c r="D18" s="688"/>
      <c r="E18" s="689"/>
      <c r="F18" s="638"/>
      <c r="G18" s="638"/>
      <c r="H18" s="638"/>
      <c r="I18" s="638"/>
      <c r="J18" s="638"/>
      <c r="K18" s="638"/>
      <c r="L18" s="638"/>
      <c r="M18" s="638"/>
      <c r="N18" s="638"/>
      <c r="O18" s="638"/>
      <c r="P18" s="688"/>
      <c r="Q18" s="922"/>
      <c r="R18" s="922"/>
      <c r="S18" s="922"/>
      <c r="T18" s="689"/>
      <c r="U18" s="78" t="s">
        <v>59</v>
      </c>
      <c r="V18" s="78" t="s">
        <v>60</v>
      </c>
      <c r="W18" s="638"/>
      <c r="X18" s="638"/>
      <c r="Y18" s="685"/>
      <c r="Z18" s="785"/>
      <c r="AA18" s="786"/>
      <c r="AB18" s="786"/>
      <c r="AC18" s="786"/>
      <c r="AD18" s="698"/>
      <c r="AE18" s="699"/>
      <c r="AF18" s="700"/>
      <c r="AG18" s="77"/>
      <c r="BD18" s="76"/>
    </row>
    <row r="19" spans="1:68" ht="27.75" customHeight="1" x14ac:dyDescent="0.2">
      <c r="A19" s="734" t="s">
        <v>61</v>
      </c>
      <c r="B19" s="735"/>
      <c r="C19" s="735"/>
      <c r="D19" s="735"/>
      <c r="E19" s="735"/>
      <c r="F19" s="735"/>
      <c r="G19" s="735"/>
      <c r="H19" s="735"/>
      <c r="I19" s="735"/>
      <c r="J19" s="735"/>
      <c r="K19" s="735"/>
      <c r="L19" s="735"/>
      <c r="M19" s="735"/>
      <c r="N19" s="735"/>
      <c r="O19" s="735"/>
      <c r="P19" s="735"/>
      <c r="Q19" s="735"/>
      <c r="R19" s="735"/>
      <c r="S19" s="735"/>
      <c r="T19" s="735"/>
      <c r="U19" s="735"/>
      <c r="V19" s="735"/>
      <c r="W19" s="735"/>
      <c r="X19" s="735"/>
      <c r="Y19" s="735"/>
      <c r="Z19" s="735"/>
      <c r="AA19" s="52"/>
      <c r="AB19" s="52"/>
      <c r="AC19" s="52"/>
    </row>
    <row r="20" spans="1:68" ht="16.5" customHeight="1" x14ac:dyDescent="0.25">
      <c r="A20" s="657" t="s">
        <v>61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2"/>
      <c r="AB20" s="62"/>
      <c r="AC20" s="62"/>
    </row>
    <row r="21" spans="1:68" ht="14.25" customHeight="1" x14ac:dyDescent="0.25">
      <c r="A21" s="658" t="s">
        <v>62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3"/>
      <c r="AB21" s="63"/>
      <c r="AC21" s="63"/>
    </row>
    <row r="22" spans="1:68" ht="27" customHeight="1" x14ac:dyDescent="0.25">
      <c r="A22" s="60" t="s">
        <v>63</v>
      </c>
      <c r="B22" s="60" t="s">
        <v>64</v>
      </c>
      <c r="C22" s="34">
        <v>4301031278</v>
      </c>
      <c r="D22" s="643">
        <v>4680115886643</v>
      </c>
      <c r="E22" s="64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65</v>
      </c>
      <c r="L22" s="35"/>
      <c r="M22" s="36" t="s">
        <v>66</v>
      </c>
      <c r="N22" s="36"/>
      <c r="O22" s="35">
        <v>40</v>
      </c>
      <c r="P22" s="7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0"/>
      <c r="R22" s="640"/>
      <c r="S22" s="640"/>
      <c r="T22" s="641"/>
      <c r="U22" s="37"/>
      <c r="V22" s="37"/>
      <c r="W22" s="38" t="s">
        <v>67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68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69</v>
      </c>
      <c r="B23" s="60" t="s">
        <v>70</v>
      </c>
      <c r="C23" s="34">
        <v>4301031508</v>
      </c>
      <c r="D23" s="643">
        <v>4680115889071</v>
      </c>
      <c r="E23" s="64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65</v>
      </c>
      <c r="L23" s="35"/>
      <c r="M23" s="36" t="s">
        <v>66</v>
      </c>
      <c r="N23" s="36"/>
      <c r="O23" s="35">
        <v>40</v>
      </c>
      <c r="P23" s="8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0"/>
      <c r="R23" s="640"/>
      <c r="S23" s="640"/>
      <c r="T23" s="641"/>
      <c r="U23" s="37"/>
      <c r="V23" s="37"/>
      <c r="W23" s="38" t="s">
        <v>67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71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54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0" t="s">
        <v>72</v>
      </c>
      <c r="Q24" s="647"/>
      <c r="R24" s="647"/>
      <c r="S24" s="647"/>
      <c r="T24" s="647"/>
      <c r="U24" s="647"/>
      <c r="V24" s="648"/>
      <c r="W24" s="40" t="s">
        <v>73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0" t="s">
        <v>72</v>
      </c>
      <c r="Q25" s="647"/>
      <c r="R25" s="647"/>
      <c r="S25" s="647"/>
      <c r="T25" s="647"/>
      <c r="U25" s="647"/>
      <c r="V25" s="648"/>
      <c r="W25" s="40" t="s">
        <v>67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58" t="s">
        <v>74</v>
      </c>
      <c r="B26" s="655"/>
      <c r="C26" s="655"/>
      <c r="D26" s="655"/>
      <c r="E26" s="655"/>
      <c r="F26" s="655"/>
      <c r="G26" s="655"/>
      <c r="H26" s="655"/>
      <c r="I26" s="655"/>
      <c r="J26" s="655"/>
      <c r="K26" s="655"/>
      <c r="L26" s="655"/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3"/>
      <c r="AB26" s="63"/>
      <c r="AC26" s="63"/>
    </row>
    <row r="27" spans="1:68" ht="27" customHeight="1" x14ac:dyDescent="0.25">
      <c r="A27" s="60" t="s">
        <v>75</v>
      </c>
      <c r="B27" s="60" t="s">
        <v>76</v>
      </c>
      <c r="C27" s="34">
        <v>4301051866</v>
      </c>
      <c r="D27" s="643">
        <v>4680115885912</v>
      </c>
      <c r="E27" s="64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77</v>
      </c>
      <c r="L27" s="35"/>
      <c r="M27" s="36" t="s">
        <v>78</v>
      </c>
      <c r="N27" s="36"/>
      <c r="O27" s="35">
        <v>40</v>
      </c>
      <c r="P27" s="80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0"/>
      <c r="R27" s="640"/>
      <c r="S27" s="640"/>
      <c r="T27" s="641"/>
      <c r="U27" s="37"/>
      <c r="V27" s="37"/>
      <c r="W27" s="38" t="s">
        <v>67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79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80</v>
      </c>
      <c r="B28" s="60" t="s">
        <v>81</v>
      </c>
      <c r="C28" s="34">
        <v>4301051776</v>
      </c>
      <c r="D28" s="643">
        <v>4607091388237</v>
      </c>
      <c r="E28" s="64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77</v>
      </c>
      <c r="L28" s="35"/>
      <c r="M28" s="36" t="s">
        <v>78</v>
      </c>
      <c r="N28" s="36"/>
      <c r="O28" s="35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0"/>
      <c r="R28" s="640"/>
      <c r="S28" s="640"/>
      <c r="T28" s="641"/>
      <c r="U28" s="37"/>
      <c r="V28" s="37"/>
      <c r="W28" s="38" t="s">
        <v>67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79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82</v>
      </c>
      <c r="B29" s="60" t="s">
        <v>83</v>
      </c>
      <c r="C29" s="34">
        <v>4301052063</v>
      </c>
      <c r="D29" s="643">
        <v>4680115887350</v>
      </c>
      <c r="E29" s="64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77</v>
      </c>
      <c r="L29" s="35"/>
      <c r="M29" s="36" t="s">
        <v>84</v>
      </c>
      <c r="N29" s="36"/>
      <c r="O29" s="35">
        <v>40</v>
      </c>
      <c r="P29" s="96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0"/>
      <c r="R29" s="640"/>
      <c r="S29" s="640"/>
      <c r="T29" s="641"/>
      <c r="U29" s="37"/>
      <c r="V29" s="37"/>
      <c r="W29" s="38" t="s">
        <v>67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85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86</v>
      </c>
      <c r="B30" s="60" t="s">
        <v>87</v>
      </c>
      <c r="C30" s="34">
        <v>4301051863</v>
      </c>
      <c r="D30" s="643">
        <v>4680115885905</v>
      </c>
      <c r="E30" s="64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77</v>
      </c>
      <c r="L30" s="35"/>
      <c r="M30" s="36" t="s">
        <v>84</v>
      </c>
      <c r="N30" s="36"/>
      <c r="O30" s="35">
        <v>40</v>
      </c>
      <c r="P30" s="9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0"/>
      <c r="R30" s="640"/>
      <c r="S30" s="640"/>
      <c r="T30" s="641"/>
      <c r="U30" s="37"/>
      <c r="V30" s="37"/>
      <c r="W30" s="38" t="s">
        <v>67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88</v>
      </c>
      <c r="AG30" s="75"/>
      <c r="AJ30" s="79"/>
      <c r="AK30" s="79">
        <v>0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89</v>
      </c>
      <c r="B31" s="60" t="s">
        <v>90</v>
      </c>
      <c r="C31" s="34">
        <v>4301052071</v>
      </c>
      <c r="D31" s="643">
        <v>4680115887619</v>
      </c>
      <c r="E31" s="64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77</v>
      </c>
      <c r="L31" s="35"/>
      <c r="M31" s="36" t="s">
        <v>78</v>
      </c>
      <c r="N31" s="36"/>
      <c r="O31" s="35">
        <v>40</v>
      </c>
      <c r="P31" s="96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0"/>
      <c r="R31" s="640"/>
      <c r="S31" s="640"/>
      <c r="T31" s="641"/>
      <c r="U31" s="37"/>
      <c r="V31" s="37"/>
      <c r="W31" s="38" t="s">
        <v>67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91</v>
      </c>
      <c r="AG31" s="75"/>
      <c r="AJ31" s="79"/>
      <c r="AK31" s="79">
        <v>0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54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0" t="s">
        <v>72</v>
      </c>
      <c r="Q32" s="647"/>
      <c r="R32" s="647"/>
      <c r="S32" s="647"/>
      <c r="T32" s="647"/>
      <c r="U32" s="647"/>
      <c r="V32" s="648"/>
      <c r="W32" s="40" t="s">
        <v>73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0" t="s">
        <v>72</v>
      </c>
      <c r="Q33" s="647"/>
      <c r="R33" s="647"/>
      <c r="S33" s="647"/>
      <c r="T33" s="647"/>
      <c r="U33" s="647"/>
      <c r="V33" s="648"/>
      <c r="W33" s="40" t="s">
        <v>67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customHeight="1" x14ac:dyDescent="0.2">
      <c r="A34" s="734" t="s">
        <v>92</v>
      </c>
      <c r="B34" s="735"/>
      <c r="C34" s="735"/>
      <c r="D34" s="735"/>
      <c r="E34" s="735"/>
      <c r="F34" s="735"/>
      <c r="G34" s="735"/>
      <c r="H34" s="735"/>
      <c r="I34" s="735"/>
      <c r="J34" s="735"/>
      <c r="K34" s="735"/>
      <c r="L34" s="735"/>
      <c r="M34" s="735"/>
      <c r="N34" s="735"/>
      <c r="O34" s="735"/>
      <c r="P34" s="735"/>
      <c r="Q34" s="735"/>
      <c r="R34" s="735"/>
      <c r="S34" s="735"/>
      <c r="T34" s="735"/>
      <c r="U34" s="735"/>
      <c r="V34" s="735"/>
      <c r="W34" s="735"/>
      <c r="X34" s="735"/>
      <c r="Y34" s="735"/>
      <c r="Z34" s="735"/>
      <c r="AA34" s="52"/>
      <c r="AB34" s="52"/>
      <c r="AC34" s="52"/>
    </row>
    <row r="35" spans="1:68" ht="16.5" customHeight="1" x14ac:dyDescent="0.25">
      <c r="A35" s="657" t="s">
        <v>93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2"/>
      <c r="AB35" s="62"/>
      <c r="AC35" s="62"/>
    </row>
    <row r="36" spans="1:68" ht="14.25" customHeight="1" x14ac:dyDescent="0.25">
      <c r="A36" s="658" t="s">
        <v>74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3"/>
      <c r="AB36" s="63"/>
      <c r="AC36" s="63"/>
    </row>
    <row r="37" spans="1:68" ht="27" customHeight="1" x14ac:dyDescent="0.25">
      <c r="A37" s="60" t="s">
        <v>94</v>
      </c>
      <c r="B37" s="60" t="s">
        <v>95</v>
      </c>
      <c r="C37" s="34">
        <v>4301052187</v>
      </c>
      <c r="D37" s="643">
        <v>4680115889354</v>
      </c>
      <c r="E37" s="64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77</v>
      </c>
      <c r="L37" s="35"/>
      <c r="M37" s="36" t="s">
        <v>84</v>
      </c>
      <c r="N37" s="36"/>
      <c r="O37" s="35">
        <v>40</v>
      </c>
      <c r="P37" s="8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7"/>
      <c r="V37" s="37"/>
      <c r="W37" s="38" t="s">
        <v>67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/>
      <c r="AB37" s="66"/>
      <c r="AC37" s="95" t="s">
        <v>96</v>
      </c>
      <c r="AG37" s="75"/>
      <c r="AJ37" s="79"/>
      <c r="AK37" s="79">
        <v>0</v>
      </c>
      <c r="BB37" s="96" t="s">
        <v>1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97</v>
      </c>
      <c r="B38" s="60" t="s">
        <v>98</v>
      </c>
      <c r="C38" s="34">
        <v>4301052198</v>
      </c>
      <c r="D38" s="643">
        <v>4680115888463</v>
      </c>
      <c r="E38" s="64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77</v>
      </c>
      <c r="L38" s="35"/>
      <c r="M38" s="36" t="s">
        <v>78</v>
      </c>
      <c r="N38" s="36"/>
      <c r="O38" s="35">
        <v>40</v>
      </c>
      <c r="P38" s="77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7"/>
      <c r="V38" s="37"/>
      <c r="W38" s="38" t="s">
        <v>67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/>
      <c r="AB38" s="66"/>
      <c r="AC38" s="97" t="s">
        <v>99</v>
      </c>
      <c r="AG38" s="75"/>
      <c r="AJ38" s="79"/>
      <c r="AK38" s="79">
        <v>0</v>
      </c>
      <c r="BB38" s="98" t="s">
        <v>1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customHeight="1" x14ac:dyDescent="0.25">
      <c r="A39" s="60" t="s">
        <v>100</v>
      </c>
      <c r="B39" s="60" t="s">
        <v>101</v>
      </c>
      <c r="C39" s="34">
        <v>4301052202</v>
      </c>
      <c r="D39" s="643">
        <v>4680115888494</v>
      </c>
      <c r="E39" s="64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77</v>
      </c>
      <c r="L39" s="35"/>
      <c r="M39" s="36" t="s">
        <v>78</v>
      </c>
      <c r="N39" s="36"/>
      <c r="O39" s="35">
        <v>40</v>
      </c>
      <c r="P39" s="92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0"/>
      <c r="R39" s="640"/>
      <c r="S39" s="640"/>
      <c r="T39" s="641"/>
      <c r="U39" s="37"/>
      <c r="V39" s="37"/>
      <c r="W39" s="38" t="s">
        <v>67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/>
      <c r="AB39" s="66"/>
      <c r="AC39" s="99" t="s">
        <v>102</v>
      </c>
      <c r="AG39" s="75"/>
      <c r="AJ39" s="79"/>
      <c r="AK39" s="79">
        <v>0</v>
      </c>
      <c r="BB39" s="100" t="s">
        <v>1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103</v>
      </c>
      <c r="B40" s="60" t="s">
        <v>104</v>
      </c>
      <c r="C40" s="34">
        <v>4301052184</v>
      </c>
      <c r="D40" s="643">
        <v>4680115888272</v>
      </c>
      <c r="E40" s="64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77</v>
      </c>
      <c r="L40" s="35"/>
      <c r="M40" s="36" t="s">
        <v>78</v>
      </c>
      <c r="N40" s="36"/>
      <c r="O40" s="35">
        <v>40</v>
      </c>
      <c r="P40" s="78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7"/>
      <c r="V40" s="37"/>
      <c r="W40" s="38" t="s">
        <v>67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/>
      <c r="AB40" s="66"/>
      <c r="AC40" s="101" t="s">
        <v>105</v>
      </c>
      <c r="AG40" s="75"/>
      <c r="AJ40" s="79"/>
      <c r="AK40" s="79">
        <v>0</v>
      </c>
      <c r="BB40" s="102" t="s">
        <v>1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customHeight="1" x14ac:dyDescent="0.25">
      <c r="A41" s="60" t="s">
        <v>106</v>
      </c>
      <c r="B41" s="60" t="s">
        <v>107</v>
      </c>
      <c r="C41" s="34">
        <v>4301052188</v>
      </c>
      <c r="D41" s="643">
        <v>4680115888364</v>
      </c>
      <c r="E41" s="64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77</v>
      </c>
      <c r="L41" s="35"/>
      <c r="M41" s="36" t="s">
        <v>78</v>
      </c>
      <c r="N41" s="36"/>
      <c r="O41" s="35">
        <v>40</v>
      </c>
      <c r="P41" s="7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7"/>
      <c r="V41" s="37"/>
      <c r="W41" s="38" t="s">
        <v>67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/>
      <c r="AB41" s="66"/>
      <c r="AC41" s="103" t="s">
        <v>108</v>
      </c>
      <c r="AG41" s="75"/>
      <c r="AJ41" s="79"/>
      <c r="AK41" s="79">
        <v>0</v>
      </c>
      <c r="BB41" s="104" t="s">
        <v>1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x14ac:dyDescent="0.2">
      <c r="A42" s="654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0" t="s">
        <v>72</v>
      </c>
      <c r="Q42" s="647"/>
      <c r="R42" s="647"/>
      <c r="S42" s="647"/>
      <c r="T42" s="647"/>
      <c r="U42" s="647"/>
      <c r="V42" s="648"/>
      <c r="W42" s="40" t="s">
        <v>73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0" t="s">
        <v>72</v>
      </c>
      <c r="Q43" s="647"/>
      <c r="R43" s="647"/>
      <c r="S43" s="647"/>
      <c r="T43" s="647"/>
      <c r="U43" s="647"/>
      <c r="V43" s="648"/>
      <c r="W43" s="40" t="s">
        <v>67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customHeight="1" x14ac:dyDescent="0.2">
      <c r="A44" s="734" t="s">
        <v>109</v>
      </c>
      <c r="B44" s="735"/>
      <c r="C44" s="735"/>
      <c r="D44" s="735"/>
      <c r="E44" s="735"/>
      <c r="F44" s="735"/>
      <c r="G44" s="735"/>
      <c r="H44" s="735"/>
      <c r="I44" s="735"/>
      <c r="J44" s="735"/>
      <c r="K44" s="735"/>
      <c r="L44" s="735"/>
      <c r="M44" s="735"/>
      <c r="N44" s="735"/>
      <c r="O44" s="735"/>
      <c r="P44" s="735"/>
      <c r="Q44" s="735"/>
      <c r="R44" s="735"/>
      <c r="S44" s="735"/>
      <c r="T44" s="735"/>
      <c r="U44" s="735"/>
      <c r="V44" s="735"/>
      <c r="W44" s="735"/>
      <c r="X44" s="735"/>
      <c r="Y44" s="735"/>
      <c r="Z44" s="735"/>
      <c r="AA44" s="52"/>
      <c r="AB44" s="52"/>
      <c r="AC44" s="52"/>
    </row>
    <row r="45" spans="1:68" ht="16.5" customHeight="1" x14ac:dyDescent="0.25">
      <c r="A45" s="657" t="s">
        <v>110</v>
      </c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5"/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  <c r="AA45" s="62"/>
      <c r="AB45" s="62"/>
      <c r="AC45" s="62"/>
    </row>
    <row r="46" spans="1:68" ht="14.25" customHeight="1" x14ac:dyDescent="0.25">
      <c r="A46" s="658" t="s">
        <v>111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3"/>
      <c r="AB46" s="63"/>
      <c r="AC46" s="63"/>
    </row>
    <row r="47" spans="1:68" ht="16.5" customHeight="1" x14ac:dyDescent="0.25">
      <c r="A47" s="60" t="s">
        <v>112</v>
      </c>
      <c r="B47" s="60" t="s">
        <v>113</v>
      </c>
      <c r="C47" s="34">
        <v>4301011380</v>
      </c>
      <c r="D47" s="643">
        <v>4607091385670</v>
      </c>
      <c r="E47" s="64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114</v>
      </c>
      <c r="L47" s="35"/>
      <c r="M47" s="36" t="s">
        <v>115</v>
      </c>
      <c r="N47" s="36"/>
      <c r="O47" s="35">
        <v>50</v>
      </c>
      <c r="P47" s="91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7"/>
      <c r="V47" s="37"/>
      <c r="W47" s="38" t="s">
        <v>67</v>
      </c>
      <c r="X47" s="56">
        <v>100</v>
      </c>
      <c r="Y47" s="53">
        <f>IFERROR(IF(X47="",0,CEILING((X47/$H47),1)*$H47),"")</f>
        <v>108</v>
      </c>
      <c r="Z47" s="39">
        <f>IFERROR(IF(Y47=0,"",ROUNDUP(Y47/H47,0)*0.01898),"")</f>
        <v>0.1898</v>
      </c>
      <c r="AA47" s="65"/>
      <c r="AB47" s="66"/>
      <c r="AC47" s="105" t="s">
        <v>116</v>
      </c>
      <c r="AG47" s="75"/>
      <c r="AJ47" s="79"/>
      <c r="AK47" s="79">
        <v>0</v>
      </c>
      <c r="BB47" s="106" t="s">
        <v>1</v>
      </c>
      <c r="BM47" s="75">
        <f>IFERROR(X47*I47/H47,"0")</f>
        <v>103.79629629629629</v>
      </c>
      <c r="BN47" s="75">
        <f>IFERROR(Y47*I47/H47,"0")</f>
        <v>112.1</v>
      </c>
      <c r="BO47" s="75">
        <f>IFERROR(1/J47*(X47/H47),"0")</f>
        <v>0.14467592592592593</v>
      </c>
      <c r="BP47" s="75">
        <f>IFERROR(1/J47*(Y47/H47),"0")</f>
        <v>0.15625</v>
      </c>
    </row>
    <row r="48" spans="1:68" ht="27" customHeight="1" x14ac:dyDescent="0.25">
      <c r="A48" s="60" t="s">
        <v>117</v>
      </c>
      <c r="B48" s="60" t="s">
        <v>118</v>
      </c>
      <c r="C48" s="34">
        <v>4301012053</v>
      </c>
      <c r="D48" s="643">
        <v>4680115887725</v>
      </c>
      <c r="E48" s="64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119</v>
      </c>
      <c r="L48" s="35"/>
      <c r="M48" s="36" t="s">
        <v>66</v>
      </c>
      <c r="N48" s="36"/>
      <c r="O48" s="35">
        <v>30</v>
      </c>
      <c r="P48" s="74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7"/>
      <c r="V48" s="37"/>
      <c r="W48" s="38" t="s">
        <v>67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/>
      <c r="AB48" s="66"/>
      <c r="AC48" s="107" t="s">
        <v>120</v>
      </c>
      <c r="AG48" s="75"/>
      <c r="AJ48" s="79"/>
      <c r="AK48" s="79">
        <v>0</v>
      </c>
      <c r="BB48" s="108" t="s">
        <v>1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121</v>
      </c>
      <c r="B49" s="60" t="s">
        <v>122</v>
      </c>
      <c r="C49" s="34">
        <v>4301011382</v>
      </c>
      <c r="D49" s="643">
        <v>4607091385687</v>
      </c>
      <c r="E49" s="64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123</v>
      </c>
      <c r="L49" s="35"/>
      <c r="M49" s="36" t="s">
        <v>78</v>
      </c>
      <c r="N49" s="36"/>
      <c r="O49" s="35">
        <v>50</v>
      </c>
      <c r="P49" s="7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7"/>
      <c r="V49" s="37"/>
      <c r="W49" s="38" t="s">
        <v>67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/>
      <c r="AB49" s="66"/>
      <c r="AC49" s="109" t="s">
        <v>116</v>
      </c>
      <c r="AG49" s="75"/>
      <c r="AJ49" s="79"/>
      <c r="AK49" s="79">
        <v>0</v>
      </c>
      <c r="BB49" s="110" t="s">
        <v>1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customHeight="1" x14ac:dyDescent="0.25">
      <c r="A50" s="60" t="s">
        <v>124</v>
      </c>
      <c r="B50" s="60" t="s">
        <v>125</v>
      </c>
      <c r="C50" s="34">
        <v>4301011565</v>
      </c>
      <c r="D50" s="643">
        <v>4680115882539</v>
      </c>
      <c r="E50" s="64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123</v>
      </c>
      <c r="L50" s="35"/>
      <c r="M50" s="36" t="s">
        <v>78</v>
      </c>
      <c r="N50" s="36"/>
      <c r="O50" s="35">
        <v>50</v>
      </c>
      <c r="P50" s="9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7"/>
      <c r="V50" s="37"/>
      <c r="W50" s="38" t="s">
        <v>67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/>
      <c r="AB50" s="66"/>
      <c r="AC50" s="111" t="s">
        <v>116</v>
      </c>
      <c r="AG50" s="75"/>
      <c r="AJ50" s="79"/>
      <c r="AK50" s="79">
        <v>0</v>
      </c>
      <c r="BB50" s="112" t="s">
        <v>1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4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0" t="s">
        <v>72</v>
      </c>
      <c r="Q51" s="647"/>
      <c r="R51" s="647"/>
      <c r="S51" s="647"/>
      <c r="T51" s="647"/>
      <c r="U51" s="647"/>
      <c r="V51" s="648"/>
      <c r="W51" s="40" t="s">
        <v>73</v>
      </c>
      <c r="X51" s="41">
        <f>IFERROR(X47/H47,"0")+IFERROR(X48/H48,"0")+IFERROR(X49/H49,"0")+IFERROR(X50/H50,"0")</f>
        <v>9.2592592592592595</v>
      </c>
      <c r="Y51" s="41">
        <f>IFERROR(Y47/H47,"0")+IFERROR(Y48/H48,"0")+IFERROR(Y49/H49,"0")+IFERROR(Y50/H50,"0")</f>
        <v>10</v>
      </c>
      <c r="Z51" s="41">
        <f>IFERROR(IF(Z47="",0,Z47),"0")+IFERROR(IF(Z48="",0,Z48),"0")+IFERROR(IF(Z49="",0,Z49),"0")+IFERROR(IF(Z50="",0,Z50),"0")</f>
        <v>0.1898</v>
      </c>
      <c r="AA51" s="64"/>
      <c r="AB51" s="64"/>
      <c r="AC51" s="64"/>
    </row>
    <row r="52" spans="1:68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0" t="s">
        <v>72</v>
      </c>
      <c r="Q52" s="647"/>
      <c r="R52" s="647"/>
      <c r="S52" s="647"/>
      <c r="T52" s="647"/>
      <c r="U52" s="647"/>
      <c r="V52" s="648"/>
      <c r="W52" s="40" t="s">
        <v>67</v>
      </c>
      <c r="X52" s="41">
        <f>IFERROR(SUM(X47:X50),"0")</f>
        <v>100</v>
      </c>
      <c r="Y52" s="41">
        <f>IFERROR(SUM(Y47:Y50),"0")</f>
        <v>108</v>
      </c>
      <c r="Z52" s="40"/>
      <c r="AA52" s="64"/>
      <c r="AB52" s="64"/>
      <c r="AC52" s="64"/>
    </row>
    <row r="53" spans="1:68" ht="16.5" customHeight="1" x14ac:dyDescent="0.25">
      <c r="A53" s="657" t="s">
        <v>126</v>
      </c>
      <c r="B53" s="655"/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2"/>
      <c r="AB53" s="62"/>
      <c r="AC53" s="62"/>
    </row>
    <row r="54" spans="1:68" ht="14.25" customHeight="1" x14ac:dyDescent="0.25">
      <c r="A54" s="658" t="s">
        <v>111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3"/>
      <c r="AB54" s="63"/>
      <c r="AC54" s="63"/>
    </row>
    <row r="55" spans="1:68" ht="27" customHeight="1" x14ac:dyDescent="0.25">
      <c r="A55" s="60" t="s">
        <v>127</v>
      </c>
      <c r="B55" s="60" t="s">
        <v>128</v>
      </c>
      <c r="C55" s="34">
        <v>4301012030</v>
      </c>
      <c r="D55" s="643">
        <v>4680115885882</v>
      </c>
      <c r="E55" s="64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114</v>
      </c>
      <c r="L55" s="35"/>
      <c r="M55" s="36" t="s">
        <v>78</v>
      </c>
      <c r="N55" s="36"/>
      <c r="O55" s="35">
        <v>50</v>
      </c>
      <c r="P55" s="8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0"/>
      <c r="R55" s="640"/>
      <c r="S55" s="640"/>
      <c r="T55" s="641"/>
      <c r="U55" s="37"/>
      <c r="V55" s="37"/>
      <c r="W55" s="38" t="s">
        <v>67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/>
      <c r="AB55" s="66"/>
      <c r="AC55" s="113" t="s">
        <v>129</v>
      </c>
      <c r="AG55" s="75"/>
      <c r="AJ55" s="79"/>
      <c r="AK55" s="79">
        <v>0</v>
      </c>
      <c r="BB55" s="114" t="s">
        <v>1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customHeight="1" x14ac:dyDescent="0.25">
      <c r="A56" s="60" t="s">
        <v>127</v>
      </c>
      <c r="B56" s="60" t="s">
        <v>130</v>
      </c>
      <c r="C56" s="34">
        <v>4301012161</v>
      </c>
      <c r="D56" s="643">
        <v>4680115885882</v>
      </c>
      <c r="E56" s="644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114</v>
      </c>
      <c r="L56" s="35"/>
      <c r="M56" s="36" t="s">
        <v>115</v>
      </c>
      <c r="N56" s="36"/>
      <c r="O56" s="35">
        <v>50</v>
      </c>
      <c r="P56" s="9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0"/>
      <c r="R56" s="640"/>
      <c r="S56" s="640"/>
      <c r="T56" s="641"/>
      <c r="U56" s="37"/>
      <c r="V56" s="37"/>
      <c r="W56" s="38" t="s">
        <v>67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/>
      <c r="AB56" s="66"/>
      <c r="AC56" s="115" t="s">
        <v>131</v>
      </c>
      <c r="AG56" s="75"/>
      <c r="AJ56" s="79"/>
      <c r="AK56" s="79">
        <v>0</v>
      </c>
      <c r="BB56" s="116" t="s">
        <v>1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customHeight="1" x14ac:dyDescent="0.25">
      <c r="A57" s="60" t="s">
        <v>132</v>
      </c>
      <c r="B57" s="60" t="s">
        <v>133</v>
      </c>
      <c r="C57" s="34">
        <v>4301011816</v>
      </c>
      <c r="D57" s="643">
        <v>4680115881426</v>
      </c>
      <c r="E57" s="644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114</v>
      </c>
      <c r="L57" s="35"/>
      <c r="M57" s="36" t="s">
        <v>115</v>
      </c>
      <c r="N57" s="36"/>
      <c r="O57" s="35">
        <v>50</v>
      </c>
      <c r="P57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0"/>
      <c r="R57" s="640"/>
      <c r="S57" s="640"/>
      <c r="T57" s="641"/>
      <c r="U57" s="37"/>
      <c r="V57" s="37"/>
      <c r="W57" s="38" t="s">
        <v>67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/>
      <c r="AB57" s="66"/>
      <c r="AC57" s="117" t="s">
        <v>134</v>
      </c>
      <c r="AG57" s="75"/>
      <c r="AJ57" s="79"/>
      <c r="AK57" s="79">
        <v>0</v>
      </c>
      <c r="BB57" s="118" t="s">
        <v>1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customHeight="1" x14ac:dyDescent="0.25">
      <c r="A58" s="60" t="s">
        <v>135</v>
      </c>
      <c r="B58" s="60" t="s">
        <v>136</v>
      </c>
      <c r="C58" s="34">
        <v>4301011386</v>
      </c>
      <c r="D58" s="643">
        <v>4680115880283</v>
      </c>
      <c r="E58" s="644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123</v>
      </c>
      <c r="L58" s="35"/>
      <c r="M58" s="36" t="s">
        <v>115</v>
      </c>
      <c r="N58" s="36"/>
      <c r="O58" s="35">
        <v>45</v>
      </c>
      <c r="P58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0"/>
      <c r="R58" s="640"/>
      <c r="S58" s="640"/>
      <c r="T58" s="641"/>
      <c r="U58" s="37"/>
      <c r="V58" s="37"/>
      <c r="W58" s="38" t="s">
        <v>67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/>
      <c r="AB58" s="66"/>
      <c r="AC58" s="119" t="s">
        <v>137</v>
      </c>
      <c r="AG58" s="75"/>
      <c r="AJ58" s="79"/>
      <c r="AK58" s="79">
        <v>0</v>
      </c>
      <c r="BB58" s="120" t="s">
        <v>1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customHeight="1" x14ac:dyDescent="0.25">
      <c r="A59" s="60" t="s">
        <v>135</v>
      </c>
      <c r="B59" s="60" t="s">
        <v>138</v>
      </c>
      <c r="C59" s="34">
        <v>4301012259</v>
      </c>
      <c r="D59" s="643">
        <v>4680115880283</v>
      </c>
      <c r="E59" s="644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123</v>
      </c>
      <c r="L59" s="35"/>
      <c r="M59" s="36" t="s">
        <v>115</v>
      </c>
      <c r="N59" s="36"/>
      <c r="O59" s="35">
        <v>45</v>
      </c>
      <c r="P59" s="74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0"/>
      <c r="R59" s="640"/>
      <c r="S59" s="640"/>
      <c r="T59" s="641"/>
      <c r="U59" s="37"/>
      <c r="V59" s="37"/>
      <c r="W59" s="38" t="s">
        <v>67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/>
      <c r="AB59" s="66"/>
      <c r="AC59" s="121" t="s">
        <v>137</v>
      </c>
      <c r="AG59" s="75"/>
      <c r="AJ59" s="79"/>
      <c r="AK59" s="79">
        <v>0</v>
      </c>
      <c r="BB59" s="122" t="s">
        <v>1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customHeight="1" x14ac:dyDescent="0.25">
      <c r="A60" s="60" t="s">
        <v>139</v>
      </c>
      <c r="B60" s="60" t="s">
        <v>140</v>
      </c>
      <c r="C60" s="34">
        <v>4301011806</v>
      </c>
      <c r="D60" s="643">
        <v>4680115881525</v>
      </c>
      <c r="E60" s="644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123</v>
      </c>
      <c r="L60" s="35"/>
      <c r="M60" s="36" t="s">
        <v>115</v>
      </c>
      <c r="N60" s="36"/>
      <c r="O60" s="35">
        <v>50</v>
      </c>
      <c r="P60" s="68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0"/>
      <c r="R60" s="640"/>
      <c r="S60" s="640"/>
      <c r="T60" s="641"/>
      <c r="U60" s="37"/>
      <c r="V60" s="37"/>
      <c r="W60" s="38" t="s">
        <v>67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/>
      <c r="AB60" s="66"/>
      <c r="AC60" s="123" t="s">
        <v>141</v>
      </c>
      <c r="AG60" s="75"/>
      <c r="AJ60" s="79"/>
      <c r="AK60" s="79">
        <v>0</v>
      </c>
      <c r="BB60" s="124" t="s">
        <v>1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142</v>
      </c>
      <c r="B61" s="60" t="s">
        <v>143</v>
      </c>
      <c r="C61" s="34">
        <v>4301012165</v>
      </c>
      <c r="D61" s="643">
        <v>4680115885899</v>
      </c>
      <c r="E61" s="644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77</v>
      </c>
      <c r="L61" s="35"/>
      <c r="M61" s="36" t="s">
        <v>115</v>
      </c>
      <c r="N61" s="36"/>
      <c r="O61" s="35">
        <v>50</v>
      </c>
      <c r="P61" s="75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7"/>
      <c r="V61" s="37"/>
      <c r="W61" s="38" t="s">
        <v>67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/>
      <c r="AB61" s="66"/>
      <c r="AC61" s="125" t="s">
        <v>131</v>
      </c>
      <c r="AG61" s="75"/>
      <c r="AJ61" s="79"/>
      <c r="AK61" s="79">
        <v>0</v>
      </c>
      <c r="BB61" s="126" t="s">
        <v>1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customHeight="1" x14ac:dyDescent="0.25">
      <c r="A62" s="60" t="s">
        <v>144</v>
      </c>
      <c r="B62" s="60" t="s">
        <v>145</v>
      </c>
      <c r="C62" s="34">
        <v>4301011801</v>
      </c>
      <c r="D62" s="643">
        <v>4680115881419</v>
      </c>
      <c r="E62" s="644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123</v>
      </c>
      <c r="L62" s="35"/>
      <c r="M62" s="36" t="s">
        <v>115</v>
      </c>
      <c r="N62" s="36"/>
      <c r="O62" s="35">
        <v>50</v>
      </c>
      <c r="P62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0"/>
      <c r="R62" s="640"/>
      <c r="S62" s="640"/>
      <c r="T62" s="641"/>
      <c r="U62" s="37"/>
      <c r="V62" s="37"/>
      <c r="W62" s="38" t="s">
        <v>67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/>
      <c r="AB62" s="66"/>
      <c r="AC62" s="127" t="s">
        <v>146</v>
      </c>
      <c r="AG62" s="75"/>
      <c r="AJ62" s="79"/>
      <c r="AK62" s="79">
        <v>0</v>
      </c>
      <c r="BB62" s="128" t="s">
        <v>1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x14ac:dyDescent="0.2">
      <c r="A63" s="654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0" t="s">
        <v>72</v>
      </c>
      <c r="Q63" s="647"/>
      <c r="R63" s="647"/>
      <c r="S63" s="647"/>
      <c r="T63" s="647"/>
      <c r="U63" s="647"/>
      <c r="V63" s="648"/>
      <c r="W63" s="40" t="s">
        <v>73</v>
      </c>
      <c r="X63" s="41">
        <f>IFERROR(X55/H55,"0")+IFERROR(X56/H56,"0")+IFERROR(X57/H57,"0")+IFERROR(X58/H58,"0")+IFERROR(X59/H59,"0")+IFERROR(X60/H60,"0")+IFERROR(X61/H61,"0")+IFERROR(X62/H62,"0")</f>
        <v>0</v>
      </c>
      <c r="Y63" s="41">
        <f>IFERROR(Y55/H55,"0")+IFERROR(Y56/H56,"0")+IFERROR(Y57/H57,"0")+IFERROR(Y58/H58,"0")+IFERROR(Y59/H59,"0")+IFERROR(Y60/H60,"0")+IFERROR(Y61/H61,"0")+IFERROR(Y62/H62,"0")</f>
        <v>0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4"/>
      <c r="AB63" s="64"/>
      <c r="AC63" s="64"/>
    </row>
    <row r="64" spans="1:68" x14ac:dyDescent="0.2">
      <c r="A64" s="655"/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6"/>
      <c r="P64" s="650" t="s">
        <v>72</v>
      </c>
      <c r="Q64" s="647"/>
      <c r="R64" s="647"/>
      <c r="S64" s="647"/>
      <c r="T64" s="647"/>
      <c r="U64" s="647"/>
      <c r="V64" s="648"/>
      <c r="W64" s="40" t="s">
        <v>67</v>
      </c>
      <c r="X64" s="41">
        <f>IFERROR(SUM(X55:X62),"0")</f>
        <v>0</v>
      </c>
      <c r="Y64" s="41">
        <f>IFERROR(SUM(Y55:Y62),"0")</f>
        <v>0</v>
      </c>
      <c r="Z64" s="40"/>
      <c r="AA64" s="64"/>
      <c r="AB64" s="64"/>
      <c r="AC64" s="64"/>
    </row>
    <row r="65" spans="1:68" ht="14.25" customHeight="1" x14ac:dyDescent="0.25">
      <c r="A65" s="658" t="s">
        <v>147</v>
      </c>
      <c r="B65" s="655"/>
      <c r="C65" s="655"/>
      <c r="D65" s="655"/>
      <c r="E65" s="655"/>
      <c r="F65" s="655"/>
      <c r="G65" s="655"/>
      <c r="H65" s="655"/>
      <c r="I65" s="655"/>
      <c r="J65" s="655"/>
      <c r="K65" s="655"/>
      <c r="L65" s="655"/>
      <c r="M65" s="655"/>
      <c r="N65" s="655"/>
      <c r="O65" s="655"/>
      <c r="P65" s="655"/>
      <c r="Q65" s="655"/>
      <c r="R65" s="655"/>
      <c r="S65" s="655"/>
      <c r="T65" s="655"/>
      <c r="U65" s="655"/>
      <c r="V65" s="655"/>
      <c r="W65" s="655"/>
      <c r="X65" s="655"/>
      <c r="Y65" s="655"/>
      <c r="Z65" s="655"/>
      <c r="AA65" s="63"/>
      <c r="AB65" s="63"/>
      <c r="AC65" s="63"/>
    </row>
    <row r="66" spans="1:68" ht="16.5" customHeight="1" x14ac:dyDescent="0.25">
      <c r="A66" s="60" t="s">
        <v>148</v>
      </c>
      <c r="B66" s="60" t="s">
        <v>149</v>
      </c>
      <c r="C66" s="34">
        <v>4301020298</v>
      </c>
      <c r="D66" s="643">
        <v>4680115881440</v>
      </c>
      <c r="E66" s="644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114</v>
      </c>
      <c r="L66" s="35"/>
      <c r="M66" s="36" t="s">
        <v>115</v>
      </c>
      <c r="N66" s="36"/>
      <c r="O66" s="35">
        <v>50</v>
      </c>
      <c r="P66" s="90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0"/>
      <c r="R66" s="640"/>
      <c r="S66" s="640"/>
      <c r="T66" s="641"/>
      <c r="U66" s="37"/>
      <c r="V66" s="37"/>
      <c r="W66" s="38" t="s">
        <v>67</v>
      </c>
      <c r="X66" s="56">
        <v>0</v>
      </c>
      <c r="Y66" s="53">
        <f>IFERROR(IF(X66="",0,CEILING((X66/$H66),1)*$H66),"")</f>
        <v>0</v>
      </c>
      <c r="Z66" s="39" t="str">
        <f>IFERROR(IF(Y66=0,"",ROUNDUP(Y66/H66,0)*0.01898),"")</f>
        <v/>
      </c>
      <c r="AA66" s="65"/>
      <c r="AB66" s="66"/>
      <c r="AC66" s="129" t="s">
        <v>150</v>
      </c>
      <c r="AG66" s="75"/>
      <c r="AJ66" s="79"/>
      <c r="AK66" s="79">
        <v>0</v>
      </c>
      <c r="BB66" s="130" t="s">
        <v>1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customHeight="1" x14ac:dyDescent="0.25">
      <c r="A67" s="60" t="s">
        <v>151</v>
      </c>
      <c r="B67" s="60" t="s">
        <v>152</v>
      </c>
      <c r="C67" s="34">
        <v>4301020358</v>
      </c>
      <c r="D67" s="643">
        <v>4680115885950</v>
      </c>
      <c r="E67" s="644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77</v>
      </c>
      <c r="L67" s="35"/>
      <c r="M67" s="36" t="s">
        <v>78</v>
      </c>
      <c r="N67" s="36"/>
      <c r="O67" s="35">
        <v>50</v>
      </c>
      <c r="P67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0"/>
      <c r="R67" s="640"/>
      <c r="S67" s="640"/>
      <c r="T67" s="641"/>
      <c r="U67" s="37"/>
      <c r="V67" s="37"/>
      <c r="W67" s="38" t="s">
        <v>67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/>
      <c r="AB67" s="66"/>
      <c r="AC67" s="131" t="s">
        <v>150</v>
      </c>
      <c r="AG67" s="75"/>
      <c r="AJ67" s="79"/>
      <c r="AK67" s="79">
        <v>0</v>
      </c>
      <c r="BB67" s="132" t="s">
        <v>1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customHeight="1" x14ac:dyDescent="0.25">
      <c r="A68" s="60" t="s">
        <v>153</v>
      </c>
      <c r="B68" s="60" t="s">
        <v>154</v>
      </c>
      <c r="C68" s="34">
        <v>4301020371</v>
      </c>
      <c r="D68" s="643">
        <v>4680115887688</v>
      </c>
      <c r="E68" s="644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119</v>
      </c>
      <c r="L68" s="35"/>
      <c r="M68" s="36" t="s">
        <v>66</v>
      </c>
      <c r="N68" s="36"/>
      <c r="O68" s="35">
        <v>30</v>
      </c>
      <c r="P68" s="8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7"/>
      <c r="V68" s="37"/>
      <c r="W68" s="38" t="s">
        <v>67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/>
      <c r="AB68" s="66"/>
      <c r="AC68" s="133" t="s">
        <v>155</v>
      </c>
      <c r="AG68" s="75"/>
      <c r="AJ68" s="79"/>
      <c r="AK68" s="79">
        <v>0</v>
      </c>
      <c r="BB68" s="134" t="s">
        <v>1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customHeight="1" x14ac:dyDescent="0.25">
      <c r="A69" s="60" t="s">
        <v>156</v>
      </c>
      <c r="B69" s="60" t="s">
        <v>157</v>
      </c>
      <c r="C69" s="34">
        <v>4301020296</v>
      </c>
      <c r="D69" s="643">
        <v>4680115881433</v>
      </c>
      <c r="E69" s="644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77</v>
      </c>
      <c r="L69" s="35"/>
      <c r="M69" s="36" t="s">
        <v>115</v>
      </c>
      <c r="N69" s="36"/>
      <c r="O69" s="35">
        <v>50</v>
      </c>
      <c r="P69" s="8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0"/>
      <c r="R69" s="640"/>
      <c r="S69" s="640"/>
      <c r="T69" s="641"/>
      <c r="U69" s="37"/>
      <c r="V69" s="37"/>
      <c r="W69" s="38" t="s">
        <v>67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/>
      <c r="AB69" s="66"/>
      <c r="AC69" s="135" t="s">
        <v>150</v>
      </c>
      <c r="AG69" s="75"/>
      <c r="AJ69" s="79"/>
      <c r="AK69" s="79">
        <v>0</v>
      </c>
      <c r="BB69" s="136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654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0" t="s">
        <v>72</v>
      </c>
      <c r="Q70" s="647"/>
      <c r="R70" s="647"/>
      <c r="S70" s="647"/>
      <c r="T70" s="647"/>
      <c r="U70" s="647"/>
      <c r="V70" s="648"/>
      <c r="W70" s="40" t="s">
        <v>73</v>
      </c>
      <c r="X70" s="41">
        <f>IFERROR(X66/H66,"0")+IFERROR(X67/H67,"0")+IFERROR(X68/H68,"0")+IFERROR(X69/H69,"0")</f>
        <v>0</v>
      </c>
      <c r="Y70" s="41">
        <f>IFERROR(Y66/H66,"0")+IFERROR(Y67/H67,"0")+IFERROR(Y68/H68,"0")+IFERROR(Y69/H69,"0")</f>
        <v>0</v>
      </c>
      <c r="Z70" s="41">
        <f>IFERROR(IF(Z66="",0,Z66),"0")+IFERROR(IF(Z67="",0,Z67),"0")+IFERROR(IF(Z68="",0,Z68),"0")+IFERROR(IF(Z69="",0,Z69),"0")</f>
        <v>0</v>
      </c>
      <c r="AA70" s="64"/>
      <c r="AB70" s="64"/>
      <c r="AC70" s="64"/>
    </row>
    <row r="71" spans="1:68" x14ac:dyDescent="0.2">
      <c r="A71" s="655"/>
      <c r="B71" s="655"/>
      <c r="C71" s="655"/>
      <c r="D71" s="655"/>
      <c r="E71" s="655"/>
      <c r="F71" s="655"/>
      <c r="G71" s="655"/>
      <c r="H71" s="655"/>
      <c r="I71" s="655"/>
      <c r="J71" s="655"/>
      <c r="K71" s="655"/>
      <c r="L71" s="655"/>
      <c r="M71" s="655"/>
      <c r="N71" s="655"/>
      <c r="O71" s="656"/>
      <c r="P71" s="650" t="s">
        <v>72</v>
      </c>
      <c r="Q71" s="647"/>
      <c r="R71" s="647"/>
      <c r="S71" s="647"/>
      <c r="T71" s="647"/>
      <c r="U71" s="647"/>
      <c r="V71" s="648"/>
      <c r="W71" s="40" t="s">
        <v>67</v>
      </c>
      <c r="X71" s="41">
        <f>IFERROR(SUM(X66:X69),"0")</f>
        <v>0</v>
      </c>
      <c r="Y71" s="41">
        <f>IFERROR(SUM(Y66:Y69),"0")</f>
        <v>0</v>
      </c>
      <c r="Z71" s="40"/>
      <c r="AA71" s="64"/>
      <c r="AB71" s="64"/>
      <c r="AC71" s="64"/>
    </row>
    <row r="72" spans="1:68" ht="14.25" customHeight="1" x14ac:dyDescent="0.25">
      <c r="A72" s="658" t="s">
        <v>74</v>
      </c>
      <c r="B72" s="655"/>
      <c r="C72" s="655"/>
      <c r="D72" s="655"/>
      <c r="E72" s="655"/>
      <c r="F72" s="655"/>
      <c r="G72" s="655"/>
      <c r="H72" s="655"/>
      <c r="I72" s="655"/>
      <c r="J72" s="655"/>
      <c r="K72" s="655"/>
      <c r="L72" s="655"/>
      <c r="M72" s="655"/>
      <c r="N72" s="655"/>
      <c r="O72" s="655"/>
      <c r="P72" s="655"/>
      <c r="Q72" s="655"/>
      <c r="R72" s="655"/>
      <c r="S72" s="655"/>
      <c r="T72" s="655"/>
      <c r="U72" s="655"/>
      <c r="V72" s="655"/>
      <c r="W72" s="655"/>
      <c r="X72" s="655"/>
      <c r="Y72" s="655"/>
      <c r="Z72" s="655"/>
      <c r="AA72" s="63"/>
      <c r="AB72" s="63"/>
      <c r="AC72" s="63"/>
    </row>
    <row r="73" spans="1:68" ht="16.5" customHeight="1" x14ac:dyDescent="0.25">
      <c r="A73" s="60" t="s">
        <v>158</v>
      </c>
      <c r="B73" s="60" t="s">
        <v>159</v>
      </c>
      <c r="C73" s="34">
        <v>4301051837</v>
      </c>
      <c r="D73" s="643">
        <v>4680115884311</v>
      </c>
      <c r="E73" s="644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77</v>
      </c>
      <c r="L73" s="35"/>
      <c r="M73" s="36" t="s">
        <v>78</v>
      </c>
      <c r="N73" s="36"/>
      <c r="O73" s="35">
        <v>40</v>
      </c>
      <c r="P73" s="9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7"/>
      <c r="V73" s="37"/>
      <c r="W73" s="38" t="s">
        <v>67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37" t="s">
        <v>160</v>
      </c>
      <c r="AG73" s="75"/>
      <c r="AJ73" s="79"/>
      <c r="AK73" s="79">
        <v>0</v>
      </c>
      <c r="BB73" s="138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customHeight="1" x14ac:dyDescent="0.25">
      <c r="A74" s="60" t="s">
        <v>161</v>
      </c>
      <c r="B74" s="60" t="s">
        <v>162</v>
      </c>
      <c r="C74" s="34">
        <v>4301051929</v>
      </c>
      <c r="D74" s="643">
        <v>4680115884403</v>
      </c>
      <c r="E74" s="64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77</v>
      </c>
      <c r="L74" s="35"/>
      <c r="M74" s="36" t="s">
        <v>78</v>
      </c>
      <c r="N74" s="36"/>
      <c r="O74" s="35">
        <v>40</v>
      </c>
      <c r="P74" s="8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0"/>
      <c r="R74" s="640"/>
      <c r="S74" s="640"/>
      <c r="T74" s="641"/>
      <c r="U74" s="37"/>
      <c r="V74" s="37"/>
      <c r="W74" s="38" t="s">
        <v>67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/>
      <c r="AB74" s="66"/>
      <c r="AC74" s="139" t="s">
        <v>163</v>
      </c>
      <c r="AG74" s="75"/>
      <c r="AJ74" s="79"/>
      <c r="AK74" s="79">
        <v>0</v>
      </c>
      <c r="BB74" s="140" t="s">
        <v>1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x14ac:dyDescent="0.2">
      <c r="A75" s="654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0" t="s">
        <v>72</v>
      </c>
      <c r="Q75" s="647"/>
      <c r="R75" s="647"/>
      <c r="S75" s="647"/>
      <c r="T75" s="647"/>
      <c r="U75" s="647"/>
      <c r="V75" s="648"/>
      <c r="W75" s="40" t="s">
        <v>73</v>
      </c>
      <c r="X75" s="41">
        <f>IFERROR(X73/H73,"0")+IFERROR(X74/H74,"0")</f>
        <v>0</v>
      </c>
      <c r="Y75" s="41">
        <f>IFERROR(Y73/H73,"0")+IFERROR(Y74/H74,"0")</f>
        <v>0</v>
      </c>
      <c r="Z75" s="41">
        <f>IFERROR(IF(Z73="",0,Z73),"0")+IFERROR(IF(Z74="",0,Z74),"0")</f>
        <v>0</v>
      </c>
      <c r="AA75" s="64"/>
      <c r="AB75" s="64"/>
      <c r="AC75" s="64"/>
    </row>
    <row r="76" spans="1:68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0" t="s">
        <v>72</v>
      </c>
      <c r="Q76" s="647"/>
      <c r="R76" s="647"/>
      <c r="S76" s="647"/>
      <c r="T76" s="647"/>
      <c r="U76" s="647"/>
      <c r="V76" s="648"/>
      <c r="W76" s="40" t="s">
        <v>67</v>
      </c>
      <c r="X76" s="41">
        <f>IFERROR(SUM(X73:X74),"0")</f>
        <v>0</v>
      </c>
      <c r="Y76" s="41">
        <f>IFERROR(SUM(Y73:Y74),"0")</f>
        <v>0</v>
      </c>
      <c r="Z76" s="40"/>
      <c r="AA76" s="64"/>
      <c r="AB76" s="64"/>
      <c r="AC76" s="64"/>
    </row>
    <row r="77" spans="1:68" ht="14.25" customHeight="1" x14ac:dyDescent="0.25">
      <c r="A77" s="658" t="s">
        <v>164</v>
      </c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5"/>
      <c r="P77" s="655"/>
      <c r="Q77" s="655"/>
      <c r="R77" s="655"/>
      <c r="S77" s="655"/>
      <c r="T77" s="655"/>
      <c r="U77" s="655"/>
      <c r="V77" s="655"/>
      <c r="W77" s="655"/>
      <c r="X77" s="655"/>
      <c r="Y77" s="655"/>
      <c r="Z77" s="655"/>
      <c r="AA77" s="63"/>
      <c r="AB77" s="63"/>
      <c r="AC77" s="63"/>
    </row>
    <row r="78" spans="1:68" ht="27" customHeight="1" x14ac:dyDescent="0.25">
      <c r="A78" s="60" t="s">
        <v>165</v>
      </c>
      <c r="B78" s="60" t="s">
        <v>166</v>
      </c>
      <c r="C78" s="34">
        <v>4301060455</v>
      </c>
      <c r="D78" s="643">
        <v>4680115881532</v>
      </c>
      <c r="E78" s="64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114</v>
      </c>
      <c r="L78" s="35"/>
      <c r="M78" s="36" t="s">
        <v>84</v>
      </c>
      <c r="N78" s="36"/>
      <c r="O78" s="35">
        <v>30</v>
      </c>
      <c r="P78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7"/>
      <c r="V78" s="37"/>
      <c r="W78" s="38" t="s">
        <v>67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/>
      <c r="AB78" s="66"/>
      <c r="AC78" s="141" t="s">
        <v>167</v>
      </c>
      <c r="AG78" s="75"/>
      <c r="AJ78" s="79"/>
      <c r="AK78" s="79">
        <v>0</v>
      </c>
      <c r="BB78" s="142" t="s">
        <v>1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customHeight="1" x14ac:dyDescent="0.25">
      <c r="A79" s="60" t="s">
        <v>168</v>
      </c>
      <c r="B79" s="60" t="s">
        <v>169</v>
      </c>
      <c r="C79" s="34">
        <v>4301060351</v>
      </c>
      <c r="D79" s="643">
        <v>4680115881464</v>
      </c>
      <c r="E79" s="64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123</v>
      </c>
      <c r="L79" s="35"/>
      <c r="M79" s="36" t="s">
        <v>78</v>
      </c>
      <c r="N79" s="36"/>
      <c r="O79" s="35">
        <v>30</v>
      </c>
      <c r="P79" s="9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0"/>
      <c r="R79" s="640"/>
      <c r="S79" s="640"/>
      <c r="T79" s="641"/>
      <c r="U79" s="37"/>
      <c r="V79" s="37"/>
      <c r="W79" s="38" t="s">
        <v>67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/>
      <c r="AB79" s="66"/>
      <c r="AC79" s="143" t="s">
        <v>170</v>
      </c>
      <c r="AG79" s="75"/>
      <c r="AJ79" s="79"/>
      <c r="AK79" s="79">
        <v>0</v>
      </c>
      <c r="BB79" s="144" t="s">
        <v>1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x14ac:dyDescent="0.2">
      <c r="A80" s="654"/>
      <c r="B80" s="655"/>
      <c r="C80" s="655"/>
      <c r="D80" s="655"/>
      <c r="E80" s="655"/>
      <c r="F80" s="655"/>
      <c r="G80" s="655"/>
      <c r="H80" s="655"/>
      <c r="I80" s="655"/>
      <c r="J80" s="655"/>
      <c r="K80" s="655"/>
      <c r="L80" s="655"/>
      <c r="M80" s="655"/>
      <c r="N80" s="655"/>
      <c r="O80" s="656"/>
      <c r="P80" s="650" t="s">
        <v>72</v>
      </c>
      <c r="Q80" s="647"/>
      <c r="R80" s="647"/>
      <c r="S80" s="647"/>
      <c r="T80" s="647"/>
      <c r="U80" s="647"/>
      <c r="V80" s="648"/>
      <c r="W80" s="40" t="s">
        <v>73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0" t="s">
        <v>72</v>
      </c>
      <c r="Q81" s="647"/>
      <c r="R81" s="647"/>
      <c r="S81" s="647"/>
      <c r="T81" s="647"/>
      <c r="U81" s="647"/>
      <c r="V81" s="648"/>
      <c r="W81" s="40" t="s">
        <v>67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customHeight="1" x14ac:dyDescent="0.25">
      <c r="A82" s="657" t="s">
        <v>171</v>
      </c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5"/>
      <c r="P82" s="655"/>
      <c r="Q82" s="655"/>
      <c r="R82" s="655"/>
      <c r="S82" s="655"/>
      <c r="T82" s="655"/>
      <c r="U82" s="655"/>
      <c r="V82" s="655"/>
      <c r="W82" s="655"/>
      <c r="X82" s="655"/>
      <c r="Y82" s="655"/>
      <c r="Z82" s="655"/>
      <c r="AA82" s="62"/>
      <c r="AB82" s="62"/>
      <c r="AC82" s="62"/>
    </row>
    <row r="83" spans="1:68" ht="14.25" customHeight="1" x14ac:dyDescent="0.25">
      <c r="A83" s="658" t="s">
        <v>111</v>
      </c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5"/>
      <c r="P83" s="655"/>
      <c r="Q83" s="655"/>
      <c r="R83" s="655"/>
      <c r="S83" s="655"/>
      <c r="T83" s="655"/>
      <c r="U83" s="655"/>
      <c r="V83" s="655"/>
      <c r="W83" s="655"/>
      <c r="X83" s="655"/>
      <c r="Y83" s="655"/>
      <c r="Z83" s="655"/>
      <c r="AA83" s="63"/>
      <c r="AB83" s="63"/>
      <c r="AC83" s="63"/>
    </row>
    <row r="84" spans="1:68" ht="27" customHeight="1" x14ac:dyDescent="0.25">
      <c r="A84" s="60" t="s">
        <v>172</v>
      </c>
      <c r="B84" s="60" t="s">
        <v>173</v>
      </c>
      <c r="C84" s="34">
        <v>4301011468</v>
      </c>
      <c r="D84" s="643">
        <v>4680115881327</v>
      </c>
      <c r="E84" s="64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114</v>
      </c>
      <c r="L84" s="35"/>
      <c r="M84" s="36" t="s">
        <v>84</v>
      </c>
      <c r="N84" s="36"/>
      <c r="O84" s="35">
        <v>50</v>
      </c>
      <c r="P84" s="7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0"/>
      <c r="R84" s="640"/>
      <c r="S84" s="640"/>
      <c r="T84" s="641"/>
      <c r="U84" s="37"/>
      <c r="V84" s="37"/>
      <c r="W84" s="38" t="s">
        <v>67</v>
      </c>
      <c r="X84" s="56">
        <v>0</v>
      </c>
      <c r="Y84" s="53">
        <f>IFERROR(IF(X84="",0,CEILING((X84/$H84),1)*$H84),"")</f>
        <v>0</v>
      </c>
      <c r="Z84" s="39" t="str">
        <f>IFERROR(IF(Y84=0,"",ROUNDUP(Y84/H84,0)*0.01898),"")</f>
        <v/>
      </c>
      <c r="AA84" s="65"/>
      <c r="AB84" s="66"/>
      <c r="AC84" s="145" t="s">
        <v>174</v>
      </c>
      <c r="AG84" s="75"/>
      <c r="AJ84" s="79"/>
      <c r="AK84" s="79">
        <v>0</v>
      </c>
      <c r="BB84" s="146" t="s">
        <v>1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customHeight="1" x14ac:dyDescent="0.25">
      <c r="A85" s="60" t="s">
        <v>175</v>
      </c>
      <c r="B85" s="60" t="s">
        <v>176</v>
      </c>
      <c r="C85" s="34">
        <v>4301011261</v>
      </c>
      <c r="D85" s="643">
        <v>4680115887732</v>
      </c>
      <c r="E85" s="644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119</v>
      </c>
      <c r="L85" s="35"/>
      <c r="M85" s="36" t="s">
        <v>66</v>
      </c>
      <c r="N85" s="36"/>
      <c r="O85" s="35">
        <v>30</v>
      </c>
      <c r="P85" s="67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0"/>
      <c r="R85" s="640"/>
      <c r="S85" s="640"/>
      <c r="T85" s="641"/>
      <c r="U85" s="37"/>
      <c r="V85" s="37"/>
      <c r="W85" s="38" t="s">
        <v>67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/>
      <c r="AB85" s="66"/>
      <c r="AC85" s="147" t="s">
        <v>177</v>
      </c>
      <c r="AG85" s="75"/>
      <c r="AJ85" s="79"/>
      <c r="AK85" s="79">
        <v>0</v>
      </c>
      <c r="BB85" s="148" t="s">
        <v>1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customHeight="1" x14ac:dyDescent="0.25">
      <c r="A86" s="60" t="s">
        <v>178</v>
      </c>
      <c r="B86" s="60" t="s">
        <v>179</v>
      </c>
      <c r="C86" s="34">
        <v>4301011476</v>
      </c>
      <c r="D86" s="643">
        <v>4680115881518</v>
      </c>
      <c r="E86" s="644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123</v>
      </c>
      <c r="L86" s="35"/>
      <c r="M86" s="36" t="s">
        <v>78</v>
      </c>
      <c r="N86" s="36"/>
      <c r="O86" s="35">
        <v>50</v>
      </c>
      <c r="P86" s="98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0"/>
      <c r="R86" s="640"/>
      <c r="S86" s="640"/>
      <c r="T86" s="641"/>
      <c r="U86" s="37"/>
      <c r="V86" s="37"/>
      <c r="W86" s="38" t="s">
        <v>67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/>
      <c r="AB86" s="66"/>
      <c r="AC86" s="149" t="s">
        <v>174</v>
      </c>
      <c r="AG86" s="75"/>
      <c r="AJ86" s="79"/>
      <c r="AK86" s="79">
        <v>0</v>
      </c>
      <c r="BB86" s="150" t="s">
        <v>1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customHeight="1" x14ac:dyDescent="0.25">
      <c r="A87" s="60" t="s">
        <v>180</v>
      </c>
      <c r="B87" s="60" t="s">
        <v>181</v>
      </c>
      <c r="C87" s="34">
        <v>4301011443</v>
      </c>
      <c r="D87" s="643">
        <v>4680115881303</v>
      </c>
      <c r="E87" s="644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123</v>
      </c>
      <c r="L87" s="35"/>
      <c r="M87" s="36" t="s">
        <v>84</v>
      </c>
      <c r="N87" s="36"/>
      <c r="O87" s="35">
        <v>50</v>
      </c>
      <c r="P87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0"/>
      <c r="R87" s="640"/>
      <c r="S87" s="640"/>
      <c r="T87" s="641"/>
      <c r="U87" s="37"/>
      <c r="V87" s="37"/>
      <c r="W87" s="38" t="s">
        <v>67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/>
      <c r="AB87" s="66"/>
      <c r="AC87" s="151" t="s">
        <v>174</v>
      </c>
      <c r="AG87" s="75"/>
      <c r="AJ87" s="79"/>
      <c r="AK87" s="79">
        <v>0</v>
      </c>
      <c r="BB87" s="152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x14ac:dyDescent="0.2">
      <c r="A88" s="654"/>
      <c r="B88" s="655"/>
      <c r="C88" s="655"/>
      <c r="D88" s="655"/>
      <c r="E88" s="655"/>
      <c r="F88" s="655"/>
      <c r="G88" s="655"/>
      <c r="H88" s="655"/>
      <c r="I88" s="655"/>
      <c r="J88" s="655"/>
      <c r="K88" s="655"/>
      <c r="L88" s="655"/>
      <c r="M88" s="655"/>
      <c r="N88" s="655"/>
      <c r="O88" s="656"/>
      <c r="P88" s="650" t="s">
        <v>72</v>
      </c>
      <c r="Q88" s="647"/>
      <c r="R88" s="647"/>
      <c r="S88" s="647"/>
      <c r="T88" s="647"/>
      <c r="U88" s="647"/>
      <c r="V88" s="648"/>
      <c r="W88" s="40" t="s">
        <v>73</v>
      </c>
      <c r="X88" s="41">
        <f>IFERROR(X84/H84,"0")+IFERROR(X85/H85,"0")+IFERROR(X86/H86,"0")+IFERROR(X87/H87,"0")</f>
        <v>0</v>
      </c>
      <c r="Y88" s="41">
        <f>IFERROR(Y84/H84,"0")+IFERROR(Y85/H85,"0")+IFERROR(Y86/H86,"0")+IFERROR(Y87/H87,"0")</f>
        <v>0</v>
      </c>
      <c r="Z88" s="41">
        <f>IFERROR(IF(Z84="",0,Z84),"0")+IFERROR(IF(Z85="",0,Z85),"0")+IFERROR(IF(Z86="",0,Z86),"0")+IFERROR(IF(Z87="",0,Z87),"0")</f>
        <v>0</v>
      </c>
      <c r="AA88" s="64"/>
      <c r="AB88" s="64"/>
      <c r="AC88" s="64"/>
    </row>
    <row r="89" spans="1:68" x14ac:dyDescent="0.2">
      <c r="A89" s="655"/>
      <c r="B89" s="655"/>
      <c r="C89" s="655"/>
      <c r="D89" s="655"/>
      <c r="E89" s="655"/>
      <c r="F89" s="655"/>
      <c r="G89" s="655"/>
      <c r="H89" s="655"/>
      <c r="I89" s="655"/>
      <c r="J89" s="655"/>
      <c r="K89" s="655"/>
      <c r="L89" s="655"/>
      <c r="M89" s="655"/>
      <c r="N89" s="655"/>
      <c r="O89" s="656"/>
      <c r="P89" s="650" t="s">
        <v>72</v>
      </c>
      <c r="Q89" s="647"/>
      <c r="R89" s="647"/>
      <c r="S89" s="647"/>
      <c r="T89" s="647"/>
      <c r="U89" s="647"/>
      <c r="V89" s="648"/>
      <c r="W89" s="40" t="s">
        <v>67</v>
      </c>
      <c r="X89" s="41">
        <f>IFERROR(SUM(X84:X87),"0")</f>
        <v>0</v>
      </c>
      <c r="Y89" s="41">
        <f>IFERROR(SUM(Y84:Y87),"0")</f>
        <v>0</v>
      </c>
      <c r="Z89" s="40"/>
      <c r="AA89" s="64"/>
      <c r="AB89" s="64"/>
      <c r="AC89" s="64"/>
    </row>
    <row r="90" spans="1:68" ht="14.25" customHeight="1" x14ac:dyDescent="0.25">
      <c r="A90" s="658" t="s">
        <v>74</v>
      </c>
      <c r="B90" s="655"/>
      <c r="C90" s="655"/>
      <c r="D90" s="655"/>
      <c r="E90" s="655"/>
      <c r="F90" s="655"/>
      <c r="G90" s="655"/>
      <c r="H90" s="655"/>
      <c r="I90" s="655"/>
      <c r="J90" s="655"/>
      <c r="K90" s="655"/>
      <c r="L90" s="655"/>
      <c r="M90" s="655"/>
      <c r="N90" s="655"/>
      <c r="O90" s="655"/>
      <c r="P90" s="655"/>
      <c r="Q90" s="655"/>
      <c r="R90" s="655"/>
      <c r="S90" s="655"/>
      <c r="T90" s="655"/>
      <c r="U90" s="655"/>
      <c r="V90" s="655"/>
      <c r="W90" s="655"/>
      <c r="X90" s="655"/>
      <c r="Y90" s="655"/>
      <c r="Z90" s="655"/>
      <c r="AA90" s="63"/>
      <c r="AB90" s="63"/>
      <c r="AC90" s="63"/>
    </row>
    <row r="91" spans="1:68" ht="27" customHeight="1" x14ac:dyDescent="0.25">
      <c r="A91" s="60" t="s">
        <v>182</v>
      </c>
      <c r="B91" s="60" t="s">
        <v>183</v>
      </c>
      <c r="C91" s="34">
        <v>4301051712</v>
      </c>
      <c r="D91" s="643">
        <v>4607091386967</v>
      </c>
      <c r="E91" s="644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114</v>
      </c>
      <c r="L91" s="35"/>
      <c r="M91" s="36" t="s">
        <v>84</v>
      </c>
      <c r="N91" s="36"/>
      <c r="O91" s="35">
        <v>45</v>
      </c>
      <c r="P91" s="80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0"/>
      <c r="R91" s="640"/>
      <c r="S91" s="640"/>
      <c r="T91" s="641"/>
      <c r="U91" s="37"/>
      <c r="V91" s="37"/>
      <c r="W91" s="38" t="s">
        <v>67</v>
      </c>
      <c r="X91" s="56">
        <v>200</v>
      </c>
      <c r="Y91" s="53">
        <f>IFERROR(IF(X91="",0,CEILING((X91/$H91),1)*$H91),"")</f>
        <v>202.5</v>
      </c>
      <c r="Z91" s="39">
        <f>IFERROR(IF(Y91=0,"",ROUNDUP(Y91/H91,0)*0.01898),"")</f>
        <v>0.47450000000000003</v>
      </c>
      <c r="AA91" s="65"/>
      <c r="AB91" s="66"/>
      <c r="AC91" s="153" t="s">
        <v>184</v>
      </c>
      <c r="AG91" s="75"/>
      <c r="AJ91" s="79"/>
      <c r="AK91" s="79">
        <v>0</v>
      </c>
      <c r="BB91" s="154" t="s">
        <v>1</v>
      </c>
      <c r="BM91" s="75">
        <f>IFERROR(X91*I91/H91,"0")</f>
        <v>212.19753086419755</v>
      </c>
      <c r="BN91" s="75">
        <f>IFERROR(Y91*I91/H91,"0")</f>
        <v>214.85</v>
      </c>
      <c r="BO91" s="75">
        <f>IFERROR(1/J91*(X91/H91),"0")</f>
        <v>0.38580246913580246</v>
      </c>
      <c r="BP91" s="75">
        <f>IFERROR(1/J91*(Y91/H91),"0")</f>
        <v>0.390625</v>
      </c>
    </row>
    <row r="92" spans="1:68" ht="27" customHeight="1" x14ac:dyDescent="0.25">
      <c r="A92" s="60" t="s">
        <v>185</v>
      </c>
      <c r="B92" s="60" t="s">
        <v>186</v>
      </c>
      <c r="C92" s="34">
        <v>4301051788</v>
      </c>
      <c r="D92" s="643">
        <v>4680115884953</v>
      </c>
      <c r="E92" s="644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77</v>
      </c>
      <c r="L92" s="35"/>
      <c r="M92" s="36" t="s">
        <v>78</v>
      </c>
      <c r="N92" s="36"/>
      <c r="O92" s="35">
        <v>45</v>
      </c>
      <c r="P92" s="9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0"/>
      <c r="R92" s="640"/>
      <c r="S92" s="640"/>
      <c r="T92" s="641"/>
      <c r="U92" s="37"/>
      <c r="V92" s="37"/>
      <c r="W92" s="38" t="s">
        <v>67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/>
      <c r="AB92" s="66"/>
      <c r="AC92" s="155" t="s">
        <v>184</v>
      </c>
      <c r="AG92" s="75"/>
      <c r="AJ92" s="79"/>
      <c r="AK92" s="79">
        <v>0</v>
      </c>
      <c r="BB92" s="156" t="s">
        <v>1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customHeight="1" x14ac:dyDescent="0.25">
      <c r="A93" s="60" t="s">
        <v>187</v>
      </c>
      <c r="B93" s="60" t="s">
        <v>188</v>
      </c>
      <c r="C93" s="34">
        <v>4301051718</v>
      </c>
      <c r="D93" s="643">
        <v>4607091385731</v>
      </c>
      <c r="E93" s="644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77</v>
      </c>
      <c r="L93" s="35"/>
      <c r="M93" s="36" t="s">
        <v>84</v>
      </c>
      <c r="N93" s="36"/>
      <c r="O93" s="35">
        <v>45</v>
      </c>
      <c r="P93" s="7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0"/>
      <c r="R93" s="640"/>
      <c r="S93" s="640"/>
      <c r="T93" s="641"/>
      <c r="U93" s="37"/>
      <c r="V93" s="37"/>
      <c r="W93" s="38" t="s">
        <v>67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57" t="s">
        <v>184</v>
      </c>
      <c r="AG93" s="75"/>
      <c r="AJ93" s="79"/>
      <c r="AK93" s="79">
        <v>0</v>
      </c>
      <c r="BB93" s="158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16.5" customHeight="1" x14ac:dyDescent="0.25">
      <c r="A94" s="60" t="s">
        <v>189</v>
      </c>
      <c r="B94" s="60" t="s">
        <v>190</v>
      </c>
      <c r="C94" s="34">
        <v>4301052092</v>
      </c>
      <c r="D94" s="643">
        <v>4680115880894</v>
      </c>
      <c r="E94" s="644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77</v>
      </c>
      <c r="L94" s="35"/>
      <c r="M94" s="36" t="s">
        <v>78</v>
      </c>
      <c r="N94" s="36"/>
      <c r="O94" s="35">
        <v>45</v>
      </c>
      <c r="P94" s="9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0"/>
      <c r="R94" s="640"/>
      <c r="S94" s="640"/>
      <c r="T94" s="641"/>
      <c r="U94" s="37"/>
      <c r="V94" s="37"/>
      <c r="W94" s="38" t="s">
        <v>67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9" t="s">
        <v>191</v>
      </c>
      <c r="AG94" s="75"/>
      <c r="AJ94" s="79"/>
      <c r="AK94" s="79">
        <v>0</v>
      </c>
      <c r="BB94" s="160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654"/>
      <c r="B95" s="655"/>
      <c r="C95" s="655"/>
      <c r="D95" s="655"/>
      <c r="E95" s="655"/>
      <c r="F95" s="655"/>
      <c r="G95" s="655"/>
      <c r="H95" s="655"/>
      <c r="I95" s="655"/>
      <c r="J95" s="655"/>
      <c r="K95" s="655"/>
      <c r="L95" s="655"/>
      <c r="M95" s="655"/>
      <c r="N95" s="655"/>
      <c r="O95" s="656"/>
      <c r="P95" s="650" t="s">
        <v>72</v>
      </c>
      <c r="Q95" s="647"/>
      <c r="R95" s="647"/>
      <c r="S95" s="647"/>
      <c r="T95" s="647"/>
      <c r="U95" s="647"/>
      <c r="V95" s="648"/>
      <c r="W95" s="40" t="s">
        <v>73</v>
      </c>
      <c r="X95" s="41">
        <f>IFERROR(X91/H91,"0")+IFERROR(X92/H92,"0")+IFERROR(X93/H93,"0")+IFERROR(X94/H94,"0")</f>
        <v>24.691358024691358</v>
      </c>
      <c r="Y95" s="41">
        <f>IFERROR(Y91/H91,"0")+IFERROR(Y92/H92,"0")+IFERROR(Y93/H93,"0")+IFERROR(Y94/H94,"0")</f>
        <v>25</v>
      </c>
      <c r="Z95" s="41">
        <f>IFERROR(IF(Z91="",0,Z91),"0")+IFERROR(IF(Z92="",0,Z92),"0")+IFERROR(IF(Z93="",0,Z93),"0")+IFERROR(IF(Z94="",0,Z94),"0")</f>
        <v>0.47450000000000003</v>
      </c>
      <c r="AA95" s="64"/>
      <c r="AB95" s="64"/>
      <c r="AC95" s="64"/>
    </row>
    <row r="96" spans="1:68" x14ac:dyDescent="0.2">
      <c r="A96" s="655"/>
      <c r="B96" s="655"/>
      <c r="C96" s="655"/>
      <c r="D96" s="655"/>
      <c r="E96" s="655"/>
      <c r="F96" s="655"/>
      <c r="G96" s="655"/>
      <c r="H96" s="655"/>
      <c r="I96" s="655"/>
      <c r="J96" s="655"/>
      <c r="K96" s="655"/>
      <c r="L96" s="655"/>
      <c r="M96" s="655"/>
      <c r="N96" s="655"/>
      <c r="O96" s="656"/>
      <c r="P96" s="650" t="s">
        <v>72</v>
      </c>
      <c r="Q96" s="647"/>
      <c r="R96" s="647"/>
      <c r="S96" s="647"/>
      <c r="T96" s="647"/>
      <c r="U96" s="647"/>
      <c r="V96" s="648"/>
      <c r="W96" s="40" t="s">
        <v>67</v>
      </c>
      <c r="X96" s="41">
        <f>IFERROR(SUM(X91:X94),"0")</f>
        <v>200</v>
      </c>
      <c r="Y96" s="41">
        <f>IFERROR(SUM(Y91:Y94),"0")</f>
        <v>202.5</v>
      </c>
      <c r="Z96" s="40"/>
      <c r="AA96" s="64"/>
      <c r="AB96" s="64"/>
      <c r="AC96" s="64"/>
    </row>
    <row r="97" spans="1:68" ht="16.5" customHeight="1" x14ac:dyDescent="0.25">
      <c r="A97" s="657" t="s">
        <v>192</v>
      </c>
      <c r="B97" s="655"/>
      <c r="C97" s="655"/>
      <c r="D97" s="655"/>
      <c r="E97" s="655"/>
      <c r="F97" s="655"/>
      <c r="G97" s="655"/>
      <c r="H97" s="655"/>
      <c r="I97" s="655"/>
      <c r="J97" s="655"/>
      <c r="K97" s="655"/>
      <c r="L97" s="655"/>
      <c r="M97" s="655"/>
      <c r="N97" s="655"/>
      <c r="O97" s="655"/>
      <c r="P97" s="655"/>
      <c r="Q97" s="655"/>
      <c r="R97" s="655"/>
      <c r="S97" s="655"/>
      <c r="T97" s="655"/>
      <c r="U97" s="655"/>
      <c r="V97" s="655"/>
      <c r="W97" s="655"/>
      <c r="X97" s="655"/>
      <c r="Y97" s="655"/>
      <c r="Z97" s="655"/>
      <c r="AA97" s="62"/>
      <c r="AB97" s="62"/>
      <c r="AC97" s="62"/>
    </row>
    <row r="98" spans="1:68" ht="14.25" customHeight="1" x14ac:dyDescent="0.25">
      <c r="A98" s="658" t="s">
        <v>111</v>
      </c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5"/>
      <c r="P98" s="655"/>
      <c r="Q98" s="655"/>
      <c r="R98" s="655"/>
      <c r="S98" s="655"/>
      <c r="T98" s="655"/>
      <c r="U98" s="655"/>
      <c r="V98" s="655"/>
      <c r="W98" s="655"/>
      <c r="X98" s="655"/>
      <c r="Y98" s="655"/>
      <c r="Z98" s="655"/>
      <c r="AA98" s="63"/>
      <c r="AB98" s="63"/>
      <c r="AC98" s="63"/>
    </row>
    <row r="99" spans="1:68" ht="37.5" customHeight="1" x14ac:dyDescent="0.25">
      <c r="A99" s="60" t="s">
        <v>193</v>
      </c>
      <c r="B99" s="60" t="s">
        <v>194</v>
      </c>
      <c r="C99" s="34">
        <v>4301011514</v>
      </c>
      <c r="D99" s="643">
        <v>4680115882133</v>
      </c>
      <c r="E99" s="644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114</v>
      </c>
      <c r="L99" s="35"/>
      <c r="M99" s="36" t="s">
        <v>115</v>
      </c>
      <c r="N99" s="36"/>
      <c r="O99" s="35">
        <v>50</v>
      </c>
      <c r="P99" s="95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0"/>
      <c r="R99" s="640"/>
      <c r="S99" s="640"/>
      <c r="T99" s="641"/>
      <c r="U99" s="37"/>
      <c r="V99" s="37"/>
      <c r="W99" s="38" t="s">
        <v>67</v>
      </c>
      <c r="X99" s="56">
        <v>0</v>
      </c>
      <c r="Y99" s="53">
        <f t="shared" ref="Y99:Y105" si="5">IFERROR(IF(X99="",0,CEILING((X99/$H99),1)*$H99),"")</f>
        <v>0</v>
      </c>
      <c r="Z99" s="39" t="str">
        <f>IFERROR(IF(Y99=0,"",ROUNDUP(Y99/H99,0)*0.01898),"")</f>
        <v/>
      </c>
      <c r="AA99" s="65"/>
      <c r="AB99" s="66"/>
      <c r="AC99" s="161" t="s">
        <v>195</v>
      </c>
      <c r="AG99" s="75"/>
      <c r="AJ99" s="79"/>
      <c r="AK99" s="79">
        <v>0</v>
      </c>
      <c r="BB99" s="162" t="s">
        <v>1</v>
      </c>
      <c r="BM99" s="75">
        <f t="shared" ref="BM99:BM105" si="6">IFERROR(X99*I99/H99,"0")</f>
        <v>0</v>
      </c>
      <c r="BN99" s="75">
        <f t="shared" ref="BN99:BN105" si="7">IFERROR(Y99*I99/H99,"0")</f>
        <v>0</v>
      </c>
      <c r="BO99" s="75">
        <f t="shared" ref="BO99:BO105" si="8">IFERROR(1/J99*(X99/H99),"0")</f>
        <v>0</v>
      </c>
      <c r="BP99" s="75">
        <f t="shared" ref="BP99:BP105" si="9">IFERROR(1/J99*(Y99/H99),"0")</f>
        <v>0</v>
      </c>
    </row>
    <row r="100" spans="1:68" ht="27" customHeight="1" x14ac:dyDescent="0.25">
      <c r="A100" s="60" t="s">
        <v>196</v>
      </c>
      <c r="B100" s="60" t="s">
        <v>197</v>
      </c>
      <c r="C100" s="34">
        <v>4301012051</v>
      </c>
      <c r="D100" s="643">
        <v>4680115887718</v>
      </c>
      <c r="E100" s="644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119</v>
      </c>
      <c r="L100" s="35"/>
      <c r="M100" s="36" t="s">
        <v>66</v>
      </c>
      <c r="N100" s="36"/>
      <c r="O100" s="35">
        <v>30</v>
      </c>
      <c r="P100" s="96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0"/>
      <c r="R100" s="640"/>
      <c r="S100" s="640"/>
      <c r="T100" s="641"/>
      <c r="U100" s="37"/>
      <c r="V100" s="37"/>
      <c r="W100" s="38" t="s">
        <v>67</v>
      </c>
      <c r="X100" s="56">
        <v>0</v>
      </c>
      <c r="Y100" s="53">
        <f t="shared" si="5"/>
        <v>0</v>
      </c>
      <c r="Z100" s="39" t="str">
        <f>IFERROR(IF(Y100=0,"",ROUNDUP(Y100/H100,0)*0.00726),"")</f>
        <v/>
      </c>
      <c r="AA100" s="65"/>
      <c r="AB100" s="66"/>
      <c r="AC100" s="163" t="s">
        <v>198</v>
      </c>
      <c r="AG100" s="75"/>
      <c r="AJ100" s="79"/>
      <c r="AK100" s="79">
        <v>0</v>
      </c>
      <c r="BB100" s="164" t="s">
        <v>1</v>
      </c>
      <c r="BM100" s="75">
        <f t="shared" si="6"/>
        <v>0</v>
      </c>
      <c r="BN100" s="75">
        <f t="shared" si="7"/>
        <v>0</v>
      </c>
      <c r="BO100" s="75">
        <f t="shared" si="8"/>
        <v>0</v>
      </c>
      <c r="BP100" s="75">
        <f t="shared" si="9"/>
        <v>0</v>
      </c>
    </row>
    <row r="101" spans="1:68" ht="27" customHeight="1" x14ac:dyDescent="0.25">
      <c r="A101" s="60" t="s">
        <v>196</v>
      </c>
      <c r="B101" s="60" t="s">
        <v>199</v>
      </c>
      <c r="C101" s="34">
        <v>4301012334</v>
      </c>
      <c r="D101" s="643">
        <v>4680115887718</v>
      </c>
      <c r="E101" s="644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119</v>
      </c>
      <c r="L101" s="35"/>
      <c r="M101" s="36" t="s">
        <v>66</v>
      </c>
      <c r="N101" s="36"/>
      <c r="O101" s="35">
        <v>30</v>
      </c>
      <c r="P101" s="73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0"/>
      <c r="R101" s="640"/>
      <c r="S101" s="640"/>
      <c r="T101" s="641"/>
      <c r="U101" s="37"/>
      <c r="V101" s="37"/>
      <c r="W101" s="38" t="s">
        <v>67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/>
      <c r="AB101" s="66"/>
      <c r="AC101" s="165" t="s">
        <v>198</v>
      </c>
      <c r="AG101" s="75"/>
      <c r="AJ101" s="79"/>
      <c r="AK101" s="79">
        <v>0</v>
      </c>
      <c r="BB101" s="166" t="s">
        <v>1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customHeight="1" x14ac:dyDescent="0.25">
      <c r="A102" s="60" t="s">
        <v>196</v>
      </c>
      <c r="B102" s="60" t="s">
        <v>200</v>
      </c>
      <c r="C102" s="34">
        <v>4301012379</v>
      </c>
      <c r="D102" s="643">
        <v>4680115887718</v>
      </c>
      <c r="E102" s="644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119</v>
      </c>
      <c r="L102" s="35"/>
      <c r="M102" s="36" t="s">
        <v>66</v>
      </c>
      <c r="N102" s="36"/>
      <c r="O102" s="35">
        <v>30</v>
      </c>
      <c r="P102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0"/>
      <c r="R102" s="640"/>
      <c r="S102" s="640"/>
      <c r="T102" s="641"/>
      <c r="U102" s="37"/>
      <c r="V102" s="37"/>
      <c r="W102" s="38" t="s">
        <v>67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/>
      <c r="AB102" s="66"/>
      <c r="AC102" s="167" t="s">
        <v>198</v>
      </c>
      <c r="AG102" s="75"/>
      <c r="AJ102" s="79"/>
      <c r="AK102" s="79">
        <v>0</v>
      </c>
      <c r="BB102" s="168" t="s">
        <v>1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customHeight="1" x14ac:dyDescent="0.25">
      <c r="A103" s="60" t="s">
        <v>201</v>
      </c>
      <c r="B103" s="60" t="s">
        <v>202</v>
      </c>
      <c r="C103" s="34">
        <v>4301011417</v>
      </c>
      <c r="D103" s="643">
        <v>4680115880269</v>
      </c>
      <c r="E103" s="644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123</v>
      </c>
      <c r="L103" s="35"/>
      <c r="M103" s="36" t="s">
        <v>78</v>
      </c>
      <c r="N103" s="36"/>
      <c r="O103" s="35">
        <v>50</v>
      </c>
      <c r="P103" s="9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0"/>
      <c r="R103" s="640"/>
      <c r="S103" s="640"/>
      <c r="T103" s="641"/>
      <c r="U103" s="37"/>
      <c r="V103" s="37"/>
      <c r="W103" s="38" t="s">
        <v>67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/>
      <c r="AB103" s="66"/>
      <c r="AC103" s="169" t="s">
        <v>195</v>
      </c>
      <c r="AG103" s="75"/>
      <c r="AJ103" s="79"/>
      <c r="AK103" s="79">
        <v>0</v>
      </c>
      <c r="BB103" s="170" t="s">
        <v>1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customHeight="1" x14ac:dyDescent="0.25">
      <c r="A104" s="60" t="s">
        <v>203</v>
      </c>
      <c r="B104" s="60" t="s">
        <v>204</v>
      </c>
      <c r="C104" s="34">
        <v>4301011415</v>
      </c>
      <c r="D104" s="643">
        <v>4680115880429</v>
      </c>
      <c r="E104" s="644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123</v>
      </c>
      <c r="L104" s="35"/>
      <c r="M104" s="36" t="s">
        <v>78</v>
      </c>
      <c r="N104" s="36"/>
      <c r="O104" s="35">
        <v>50</v>
      </c>
      <c r="P104" s="9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0"/>
      <c r="R104" s="640"/>
      <c r="S104" s="640"/>
      <c r="T104" s="641"/>
      <c r="U104" s="37"/>
      <c r="V104" s="37"/>
      <c r="W104" s="38" t="s">
        <v>67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/>
      <c r="AB104" s="66"/>
      <c r="AC104" s="171" t="s">
        <v>195</v>
      </c>
      <c r="AG104" s="75"/>
      <c r="AJ104" s="79"/>
      <c r="AK104" s="79">
        <v>0</v>
      </c>
      <c r="BB104" s="172" t="s">
        <v>1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37.5" customHeight="1" x14ac:dyDescent="0.25">
      <c r="A105" s="60" t="s">
        <v>205</v>
      </c>
      <c r="B105" s="60" t="s">
        <v>206</v>
      </c>
      <c r="C105" s="34">
        <v>4301011462</v>
      </c>
      <c r="D105" s="643">
        <v>4680115881457</v>
      </c>
      <c r="E105" s="644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123</v>
      </c>
      <c r="L105" s="35"/>
      <c r="M105" s="36" t="s">
        <v>78</v>
      </c>
      <c r="N105" s="36"/>
      <c r="O105" s="35">
        <v>50</v>
      </c>
      <c r="P105" s="72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0"/>
      <c r="R105" s="640"/>
      <c r="S105" s="640"/>
      <c r="T105" s="641"/>
      <c r="U105" s="37"/>
      <c r="V105" s="37"/>
      <c r="W105" s="38" t="s">
        <v>67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/>
      <c r="AB105" s="66"/>
      <c r="AC105" s="173" t="s">
        <v>195</v>
      </c>
      <c r="AG105" s="75"/>
      <c r="AJ105" s="79"/>
      <c r="AK105" s="79">
        <v>0</v>
      </c>
      <c r="BB105" s="174" t="s">
        <v>1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x14ac:dyDescent="0.2">
      <c r="A106" s="654"/>
      <c r="B106" s="655"/>
      <c r="C106" s="655"/>
      <c r="D106" s="655"/>
      <c r="E106" s="655"/>
      <c r="F106" s="655"/>
      <c r="G106" s="655"/>
      <c r="H106" s="655"/>
      <c r="I106" s="655"/>
      <c r="J106" s="655"/>
      <c r="K106" s="655"/>
      <c r="L106" s="655"/>
      <c r="M106" s="655"/>
      <c r="N106" s="655"/>
      <c r="O106" s="656"/>
      <c r="P106" s="650" t="s">
        <v>72</v>
      </c>
      <c r="Q106" s="647"/>
      <c r="R106" s="647"/>
      <c r="S106" s="647"/>
      <c r="T106" s="647"/>
      <c r="U106" s="647"/>
      <c r="V106" s="648"/>
      <c r="W106" s="40" t="s">
        <v>73</v>
      </c>
      <c r="X106" s="41">
        <f>IFERROR(X99/H99,"0")+IFERROR(X100/H100,"0")+IFERROR(X101/H101,"0")+IFERROR(X102/H102,"0")+IFERROR(X103/H103,"0")+IFERROR(X104/H104,"0")+IFERROR(X105/H105,"0")</f>
        <v>0</v>
      </c>
      <c r="Y106" s="41">
        <f>IFERROR(Y99/H99,"0")+IFERROR(Y100/H100,"0")+IFERROR(Y101/H101,"0")+IFERROR(Y102/H102,"0")+IFERROR(Y103/H103,"0")+IFERROR(Y104/H104,"0")+IFERROR(Y105/H105,"0")</f>
        <v>0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4"/>
      <c r="AB106" s="64"/>
      <c r="AC106" s="64"/>
    </row>
    <row r="107" spans="1:68" x14ac:dyDescent="0.2">
      <c r="A107" s="655"/>
      <c r="B107" s="655"/>
      <c r="C107" s="655"/>
      <c r="D107" s="655"/>
      <c r="E107" s="655"/>
      <c r="F107" s="655"/>
      <c r="G107" s="655"/>
      <c r="H107" s="655"/>
      <c r="I107" s="655"/>
      <c r="J107" s="655"/>
      <c r="K107" s="655"/>
      <c r="L107" s="655"/>
      <c r="M107" s="655"/>
      <c r="N107" s="655"/>
      <c r="O107" s="656"/>
      <c r="P107" s="650" t="s">
        <v>72</v>
      </c>
      <c r="Q107" s="647"/>
      <c r="R107" s="647"/>
      <c r="S107" s="647"/>
      <c r="T107" s="647"/>
      <c r="U107" s="647"/>
      <c r="V107" s="648"/>
      <c r="W107" s="40" t="s">
        <v>67</v>
      </c>
      <c r="X107" s="41">
        <f>IFERROR(SUM(X99:X105),"0")</f>
        <v>0</v>
      </c>
      <c r="Y107" s="41">
        <f>IFERROR(SUM(Y99:Y105),"0")</f>
        <v>0</v>
      </c>
      <c r="Z107" s="40"/>
      <c r="AA107" s="64"/>
      <c r="AB107" s="64"/>
      <c r="AC107" s="64"/>
    </row>
    <row r="108" spans="1:68" ht="14.25" customHeight="1" x14ac:dyDescent="0.25">
      <c r="A108" s="658" t="s">
        <v>147</v>
      </c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5"/>
      <c r="P108" s="655"/>
      <c r="Q108" s="655"/>
      <c r="R108" s="655"/>
      <c r="S108" s="655"/>
      <c r="T108" s="655"/>
      <c r="U108" s="655"/>
      <c r="V108" s="655"/>
      <c r="W108" s="655"/>
      <c r="X108" s="655"/>
      <c r="Y108" s="655"/>
      <c r="Z108" s="655"/>
      <c r="AA108" s="63"/>
      <c r="AB108" s="63"/>
      <c r="AC108" s="63"/>
    </row>
    <row r="109" spans="1:68" ht="27" customHeight="1" x14ac:dyDescent="0.25">
      <c r="A109" s="60" t="s">
        <v>207</v>
      </c>
      <c r="B109" s="60" t="s">
        <v>208</v>
      </c>
      <c r="C109" s="34">
        <v>4301020391</v>
      </c>
      <c r="D109" s="643">
        <v>4680115881488</v>
      </c>
      <c r="E109" s="644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114</v>
      </c>
      <c r="L109" s="35"/>
      <c r="M109" s="36" t="s">
        <v>115</v>
      </c>
      <c r="N109" s="36"/>
      <c r="O109" s="35">
        <v>55</v>
      </c>
      <c r="P109" s="7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0"/>
      <c r="R109" s="640"/>
      <c r="S109" s="640"/>
      <c r="T109" s="641"/>
      <c r="U109" s="37"/>
      <c r="V109" s="37"/>
      <c r="W109" s="38" t="s">
        <v>67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/>
      <c r="AB109" s="66"/>
      <c r="AC109" s="175" t="s">
        <v>209</v>
      </c>
      <c r="AG109" s="75"/>
      <c r="AJ109" s="79"/>
      <c r="AK109" s="79">
        <v>0</v>
      </c>
      <c r="BB109" s="176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210</v>
      </c>
      <c r="B110" s="60" t="s">
        <v>211</v>
      </c>
      <c r="C110" s="34">
        <v>4301020186</v>
      </c>
      <c r="D110" s="643">
        <v>4680115887664</v>
      </c>
      <c r="E110" s="644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212</v>
      </c>
      <c r="L110" s="35"/>
      <c r="M110" s="36" t="s">
        <v>66</v>
      </c>
      <c r="N110" s="36"/>
      <c r="O110" s="35">
        <v>30</v>
      </c>
      <c r="P110" s="8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0"/>
      <c r="R110" s="640"/>
      <c r="S110" s="640"/>
      <c r="T110" s="641"/>
      <c r="U110" s="37"/>
      <c r="V110" s="37"/>
      <c r="W110" s="38" t="s">
        <v>67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/>
      <c r="AB110" s="66"/>
      <c r="AC110" s="177" t="s">
        <v>213</v>
      </c>
      <c r="AG110" s="75"/>
      <c r="AJ110" s="79"/>
      <c r="AK110" s="79">
        <v>0</v>
      </c>
      <c r="BB110" s="178" t="s">
        <v>1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customHeight="1" x14ac:dyDescent="0.25">
      <c r="A111" s="60" t="s">
        <v>210</v>
      </c>
      <c r="B111" s="60" t="s">
        <v>214</v>
      </c>
      <c r="C111" s="34">
        <v>4301020430</v>
      </c>
      <c r="D111" s="643">
        <v>4680115887664</v>
      </c>
      <c r="E111" s="644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212</v>
      </c>
      <c r="L111" s="35"/>
      <c r="M111" s="36" t="s">
        <v>66</v>
      </c>
      <c r="N111" s="36"/>
      <c r="O111" s="35">
        <v>30</v>
      </c>
      <c r="P111" s="75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0"/>
      <c r="R111" s="640"/>
      <c r="S111" s="640"/>
      <c r="T111" s="641"/>
      <c r="U111" s="37"/>
      <c r="V111" s="37"/>
      <c r="W111" s="38" t="s">
        <v>67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/>
      <c r="AB111" s="66"/>
      <c r="AC111" s="179" t="s">
        <v>213</v>
      </c>
      <c r="AG111" s="75"/>
      <c r="AJ111" s="79"/>
      <c r="AK111" s="79">
        <v>0</v>
      </c>
      <c r="BB111" s="180" t="s">
        <v>1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customHeight="1" x14ac:dyDescent="0.25">
      <c r="A112" s="60" t="s">
        <v>215</v>
      </c>
      <c r="B112" s="60" t="s">
        <v>216</v>
      </c>
      <c r="C112" s="34">
        <v>4301020393</v>
      </c>
      <c r="D112" s="643">
        <v>4680115882775</v>
      </c>
      <c r="E112" s="644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65</v>
      </c>
      <c r="L112" s="35"/>
      <c r="M112" s="36" t="s">
        <v>115</v>
      </c>
      <c r="N112" s="36"/>
      <c r="O112" s="35">
        <v>55</v>
      </c>
      <c r="P112" s="7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0"/>
      <c r="R112" s="640"/>
      <c r="S112" s="640"/>
      <c r="T112" s="641"/>
      <c r="U112" s="37"/>
      <c r="V112" s="37"/>
      <c r="W112" s="38" t="s">
        <v>67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/>
      <c r="AB112" s="66"/>
      <c r="AC112" s="181" t="s">
        <v>209</v>
      </c>
      <c r="AG112" s="75"/>
      <c r="AJ112" s="79"/>
      <c r="AK112" s="79">
        <v>0</v>
      </c>
      <c r="BB112" s="182" t="s">
        <v>1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customHeight="1" x14ac:dyDescent="0.25">
      <c r="A113" s="60" t="s">
        <v>217</v>
      </c>
      <c r="B113" s="60" t="s">
        <v>218</v>
      </c>
      <c r="C113" s="34">
        <v>4301020392</v>
      </c>
      <c r="D113" s="643">
        <v>4680115880658</v>
      </c>
      <c r="E113" s="644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77</v>
      </c>
      <c r="L113" s="35"/>
      <c r="M113" s="36" t="s">
        <v>115</v>
      </c>
      <c r="N113" s="36"/>
      <c r="O113" s="35">
        <v>55</v>
      </c>
      <c r="P113" s="92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0"/>
      <c r="R113" s="640"/>
      <c r="S113" s="640"/>
      <c r="T113" s="641"/>
      <c r="U113" s="37"/>
      <c r="V113" s="37"/>
      <c r="W113" s="38" t="s">
        <v>67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/>
      <c r="AB113" s="66"/>
      <c r="AC113" s="183" t="s">
        <v>209</v>
      </c>
      <c r="AG113" s="75"/>
      <c r="AJ113" s="79"/>
      <c r="AK113" s="79">
        <v>0</v>
      </c>
      <c r="BB113" s="184" t="s">
        <v>1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x14ac:dyDescent="0.2">
      <c r="A114" s="654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6"/>
      <c r="P114" s="650" t="s">
        <v>72</v>
      </c>
      <c r="Q114" s="647"/>
      <c r="R114" s="647"/>
      <c r="S114" s="647"/>
      <c r="T114" s="647"/>
      <c r="U114" s="647"/>
      <c r="V114" s="648"/>
      <c r="W114" s="40" t="s">
        <v>73</v>
      </c>
      <c r="X114" s="41">
        <f>IFERROR(X109/H109,"0")+IFERROR(X110/H110,"0")+IFERROR(X111/H111,"0")+IFERROR(X112/H112,"0")+IFERROR(X113/H113,"0")</f>
        <v>0</v>
      </c>
      <c r="Y114" s="41">
        <f>IFERROR(Y109/H109,"0")+IFERROR(Y110/H110,"0")+IFERROR(Y111/H111,"0")+IFERROR(Y112/H112,"0")+IFERROR(Y113/H113,"0")</f>
        <v>0</v>
      </c>
      <c r="Z114" s="41">
        <f>IFERROR(IF(Z109="",0,Z109),"0")+IFERROR(IF(Z110="",0,Z110),"0")+IFERROR(IF(Z111="",0,Z111),"0")+IFERROR(IF(Z112="",0,Z112),"0")+IFERROR(IF(Z113="",0,Z113),"0")</f>
        <v>0</v>
      </c>
      <c r="AA114" s="64"/>
      <c r="AB114" s="64"/>
      <c r="AC114" s="64"/>
    </row>
    <row r="115" spans="1:68" x14ac:dyDescent="0.2">
      <c r="A115" s="655"/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6"/>
      <c r="P115" s="650" t="s">
        <v>72</v>
      </c>
      <c r="Q115" s="647"/>
      <c r="R115" s="647"/>
      <c r="S115" s="647"/>
      <c r="T115" s="647"/>
      <c r="U115" s="647"/>
      <c r="V115" s="648"/>
      <c r="W115" s="40" t="s">
        <v>67</v>
      </c>
      <c r="X115" s="41">
        <f>IFERROR(SUM(X109:X113),"0")</f>
        <v>0</v>
      </c>
      <c r="Y115" s="41">
        <f>IFERROR(SUM(Y109:Y113),"0")</f>
        <v>0</v>
      </c>
      <c r="Z115" s="40"/>
      <c r="AA115" s="64"/>
      <c r="AB115" s="64"/>
      <c r="AC115" s="64"/>
    </row>
    <row r="116" spans="1:68" ht="14.25" customHeight="1" x14ac:dyDescent="0.25">
      <c r="A116" s="658" t="s">
        <v>74</v>
      </c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3"/>
      <c r="AB116" s="63"/>
      <c r="AC116" s="63"/>
    </row>
    <row r="117" spans="1:68" ht="27" customHeight="1" x14ac:dyDescent="0.25">
      <c r="A117" s="60" t="s">
        <v>219</v>
      </c>
      <c r="B117" s="60" t="s">
        <v>220</v>
      </c>
      <c r="C117" s="34">
        <v>4301051724</v>
      </c>
      <c r="D117" s="643">
        <v>4607091385168</v>
      </c>
      <c r="E117" s="644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114</v>
      </c>
      <c r="L117" s="35"/>
      <c r="M117" s="36" t="s">
        <v>84</v>
      </c>
      <c r="N117" s="36"/>
      <c r="O117" s="35">
        <v>45</v>
      </c>
      <c r="P117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0"/>
      <c r="R117" s="640"/>
      <c r="S117" s="640"/>
      <c r="T117" s="641"/>
      <c r="U117" s="37"/>
      <c r="V117" s="37"/>
      <c r="W117" s="38" t="s">
        <v>67</v>
      </c>
      <c r="X117" s="56">
        <v>200</v>
      </c>
      <c r="Y117" s="53">
        <f>IFERROR(IF(X117="",0,CEILING((X117/$H117),1)*$H117),"")</f>
        <v>202.5</v>
      </c>
      <c r="Z117" s="39">
        <f>IFERROR(IF(Y117=0,"",ROUNDUP(Y117/H117,0)*0.01898),"")</f>
        <v>0.47450000000000003</v>
      </c>
      <c r="AA117" s="65"/>
      <c r="AB117" s="66"/>
      <c r="AC117" s="185" t="s">
        <v>221</v>
      </c>
      <c r="AG117" s="75"/>
      <c r="AJ117" s="79"/>
      <c r="AK117" s="79">
        <v>0</v>
      </c>
      <c r="BB117" s="186" t="s">
        <v>1</v>
      </c>
      <c r="BM117" s="75">
        <f>IFERROR(X117*I117/H117,"0")</f>
        <v>212.04938271604939</v>
      </c>
      <c r="BN117" s="75">
        <f>IFERROR(Y117*I117/H117,"0")</f>
        <v>214.7</v>
      </c>
      <c r="BO117" s="75">
        <f>IFERROR(1/J117*(X117/H117),"0")</f>
        <v>0.38580246913580246</v>
      </c>
      <c r="BP117" s="75">
        <f>IFERROR(1/J117*(Y117/H117),"0")</f>
        <v>0.390625</v>
      </c>
    </row>
    <row r="118" spans="1:68" ht="27" customHeight="1" x14ac:dyDescent="0.25">
      <c r="A118" s="60" t="s">
        <v>222</v>
      </c>
      <c r="B118" s="60" t="s">
        <v>223</v>
      </c>
      <c r="C118" s="34">
        <v>4301051730</v>
      </c>
      <c r="D118" s="643">
        <v>4607091383256</v>
      </c>
      <c r="E118" s="644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77</v>
      </c>
      <c r="L118" s="35"/>
      <c r="M118" s="36" t="s">
        <v>84</v>
      </c>
      <c r="N118" s="36"/>
      <c r="O118" s="35">
        <v>45</v>
      </c>
      <c r="P118" s="88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0"/>
      <c r="R118" s="640"/>
      <c r="S118" s="640"/>
      <c r="T118" s="641"/>
      <c r="U118" s="37"/>
      <c r="V118" s="37"/>
      <c r="W118" s="38" t="s">
        <v>67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/>
      <c r="AB118" s="66"/>
      <c r="AC118" s="187" t="s">
        <v>221</v>
      </c>
      <c r="AG118" s="75"/>
      <c r="AJ118" s="79"/>
      <c r="AK118" s="79">
        <v>0</v>
      </c>
      <c r="BB118" s="188" t="s">
        <v>1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customHeight="1" x14ac:dyDescent="0.25">
      <c r="A119" s="60" t="s">
        <v>224</v>
      </c>
      <c r="B119" s="60" t="s">
        <v>225</v>
      </c>
      <c r="C119" s="34">
        <v>4301051721</v>
      </c>
      <c r="D119" s="643">
        <v>4607091385748</v>
      </c>
      <c r="E119" s="644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77</v>
      </c>
      <c r="L119" s="35"/>
      <c r="M119" s="36" t="s">
        <v>84</v>
      </c>
      <c r="N119" s="36"/>
      <c r="O119" s="35">
        <v>45</v>
      </c>
      <c r="P119" s="9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0"/>
      <c r="R119" s="640"/>
      <c r="S119" s="640"/>
      <c r="T119" s="641"/>
      <c r="U119" s="37"/>
      <c r="V119" s="37"/>
      <c r="W119" s="38" t="s">
        <v>67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/>
      <c r="AB119" s="66"/>
      <c r="AC119" s="189" t="s">
        <v>221</v>
      </c>
      <c r="AG119" s="75"/>
      <c r="AJ119" s="79"/>
      <c r="AK119" s="79">
        <v>0</v>
      </c>
      <c r="BB119" s="190" t="s">
        <v>1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customHeight="1" x14ac:dyDescent="0.25">
      <c r="A120" s="60" t="s">
        <v>226</v>
      </c>
      <c r="B120" s="60" t="s">
        <v>227</v>
      </c>
      <c r="C120" s="34">
        <v>4301051740</v>
      </c>
      <c r="D120" s="643">
        <v>4680115884533</v>
      </c>
      <c r="E120" s="644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77</v>
      </c>
      <c r="L120" s="35"/>
      <c r="M120" s="36" t="s">
        <v>78</v>
      </c>
      <c r="N120" s="36"/>
      <c r="O120" s="35">
        <v>45</v>
      </c>
      <c r="P120" s="9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0"/>
      <c r="R120" s="640"/>
      <c r="S120" s="640"/>
      <c r="T120" s="641"/>
      <c r="U120" s="37"/>
      <c r="V120" s="37"/>
      <c r="W120" s="38" t="s">
        <v>67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/>
      <c r="AB120" s="66"/>
      <c r="AC120" s="191" t="s">
        <v>228</v>
      </c>
      <c r="AG120" s="75"/>
      <c r="AJ120" s="79"/>
      <c r="AK120" s="79">
        <v>0</v>
      </c>
      <c r="BB120" s="192" t="s">
        <v>1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654"/>
      <c r="B121" s="655"/>
      <c r="C121" s="655"/>
      <c r="D121" s="655"/>
      <c r="E121" s="655"/>
      <c r="F121" s="655"/>
      <c r="G121" s="655"/>
      <c r="H121" s="655"/>
      <c r="I121" s="655"/>
      <c r="J121" s="655"/>
      <c r="K121" s="655"/>
      <c r="L121" s="655"/>
      <c r="M121" s="655"/>
      <c r="N121" s="655"/>
      <c r="O121" s="656"/>
      <c r="P121" s="650" t="s">
        <v>72</v>
      </c>
      <c r="Q121" s="647"/>
      <c r="R121" s="647"/>
      <c r="S121" s="647"/>
      <c r="T121" s="647"/>
      <c r="U121" s="647"/>
      <c r="V121" s="648"/>
      <c r="W121" s="40" t="s">
        <v>73</v>
      </c>
      <c r="X121" s="41">
        <f>IFERROR(X117/H117,"0")+IFERROR(X118/H118,"0")+IFERROR(X119/H119,"0")+IFERROR(X120/H120,"0")</f>
        <v>24.691358024691358</v>
      </c>
      <c r="Y121" s="41">
        <f>IFERROR(Y117/H117,"0")+IFERROR(Y118/H118,"0")+IFERROR(Y119/H119,"0")+IFERROR(Y120/H120,"0")</f>
        <v>25</v>
      </c>
      <c r="Z121" s="41">
        <f>IFERROR(IF(Z117="",0,Z117),"0")+IFERROR(IF(Z118="",0,Z118),"0")+IFERROR(IF(Z119="",0,Z119),"0")+IFERROR(IF(Z120="",0,Z120),"0")</f>
        <v>0.47450000000000003</v>
      </c>
      <c r="AA121" s="64"/>
      <c r="AB121" s="64"/>
      <c r="AC121" s="64"/>
    </row>
    <row r="122" spans="1:68" x14ac:dyDescent="0.2">
      <c r="A122" s="655"/>
      <c r="B122" s="655"/>
      <c r="C122" s="655"/>
      <c r="D122" s="655"/>
      <c r="E122" s="655"/>
      <c r="F122" s="655"/>
      <c r="G122" s="655"/>
      <c r="H122" s="655"/>
      <c r="I122" s="655"/>
      <c r="J122" s="655"/>
      <c r="K122" s="655"/>
      <c r="L122" s="655"/>
      <c r="M122" s="655"/>
      <c r="N122" s="655"/>
      <c r="O122" s="656"/>
      <c r="P122" s="650" t="s">
        <v>72</v>
      </c>
      <c r="Q122" s="647"/>
      <c r="R122" s="647"/>
      <c r="S122" s="647"/>
      <c r="T122" s="647"/>
      <c r="U122" s="647"/>
      <c r="V122" s="648"/>
      <c r="W122" s="40" t="s">
        <v>67</v>
      </c>
      <c r="X122" s="41">
        <f>IFERROR(SUM(X117:X120),"0")</f>
        <v>200</v>
      </c>
      <c r="Y122" s="41">
        <f>IFERROR(SUM(Y117:Y120),"0")</f>
        <v>202.5</v>
      </c>
      <c r="Z122" s="40"/>
      <c r="AA122" s="64"/>
      <c r="AB122" s="64"/>
      <c r="AC122" s="64"/>
    </row>
    <row r="123" spans="1:68" ht="14.25" customHeight="1" x14ac:dyDescent="0.25">
      <c r="A123" s="658" t="s">
        <v>164</v>
      </c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5"/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  <c r="AA123" s="63"/>
      <c r="AB123" s="63"/>
      <c r="AC123" s="63"/>
    </row>
    <row r="124" spans="1:68" ht="16.5" customHeight="1" x14ac:dyDescent="0.25">
      <c r="A124" s="60" t="s">
        <v>229</v>
      </c>
      <c r="B124" s="60" t="s">
        <v>230</v>
      </c>
      <c r="C124" s="34">
        <v>4301060317</v>
      </c>
      <c r="D124" s="643">
        <v>4680115880238</v>
      </c>
      <c r="E124" s="644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77</v>
      </c>
      <c r="L124" s="35"/>
      <c r="M124" s="36" t="s">
        <v>78</v>
      </c>
      <c r="N124" s="36"/>
      <c r="O124" s="35">
        <v>40</v>
      </c>
      <c r="P124" s="6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0"/>
      <c r="R124" s="640"/>
      <c r="S124" s="640"/>
      <c r="T124" s="641"/>
      <c r="U124" s="37"/>
      <c r="V124" s="37"/>
      <c r="W124" s="38" t="s">
        <v>67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231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54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56"/>
      <c r="P125" s="650" t="s">
        <v>72</v>
      </c>
      <c r="Q125" s="647"/>
      <c r="R125" s="647"/>
      <c r="S125" s="647"/>
      <c r="T125" s="647"/>
      <c r="U125" s="647"/>
      <c r="V125" s="648"/>
      <c r="W125" s="40" t="s">
        <v>73</v>
      </c>
      <c r="X125" s="41">
        <f>IFERROR(X124/H124,"0")</f>
        <v>0</v>
      </c>
      <c r="Y125" s="41">
        <f>IFERROR(Y124/H124,"0")</f>
        <v>0</v>
      </c>
      <c r="Z125" s="41">
        <f>IFERROR(IF(Z124="",0,Z124),"0")</f>
        <v>0</v>
      </c>
      <c r="AA125" s="64"/>
      <c r="AB125" s="64"/>
      <c r="AC125" s="64"/>
    </row>
    <row r="126" spans="1:68" x14ac:dyDescent="0.2">
      <c r="A126" s="655"/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6"/>
      <c r="P126" s="650" t="s">
        <v>72</v>
      </c>
      <c r="Q126" s="647"/>
      <c r="R126" s="647"/>
      <c r="S126" s="647"/>
      <c r="T126" s="647"/>
      <c r="U126" s="647"/>
      <c r="V126" s="648"/>
      <c r="W126" s="40" t="s">
        <v>67</v>
      </c>
      <c r="X126" s="41">
        <f>IFERROR(SUM(X124:X124),"0")</f>
        <v>0</v>
      </c>
      <c r="Y126" s="41">
        <f>IFERROR(SUM(Y124:Y124),"0")</f>
        <v>0</v>
      </c>
      <c r="Z126" s="40"/>
      <c r="AA126" s="64"/>
      <c r="AB126" s="64"/>
      <c r="AC126" s="64"/>
    </row>
    <row r="127" spans="1:68" ht="16.5" customHeight="1" x14ac:dyDescent="0.25">
      <c r="A127" s="657" t="s">
        <v>232</v>
      </c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  <c r="AA127" s="62"/>
      <c r="AB127" s="62"/>
      <c r="AC127" s="62"/>
    </row>
    <row r="128" spans="1:68" ht="14.25" customHeight="1" x14ac:dyDescent="0.25">
      <c r="A128" s="658" t="s">
        <v>111</v>
      </c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5"/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  <c r="AA128" s="63"/>
      <c r="AB128" s="63"/>
      <c r="AC128" s="63"/>
    </row>
    <row r="129" spans="1:68" ht="27" customHeight="1" x14ac:dyDescent="0.25">
      <c r="A129" s="60" t="s">
        <v>233</v>
      </c>
      <c r="B129" s="60" t="s">
        <v>234</v>
      </c>
      <c r="C129" s="34">
        <v>4301012347</v>
      </c>
      <c r="D129" s="643">
        <v>4680115888784</v>
      </c>
      <c r="E129" s="644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114</v>
      </c>
      <c r="L129" s="35"/>
      <c r="M129" s="36" t="s">
        <v>235</v>
      </c>
      <c r="N129" s="36"/>
      <c r="O129" s="35">
        <v>90</v>
      </c>
      <c r="P129" s="911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0"/>
      <c r="R129" s="640"/>
      <c r="S129" s="640"/>
      <c r="T129" s="641"/>
      <c r="U129" s="37"/>
      <c r="V129" s="37"/>
      <c r="W129" s="38" t="s">
        <v>67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/>
      <c r="AB129" s="66"/>
      <c r="AC129" s="195" t="s">
        <v>236</v>
      </c>
      <c r="AG129" s="75"/>
      <c r="AJ129" s="79"/>
      <c r="AK129" s="79">
        <v>0</v>
      </c>
      <c r="BB129" s="196" t="s">
        <v>1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customHeight="1" x14ac:dyDescent="0.25">
      <c r="A130" s="60" t="s">
        <v>237</v>
      </c>
      <c r="B130" s="60" t="s">
        <v>238</v>
      </c>
      <c r="C130" s="34">
        <v>4301011562</v>
      </c>
      <c r="D130" s="643">
        <v>4680115882577</v>
      </c>
      <c r="E130" s="644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77</v>
      </c>
      <c r="L130" s="35"/>
      <c r="M130" s="36" t="s">
        <v>239</v>
      </c>
      <c r="N130" s="36"/>
      <c r="O130" s="35">
        <v>90</v>
      </c>
      <c r="P130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7"/>
      <c r="V130" s="37"/>
      <c r="W130" s="38" t="s">
        <v>67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/>
      <c r="AB130" s="66"/>
      <c r="AC130" s="197" t="s">
        <v>240</v>
      </c>
      <c r="AG130" s="75"/>
      <c r="AJ130" s="79"/>
      <c r="AK130" s="79">
        <v>0</v>
      </c>
      <c r="BB130" s="198" t="s">
        <v>1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customHeight="1" x14ac:dyDescent="0.25">
      <c r="A131" s="60" t="s">
        <v>237</v>
      </c>
      <c r="B131" s="60" t="s">
        <v>241</v>
      </c>
      <c r="C131" s="34">
        <v>4301011564</v>
      </c>
      <c r="D131" s="643">
        <v>4680115882577</v>
      </c>
      <c r="E131" s="64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77</v>
      </c>
      <c r="L131" s="35"/>
      <c r="M131" s="36" t="s">
        <v>239</v>
      </c>
      <c r="N131" s="36"/>
      <c r="O131" s="35">
        <v>90</v>
      </c>
      <c r="P131" s="9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7"/>
      <c r="V131" s="37"/>
      <c r="W131" s="38" t="s">
        <v>67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/>
      <c r="AB131" s="66"/>
      <c r="AC131" s="199" t="s">
        <v>240</v>
      </c>
      <c r="AG131" s="75"/>
      <c r="AJ131" s="79"/>
      <c r="AK131" s="79">
        <v>0</v>
      </c>
      <c r="BB131" s="200" t="s">
        <v>1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654"/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6"/>
      <c r="P132" s="650" t="s">
        <v>72</v>
      </c>
      <c r="Q132" s="647"/>
      <c r="R132" s="647"/>
      <c r="S132" s="647"/>
      <c r="T132" s="647"/>
      <c r="U132" s="647"/>
      <c r="V132" s="648"/>
      <c r="W132" s="40" t="s">
        <v>73</v>
      </c>
      <c r="X132" s="41">
        <f>IFERROR(X129/H129,"0")+IFERROR(X130/H130,"0")+IFERROR(X131/H131,"0")</f>
        <v>0</v>
      </c>
      <c r="Y132" s="41">
        <f>IFERROR(Y129/H129,"0")+IFERROR(Y130/H130,"0")+IFERROR(Y131/H131,"0")</f>
        <v>0</v>
      </c>
      <c r="Z132" s="41">
        <f>IFERROR(IF(Z129="",0,Z129),"0")+IFERROR(IF(Z130="",0,Z130),"0")+IFERROR(IF(Z131="",0,Z131),"0")</f>
        <v>0</v>
      </c>
      <c r="AA132" s="64"/>
      <c r="AB132" s="64"/>
      <c r="AC132" s="64"/>
    </row>
    <row r="133" spans="1:68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0" t="s">
        <v>72</v>
      </c>
      <c r="Q133" s="647"/>
      <c r="R133" s="647"/>
      <c r="S133" s="647"/>
      <c r="T133" s="647"/>
      <c r="U133" s="647"/>
      <c r="V133" s="648"/>
      <c r="W133" s="40" t="s">
        <v>67</v>
      </c>
      <c r="X133" s="41">
        <f>IFERROR(SUM(X129:X131),"0")</f>
        <v>0</v>
      </c>
      <c r="Y133" s="41">
        <f>IFERROR(SUM(Y129:Y131),"0")</f>
        <v>0</v>
      </c>
      <c r="Z133" s="40"/>
      <c r="AA133" s="64"/>
      <c r="AB133" s="64"/>
      <c r="AC133" s="64"/>
    </row>
    <row r="134" spans="1:68" ht="14.25" customHeight="1" x14ac:dyDescent="0.25">
      <c r="A134" s="658" t="s">
        <v>62</v>
      </c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5"/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  <c r="AA134" s="63"/>
      <c r="AB134" s="63"/>
      <c r="AC134" s="63"/>
    </row>
    <row r="135" spans="1:68" ht="16.5" customHeight="1" x14ac:dyDescent="0.25">
      <c r="A135" s="60" t="s">
        <v>242</v>
      </c>
      <c r="B135" s="60" t="s">
        <v>243</v>
      </c>
      <c r="C135" s="34">
        <v>4301031506</v>
      </c>
      <c r="D135" s="643">
        <v>4680115888913</v>
      </c>
      <c r="E135" s="644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114</v>
      </c>
      <c r="L135" s="35"/>
      <c r="M135" s="36" t="s">
        <v>235</v>
      </c>
      <c r="N135" s="36"/>
      <c r="O135" s="35">
        <v>90</v>
      </c>
      <c r="P135" s="71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0"/>
      <c r="R135" s="640"/>
      <c r="S135" s="640"/>
      <c r="T135" s="641"/>
      <c r="U135" s="37"/>
      <c r="V135" s="37"/>
      <c r="W135" s="38" t="s">
        <v>67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/>
      <c r="AB135" s="66"/>
      <c r="AC135" s="201" t="s">
        <v>244</v>
      </c>
      <c r="AG135" s="75"/>
      <c r="AJ135" s="79"/>
      <c r="AK135" s="79">
        <v>0</v>
      </c>
      <c r="BB135" s="202" t="s">
        <v>1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customHeight="1" x14ac:dyDescent="0.25">
      <c r="A136" s="60" t="s">
        <v>245</v>
      </c>
      <c r="B136" s="60" t="s">
        <v>246</v>
      </c>
      <c r="C136" s="34">
        <v>4301031234</v>
      </c>
      <c r="D136" s="643">
        <v>4680115883444</v>
      </c>
      <c r="E136" s="64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77</v>
      </c>
      <c r="L136" s="35"/>
      <c r="M136" s="36" t="s">
        <v>239</v>
      </c>
      <c r="N136" s="36"/>
      <c r="O136" s="35">
        <v>90</v>
      </c>
      <c r="P136" s="6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7"/>
      <c r="V136" s="37"/>
      <c r="W136" s="38" t="s">
        <v>67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/>
      <c r="AB136" s="66"/>
      <c r="AC136" s="203" t="s">
        <v>247</v>
      </c>
      <c r="AG136" s="75"/>
      <c r="AJ136" s="79"/>
      <c r="AK136" s="79">
        <v>0</v>
      </c>
      <c r="BB136" s="204" t="s">
        <v>1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customHeight="1" x14ac:dyDescent="0.25">
      <c r="A137" s="60" t="s">
        <v>245</v>
      </c>
      <c r="B137" s="60" t="s">
        <v>248</v>
      </c>
      <c r="C137" s="34">
        <v>4301031235</v>
      </c>
      <c r="D137" s="643">
        <v>4680115883444</v>
      </c>
      <c r="E137" s="64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77</v>
      </c>
      <c r="L137" s="35"/>
      <c r="M137" s="36" t="s">
        <v>239</v>
      </c>
      <c r="N137" s="36"/>
      <c r="O137" s="35">
        <v>90</v>
      </c>
      <c r="P137" s="9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0"/>
      <c r="R137" s="640"/>
      <c r="S137" s="640"/>
      <c r="T137" s="641"/>
      <c r="U137" s="37"/>
      <c r="V137" s="37"/>
      <c r="W137" s="38" t="s">
        <v>67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205" t="s">
        <v>247</v>
      </c>
      <c r="AG137" s="75"/>
      <c r="AJ137" s="79"/>
      <c r="AK137" s="79">
        <v>0</v>
      </c>
      <c r="BB137" s="206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customHeight="1" x14ac:dyDescent="0.25">
      <c r="A138" s="60" t="s">
        <v>249</v>
      </c>
      <c r="B138" s="60" t="s">
        <v>250</v>
      </c>
      <c r="C138" s="34">
        <v>4301031504</v>
      </c>
      <c r="D138" s="643">
        <v>4680115888920</v>
      </c>
      <c r="E138" s="644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65</v>
      </c>
      <c r="L138" s="35"/>
      <c r="M138" s="36" t="s">
        <v>235</v>
      </c>
      <c r="N138" s="36"/>
      <c r="O138" s="35">
        <v>90</v>
      </c>
      <c r="P138" s="85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0"/>
      <c r="R138" s="640"/>
      <c r="S138" s="640"/>
      <c r="T138" s="641"/>
      <c r="U138" s="37"/>
      <c r="V138" s="37"/>
      <c r="W138" s="38" t="s">
        <v>67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/>
      <c r="AB138" s="66"/>
      <c r="AC138" s="207" t="s">
        <v>244</v>
      </c>
      <c r="AG138" s="75"/>
      <c r="AJ138" s="79"/>
      <c r="AK138" s="79">
        <v>0</v>
      </c>
      <c r="BB138" s="208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654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0" t="s">
        <v>72</v>
      </c>
      <c r="Q139" s="647"/>
      <c r="R139" s="647"/>
      <c r="S139" s="647"/>
      <c r="T139" s="647"/>
      <c r="U139" s="647"/>
      <c r="V139" s="648"/>
      <c r="W139" s="40" t="s">
        <v>73</v>
      </c>
      <c r="X139" s="41">
        <f>IFERROR(X135/H135,"0")+IFERROR(X136/H136,"0")+IFERROR(X137/H137,"0")+IFERROR(X138/H138,"0")</f>
        <v>0</v>
      </c>
      <c r="Y139" s="41">
        <f>IFERROR(Y135/H135,"0")+IFERROR(Y136/H136,"0")+IFERROR(Y137/H137,"0")+IFERROR(Y138/H138,"0")</f>
        <v>0</v>
      </c>
      <c r="Z139" s="41">
        <f>IFERROR(IF(Z135="",0,Z135),"0")+IFERROR(IF(Z136="",0,Z136),"0")+IFERROR(IF(Z137="",0,Z137),"0")+IFERROR(IF(Z138="",0,Z138),"0")</f>
        <v>0</v>
      </c>
      <c r="AA139" s="64"/>
      <c r="AB139" s="64"/>
      <c r="AC139" s="64"/>
    </row>
    <row r="140" spans="1:68" x14ac:dyDescent="0.2">
      <c r="A140" s="655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6"/>
      <c r="P140" s="650" t="s">
        <v>72</v>
      </c>
      <c r="Q140" s="647"/>
      <c r="R140" s="647"/>
      <c r="S140" s="647"/>
      <c r="T140" s="647"/>
      <c r="U140" s="647"/>
      <c r="V140" s="648"/>
      <c r="W140" s="40" t="s">
        <v>67</v>
      </c>
      <c r="X140" s="41">
        <f>IFERROR(SUM(X135:X138),"0")</f>
        <v>0</v>
      </c>
      <c r="Y140" s="41">
        <f>IFERROR(SUM(Y135:Y138),"0")</f>
        <v>0</v>
      </c>
      <c r="Z140" s="40"/>
      <c r="AA140" s="64"/>
      <c r="AB140" s="64"/>
      <c r="AC140" s="64"/>
    </row>
    <row r="141" spans="1:68" ht="14.25" customHeight="1" x14ac:dyDescent="0.25">
      <c r="A141" s="658" t="s">
        <v>74</v>
      </c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5"/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  <c r="AA141" s="63"/>
      <c r="AB141" s="63"/>
      <c r="AC141" s="63"/>
    </row>
    <row r="142" spans="1:68" ht="16.5" customHeight="1" x14ac:dyDescent="0.25">
      <c r="A142" s="60" t="s">
        <v>251</v>
      </c>
      <c r="B142" s="60" t="s">
        <v>252</v>
      </c>
      <c r="C142" s="34">
        <v>4301052219</v>
      </c>
      <c r="D142" s="643">
        <v>4680115888944</v>
      </c>
      <c r="E142" s="644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77</v>
      </c>
      <c r="L142" s="35"/>
      <c r="M142" s="36" t="s">
        <v>235</v>
      </c>
      <c r="N142" s="36"/>
      <c r="O142" s="35">
        <v>90</v>
      </c>
      <c r="P142" s="889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0"/>
      <c r="R142" s="640"/>
      <c r="S142" s="640"/>
      <c r="T142" s="641"/>
      <c r="U142" s="37"/>
      <c r="V142" s="37"/>
      <c r="W142" s="38" t="s">
        <v>67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/>
      <c r="AB142" s="66"/>
      <c r="AC142" s="209" t="s">
        <v>236</v>
      </c>
      <c r="AG142" s="75"/>
      <c r="AJ142" s="79"/>
      <c r="AK142" s="79">
        <v>0</v>
      </c>
      <c r="BB142" s="210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253</v>
      </c>
      <c r="B143" s="60" t="s">
        <v>254</v>
      </c>
      <c r="C143" s="34">
        <v>4301051476</v>
      </c>
      <c r="D143" s="643">
        <v>4680115882584</v>
      </c>
      <c r="E143" s="64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77</v>
      </c>
      <c r="L143" s="35"/>
      <c r="M143" s="36" t="s">
        <v>239</v>
      </c>
      <c r="N143" s="36"/>
      <c r="O143" s="35">
        <v>60</v>
      </c>
      <c r="P143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0"/>
      <c r="R143" s="640"/>
      <c r="S143" s="640"/>
      <c r="T143" s="641"/>
      <c r="U143" s="37"/>
      <c r="V143" s="37"/>
      <c r="W143" s="38" t="s">
        <v>67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11" t="s">
        <v>240</v>
      </c>
      <c r="AG143" s="75"/>
      <c r="AJ143" s="79"/>
      <c r="AK143" s="79">
        <v>0</v>
      </c>
      <c r="BB143" s="212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customHeight="1" x14ac:dyDescent="0.25">
      <c r="A144" s="60" t="s">
        <v>253</v>
      </c>
      <c r="B144" s="60" t="s">
        <v>255</v>
      </c>
      <c r="C144" s="34">
        <v>4301051477</v>
      </c>
      <c r="D144" s="643">
        <v>4680115882584</v>
      </c>
      <c r="E144" s="644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77</v>
      </c>
      <c r="L144" s="35"/>
      <c r="M144" s="36" t="s">
        <v>239</v>
      </c>
      <c r="N144" s="36"/>
      <c r="O144" s="35">
        <v>60</v>
      </c>
      <c r="P144" s="10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0"/>
      <c r="R144" s="640"/>
      <c r="S144" s="640"/>
      <c r="T144" s="641"/>
      <c r="U144" s="37"/>
      <c r="V144" s="37"/>
      <c r="W144" s="38" t="s">
        <v>67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13" t="s">
        <v>240</v>
      </c>
      <c r="AG144" s="75"/>
      <c r="AJ144" s="79"/>
      <c r="AK144" s="79">
        <v>0</v>
      </c>
      <c r="BB144" s="214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54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6"/>
      <c r="P145" s="650" t="s">
        <v>72</v>
      </c>
      <c r="Q145" s="647"/>
      <c r="R145" s="647"/>
      <c r="S145" s="647"/>
      <c r="T145" s="647"/>
      <c r="U145" s="647"/>
      <c r="V145" s="648"/>
      <c r="W145" s="40" t="s">
        <v>73</v>
      </c>
      <c r="X145" s="41">
        <f>IFERROR(X142/H142,"0")+IFERROR(X143/H143,"0")+IFERROR(X144/H144,"0")</f>
        <v>0</v>
      </c>
      <c r="Y145" s="41">
        <f>IFERROR(Y142/H142,"0")+IFERROR(Y143/H143,"0")+IFERROR(Y144/H144,"0")</f>
        <v>0</v>
      </c>
      <c r="Z145" s="41">
        <f>IFERROR(IF(Z142="",0,Z142),"0")+IFERROR(IF(Z143="",0,Z143),"0")+IFERROR(IF(Z144="",0,Z144),"0")</f>
        <v>0</v>
      </c>
      <c r="AA145" s="64"/>
      <c r="AB145" s="64"/>
      <c r="AC145" s="64"/>
    </row>
    <row r="146" spans="1:68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6"/>
      <c r="P146" s="650" t="s">
        <v>72</v>
      </c>
      <c r="Q146" s="647"/>
      <c r="R146" s="647"/>
      <c r="S146" s="647"/>
      <c r="T146" s="647"/>
      <c r="U146" s="647"/>
      <c r="V146" s="648"/>
      <c r="W146" s="40" t="s">
        <v>67</v>
      </c>
      <c r="X146" s="41">
        <f>IFERROR(SUM(X142:X144),"0")</f>
        <v>0</v>
      </c>
      <c r="Y146" s="41">
        <f>IFERROR(SUM(Y142:Y144),"0")</f>
        <v>0</v>
      </c>
      <c r="Z146" s="40"/>
      <c r="AA146" s="64"/>
      <c r="AB146" s="64"/>
      <c r="AC146" s="64"/>
    </row>
    <row r="147" spans="1:68" ht="16.5" customHeight="1" x14ac:dyDescent="0.25">
      <c r="A147" s="657" t="s">
        <v>256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2"/>
      <c r="AB147" s="62"/>
      <c r="AC147" s="62"/>
    </row>
    <row r="148" spans="1:68" ht="14.25" customHeight="1" x14ac:dyDescent="0.25">
      <c r="A148" s="658" t="s">
        <v>74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3"/>
      <c r="AB148" s="63"/>
      <c r="AC148" s="63"/>
    </row>
    <row r="149" spans="1:68" ht="27" customHeight="1" x14ac:dyDescent="0.25">
      <c r="A149" s="60" t="s">
        <v>257</v>
      </c>
      <c r="B149" s="60" t="s">
        <v>258</v>
      </c>
      <c r="C149" s="34">
        <v>4301052254</v>
      </c>
      <c r="D149" s="643">
        <v>4680115888203</v>
      </c>
      <c r="E149" s="64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77</v>
      </c>
      <c r="L149" s="35"/>
      <c r="M149" s="36" t="s">
        <v>84</v>
      </c>
      <c r="N149" s="36"/>
      <c r="O149" s="35">
        <v>40</v>
      </c>
      <c r="P149" s="6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0"/>
      <c r="R149" s="640"/>
      <c r="S149" s="640"/>
      <c r="T149" s="641"/>
      <c r="U149" s="37"/>
      <c r="V149" s="37"/>
      <c r="W149" s="38" t="s">
        <v>67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/>
      <c r="AB149" s="66"/>
      <c r="AC149" s="215" t="s">
        <v>259</v>
      </c>
      <c r="AG149" s="75"/>
      <c r="AJ149" s="79"/>
      <c r="AK149" s="79">
        <v>0</v>
      </c>
      <c r="BB149" s="216" t="s">
        <v>1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customHeight="1" x14ac:dyDescent="0.25">
      <c r="A150" s="60" t="s">
        <v>260</v>
      </c>
      <c r="B150" s="60" t="s">
        <v>261</v>
      </c>
      <c r="C150" s="34">
        <v>4301052172</v>
      </c>
      <c r="D150" s="643">
        <v>4680115888180</v>
      </c>
      <c r="E150" s="644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77</v>
      </c>
      <c r="L150" s="35"/>
      <c r="M150" s="36" t="s">
        <v>84</v>
      </c>
      <c r="N150" s="36"/>
      <c r="O150" s="35">
        <v>40</v>
      </c>
      <c r="P150" s="9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0"/>
      <c r="R150" s="640"/>
      <c r="S150" s="640"/>
      <c r="T150" s="641"/>
      <c r="U150" s="37"/>
      <c r="V150" s="37"/>
      <c r="W150" s="38" t="s">
        <v>67</v>
      </c>
      <c r="X150" s="56">
        <v>0</v>
      </c>
      <c r="Y150" s="53">
        <f t="shared" si="10"/>
        <v>0</v>
      </c>
      <c r="Z150" s="39" t="str">
        <f t="shared" si="11"/>
        <v/>
      </c>
      <c r="AA150" s="65"/>
      <c r="AB150" s="66"/>
      <c r="AC150" s="217" t="s">
        <v>262</v>
      </c>
      <c r="AG150" s="75"/>
      <c r="AJ150" s="79"/>
      <c r="AK150" s="79">
        <v>0</v>
      </c>
      <c r="BB150" s="218" t="s">
        <v>1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customHeight="1" x14ac:dyDescent="0.25">
      <c r="A151" s="60" t="s">
        <v>260</v>
      </c>
      <c r="B151" s="60" t="s">
        <v>263</v>
      </c>
      <c r="C151" s="34">
        <v>4301052252</v>
      </c>
      <c r="D151" s="643">
        <v>4680115888180</v>
      </c>
      <c r="E151" s="64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77</v>
      </c>
      <c r="L151" s="35"/>
      <c r="M151" s="36" t="s">
        <v>84</v>
      </c>
      <c r="N151" s="36"/>
      <c r="O151" s="35">
        <v>40</v>
      </c>
      <c r="P151" s="64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0"/>
      <c r="R151" s="640"/>
      <c r="S151" s="640"/>
      <c r="T151" s="641"/>
      <c r="U151" s="37"/>
      <c r="V151" s="37"/>
      <c r="W151" s="38" t="s">
        <v>67</v>
      </c>
      <c r="X151" s="56">
        <v>0</v>
      </c>
      <c r="Y151" s="53">
        <f t="shared" si="10"/>
        <v>0</v>
      </c>
      <c r="Z151" s="39" t="str">
        <f t="shared" si="11"/>
        <v/>
      </c>
      <c r="AA151" s="65"/>
      <c r="AB151" s="66"/>
      <c r="AC151" s="219" t="s">
        <v>262</v>
      </c>
      <c r="AG151" s="75"/>
      <c r="AJ151" s="79"/>
      <c r="AK151" s="79">
        <v>0</v>
      </c>
      <c r="BB151" s="220" t="s">
        <v>1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customHeight="1" x14ac:dyDescent="0.25">
      <c r="A152" s="60" t="s">
        <v>264</v>
      </c>
      <c r="B152" s="60" t="s">
        <v>265</v>
      </c>
      <c r="C152" s="34">
        <v>4301052173</v>
      </c>
      <c r="D152" s="643">
        <v>4680115888197</v>
      </c>
      <c r="E152" s="64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77</v>
      </c>
      <c r="L152" s="35"/>
      <c r="M152" s="36" t="s">
        <v>84</v>
      </c>
      <c r="N152" s="36"/>
      <c r="O152" s="35">
        <v>40</v>
      </c>
      <c r="P152" s="97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0"/>
      <c r="R152" s="640"/>
      <c r="S152" s="640"/>
      <c r="T152" s="641"/>
      <c r="U152" s="37"/>
      <c r="V152" s="37"/>
      <c r="W152" s="38" t="s">
        <v>67</v>
      </c>
      <c r="X152" s="56">
        <v>0</v>
      </c>
      <c r="Y152" s="53">
        <f t="shared" si="10"/>
        <v>0</v>
      </c>
      <c r="Z152" s="39" t="str">
        <f t="shared" si="11"/>
        <v/>
      </c>
      <c r="AA152" s="65"/>
      <c r="AB152" s="66"/>
      <c r="AC152" s="221" t="s">
        <v>266</v>
      </c>
      <c r="AG152" s="75"/>
      <c r="AJ152" s="79"/>
      <c r="AK152" s="79">
        <v>0</v>
      </c>
      <c r="BB152" s="222" t="s">
        <v>1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customHeight="1" x14ac:dyDescent="0.25">
      <c r="A153" s="60" t="s">
        <v>264</v>
      </c>
      <c r="B153" s="60" t="s">
        <v>267</v>
      </c>
      <c r="C153" s="34">
        <v>4301052253</v>
      </c>
      <c r="D153" s="643">
        <v>4680115888197</v>
      </c>
      <c r="E153" s="64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77</v>
      </c>
      <c r="L153" s="35"/>
      <c r="M153" s="36" t="s">
        <v>84</v>
      </c>
      <c r="N153" s="36"/>
      <c r="O153" s="35">
        <v>40</v>
      </c>
      <c r="P153" s="93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7"/>
      <c r="V153" s="37"/>
      <c r="W153" s="38" t="s">
        <v>67</v>
      </c>
      <c r="X153" s="56">
        <v>0</v>
      </c>
      <c r="Y153" s="53">
        <f t="shared" si="10"/>
        <v>0</v>
      </c>
      <c r="Z153" s="39" t="str">
        <f t="shared" si="11"/>
        <v/>
      </c>
      <c r="AA153" s="65"/>
      <c r="AB153" s="66"/>
      <c r="AC153" s="223" t="s">
        <v>266</v>
      </c>
      <c r="AG153" s="75"/>
      <c r="AJ153" s="79"/>
      <c r="AK153" s="79">
        <v>0</v>
      </c>
      <c r="BB153" s="224" t="s">
        <v>1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customHeight="1" x14ac:dyDescent="0.25">
      <c r="A154" s="60" t="s">
        <v>268</v>
      </c>
      <c r="B154" s="60" t="s">
        <v>269</v>
      </c>
      <c r="C154" s="34">
        <v>4301052175</v>
      </c>
      <c r="D154" s="643">
        <v>4680115888210</v>
      </c>
      <c r="E154" s="64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77</v>
      </c>
      <c r="L154" s="35"/>
      <c r="M154" s="36" t="s">
        <v>84</v>
      </c>
      <c r="N154" s="36"/>
      <c r="O154" s="35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7"/>
      <c r="V154" s="37"/>
      <c r="W154" s="38" t="s">
        <v>67</v>
      </c>
      <c r="X154" s="56">
        <v>0</v>
      </c>
      <c r="Y154" s="53">
        <f t="shared" si="10"/>
        <v>0</v>
      </c>
      <c r="Z154" s="39" t="str">
        <f t="shared" si="11"/>
        <v/>
      </c>
      <c r="AA154" s="65"/>
      <c r="AB154" s="66"/>
      <c r="AC154" s="225" t="s">
        <v>270</v>
      </c>
      <c r="AG154" s="75"/>
      <c r="AJ154" s="79"/>
      <c r="AK154" s="79">
        <v>0</v>
      </c>
      <c r="BB154" s="226" t="s">
        <v>1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customHeight="1" x14ac:dyDescent="0.25">
      <c r="A155" s="60" t="s">
        <v>268</v>
      </c>
      <c r="B155" s="60" t="s">
        <v>271</v>
      </c>
      <c r="C155" s="34">
        <v>4301052255</v>
      </c>
      <c r="D155" s="643">
        <v>4680115888210</v>
      </c>
      <c r="E155" s="644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77</v>
      </c>
      <c r="L155" s="35"/>
      <c r="M155" s="36" t="s">
        <v>84</v>
      </c>
      <c r="N155" s="36"/>
      <c r="O155" s="35">
        <v>40</v>
      </c>
      <c r="P155" s="9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0"/>
      <c r="R155" s="640"/>
      <c r="S155" s="640"/>
      <c r="T155" s="641"/>
      <c r="U155" s="37"/>
      <c r="V155" s="37"/>
      <c r="W155" s="38" t="s">
        <v>67</v>
      </c>
      <c r="X155" s="56">
        <v>0</v>
      </c>
      <c r="Y155" s="53">
        <f t="shared" si="10"/>
        <v>0</v>
      </c>
      <c r="Z155" s="39" t="str">
        <f t="shared" si="11"/>
        <v/>
      </c>
      <c r="AA155" s="65"/>
      <c r="AB155" s="66"/>
      <c r="AC155" s="227" t="s">
        <v>270</v>
      </c>
      <c r="AG155" s="75"/>
      <c r="AJ155" s="79"/>
      <c r="AK155" s="79">
        <v>0</v>
      </c>
      <c r="BB155" s="228" t="s">
        <v>1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x14ac:dyDescent="0.2">
      <c r="A156" s="654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6"/>
      <c r="P156" s="650" t="s">
        <v>72</v>
      </c>
      <c r="Q156" s="647"/>
      <c r="R156" s="647"/>
      <c r="S156" s="647"/>
      <c r="T156" s="647"/>
      <c r="U156" s="647"/>
      <c r="V156" s="648"/>
      <c r="W156" s="40" t="s">
        <v>73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0" t="s">
        <v>72</v>
      </c>
      <c r="Q157" s="647"/>
      <c r="R157" s="647"/>
      <c r="S157" s="647"/>
      <c r="T157" s="647"/>
      <c r="U157" s="647"/>
      <c r="V157" s="648"/>
      <c r="W157" s="40" t="s">
        <v>67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customHeight="1" x14ac:dyDescent="0.25">
      <c r="A158" s="658" t="s">
        <v>272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3"/>
      <c r="AB158" s="63"/>
      <c r="AC158" s="63"/>
    </row>
    <row r="159" spans="1:68" ht="27" customHeight="1" x14ac:dyDescent="0.25">
      <c r="A159" s="60" t="s">
        <v>273</v>
      </c>
      <c r="B159" s="60" t="s">
        <v>274</v>
      </c>
      <c r="C159" s="34">
        <v>4301032067</v>
      </c>
      <c r="D159" s="643">
        <v>4680115889132</v>
      </c>
      <c r="E159" s="644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275</v>
      </c>
      <c r="L159" s="35"/>
      <c r="M159" s="36" t="s">
        <v>276</v>
      </c>
      <c r="N159" s="36"/>
      <c r="O159" s="35">
        <v>120</v>
      </c>
      <c r="P159" s="81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0"/>
      <c r="R159" s="640"/>
      <c r="S159" s="640"/>
      <c r="T159" s="641"/>
      <c r="U159" s="37"/>
      <c r="V159" s="37"/>
      <c r="W159" s="38" t="s">
        <v>67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/>
      <c r="AB159" s="66"/>
      <c r="AC159" s="229" t="s">
        <v>277</v>
      </c>
      <c r="AG159" s="75"/>
      <c r="AJ159" s="79"/>
      <c r="AK159" s="79">
        <v>0</v>
      </c>
      <c r="BB159" s="230" t="s">
        <v>278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x14ac:dyDescent="0.2">
      <c r="A160" s="654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6"/>
      <c r="P160" s="650" t="s">
        <v>72</v>
      </c>
      <c r="Q160" s="647"/>
      <c r="R160" s="647"/>
      <c r="S160" s="647"/>
      <c r="T160" s="647"/>
      <c r="U160" s="647"/>
      <c r="V160" s="648"/>
      <c r="W160" s="40" t="s">
        <v>73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x14ac:dyDescent="0.2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6"/>
      <c r="P161" s="650" t="s">
        <v>72</v>
      </c>
      <c r="Q161" s="647"/>
      <c r="R161" s="647"/>
      <c r="S161" s="647"/>
      <c r="T161" s="647"/>
      <c r="U161" s="647"/>
      <c r="V161" s="648"/>
      <c r="W161" s="40" t="s">
        <v>67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customHeight="1" x14ac:dyDescent="0.25">
      <c r="A162" s="657" t="s">
        <v>109</v>
      </c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2"/>
      <c r="AB162" s="62"/>
      <c r="AC162" s="62"/>
    </row>
    <row r="163" spans="1:68" ht="14.25" customHeight="1" x14ac:dyDescent="0.25">
      <c r="A163" s="658" t="s">
        <v>111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3"/>
      <c r="AB163" s="63"/>
      <c r="AC163" s="63"/>
    </row>
    <row r="164" spans="1:68" ht="27" customHeight="1" x14ac:dyDescent="0.25">
      <c r="A164" s="60" t="s">
        <v>279</v>
      </c>
      <c r="B164" s="60" t="s">
        <v>280</v>
      </c>
      <c r="C164" s="34">
        <v>4301012338</v>
      </c>
      <c r="D164" s="643">
        <v>4680115887374</v>
      </c>
      <c r="E164" s="644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114</v>
      </c>
      <c r="L164" s="35"/>
      <c r="M164" s="36" t="s">
        <v>115</v>
      </c>
      <c r="N164" s="36"/>
      <c r="O164" s="35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0"/>
      <c r="R164" s="640"/>
      <c r="S164" s="640"/>
      <c r="T164" s="641"/>
      <c r="U164" s="37"/>
      <c r="V164" s="37"/>
      <c r="W164" s="38" t="s">
        <v>67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/>
      <c r="AB164" s="66"/>
      <c r="AC164" s="231" t="s">
        <v>281</v>
      </c>
      <c r="AG164" s="75"/>
      <c r="AJ164" s="79"/>
      <c r="AK164" s="79">
        <v>0</v>
      </c>
      <c r="BB164" s="232" t="s">
        <v>1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customHeight="1" x14ac:dyDescent="0.25">
      <c r="A165" s="60" t="s">
        <v>282</v>
      </c>
      <c r="B165" s="60" t="s">
        <v>283</v>
      </c>
      <c r="C165" s="34">
        <v>4301011705</v>
      </c>
      <c r="D165" s="643">
        <v>4607091384604</v>
      </c>
      <c r="E165" s="644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123</v>
      </c>
      <c r="L165" s="35"/>
      <c r="M165" s="36" t="s">
        <v>115</v>
      </c>
      <c r="N165" s="36"/>
      <c r="O165" s="35">
        <v>50</v>
      </c>
      <c r="P165" s="9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0"/>
      <c r="R165" s="640"/>
      <c r="S165" s="640"/>
      <c r="T165" s="641"/>
      <c r="U165" s="37"/>
      <c r="V165" s="37"/>
      <c r="W165" s="38" t="s">
        <v>67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/>
      <c r="AB165" s="66"/>
      <c r="AC165" s="233" t="s">
        <v>284</v>
      </c>
      <c r="AG165" s="75"/>
      <c r="AJ165" s="79"/>
      <c r="AK165" s="79">
        <v>0</v>
      </c>
      <c r="BB165" s="234" t="s">
        <v>1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customHeight="1" x14ac:dyDescent="0.25">
      <c r="A166" s="60" t="s">
        <v>285</v>
      </c>
      <c r="B166" s="60" t="s">
        <v>286</v>
      </c>
      <c r="C166" s="34">
        <v>4301012344</v>
      </c>
      <c r="D166" s="643">
        <v>4680115888876</v>
      </c>
      <c r="E166" s="64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77</v>
      </c>
      <c r="L166" s="35"/>
      <c r="M166" s="36" t="s">
        <v>78</v>
      </c>
      <c r="N166" s="36"/>
      <c r="O166" s="35">
        <v>55</v>
      </c>
      <c r="P166" s="92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7"/>
      <c r="V166" s="37"/>
      <c r="W166" s="38" t="s">
        <v>67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/>
      <c r="AB166" s="66"/>
      <c r="AC166" s="235" t="s">
        <v>287</v>
      </c>
      <c r="AG166" s="75"/>
      <c r="AJ166" s="79"/>
      <c r="AK166" s="79">
        <v>0</v>
      </c>
      <c r="BB166" s="236" t="s">
        <v>1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x14ac:dyDescent="0.2">
      <c r="A167" s="654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6"/>
      <c r="P167" s="650" t="s">
        <v>72</v>
      </c>
      <c r="Q167" s="647"/>
      <c r="R167" s="647"/>
      <c r="S167" s="647"/>
      <c r="T167" s="647"/>
      <c r="U167" s="647"/>
      <c r="V167" s="648"/>
      <c r="W167" s="40" t="s">
        <v>73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x14ac:dyDescent="0.2">
      <c r="A168" s="655"/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6"/>
      <c r="P168" s="650" t="s">
        <v>72</v>
      </c>
      <c r="Q168" s="647"/>
      <c r="R168" s="647"/>
      <c r="S168" s="647"/>
      <c r="T168" s="647"/>
      <c r="U168" s="647"/>
      <c r="V168" s="648"/>
      <c r="W168" s="40" t="s">
        <v>67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customHeight="1" x14ac:dyDescent="0.25">
      <c r="A169" s="658" t="s">
        <v>147</v>
      </c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  <c r="AA169" s="63"/>
      <c r="AB169" s="63"/>
      <c r="AC169" s="63"/>
    </row>
    <row r="170" spans="1:68" ht="16.5" customHeight="1" x14ac:dyDescent="0.25">
      <c r="A170" s="60" t="s">
        <v>288</v>
      </c>
      <c r="B170" s="60" t="s">
        <v>289</v>
      </c>
      <c r="C170" s="34">
        <v>4301020410</v>
      </c>
      <c r="D170" s="643">
        <v>4680115887695</v>
      </c>
      <c r="E170" s="644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65</v>
      </c>
      <c r="L170" s="35"/>
      <c r="M170" s="36" t="s">
        <v>66</v>
      </c>
      <c r="N170" s="36"/>
      <c r="O170" s="35">
        <v>30</v>
      </c>
      <c r="P170" s="9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7"/>
      <c r="V170" s="37"/>
      <c r="W170" s="38" t="s">
        <v>67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/>
      <c r="AB170" s="66"/>
      <c r="AC170" s="237" t="s">
        <v>290</v>
      </c>
      <c r="AG170" s="75"/>
      <c r="AJ170" s="79"/>
      <c r="AK170" s="79">
        <v>0</v>
      </c>
      <c r="BB170" s="238" t="s">
        <v>1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customHeight="1" x14ac:dyDescent="0.25">
      <c r="A171" s="60" t="s">
        <v>291</v>
      </c>
      <c r="B171" s="60" t="s">
        <v>292</v>
      </c>
      <c r="C171" s="34">
        <v>4301020439</v>
      </c>
      <c r="D171" s="643">
        <v>4680115889491</v>
      </c>
      <c r="E171" s="644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65</v>
      </c>
      <c r="L171" s="35"/>
      <c r="M171" s="36" t="s">
        <v>115</v>
      </c>
      <c r="N171" s="36"/>
      <c r="O171" s="35">
        <v>55</v>
      </c>
      <c r="P171" s="99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7"/>
      <c r="V171" s="37"/>
      <c r="W171" s="38" t="s">
        <v>67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/>
      <c r="AB171" s="66"/>
      <c r="AC171" s="239" t="s">
        <v>293</v>
      </c>
      <c r="AG171" s="75"/>
      <c r="AJ171" s="79"/>
      <c r="AK171" s="79">
        <v>0</v>
      </c>
      <c r="BB171" s="240" t="s">
        <v>1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x14ac:dyDescent="0.2">
      <c r="A172" s="654"/>
      <c r="B172" s="655"/>
      <c r="C172" s="655"/>
      <c r="D172" s="655"/>
      <c r="E172" s="655"/>
      <c r="F172" s="655"/>
      <c r="G172" s="655"/>
      <c r="H172" s="655"/>
      <c r="I172" s="655"/>
      <c r="J172" s="655"/>
      <c r="K172" s="655"/>
      <c r="L172" s="655"/>
      <c r="M172" s="655"/>
      <c r="N172" s="655"/>
      <c r="O172" s="656"/>
      <c r="P172" s="650" t="s">
        <v>72</v>
      </c>
      <c r="Q172" s="647"/>
      <c r="R172" s="647"/>
      <c r="S172" s="647"/>
      <c r="T172" s="647"/>
      <c r="U172" s="647"/>
      <c r="V172" s="648"/>
      <c r="W172" s="40" t="s">
        <v>73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x14ac:dyDescent="0.2">
      <c r="A173" s="655"/>
      <c r="B173" s="655"/>
      <c r="C173" s="655"/>
      <c r="D173" s="655"/>
      <c r="E173" s="655"/>
      <c r="F173" s="655"/>
      <c r="G173" s="655"/>
      <c r="H173" s="655"/>
      <c r="I173" s="655"/>
      <c r="J173" s="655"/>
      <c r="K173" s="655"/>
      <c r="L173" s="655"/>
      <c r="M173" s="655"/>
      <c r="N173" s="655"/>
      <c r="O173" s="656"/>
      <c r="P173" s="650" t="s">
        <v>72</v>
      </c>
      <c r="Q173" s="647"/>
      <c r="R173" s="647"/>
      <c r="S173" s="647"/>
      <c r="T173" s="647"/>
      <c r="U173" s="647"/>
      <c r="V173" s="648"/>
      <c r="W173" s="40" t="s">
        <v>67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customHeight="1" x14ac:dyDescent="0.25">
      <c r="A174" s="658" t="s">
        <v>62</v>
      </c>
      <c r="B174" s="655"/>
      <c r="C174" s="655"/>
      <c r="D174" s="655"/>
      <c r="E174" s="655"/>
      <c r="F174" s="655"/>
      <c r="G174" s="655"/>
      <c r="H174" s="655"/>
      <c r="I174" s="655"/>
      <c r="J174" s="655"/>
      <c r="K174" s="655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  <c r="AA174" s="63"/>
      <c r="AB174" s="63"/>
      <c r="AC174" s="63"/>
    </row>
    <row r="175" spans="1:68" ht="27" customHeight="1" x14ac:dyDescent="0.25">
      <c r="A175" s="60" t="s">
        <v>294</v>
      </c>
      <c r="B175" s="60" t="s">
        <v>295</v>
      </c>
      <c r="C175" s="34">
        <v>4301031496</v>
      </c>
      <c r="D175" s="643">
        <v>4680115887428</v>
      </c>
      <c r="E175" s="64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123</v>
      </c>
      <c r="L175" s="35"/>
      <c r="M175" s="36" t="s">
        <v>66</v>
      </c>
      <c r="N175" s="36"/>
      <c r="O175" s="35">
        <v>40</v>
      </c>
      <c r="P175" s="7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7"/>
      <c r="V175" s="37"/>
      <c r="W175" s="38" t="s">
        <v>67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/>
      <c r="AB175" s="66"/>
      <c r="AC175" s="241" t="s">
        <v>296</v>
      </c>
      <c r="AG175" s="75"/>
      <c r="AJ175" s="79"/>
      <c r="AK175" s="79">
        <v>0</v>
      </c>
      <c r="BB175" s="242" t="s">
        <v>1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customHeight="1" x14ac:dyDescent="0.25">
      <c r="A176" s="60" t="s">
        <v>297</v>
      </c>
      <c r="B176" s="60" t="s">
        <v>298</v>
      </c>
      <c r="C176" s="34">
        <v>4301031509</v>
      </c>
      <c r="D176" s="643">
        <v>4680115889170</v>
      </c>
      <c r="E176" s="644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123</v>
      </c>
      <c r="L176" s="35"/>
      <c r="M176" s="36" t="s">
        <v>66</v>
      </c>
      <c r="N176" s="36"/>
      <c r="O176" s="35">
        <v>45</v>
      </c>
      <c r="P176" s="73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7"/>
      <c r="V176" s="37"/>
      <c r="W176" s="38" t="s">
        <v>67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/>
      <c r="AB176" s="66"/>
      <c r="AC176" s="243" t="s">
        <v>299</v>
      </c>
      <c r="AG176" s="75"/>
      <c r="AJ176" s="79"/>
      <c r="AK176" s="79">
        <v>0</v>
      </c>
      <c r="BB176" s="244" t="s">
        <v>1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customHeight="1" x14ac:dyDescent="0.25">
      <c r="A177" s="60" t="s">
        <v>300</v>
      </c>
      <c r="B177" s="60" t="s">
        <v>301</v>
      </c>
      <c r="C177" s="34">
        <v>4301031498</v>
      </c>
      <c r="D177" s="643">
        <v>4680115887398</v>
      </c>
      <c r="E177" s="64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123</v>
      </c>
      <c r="L177" s="35"/>
      <c r="M177" s="36" t="s">
        <v>66</v>
      </c>
      <c r="N177" s="36"/>
      <c r="O177" s="35">
        <v>40</v>
      </c>
      <c r="P177" s="76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7"/>
      <c r="V177" s="37"/>
      <c r="W177" s="38" t="s">
        <v>67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/>
      <c r="AB177" s="66"/>
      <c r="AC177" s="245" t="s">
        <v>302</v>
      </c>
      <c r="AG177" s="75"/>
      <c r="AJ177" s="79"/>
      <c r="AK177" s="79">
        <v>0</v>
      </c>
      <c r="BB177" s="246" t="s">
        <v>1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customHeight="1" x14ac:dyDescent="0.25">
      <c r="A178" s="60" t="s">
        <v>303</v>
      </c>
      <c r="B178" s="60" t="s">
        <v>304</v>
      </c>
      <c r="C178" s="34">
        <v>4301031497</v>
      </c>
      <c r="D178" s="643">
        <v>4680115887336</v>
      </c>
      <c r="E178" s="644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123</v>
      </c>
      <c r="L178" s="35"/>
      <c r="M178" s="36" t="s">
        <v>66</v>
      </c>
      <c r="N178" s="36"/>
      <c r="O178" s="35">
        <v>40</v>
      </c>
      <c r="P178" s="7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7"/>
      <c r="V178" s="37"/>
      <c r="W178" s="38" t="s">
        <v>67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/>
      <c r="AB178" s="66"/>
      <c r="AC178" s="247" t="s">
        <v>305</v>
      </c>
      <c r="AG178" s="75"/>
      <c r="AJ178" s="79"/>
      <c r="AK178" s="79">
        <v>0</v>
      </c>
      <c r="BB178" s="248" t="s">
        <v>1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customHeight="1" x14ac:dyDescent="0.25">
      <c r="A179" s="60" t="s">
        <v>306</v>
      </c>
      <c r="B179" s="60" t="s">
        <v>307</v>
      </c>
      <c r="C179" s="34">
        <v>4301032049</v>
      </c>
      <c r="D179" s="643">
        <v>4680115887787</v>
      </c>
      <c r="E179" s="64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119</v>
      </c>
      <c r="L179" s="35"/>
      <c r="M179" s="36" t="s">
        <v>66</v>
      </c>
      <c r="N179" s="36"/>
      <c r="O179" s="35">
        <v>45</v>
      </c>
      <c r="P179" s="83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7"/>
      <c r="V179" s="37"/>
      <c r="W179" s="38" t="s">
        <v>67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/>
      <c r="AB179" s="66"/>
      <c r="AC179" s="249" t="s">
        <v>308</v>
      </c>
      <c r="AG179" s="75"/>
      <c r="AJ179" s="79"/>
      <c r="AK179" s="79">
        <v>0</v>
      </c>
      <c r="BB179" s="250" t="s">
        <v>1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customHeight="1" x14ac:dyDescent="0.25">
      <c r="A180" s="60" t="s">
        <v>309</v>
      </c>
      <c r="B180" s="60" t="s">
        <v>310</v>
      </c>
      <c r="C180" s="34">
        <v>4301031448</v>
      </c>
      <c r="D180" s="643">
        <v>4680115887503</v>
      </c>
      <c r="E180" s="64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65</v>
      </c>
      <c r="L180" s="35"/>
      <c r="M180" s="36" t="s">
        <v>66</v>
      </c>
      <c r="N180" s="36"/>
      <c r="O180" s="35">
        <v>40</v>
      </c>
      <c r="P180" s="88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7"/>
      <c r="V180" s="37"/>
      <c r="W180" s="38" t="s">
        <v>67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/>
      <c r="AB180" s="66"/>
      <c r="AC180" s="251" t="s">
        <v>296</v>
      </c>
      <c r="AG180" s="75"/>
      <c r="AJ180" s="79"/>
      <c r="AK180" s="79">
        <v>0</v>
      </c>
      <c r="BB180" s="252" t="s">
        <v>1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customHeight="1" x14ac:dyDescent="0.25">
      <c r="A181" s="60" t="s">
        <v>311</v>
      </c>
      <c r="B181" s="60" t="s">
        <v>312</v>
      </c>
      <c r="C181" s="34">
        <v>4301031389</v>
      </c>
      <c r="D181" s="643">
        <v>4680115887763</v>
      </c>
      <c r="E181" s="64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119</v>
      </c>
      <c r="L181" s="35"/>
      <c r="M181" s="36" t="s">
        <v>66</v>
      </c>
      <c r="N181" s="36"/>
      <c r="O181" s="35">
        <v>45</v>
      </c>
      <c r="P181" s="7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7"/>
      <c r="V181" s="37"/>
      <c r="W181" s="38" t="s">
        <v>67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/>
      <c r="AB181" s="66"/>
      <c r="AC181" s="253" t="s">
        <v>313</v>
      </c>
      <c r="AG181" s="75"/>
      <c r="AJ181" s="79"/>
      <c r="AK181" s="79">
        <v>0</v>
      </c>
      <c r="BB181" s="254" t="s">
        <v>1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customHeight="1" x14ac:dyDescent="0.25">
      <c r="A182" s="60" t="s">
        <v>311</v>
      </c>
      <c r="B182" s="60" t="s">
        <v>314</v>
      </c>
      <c r="C182" s="34">
        <v>4301031510</v>
      </c>
      <c r="D182" s="643">
        <v>4680115887763</v>
      </c>
      <c r="E182" s="644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119</v>
      </c>
      <c r="L182" s="35"/>
      <c r="M182" s="36" t="s">
        <v>66</v>
      </c>
      <c r="N182" s="36"/>
      <c r="O182" s="35">
        <v>45</v>
      </c>
      <c r="P182" s="89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0"/>
      <c r="R182" s="640"/>
      <c r="S182" s="640"/>
      <c r="T182" s="641"/>
      <c r="U182" s="37"/>
      <c r="V182" s="37"/>
      <c r="W182" s="38" t="s">
        <v>67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/>
      <c r="AB182" s="66"/>
      <c r="AC182" s="255" t="s">
        <v>313</v>
      </c>
      <c r="AG182" s="75"/>
      <c r="AJ182" s="79"/>
      <c r="AK182" s="79">
        <v>0</v>
      </c>
      <c r="BB182" s="256" t="s">
        <v>1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customHeight="1" x14ac:dyDescent="0.25">
      <c r="A183" s="60" t="s">
        <v>315</v>
      </c>
      <c r="B183" s="60" t="s">
        <v>316</v>
      </c>
      <c r="C183" s="34">
        <v>4301031454</v>
      </c>
      <c r="D183" s="643">
        <v>4680115887480</v>
      </c>
      <c r="E183" s="644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65</v>
      </c>
      <c r="L183" s="35"/>
      <c r="M183" s="36" t="s">
        <v>66</v>
      </c>
      <c r="N183" s="36"/>
      <c r="O183" s="35">
        <v>40</v>
      </c>
      <c r="P183" s="72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0"/>
      <c r="R183" s="640"/>
      <c r="S183" s="640"/>
      <c r="T183" s="641"/>
      <c r="U183" s="37"/>
      <c r="V183" s="37"/>
      <c r="W183" s="38" t="s">
        <v>67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/>
      <c r="AB183" s="66"/>
      <c r="AC183" s="257" t="s">
        <v>302</v>
      </c>
      <c r="AG183" s="75"/>
      <c r="AJ183" s="79"/>
      <c r="AK183" s="79">
        <v>0</v>
      </c>
      <c r="BB183" s="258" t="s">
        <v>1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customHeight="1" x14ac:dyDescent="0.25">
      <c r="A184" s="60" t="s">
        <v>317</v>
      </c>
      <c r="B184" s="60" t="s">
        <v>318</v>
      </c>
      <c r="C184" s="34">
        <v>4301031434</v>
      </c>
      <c r="D184" s="643">
        <v>4680115888067</v>
      </c>
      <c r="E184" s="644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119</v>
      </c>
      <c r="L184" s="35"/>
      <c r="M184" s="36" t="s">
        <v>66</v>
      </c>
      <c r="N184" s="36"/>
      <c r="O184" s="35">
        <v>45</v>
      </c>
      <c r="P184" s="99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0"/>
      <c r="R184" s="640"/>
      <c r="S184" s="640"/>
      <c r="T184" s="641"/>
      <c r="U184" s="37"/>
      <c r="V184" s="37"/>
      <c r="W184" s="38" t="s">
        <v>67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/>
      <c r="AB184" s="66"/>
      <c r="AC184" s="259" t="s">
        <v>319</v>
      </c>
      <c r="AG184" s="75"/>
      <c r="AJ184" s="79"/>
      <c r="AK184" s="79">
        <v>0</v>
      </c>
      <c r="BB184" s="260" t="s">
        <v>1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customHeight="1" x14ac:dyDescent="0.25">
      <c r="A185" s="60" t="s">
        <v>320</v>
      </c>
      <c r="B185" s="60" t="s">
        <v>321</v>
      </c>
      <c r="C185" s="34">
        <v>4301031451</v>
      </c>
      <c r="D185" s="643">
        <v>4680115887435</v>
      </c>
      <c r="E185" s="64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65</v>
      </c>
      <c r="L185" s="35"/>
      <c r="M185" s="36" t="s">
        <v>66</v>
      </c>
      <c r="N185" s="36"/>
      <c r="O185" s="35">
        <v>40</v>
      </c>
      <c r="P185" s="86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0"/>
      <c r="R185" s="640"/>
      <c r="S185" s="640"/>
      <c r="T185" s="641"/>
      <c r="U185" s="37"/>
      <c r="V185" s="37"/>
      <c r="W185" s="38" t="s">
        <v>67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/>
      <c r="AB185" s="66"/>
      <c r="AC185" s="261" t="s">
        <v>305</v>
      </c>
      <c r="AG185" s="75"/>
      <c r="AJ185" s="79"/>
      <c r="AK185" s="79">
        <v>0</v>
      </c>
      <c r="BB185" s="262" t="s">
        <v>1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x14ac:dyDescent="0.2">
      <c r="A186" s="654"/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56"/>
      <c r="P186" s="650" t="s">
        <v>72</v>
      </c>
      <c r="Q186" s="647"/>
      <c r="R186" s="647"/>
      <c r="S186" s="647"/>
      <c r="T186" s="647"/>
      <c r="U186" s="647"/>
      <c r="V186" s="648"/>
      <c r="W186" s="40" t="s">
        <v>73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x14ac:dyDescent="0.2">
      <c r="A187" s="655"/>
      <c r="B187" s="655"/>
      <c r="C187" s="655"/>
      <c r="D187" s="655"/>
      <c r="E187" s="655"/>
      <c r="F187" s="655"/>
      <c r="G187" s="655"/>
      <c r="H187" s="655"/>
      <c r="I187" s="655"/>
      <c r="J187" s="655"/>
      <c r="K187" s="655"/>
      <c r="L187" s="655"/>
      <c r="M187" s="655"/>
      <c r="N187" s="655"/>
      <c r="O187" s="656"/>
      <c r="P187" s="650" t="s">
        <v>72</v>
      </c>
      <c r="Q187" s="647"/>
      <c r="R187" s="647"/>
      <c r="S187" s="647"/>
      <c r="T187" s="647"/>
      <c r="U187" s="647"/>
      <c r="V187" s="648"/>
      <c r="W187" s="40" t="s">
        <v>67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customHeight="1" x14ac:dyDescent="0.25">
      <c r="A188" s="658" t="s">
        <v>74</v>
      </c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  <c r="AA188" s="63"/>
      <c r="AB188" s="63"/>
      <c r="AC188" s="63"/>
    </row>
    <row r="189" spans="1:68" ht="16.5" customHeight="1" x14ac:dyDescent="0.25">
      <c r="A189" s="60" t="s">
        <v>322</v>
      </c>
      <c r="B189" s="60" t="s">
        <v>323</v>
      </c>
      <c r="C189" s="34">
        <v>4301052193</v>
      </c>
      <c r="D189" s="643">
        <v>4680115888395</v>
      </c>
      <c r="E189" s="64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77</v>
      </c>
      <c r="L189" s="35"/>
      <c r="M189" s="36" t="s">
        <v>84</v>
      </c>
      <c r="N189" s="36"/>
      <c r="O189" s="35">
        <v>40</v>
      </c>
      <c r="P189" s="90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0"/>
      <c r="R189" s="640"/>
      <c r="S189" s="640"/>
      <c r="T189" s="641"/>
      <c r="U189" s="37"/>
      <c r="V189" s="37"/>
      <c r="W189" s="38" t="s">
        <v>67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/>
      <c r="AB189" s="66"/>
      <c r="AC189" s="263" t="s">
        <v>324</v>
      </c>
      <c r="AG189" s="75"/>
      <c r="AJ189" s="79"/>
      <c r="AK189" s="79">
        <v>0</v>
      </c>
      <c r="BB189" s="264" t="s">
        <v>1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customHeight="1" x14ac:dyDescent="0.25">
      <c r="A190" s="60" t="s">
        <v>325</v>
      </c>
      <c r="B190" s="60" t="s">
        <v>326</v>
      </c>
      <c r="C190" s="34">
        <v>4301052191</v>
      </c>
      <c r="D190" s="643">
        <v>4680115888371</v>
      </c>
      <c r="E190" s="644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77</v>
      </c>
      <c r="L190" s="35"/>
      <c r="M190" s="36" t="s">
        <v>84</v>
      </c>
      <c r="N190" s="36"/>
      <c r="O190" s="35">
        <v>40</v>
      </c>
      <c r="P190" s="75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0"/>
      <c r="R190" s="640"/>
      <c r="S190" s="640"/>
      <c r="T190" s="641"/>
      <c r="U190" s="37"/>
      <c r="V190" s="37"/>
      <c r="W190" s="38" t="s">
        <v>67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/>
      <c r="AB190" s="66"/>
      <c r="AC190" s="265" t="s">
        <v>327</v>
      </c>
      <c r="AG190" s="75"/>
      <c r="AJ190" s="79"/>
      <c r="AK190" s="79">
        <v>0</v>
      </c>
      <c r="BB190" s="266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customHeight="1" x14ac:dyDescent="0.25">
      <c r="A191" s="60" t="s">
        <v>328</v>
      </c>
      <c r="B191" s="60" t="s">
        <v>329</v>
      </c>
      <c r="C191" s="34">
        <v>4301052064</v>
      </c>
      <c r="D191" s="643">
        <v>4680115887459</v>
      </c>
      <c r="E191" s="644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77</v>
      </c>
      <c r="L191" s="35"/>
      <c r="M191" s="36" t="s">
        <v>78</v>
      </c>
      <c r="N191" s="36"/>
      <c r="O191" s="35">
        <v>45</v>
      </c>
      <c r="P191" s="7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0"/>
      <c r="R191" s="640"/>
      <c r="S191" s="640"/>
      <c r="T191" s="641"/>
      <c r="U191" s="37"/>
      <c r="V191" s="37"/>
      <c r="W191" s="38" t="s">
        <v>67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/>
      <c r="AB191" s="66"/>
      <c r="AC191" s="267" t="s">
        <v>330</v>
      </c>
      <c r="AG191" s="75"/>
      <c r="AJ191" s="79"/>
      <c r="AK191" s="79">
        <v>0</v>
      </c>
      <c r="BB191" s="268" t="s">
        <v>1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54"/>
      <c r="B192" s="655"/>
      <c r="C192" s="655"/>
      <c r="D192" s="655"/>
      <c r="E192" s="655"/>
      <c r="F192" s="655"/>
      <c r="G192" s="655"/>
      <c r="H192" s="655"/>
      <c r="I192" s="655"/>
      <c r="J192" s="655"/>
      <c r="K192" s="655"/>
      <c r="L192" s="655"/>
      <c r="M192" s="655"/>
      <c r="N192" s="655"/>
      <c r="O192" s="656"/>
      <c r="P192" s="650" t="s">
        <v>72</v>
      </c>
      <c r="Q192" s="647"/>
      <c r="R192" s="647"/>
      <c r="S192" s="647"/>
      <c r="T192" s="647"/>
      <c r="U192" s="647"/>
      <c r="V192" s="648"/>
      <c r="W192" s="40" t="s">
        <v>73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x14ac:dyDescent="0.2">
      <c r="A193" s="655"/>
      <c r="B193" s="655"/>
      <c r="C193" s="655"/>
      <c r="D193" s="655"/>
      <c r="E193" s="655"/>
      <c r="F193" s="655"/>
      <c r="G193" s="655"/>
      <c r="H193" s="655"/>
      <c r="I193" s="655"/>
      <c r="J193" s="655"/>
      <c r="K193" s="655"/>
      <c r="L193" s="655"/>
      <c r="M193" s="655"/>
      <c r="N193" s="655"/>
      <c r="O193" s="656"/>
      <c r="P193" s="650" t="s">
        <v>72</v>
      </c>
      <c r="Q193" s="647"/>
      <c r="R193" s="647"/>
      <c r="S193" s="647"/>
      <c r="T193" s="647"/>
      <c r="U193" s="647"/>
      <c r="V193" s="648"/>
      <c r="W193" s="40" t="s">
        <v>67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customHeight="1" x14ac:dyDescent="0.25">
      <c r="A194" s="658" t="s">
        <v>272</v>
      </c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  <c r="AA194" s="63"/>
      <c r="AB194" s="63"/>
      <c r="AC194" s="63"/>
    </row>
    <row r="195" spans="1:68" ht="16.5" customHeight="1" x14ac:dyDescent="0.25">
      <c r="A195" s="60" t="s">
        <v>331</v>
      </c>
      <c r="B195" s="60" t="s">
        <v>332</v>
      </c>
      <c r="C195" s="34">
        <v>4301032058</v>
      </c>
      <c r="D195" s="643">
        <v>4680115889026</v>
      </c>
      <c r="E195" s="644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333</v>
      </c>
      <c r="L195" s="35"/>
      <c r="M195" s="36" t="s">
        <v>276</v>
      </c>
      <c r="N195" s="36"/>
      <c r="O195" s="35">
        <v>60</v>
      </c>
      <c r="P195" s="8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0"/>
      <c r="R195" s="640"/>
      <c r="S195" s="640"/>
      <c r="T195" s="641"/>
      <c r="U195" s="37"/>
      <c r="V195" s="37"/>
      <c r="W195" s="38" t="s">
        <v>67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/>
      <c r="AB195" s="66"/>
      <c r="AC195" s="269" t="s">
        <v>334</v>
      </c>
      <c r="AG195" s="75"/>
      <c r="AJ195" s="79"/>
      <c r="AK195" s="79">
        <v>0</v>
      </c>
      <c r="BB195" s="270" t="s">
        <v>1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customHeight="1" x14ac:dyDescent="0.25">
      <c r="A196" s="60" t="s">
        <v>335</v>
      </c>
      <c r="B196" s="60" t="s">
        <v>336</v>
      </c>
      <c r="C196" s="34">
        <v>4301032057</v>
      </c>
      <c r="D196" s="643">
        <v>4680115889088</v>
      </c>
      <c r="E196" s="644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333</v>
      </c>
      <c r="L196" s="35"/>
      <c r="M196" s="36" t="s">
        <v>276</v>
      </c>
      <c r="N196" s="36"/>
      <c r="O196" s="35">
        <v>45</v>
      </c>
      <c r="P196" s="71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0"/>
      <c r="R196" s="640"/>
      <c r="S196" s="640"/>
      <c r="T196" s="641"/>
      <c r="U196" s="37"/>
      <c r="V196" s="37"/>
      <c r="W196" s="38" t="s">
        <v>67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/>
      <c r="AB196" s="66"/>
      <c r="AC196" s="271" t="s">
        <v>337</v>
      </c>
      <c r="AG196" s="75"/>
      <c r="AJ196" s="79"/>
      <c r="AK196" s="79">
        <v>0</v>
      </c>
      <c r="BB196" s="272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x14ac:dyDescent="0.2">
      <c r="A197" s="654"/>
      <c r="B197" s="655"/>
      <c r="C197" s="655"/>
      <c r="D197" s="655"/>
      <c r="E197" s="655"/>
      <c r="F197" s="655"/>
      <c r="G197" s="655"/>
      <c r="H197" s="655"/>
      <c r="I197" s="655"/>
      <c r="J197" s="655"/>
      <c r="K197" s="655"/>
      <c r="L197" s="655"/>
      <c r="M197" s="655"/>
      <c r="N197" s="655"/>
      <c r="O197" s="656"/>
      <c r="P197" s="650" t="s">
        <v>72</v>
      </c>
      <c r="Q197" s="647"/>
      <c r="R197" s="647"/>
      <c r="S197" s="647"/>
      <c r="T197" s="647"/>
      <c r="U197" s="647"/>
      <c r="V197" s="648"/>
      <c r="W197" s="40" t="s">
        <v>73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0" t="s">
        <v>72</v>
      </c>
      <c r="Q198" s="647"/>
      <c r="R198" s="647"/>
      <c r="S198" s="647"/>
      <c r="T198" s="647"/>
      <c r="U198" s="647"/>
      <c r="V198" s="648"/>
      <c r="W198" s="40" t="s">
        <v>67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customHeight="1" x14ac:dyDescent="0.25">
      <c r="A199" s="658" t="s">
        <v>338</v>
      </c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  <c r="AA199" s="63"/>
      <c r="AB199" s="63"/>
      <c r="AC199" s="63"/>
    </row>
    <row r="200" spans="1:68" ht="27" customHeight="1" x14ac:dyDescent="0.25">
      <c r="A200" s="60" t="s">
        <v>339</v>
      </c>
      <c r="B200" s="60" t="s">
        <v>340</v>
      </c>
      <c r="C200" s="34">
        <v>4301041009</v>
      </c>
      <c r="D200" s="643">
        <v>4680115889033</v>
      </c>
      <c r="E200" s="644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333</v>
      </c>
      <c r="L200" s="35"/>
      <c r="M200" s="36" t="s">
        <v>276</v>
      </c>
      <c r="N200" s="36"/>
      <c r="O200" s="35">
        <v>60</v>
      </c>
      <c r="P200" s="66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0"/>
      <c r="R200" s="640"/>
      <c r="S200" s="640"/>
      <c r="T200" s="641"/>
      <c r="U200" s="37"/>
      <c r="V200" s="37"/>
      <c r="W200" s="38" t="s">
        <v>67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/>
      <c r="AB200" s="66"/>
      <c r="AC200" s="273" t="s">
        <v>341</v>
      </c>
      <c r="AG200" s="75"/>
      <c r="AJ200" s="79"/>
      <c r="AK200" s="79">
        <v>0</v>
      </c>
      <c r="BB200" s="274" t="s">
        <v>1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x14ac:dyDescent="0.2">
      <c r="A201" s="654"/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6"/>
      <c r="P201" s="650" t="s">
        <v>72</v>
      </c>
      <c r="Q201" s="647"/>
      <c r="R201" s="647"/>
      <c r="S201" s="647"/>
      <c r="T201" s="647"/>
      <c r="U201" s="647"/>
      <c r="V201" s="648"/>
      <c r="W201" s="40" t="s">
        <v>73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x14ac:dyDescent="0.2">
      <c r="A202" s="655"/>
      <c r="B202" s="655"/>
      <c r="C202" s="655"/>
      <c r="D202" s="655"/>
      <c r="E202" s="655"/>
      <c r="F202" s="655"/>
      <c r="G202" s="655"/>
      <c r="H202" s="655"/>
      <c r="I202" s="655"/>
      <c r="J202" s="655"/>
      <c r="K202" s="655"/>
      <c r="L202" s="655"/>
      <c r="M202" s="655"/>
      <c r="N202" s="655"/>
      <c r="O202" s="656"/>
      <c r="P202" s="650" t="s">
        <v>72</v>
      </c>
      <c r="Q202" s="647"/>
      <c r="R202" s="647"/>
      <c r="S202" s="647"/>
      <c r="T202" s="647"/>
      <c r="U202" s="647"/>
      <c r="V202" s="648"/>
      <c r="W202" s="40" t="s">
        <v>67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customHeight="1" x14ac:dyDescent="0.2">
      <c r="A203" s="734" t="s">
        <v>342</v>
      </c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5"/>
      <c r="P203" s="735"/>
      <c r="Q203" s="735"/>
      <c r="R203" s="735"/>
      <c r="S203" s="735"/>
      <c r="T203" s="735"/>
      <c r="U203" s="735"/>
      <c r="V203" s="735"/>
      <c r="W203" s="735"/>
      <c r="X203" s="735"/>
      <c r="Y203" s="735"/>
      <c r="Z203" s="735"/>
      <c r="AA203" s="52"/>
      <c r="AB203" s="52"/>
      <c r="AC203" s="52"/>
    </row>
    <row r="204" spans="1:68" ht="16.5" customHeight="1" x14ac:dyDescent="0.25">
      <c r="A204" s="657" t="s">
        <v>343</v>
      </c>
      <c r="B204" s="655"/>
      <c r="C204" s="655"/>
      <c r="D204" s="655"/>
      <c r="E204" s="655"/>
      <c r="F204" s="655"/>
      <c r="G204" s="655"/>
      <c r="H204" s="655"/>
      <c r="I204" s="655"/>
      <c r="J204" s="655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2"/>
      <c r="AB204" s="62"/>
      <c r="AC204" s="62"/>
    </row>
    <row r="205" spans="1:68" ht="14.25" customHeight="1" x14ac:dyDescent="0.25">
      <c r="A205" s="658" t="s">
        <v>111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63"/>
      <c r="AB205" s="63"/>
      <c r="AC205" s="63"/>
    </row>
    <row r="206" spans="1:68" ht="27" customHeight="1" x14ac:dyDescent="0.25">
      <c r="A206" s="60" t="s">
        <v>344</v>
      </c>
      <c r="B206" s="60" t="s">
        <v>345</v>
      </c>
      <c r="C206" s="34">
        <v>4301011223</v>
      </c>
      <c r="D206" s="643">
        <v>4607091383423</v>
      </c>
      <c r="E206" s="644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114</v>
      </c>
      <c r="L206" s="35"/>
      <c r="M206" s="36" t="s">
        <v>78</v>
      </c>
      <c r="N206" s="36"/>
      <c r="O206" s="35">
        <v>35</v>
      </c>
      <c r="P206" s="81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0"/>
      <c r="R206" s="640"/>
      <c r="S206" s="640"/>
      <c r="T206" s="641"/>
      <c r="U206" s="37"/>
      <c r="V206" s="37"/>
      <c r="W206" s="38" t="s">
        <v>67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/>
      <c r="AB206" s="66"/>
      <c r="AC206" s="275" t="s">
        <v>116</v>
      </c>
      <c r="AG206" s="75"/>
      <c r="AJ206" s="79"/>
      <c r="AK206" s="79">
        <v>0</v>
      </c>
      <c r="BB206" s="276" t="s">
        <v>1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customHeight="1" x14ac:dyDescent="0.25">
      <c r="A207" s="60" t="s">
        <v>346</v>
      </c>
      <c r="B207" s="60" t="s">
        <v>347</v>
      </c>
      <c r="C207" s="34">
        <v>4301012340</v>
      </c>
      <c r="D207" s="643">
        <v>4680115888760</v>
      </c>
      <c r="E207" s="644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114</v>
      </c>
      <c r="L207" s="35"/>
      <c r="M207" s="36" t="s">
        <v>78</v>
      </c>
      <c r="N207" s="36"/>
      <c r="O207" s="35">
        <v>35</v>
      </c>
      <c r="P207" s="10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0"/>
      <c r="R207" s="640"/>
      <c r="S207" s="640"/>
      <c r="T207" s="641"/>
      <c r="U207" s="37"/>
      <c r="V207" s="37"/>
      <c r="W207" s="38" t="s">
        <v>67</v>
      </c>
      <c r="X207" s="56">
        <v>0</v>
      </c>
      <c r="Y207" s="53">
        <f t="shared" si="21"/>
        <v>0</v>
      </c>
      <c r="Z207" s="39" t="str">
        <f t="shared" si="22"/>
        <v/>
      </c>
      <c r="AA207" s="65"/>
      <c r="AB207" s="66"/>
      <c r="AC207" s="277" t="s">
        <v>348</v>
      </c>
      <c r="AG207" s="75"/>
      <c r="AJ207" s="79"/>
      <c r="AK207" s="79">
        <v>0</v>
      </c>
      <c r="BB207" s="278" t="s">
        <v>1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customHeight="1" x14ac:dyDescent="0.25">
      <c r="A208" s="60" t="s">
        <v>349</v>
      </c>
      <c r="B208" s="60" t="s">
        <v>350</v>
      </c>
      <c r="C208" s="34">
        <v>4301012341</v>
      </c>
      <c r="D208" s="643">
        <v>4680115888807</v>
      </c>
      <c r="E208" s="644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114</v>
      </c>
      <c r="L208" s="35"/>
      <c r="M208" s="36" t="s">
        <v>78</v>
      </c>
      <c r="N208" s="36"/>
      <c r="O208" s="35">
        <v>35</v>
      </c>
      <c r="P208" s="8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0"/>
      <c r="R208" s="640"/>
      <c r="S208" s="640"/>
      <c r="T208" s="641"/>
      <c r="U208" s="37"/>
      <c r="V208" s="37"/>
      <c r="W208" s="38" t="s">
        <v>67</v>
      </c>
      <c r="X208" s="56">
        <v>0</v>
      </c>
      <c r="Y208" s="53">
        <f t="shared" si="21"/>
        <v>0</v>
      </c>
      <c r="Z208" s="39" t="str">
        <f t="shared" si="22"/>
        <v/>
      </c>
      <c r="AA208" s="65"/>
      <c r="AB208" s="66"/>
      <c r="AC208" s="279" t="s">
        <v>351</v>
      </c>
      <c r="AG208" s="75"/>
      <c r="AJ208" s="79"/>
      <c r="AK208" s="79">
        <v>0</v>
      </c>
      <c r="BB208" s="280" t="s">
        <v>1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customHeight="1" x14ac:dyDescent="0.25">
      <c r="A209" s="60" t="s">
        <v>352</v>
      </c>
      <c r="B209" s="60" t="s">
        <v>353</v>
      </c>
      <c r="C209" s="34">
        <v>4301012342</v>
      </c>
      <c r="D209" s="643">
        <v>4680115888852</v>
      </c>
      <c r="E209" s="644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114</v>
      </c>
      <c r="L209" s="35"/>
      <c r="M209" s="36" t="s">
        <v>78</v>
      </c>
      <c r="N209" s="36"/>
      <c r="O209" s="35">
        <v>35</v>
      </c>
      <c r="P209" s="96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0"/>
      <c r="R209" s="640"/>
      <c r="S209" s="640"/>
      <c r="T209" s="641"/>
      <c r="U209" s="37"/>
      <c r="V209" s="37"/>
      <c r="W209" s="38" t="s">
        <v>67</v>
      </c>
      <c r="X209" s="56">
        <v>0</v>
      </c>
      <c r="Y209" s="53">
        <f t="shared" si="21"/>
        <v>0</v>
      </c>
      <c r="Z209" s="39" t="str">
        <f t="shared" si="22"/>
        <v/>
      </c>
      <c r="AA209" s="65"/>
      <c r="AB209" s="66"/>
      <c r="AC209" s="281" t="s">
        <v>354</v>
      </c>
      <c r="AG209" s="75"/>
      <c r="AJ209" s="79"/>
      <c r="AK209" s="79">
        <v>0</v>
      </c>
      <c r="BB209" s="282" t="s">
        <v>1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customHeight="1" x14ac:dyDescent="0.25">
      <c r="A210" s="60" t="s">
        <v>355</v>
      </c>
      <c r="B210" s="60" t="s">
        <v>356</v>
      </c>
      <c r="C210" s="34">
        <v>4301012370</v>
      </c>
      <c r="D210" s="643">
        <v>4680115886957</v>
      </c>
      <c r="E210" s="644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114</v>
      </c>
      <c r="L210" s="35"/>
      <c r="M210" s="36" t="s">
        <v>78</v>
      </c>
      <c r="N210" s="36"/>
      <c r="O210" s="35">
        <v>35</v>
      </c>
      <c r="P210" s="86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0"/>
      <c r="R210" s="640"/>
      <c r="S210" s="640"/>
      <c r="T210" s="641"/>
      <c r="U210" s="37"/>
      <c r="V210" s="37"/>
      <c r="W210" s="38" t="s">
        <v>67</v>
      </c>
      <c r="X210" s="56">
        <v>0</v>
      </c>
      <c r="Y210" s="53">
        <f t="shared" si="21"/>
        <v>0</v>
      </c>
      <c r="Z210" s="39" t="str">
        <f t="shared" si="22"/>
        <v/>
      </c>
      <c r="AA210" s="65"/>
      <c r="AB210" s="66"/>
      <c r="AC210" s="283" t="s">
        <v>357</v>
      </c>
      <c r="AG210" s="75"/>
      <c r="AJ210" s="79"/>
      <c r="AK210" s="79">
        <v>0</v>
      </c>
      <c r="BB210" s="284" t="s">
        <v>1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customHeight="1" x14ac:dyDescent="0.25">
      <c r="A211" s="60" t="s">
        <v>358</v>
      </c>
      <c r="B211" s="60" t="s">
        <v>359</v>
      </c>
      <c r="C211" s="34">
        <v>4301012098</v>
      </c>
      <c r="D211" s="643">
        <v>4680115885660</v>
      </c>
      <c r="E211" s="644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114</v>
      </c>
      <c r="L211" s="35"/>
      <c r="M211" s="36" t="s">
        <v>78</v>
      </c>
      <c r="N211" s="36"/>
      <c r="O211" s="35">
        <v>35</v>
      </c>
      <c r="P211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0"/>
      <c r="R211" s="640"/>
      <c r="S211" s="640"/>
      <c r="T211" s="641"/>
      <c r="U211" s="37"/>
      <c r="V211" s="37"/>
      <c r="W211" s="38" t="s">
        <v>67</v>
      </c>
      <c r="X211" s="56">
        <v>0</v>
      </c>
      <c r="Y211" s="53">
        <f t="shared" si="21"/>
        <v>0</v>
      </c>
      <c r="Z211" s="39" t="str">
        <f t="shared" si="22"/>
        <v/>
      </c>
      <c r="AA211" s="65"/>
      <c r="AB211" s="66"/>
      <c r="AC211" s="285" t="s">
        <v>360</v>
      </c>
      <c r="AG211" s="75"/>
      <c r="AJ211" s="79"/>
      <c r="AK211" s="79">
        <v>0</v>
      </c>
      <c r="BB211" s="286" t="s">
        <v>1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4301012369</v>
      </c>
      <c r="D212" s="643">
        <v>4680115886773</v>
      </c>
      <c r="E212" s="644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114</v>
      </c>
      <c r="L212" s="35"/>
      <c r="M212" s="36" t="s">
        <v>78</v>
      </c>
      <c r="N212" s="36"/>
      <c r="O212" s="35">
        <v>35</v>
      </c>
      <c r="P212" s="79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0"/>
      <c r="R212" s="640"/>
      <c r="S212" s="640"/>
      <c r="T212" s="641"/>
      <c r="U212" s="37"/>
      <c r="V212" s="37"/>
      <c r="W212" s="38" t="s">
        <v>67</v>
      </c>
      <c r="X212" s="56">
        <v>0</v>
      </c>
      <c r="Y212" s="53">
        <f t="shared" si="21"/>
        <v>0</v>
      </c>
      <c r="Z212" s="39" t="str">
        <f t="shared" si="22"/>
        <v/>
      </c>
      <c r="AA212" s="65"/>
      <c r="AB212" s="66"/>
      <c r="AC212" s="287" t="s">
        <v>363</v>
      </c>
      <c r="AG212" s="75"/>
      <c r="AJ212" s="79"/>
      <c r="AK212" s="79">
        <v>0</v>
      </c>
      <c r="BB212" s="288" t="s">
        <v>1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x14ac:dyDescent="0.2">
      <c r="A213" s="654"/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56"/>
      <c r="P213" s="650" t="s">
        <v>72</v>
      </c>
      <c r="Q213" s="647"/>
      <c r="R213" s="647"/>
      <c r="S213" s="647"/>
      <c r="T213" s="647"/>
      <c r="U213" s="647"/>
      <c r="V213" s="648"/>
      <c r="W213" s="40" t="s">
        <v>73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x14ac:dyDescent="0.2">
      <c r="A214" s="655"/>
      <c r="B214" s="655"/>
      <c r="C214" s="655"/>
      <c r="D214" s="655"/>
      <c r="E214" s="655"/>
      <c r="F214" s="655"/>
      <c r="G214" s="655"/>
      <c r="H214" s="655"/>
      <c r="I214" s="655"/>
      <c r="J214" s="655"/>
      <c r="K214" s="655"/>
      <c r="L214" s="655"/>
      <c r="M214" s="655"/>
      <c r="N214" s="655"/>
      <c r="O214" s="656"/>
      <c r="P214" s="650" t="s">
        <v>72</v>
      </c>
      <c r="Q214" s="647"/>
      <c r="R214" s="647"/>
      <c r="S214" s="647"/>
      <c r="T214" s="647"/>
      <c r="U214" s="647"/>
      <c r="V214" s="648"/>
      <c r="W214" s="40" t="s">
        <v>67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customHeight="1" x14ac:dyDescent="0.25">
      <c r="A215" s="657" t="s">
        <v>364</v>
      </c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2"/>
      <c r="AB215" s="62"/>
      <c r="AC215" s="62"/>
    </row>
    <row r="216" spans="1:68" ht="14.25" customHeight="1" x14ac:dyDescent="0.25">
      <c r="A216" s="658" t="s">
        <v>147</v>
      </c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  <c r="AA216" s="63"/>
      <c r="AB216" s="63"/>
      <c r="AC216" s="63"/>
    </row>
    <row r="217" spans="1:68" ht="27" customHeight="1" x14ac:dyDescent="0.25">
      <c r="A217" s="60" t="s">
        <v>365</v>
      </c>
      <c r="B217" s="60" t="s">
        <v>366</v>
      </c>
      <c r="C217" s="34">
        <v>4301020323</v>
      </c>
      <c r="D217" s="643">
        <v>4680115886223</v>
      </c>
      <c r="E217" s="644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65</v>
      </c>
      <c r="L217" s="35"/>
      <c r="M217" s="36" t="s">
        <v>66</v>
      </c>
      <c r="N217" s="36"/>
      <c r="O217" s="35">
        <v>40</v>
      </c>
      <c r="P217" s="8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0"/>
      <c r="R217" s="640"/>
      <c r="S217" s="640"/>
      <c r="T217" s="641"/>
      <c r="U217" s="37"/>
      <c r="V217" s="37"/>
      <c r="W217" s="38" t="s">
        <v>67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/>
      <c r="AB217" s="66"/>
      <c r="AC217" s="289" t="s">
        <v>367</v>
      </c>
      <c r="AG217" s="75"/>
      <c r="AJ217" s="79"/>
      <c r="AK217" s="79">
        <v>0</v>
      </c>
      <c r="BB217" s="290" t="s">
        <v>1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x14ac:dyDescent="0.2">
      <c r="A218" s="654"/>
      <c r="B218" s="655"/>
      <c r="C218" s="655"/>
      <c r="D218" s="655"/>
      <c r="E218" s="655"/>
      <c r="F218" s="655"/>
      <c r="G218" s="655"/>
      <c r="H218" s="655"/>
      <c r="I218" s="655"/>
      <c r="J218" s="655"/>
      <c r="K218" s="655"/>
      <c r="L218" s="655"/>
      <c r="M218" s="655"/>
      <c r="N218" s="655"/>
      <c r="O218" s="656"/>
      <c r="P218" s="650" t="s">
        <v>72</v>
      </c>
      <c r="Q218" s="647"/>
      <c r="R218" s="647"/>
      <c r="S218" s="647"/>
      <c r="T218" s="647"/>
      <c r="U218" s="647"/>
      <c r="V218" s="648"/>
      <c r="W218" s="40" t="s">
        <v>73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x14ac:dyDescent="0.2">
      <c r="A219" s="655"/>
      <c r="B219" s="655"/>
      <c r="C219" s="655"/>
      <c r="D219" s="655"/>
      <c r="E219" s="655"/>
      <c r="F219" s="655"/>
      <c r="G219" s="655"/>
      <c r="H219" s="655"/>
      <c r="I219" s="655"/>
      <c r="J219" s="655"/>
      <c r="K219" s="655"/>
      <c r="L219" s="655"/>
      <c r="M219" s="655"/>
      <c r="N219" s="655"/>
      <c r="O219" s="656"/>
      <c r="P219" s="650" t="s">
        <v>72</v>
      </c>
      <c r="Q219" s="647"/>
      <c r="R219" s="647"/>
      <c r="S219" s="647"/>
      <c r="T219" s="647"/>
      <c r="U219" s="647"/>
      <c r="V219" s="648"/>
      <c r="W219" s="40" t="s">
        <v>67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customHeight="1" x14ac:dyDescent="0.25">
      <c r="A220" s="658" t="s">
        <v>62</v>
      </c>
      <c r="B220" s="655"/>
      <c r="C220" s="655"/>
      <c r="D220" s="655"/>
      <c r="E220" s="655"/>
      <c r="F220" s="655"/>
      <c r="G220" s="655"/>
      <c r="H220" s="655"/>
      <c r="I220" s="655"/>
      <c r="J220" s="655"/>
      <c r="K220" s="655"/>
      <c r="L220" s="655"/>
      <c r="M220" s="655"/>
      <c r="N220" s="655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  <c r="AA220" s="63"/>
      <c r="AB220" s="63"/>
      <c r="AC220" s="63"/>
    </row>
    <row r="221" spans="1:68" ht="27" customHeight="1" x14ac:dyDescent="0.25">
      <c r="A221" s="60" t="s">
        <v>368</v>
      </c>
      <c r="B221" s="60" t="s">
        <v>369</v>
      </c>
      <c r="C221" s="34">
        <v>4301031191</v>
      </c>
      <c r="D221" s="643">
        <v>4680115880993</v>
      </c>
      <c r="E221" s="644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123</v>
      </c>
      <c r="L221" s="35"/>
      <c r="M221" s="36" t="s">
        <v>66</v>
      </c>
      <c r="N221" s="36"/>
      <c r="O221" s="35">
        <v>40</v>
      </c>
      <c r="P221" s="9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0"/>
      <c r="R221" s="640"/>
      <c r="S221" s="640"/>
      <c r="T221" s="641"/>
      <c r="U221" s="37"/>
      <c r="V221" s="37"/>
      <c r="W221" s="38" t="s">
        <v>67</v>
      </c>
      <c r="X221" s="56">
        <v>0</v>
      </c>
      <c r="Y221" s="53">
        <f t="shared" ref="Y221:Y234" si="27">IFERROR(IF(X221="",0,CEILING((X221/$H221),1)*$H221),"")</f>
        <v>0</v>
      </c>
      <c r="Z221" s="39" t="str">
        <f>IFERROR(IF(Y221=0,"",ROUNDUP(Y221/H221,0)*0.00902),"")</f>
        <v/>
      </c>
      <c r="AA221" s="65"/>
      <c r="AB221" s="66"/>
      <c r="AC221" s="291" t="s">
        <v>370</v>
      </c>
      <c r="AG221" s="75"/>
      <c r="AJ221" s="79"/>
      <c r="AK221" s="79">
        <v>0</v>
      </c>
      <c r="BB221" s="292" t="s">
        <v>1</v>
      </c>
      <c r="BM221" s="75">
        <f t="shared" ref="BM221:BM234" si="28">IFERROR(X221*I221/H221,"0")</f>
        <v>0</v>
      </c>
      <c r="BN221" s="75">
        <f t="shared" ref="BN221:BN234" si="29">IFERROR(Y221*I221/H221,"0")</f>
        <v>0</v>
      </c>
      <c r="BO221" s="75">
        <f t="shared" ref="BO221:BO234" si="30">IFERROR(1/J221*(X221/H221),"0")</f>
        <v>0</v>
      </c>
      <c r="BP221" s="75">
        <f t="shared" ref="BP221:BP234" si="31">IFERROR(1/J221*(Y221/H221),"0")</f>
        <v>0</v>
      </c>
    </row>
    <row r="222" spans="1:68" ht="27" customHeight="1" x14ac:dyDescent="0.25">
      <c r="A222" s="60" t="s">
        <v>371</v>
      </c>
      <c r="B222" s="60" t="s">
        <v>372</v>
      </c>
      <c r="C222" s="34">
        <v>4301031204</v>
      </c>
      <c r="D222" s="643">
        <v>4680115881761</v>
      </c>
      <c r="E222" s="644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123</v>
      </c>
      <c r="L222" s="35"/>
      <c r="M222" s="36" t="s">
        <v>66</v>
      </c>
      <c r="N222" s="36"/>
      <c r="O222" s="35">
        <v>40</v>
      </c>
      <c r="P222" s="78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0"/>
      <c r="R222" s="640"/>
      <c r="S222" s="640"/>
      <c r="T222" s="641"/>
      <c r="U222" s="37"/>
      <c r="V222" s="37"/>
      <c r="W222" s="38" t="s">
        <v>67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/>
      <c r="AB222" s="66"/>
      <c r="AC222" s="293" t="s">
        <v>373</v>
      </c>
      <c r="AG222" s="75"/>
      <c r="AJ222" s="79"/>
      <c r="AK222" s="79">
        <v>0</v>
      </c>
      <c r="BB222" s="294" t="s">
        <v>1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customHeight="1" x14ac:dyDescent="0.25">
      <c r="A223" s="60" t="s">
        <v>374</v>
      </c>
      <c r="B223" s="60" t="s">
        <v>375</v>
      </c>
      <c r="C223" s="34">
        <v>4301031201</v>
      </c>
      <c r="D223" s="643">
        <v>4680115881563</v>
      </c>
      <c r="E223" s="644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123</v>
      </c>
      <c r="L223" s="35"/>
      <c r="M223" s="36" t="s">
        <v>66</v>
      </c>
      <c r="N223" s="36"/>
      <c r="O223" s="35">
        <v>40</v>
      </c>
      <c r="P223" s="9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0"/>
      <c r="R223" s="640"/>
      <c r="S223" s="640"/>
      <c r="T223" s="641"/>
      <c r="U223" s="37"/>
      <c r="V223" s="37"/>
      <c r="W223" s="38" t="s">
        <v>67</v>
      </c>
      <c r="X223" s="56">
        <v>0</v>
      </c>
      <c r="Y223" s="53">
        <f t="shared" si="27"/>
        <v>0</v>
      </c>
      <c r="Z223" s="39" t="str">
        <f>IFERROR(IF(Y223=0,"",ROUNDUP(Y223/H223,0)*0.00902),"")</f>
        <v/>
      </c>
      <c r="AA223" s="65"/>
      <c r="AB223" s="66"/>
      <c r="AC223" s="295" t="s">
        <v>376</v>
      </c>
      <c r="AG223" s="75"/>
      <c r="AJ223" s="79"/>
      <c r="AK223" s="79">
        <v>0</v>
      </c>
      <c r="BB223" s="296" t="s">
        <v>1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37.5" customHeight="1" x14ac:dyDescent="0.25">
      <c r="A224" s="60" t="s">
        <v>377</v>
      </c>
      <c r="B224" s="60" t="s">
        <v>378</v>
      </c>
      <c r="C224" s="34">
        <v>4301031447</v>
      </c>
      <c r="D224" s="643">
        <v>4680115887565</v>
      </c>
      <c r="E224" s="644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65</v>
      </c>
      <c r="L224" s="35"/>
      <c r="M224" s="36" t="s">
        <v>66</v>
      </c>
      <c r="N224" s="36"/>
      <c r="O224" s="35">
        <v>45</v>
      </c>
      <c r="P224" s="85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0"/>
      <c r="R224" s="640"/>
      <c r="S224" s="640"/>
      <c r="T224" s="641"/>
      <c r="U224" s="37"/>
      <c r="V224" s="37"/>
      <c r="W224" s="38" t="s">
        <v>67</v>
      </c>
      <c r="X224" s="56">
        <v>0</v>
      </c>
      <c r="Y224" s="53">
        <f t="shared" si="27"/>
        <v>0</v>
      </c>
      <c r="Z224" s="39" t="str">
        <f>IFERROR(IF(Y224=0,"",ROUNDUP(Y224/H224,0)*0.00556),"")</f>
        <v/>
      </c>
      <c r="AA224" s="65"/>
      <c r="AB224" s="66"/>
      <c r="AC224" s="297" t="s">
        <v>379</v>
      </c>
      <c r="AG224" s="75"/>
      <c r="AJ224" s="79"/>
      <c r="AK224" s="79">
        <v>0</v>
      </c>
      <c r="BB224" s="298" t="s">
        <v>1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customHeight="1" x14ac:dyDescent="0.25">
      <c r="A225" s="60" t="s">
        <v>380</v>
      </c>
      <c r="B225" s="60" t="s">
        <v>381</v>
      </c>
      <c r="C225" s="34">
        <v>4301031199</v>
      </c>
      <c r="D225" s="643">
        <v>4680115880986</v>
      </c>
      <c r="E225" s="644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65</v>
      </c>
      <c r="L225" s="35"/>
      <c r="M225" s="36" t="s">
        <v>66</v>
      </c>
      <c r="N225" s="36"/>
      <c r="O225" s="35">
        <v>40</v>
      </c>
      <c r="P225" s="7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0"/>
      <c r="R225" s="640"/>
      <c r="S225" s="640"/>
      <c r="T225" s="641"/>
      <c r="U225" s="37"/>
      <c r="V225" s="37"/>
      <c r="W225" s="38" t="s">
        <v>67</v>
      </c>
      <c r="X225" s="56">
        <v>0</v>
      </c>
      <c r="Y225" s="53">
        <f t="shared" si="27"/>
        <v>0</v>
      </c>
      <c r="Z225" s="39" t="str">
        <f t="shared" ref="Z225:Z230" si="32">IFERROR(IF(Y225=0,"",ROUNDUP(Y225/H225,0)*0.00502),"")</f>
        <v/>
      </c>
      <c r="AA225" s="65"/>
      <c r="AB225" s="66"/>
      <c r="AC225" s="299" t="s">
        <v>370</v>
      </c>
      <c r="AG225" s="75"/>
      <c r="AJ225" s="79"/>
      <c r="AK225" s="79">
        <v>0</v>
      </c>
      <c r="BB225" s="300" t="s">
        <v>1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customHeight="1" x14ac:dyDescent="0.25">
      <c r="A226" s="60" t="s">
        <v>382</v>
      </c>
      <c r="B226" s="60" t="s">
        <v>383</v>
      </c>
      <c r="C226" s="34">
        <v>4301031443</v>
      </c>
      <c r="D226" s="643">
        <v>4680115887213</v>
      </c>
      <c r="E226" s="644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65</v>
      </c>
      <c r="L226" s="35"/>
      <c r="M226" s="36" t="s">
        <v>66</v>
      </c>
      <c r="N226" s="36"/>
      <c r="O226" s="35">
        <v>45</v>
      </c>
      <c r="P226" s="79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0"/>
      <c r="R226" s="640"/>
      <c r="S226" s="640"/>
      <c r="T226" s="641"/>
      <c r="U226" s="37"/>
      <c r="V226" s="37"/>
      <c r="W226" s="38" t="s">
        <v>67</v>
      </c>
      <c r="X226" s="56">
        <v>0</v>
      </c>
      <c r="Y226" s="53">
        <f t="shared" si="27"/>
        <v>0</v>
      </c>
      <c r="Z226" s="39" t="str">
        <f t="shared" si="32"/>
        <v/>
      </c>
      <c r="AA226" s="65"/>
      <c r="AB226" s="66"/>
      <c r="AC226" s="301" t="s">
        <v>384</v>
      </c>
      <c r="AG226" s="75"/>
      <c r="AJ226" s="79"/>
      <c r="AK226" s="79">
        <v>0</v>
      </c>
      <c r="BB226" s="302" t="s">
        <v>1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customHeight="1" x14ac:dyDescent="0.25">
      <c r="A227" s="60" t="s">
        <v>385</v>
      </c>
      <c r="B227" s="60" t="s">
        <v>386</v>
      </c>
      <c r="C227" s="34">
        <v>4301031205</v>
      </c>
      <c r="D227" s="643">
        <v>4680115881785</v>
      </c>
      <c r="E227" s="64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65</v>
      </c>
      <c r="L227" s="35"/>
      <c r="M227" s="36" t="s">
        <v>66</v>
      </c>
      <c r="N227" s="36"/>
      <c r="O227" s="35">
        <v>40</v>
      </c>
      <c r="P227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0"/>
      <c r="R227" s="640"/>
      <c r="S227" s="640"/>
      <c r="T227" s="641"/>
      <c r="U227" s="37"/>
      <c r="V227" s="37"/>
      <c r="W227" s="38" t="s">
        <v>67</v>
      </c>
      <c r="X227" s="56">
        <v>0</v>
      </c>
      <c r="Y227" s="53">
        <f t="shared" si="27"/>
        <v>0</v>
      </c>
      <c r="Z227" s="39" t="str">
        <f t="shared" si="32"/>
        <v/>
      </c>
      <c r="AA227" s="65"/>
      <c r="AB227" s="66"/>
      <c r="AC227" s="303" t="s">
        <v>373</v>
      </c>
      <c r="AG227" s="75"/>
      <c r="AJ227" s="79"/>
      <c r="AK227" s="79">
        <v>0</v>
      </c>
      <c r="BB227" s="304" t="s">
        <v>1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customHeight="1" x14ac:dyDescent="0.25">
      <c r="A228" s="60" t="s">
        <v>387</v>
      </c>
      <c r="B228" s="60" t="s">
        <v>388</v>
      </c>
      <c r="C228" s="34">
        <v>4301031499</v>
      </c>
      <c r="D228" s="643">
        <v>4680115888432</v>
      </c>
      <c r="E228" s="644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65</v>
      </c>
      <c r="L228" s="35"/>
      <c r="M228" s="36" t="s">
        <v>66</v>
      </c>
      <c r="N228" s="36"/>
      <c r="O228" s="35">
        <v>45</v>
      </c>
      <c r="P228" s="67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0"/>
      <c r="R228" s="640"/>
      <c r="S228" s="640"/>
      <c r="T228" s="641"/>
      <c r="U228" s="37"/>
      <c r="V228" s="37"/>
      <c r="W228" s="38" t="s">
        <v>67</v>
      </c>
      <c r="X228" s="56">
        <v>0</v>
      </c>
      <c r="Y228" s="53">
        <f t="shared" si="27"/>
        <v>0</v>
      </c>
      <c r="Z228" s="39" t="str">
        <f t="shared" si="32"/>
        <v/>
      </c>
      <c r="AA228" s="65"/>
      <c r="AB228" s="66"/>
      <c r="AC228" s="305" t="s">
        <v>389</v>
      </c>
      <c r="AG228" s="75"/>
      <c r="AJ228" s="79"/>
      <c r="AK228" s="79">
        <v>0</v>
      </c>
      <c r="BB228" s="306" t="s">
        <v>1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customHeight="1" x14ac:dyDescent="0.25">
      <c r="A229" s="60" t="s">
        <v>390</v>
      </c>
      <c r="B229" s="60" t="s">
        <v>391</v>
      </c>
      <c r="C229" s="34">
        <v>4301031427</v>
      </c>
      <c r="D229" s="643">
        <v>4680115888104</v>
      </c>
      <c r="E229" s="644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65</v>
      </c>
      <c r="L229" s="35"/>
      <c r="M229" s="36" t="s">
        <v>66</v>
      </c>
      <c r="N229" s="36"/>
      <c r="O229" s="35">
        <v>45</v>
      </c>
      <c r="P229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0"/>
      <c r="R229" s="640"/>
      <c r="S229" s="640"/>
      <c r="T229" s="641"/>
      <c r="U229" s="37"/>
      <c r="V229" s="37"/>
      <c r="W229" s="38" t="s">
        <v>67</v>
      </c>
      <c r="X229" s="56">
        <v>0</v>
      </c>
      <c r="Y229" s="53">
        <f t="shared" si="27"/>
        <v>0</v>
      </c>
      <c r="Z229" s="39" t="str">
        <f t="shared" si="32"/>
        <v/>
      </c>
      <c r="AA229" s="65"/>
      <c r="AB229" s="66"/>
      <c r="AC229" s="307" t="s">
        <v>392</v>
      </c>
      <c r="AG229" s="75"/>
      <c r="AJ229" s="79"/>
      <c r="AK229" s="79">
        <v>0</v>
      </c>
      <c r="BB229" s="308" t="s">
        <v>1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customHeight="1" x14ac:dyDescent="0.25">
      <c r="A230" s="60" t="s">
        <v>393</v>
      </c>
      <c r="B230" s="60" t="s">
        <v>394</v>
      </c>
      <c r="C230" s="34">
        <v>4301031399</v>
      </c>
      <c r="D230" s="643">
        <v>4680115886537</v>
      </c>
      <c r="E230" s="64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65</v>
      </c>
      <c r="L230" s="35"/>
      <c r="M230" s="36" t="s">
        <v>66</v>
      </c>
      <c r="N230" s="36"/>
      <c r="O230" s="35">
        <v>40</v>
      </c>
      <c r="P230" s="9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0"/>
      <c r="R230" s="640"/>
      <c r="S230" s="640"/>
      <c r="T230" s="641"/>
      <c r="U230" s="37"/>
      <c r="V230" s="37"/>
      <c r="W230" s="38" t="s">
        <v>67</v>
      </c>
      <c r="X230" s="56">
        <v>0</v>
      </c>
      <c r="Y230" s="53">
        <f t="shared" si="27"/>
        <v>0</v>
      </c>
      <c r="Z230" s="39" t="str">
        <f t="shared" si="32"/>
        <v/>
      </c>
      <c r="AA230" s="65"/>
      <c r="AB230" s="66"/>
      <c r="AC230" s="309" t="s">
        <v>395</v>
      </c>
      <c r="AG230" s="75"/>
      <c r="AJ230" s="79"/>
      <c r="AK230" s="79">
        <v>0</v>
      </c>
      <c r="BB230" s="310" t="s">
        <v>1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customHeight="1" x14ac:dyDescent="0.25">
      <c r="A231" s="60" t="s">
        <v>396</v>
      </c>
      <c r="B231" s="60" t="s">
        <v>397</v>
      </c>
      <c r="C231" s="34">
        <v>4301031279</v>
      </c>
      <c r="D231" s="643">
        <v>4680115887596</v>
      </c>
      <c r="E231" s="644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119</v>
      </c>
      <c r="L231" s="35"/>
      <c r="M231" s="36" t="s">
        <v>66</v>
      </c>
      <c r="N231" s="36"/>
      <c r="O231" s="35">
        <v>45</v>
      </c>
      <c r="P231" s="100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0"/>
      <c r="R231" s="640"/>
      <c r="S231" s="640"/>
      <c r="T231" s="641"/>
      <c r="U231" s="37"/>
      <c r="V231" s="37"/>
      <c r="W231" s="38" t="s">
        <v>67</v>
      </c>
      <c r="X231" s="56">
        <v>0</v>
      </c>
      <c r="Y231" s="53">
        <f t="shared" si="27"/>
        <v>0</v>
      </c>
      <c r="Z231" s="39" t="str">
        <f>IFERROR(IF(Y231=0,"",ROUNDUP(Y231/H231,0)*0.00417),"")</f>
        <v/>
      </c>
      <c r="AA231" s="65"/>
      <c r="AB231" s="66"/>
      <c r="AC231" s="311" t="s">
        <v>398</v>
      </c>
      <c r="AG231" s="75"/>
      <c r="AJ231" s="79"/>
      <c r="AK231" s="79">
        <v>0</v>
      </c>
      <c r="BB231" s="312" t="s">
        <v>1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37.5" customHeight="1" x14ac:dyDescent="0.25">
      <c r="A232" s="60" t="s">
        <v>399</v>
      </c>
      <c r="B232" s="60" t="s">
        <v>400</v>
      </c>
      <c r="C232" s="34">
        <v>4301031202</v>
      </c>
      <c r="D232" s="643">
        <v>4680115881679</v>
      </c>
      <c r="E232" s="644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65</v>
      </c>
      <c r="L232" s="35"/>
      <c r="M232" s="36" t="s">
        <v>66</v>
      </c>
      <c r="N232" s="36"/>
      <c r="O232" s="35">
        <v>40</v>
      </c>
      <c r="P232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0"/>
      <c r="R232" s="640"/>
      <c r="S232" s="640"/>
      <c r="T232" s="641"/>
      <c r="U232" s="37"/>
      <c r="V232" s="37"/>
      <c r="W232" s="38" t="s">
        <v>67</v>
      </c>
      <c r="X232" s="56">
        <v>0</v>
      </c>
      <c r="Y232" s="53">
        <f t="shared" si="27"/>
        <v>0</v>
      </c>
      <c r="Z232" s="39" t="str">
        <f>IFERROR(IF(Y232=0,"",ROUNDUP(Y232/H232,0)*0.00502),"")</f>
        <v/>
      </c>
      <c r="AA232" s="65"/>
      <c r="AB232" s="66"/>
      <c r="AC232" s="313" t="s">
        <v>376</v>
      </c>
      <c r="AG232" s="75"/>
      <c r="AJ232" s="79"/>
      <c r="AK232" s="79">
        <v>0</v>
      </c>
      <c r="BB232" s="314" t="s">
        <v>1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customHeight="1" x14ac:dyDescent="0.25">
      <c r="A233" s="60" t="s">
        <v>401</v>
      </c>
      <c r="B233" s="60" t="s">
        <v>402</v>
      </c>
      <c r="C233" s="34">
        <v>4301031158</v>
      </c>
      <c r="D233" s="643">
        <v>4680115880191</v>
      </c>
      <c r="E233" s="644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77</v>
      </c>
      <c r="L233" s="35"/>
      <c r="M233" s="36" t="s">
        <v>66</v>
      </c>
      <c r="N233" s="36"/>
      <c r="O233" s="35">
        <v>40</v>
      </c>
      <c r="P233" s="81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0"/>
      <c r="R233" s="640"/>
      <c r="S233" s="640"/>
      <c r="T233" s="641"/>
      <c r="U233" s="37"/>
      <c r="V233" s="37"/>
      <c r="W233" s="38" t="s">
        <v>67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/>
      <c r="AB233" s="66"/>
      <c r="AC233" s="315" t="s">
        <v>376</v>
      </c>
      <c r="AG233" s="75"/>
      <c r="AJ233" s="79"/>
      <c r="AK233" s="79">
        <v>0</v>
      </c>
      <c r="BB233" s="316" t="s">
        <v>1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customHeight="1" x14ac:dyDescent="0.25">
      <c r="A234" s="60" t="s">
        <v>403</v>
      </c>
      <c r="B234" s="60" t="s">
        <v>404</v>
      </c>
      <c r="C234" s="34">
        <v>4301031245</v>
      </c>
      <c r="D234" s="643">
        <v>4680115883963</v>
      </c>
      <c r="E234" s="644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65</v>
      </c>
      <c r="L234" s="35"/>
      <c r="M234" s="36" t="s">
        <v>66</v>
      </c>
      <c r="N234" s="36"/>
      <c r="O234" s="35">
        <v>40</v>
      </c>
      <c r="P234" s="9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0"/>
      <c r="R234" s="640"/>
      <c r="S234" s="640"/>
      <c r="T234" s="641"/>
      <c r="U234" s="37"/>
      <c r="V234" s="37"/>
      <c r="W234" s="38" t="s">
        <v>67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/>
      <c r="AB234" s="66"/>
      <c r="AC234" s="317" t="s">
        <v>405</v>
      </c>
      <c r="AG234" s="75"/>
      <c r="AJ234" s="79"/>
      <c r="AK234" s="79">
        <v>0</v>
      </c>
      <c r="BB234" s="318" t="s">
        <v>1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x14ac:dyDescent="0.2">
      <c r="A235" s="654"/>
      <c r="B235" s="655"/>
      <c r="C235" s="655"/>
      <c r="D235" s="655"/>
      <c r="E235" s="655"/>
      <c r="F235" s="655"/>
      <c r="G235" s="655"/>
      <c r="H235" s="655"/>
      <c r="I235" s="655"/>
      <c r="J235" s="655"/>
      <c r="K235" s="655"/>
      <c r="L235" s="655"/>
      <c r="M235" s="655"/>
      <c r="N235" s="655"/>
      <c r="O235" s="656"/>
      <c r="P235" s="650" t="s">
        <v>72</v>
      </c>
      <c r="Q235" s="647"/>
      <c r="R235" s="647"/>
      <c r="S235" s="647"/>
      <c r="T235" s="647"/>
      <c r="U235" s="647"/>
      <c r="V235" s="648"/>
      <c r="W235" s="40" t="s">
        <v>73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x14ac:dyDescent="0.2">
      <c r="A236" s="655"/>
      <c r="B236" s="655"/>
      <c r="C236" s="655"/>
      <c r="D236" s="655"/>
      <c r="E236" s="655"/>
      <c r="F236" s="655"/>
      <c r="G236" s="655"/>
      <c r="H236" s="655"/>
      <c r="I236" s="655"/>
      <c r="J236" s="655"/>
      <c r="K236" s="655"/>
      <c r="L236" s="655"/>
      <c r="M236" s="655"/>
      <c r="N236" s="655"/>
      <c r="O236" s="656"/>
      <c r="P236" s="650" t="s">
        <v>72</v>
      </c>
      <c r="Q236" s="647"/>
      <c r="R236" s="647"/>
      <c r="S236" s="647"/>
      <c r="T236" s="647"/>
      <c r="U236" s="647"/>
      <c r="V236" s="648"/>
      <c r="W236" s="40" t="s">
        <v>67</v>
      </c>
      <c r="X236" s="41">
        <f>IFERROR(SUM(X221:X234),"0")</f>
        <v>0</v>
      </c>
      <c r="Y236" s="41">
        <f>IFERROR(SUM(Y221:Y234),"0")</f>
        <v>0</v>
      </c>
      <c r="Z236" s="40"/>
      <c r="AA236" s="64"/>
      <c r="AB236" s="64"/>
      <c r="AC236" s="64"/>
    </row>
    <row r="237" spans="1:68" ht="14.25" customHeight="1" x14ac:dyDescent="0.25">
      <c r="A237" s="658" t="s">
        <v>74</v>
      </c>
      <c r="B237" s="655"/>
      <c r="C237" s="655"/>
      <c r="D237" s="655"/>
      <c r="E237" s="655"/>
      <c r="F237" s="655"/>
      <c r="G237" s="655"/>
      <c r="H237" s="655"/>
      <c r="I237" s="655"/>
      <c r="J237" s="655"/>
      <c r="K237" s="655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  <c r="AA237" s="63"/>
      <c r="AB237" s="63"/>
      <c r="AC237" s="63"/>
    </row>
    <row r="238" spans="1:68" ht="16.5" customHeight="1" x14ac:dyDescent="0.25">
      <c r="A238" s="60" t="s">
        <v>406</v>
      </c>
      <c r="B238" s="60" t="s">
        <v>407</v>
      </c>
      <c r="C238" s="34">
        <v>4301052209</v>
      </c>
      <c r="D238" s="643">
        <v>4680115888692</v>
      </c>
      <c r="E238" s="644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114</v>
      </c>
      <c r="L238" s="35"/>
      <c r="M238" s="36" t="s">
        <v>84</v>
      </c>
      <c r="N238" s="36"/>
      <c r="O238" s="35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0"/>
      <c r="R238" s="640"/>
      <c r="S238" s="640"/>
      <c r="T238" s="641"/>
      <c r="U238" s="37"/>
      <c r="V238" s="37"/>
      <c r="W238" s="38" t="s">
        <v>67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/>
      <c r="AB238" s="66"/>
      <c r="AC238" s="319" t="s">
        <v>408</v>
      </c>
      <c r="AG238" s="75"/>
      <c r="AJ238" s="79"/>
      <c r="AK238" s="79">
        <v>0</v>
      </c>
      <c r="BB238" s="320" t="s">
        <v>1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customHeight="1" x14ac:dyDescent="0.25">
      <c r="A239" s="60" t="s">
        <v>409</v>
      </c>
      <c r="B239" s="60" t="s">
        <v>410</v>
      </c>
      <c r="C239" s="34">
        <v>4301052213</v>
      </c>
      <c r="D239" s="643">
        <v>4680115888722</v>
      </c>
      <c r="E239" s="644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114</v>
      </c>
      <c r="L239" s="35"/>
      <c r="M239" s="36" t="s">
        <v>84</v>
      </c>
      <c r="N239" s="36"/>
      <c r="O239" s="35">
        <v>35</v>
      </c>
      <c r="P239" s="87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0"/>
      <c r="R239" s="640"/>
      <c r="S239" s="640"/>
      <c r="T239" s="641"/>
      <c r="U239" s="37"/>
      <c r="V239" s="37"/>
      <c r="W239" s="38" t="s">
        <v>67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/>
      <c r="AB239" s="66"/>
      <c r="AC239" s="321" t="s">
        <v>411</v>
      </c>
      <c r="AG239" s="75"/>
      <c r="AJ239" s="79"/>
      <c r="AK239" s="79">
        <v>0</v>
      </c>
      <c r="BB239" s="322" t="s">
        <v>1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customHeight="1" x14ac:dyDescent="0.25">
      <c r="A240" s="60" t="s">
        <v>412</v>
      </c>
      <c r="B240" s="60" t="s">
        <v>413</v>
      </c>
      <c r="C240" s="34">
        <v>4301052177</v>
      </c>
      <c r="D240" s="643">
        <v>4680115888951</v>
      </c>
      <c r="E240" s="64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123</v>
      </c>
      <c r="L240" s="35"/>
      <c r="M240" s="36" t="s">
        <v>84</v>
      </c>
      <c r="N240" s="36"/>
      <c r="O240" s="35">
        <v>35</v>
      </c>
      <c r="P240" s="9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0"/>
      <c r="R240" s="640"/>
      <c r="S240" s="640"/>
      <c r="T240" s="641"/>
      <c r="U240" s="37"/>
      <c r="V240" s="37"/>
      <c r="W240" s="38" t="s">
        <v>67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/>
      <c r="AB240" s="66"/>
      <c r="AC240" s="323" t="s">
        <v>414</v>
      </c>
      <c r="AG240" s="75"/>
      <c r="AJ240" s="79"/>
      <c r="AK240" s="79">
        <v>0</v>
      </c>
      <c r="BB240" s="324" t="s">
        <v>1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customHeight="1" x14ac:dyDescent="0.25">
      <c r="A241" s="60" t="s">
        <v>415</v>
      </c>
      <c r="B241" s="60" t="s">
        <v>416</v>
      </c>
      <c r="C241" s="34">
        <v>4301052178</v>
      </c>
      <c r="D241" s="643">
        <v>4680115888975</v>
      </c>
      <c r="E241" s="644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123</v>
      </c>
      <c r="L241" s="35"/>
      <c r="M241" s="36" t="s">
        <v>84</v>
      </c>
      <c r="N241" s="36"/>
      <c r="O241" s="35">
        <v>35</v>
      </c>
      <c r="P241" s="74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0"/>
      <c r="R241" s="640"/>
      <c r="S241" s="640"/>
      <c r="T241" s="641"/>
      <c r="U241" s="37"/>
      <c r="V241" s="37"/>
      <c r="W241" s="38" t="s">
        <v>67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/>
      <c r="AB241" s="66"/>
      <c r="AC241" s="325" t="s">
        <v>417</v>
      </c>
      <c r="AG241" s="75"/>
      <c r="AJ241" s="79"/>
      <c r="AK241" s="79">
        <v>0</v>
      </c>
      <c r="BB241" s="32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418</v>
      </c>
      <c r="B242" s="60" t="s">
        <v>419</v>
      </c>
      <c r="C242" s="34">
        <v>4301052176</v>
      </c>
      <c r="D242" s="643">
        <v>4680115888982</v>
      </c>
      <c r="E242" s="64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123</v>
      </c>
      <c r="L242" s="35"/>
      <c r="M242" s="36" t="s">
        <v>84</v>
      </c>
      <c r="N242" s="36"/>
      <c r="O242" s="35">
        <v>35</v>
      </c>
      <c r="P242" s="99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0"/>
      <c r="R242" s="640"/>
      <c r="S242" s="640"/>
      <c r="T242" s="641"/>
      <c r="U242" s="37"/>
      <c r="V242" s="37"/>
      <c r="W242" s="38" t="s">
        <v>67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/>
      <c r="AB242" s="66"/>
      <c r="AC242" s="327" t="s">
        <v>411</v>
      </c>
      <c r="AG242" s="75"/>
      <c r="AJ242" s="79"/>
      <c r="AK242" s="79">
        <v>0</v>
      </c>
      <c r="BB242" s="32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54"/>
      <c r="B243" s="655"/>
      <c r="C243" s="655"/>
      <c r="D243" s="655"/>
      <c r="E243" s="655"/>
      <c r="F243" s="655"/>
      <c r="G243" s="655"/>
      <c r="H243" s="655"/>
      <c r="I243" s="655"/>
      <c r="J243" s="655"/>
      <c r="K243" s="655"/>
      <c r="L243" s="655"/>
      <c r="M243" s="655"/>
      <c r="N243" s="655"/>
      <c r="O243" s="656"/>
      <c r="P243" s="650" t="s">
        <v>72</v>
      </c>
      <c r="Q243" s="647"/>
      <c r="R243" s="647"/>
      <c r="S243" s="647"/>
      <c r="T243" s="647"/>
      <c r="U243" s="647"/>
      <c r="V243" s="648"/>
      <c r="W243" s="40" t="s">
        <v>73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x14ac:dyDescent="0.2">
      <c r="A244" s="655"/>
      <c r="B244" s="655"/>
      <c r="C244" s="655"/>
      <c r="D244" s="655"/>
      <c r="E244" s="655"/>
      <c r="F244" s="655"/>
      <c r="G244" s="655"/>
      <c r="H244" s="655"/>
      <c r="I244" s="655"/>
      <c r="J244" s="655"/>
      <c r="K244" s="655"/>
      <c r="L244" s="655"/>
      <c r="M244" s="655"/>
      <c r="N244" s="655"/>
      <c r="O244" s="656"/>
      <c r="P244" s="650" t="s">
        <v>72</v>
      </c>
      <c r="Q244" s="647"/>
      <c r="R244" s="647"/>
      <c r="S244" s="647"/>
      <c r="T244" s="647"/>
      <c r="U244" s="647"/>
      <c r="V244" s="648"/>
      <c r="W244" s="40" t="s">
        <v>67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customHeight="1" x14ac:dyDescent="0.25">
      <c r="A245" s="658" t="s">
        <v>272</v>
      </c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  <c r="AA245" s="63"/>
      <c r="AB245" s="63"/>
      <c r="AC245" s="63"/>
    </row>
    <row r="246" spans="1:68" ht="27" customHeight="1" x14ac:dyDescent="0.25">
      <c r="A246" s="60" t="s">
        <v>420</v>
      </c>
      <c r="B246" s="60" t="s">
        <v>421</v>
      </c>
      <c r="C246" s="34">
        <v>4301032053</v>
      </c>
      <c r="D246" s="643">
        <v>4680115886780</v>
      </c>
      <c r="E246" s="64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333</v>
      </c>
      <c r="L246" s="35"/>
      <c r="M246" s="36" t="s">
        <v>276</v>
      </c>
      <c r="N246" s="36"/>
      <c r="O246" s="35">
        <v>60</v>
      </c>
      <c r="P246" s="8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0"/>
      <c r="R246" s="640"/>
      <c r="S246" s="640"/>
      <c r="T246" s="641"/>
      <c r="U246" s="37"/>
      <c r="V246" s="37"/>
      <c r="W246" s="38" t="s">
        <v>67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/>
      <c r="AB246" s="66"/>
      <c r="AC246" s="329" t="s">
        <v>422</v>
      </c>
      <c r="AG246" s="75"/>
      <c r="AJ246" s="79"/>
      <c r="AK246" s="79">
        <v>0</v>
      </c>
      <c r="BB246" s="33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customHeight="1" x14ac:dyDescent="0.25">
      <c r="A247" s="60" t="s">
        <v>423</v>
      </c>
      <c r="B247" s="60" t="s">
        <v>424</v>
      </c>
      <c r="C247" s="34">
        <v>4301032051</v>
      </c>
      <c r="D247" s="643">
        <v>4680115886742</v>
      </c>
      <c r="E247" s="64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333</v>
      </c>
      <c r="L247" s="35"/>
      <c r="M247" s="36" t="s">
        <v>276</v>
      </c>
      <c r="N247" s="36"/>
      <c r="O247" s="35">
        <v>90</v>
      </c>
      <c r="P247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0"/>
      <c r="R247" s="640"/>
      <c r="S247" s="640"/>
      <c r="T247" s="641"/>
      <c r="U247" s="37"/>
      <c r="V247" s="37"/>
      <c r="W247" s="38" t="s">
        <v>67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/>
      <c r="AB247" s="66"/>
      <c r="AC247" s="331" t="s">
        <v>425</v>
      </c>
      <c r="AG247" s="75"/>
      <c r="AJ247" s="79"/>
      <c r="AK247" s="79">
        <v>0</v>
      </c>
      <c r="BB247" s="33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customHeight="1" x14ac:dyDescent="0.25">
      <c r="A248" s="60" t="s">
        <v>426</v>
      </c>
      <c r="B248" s="60" t="s">
        <v>427</v>
      </c>
      <c r="C248" s="34">
        <v>4301032052</v>
      </c>
      <c r="D248" s="643">
        <v>4680115886766</v>
      </c>
      <c r="E248" s="64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333</v>
      </c>
      <c r="L248" s="35"/>
      <c r="M248" s="36" t="s">
        <v>276</v>
      </c>
      <c r="N248" s="36"/>
      <c r="O248" s="35">
        <v>90</v>
      </c>
      <c r="P248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0"/>
      <c r="R248" s="640"/>
      <c r="S248" s="640"/>
      <c r="T248" s="641"/>
      <c r="U248" s="37"/>
      <c r="V248" s="37"/>
      <c r="W248" s="38" t="s">
        <v>67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/>
      <c r="AB248" s="66"/>
      <c r="AC248" s="333" t="s">
        <v>425</v>
      </c>
      <c r="AG248" s="75"/>
      <c r="AJ248" s="79"/>
      <c r="AK248" s="79">
        <v>0</v>
      </c>
      <c r="BB248" s="334" t="s">
        <v>1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x14ac:dyDescent="0.2">
      <c r="A249" s="654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6"/>
      <c r="P249" s="650" t="s">
        <v>72</v>
      </c>
      <c r="Q249" s="647"/>
      <c r="R249" s="647"/>
      <c r="S249" s="647"/>
      <c r="T249" s="647"/>
      <c r="U249" s="647"/>
      <c r="V249" s="648"/>
      <c r="W249" s="40" t="s">
        <v>73</v>
      </c>
      <c r="X249" s="41">
        <f>IFERROR(X246/H246,"0")+IFERROR(X247/H247,"0")+IFERROR(X248/H248,"0")</f>
        <v>0</v>
      </c>
      <c r="Y249" s="41">
        <f>IFERROR(Y246/H246,"0")+IFERROR(Y247/H247,"0")+IFERROR(Y248/H248,"0")</f>
        <v>0</v>
      </c>
      <c r="Z249" s="41">
        <f>IFERROR(IF(Z246="",0,Z246),"0")+IFERROR(IF(Z247="",0,Z247),"0")+IFERROR(IF(Z248="",0,Z248),"0")</f>
        <v>0</v>
      </c>
      <c r="AA249" s="64"/>
      <c r="AB249" s="64"/>
      <c r="AC249" s="64"/>
    </row>
    <row r="250" spans="1:68" x14ac:dyDescent="0.2">
      <c r="A250" s="655"/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6"/>
      <c r="P250" s="650" t="s">
        <v>72</v>
      </c>
      <c r="Q250" s="647"/>
      <c r="R250" s="647"/>
      <c r="S250" s="647"/>
      <c r="T250" s="647"/>
      <c r="U250" s="647"/>
      <c r="V250" s="648"/>
      <c r="W250" s="40" t="s">
        <v>67</v>
      </c>
      <c r="X250" s="41">
        <f>IFERROR(SUM(X246:X248),"0")</f>
        <v>0</v>
      </c>
      <c r="Y250" s="41">
        <f>IFERROR(SUM(Y246:Y248),"0")</f>
        <v>0</v>
      </c>
      <c r="Z250" s="40"/>
      <c r="AA250" s="64"/>
      <c r="AB250" s="64"/>
      <c r="AC250" s="64"/>
    </row>
    <row r="251" spans="1:68" ht="14.25" customHeight="1" x14ac:dyDescent="0.25">
      <c r="A251" s="658" t="s">
        <v>428</v>
      </c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5"/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  <c r="AA251" s="63"/>
      <c r="AB251" s="63"/>
      <c r="AC251" s="63"/>
    </row>
    <row r="252" spans="1:68" ht="27" customHeight="1" x14ac:dyDescent="0.25">
      <c r="A252" s="60" t="s">
        <v>429</v>
      </c>
      <c r="B252" s="60" t="s">
        <v>430</v>
      </c>
      <c r="C252" s="34">
        <v>4301170013</v>
      </c>
      <c r="D252" s="643">
        <v>4680115886797</v>
      </c>
      <c r="E252" s="644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333</v>
      </c>
      <c r="L252" s="35"/>
      <c r="M252" s="36" t="s">
        <v>276</v>
      </c>
      <c r="N252" s="36"/>
      <c r="O252" s="35">
        <v>90</v>
      </c>
      <c r="P252" s="9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0"/>
      <c r="R252" s="640"/>
      <c r="S252" s="640"/>
      <c r="T252" s="641"/>
      <c r="U252" s="37"/>
      <c r="V252" s="37"/>
      <c r="W252" s="38" t="s">
        <v>67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/>
      <c r="AB252" s="66"/>
      <c r="AC252" s="335" t="s">
        <v>425</v>
      </c>
      <c r="AG252" s="75"/>
      <c r="AJ252" s="79"/>
      <c r="AK252" s="79">
        <v>0</v>
      </c>
      <c r="BB252" s="336" t="s">
        <v>1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x14ac:dyDescent="0.2">
      <c r="A253" s="654"/>
      <c r="B253" s="655"/>
      <c r="C253" s="655"/>
      <c r="D253" s="655"/>
      <c r="E253" s="655"/>
      <c r="F253" s="655"/>
      <c r="G253" s="655"/>
      <c r="H253" s="655"/>
      <c r="I253" s="655"/>
      <c r="J253" s="655"/>
      <c r="K253" s="655"/>
      <c r="L253" s="655"/>
      <c r="M253" s="655"/>
      <c r="N253" s="655"/>
      <c r="O253" s="656"/>
      <c r="P253" s="650" t="s">
        <v>72</v>
      </c>
      <c r="Q253" s="647"/>
      <c r="R253" s="647"/>
      <c r="S253" s="647"/>
      <c r="T253" s="647"/>
      <c r="U253" s="647"/>
      <c r="V253" s="648"/>
      <c r="W253" s="40" t="s">
        <v>73</v>
      </c>
      <c r="X253" s="41">
        <f>IFERROR(X252/H252,"0")</f>
        <v>0</v>
      </c>
      <c r="Y253" s="41">
        <f>IFERROR(Y252/H252,"0")</f>
        <v>0</v>
      </c>
      <c r="Z253" s="41">
        <f>IFERROR(IF(Z252="",0,Z252),"0")</f>
        <v>0</v>
      </c>
      <c r="AA253" s="64"/>
      <c r="AB253" s="64"/>
      <c r="AC253" s="64"/>
    </row>
    <row r="254" spans="1:68" x14ac:dyDescent="0.2">
      <c r="A254" s="655"/>
      <c r="B254" s="655"/>
      <c r="C254" s="655"/>
      <c r="D254" s="655"/>
      <c r="E254" s="655"/>
      <c r="F254" s="655"/>
      <c r="G254" s="655"/>
      <c r="H254" s="655"/>
      <c r="I254" s="655"/>
      <c r="J254" s="655"/>
      <c r="K254" s="655"/>
      <c r="L254" s="655"/>
      <c r="M254" s="655"/>
      <c r="N254" s="655"/>
      <c r="O254" s="656"/>
      <c r="P254" s="650" t="s">
        <v>72</v>
      </c>
      <c r="Q254" s="647"/>
      <c r="R254" s="647"/>
      <c r="S254" s="647"/>
      <c r="T254" s="647"/>
      <c r="U254" s="647"/>
      <c r="V254" s="648"/>
      <c r="W254" s="40" t="s">
        <v>67</v>
      </c>
      <c r="X254" s="41">
        <f>IFERROR(SUM(X252:X252),"0")</f>
        <v>0</v>
      </c>
      <c r="Y254" s="41">
        <f>IFERROR(SUM(Y252:Y252),"0")</f>
        <v>0</v>
      </c>
      <c r="Z254" s="40"/>
      <c r="AA254" s="64"/>
      <c r="AB254" s="64"/>
      <c r="AC254" s="64"/>
    </row>
    <row r="255" spans="1:68" ht="16.5" customHeight="1" x14ac:dyDescent="0.25">
      <c r="A255" s="657" t="s">
        <v>431</v>
      </c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  <c r="AA255" s="62"/>
      <c r="AB255" s="62"/>
      <c r="AC255" s="62"/>
    </row>
    <row r="256" spans="1:68" ht="14.25" customHeight="1" x14ac:dyDescent="0.25">
      <c r="A256" s="658" t="s">
        <v>111</v>
      </c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  <c r="AA256" s="63"/>
      <c r="AB256" s="63"/>
      <c r="AC256" s="63"/>
    </row>
    <row r="257" spans="1:68" ht="27" customHeight="1" x14ac:dyDescent="0.25">
      <c r="A257" s="60" t="s">
        <v>432</v>
      </c>
      <c r="B257" s="60" t="s">
        <v>433</v>
      </c>
      <c r="C257" s="34">
        <v>4301011450</v>
      </c>
      <c r="D257" s="643">
        <v>4680115881402</v>
      </c>
      <c r="E257" s="644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114</v>
      </c>
      <c r="L257" s="35"/>
      <c r="M257" s="36" t="s">
        <v>115</v>
      </c>
      <c r="N257" s="36"/>
      <c r="O257" s="35">
        <v>55</v>
      </c>
      <c r="P257" s="78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0"/>
      <c r="R257" s="640"/>
      <c r="S257" s="640"/>
      <c r="T257" s="641"/>
      <c r="U257" s="37"/>
      <c r="V257" s="37"/>
      <c r="W257" s="38" t="s">
        <v>67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/>
      <c r="AB257" s="66"/>
      <c r="AC257" s="337" t="s">
        <v>434</v>
      </c>
      <c r="AG257" s="75"/>
      <c r="AJ257" s="79"/>
      <c r="AK257" s="79">
        <v>0</v>
      </c>
      <c r="BB257" s="338" t="s">
        <v>1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customHeight="1" x14ac:dyDescent="0.25">
      <c r="A258" s="60" t="s">
        <v>435</v>
      </c>
      <c r="B258" s="60" t="s">
        <v>436</v>
      </c>
      <c r="C258" s="34">
        <v>4301011768</v>
      </c>
      <c r="D258" s="643">
        <v>4680115881396</v>
      </c>
      <c r="E258" s="644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77</v>
      </c>
      <c r="L258" s="35"/>
      <c r="M258" s="36" t="s">
        <v>115</v>
      </c>
      <c r="N258" s="36"/>
      <c r="O258" s="35">
        <v>55</v>
      </c>
      <c r="P258" s="9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0"/>
      <c r="R258" s="640"/>
      <c r="S258" s="640"/>
      <c r="T258" s="641"/>
      <c r="U258" s="37"/>
      <c r="V258" s="37"/>
      <c r="W258" s="38" t="s">
        <v>67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/>
      <c r="AB258" s="66"/>
      <c r="AC258" s="339" t="s">
        <v>434</v>
      </c>
      <c r="AG258" s="75"/>
      <c r="AJ258" s="79"/>
      <c r="AK258" s="79">
        <v>0</v>
      </c>
      <c r="BB258" s="340" t="s">
        <v>1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x14ac:dyDescent="0.2">
      <c r="A259" s="654"/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6"/>
      <c r="P259" s="650" t="s">
        <v>72</v>
      </c>
      <c r="Q259" s="647"/>
      <c r="R259" s="647"/>
      <c r="S259" s="647"/>
      <c r="T259" s="647"/>
      <c r="U259" s="647"/>
      <c r="V259" s="648"/>
      <c r="W259" s="40" t="s">
        <v>73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x14ac:dyDescent="0.2">
      <c r="A260" s="655"/>
      <c r="B260" s="655"/>
      <c r="C260" s="655"/>
      <c r="D260" s="655"/>
      <c r="E260" s="655"/>
      <c r="F260" s="655"/>
      <c r="G260" s="655"/>
      <c r="H260" s="655"/>
      <c r="I260" s="655"/>
      <c r="J260" s="655"/>
      <c r="K260" s="655"/>
      <c r="L260" s="655"/>
      <c r="M260" s="655"/>
      <c r="N260" s="655"/>
      <c r="O260" s="656"/>
      <c r="P260" s="650" t="s">
        <v>72</v>
      </c>
      <c r="Q260" s="647"/>
      <c r="R260" s="647"/>
      <c r="S260" s="647"/>
      <c r="T260" s="647"/>
      <c r="U260" s="647"/>
      <c r="V260" s="648"/>
      <c r="W260" s="40" t="s">
        <v>67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customHeight="1" x14ac:dyDescent="0.25">
      <c r="A261" s="658" t="s">
        <v>147</v>
      </c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  <c r="AA261" s="63"/>
      <c r="AB261" s="63"/>
      <c r="AC261" s="63"/>
    </row>
    <row r="262" spans="1:68" ht="16.5" customHeight="1" x14ac:dyDescent="0.25">
      <c r="A262" s="60" t="s">
        <v>437</v>
      </c>
      <c r="B262" s="60" t="s">
        <v>438</v>
      </c>
      <c r="C262" s="34">
        <v>4301020261</v>
      </c>
      <c r="D262" s="643">
        <v>4680115882935</v>
      </c>
      <c r="E262" s="644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114</v>
      </c>
      <c r="L262" s="35"/>
      <c r="M262" s="36" t="s">
        <v>115</v>
      </c>
      <c r="N262" s="36"/>
      <c r="O262" s="35">
        <v>50</v>
      </c>
      <c r="P262" s="69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0"/>
      <c r="R262" s="640"/>
      <c r="S262" s="640"/>
      <c r="T262" s="641"/>
      <c r="U262" s="37"/>
      <c r="V262" s="37"/>
      <c r="W262" s="38" t="s">
        <v>67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41" t="s">
        <v>439</v>
      </c>
      <c r="AG262" s="75"/>
      <c r="AJ262" s="79"/>
      <c r="AK262" s="79">
        <v>0</v>
      </c>
      <c r="BB262" s="342" t="s">
        <v>1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customHeight="1" x14ac:dyDescent="0.25">
      <c r="A263" s="60" t="s">
        <v>440</v>
      </c>
      <c r="B263" s="60" t="s">
        <v>441</v>
      </c>
      <c r="C263" s="34">
        <v>4301020220</v>
      </c>
      <c r="D263" s="643">
        <v>4680115880764</v>
      </c>
      <c r="E263" s="644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77</v>
      </c>
      <c r="L263" s="35"/>
      <c r="M263" s="36" t="s">
        <v>115</v>
      </c>
      <c r="N263" s="36"/>
      <c r="O263" s="35">
        <v>50</v>
      </c>
      <c r="P263" s="67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0"/>
      <c r="R263" s="640"/>
      <c r="S263" s="640"/>
      <c r="T263" s="641"/>
      <c r="U263" s="37"/>
      <c r="V263" s="37"/>
      <c r="W263" s="38" t="s">
        <v>67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/>
      <c r="AB263" s="66"/>
      <c r="AC263" s="343" t="s">
        <v>439</v>
      </c>
      <c r="AG263" s="75"/>
      <c r="AJ263" s="79"/>
      <c r="AK263" s="79">
        <v>0</v>
      </c>
      <c r="BB263" s="344" t="s">
        <v>1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x14ac:dyDescent="0.2">
      <c r="A264" s="654"/>
      <c r="B264" s="655"/>
      <c r="C264" s="655"/>
      <c r="D264" s="655"/>
      <c r="E264" s="655"/>
      <c r="F264" s="655"/>
      <c r="G264" s="655"/>
      <c r="H264" s="655"/>
      <c r="I264" s="655"/>
      <c r="J264" s="655"/>
      <c r="K264" s="655"/>
      <c r="L264" s="655"/>
      <c r="M264" s="655"/>
      <c r="N264" s="655"/>
      <c r="O264" s="656"/>
      <c r="P264" s="650" t="s">
        <v>72</v>
      </c>
      <c r="Q264" s="647"/>
      <c r="R264" s="647"/>
      <c r="S264" s="647"/>
      <c r="T264" s="647"/>
      <c r="U264" s="647"/>
      <c r="V264" s="648"/>
      <c r="W264" s="40" t="s">
        <v>73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x14ac:dyDescent="0.2">
      <c r="A265" s="655"/>
      <c r="B265" s="655"/>
      <c r="C265" s="655"/>
      <c r="D265" s="655"/>
      <c r="E265" s="655"/>
      <c r="F265" s="655"/>
      <c r="G265" s="655"/>
      <c r="H265" s="655"/>
      <c r="I265" s="655"/>
      <c r="J265" s="655"/>
      <c r="K265" s="655"/>
      <c r="L265" s="655"/>
      <c r="M265" s="655"/>
      <c r="N265" s="655"/>
      <c r="O265" s="656"/>
      <c r="P265" s="650" t="s">
        <v>72</v>
      </c>
      <c r="Q265" s="647"/>
      <c r="R265" s="647"/>
      <c r="S265" s="647"/>
      <c r="T265" s="647"/>
      <c r="U265" s="647"/>
      <c r="V265" s="648"/>
      <c r="W265" s="40" t="s">
        <v>67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customHeight="1" x14ac:dyDescent="0.25">
      <c r="A266" s="658" t="s">
        <v>62</v>
      </c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  <c r="AA266" s="63"/>
      <c r="AB266" s="63"/>
      <c r="AC266" s="63"/>
    </row>
    <row r="267" spans="1:68" ht="27" customHeight="1" x14ac:dyDescent="0.25">
      <c r="A267" s="60" t="s">
        <v>442</v>
      </c>
      <c r="B267" s="60" t="s">
        <v>443</v>
      </c>
      <c r="C267" s="34">
        <v>4301031224</v>
      </c>
      <c r="D267" s="643">
        <v>4680115882683</v>
      </c>
      <c r="E267" s="64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123</v>
      </c>
      <c r="L267" s="35"/>
      <c r="M267" s="36" t="s">
        <v>66</v>
      </c>
      <c r="N267" s="36"/>
      <c r="O267" s="35">
        <v>40</v>
      </c>
      <c r="P267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0"/>
      <c r="R267" s="640"/>
      <c r="S267" s="640"/>
      <c r="T267" s="641"/>
      <c r="U267" s="37"/>
      <c r="V267" s="37"/>
      <c r="W267" s="38" t="s">
        <v>67</v>
      </c>
      <c r="X267" s="56">
        <v>0</v>
      </c>
      <c r="Y267" s="53">
        <f t="shared" ref="Y267:Y274" si="33">IFERROR(IF(X267="",0,CEILING((X267/$H267),1)*$H267),"")</f>
        <v>0</v>
      </c>
      <c r="Z267" s="39" t="str">
        <f>IFERROR(IF(Y267=0,"",ROUNDUP(Y267/H267,0)*0.00902),"")</f>
        <v/>
      </c>
      <c r="AA267" s="65"/>
      <c r="AB267" s="66"/>
      <c r="AC267" s="345" t="s">
        <v>444</v>
      </c>
      <c r="AG267" s="75"/>
      <c r="AJ267" s="79"/>
      <c r="AK267" s="79">
        <v>0</v>
      </c>
      <c r="BB267" s="346" t="s">
        <v>1</v>
      </c>
      <c r="BM267" s="75">
        <f t="shared" ref="BM267:BM274" si="34">IFERROR(X267*I267/H267,"0")</f>
        <v>0</v>
      </c>
      <c r="BN267" s="75">
        <f t="shared" ref="BN267:BN274" si="35">IFERROR(Y267*I267/H267,"0")</f>
        <v>0</v>
      </c>
      <c r="BO267" s="75">
        <f t="shared" ref="BO267:BO274" si="36">IFERROR(1/J267*(X267/H267),"0")</f>
        <v>0</v>
      </c>
      <c r="BP267" s="75">
        <f t="shared" ref="BP267:BP274" si="37">IFERROR(1/J267*(Y267/H267),"0")</f>
        <v>0</v>
      </c>
    </row>
    <row r="268" spans="1:68" ht="27" customHeight="1" x14ac:dyDescent="0.25">
      <c r="A268" s="60" t="s">
        <v>445</v>
      </c>
      <c r="B268" s="60" t="s">
        <v>446</v>
      </c>
      <c r="C268" s="34">
        <v>4301031230</v>
      </c>
      <c r="D268" s="643">
        <v>4680115882690</v>
      </c>
      <c r="E268" s="64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123</v>
      </c>
      <c r="L268" s="35"/>
      <c r="M268" s="36" t="s">
        <v>66</v>
      </c>
      <c r="N268" s="36"/>
      <c r="O268" s="35">
        <v>40</v>
      </c>
      <c r="P268" s="9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0"/>
      <c r="R268" s="640"/>
      <c r="S268" s="640"/>
      <c r="T268" s="641"/>
      <c r="U268" s="37"/>
      <c r="V268" s="37"/>
      <c r="W268" s="38" t="s">
        <v>67</v>
      </c>
      <c r="X268" s="56">
        <v>0</v>
      </c>
      <c r="Y268" s="53">
        <f t="shared" si="33"/>
        <v>0</v>
      </c>
      <c r="Z268" s="39" t="str">
        <f>IFERROR(IF(Y268=0,"",ROUNDUP(Y268/H268,0)*0.00902),"")</f>
        <v/>
      </c>
      <c r="AA268" s="65"/>
      <c r="AB268" s="66"/>
      <c r="AC268" s="347" t="s">
        <v>447</v>
      </c>
      <c r="AG268" s="75"/>
      <c r="AJ268" s="79"/>
      <c r="AK268" s="79">
        <v>0</v>
      </c>
      <c r="BB268" s="348" t="s">
        <v>1</v>
      </c>
      <c r="BM268" s="75">
        <f t="shared" si="34"/>
        <v>0</v>
      </c>
      <c r="BN268" s="75">
        <f t="shared" si="35"/>
        <v>0</v>
      </c>
      <c r="BO268" s="75">
        <f t="shared" si="36"/>
        <v>0</v>
      </c>
      <c r="BP268" s="75">
        <f t="shared" si="37"/>
        <v>0</v>
      </c>
    </row>
    <row r="269" spans="1:68" ht="27" customHeight="1" x14ac:dyDescent="0.25">
      <c r="A269" s="60" t="s">
        <v>448</v>
      </c>
      <c r="B269" s="60" t="s">
        <v>449</v>
      </c>
      <c r="C269" s="34">
        <v>4301031220</v>
      </c>
      <c r="D269" s="643">
        <v>4680115882669</v>
      </c>
      <c r="E269" s="64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123</v>
      </c>
      <c r="L269" s="35"/>
      <c r="M269" s="36" t="s">
        <v>66</v>
      </c>
      <c r="N269" s="36"/>
      <c r="O269" s="35">
        <v>40</v>
      </c>
      <c r="P269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0"/>
      <c r="R269" s="640"/>
      <c r="S269" s="640"/>
      <c r="T269" s="641"/>
      <c r="U269" s="37"/>
      <c r="V269" s="37"/>
      <c r="W269" s="38" t="s">
        <v>67</v>
      </c>
      <c r="X269" s="56">
        <v>0</v>
      </c>
      <c r="Y269" s="53">
        <f t="shared" si="33"/>
        <v>0</v>
      </c>
      <c r="Z269" s="39" t="str">
        <f>IFERROR(IF(Y269=0,"",ROUNDUP(Y269/H269,0)*0.00902),"")</f>
        <v/>
      </c>
      <c r="AA269" s="65"/>
      <c r="AB269" s="66"/>
      <c r="AC269" s="349" t="s">
        <v>450</v>
      </c>
      <c r="AG269" s="75"/>
      <c r="AJ269" s="79"/>
      <c r="AK269" s="79">
        <v>0</v>
      </c>
      <c r="BB269" s="350" t="s">
        <v>1</v>
      </c>
      <c r="BM269" s="75">
        <f t="shared" si="34"/>
        <v>0</v>
      </c>
      <c r="BN269" s="75">
        <f t="shared" si="35"/>
        <v>0</v>
      </c>
      <c r="BO269" s="75">
        <f t="shared" si="36"/>
        <v>0</v>
      </c>
      <c r="BP269" s="75">
        <f t="shared" si="37"/>
        <v>0</v>
      </c>
    </row>
    <row r="270" spans="1:68" ht="27" customHeight="1" x14ac:dyDescent="0.25">
      <c r="A270" s="60" t="s">
        <v>451</v>
      </c>
      <c r="B270" s="60" t="s">
        <v>452</v>
      </c>
      <c r="C270" s="34">
        <v>4301031221</v>
      </c>
      <c r="D270" s="643">
        <v>4680115882676</v>
      </c>
      <c r="E270" s="64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123</v>
      </c>
      <c r="L270" s="35"/>
      <c r="M270" s="36" t="s">
        <v>66</v>
      </c>
      <c r="N270" s="36"/>
      <c r="O270" s="35">
        <v>40</v>
      </c>
      <c r="P270" s="72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0"/>
      <c r="R270" s="640"/>
      <c r="S270" s="640"/>
      <c r="T270" s="641"/>
      <c r="U270" s="37"/>
      <c r="V270" s="37"/>
      <c r="W270" s="38" t="s">
        <v>67</v>
      </c>
      <c r="X270" s="56">
        <v>0</v>
      </c>
      <c r="Y270" s="53">
        <f t="shared" si="33"/>
        <v>0</v>
      </c>
      <c r="Z270" s="39" t="str">
        <f>IFERROR(IF(Y270=0,"",ROUNDUP(Y270/H270,0)*0.00902),"")</f>
        <v/>
      </c>
      <c r="AA270" s="65"/>
      <c r="AB270" s="66"/>
      <c r="AC270" s="351" t="s">
        <v>453</v>
      </c>
      <c r="AG270" s="75"/>
      <c r="AJ270" s="79"/>
      <c r="AK270" s="79">
        <v>0</v>
      </c>
      <c r="BB270" s="352" t="s">
        <v>1</v>
      </c>
      <c r="BM270" s="75">
        <f t="shared" si="34"/>
        <v>0</v>
      </c>
      <c r="BN270" s="75">
        <f t="shared" si="35"/>
        <v>0</v>
      </c>
      <c r="BO270" s="75">
        <f t="shared" si="36"/>
        <v>0</v>
      </c>
      <c r="BP270" s="75">
        <f t="shared" si="37"/>
        <v>0</v>
      </c>
    </row>
    <row r="271" spans="1:68" ht="27" customHeight="1" x14ac:dyDescent="0.25">
      <c r="A271" s="60" t="s">
        <v>454</v>
      </c>
      <c r="B271" s="60" t="s">
        <v>455</v>
      </c>
      <c r="C271" s="34">
        <v>4301031223</v>
      </c>
      <c r="D271" s="643">
        <v>4680115884014</v>
      </c>
      <c r="E271" s="644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65</v>
      </c>
      <c r="L271" s="35"/>
      <c r="M271" s="36" t="s">
        <v>66</v>
      </c>
      <c r="N271" s="36"/>
      <c r="O271" s="35">
        <v>40</v>
      </c>
      <c r="P271" s="9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0"/>
      <c r="R271" s="640"/>
      <c r="S271" s="640"/>
      <c r="T271" s="641"/>
      <c r="U271" s="37"/>
      <c r="V271" s="37"/>
      <c r="W271" s="38" t="s">
        <v>67</v>
      </c>
      <c r="X271" s="56">
        <v>0</v>
      </c>
      <c r="Y271" s="53">
        <f t="shared" si="33"/>
        <v>0</v>
      </c>
      <c r="Z271" s="39" t="str">
        <f>IFERROR(IF(Y271=0,"",ROUNDUP(Y271/H271,0)*0.00502),"")</f>
        <v/>
      </c>
      <c r="AA271" s="65"/>
      <c r="AB271" s="66"/>
      <c r="AC271" s="353" t="s">
        <v>444</v>
      </c>
      <c r="AG271" s="75"/>
      <c r="AJ271" s="79"/>
      <c r="AK271" s="79">
        <v>0</v>
      </c>
      <c r="BB271" s="354" t="s">
        <v>1</v>
      </c>
      <c r="BM271" s="75">
        <f t="shared" si="34"/>
        <v>0</v>
      </c>
      <c r="BN271" s="75">
        <f t="shared" si="35"/>
        <v>0</v>
      </c>
      <c r="BO271" s="75">
        <f t="shared" si="36"/>
        <v>0</v>
      </c>
      <c r="BP271" s="75">
        <f t="shared" si="37"/>
        <v>0</v>
      </c>
    </row>
    <row r="272" spans="1:68" ht="27" customHeight="1" x14ac:dyDescent="0.25">
      <c r="A272" s="60" t="s">
        <v>456</v>
      </c>
      <c r="B272" s="60" t="s">
        <v>457</v>
      </c>
      <c r="C272" s="34">
        <v>4301031222</v>
      </c>
      <c r="D272" s="643">
        <v>4680115884007</v>
      </c>
      <c r="E272" s="64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65</v>
      </c>
      <c r="L272" s="35"/>
      <c r="M272" s="36" t="s">
        <v>66</v>
      </c>
      <c r="N272" s="36"/>
      <c r="O272" s="35">
        <v>40</v>
      </c>
      <c r="P272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0"/>
      <c r="R272" s="640"/>
      <c r="S272" s="640"/>
      <c r="T272" s="641"/>
      <c r="U272" s="37"/>
      <c r="V272" s="37"/>
      <c r="W272" s="38" t="s">
        <v>67</v>
      </c>
      <c r="X272" s="56">
        <v>0</v>
      </c>
      <c r="Y272" s="53">
        <f t="shared" si="33"/>
        <v>0</v>
      </c>
      <c r="Z272" s="39" t="str">
        <f>IFERROR(IF(Y272=0,"",ROUNDUP(Y272/H272,0)*0.00502),"")</f>
        <v/>
      </c>
      <c r="AA272" s="65"/>
      <c r="AB272" s="66"/>
      <c r="AC272" s="355" t="s">
        <v>447</v>
      </c>
      <c r="AG272" s="75"/>
      <c r="AJ272" s="79"/>
      <c r="AK272" s="79">
        <v>0</v>
      </c>
      <c r="BB272" s="356" t="s">
        <v>1</v>
      </c>
      <c r="BM272" s="75">
        <f t="shared" si="34"/>
        <v>0</v>
      </c>
      <c r="BN272" s="75">
        <f t="shared" si="35"/>
        <v>0</v>
      </c>
      <c r="BO272" s="75">
        <f t="shared" si="36"/>
        <v>0</v>
      </c>
      <c r="BP272" s="75">
        <f t="shared" si="37"/>
        <v>0</v>
      </c>
    </row>
    <row r="273" spans="1:68" ht="27" customHeight="1" x14ac:dyDescent="0.25">
      <c r="A273" s="60" t="s">
        <v>458</v>
      </c>
      <c r="B273" s="60" t="s">
        <v>459</v>
      </c>
      <c r="C273" s="34">
        <v>4301031229</v>
      </c>
      <c r="D273" s="643">
        <v>4680115884038</v>
      </c>
      <c r="E273" s="64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65</v>
      </c>
      <c r="L273" s="35"/>
      <c r="M273" s="36" t="s">
        <v>66</v>
      </c>
      <c r="N273" s="36"/>
      <c r="O273" s="35">
        <v>40</v>
      </c>
      <c r="P273" s="94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0"/>
      <c r="R273" s="640"/>
      <c r="S273" s="640"/>
      <c r="T273" s="641"/>
      <c r="U273" s="37"/>
      <c r="V273" s="37"/>
      <c r="W273" s="38" t="s">
        <v>67</v>
      </c>
      <c r="X273" s="56">
        <v>0</v>
      </c>
      <c r="Y273" s="53">
        <f t="shared" si="33"/>
        <v>0</v>
      </c>
      <c r="Z273" s="39" t="str">
        <f>IFERROR(IF(Y273=0,"",ROUNDUP(Y273/H273,0)*0.00502),"")</f>
        <v/>
      </c>
      <c r="AA273" s="65"/>
      <c r="AB273" s="66"/>
      <c r="AC273" s="357" t="s">
        <v>450</v>
      </c>
      <c r="AG273" s="75"/>
      <c r="AJ273" s="79"/>
      <c r="AK273" s="79">
        <v>0</v>
      </c>
      <c r="BB273" s="358" t="s">
        <v>1</v>
      </c>
      <c r="BM273" s="75">
        <f t="shared" si="34"/>
        <v>0</v>
      </c>
      <c r="BN273" s="75">
        <f t="shared" si="35"/>
        <v>0</v>
      </c>
      <c r="BO273" s="75">
        <f t="shared" si="36"/>
        <v>0</v>
      </c>
      <c r="BP273" s="75">
        <f t="shared" si="37"/>
        <v>0</v>
      </c>
    </row>
    <row r="274" spans="1:68" ht="27" customHeight="1" x14ac:dyDescent="0.25">
      <c r="A274" s="60" t="s">
        <v>460</v>
      </c>
      <c r="B274" s="60" t="s">
        <v>461</v>
      </c>
      <c r="C274" s="34">
        <v>4301031225</v>
      </c>
      <c r="D274" s="643">
        <v>4680115884021</v>
      </c>
      <c r="E274" s="64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65</v>
      </c>
      <c r="L274" s="35"/>
      <c r="M274" s="36" t="s">
        <v>66</v>
      </c>
      <c r="N274" s="36"/>
      <c r="O274" s="35">
        <v>40</v>
      </c>
      <c r="P274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0"/>
      <c r="R274" s="640"/>
      <c r="S274" s="640"/>
      <c r="T274" s="641"/>
      <c r="U274" s="37"/>
      <c r="V274" s="37"/>
      <c r="W274" s="38" t="s">
        <v>67</v>
      </c>
      <c r="X274" s="56">
        <v>0</v>
      </c>
      <c r="Y274" s="53">
        <f t="shared" si="33"/>
        <v>0</v>
      </c>
      <c r="Z274" s="39" t="str">
        <f>IFERROR(IF(Y274=0,"",ROUNDUP(Y274/H274,0)*0.00502),"")</f>
        <v/>
      </c>
      <c r="AA274" s="65"/>
      <c r="AB274" s="66"/>
      <c r="AC274" s="359" t="s">
        <v>453</v>
      </c>
      <c r="AG274" s="75"/>
      <c r="AJ274" s="79"/>
      <c r="AK274" s="79">
        <v>0</v>
      </c>
      <c r="BB274" s="360" t="s">
        <v>1</v>
      </c>
      <c r="BM274" s="75">
        <f t="shared" si="34"/>
        <v>0</v>
      </c>
      <c r="BN274" s="75">
        <f t="shared" si="35"/>
        <v>0</v>
      </c>
      <c r="BO274" s="75">
        <f t="shared" si="36"/>
        <v>0</v>
      </c>
      <c r="BP274" s="75">
        <f t="shared" si="37"/>
        <v>0</v>
      </c>
    </row>
    <row r="275" spans="1:68" x14ac:dyDescent="0.2">
      <c r="A275" s="654"/>
      <c r="B275" s="655"/>
      <c r="C275" s="655"/>
      <c r="D275" s="655"/>
      <c r="E275" s="655"/>
      <c r="F275" s="655"/>
      <c r="G275" s="655"/>
      <c r="H275" s="655"/>
      <c r="I275" s="655"/>
      <c r="J275" s="655"/>
      <c r="K275" s="655"/>
      <c r="L275" s="655"/>
      <c r="M275" s="655"/>
      <c r="N275" s="655"/>
      <c r="O275" s="656"/>
      <c r="P275" s="650" t="s">
        <v>72</v>
      </c>
      <c r="Q275" s="647"/>
      <c r="R275" s="647"/>
      <c r="S275" s="647"/>
      <c r="T275" s="647"/>
      <c r="U275" s="647"/>
      <c r="V275" s="648"/>
      <c r="W275" s="40" t="s">
        <v>73</v>
      </c>
      <c r="X275" s="41">
        <f>IFERROR(X267/H267,"0")+IFERROR(X268/H268,"0")+IFERROR(X269/H269,"0")+IFERROR(X270/H270,"0")+IFERROR(X271/H271,"0")+IFERROR(X272/H272,"0")+IFERROR(X273/H273,"0")+IFERROR(X274/H274,"0")</f>
        <v>0</v>
      </c>
      <c r="Y275" s="41">
        <f>IFERROR(Y267/H267,"0")+IFERROR(Y268/H268,"0")+IFERROR(Y269/H269,"0")+IFERROR(Y270/H270,"0")+IFERROR(Y271/H271,"0")+IFERROR(Y272/H272,"0")+IFERROR(Y273/H273,"0")+IFERROR(Y274/H274,"0")</f>
        <v>0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655"/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6"/>
      <c r="P276" s="650" t="s">
        <v>72</v>
      </c>
      <c r="Q276" s="647"/>
      <c r="R276" s="647"/>
      <c r="S276" s="647"/>
      <c r="T276" s="647"/>
      <c r="U276" s="647"/>
      <c r="V276" s="648"/>
      <c r="W276" s="40" t="s">
        <v>67</v>
      </c>
      <c r="X276" s="41">
        <f>IFERROR(SUM(X267:X274),"0")</f>
        <v>0</v>
      </c>
      <c r="Y276" s="41">
        <f>IFERROR(SUM(Y267:Y274),"0")</f>
        <v>0</v>
      </c>
      <c r="Z276" s="40"/>
      <c r="AA276" s="64"/>
      <c r="AB276" s="64"/>
      <c r="AC276" s="64"/>
    </row>
    <row r="277" spans="1:68" ht="14.25" customHeight="1" x14ac:dyDescent="0.25">
      <c r="A277" s="658" t="s">
        <v>74</v>
      </c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3"/>
      <c r="AB277" s="63"/>
      <c r="AC277" s="63"/>
    </row>
    <row r="278" spans="1:68" ht="27" customHeight="1" x14ac:dyDescent="0.25">
      <c r="A278" s="60" t="s">
        <v>462</v>
      </c>
      <c r="B278" s="60" t="s">
        <v>463</v>
      </c>
      <c r="C278" s="34">
        <v>4301051408</v>
      </c>
      <c r="D278" s="643">
        <v>4680115881594</v>
      </c>
      <c r="E278" s="644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114</v>
      </c>
      <c r="L278" s="35"/>
      <c r="M278" s="36" t="s">
        <v>78</v>
      </c>
      <c r="N278" s="36"/>
      <c r="O278" s="35">
        <v>40</v>
      </c>
      <c r="P278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0"/>
      <c r="R278" s="640"/>
      <c r="S278" s="640"/>
      <c r="T278" s="641"/>
      <c r="U278" s="37"/>
      <c r="V278" s="37"/>
      <c r="W278" s="38" t="s">
        <v>67</v>
      </c>
      <c r="X278" s="56">
        <v>0</v>
      </c>
      <c r="Y278" s="53">
        <f t="shared" ref="Y278:Y289" si="38">IFERROR(IF(X278="",0,CEILING((X278/$H278),1)*$H278),"")</f>
        <v>0</v>
      </c>
      <c r="Z278" s="39" t="str">
        <f>IFERROR(IF(Y278=0,"",ROUNDUP(Y278/H278,0)*0.01898),"")</f>
        <v/>
      </c>
      <c r="AA278" s="65"/>
      <c r="AB278" s="66"/>
      <c r="AC278" s="361" t="s">
        <v>464</v>
      </c>
      <c r="AG278" s="75"/>
      <c r="AJ278" s="79"/>
      <c r="AK278" s="79">
        <v>0</v>
      </c>
      <c r="BB278" s="362" t="s">
        <v>1</v>
      </c>
      <c r="BM278" s="75">
        <f t="shared" ref="BM278:BM289" si="39">IFERROR(X278*I278/H278,"0")</f>
        <v>0</v>
      </c>
      <c r="BN278" s="75">
        <f t="shared" ref="BN278:BN289" si="40">IFERROR(Y278*I278/H278,"0")</f>
        <v>0</v>
      </c>
      <c r="BO278" s="75">
        <f t="shared" ref="BO278:BO289" si="41">IFERROR(1/J278*(X278/H278),"0")</f>
        <v>0</v>
      </c>
      <c r="BP278" s="75">
        <f t="shared" ref="BP278:BP289" si="42">IFERROR(1/J278*(Y278/H278),"0")</f>
        <v>0</v>
      </c>
    </row>
    <row r="279" spans="1:68" ht="27" customHeight="1" x14ac:dyDescent="0.25">
      <c r="A279" s="60" t="s">
        <v>465</v>
      </c>
      <c r="B279" s="60" t="s">
        <v>466</v>
      </c>
      <c r="C279" s="34">
        <v>4301051411</v>
      </c>
      <c r="D279" s="643">
        <v>4680115881617</v>
      </c>
      <c r="E279" s="644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114</v>
      </c>
      <c r="L279" s="35"/>
      <c r="M279" s="36" t="s">
        <v>78</v>
      </c>
      <c r="N279" s="36"/>
      <c r="O279" s="35">
        <v>40</v>
      </c>
      <c r="P279" s="78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0"/>
      <c r="R279" s="640"/>
      <c r="S279" s="640"/>
      <c r="T279" s="641"/>
      <c r="U279" s="37"/>
      <c r="V279" s="37"/>
      <c r="W279" s="38" t="s">
        <v>67</v>
      </c>
      <c r="X279" s="56">
        <v>0</v>
      </c>
      <c r="Y279" s="53">
        <f t="shared" si="38"/>
        <v>0</v>
      </c>
      <c r="Z279" s="39" t="str">
        <f>IFERROR(IF(Y279=0,"",ROUNDUP(Y279/H279,0)*0.01898),"")</f>
        <v/>
      </c>
      <c r="AA279" s="65"/>
      <c r="AB279" s="66"/>
      <c r="AC279" s="363" t="s">
        <v>467</v>
      </c>
      <c r="AG279" s="75"/>
      <c r="AJ279" s="79"/>
      <c r="AK279" s="79">
        <v>0</v>
      </c>
      <c r="BB279" s="364" t="s">
        <v>1</v>
      </c>
      <c r="BM279" s="75">
        <f t="shared" si="39"/>
        <v>0</v>
      </c>
      <c r="BN279" s="75">
        <f t="shared" si="40"/>
        <v>0</v>
      </c>
      <c r="BO279" s="75">
        <f t="shared" si="41"/>
        <v>0</v>
      </c>
      <c r="BP279" s="75">
        <f t="shared" si="42"/>
        <v>0</v>
      </c>
    </row>
    <row r="280" spans="1:68" ht="27" customHeight="1" x14ac:dyDescent="0.25">
      <c r="A280" s="60" t="s">
        <v>468</v>
      </c>
      <c r="B280" s="60" t="s">
        <v>469</v>
      </c>
      <c r="C280" s="34">
        <v>4301051656</v>
      </c>
      <c r="D280" s="643">
        <v>4680115880573</v>
      </c>
      <c r="E280" s="644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114</v>
      </c>
      <c r="L280" s="35"/>
      <c r="M280" s="36" t="s">
        <v>78</v>
      </c>
      <c r="N280" s="36"/>
      <c r="O280" s="35">
        <v>45</v>
      </c>
      <c r="P280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0"/>
      <c r="R280" s="640"/>
      <c r="S280" s="640"/>
      <c r="T280" s="641"/>
      <c r="U280" s="37"/>
      <c r="V280" s="37"/>
      <c r="W280" s="38" t="s">
        <v>67</v>
      </c>
      <c r="X280" s="56">
        <v>0</v>
      </c>
      <c r="Y280" s="53">
        <f t="shared" si="38"/>
        <v>0</v>
      </c>
      <c r="Z280" s="39" t="str">
        <f>IFERROR(IF(Y280=0,"",ROUNDUP(Y280/H280,0)*0.01898),"")</f>
        <v/>
      </c>
      <c r="AA280" s="65"/>
      <c r="AB280" s="66"/>
      <c r="AC280" s="365" t="s">
        <v>470</v>
      </c>
      <c r="AG280" s="75"/>
      <c r="AJ280" s="79"/>
      <c r="AK280" s="79">
        <v>0</v>
      </c>
      <c r="BB280" s="366" t="s">
        <v>1</v>
      </c>
      <c r="BM280" s="75">
        <f t="shared" si="39"/>
        <v>0</v>
      </c>
      <c r="BN280" s="75">
        <f t="shared" si="40"/>
        <v>0</v>
      </c>
      <c r="BO280" s="75">
        <f t="shared" si="41"/>
        <v>0</v>
      </c>
      <c r="BP280" s="75">
        <f t="shared" si="42"/>
        <v>0</v>
      </c>
    </row>
    <row r="281" spans="1:68" ht="27" customHeight="1" x14ac:dyDescent="0.25">
      <c r="A281" s="60" t="s">
        <v>471</v>
      </c>
      <c r="B281" s="60" t="s">
        <v>472</v>
      </c>
      <c r="C281" s="34">
        <v>4301051407</v>
      </c>
      <c r="D281" s="643">
        <v>4680115882195</v>
      </c>
      <c r="E281" s="644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77</v>
      </c>
      <c r="L281" s="35"/>
      <c r="M281" s="36" t="s">
        <v>78</v>
      </c>
      <c r="N281" s="36"/>
      <c r="O281" s="35">
        <v>40</v>
      </c>
      <c r="P281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0"/>
      <c r="R281" s="640"/>
      <c r="S281" s="640"/>
      <c r="T281" s="641"/>
      <c r="U281" s="37"/>
      <c r="V281" s="37"/>
      <c r="W281" s="38" t="s">
        <v>67</v>
      </c>
      <c r="X281" s="56">
        <v>0</v>
      </c>
      <c r="Y281" s="53">
        <f t="shared" si="38"/>
        <v>0</v>
      </c>
      <c r="Z281" s="39" t="str">
        <f>IFERROR(IF(Y281=0,"",ROUNDUP(Y281/H281,0)*0.00651),"")</f>
        <v/>
      </c>
      <c r="AA281" s="65"/>
      <c r="AB281" s="66"/>
      <c r="AC281" s="367" t="s">
        <v>464</v>
      </c>
      <c r="AG281" s="75"/>
      <c r="AJ281" s="79"/>
      <c r="AK281" s="79">
        <v>0</v>
      </c>
      <c r="BB281" s="368" t="s">
        <v>1</v>
      </c>
      <c r="BM281" s="75">
        <f t="shared" si="39"/>
        <v>0</v>
      </c>
      <c r="BN281" s="75">
        <f t="shared" si="40"/>
        <v>0</v>
      </c>
      <c r="BO281" s="75">
        <f t="shared" si="41"/>
        <v>0</v>
      </c>
      <c r="BP281" s="75">
        <f t="shared" si="42"/>
        <v>0</v>
      </c>
    </row>
    <row r="282" spans="1:68" ht="27" customHeight="1" x14ac:dyDescent="0.25">
      <c r="A282" s="60" t="s">
        <v>473</v>
      </c>
      <c r="B282" s="60" t="s">
        <v>474</v>
      </c>
      <c r="C282" s="34">
        <v>4301051752</v>
      </c>
      <c r="D282" s="643">
        <v>4680115882607</v>
      </c>
      <c r="E282" s="644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77</v>
      </c>
      <c r="L282" s="35"/>
      <c r="M282" s="36" t="s">
        <v>84</v>
      </c>
      <c r="N282" s="36"/>
      <c r="O282" s="35">
        <v>45</v>
      </c>
      <c r="P282" s="7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0"/>
      <c r="R282" s="640"/>
      <c r="S282" s="640"/>
      <c r="T282" s="641"/>
      <c r="U282" s="37"/>
      <c r="V282" s="37"/>
      <c r="W282" s="38" t="s">
        <v>67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/>
      <c r="AB282" s="66"/>
      <c r="AC282" s="369" t="s">
        <v>470</v>
      </c>
      <c r="AG282" s="75"/>
      <c r="AJ282" s="79"/>
      <c r="AK282" s="79">
        <v>0</v>
      </c>
      <c r="BB282" s="370" t="s">
        <v>1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customHeight="1" x14ac:dyDescent="0.25">
      <c r="A283" s="60" t="s">
        <v>475</v>
      </c>
      <c r="B283" s="60" t="s">
        <v>476</v>
      </c>
      <c r="C283" s="34">
        <v>4301052143</v>
      </c>
      <c r="D283" s="643">
        <v>4680115882607</v>
      </c>
      <c r="E283" s="644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123</v>
      </c>
      <c r="L283" s="35"/>
      <c r="M283" s="36" t="s">
        <v>78</v>
      </c>
      <c r="N283" s="36"/>
      <c r="O283" s="35">
        <v>45</v>
      </c>
      <c r="P283" s="8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0"/>
      <c r="R283" s="640"/>
      <c r="S283" s="640"/>
      <c r="T283" s="641"/>
      <c r="U283" s="37"/>
      <c r="V283" s="37"/>
      <c r="W283" s="38" t="s">
        <v>67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/>
      <c r="AB283" s="66"/>
      <c r="AC283" s="371" t="s">
        <v>477</v>
      </c>
      <c r="AG283" s="75"/>
      <c r="AJ283" s="79"/>
      <c r="AK283" s="79">
        <v>0</v>
      </c>
      <c r="BB283" s="372" t="s">
        <v>1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customHeight="1" x14ac:dyDescent="0.25">
      <c r="A284" s="60" t="s">
        <v>478</v>
      </c>
      <c r="B284" s="60" t="s">
        <v>479</v>
      </c>
      <c r="C284" s="34">
        <v>4301051666</v>
      </c>
      <c r="D284" s="643">
        <v>4680115880092</v>
      </c>
      <c r="E284" s="644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77</v>
      </c>
      <c r="L284" s="35"/>
      <c r="M284" s="36" t="s">
        <v>78</v>
      </c>
      <c r="N284" s="36"/>
      <c r="O284" s="35">
        <v>45</v>
      </c>
      <c r="P284" s="9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0"/>
      <c r="R284" s="640"/>
      <c r="S284" s="640"/>
      <c r="T284" s="641"/>
      <c r="U284" s="37"/>
      <c r="V284" s="37"/>
      <c r="W284" s="38" t="s">
        <v>67</v>
      </c>
      <c r="X284" s="56">
        <v>0</v>
      </c>
      <c r="Y284" s="53">
        <f t="shared" si="38"/>
        <v>0</v>
      </c>
      <c r="Z284" s="39" t="str">
        <f>IFERROR(IF(Y284=0,"",ROUNDUP(Y284/H284,0)*0.00651),"")</f>
        <v/>
      </c>
      <c r="AA284" s="65"/>
      <c r="AB284" s="66"/>
      <c r="AC284" s="373" t="s">
        <v>470</v>
      </c>
      <c r="AG284" s="75"/>
      <c r="AJ284" s="79"/>
      <c r="AK284" s="79">
        <v>0</v>
      </c>
      <c r="BB284" s="374" t="s">
        <v>1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customHeight="1" x14ac:dyDescent="0.25">
      <c r="A285" s="60" t="s">
        <v>480</v>
      </c>
      <c r="B285" s="60" t="s">
        <v>481</v>
      </c>
      <c r="C285" s="34">
        <v>4301052214</v>
      </c>
      <c r="D285" s="643">
        <v>4680115889064</v>
      </c>
      <c r="E285" s="644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114</v>
      </c>
      <c r="L285" s="35"/>
      <c r="M285" s="36" t="s">
        <v>78</v>
      </c>
      <c r="N285" s="36"/>
      <c r="O285" s="35">
        <v>45</v>
      </c>
      <c r="P285" s="85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0"/>
      <c r="R285" s="640"/>
      <c r="S285" s="640"/>
      <c r="T285" s="641"/>
      <c r="U285" s="37"/>
      <c r="V285" s="37"/>
      <c r="W285" s="38" t="s">
        <v>67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/>
      <c r="AB285" s="66"/>
      <c r="AC285" s="375" t="s">
        <v>477</v>
      </c>
      <c r="AG285" s="75"/>
      <c r="AJ285" s="79"/>
      <c r="AK285" s="79">
        <v>0</v>
      </c>
      <c r="BB285" s="376" t="s">
        <v>1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customHeight="1" x14ac:dyDescent="0.25">
      <c r="A286" s="60" t="s">
        <v>482</v>
      </c>
      <c r="B286" s="60" t="s">
        <v>483</v>
      </c>
      <c r="C286" s="34">
        <v>4301051668</v>
      </c>
      <c r="D286" s="643">
        <v>4680115880221</v>
      </c>
      <c r="E286" s="64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77</v>
      </c>
      <c r="L286" s="35"/>
      <c r="M286" s="36" t="s">
        <v>78</v>
      </c>
      <c r="N286" s="36"/>
      <c r="O286" s="35">
        <v>45</v>
      </c>
      <c r="P286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0"/>
      <c r="R286" s="640"/>
      <c r="S286" s="640"/>
      <c r="T286" s="641"/>
      <c r="U286" s="37"/>
      <c r="V286" s="37"/>
      <c r="W286" s="38" t="s">
        <v>67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/>
      <c r="AB286" s="66"/>
      <c r="AC286" s="377" t="s">
        <v>470</v>
      </c>
      <c r="AG286" s="75"/>
      <c r="AJ286" s="79"/>
      <c r="AK286" s="79">
        <v>0</v>
      </c>
      <c r="BB286" s="378" t="s">
        <v>1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customHeight="1" x14ac:dyDescent="0.25">
      <c r="A287" s="60" t="s">
        <v>484</v>
      </c>
      <c r="B287" s="60" t="s">
        <v>485</v>
      </c>
      <c r="C287" s="34">
        <v>4301051945</v>
      </c>
      <c r="D287" s="643">
        <v>4680115880504</v>
      </c>
      <c r="E287" s="644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77</v>
      </c>
      <c r="L287" s="35"/>
      <c r="M287" s="36" t="s">
        <v>84</v>
      </c>
      <c r="N287" s="36"/>
      <c r="O287" s="35">
        <v>40</v>
      </c>
      <c r="P287" s="9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0"/>
      <c r="R287" s="640"/>
      <c r="S287" s="640"/>
      <c r="T287" s="641"/>
      <c r="U287" s="37"/>
      <c r="V287" s="37"/>
      <c r="W287" s="38" t="s">
        <v>67</v>
      </c>
      <c r="X287" s="56">
        <v>0</v>
      </c>
      <c r="Y287" s="53">
        <f t="shared" si="38"/>
        <v>0</v>
      </c>
      <c r="Z287" s="39" t="str">
        <f>IFERROR(IF(Y287=0,"",ROUNDUP(Y287/H287,0)*0.00651),"")</f>
        <v/>
      </c>
      <c r="AA287" s="65"/>
      <c r="AB287" s="66"/>
      <c r="AC287" s="379" t="s">
        <v>486</v>
      </c>
      <c r="AG287" s="75"/>
      <c r="AJ287" s="79"/>
      <c r="AK287" s="79">
        <v>0</v>
      </c>
      <c r="BB287" s="380" t="s">
        <v>1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t="27" customHeight="1" x14ac:dyDescent="0.25">
      <c r="A288" s="60" t="s">
        <v>487</v>
      </c>
      <c r="B288" s="60" t="s">
        <v>488</v>
      </c>
      <c r="C288" s="34">
        <v>4301051410</v>
      </c>
      <c r="D288" s="643">
        <v>4680115882164</v>
      </c>
      <c r="E288" s="644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77</v>
      </c>
      <c r="L288" s="35"/>
      <c r="M288" s="36" t="s">
        <v>78</v>
      </c>
      <c r="N288" s="36"/>
      <c r="O288" s="35">
        <v>40</v>
      </c>
      <c r="P288" s="6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0"/>
      <c r="R288" s="640"/>
      <c r="S288" s="640"/>
      <c r="T288" s="641"/>
      <c r="U288" s="37"/>
      <c r="V288" s="37"/>
      <c r="W288" s="38" t="s">
        <v>67</v>
      </c>
      <c r="X288" s="56">
        <v>0</v>
      </c>
      <c r="Y288" s="53">
        <f t="shared" si="38"/>
        <v>0</v>
      </c>
      <c r="Z288" s="39" t="str">
        <f>IFERROR(IF(Y288=0,"",ROUNDUP(Y288/H288,0)*0.00651),"")</f>
        <v/>
      </c>
      <c r="AA288" s="65"/>
      <c r="AB288" s="66"/>
      <c r="AC288" s="381" t="s">
        <v>489</v>
      </c>
      <c r="AG288" s="75"/>
      <c r="AJ288" s="79"/>
      <c r="AK288" s="79">
        <v>0</v>
      </c>
      <c r="BB288" s="382" t="s">
        <v>1</v>
      </c>
      <c r="BM288" s="75">
        <f t="shared" si="39"/>
        <v>0</v>
      </c>
      <c r="BN288" s="75">
        <f t="shared" si="40"/>
        <v>0</v>
      </c>
      <c r="BO288" s="75">
        <f t="shared" si="41"/>
        <v>0</v>
      </c>
      <c r="BP288" s="75">
        <f t="shared" si="42"/>
        <v>0</v>
      </c>
    </row>
    <row r="289" spans="1:68" ht="27" customHeight="1" x14ac:dyDescent="0.25">
      <c r="A289" s="60" t="s">
        <v>490</v>
      </c>
      <c r="B289" s="60" t="s">
        <v>491</v>
      </c>
      <c r="C289" s="34">
        <v>4301052180</v>
      </c>
      <c r="D289" s="643">
        <v>4680115888340</v>
      </c>
      <c r="E289" s="64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77</v>
      </c>
      <c r="L289" s="35"/>
      <c r="M289" s="36" t="s">
        <v>78</v>
      </c>
      <c r="N289" s="36"/>
      <c r="O289" s="35">
        <v>45</v>
      </c>
      <c r="P289" s="87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0"/>
      <c r="R289" s="640"/>
      <c r="S289" s="640"/>
      <c r="T289" s="641"/>
      <c r="U289" s="37"/>
      <c r="V289" s="37"/>
      <c r="W289" s="38" t="s">
        <v>67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/>
      <c r="AB289" s="66"/>
      <c r="AC289" s="383" t="s">
        <v>492</v>
      </c>
      <c r="AG289" s="75"/>
      <c r="AJ289" s="79"/>
      <c r="AK289" s="79">
        <v>0</v>
      </c>
      <c r="BB289" s="384" t="s">
        <v>1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x14ac:dyDescent="0.2">
      <c r="A290" s="654"/>
      <c r="B290" s="655"/>
      <c r="C290" s="655"/>
      <c r="D290" s="655"/>
      <c r="E290" s="655"/>
      <c r="F290" s="655"/>
      <c r="G290" s="655"/>
      <c r="H290" s="655"/>
      <c r="I290" s="655"/>
      <c r="J290" s="655"/>
      <c r="K290" s="655"/>
      <c r="L290" s="655"/>
      <c r="M290" s="655"/>
      <c r="N290" s="655"/>
      <c r="O290" s="656"/>
      <c r="P290" s="650" t="s">
        <v>72</v>
      </c>
      <c r="Q290" s="647"/>
      <c r="R290" s="647"/>
      <c r="S290" s="647"/>
      <c r="T290" s="647"/>
      <c r="U290" s="647"/>
      <c r="V290" s="648"/>
      <c r="W290" s="40" t="s">
        <v>73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x14ac:dyDescent="0.2">
      <c r="A291" s="655"/>
      <c r="B291" s="655"/>
      <c r="C291" s="655"/>
      <c r="D291" s="655"/>
      <c r="E291" s="655"/>
      <c r="F291" s="655"/>
      <c r="G291" s="655"/>
      <c r="H291" s="655"/>
      <c r="I291" s="655"/>
      <c r="J291" s="655"/>
      <c r="K291" s="655"/>
      <c r="L291" s="655"/>
      <c r="M291" s="655"/>
      <c r="N291" s="655"/>
      <c r="O291" s="656"/>
      <c r="P291" s="650" t="s">
        <v>72</v>
      </c>
      <c r="Q291" s="647"/>
      <c r="R291" s="647"/>
      <c r="S291" s="647"/>
      <c r="T291" s="647"/>
      <c r="U291" s="647"/>
      <c r="V291" s="648"/>
      <c r="W291" s="40" t="s">
        <v>67</v>
      </c>
      <c r="X291" s="41">
        <f>IFERROR(SUM(X278:X289),"0")</f>
        <v>0</v>
      </c>
      <c r="Y291" s="41">
        <f>IFERROR(SUM(Y278:Y289),"0")</f>
        <v>0</v>
      </c>
      <c r="Z291" s="40"/>
      <c r="AA291" s="64"/>
      <c r="AB291" s="64"/>
      <c r="AC291" s="64"/>
    </row>
    <row r="292" spans="1:68" ht="14.25" customHeight="1" x14ac:dyDescent="0.25">
      <c r="A292" s="658" t="s">
        <v>164</v>
      </c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  <c r="AA292" s="63"/>
      <c r="AB292" s="63"/>
      <c r="AC292" s="63"/>
    </row>
    <row r="293" spans="1:68" ht="27" customHeight="1" x14ac:dyDescent="0.25">
      <c r="A293" s="60" t="s">
        <v>493</v>
      </c>
      <c r="B293" s="60" t="s">
        <v>494</v>
      </c>
      <c r="C293" s="34">
        <v>4301060463</v>
      </c>
      <c r="D293" s="643">
        <v>4680115880818</v>
      </c>
      <c r="E293" s="64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77</v>
      </c>
      <c r="L293" s="35"/>
      <c r="M293" s="36" t="s">
        <v>84</v>
      </c>
      <c r="N293" s="36"/>
      <c r="O293" s="35">
        <v>40</v>
      </c>
      <c r="P293" s="6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0"/>
      <c r="R293" s="640"/>
      <c r="S293" s="640"/>
      <c r="T293" s="641"/>
      <c r="U293" s="37"/>
      <c r="V293" s="37"/>
      <c r="W293" s="38" t="s">
        <v>67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/>
      <c r="AB293" s="66"/>
      <c r="AC293" s="385" t="s">
        <v>495</v>
      </c>
      <c r="AG293" s="75"/>
      <c r="AJ293" s="79"/>
      <c r="AK293" s="79">
        <v>0</v>
      </c>
      <c r="BB293" s="386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customHeight="1" x14ac:dyDescent="0.25">
      <c r="A294" s="60" t="s">
        <v>496</v>
      </c>
      <c r="B294" s="60" t="s">
        <v>497</v>
      </c>
      <c r="C294" s="34">
        <v>4301060389</v>
      </c>
      <c r="D294" s="643">
        <v>4680115880801</v>
      </c>
      <c r="E294" s="644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77</v>
      </c>
      <c r="L294" s="35"/>
      <c r="M294" s="36" t="s">
        <v>78</v>
      </c>
      <c r="N294" s="36"/>
      <c r="O294" s="35">
        <v>40</v>
      </c>
      <c r="P294" s="6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0"/>
      <c r="R294" s="640"/>
      <c r="S294" s="640"/>
      <c r="T294" s="641"/>
      <c r="U294" s="37"/>
      <c r="V294" s="37"/>
      <c r="W294" s="38" t="s">
        <v>67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IFERROR(IF(Y294=0,"",ROUNDUP(Y294/H294,0)*0.00651),"")</f>
        <v/>
      </c>
      <c r="AA294" s="65"/>
      <c r="AB294" s="66"/>
      <c r="AC294" s="387" t="s">
        <v>498</v>
      </c>
      <c r="AG294" s="75"/>
      <c r="AJ294" s="79"/>
      <c r="AK294" s="79">
        <v>0</v>
      </c>
      <c r="BB294" s="388" t="s">
        <v>1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654"/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56"/>
      <c r="P295" s="650" t="s">
        <v>72</v>
      </c>
      <c r="Q295" s="647"/>
      <c r="R295" s="647"/>
      <c r="S295" s="647"/>
      <c r="T295" s="647"/>
      <c r="U295" s="647"/>
      <c r="V295" s="648"/>
      <c r="W295" s="40" t="s">
        <v>73</v>
      </c>
      <c r="X295" s="41">
        <f>IFERROR(X293/H293,"0")+IFERROR(X294/H294,"0")</f>
        <v>0</v>
      </c>
      <c r="Y295" s="41">
        <f>IFERROR(Y293/H293,"0")+IFERROR(Y294/H294,"0")</f>
        <v>0</v>
      </c>
      <c r="Z295" s="41">
        <f>IFERROR(IF(Z293="",0,Z293),"0")+IFERROR(IF(Z294="",0,Z294),"0")</f>
        <v>0</v>
      </c>
      <c r="AA295" s="64"/>
      <c r="AB295" s="64"/>
      <c r="AC295" s="64"/>
    </row>
    <row r="296" spans="1:68" x14ac:dyDescent="0.2">
      <c r="A296" s="655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6"/>
      <c r="P296" s="650" t="s">
        <v>72</v>
      </c>
      <c r="Q296" s="647"/>
      <c r="R296" s="647"/>
      <c r="S296" s="647"/>
      <c r="T296" s="647"/>
      <c r="U296" s="647"/>
      <c r="V296" s="648"/>
      <c r="W296" s="40" t="s">
        <v>67</v>
      </c>
      <c r="X296" s="41">
        <f>IFERROR(SUM(X293:X294),"0")</f>
        <v>0</v>
      </c>
      <c r="Y296" s="41">
        <f>IFERROR(SUM(Y293:Y294),"0")</f>
        <v>0</v>
      </c>
      <c r="Z296" s="40"/>
      <c r="AA296" s="64"/>
      <c r="AB296" s="64"/>
      <c r="AC296" s="64"/>
    </row>
    <row r="297" spans="1:68" ht="16.5" customHeight="1" x14ac:dyDescent="0.25">
      <c r="A297" s="657" t="s">
        <v>499</v>
      </c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  <c r="AA297" s="62"/>
      <c r="AB297" s="62"/>
      <c r="AC297" s="62"/>
    </row>
    <row r="298" spans="1:68" ht="14.25" customHeight="1" x14ac:dyDescent="0.25">
      <c r="A298" s="658" t="s">
        <v>111</v>
      </c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3"/>
      <c r="AB298" s="63"/>
      <c r="AC298" s="63"/>
    </row>
    <row r="299" spans="1:68" ht="27" customHeight="1" x14ac:dyDescent="0.25">
      <c r="A299" s="60" t="s">
        <v>500</v>
      </c>
      <c r="B299" s="60" t="s">
        <v>501</v>
      </c>
      <c r="C299" s="34">
        <v>4301011826</v>
      </c>
      <c r="D299" s="643">
        <v>4680115884137</v>
      </c>
      <c r="E299" s="64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114</v>
      </c>
      <c r="L299" s="35"/>
      <c r="M299" s="36" t="s">
        <v>115</v>
      </c>
      <c r="N299" s="36"/>
      <c r="O299" s="35">
        <v>55</v>
      </c>
      <c r="P299" s="100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0"/>
      <c r="R299" s="640"/>
      <c r="S299" s="640"/>
      <c r="T299" s="641"/>
      <c r="U299" s="37"/>
      <c r="V299" s="37"/>
      <c r="W299" s="38" t="s">
        <v>67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/>
      <c r="AB299" s="66"/>
      <c r="AC299" s="389" t="s">
        <v>502</v>
      </c>
      <c r="AG299" s="75"/>
      <c r="AJ299" s="79"/>
      <c r="AK299" s="79">
        <v>0</v>
      </c>
      <c r="BB299" s="390" t="s">
        <v>1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customHeight="1" x14ac:dyDescent="0.25">
      <c r="A300" s="60" t="s">
        <v>503</v>
      </c>
      <c r="B300" s="60" t="s">
        <v>504</v>
      </c>
      <c r="C300" s="34">
        <v>4301011724</v>
      </c>
      <c r="D300" s="643">
        <v>4680115884236</v>
      </c>
      <c r="E300" s="64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114</v>
      </c>
      <c r="L300" s="35"/>
      <c r="M300" s="36" t="s">
        <v>115</v>
      </c>
      <c r="N300" s="36"/>
      <c r="O300" s="35">
        <v>55</v>
      </c>
      <c r="P300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0"/>
      <c r="R300" s="640"/>
      <c r="S300" s="640"/>
      <c r="T300" s="641"/>
      <c r="U300" s="37"/>
      <c r="V300" s="37"/>
      <c r="W300" s="38" t="s">
        <v>67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/>
      <c r="AB300" s="66"/>
      <c r="AC300" s="391" t="s">
        <v>505</v>
      </c>
      <c r="AG300" s="75"/>
      <c r="AJ300" s="79"/>
      <c r="AK300" s="79">
        <v>0</v>
      </c>
      <c r="BB300" s="392" t="s">
        <v>1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customHeight="1" x14ac:dyDescent="0.25">
      <c r="A301" s="60" t="s">
        <v>506</v>
      </c>
      <c r="B301" s="60" t="s">
        <v>507</v>
      </c>
      <c r="C301" s="34">
        <v>4301011721</v>
      </c>
      <c r="D301" s="643">
        <v>4680115884175</v>
      </c>
      <c r="E301" s="64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114</v>
      </c>
      <c r="L301" s="35"/>
      <c r="M301" s="36" t="s">
        <v>115</v>
      </c>
      <c r="N301" s="36"/>
      <c r="O301" s="35">
        <v>55</v>
      </c>
      <c r="P301" s="7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0"/>
      <c r="R301" s="640"/>
      <c r="S301" s="640"/>
      <c r="T301" s="641"/>
      <c r="U301" s="37"/>
      <c r="V301" s="37"/>
      <c r="W301" s="38" t="s">
        <v>67</v>
      </c>
      <c r="X301" s="56">
        <v>0</v>
      </c>
      <c r="Y301" s="53">
        <f t="shared" si="43"/>
        <v>0</v>
      </c>
      <c r="Z301" s="39" t="str">
        <f>IFERROR(IF(Y301=0,"",ROUNDUP(Y301/H301,0)*0.01898),"")</f>
        <v/>
      </c>
      <c r="AA301" s="65"/>
      <c r="AB301" s="66"/>
      <c r="AC301" s="393" t="s">
        <v>360</v>
      </c>
      <c r="AG301" s="75"/>
      <c r="AJ301" s="79"/>
      <c r="AK301" s="79">
        <v>0</v>
      </c>
      <c r="BB301" s="394" t="s">
        <v>1</v>
      </c>
      <c r="BM301" s="75">
        <f t="shared" si="44"/>
        <v>0</v>
      </c>
      <c r="BN301" s="75">
        <f t="shared" si="45"/>
        <v>0</v>
      </c>
      <c r="BO301" s="75">
        <f t="shared" si="46"/>
        <v>0</v>
      </c>
      <c r="BP301" s="75">
        <f t="shared" si="47"/>
        <v>0</v>
      </c>
    </row>
    <row r="302" spans="1:68" ht="27" customHeight="1" x14ac:dyDescent="0.25">
      <c r="A302" s="60" t="s">
        <v>508</v>
      </c>
      <c r="B302" s="60" t="s">
        <v>509</v>
      </c>
      <c r="C302" s="34">
        <v>4301011824</v>
      </c>
      <c r="D302" s="643">
        <v>4680115884144</v>
      </c>
      <c r="E302" s="64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123</v>
      </c>
      <c r="L302" s="35"/>
      <c r="M302" s="36" t="s">
        <v>115</v>
      </c>
      <c r="N302" s="36"/>
      <c r="O302" s="35">
        <v>55</v>
      </c>
      <c r="P302" s="10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0"/>
      <c r="R302" s="640"/>
      <c r="S302" s="640"/>
      <c r="T302" s="641"/>
      <c r="U302" s="37"/>
      <c r="V302" s="37"/>
      <c r="W302" s="38" t="s">
        <v>67</v>
      </c>
      <c r="X302" s="56">
        <v>0</v>
      </c>
      <c r="Y302" s="53">
        <f t="shared" si="43"/>
        <v>0</v>
      </c>
      <c r="Z302" s="39" t="str">
        <f>IFERROR(IF(Y302=0,"",ROUNDUP(Y302/H302,0)*0.00902),"")</f>
        <v/>
      </c>
      <c r="AA302" s="65"/>
      <c r="AB302" s="66"/>
      <c r="AC302" s="395" t="s">
        <v>502</v>
      </c>
      <c r="AG302" s="75"/>
      <c r="AJ302" s="79"/>
      <c r="AK302" s="79">
        <v>0</v>
      </c>
      <c r="BB302" s="396" t="s">
        <v>1</v>
      </c>
      <c r="BM302" s="75">
        <f t="shared" si="44"/>
        <v>0</v>
      </c>
      <c r="BN302" s="75">
        <f t="shared" si="45"/>
        <v>0</v>
      </c>
      <c r="BO302" s="75">
        <f t="shared" si="46"/>
        <v>0</v>
      </c>
      <c r="BP302" s="75">
        <f t="shared" si="47"/>
        <v>0</v>
      </c>
    </row>
    <row r="303" spans="1:68" ht="27" customHeight="1" x14ac:dyDescent="0.25">
      <c r="A303" s="60" t="s">
        <v>510</v>
      </c>
      <c r="B303" s="60" t="s">
        <v>511</v>
      </c>
      <c r="C303" s="34">
        <v>4301012149</v>
      </c>
      <c r="D303" s="643">
        <v>4680115886551</v>
      </c>
      <c r="E303" s="644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123</v>
      </c>
      <c r="L303" s="35"/>
      <c r="M303" s="36" t="s">
        <v>115</v>
      </c>
      <c r="N303" s="36"/>
      <c r="O303" s="35">
        <v>55</v>
      </c>
      <c r="P303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0"/>
      <c r="R303" s="640"/>
      <c r="S303" s="640"/>
      <c r="T303" s="641"/>
      <c r="U303" s="37"/>
      <c r="V303" s="37"/>
      <c r="W303" s="38" t="s">
        <v>67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/>
      <c r="AB303" s="66"/>
      <c r="AC303" s="397" t="s">
        <v>512</v>
      </c>
      <c r="AG303" s="75"/>
      <c r="AJ303" s="79"/>
      <c r="AK303" s="79">
        <v>0</v>
      </c>
      <c r="BB303" s="398" t="s">
        <v>1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customHeight="1" x14ac:dyDescent="0.25">
      <c r="A304" s="60" t="s">
        <v>513</v>
      </c>
      <c r="B304" s="60" t="s">
        <v>514</v>
      </c>
      <c r="C304" s="34">
        <v>4301012228</v>
      </c>
      <c r="D304" s="643">
        <v>4680115887282</v>
      </c>
      <c r="E304" s="644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77</v>
      </c>
      <c r="L304" s="35"/>
      <c r="M304" s="36" t="s">
        <v>115</v>
      </c>
      <c r="N304" s="36"/>
      <c r="O304" s="35">
        <v>55</v>
      </c>
      <c r="P304" s="8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0"/>
      <c r="R304" s="640"/>
      <c r="S304" s="640"/>
      <c r="T304" s="641"/>
      <c r="U304" s="37"/>
      <c r="V304" s="37"/>
      <c r="W304" s="38" t="s">
        <v>67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/>
      <c r="AB304" s="66"/>
      <c r="AC304" s="399" t="s">
        <v>515</v>
      </c>
      <c r="AG304" s="75"/>
      <c r="AJ304" s="79"/>
      <c r="AK304" s="79">
        <v>0</v>
      </c>
      <c r="BB304" s="400" t="s">
        <v>1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customHeight="1" x14ac:dyDescent="0.25">
      <c r="A305" s="60" t="s">
        <v>516</v>
      </c>
      <c r="B305" s="60" t="s">
        <v>517</v>
      </c>
      <c r="C305" s="34">
        <v>4301011722</v>
      </c>
      <c r="D305" s="643">
        <v>4680115884205</v>
      </c>
      <c r="E305" s="64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123</v>
      </c>
      <c r="L305" s="35"/>
      <c r="M305" s="36" t="s">
        <v>115</v>
      </c>
      <c r="N305" s="36"/>
      <c r="O305" s="35">
        <v>55</v>
      </c>
      <c r="P305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0"/>
      <c r="R305" s="640"/>
      <c r="S305" s="640"/>
      <c r="T305" s="641"/>
      <c r="U305" s="37"/>
      <c r="V305" s="37"/>
      <c r="W305" s="38" t="s">
        <v>67</v>
      </c>
      <c r="X305" s="56">
        <v>0</v>
      </c>
      <c r="Y305" s="53">
        <f t="shared" si="43"/>
        <v>0</v>
      </c>
      <c r="Z305" s="39" t="str">
        <f>IFERROR(IF(Y305=0,"",ROUNDUP(Y305/H305,0)*0.00902),"")</f>
        <v/>
      </c>
      <c r="AA305" s="65"/>
      <c r="AB305" s="66"/>
      <c r="AC305" s="401" t="s">
        <v>360</v>
      </c>
      <c r="AG305" s="75"/>
      <c r="AJ305" s="79"/>
      <c r="AK305" s="79">
        <v>0</v>
      </c>
      <c r="BB305" s="402" t="s">
        <v>1</v>
      </c>
      <c r="BM305" s="75">
        <f t="shared" si="44"/>
        <v>0</v>
      </c>
      <c r="BN305" s="75">
        <f t="shared" si="45"/>
        <v>0</v>
      </c>
      <c r="BO305" s="75">
        <f t="shared" si="46"/>
        <v>0</v>
      </c>
      <c r="BP305" s="75">
        <f t="shared" si="47"/>
        <v>0</v>
      </c>
    </row>
    <row r="306" spans="1:68" x14ac:dyDescent="0.2">
      <c r="A306" s="654"/>
      <c r="B306" s="655"/>
      <c r="C306" s="655"/>
      <c r="D306" s="655"/>
      <c r="E306" s="655"/>
      <c r="F306" s="655"/>
      <c r="G306" s="655"/>
      <c r="H306" s="655"/>
      <c r="I306" s="655"/>
      <c r="J306" s="655"/>
      <c r="K306" s="655"/>
      <c r="L306" s="655"/>
      <c r="M306" s="655"/>
      <c r="N306" s="655"/>
      <c r="O306" s="656"/>
      <c r="P306" s="650" t="s">
        <v>72</v>
      </c>
      <c r="Q306" s="647"/>
      <c r="R306" s="647"/>
      <c r="S306" s="647"/>
      <c r="T306" s="647"/>
      <c r="U306" s="647"/>
      <c r="V306" s="648"/>
      <c r="W306" s="40" t="s">
        <v>73</v>
      </c>
      <c r="X306" s="41">
        <f>IFERROR(X299/H299,"0")+IFERROR(X300/H300,"0")+IFERROR(X301/H301,"0")+IFERROR(X302/H302,"0")+IFERROR(X303/H303,"0")+IFERROR(X304/H304,"0")+IFERROR(X305/H305,"0")</f>
        <v>0</v>
      </c>
      <c r="Y306" s="41">
        <f>IFERROR(Y299/H299,"0")+IFERROR(Y300/H300,"0")+IFERROR(Y301/H301,"0")+IFERROR(Y302/H302,"0")+IFERROR(Y303/H303,"0")+IFERROR(Y304/H304,"0")+IFERROR(Y305/H305,"0")</f>
        <v>0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4"/>
      <c r="AB306" s="64"/>
      <c r="AC306" s="64"/>
    </row>
    <row r="307" spans="1:68" x14ac:dyDescent="0.2">
      <c r="A307" s="655"/>
      <c r="B307" s="655"/>
      <c r="C307" s="655"/>
      <c r="D307" s="655"/>
      <c r="E307" s="655"/>
      <c r="F307" s="655"/>
      <c r="G307" s="655"/>
      <c r="H307" s="655"/>
      <c r="I307" s="655"/>
      <c r="J307" s="655"/>
      <c r="K307" s="655"/>
      <c r="L307" s="655"/>
      <c r="M307" s="655"/>
      <c r="N307" s="655"/>
      <c r="O307" s="656"/>
      <c r="P307" s="650" t="s">
        <v>72</v>
      </c>
      <c r="Q307" s="647"/>
      <c r="R307" s="647"/>
      <c r="S307" s="647"/>
      <c r="T307" s="647"/>
      <c r="U307" s="647"/>
      <c r="V307" s="648"/>
      <c r="W307" s="40" t="s">
        <v>67</v>
      </c>
      <c r="X307" s="41">
        <f>IFERROR(SUM(X299:X305),"0")</f>
        <v>0</v>
      </c>
      <c r="Y307" s="41">
        <f>IFERROR(SUM(Y299:Y305),"0")</f>
        <v>0</v>
      </c>
      <c r="Z307" s="40"/>
      <c r="AA307" s="64"/>
      <c r="AB307" s="64"/>
      <c r="AC307" s="64"/>
    </row>
    <row r="308" spans="1:68" ht="14.25" customHeight="1" x14ac:dyDescent="0.25">
      <c r="A308" s="658" t="s">
        <v>147</v>
      </c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  <c r="AA308" s="63"/>
      <c r="AB308" s="63"/>
      <c r="AC308" s="63"/>
    </row>
    <row r="309" spans="1:68" ht="27" customHeight="1" x14ac:dyDescent="0.25">
      <c r="A309" s="60" t="s">
        <v>518</v>
      </c>
      <c r="B309" s="60" t="s">
        <v>519</v>
      </c>
      <c r="C309" s="34">
        <v>4301020377</v>
      </c>
      <c r="D309" s="643">
        <v>4680115885981</v>
      </c>
      <c r="E309" s="644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65</v>
      </c>
      <c r="L309" s="35"/>
      <c r="M309" s="36" t="s">
        <v>78</v>
      </c>
      <c r="N309" s="36"/>
      <c r="O309" s="35">
        <v>50</v>
      </c>
      <c r="P309" s="8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0"/>
      <c r="R309" s="640"/>
      <c r="S309" s="640"/>
      <c r="T309" s="641"/>
      <c r="U309" s="37"/>
      <c r="V309" s="37"/>
      <c r="W309" s="38" t="s">
        <v>67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/>
      <c r="AB309" s="66"/>
      <c r="AC309" s="403" t="s">
        <v>520</v>
      </c>
      <c r="AG309" s="75"/>
      <c r="AJ309" s="79"/>
      <c r="AK309" s="79">
        <v>0</v>
      </c>
      <c r="BB309" s="40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654"/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56"/>
      <c r="P310" s="650" t="s">
        <v>72</v>
      </c>
      <c r="Q310" s="647"/>
      <c r="R310" s="647"/>
      <c r="S310" s="647"/>
      <c r="T310" s="647"/>
      <c r="U310" s="647"/>
      <c r="V310" s="648"/>
      <c r="W310" s="40" t="s">
        <v>73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x14ac:dyDescent="0.2">
      <c r="A311" s="655"/>
      <c r="B311" s="655"/>
      <c r="C311" s="655"/>
      <c r="D311" s="655"/>
      <c r="E311" s="655"/>
      <c r="F311" s="655"/>
      <c r="G311" s="655"/>
      <c r="H311" s="655"/>
      <c r="I311" s="655"/>
      <c r="J311" s="655"/>
      <c r="K311" s="655"/>
      <c r="L311" s="655"/>
      <c r="M311" s="655"/>
      <c r="N311" s="655"/>
      <c r="O311" s="656"/>
      <c r="P311" s="650" t="s">
        <v>72</v>
      </c>
      <c r="Q311" s="647"/>
      <c r="R311" s="647"/>
      <c r="S311" s="647"/>
      <c r="T311" s="647"/>
      <c r="U311" s="647"/>
      <c r="V311" s="648"/>
      <c r="W311" s="40" t="s">
        <v>67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customHeight="1" x14ac:dyDescent="0.25">
      <c r="A312" s="658" t="s">
        <v>521</v>
      </c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  <c r="AA312" s="63"/>
      <c r="AB312" s="63"/>
      <c r="AC312" s="63"/>
    </row>
    <row r="313" spans="1:68" ht="27" customHeight="1" x14ac:dyDescent="0.25">
      <c r="A313" s="60" t="s">
        <v>522</v>
      </c>
      <c r="B313" s="60" t="s">
        <v>523</v>
      </c>
      <c r="C313" s="34">
        <v>4301040362</v>
      </c>
      <c r="D313" s="643">
        <v>4680115886803</v>
      </c>
      <c r="E313" s="644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333</v>
      </c>
      <c r="L313" s="35"/>
      <c r="M313" s="36" t="s">
        <v>276</v>
      </c>
      <c r="N313" s="36"/>
      <c r="O313" s="35">
        <v>45</v>
      </c>
      <c r="P313" s="6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0"/>
      <c r="R313" s="640"/>
      <c r="S313" s="640"/>
      <c r="T313" s="641"/>
      <c r="U313" s="37"/>
      <c r="V313" s="37"/>
      <c r="W313" s="38" t="s">
        <v>67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IFERROR(IF(Y313=0,"",ROUNDUP(Y313/H313,0)*0.0059),"")</f>
        <v/>
      </c>
      <c r="AA313" s="65"/>
      <c r="AB313" s="66"/>
      <c r="AC313" s="405" t="s">
        <v>524</v>
      </c>
      <c r="AG313" s="75"/>
      <c r="AJ313" s="79"/>
      <c r="AK313" s="79">
        <v>0</v>
      </c>
      <c r="BB313" s="406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54"/>
      <c r="B314" s="655"/>
      <c r="C314" s="655"/>
      <c r="D314" s="655"/>
      <c r="E314" s="655"/>
      <c r="F314" s="655"/>
      <c r="G314" s="655"/>
      <c r="H314" s="655"/>
      <c r="I314" s="655"/>
      <c r="J314" s="655"/>
      <c r="K314" s="655"/>
      <c r="L314" s="655"/>
      <c r="M314" s="655"/>
      <c r="N314" s="655"/>
      <c r="O314" s="656"/>
      <c r="P314" s="650" t="s">
        <v>72</v>
      </c>
      <c r="Q314" s="647"/>
      <c r="R314" s="647"/>
      <c r="S314" s="647"/>
      <c r="T314" s="647"/>
      <c r="U314" s="647"/>
      <c r="V314" s="648"/>
      <c r="W314" s="40" t="s">
        <v>73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x14ac:dyDescent="0.2">
      <c r="A315" s="655"/>
      <c r="B315" s="655"/>
      <c r="C315" s="655"/>
      <c r="D315" s="655"/>
      <c r="E315" s="655"/>
      <c r="F315" s="655"/>
      <c r="G315" s="655"/>
      <c r="H315" s="655"/>
      <c r="I315" s="655"/>
      <c r="J315" s="655"/>
      <c r="K315" s="655"/>
      <c r="L315" s="655"/>
      <c r="M315" s="655"/>
      <c r="N315" s="655"/>
      <c r="O315" s="656"/>
      <c r="P315" s="650" t="s">
        <v>72</v>
      </c>
      <c r="Q315" s="647"/>
      <c r="R315" s="647"/>
      <c r="S315" s="647"/>
      <c r="T315" s="647"/>
      <c r="U315" s="647"/>
      <c r="V315" s="648"/>
      <c r="W315" s="40" t="s">
        <v>67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customHeight="1" x14ac:dyDescent="0.25">
      <c r="A316" s="658" t="s">
        <v>338</v>
      </c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3"/>
      <c r="AB316" s="63"/>
      <c r="AC316" s="63"/>
    </row>
    <row r="317" spans="1:68" ht="27" customHeight="1" x14ac:dyDescent="0.25">
      <c r="A317" s="60" t="s">
        <v>525</v>
      </c>
      <c r="B317" s="60" t="s">
        <v>526</v>
      </c>
      <c r="C317" s="34">
        <v>4301041004</v>
      </c>
      <c r="D317" s="643">
        <v>4680115886704</v>
      </c>
      <c r="E317" s="644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333</v>
      </c>
      <c r="L317" s="35"/>
      <c r="M317" s="36" t="s">
        <v>276</v>
      </c>
      <c r="N317" s="36"/>
      <c r="O317" s="35">
        <v>90</v>
      </c>
      <c r="P317" s="70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0"/>
      <c r="R317" s="640"/>
      <c r="S317" s="640"/>
      <c r="T317" s="641"/>
      <c r="U317" s="37"/>
      <c r="V317" s="37"/>
      <c r="W317" s="38" t="s">
        <v>67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/>
      <c r="AB317" s="66"/>
      <c r="AC317" s="407" t="s">
        <v>527</v>
      </c>
      <c r="AG317" s="75"/>
      <c r="AJ317" s="79"/>
      <c r="AK317" s="79">
        <v>0</v>
      </c>
      <c r="BB317" s="408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528</v>
      </c>
      <c r="B318" s="60" t="s">
        <v>529</v>
      </c>
      <c r="C318" s="34">
        <v>4301041008</v>
      </c>
      <c r="D318" s="643">
        <v>4680115886681</v>
      </c>
      <c r="E318" s="644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333</v>
      </c>
      <c r="L318" s="35"/>
      <c r="M318" s="36" t="s">
        <v>276</v>
      </c>
      <c r="N318" s="36"/>
      <c r="O318" s="35">
        <v>90</v>
      </c>
      <c r="P318" s="7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0"/>
      <c r="R318" s="640"/>
      <c r="S318" s="640"/>
      <c r="T318" s="641"/>
      <c r="U318" s="37"/>
      <c r="V318" s="37"/>
      <c r="W318" s="38" t="s">
        <v>67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/>
      <c r="AB318" s="66"/>
      <c r="AC318" s="409" t="s">
        <v>527</v>
      </c>
      <c r="AG318" s="75"/>
      <c r="AJ318" s="79"/>
      <c r="AK318" s="79">
        <v>0</v>
      </c>
      <c r="BB318" s="410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530</v>
      </c>
      <c r="B319" s="60" t="s">
        <v>531</v>
      </c>
      <c r="C319" s="34">
        <v>4301041007</v>
      </c>
      <c r="D319" s="643">
        <v>4680115886735</v>
      </c>
      <c r="E319" s="644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333</v>
      </c>
      <c r="L319" s="35"/>
      <c r="M319" s="36" t="s">
        <v>276</v>
      </c>
      <c r="N319" s="36"/>
      <c r="O319" s="35">
        <v>90</v>
      </c>
      <c r="P319" s="6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0"/>
      <c r="R319" s="640"/>
      <c r="S319" s="640"/>
      <c r="T319" s="641"/>
      <c r="U319" s="37"/>
      <c r="V319" s="37"/>
      <c r="W319" s="38" t="s">
        <v>67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/>
      <c r="AB319" s="66"/>
      <c r="AC319" s="411" t="s">
        <v>527</v>
      </c>
      <c r="AG319" s="75"/>
      <c r="AJ319" s="79"/>
      <c r="AK319" s="79">
        <v>0</v>
      </c>
      <c r="BB319" s="412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x14ac:dyDescent="0.2">
      <c r="A320" s="654"/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6"/>
      <c r="P320" s="650" t="s">
        <v>72</v>
      </c>
      <c r="Q320" s="647"/>
      <c r="R320" s="647"/>
      <c r="S320" s="647"/>
      <c r="T320" s="647"/>
      <c r="U320" s="647"/>
      <c r="V320" s="648"/>
      <c r="W320" s="40" t="s">
        <v>73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x14ac:dyDescent="0.2">
      <c r="A321" s="655"/>
      <c r="B321" s="655"/>
      <c r="C321" s="655"/>
      <c r="D321" s="655"/>
      <c r="E321" s="655"/>
      <c r="F321" s="655"/>
      <c r="G321" s="655"/>
      <c r="H321" s="655"/>
      <c r="I321" s="655"/>
      <c r="J321" s="655"/>
      <c r="K321" s="655"/>
      <c r="L321" s="655"/>
      <c r="M321" s="655"/>
      <c r="N321" s="655"/>
      <c r="O321" s="656"/>
      <c r="P321" s="650" t="s">
        <v>72</v>
      </c>
      <c r="Q321" s="647"/>
      <c r="R321" s="647"/>
      <c r="S321" s="647"/>
      <c r="T321" s="647"/>
      <c r="U321" s="647"/>
      <c r="V321" s="648"/>
      <c r="W321" s="40" t="s">
        <v>67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customHeight="1" x14ac:dyDescent="0.25">
      <c r="A322" s="657" t="s">
        <v>532</v>
      </c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  <c r="AA322" s="62"/>
      <c r="AB322" s="62"/>
      <c r="AC322" s="62"/>
    </row>
    <row r="323" spans="1:68" ht="14.25" customHeight="1" x14ac:dyDescent="0.25">
      <c r="A323" s="658" t="s">
        <v>111</v>
      </c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5"/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  <c r="AA323" s="63"/>
      <c r="AB323" s="63"/>
      <c r="AC323" s="63"/>
    </row>
    <row r="324" spans="1:68" ht="27" customHeight="1" x14ac:dyDescent="0.25">
      <c r="A324" s="60" t="s">
        <v>533</v>
      </c>
      <c r="B324" s="60" t="s">
        <v>534</v>
      </c>
      <c r="C324" s="34">
        <v>4301011855</v>
      </c>
      <c r="D324" s="643">
        <v>4680115885837</v>
      </c>
      <c r="E324" s="64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114</v>
      </c>
      <c r="L324" s="35"/>
      <c r="M324" s="36" t="s">
        <v>115</v>
      </c>
      <c r="N324" s="36"/>
      <c r="O324" s="35">
        <v>55</v>
      </c>
      <c r="P324" s="8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0"/>
      <c r="R324" s="640"/>
      <c r="S324" s="640"/>
      <c r="T324" s="641"/>
      <c r="U324" s="37"/>
      <c r="V324" s="37"/>
      <c r="W324" s="38" t="s">
        <v>67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/>
      <c r="AB324" s="66"/>
      <c r="AC324" s="413" t="s">
        <v>535</v>
      </c>
      <c r="AG324" s="75"/>
      <c r="AJ324" s="79"/>
      <c r="AK324" s="79">
        <v>0</v>
      </c>
      <c r="BB324" s="414" t="s">
        <v>1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37.5" customHeight="1" x14ac:dyDescent="0.25">
      <c r="A325" s="60" t="s">
        <v>536</v>
      </c>
      <c r="B325" s="60" t="s">
        <v>537</v>
      </c>
      <c r="C325" s="34">
        <v>4301012234</v>
      </c>
      <c r="D325" s="643">
        <v>4680115887237</v>
      </c>
      <c r="E325" s="644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114</v>
      </c>
      <c r="L325" s="35"/>
      <c r="M325" s="36" t="s">
        <v>115</v>
      </c>
      <c r="N325" s="36"/>
      <c r="O325" s="35">
        <v>55</v>
      </c>
      <c r="P325" s="80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0"/>
      <c r="R325" s="640"/>
      <c r="S325" s="640"/>
      <c r="T325" s="641"/>
      <c r="U325" s="37"/>
      <c r="V325" s="37"/>
      <c r="W325" s="38" t="s">
        <v>67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/>
      <c r="AB325" s="66"/>
      <c r="AC325" s="415" t="s">
        <v>538</v>
      </c>
      <c r="AG325" s="75"/>
      <c r="AJ325" s="79"/>
      <c r="AK325" s="79">
        <v>0</v>
      </c>
      <c r="BB325" s="416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539</v>
      </c>
      <c r="B326" s="60" t="s">
        <v>540</v>
      </c>
      <c r="C326" s="34">
        <v>4301011850</v>
      </c>
      <c r="D326" s="643">
        <v>4680115885806</v>
      </c>
      <c r="E326" s="64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114</v>
      </c>
      <c r="L326" s="35"/>
      <c r="M326" s="36" t="s">
        <v>115</v>
      </c>
      <c r="N326" s="36"/>
      <c r="O326" s="35">
        <v>55</v>
      </c>
      <c r="P326" s="9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0"/>
      <c r="R326" s="640"/>
      <c r="S326" s="640"/>
      <c r="T326" s="641"/>
      <c r="U326" s="37"/>
      <c r="V326" s="37"/>
      <c r="W326" s="38" t="s">
        <v>67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/>
      <c r="AB326" s="66"/>
      <c r="AC326" s="417" t="s">
        <v>541</v>
      </c>
      <c r="AG326" s="75"/>
      <c r="AJ326" s="79"/>
      <c r="AK326" s="79">
        <v>0</v>
      </c>
      <c r="BB326" s="418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542</v>
      </c>
      <c r="B327" s="60" t="s">
        <v>543</v>
      </c>
      <c r="C327" s="34">
        <v>4301011852</v>
      </c>
      <c r="D327" s="643">
        <v>4680115885844</v>
      </c>
      <c r="E327" s="644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123</v>
      </c>
      <c r="L327" s="35"/>
      <c r="M327" s="36" t="s">
        <v>115</v>
      </c>
      <c r="N327" s="36"/>
      <c r="O327" s="35">
        <v>55</v>
      </c>
      <c r="P327" s="81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0"/>
      <c r="R327" s="640"/>
      <c r="S327" s="640"/>
      <c r="T327" s="641"/>
      <c r="U327" s="37"/>
      <c r="V327" s="37"/>
      <c r="W327" s="38" t="s">
        <v>67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/>
      <c r="AB327" s="66"/>
      <c r="AC327" s="419" t="s">
        <v>544</v>
      </c>
      <c r="AG327" s="75"/>
      <c r="AJ327" s="79"/>
      <c r="AK327" s="79">
        <v>0</v>
      </c>
      <c r="BB327" s="420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customHeight="1" x14ac:dyDescent="0.25">
      <c r="A328" s="60" t="s">
        <v>545</v>
      </c>
      <c r="B328" s="60" t="s">
        <v>546</v>
      </c>
      <c r="C328" s="34">
        <v>4301011851</v>
      </c>
      <c r="D328" s="643">
        <v>4680115885820</v>
      </c>
      <c r="E328" s="644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123</v>
      </c>
      <c r="L328" s="35"/>
      <c r="M328" s="36" t="s">
        <v>115</v>
      </c>
      <c r="N328" s="36"/>
      <c r="O328" s="35">
        <v>55</v>
      </c>
      <c r="P328" s="9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0"/>
      <c r="R328" s="640"/>
      <c r="S328" s="640"/>
      <c r="T328" s="641"/>
      <c r="U328" s="37"/>
      <c r="V328" s="37"/>
      <c r="W328" s="38" t="s">
        <v>67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/>
      <c r="AB328" s="66"/>
      <c r="AC328" s="421" t="s">
        <v>547</v>
      </c>
      <c r="AG328" s="75"/>
      <c r="AJ328" s="79"/>
      <c r="AK328" s="79">
        <v>0</v>
      </c>
      <c r="BB328" s="422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x14ac:dyDescent="0.2">
      <c r="A329" s="654"/>
      <c r="B329" s="655"/>
      <c r="C329" s="655"/>
      <c r="D329" s="655"/>
      <c r="E329" s="655"/>
      <c r="F329" s="655"/>
      <c r="G329" s="655"/>
      <c r="H329" s="655"/>
      <c r="I329" s="655"/>
      <c r="J329" s="655"/>
      <c r="K329" s="655"/>
      <c r="L329" s="655"/>
      <c r="M329" s="655"/>
      <c r="N329" s="655"/>
      <c r="O329" s="656"/>
      <c r="P329" s="650" t="s">
        <v>72</v>
      </c>
      <c r="Q329" s="647"/>
      <c r="R329" s="647"/>
      <c r="S329" s="647"/>
      <c r="T329" s="647"/>
      <c r="U329" s="647"/>
      <c r="V329" s="648"/>
      <c r="W329" s="40" t="s">
        <v>73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x14ac:dyDescent="0.2">
      <c r="A330" s="655"/>
      <c r="B330" s="655"/>
      <c r="C330" s="655"/>
      <c r="D330" s="655"/>
      <c r="E330" s="655"/>
      <c r="F330" s="655"/>
      <c r="G330" s="655"/>
      <c r="H330" s="655"/>
      <c r="I330" s="655"/>
      <c r="J330" s="655"/>
      <c r="K330" s="655"/>
      <c r="L330" s="655"/>
      <c r="M330" s="655"/>
      <c r="N330" s="655"/>
      <c r="O330" s="656"/>
      <c r="P330" s="650" t="s">
        <v>72</v>
      </c>
      <c r="Q330" s="647"/>
      <c r="R330" s="647"/>
      <c r="S330" s="647"/>
      <c r="T330" s="647"/>
      <c r="U330" s="647"/>
      <c r="V330" s="648"/>
      <c r="W330" s="40" t="s">
        <v>67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6.5" customHeight="1" x14ac:dyDescent="0.25">
      <c r="A331" s="657" t="s">
        <v>548</v>
      </c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5"/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  <c r="AA331" s="62"/>
      <c r="AB331" s="62"/>
      <c r="AC331" s="62"/>
    </row>
    <row r="332" spans="1:68" ht="14.25" customHeight="1" x14ac:dyDescent="0.25">
      <c r="A332" s="658" t="s">
        <v>74</v>
      </c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5"/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  <c r="AA332" s="63"/>
      <c r="AB332" s="63"/>
      <c r="AC332" s="63"/>
    </row>
    <row r="333" spans="1:68" ht="27" customHeight="1" x14ac:dyDescent="0.25">
      <c r="A333" s="60" t="s">
        <v>549</v>
      </c>
      <c r="B333" s="60" t="s">
        <v>550</v>
      </c>
      <c r="C333" s="34">
        <v>4301051893</v>
      </c>
      <c r="D333" s="643">
        <v>4680115886186</v>
      </c>
      <c r="E333" s="644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77</v>
      </c>
      <c r="L333" s="35"/>
      <c r="M333" s="36" t="s">
        <v>78</v>
      </c>
      <c r="N333" s="36"/>
      <c r="O333" s="35">
        <v>45</v>
      </c>
      <c r="P333" s="7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0"/>
      <c r="R333" s="640"/>
      <c r="S333" s="640"/>
      <c r="T333" s="641"/>
      <c r="U333" s="37"/>
      <c r="V333" s="37"/>
      <c r="W333" s="38" t="s">
        <v>67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/>
      <c r="AB333" s="66"/>
      <c r="AC333" s="423" t="s">
        <v>551</v>
      </c>
      <c r="AG333" s="75"/>
      <c r="AJ333" s="79"/>
      <c r="AK333" s="79">
        <v>0</v>
      </c>
      <c r="BB333" s="424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customHeight="1" x14ac:dyDescent="0.25">
      <c r="A334" s="60" t="s">
        <v>552</v>
      </c>
      <c r="B334" s="60" t="s">
        <v>553</v>
      </c>
      <c r="C334" s="34">
        <v>4301051795</v>
      </c>
      <c r="D334" s="643">
        <v>4680115881228</v>
      </c>
      <c r="E334" s="644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77</v>
      </c>
      <c r="L334" s="35"/>
      <c r="M334" s="36" t="s">
        <v>84</v>
      </c>
      <c r="N334" s="36"/>
      <c r="O334" s="35">
        <v>40</v>
      </c>
      <c r="P334" s="9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0"/>
      <c r="R334" s="640"/>
      <c r="S334" s="640"/>
      <c r="T334" s="641"/>
      <c r="U334" s="37"/>
      <c r="V334" s="37"/>
      <c r="W334" s="38" t="s">
        <v>67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/>
      <c r="AB334" s="66"/>
      <c r="AC334" s="425" t="s">
        <v>554</v>
      </c>
      <c r="AG334" s="75"/>
      <c r="AJ334" s="79"/>
      <c r="AK334" s="79">
        <v>0</v>
      </c>
      <c r="BB334" s="426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customHeight="1" x14ac:dyDescent="0.25">
      <c r="A335" s="60" t="s">
        <v>555</v>
      </c>
      <c r="B335" s="60" t="s">
        <v>556</v>
      </c>
      <c r="C335" s="34">
        <v>4301051388</v>
      </c>
      <c r="D335" s="643">
        <v>4680115881211</v>
      </c>
      <c r="E335" s="64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77</v>
      </c>
      <c r="L335" s="35"/>
      <c r="M335" s="36" t="s">
        <v>78</v>
      </c>
      <c r="N335" s="36"/>
      <c r="O335" s="35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0"/>
      <c r="R335" s="640"/>
      <c r="S335" s="640"/>
      <c r="T335" s="641"/>
      <c r="U335" s="37"/>
      <c r="V335" s="37"/>
      <c r="W335" s="38" t="s">
        <v>67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/>
      <c r="AB335" s="66"/>
      <c r="AC335" s="427" t="s">
        <v>551</v>
      </c>
      <c r="AG335" s="75"/>
      <c r="AJ335" s="79"/>
      <c r="AK335" s="79">
        <v>0</v>
      </c>
      <c r="BB335" s="428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x14ac:dyDescent="0.2">
      <c r="A336" s="654"/>
      <c r="B336" s="655"/>
      <c r="C336" s="655"/>
      <c r="D336" s="655"/>
      <c r="E336" s="655"/>
      <c r="F336" s="655"/>
      <c r="G336" s="655"/>
      <c r="H336" s="655"/>
      <c r="I336" s="655"/>
      <c r="J336" s="655"/>
      <c r="K336" s="655"/>
      <c r="L336" s="655"/>
      <c r="M336" s="655"/>
      <c r="N336" s="655"/>
      <c r="O336" s="656"/>
      <c r="P336" s="650" t="s">
        <v>72</v>
      </c>
      <c r="Q336" s="647"/>
      <c r="R336" s="647"/>
      <c r="S336" s="647"/>
      <c r="T336" s="647"/>
      <c r="U336" s="647"/>
      <c r="V336" s="648"/>
      <c r="W336" s="40" t="s">
        <v>73</v>
      </c>
      <c r="X336" s="41">
        <f>IFERROR(X333/H333,"0")+IFERROR(X334/H334,"0")+IFERROR(X335/H335,"0")</f>
        <v>0</v>
      </c>
      <c r="Y336" s="41">
        <f>IFERROR(Y333/H333,"0")+IFERROR(Y334/H334,"0")+IFERROR(Y335/H335,"0")</f>
        <v>0</v>
      </c>
      <c r="Z336" s="41">
        <f>IFERROR(IF(Z333="",0,Z333),"0")+IFERROR(IF(Z334="",0,Z334),"0")+IFERROR(IF(Z335="",0,Z335),"0")</f>
        <v>0</v>
      </c>
      <c r="AA336" s="64"/>
      <c r="AB336" s="64"/>
      <c r="AC336" s="64"/>
    </row>
    <row r="337" spans="1:68" x14ac:dyDescent="0.2">
      <c r="A337" s="655"/>
      <c r="B337" s="655"/>
      <c r="C337" s="655"/>
      <c r="D337" s="655"/>
      <c r="E337" s="655"/>
      <c r="F337" s="655"/>
      <c r="G337" s="655"/>
      <c r="H337" s="655"/>
      <c r="I337" s="655"/>
      <c r="J337" s="655"/>
      <c r="K337" s="655"/>
      <c r="L337" s="655"/>
      <c r="M337" s="655"/>
      <c r="N337" s="655"/>
      <c r="O337" s="656"/>
      <c r="P337" s="650" t="s">
        <v>72</v>
      </c>
      <c r="Q337" s="647"/>
      <c r="R337" s="647"/>
      <c r="S337" s="647"/>
      <c r="T337" s="647"/>
      <c r="U337" s="647"/>
      <c r="V337" s="648"/>
      <c r="W337" s="40" t="s">
        <v>67</v>
      </c>
      <c r="X337" s="41">
        <f>IFERROR(SUM(X333:X335),"0")</f>
        <v>0</v>
      </c>
      <c r="Y337" s="41">
        <f>IFERROR(SUM(Y333:Y335),"0")</f>
        <v>0</v>
      </c>
      <c r="Z337" s="40"/>
      <c r="AA337" s="64"/>
      <c r="AB337" s="64"/>
      <c r="AC337" s="64"/>
    </row>
    <row r="338" spans="1:68" ht="16.5" customHeight="1" x14ac:dyDescent="0.25">
      <c r="A338" s="657" t="s">
        <v>557</v>
      </c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  <c r="AA338" s="62"/>
      <c r="AB338" s="62"/>
      <c r="AC338" s="62"/>
    </row>
    <row r="339" spans="1:68" ht="14.25" customHeight="1" x14ac:dyDescent="0.25">
      <c r="A339" s="658" t="s">
        <v>62</v>
      </c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5"/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  <c r="AA339" s="63"/>
      <c r="AB339" s="63"/>
      <c r="AC339" s="63"/>
    </row>
    <row r="340" spans="1:68" ht="27" customHeight="1" x14ac:dyDescent="0.25">
      <c r="A340" s="60" t="s">
        <v>558</v>
      </c>
      <c r="B340" s="60" t="s">
        <v>559</v>
      </c>
      <c r="C340" s="34">
        <v>4301031445</v>
      </c>
      <c r="D340" s="643">
        <v>4680115888319</v>
      </c>
      <c r="E340" s="644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65</v>
      </c>
      <c r="L340" s="35"/>
      <c r="M340" s="36" t="s">
        <v>66</v>
      </c>
      <c r="N340" s="36"/>
      <c r="O340" s="35">
        <v>45</v>
      </c>
      <c r="P340" s="8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0"/>
      <c r="R340" s="640"/>
      <c r="S340" s="640"/>
      <c r="T340" s="641"/>
      <c r="U340" s="37"/>
      <c r="V340" s="37"/>
      <c r="W340" s="38" t="s">
        <v>67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/>
      <c r="AB340" s="66"/>
      <c r="AC340" s="429" t="s">
        <v>392</v>
      </c>
      <c r="AG340" s="75"/>
      <c r="AJ340" s="79"/>
      <c r="AK340" s="79">
        <v>0</v>
      </c>
      <c r="BB340" s="430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560</v>
      </c>
      <c r="B341" s="60" t="s">
        <v>561</v>
      </c>
      <c r="C341" s="34">
        <v>4301031502</v>
      </c>
      <c r="D341" s="643">
        <v>4680115884700</v>
      </c>
      <c r="E341" s="644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65</v>
      </c>
      <c r="L341" s="35"/>
      <c r="M341" s="36" t="s">
        <v>66</v>
      </c>
      <c r="N341" s="36"/>
      <c r="O341" s="35">
        <v>40</v>
      </c>
      <c r="P341" s="73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0"/>
      <c r="R341" s="640"/>
      <c r="S341" s="640"/>
      <c r="T341" s="641"/>
      <c r="U341" s="37"/>
      <c r="V341" s="37"/>
      <c r="W341" s="38" t="s">
        <v>67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/>
      <c r="AB341" s="66"/>
      <c r="AC341" s="431" t="s">
        <v>562</v>
      </c>
      <c r="AG341" s="75"/>
      <c r="AJ341" s="79"/>
      <c r="AK341" s="79">
        <v>0</v>
      </c>
      <c r="BB341" s="432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customHeight="1" x14ac:dyDescent="0.25">
      <c r="A342" s="60" t="s">
        <v>563</v>
      </c>
      <c r="B342" s="60" t="s">
        <v>564</v>
      </c>
      <c r="C342" s="34">
        <v>4301031307</v>
      </c>
      <c r="D342" s="643">
        <v>4680115880344</v>
      </c>
      <c r="E342" s="644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65</v>
      </c>
      <c r="L342" s="35"/>
      <c r="M342" s="36" t="s">
        <v>66</v>
      </c>
      <c r="N342" s="36"/>
      <c r="O342" s="35">
        <v>40</v>
      </c>
      <c r="P342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0"/>
      <c r="R342" s="640"/>
      <c r="S342" s="640"/>
      <c r="T342" s="641"/>
      <c r="U342" s="37"/>
      <c r="V342" s="37"/>
      <c r="W342" s="38" t="s">
        <v>67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/>
      <c r="AB342" s="66"/>
      <c r="AC342" s="433" t="s">
        <v>565</v>
      </c>
      <c r="AG342" s="75"/>
      <c r="AJ342" s="79"/>
      <c r="AK342" s="79">
        <v>0</v>
      </c>
      <c r="BB342" s="434" t="s">
        <v>1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566</v>
      </c>
      <c r="B343" s="60" t="s">
        <v>567</v>
      </c>
      <c r="C343" s="34">
        <v>4301031501</v>
      </c>
      <c r="D343" s="643">
        <v>4680115886919</v>
      </c>
      <c r="E343" s="644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77</v>
      </c>
      <c r="L343" s="35"/>
      <c r="M343" s="36" t="s">
        <v>66</v>
      </c>
      <c r="N343" s="36"/>
      <c r="O343" s="35">
        <v>40</v>
      </c>
      <c r="P343" s="79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0"/>
      <c r="R343" s="640"/>
      <c r="S343" s="640"/>
      <c r="T343" s="641"/>
      <c r="U343" s="37"/>
      <c r="V343" s="37"/>
      <c r="W343" s="38" t="s">
        <v>67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/>
      <c r="AB343" s="66"/>
      <c r="AC343" s="435" t="s">
        <v>568</v>
      </c>
      <c r="AG343" s="75"/>
      <c r="AJ343" s="79"/>
      <c r="AK343" s="79">
        <v>0</v>
      </c>
      <c r="BB343" s="436" t="s">
        <v>1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569</v>
      </c>
      <c r="B344" s="60" t="s">
        <v>570</v>
      </c>
      <c r="C344" s="34">
        <v>4301031246</v>
      </c>
      <c r="D344" s="643">
        <v>4680115883970</v>
      </c>
      <c r="E344" s="644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65</v>
      </c>
      <c r="L344" s="35"/>
      <c r="M344" s="36" t="s">
        <v>66</v>
      </c>
      <c r="N344" s="36"/>
      <c r="O344" s="35">
        <v>40</v>
      </c>
      <c r="P344" s="7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0"/>
      <c r="R344" s="640"/>
      <c r="S344" s="640"/>
      <c r="T344" s="641"/>
      <c r="U344" s="37"/>
      <c r="V344" s="37"/>
      <c r="W344" s="38" t="s">
        <v>67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/>
      <c r="AB344" s="66"/>
      <c r="AC344" s="437" t="s">
        <v>571</v>
      </c>
      <c r="AG344" s="75"/>
      <c r="AJ344" s="79"/>
      <c r="AK344" s="79">
        <v>0</v>
      </c>
      <c r="BB344" s="438" t="s">
        <v>1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54"/>
      <c r="B345" s="655"/>
      <c r="C345" s="655"/>
      <c r="D345" s="655"/>
      <c r="E345" s="655"/>
      <c r="F345" s="655"/>
      <c r="G345" s="655"/>
      <c r="H345" s="655"/>
      <c r="I345" s="655"/>
      <c r="J345" s="655"/>
      <c r="K345" s="655"/>
      <c r="L345" s="655"/>
      <c r="M345" s="655"/>
      <c r="N345" s="655"/>
      <c r="O345" s="656"/>
      <c r="P345" s="650" t="s">
        <v>72</v>
      </c>
      <c r="Q345" s="647"/>
      <c r="R345" s="647"/>
      <c r="S345" s="647"/>
      <c r="T345" s="647"/>
      <c r="U345" s="647"/>
      <c r="V345" s="648"/>
      <c r="W345" s="40" t="s">
        <v>73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x14ac:dyDescent="0.2">
      <c r="A346" s="655"/>
      <c r="B346" s="655"/>
      <c r="C346" s="655"/>
      <c r="D346" s="655"/>
      <c r="E346" s="655"/>
      <c r="F346" s="655"/>
      <c r="G346" s="655"/>
      <c r="H346" s="655"/>
      <c r="I346" s="655"/>
      <c r="J346" s="655"/>
      <c r="K346" s="655"/>
      <c r="L346" s="655"/>
      <c r="M346" s="655"/>
      <c r="N346" s="655"/>
      <c r="O346" s="656"/>
      <c r="P346" s="650" t="s">
        <v>72</v>
      </c>
      <c r="Q346" s="647"/>
      <c r="R346" s="647"/>
      <c r="S346" s="647"/>
      <c r="T346" s="647"/>
      <c r="U346" s="647"/>
      <c r="V346" s="648"/>
      <c r="W346" s="40" t="s">
        <v>67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customHeight="1" x14ac:dyDescent="0.25">
      <c r="A347" s="658" t="s">
        <v>74</v>
      </c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3"/>
      <c r="AB347" s="63"/>
      <c r="AC347" s="63"/>
    </row>
    <row r="348" spans="1:68" ht="27" customHeight="1" x14ac:dyDescent="0.25">
      <c r="A348" s="60" t="s">
        <v>572</v>
      </c>
      <c r="B348" s="60" t="s">
        <v>573</v>
      </c>
      <c r="C348" s="34">
        <v>4301051782</v>
      </c>
      <c r="D348" s="643">
        <v>4680115884618</v>
      </c>
      <c r="E348" s="644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123</v>
      </c>
      <c r="L348" s="35"/>
      <c r="M348" s="36" t="s">
        <v>78</v>
      </c>
      <c r="N348" s="36"/>
      <c r="O348" s="35">
        <v>45</v>
      </c>
      <c r="P348" s="7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0"/>
      <c r="R348" s="640"/>
      <c r="S348" s="640"/>
      <c r="T348" s="641"/>
      <c r="U348" s="37"/>
      <c r="V348" s="37"/>
      <c r="W348" s="38" t="s">
        <v>67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IFERROR(IF(Y348=0,"",ROUNDUP(Y348/H348,0)*0.00902),"")</f>
        <v/>
      </c>
      <c r="AA348" s="65"/>
      <c r="AB348" s="66"/>
      <c r="AC348" s="439" t="s">
        <v>574</v>
      </c>
      <c r="AG348" s="75"/>
      <c r="AJ348" s="79"/>
      <c r="AK348" s="79">
        <v>0</v>
      </c>
      <c r="BB348" s="440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customHeight="1" x14ac:dyDescent="0.25">
      <c r="A349" s="60" t="s">
        <v>575</v>
      </c>
      <c r="B349" s="60" t="s">
        <v>576</v>
      </c>
      <c r="C349" s="34">
        <v>4301052057</v>
      </c>
      <c r="D349" s="643">
        <v>4680115887114</v>
      </c>
      <c r="E349" s="644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123</v>
      </c>
      <c r="L349" s="35"/>
      <c r="M349" s="36" t="s">
        <v>78</v>
      </c>
      <c r="N349" s="36"/>
      <c r="O349" s="35">
        <v>45</v>
      </c>
      <c r="P349" s="71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0"/>
      <c r="R349" s="640"/>
      <c r="S349" s="640"/>
      <c r="T349" s="641"/>
      <c r="U349" s="37"/>
      <c r="V349" s="37"/>
      <c r="W349" s="38" t="s">
        <v>67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41" t="s">
        <v>577</v>
      </c>
      <c r="AG349" s="75"/>
      <c r="AJ349" s="79"/>
      <c r="AK349" s="79">
        <v>0</v>
      </c>
      <c r="BB349" s="442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x14ac:dyDescent="0.2">
      <c r="A350" s="654"/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6"/>
      <c r="P350" s="650" t="s">
        <v>72</v>
      </c>
      <c r="Q350" s="647"/>
      <c r="R350" s="647"/>
      <c r="S350" s="647"/>
      <c r="T350" s="647"/>
      <c r="U350" s="647"/>
      <c r="V350" s="648"/>
      <c r="W350" s="40" t="s">
        <v>73</v>
      </c>
      <c r="X350" s="41">
        <f>IFERROR(X348/H348,"0")+IFERROR(X349/H349,"0")</f>
        <v>0</v>
      </c>
      <c r="Y350" s="41">
        <f>IFERROR(Y348/H348,"0")+IFERROR(Y349/H349,"0")</f>
        <v>0</v>
      </c>
      <c r="Z350" s="41">
        <f>IFERROR(IF(Z348="",0,Z348),"0")+IFERROR(IF(Z349="",0,Z349),"0")</f>
        <v>0</v>
      </c>
      <c r="AA350" s="64"/>
      <c r="AB350" s="64"/>
      <c r="AC350" s="64"/>
    </row>
    <row r="351" spans="1:68" x14ac:dyDescent="0.2">
      <c r="A351" s="655"/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6"/>
      <c r="P351" s="650" t="s">
        <v>72</v>
      </c>
      <c r="Q351" s="647"/>
      <c r="R351" s="647"/>
      <c r="S351" s="647"/>
      <c r="T351" s="647"/>
      <c r="U351" s="647"/>
      <c r="V351" s="648"/>
      <c r="W351" s="40" t="s">
        <v>67</v>
      </c>
      <c r="X351" s="41">
        <f>IFERROR(SUM(X348:X349),"0")</f>
        <v>0</v>
      </c>
      <c r="Y351" s="41">
        <f>IFERROR(SUM(Y348:Y349),"0")</f>
        <v>0</v>
      </c>
      <c r="Z351" s="40"/>
      <c r="AA351" s="64"/>
      <c r="AB351" s="64"/>
      <c r="AC351" s="64"/>
    </row>
    <row r="352" spans="1:68" ht="16.5" customHeight="1" x14ac:dyDescent="0.25">
      <c r="A352" s="657" t="s">
        <v>578</v>
      </c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5"/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  <c r="AA352" s="62"/>
      <c r="AB352" s="62"/>
      <c r="AC352" s="62"/>
    </row>
    <row r="353" spans="1:68" ht="14.25" customHeight="1" x14ac:dyDescent="0.25">
      <c r="A353" s="658" t="s">
        <v>111</v>
      </c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3"/>
      <c r="AB353" s="63"/>
      <c r="AC353" s="63"/>
    </row>
    <row r="354" spans="1:68" ht="27" customHeight="1" x14ac:dyDescent="0.25">
      <c r="A354" s="60" t="s">
        <v>579</v>
      </c>
      <c r="B354" s="60" t="s">
        <v>580</v>
      </c>
      <c r="C354" s="34">
        <v>4301012324</v>
      </c>
      <c r="D354" s="643">
        <v>4680115887947</v>
      </c>
      <c r="E354" s="64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114</v>
      </c>
      <c r="L354" s="35"/>
      <c r="M354" s="36" t="s">
        <v>78</v>
      </c>
      <c r="N354" s="36"/>
      <c r="O354" s="35">
        <v>60</v>
      </c>
      <c r="P354" s="72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0"/>
      <c r="R354" s="640"/>
      <c r="S354" s="640"/>
      <c r="T354" s="641"/>
      <c r="U354" s="37"/>
      <c r="V354" s="37"/>
      <c r="W354" s="38" t="s">
        <v>67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/>
      <c r="AB354" s="66"/>
      <c r="AC354" s="443" t="s">
        <v>351</v>
      </c>
      <c r="AG354" s="75"/>
      <c r="AJ354" s="79"/>
      <c r="AK354" s="79">
        <v>0</v>
      </c>
      <c r="BB354" s="444" t="s">
        <v>1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customHeight="1" x14ac:dyDescent="0.25">
      <c r="A355" s="60" t="s">
        <v>581</v>
      </c>
      <c r="B355" s="60" t="s">
        <v>582</v>
      </c>
      <c r="C355" s="34">
        <v>4301012325</v>
      </c>
      <c r="D355" s="643">
        <v>4680115887978</v>
      </c>
      <c r="E355" s="644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114</v>
      </c>
      <c r="L355" s="35"/>
      <c r="M355" s="36" t="s">
        <v>78</v>
      </c>
      <c r="N355" s="36"/>
      <c r="O355" s="35">
        <v>60</v>
      </c>
      <c r="P355" s="67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0"/>
      <c r="R355" s="640"/>
      <c r="S355" s="640"/>
      <c r="T355" s="641"/>
      <c r="U355" s="37"/>
      <c r="V355" s="37"/>
      <c r="W355" s="38" t="s">
        <v>67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/>
      <c r="AB355" s="66"/>
      <c r="AC355" s="445" t="s">
        <v>583</v>
      </c>
      <c r="AG355" s="75"/>
      <c r="AJ355" s="79"/>
      <c r="AK355" s="79">
        <v>0</v>
      </c>
      <c r="BB355" s="446" t="s">
        <v>1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customHeight="1" x14ac:dyDescent="0.25">
      <c r="A356" s="60" t="s">
        <v>584</v>
      </c>
      <c r="B356" s="60" t="s">
        <v>585</v>
      </c>
      <c r="C356" s="34">
        <v>4301012327</v>
      </c>
      <c r="D356" s="643">
        <v>4680115887992</v>
      </c>
      <c r="E356" s="64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114</v>
      </c>
      <c r="L356" s="35"/>
      <c r="M356" s="36" t="s">
        <v>78</v>
      </c>
      <c r="N356" s="36"/>
      <c r="O356" s="35">
        <v>60</v>
      </c>
      <c r="P356" s="8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0"/>
      <c r="R356" s="640"/>
      <c r="S356" s="640"/>
      <c r="T356" s="641"/>
      <c r="U356" s="37"/>
      <c r="V356" s="37"/>
      <c r="W356" s="38" t="s">
        <v>67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/>
      <c r="AB356" s="66"/>
      <c r="AC356" s="447" t="s">
        <v>586</v>
      </c>
      <c r="AG356" s="75"/>
      <c r="AJ356" s="79"/>
      <c r="AK356" s="79">
        <v>0</v>
      </c>
      <c r="BB356" s="448" t="s">
        <v>1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x14ac:dyDescent="0.2">
      <c r="A357" s="654"/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6"/>
      <c r="P357" s="650" t="s">
        <v>72</v>
      </c>
      <c r="Q357" s="647"/>
      <c r="R357" s="647"/>
      <c r="S357" s="647"/>
      <c r="T357" s="647"/>
      <c r="U357" s="647"/>
      <c r="V357" s="648"/>
      <c r="W357" s="40" t="s">
        <v>73</v>
      </c>
      <c r="X357" s="41">
        <f>IFERROR(X354/H354,"0")+IFERROR(X355/H355,"0")+IFERROR(X356/H356,"0")</f>
        <v>0</v>
      </c>
      <c r="Y357" s="41">
        <f>IFERROR(Y354/H354,"0")+IFERROR(Y355/H355,"0")+IFERROR(Y356/H356,"0")</f>
        <v>0</v>
      </c>
      <c r="Z357" s="41">
        <f>IFERROR(IF(Z354="",0,Z354),"0")+IFERROR(IF(Z355="",0,Z355),"0")+IFERROR(IF(Z356="",0,Z356),"0")</f>
        <v>0</v>
      </c>
      <c r="AA357" s="64"/>
      <c r="AB357" s="64"/>
      <c r="AC357" s="64"/>
    </row>
    <row r="358" spans="1:68" x14ac:dyDescent="0.2">
      <c r="A358" s="655"/>
      <c r="B358" s="655"/>
      <c r="C358" s="655"/>
      <c r="D358" s="655"/>
      <c r="E358" s="655"/>
      <c r="F358" s="655"/>
      <c r="G358" s="655"/>
      <c r="H358" s="655"/>
      <c r="I358" s="655"/>
      <c r="J358" s="655"/>
      <c r="K358" s="655"/>
      <c r="L358" s="655"/>
      <c r="M358" s="655"/>
      <c r="N358" s="655"/>
      <c r="O358" s="656"/>
      <c r="P358" s="650" t="s">
        <v>72</v>
      </c>
      <c r="Q358" s="647"/>
      <c r="R358" s="647"/>
      <c r="S358" s="647"/>
      <c r="T358" s="647"/>
      <c r="U358" s="647"/>
      <c r="V358" s="648"/>
      <c r="W358" s="40" t="s">
        <v>67</v>
      </c>
      <c r="X358" s="41">
        <f>IFERROR(SUM(X354:X356),"0")</f>
        <v>0</v>
      </c>
      <c r="Y358" s="41">
        <f>IFERROR(SUM(Y354:Y356),"0")</f>
        <v>0</v>
      </c>
      <c r="Z358" s="40"/>
      <c r="AA358" s="64"/>
      <c r="AB358" s="64"/>
      <c r="AC358" s="64"/>
    </row>
    <row r="359" spans="1:68" ht="16.5" customHeight="1" x14ac:dyDescent="0.25">
      <c r="A359" s="657" t="s">
        <v>587</v>
      </c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5"/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  <c r="AA359" s="62"/>
      <c r="AB359" s="62"/>
      <c r="AC359" s="62"/>
    </row>
    <row r="360" spans="1:68" ht="14.25" customHeight="1" x14ac:dyDescent="0.25">
      <c r="A360" s="658" t="s">
        <v>111</v>
      </c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5"/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  <c r="AA360" s="63"/>
      <c r="AB360" s="63"/>
      <c r="AC360" s="63"/>
    </row>
    <row r="361" spans="1:68" ht="27" customHeight="1" x14ac:dyDescent="0.25">
      <c r="A361" s="60" t="s">
        <v>588</v>
      </c>
      <c r="B361" s="60" t="s">
        <v>589</v>
      </c>
      <c r="C361" s="34">
        <v>4301012235</v>
      </c>
      <c r="D361" s="643">
        <v>4680115887190</v>
      </c>
      <c r="E361" s="64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114</v>
      </c>
      <c r="L361" s="35"/>
      <c r="M361" s="36" t="s">
        <v>115</v>
      </c>
      <c r="N361" s="36"/>
      <c r="O361" s="35">
        <v>55</v>
      </c>
      <c r="P361" s="8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0"/>
      <c r="R361" s="640"/>
      <c r="S361" s="640"/>
      <c r="T361" s="641"/>
      <c r="U361" s="37"/>
      <c r="V361" s="37"/>
      <c r="W361" s="38" t="s">
        <v>67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/>
      <c r="AB361" s="66"/>
      <c r="AC361" s="449" t="s">
        <v>590</v>
      </c>
      <c r="AG361" s="75"/>
      <c r="AJ361" s="79"/>
      <c r="AK361" s="79">
        <v>0</v>
      </c>
      <c r="BB361" s="450" t="s">
        <v>1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37.5" customHeight="1" x14ac:dyDescent="0.25">
      <c r="A362" s="60" t="s">
        <v>591</v>
      </c>
      <c r="B362" s="60" t="s">
        <v>592</v>
      </c>
      <c r="C362" s="34">
        <v>4301012233</v>
      </c>
      <c r="D362" s="643">
        <v>4680115887138</v>
      </c>
      <c r="E362" s="64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114</v>
      </c>
      <c r="L362" s="35"/>
      <c r="M362" s="36" t="s">
        <v>115</v>
      </c>
      <c r="N362" s="36"/>
      <c r="O362" s="35">
        <v>55</v>
      </c>
      <c r="P362" s="7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0"/>
      <c r="R362" s="640"/>
      <c r="S362" s="640"/>
      <c r="T362" s="641"/>
      <c r="U362" s="37"/>
      <c r="V362" s="37"/>
      <c r="W362" s="38" t="s">
        <v>67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IFERROR(IF(Y362=0,"",ROUNDUP(Y362/H362,0)*0.01898),"")</f>
        <v/>
      </c>
      <c r="AA362" s="65"/>
      <c r="AB362" s="66"/>
      <c r="AC362" s="451" t="s">
        <v>593</v>
      </c>
      <c r="AG362" s="75"/>
      <c r="AJ362" s="79"/>
      <c r="AK362" s="79">
        <v>0</v>
      </c>
      <c r="BB362" s="452" t="s">
        <v>1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customHeight="1" x14ac:dyDescent="0.25">
      <c r="A363" s="60" t="s">
        <v>594</v>
      </c>
      <c r="B363" s="60" t="s">
        <v>595</v>
      </c>
      <c r="C363" s="34">
        <v>4301012016</v>
      </c>
      <c r="D363" s="643">
        <v>4680115885554</v>
      </c>
      <c r="E363" s="64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114</v>
      </c>
      <c r="L363" s="35"/>
      <c r="M363" s="36" t="s">
        <v>78</v>
      </c>
      <c r="N363" s="36"/>
      <c r="O363" s="35">
        <v>55</v>
      </c>
      <c r="P363" s="6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0"/>
      <c r="R363" s="640"/>
      <c r="S363" s="640"/>
      <c r="T363" s="641"/>
      <c r="U363" s="37"/>
      <c r="V363" s="37"/>
      <c r="W363" s="38" t="s">
        <v>67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/>
      <c r="AB363" s="66"/>
      <c r="AC363" s="453" t="s">
        <v>596</v>
      </c>
      <c r="AG363" s="75"/>
      <c r="AJ363" s="79"/>
      <c r="AK363" s="79">
        <v>0</v>
      </c>
      <c r="BB363" s="454" t="s">
        <v>1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customHeight="1" x14ac:dyDescent="0.25">
      <c r="A364" s="60" t="s">
        <v>597</v>
      </c>
      <c r="B364" s="60" t="s">
        <v>598</v>
      </c>
      <c r="C364" s="34">
        <v>4301012236</v>
      </c>
      <c r="D364" s="643">
        <v>4680115887220</v>
      </c>
      <c r="E364" s="64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123</v>
      </c>
      <c r="L364" s="35"/>
      <c r="M364" s="36" t="s">
        <v>115</v>
      </c>
      <c r="N364" s="36"/>
      <c r="O364" s="35">
        <v>55</v>
      </c>
      <c r="P364" s="7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0"/>
      <c r="R364" s="640"/>
      <c r="S364" s="640"/>
      <c r="T364" s="641"/>
      <c r="U364" s="37"/>
      <c r="V364" s="37"/>
      <c r="W364" s="38" t="s">
        <v>67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IFERROR(IF(Y364=0,"",ROUNDUP(Y364/H364,0)*0.00902),"")</f>
        <v/>
      </c>
      <c r="AA364" s="65"/>
      <c r="AB364" s="66"/>
      <c r="AC364" s="455" t="s">
        <v>590</v>
      </c>
      <c r="AG364" s="75"/>
      <c r="AJ364" s="79"/>
      <c r="AK364" s="79">
        <v>0</v>
      </c>
      <c r="BB364" s="456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599</v>
      </c>
      <c r="B365" s="60" t="s">
        <v>600</v>
      </c>
      <c r="C365" s="34">
        <v>4301011859</v>
      </c>
      <c r="D365" s="643">
        <v>4680115885608</v>
      </c>
      <c r="E365" s="64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123</v>
      </c>
      <c r="L365" s="35"/>
      <c r="M365" s="36" t="s">
        <v>115</v>
      </c>
      <c r="N365" s="36"/>
      <c r="O365" s="35">
        <v>55</v>
      </c>
      <c r="P365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0"/>
      <c r="R365" s="640"/>
      <c r="S365" s="640"/>
      <c r="T365" s="641"/>
      <c r="U365" s="37"/>
      <c r="V365" s="37"/>
      <c r="W365" s="38" t="s">
        <v>67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IFERROR(IF(Y365=0,"",ROUNDUP(Y365/H365,0)*0.00902),"")</f>
        <v/>
      </c>
      <c r="AA365" s="65"/>
      <c r="AB365" s="66"/>
      <c r="AC365" s="457" t="s">
        <v>601</v>
      </c>
      <c r="AG365" s="75"/>
      <c r="AJ365" s="79"/>
      <c r="AK365" s="79">
        <v>0</v>
      </c>
      <c r="BB365" s="458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x14ac:dyDescent="0.2">
      <c r="A366" s="654"/>
      <c r="B366" s="655"/>
      <c r="C366" s="655"/>
      <c r="D366" s="655"/>
      <c r="E366" s="655"/>
      <c r="F366" s="655"/>
      <c r="G366" s="655"/>
      <c r="H366" s="655"/>
      <c r="I366" s="655"/>
      <c r="J366" s="655"/>
      <c r="K366" s="655"/>
      <c r="L366" s="655"/>
      <c r="M366" s="655"/>
      <c r="N366" s="655"/>
      <c r="O366" s="656"/>
      <c r="P366" s="650" t="s">
        <v>72</v>
      </c>
      <c r="Q366" s="647"/>
      <c r="R366" s="647"/>
      <c r="S366" s="647"/>
      <c r="T366" s="647"/>
      <c r="U366" s="647"/>
      <c r="V366" s="648"/>
      <c r="W366" s="40" t="s">
        <v>73</v>
      </c>
      <c r="X366" s="41">
        <f>IFERROR(X361/H361,"0")+IFERROR(X362/H362,"0")+IFERROR(X363/H363,"0")+IFERROR(X364/H364,"0")+IFERROR(X365/H365,"0")</f>
        <v>0</v>
      </c>
      <c r="Y366" s="41">
        <f>IFERROR(Y361/H361,"0")+IFERROR(Y362/H362,"0")+IFERROR(Y363/H363,"0")+IFERROR(Y364/H364,"0")+IFERROR(Y365/H365,"0")</f>
        <v>0</v>
      </c>
      <c r="Z366" s="41">
        <f>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x14ac:dyDescent="0.2">
      <c r="A367" s="655"/>
      <c r="B367" s="655"/>
      <c r="C367" s="655"/>
      <c r="D367" s="655"/>
      <c r="E367" s="655"/>
      <c r="F367" s="655"/>
      <c r="G367" s="655"/>
      <c r="H367" s="655"/>
      <c r="I367" s="655"/>
      <c r="J367" s="655"/>
      <c r="K367" s="655"/>
      <c r="L367" s="655"/>
      <c r="M367" s="655"/>
      <c r="N367" s="655"/>
      <c r="O367" s="656"/>
      <c r="P367" s="650" t="s">
        <v>72</v>
      </c>
      <c r="Q367" s="647"/>
      <c r="R367" s="647"/>
      <c r="S367" s="647"/>
      <c r="T367" s="647"/>
      <c r="U367" s="647"/>
      <c r="V367" s="648"/>
      <c r="W367" s="40" t="s">
        <v>67</v>
      </c>
      <c r="X367" s="41">
        <f>IFERROR(SUM(X361:X365),"0")</f>
        <v>0</v>
      </c>
      <c r="Y367" s="41">
        <f>IFERROR(SUM(Y361:Y365),"0")</f>
        <v>0</v>
      </c>
      <c r="Z367" s="40"/>
      <c r="AA367" s="64"/>
      <c r="AB367" s="64"/>
      <c r="AC367" s="64"/>
    </row>
    <row r="368" spans="1:68" ht="14.25" customHeight="1" x14ac:dyDescent="0.25">
      <c r="A368" s="658" t="s">
        <v>62</v>
      </c>
      <c r="B368" s="655"/>
      <c r="C368" s="655"/>
      <c r="D368" s="655"/>
      <c r="E368" s="655"/>
      <c r="F368" s="655"/>
      <c r="G368" s="655"/>
      <c r="H368" s="655"/>
      <c r="I368" s="655"/>
      <c r="J368" s="655"/>
      <c r="K368" s="655"/>
      <c r="L368" s="655"/>
      <c r="M368" s="655"/>
      <c r="N368" s="655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  <c r="AA368" s="63"/>
      <c r="AB368" s="63"/>
      <c r="AC368" s="63"/>
    </row>
    <row r="369" spans="1:68" ht="27" customHeight="1" x14ac:dyDescent="0.25">
      <c r="A369" s="60" t="s">
        <v>602</v>
      </c>
      <c r="B369" s="60" t="s">
        <v>603</v>
      </c>
      <c r="C369" s="34">
        <v>4301030878</v>
      </c>
      <c r="D369" s="643">
        <v>4607091387193</v>
      </c>
      <c r="E369" s="64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123</v>
      </c>
      <c r="L369" s="35"/>
      <c r="M369" s="36" t="s">
        <v>66</v>
      </c>
      <c r="N369" s="36"/>
      <c r="O369" s="35">
        <v>35</v>
      </c>
      <c r="P369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0"/>
      <c r="R369" s="640"/>
      <c r="S369" s="640"/>
      <c r="T369" s="641"/>
      <c r="U369" s="37"/>
      <c r="V369" s="37"/>
      <c r="W369" s="38" t="s">
        <v>67</v>
      </c>
      <c r="X369" s="56">
        <v>0</v>
      </c>
      <c r="Y369" s="53">
        <f t="shared" ref="Y369:Y375" si="48">IFERROR(IF(X369="",0,CEILING((X369/$H369),1)*$H369),"")</f>
        <v>0</v>
      </c>
      <c r="Z369" s="39" t="str">
        <f>IFERROR(IF(Y369=0,"",ROUNDUP(Y369/H369,0)*0.00902),"")</f>
        <v/>
      </c>
      <c r="AA369" s="65"/>
      <c r="AB369" s="66"/>
      <c r="AC369" s="459" t="s">
        <v>604</v>
      </c>
      <c r="AG369" s="75"/>
      <c r="AJ369" s="79"/>
      <c r="AK369" s="79">
        <v>0</v>
      </c>
      <c r="BB369" s="460" t="s">
        <v>1</v>
      </c>
      <c r="BM369" s="75">
        <f t="shared" ref="BM369:BM375" si="49">IFERROR(X369*I369/H369,"0")</f>
        <v>0</v>
      </c>
      <c r="BN369" s="75">
        <f t="shared" ref="BN369:BN375" si="50">IFERROR(Y369*I369/H369,"0")</f>
        <v>0</v>
      </c>
      <c r="BO369" s="75">
        <f t="shared" ref="BO369:BO375" si="51">IFERROR(1/J369*(X369/H369),"0")</f>
        <v>0</v>
      </c>
      <c r="BP369" s="75">
        <f t="shared" ref="BP369:BP375" si="52">IFERROR(1/J369*(Y369/H369),"0")</f>
        <v>0</v>
      </c>
    </row>
    <row r="370" spans="1:68" ht="27" customHeight="1" x14ac:dyDescent="0.25">
      <c r="A370" s="60" t="s">
        <v>605</v>
      </c>
      <c r="B370" s="60" t="s">
        <v>606</v>
      </c>
      <c r="C370" s="34">
        <v>4301031153</v>
      </c>
      <c r="D370" s="643">
        <v>4607091387230</v>
      </c>
      <c r="E370" s="64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123</v>
      </c>
      <c r="L370" s="35"/>
      <c r="M370" s="36" t="s">
        <v>66</v>
      </c>
      <c r="N370" s="36"/>
      <c r="O370" s="35">
        <v>40</v>
      </c>
      <c r="P370" s="6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0"/>
      <c r="R370" s="640"/>
      <c r="S370" s="640"/>
      <c r="T370" s="641"/>
      <c r="U370" s="37"/>
      <c r="V370" s="37"/>
      <c r="W370" s="38" t="s">
        <v>67</v>
      </c>
      <c r="X370" s="56">
        <v>0</v>
      </c>
      <c r="Y370" s="53">
        <f t="shared" si="48"/>
        <v>0</v>
      </c>
      <c r="Z370" s="39" t="str">
        <f>IFERROR(IF(Y370=0,"",ROUNDUP(Y370/H370,0)*0.00902),"")</f>
        <v/>
      </c>
      <c r="AA370" s="65"/>
      <c r="AB370" s="66"/>
      <c r="AC370" s="461" t="s">
        <v>607</v>
      </c>
      <c r="AG370" s="75"/>
      <c r="AJ370" s="79"/>
      <c r="AK370" s="79">
        <v>0</v>
      </c>
      <c r="BB370" s="462" t="s">
        <v>1</v>
      </c>
      <c r="BM370" s="75">
        <f t="shared" si="49"/>
        <v>0</v>
      </c>
      <c r="BN370" s="75">
        <f t="shared" si="50"/>
        <v>0</v>
      </c>
      <c r="BO370" s="75">
        <f t="shared" si="51"/>
        <v>0</v>
      </c>
      <c r="BP370" s="75">
        <f t="shared" si="52"/>
        <v>0</v>
      </c>
    </row>
    <row r="371" spans="1:68" ht="27" customHeight="1" x14ac:dyDescent="0.25">
      <c r="A371" s="60" t="s">
        <v>608</v>
      </c>
      <c r="B371" s="60" t="s">
        <v>609</v>
      </c>
      <c r="C371" s="34">
        <v>4301031154</v>
      </c>
      <c r="D371" s="643">
        <v>4607091387292</v>
      </c>
      <c r="E371" s="64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123</v>
      </c>
      <c r="L371" s="35"/>
      <c r="M371" s="36" t="s">
        <v>66</v>
      </c>
      <c r="N371" s="36"/>
      <c r="O371" s="35">
        <v>45</v>
      </c>
      <c r="P371" s="88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0"/>
      <c r="R371" s="640"/>
      <c r="S371" s="640"/>
      <c r="T371" s="641"/>
      <c r="U371" s="37"/>
      <c r="V371" s="37"/>
      <c r="W371" s="38" t="s">
        <v>67</v>
      </c>
      <c r="X371" s="56">
        <v>0</v>
      </c>
      <c r="Y371" s="53">
        <f t="shared" si="48"/>
        <v>0</v>
      </c>
      <c r="Z371" s="39" t="str">
        <f>IFERROR(IF(Y371=0,"",ROUNDUP(Y371/H371,0)*0.00902),"")</f>
        <v/>
      </c>
      <c r="AA371" s="65"/>
      <c r="AB371" s="66"/>
      <c r="AC371" s="463" t="s">
        <v>610</v>
      </c>
      <c r="AG371" s="75"/>
      <c r="AJ371" s="79"/>
      <c r="AK371" s="79">
        <v>0</v>
      </c>
      <c r="BB371" s="464" t="s">
        <v>1</v>
      </c>
      <c r="BM371" s="75">
        <f t="shared" si="49"/>
        <v>0</v>
      </c>
      <c r="BN371" s="75">
        <f t="shared" si="50"/>
        <v>0</v>
      </c>
      <c r="BO371" s="75">
        <f t="shared" si="51"/>
        <v>0</v>
      </c>
      <c r="BP371" s="75">
        <f t="shared" si="52"/>
        <v>0</v>
      </c>
    </row>
    <row r="372" spans="1:68" ht="27" customHeight="1" x14ac:dyDescent="0.25">
      <c r="A372" s="60" t="s">
        <v>611</v>
      </c>
      <c r="B372" s="60" t="s">
        <v>612</v>
      </c>
      <c r="C372" s="34">
        <v>4301031152</v>
      </c>
      <c r="D372" s="643">
        <v>4607091387285</v>
      </c>
      <c r="E372" s="64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65</v>
      </c>
      <c r="L372" s="35"/>
      <c r="M372" s="36" t="s">
        <v>66</v>
      </c>
      <c r="N372" s="36"/>
      <c r="O372" s="35">
        <v>40</v>
      </c>
      <c r="P372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0"/>
      <c r="R372" s="640"/>
      <c r="S372" s="640"/>
      <c r="T372" s="641"/>
      <c r="U372" s="37"/>
      <c r="V372" s="37"/>
      <c r="W372" s="38" t="s">
        <v>67</v>
      </c>
      <c r="X372" s="56">
        <v>0</v>
      </c>
      <c r="Y372" s="53">
        <f t="shared" si="48"/>
        <v>0</v>
      </c>
      <c r="Z372" s="39" t="str">
        <f>IFERROR(IF(Y372=0,"",ROUNDUP(Y372/H372,0)*0.00502),"")</f>
        <v/>
      </c>
      <c r="AA372" s="65"/>
      <c r="AB372" s="66"/>
      <c r="AC372" s="465" t="s">
        <v>607</v>
      </c>
      <c r="AG372" s="75"/>
      <c r="AJ372" s="79"/>
      <c r="AK372" s="79">
        <v>0</v>
      </c>
      <c r="BB372" s="466" t="s">
        <v>1</v>
      </c>
      <c r="BM372" s="75">
        <f t="shared" si="49"/>
        <v>0</v>
      </c>
      <c r="BN372" s="75">
        <f t="shared" si="50"/>
        <v>0</v>
      </c>
      <c r="BO372" s="75">
        <f t="shared" si="51"/>
        <v>0</v>
      </c>
      <c r="BP372" s="75">
        <f t="shared" si="52"/>
        <v>0</v>
      </c>
    </row>
    <row r="373" spans="1:68" ht="27" customHeight="1" x14ac:dyDescent="0.25">
      <c r="A373" s="60" t="s">
        <v>613</v>
      </c>
      <c r="B373" s="60" t="s">
        <v>614</v>
      </c>
      <c r="C373" s="34">
        <v>4301031305</v>
      </c>
      <c r="D373" s="643">
        <v>4607091389845</v>
      </c>
      <c r="E373" s="64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65</v>
      </c>
      <c r="L373" s="35"/>
      <c r="M373" s="36" t="s">
        <v>66</v>
      </c>
      <c r="N373" s="36"/>
      <c r="O373" s="35">
        <v>40</v>
      </c>
      <c r="P373" s="69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0"/>
      <c r="R373" s="640"/>
      <c r="S373" s="640"/>
      <c r="T373" s="641"/>
      <c r="U373" s="37"/>
      <c r="V373" s="37"/>
      <c r="W373" s="38" t="s">
        <v>67</v>
      </c>
      <c r="X373" s="56">
        <v>0</v>
      </c>
      <c r="Y373" s="53">
        <f t="shared" si="48"/>
        <v>0</v>
      </c>
      <c r="Z373" s="39" t="str">
        <f>IFERROR(IF(Y373=0,"",ROUNDUP(Y373/H373,0)*0.00502),"")</f>
        <v/>
      </c>
      <c r="AA373" s="65"/>
      <c r="AB373" s="66"/>
      <c r="AC373" s="467" t="s">
        <v>615</v>
      </c>
      <c r="AG373" s="75"/>
      <c r="AJ373" s="79"/>
      <c r="AK373" s="79">
        <v>0</v>
      </c>
      <c r="BB373" s="468" t="s">
        <v>1</v>
      </c>
      <c r="BM373" s="75">
        <f t="shared" si="49"/>
        <v>0</v>
      </c>
      <c r="BN373" s="75">
        <f t="shared" si="50"/>
        <v>0</v>
      </c>
      <c r="BO373" s="75">
        <f t="shared" si="51"/>
        <v>0</v>
      </c>
      <c r="BP373" s="75">
        <f t="shared" si="52"/>
        <v>0</v>
      </c>
    </row>
    <row r="374" spans="1:68" ht="27" customHeight="1" x14ac:dyDescent="0.25">
      <c r="A374" s="60" t="s">
        <v>616</v>
      </c>
      <c r="B374" s="60" t="s">
        <v>617</v>
      </c>
      <c r="C374" s="34">
        <v>4301031460</v>
      </c>
      <c r="D374" s="643">
        <v>4680115887442</v>
      </c>
      <c r="E374" s="64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123</v>
      </c>
      <c r="L374" s="35"/>
      <c r="M374" s="36" t="s">
        <v>66</v>
      </c>
      <c r="N374" s="36"/>
      <c r="O374" s="35">
        <v>45</v>
      </c>
      <c r="P374" s="8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0"/>
      <c r="R374" s="640"/>
      <c r="S374" s="640"/>
      <c r="T374" s="641"/>
      <c r="U374" s="37"/>
      <c r="V374" s="37"/>
      <c r="W374" s="38" t="s">
        <v>67</v>
      </c>
      <c r="X374" s="56">
        <v>0</v>
      </c>
      <c r="Y374" s="53">
        <f t="shared" si="48"/>
        <v>0</v>
      </c>
      <c r="Z374" s="39" t="str">
        <f>IFERROR(IF(Y374=0,"",ROUNDUP(Y374/H374,0)*0.00902),"")</f>
        <v/>
      </c>
      <c r="AA374" s="65"/>
      <c r="AB374" s="66"/>
      <c r="AC374" s="469" t="s">
        <v>610</v>
      </c>
      <c r="AG374" s="75"/>
      <c r="AJ374" s="79"/>
      <c r="AK374" s="79">
        <v>0</v>
      </c>
      <c r="BB374" s="470" t="s">
        <v>1</v>
      </c>
      <c r="BM374" s="75">
        <f t="shared" si="49"/>
        <v>0</v>
      </c>
      <c r="BN374" s="75">
        <f t="shared" si="50"/>
        <v>0</v>
      </c>
      <c r="BO374" s="75">
        <f t="shared" si="51"/>
        <v>0</v>
      </c>
      <c r="BP374" s="75">
        <f t="shared" si="52"/>
        <v>0</v>
      </c>
    </row>
    <row r="375" spans="1:68" ht="27" customHeight="1" x14ac:dyDescent="0.25">
      <c r="A375" s="60" t="s">
        <v>618</v>
      </c>
      <c r="B375" s="60" t="s">
        <v>619</v>
      </c>
      <c r="C375" s="34">
        <v>4301031066</v>
      </c>
      <c r="D375" s="643">
        <v>4607091383836</v>
      </c>
      <c r="E375" s="64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77</v>
      </c>
      <c r="L375" s="35"/>
      <c r="M375" s="36" t="s">
        <v>66</v>
      </c>
      <c r="N375" s="36"/>
      <c r="O375" s="35">
        <v>40</v>
      </c>
      <c r="P375" s="8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0"/>
      <c r="R375" s="640"/>
      <c r="S375" s="640"/>
      <c r="T375" s="641"/>
      <c r="U375" s="37"/>
      <c r="V375" s="37"/>
      <c r="W375" s="38" t="s">
        <v>67</v>
      </c>
      <c r="X375" s="56">
        <v>0</v>
      </c>
      <c r="Y375" s="53">
        <f t="shared" si="48"/>
        <v>0</v>
      </c>
      <c r="Z375" s="39" t="str">
        <f>IFERROR(IF(Y375=0,"",ROUNDUP(Y375/H375,0)*0.00651),"")</f>
        <v/>
      </c>
      <c r="AA375" s="65"/>
      <c r="AB375" s="66"/>
      <c r="AC375" s="471" t="s">
        <v>620</v>
      </c>
      <c r="AG375" s="75"/>
      <c r="AJ375" s="79"/>
      <c r="AK375" s="79">
        <v>0</v>
      </c>
      <c r="BB375" s="472" t="s">
        <v>1</v>
      </c>
      <c r="BM375" s="75">
        <f t="shared" si="49"/>
        <v>0</v>
      </c>
      <c r="BN375" s="75">
        <f t="shared" si="50"/>
        <v>0</v>
      </c>
      <c r="BO375" s="75">
        <f t="shared" si="51"/>
        <v>0</v>
      </c>
      <c r="BP375" s="75">
        <f t="shared" si="52"/>
        <v>0</v>
      </c>
    </row>
    <row r="376" spans="1:68" x14ac:dyDescent="0.2">
      <c r="A376" s="654"/>
      <c r="B376" s="655"/>
      <c r="C376" s="655"/>
      <c r="D376" s="655"/>
      <c r="E376" s="655"/>
      <c r="F376" s="655"/>
      <c r="G376" s="655"/>
      <c r="H376" s="655"/>
      <c r="I376" s="655"/>
      <c r="J376" s="655"/>
      <c r="K376" s="655"/>
      <c r="L376" s="655"/>
      <c r="M376" s="655"/>
      <c r="N376" s="655"/>
      <c r="O376" s="656"/>
      <c r="P376" s="650" t="s">
        <v>72</v>
      </c>
      <c r="Q376" s="647"/>
      <c r="R376" s="647"/>
      <c r="S376" s="647"/>
      <c r="T376" s="647"/>
      <c r="U376" s="647"/>
      <c r="V376" s="648"/>
      <c r="W376" s="40" t="s">
        <v>73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x14ac:dyDescent="0.2">
      <c r="A377" s="655"/>
      <c r="B377" s="655"/>
      <c r="C377" s="655"/>
      <c r="D377" s="655"/>
      <c r="E377" s="655"/>
      <c r="F377" s="655"/>
      <c r="G377" s="655"/>
      <c r="H377" s="655"/>
      <c r="I377" s="655"/>
      <c r="J377" s="655"/>
      <c r="K377" s="655"/>
      <c r="L377" s="655"/>
      <c r="M377" s="655"/>
      <c r="N377" s="655"/>
      <c r="O377" s="656"/>
      <c r="P377" s="650" t="s">
        <v>72</v>
      </c>
      <c r="Q377" s="647"/>
      <c r="R377" s="647"/>
      <c r="S377" s="647"/>
      <c r="T377" s="647"/>
      <c r="U377" s="647"/>
      <c r="V377" s="648"/>
      <c r="W377" s="40" t="s">
        <v>67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customHeight="1" x14ac:dyDescent="0.25">
      <c r="A378" s="658" t="s">
        <v>74</v>
      </c>
      <c r="B378" s="655"/>
      <c r="C378" s="655"/>
      <c r="D378" s="655"/>
      <c r="E378" s="655"/>
      <c r="F378" s="655"/>
      <c r="G378" s="655"/>
      <c r="H378" s="655"/>
      <c r="I378" s="655"/>
      <c r="J378" s="655"/>
      <c r="K378" s="655"/>
      <c r="L378" s="655"/>
      <c r="M378" s="655"/>
      <c r="N378" s="655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  <c r="AA378" s="63"/>
      <c r="AB378" s="63"/>
      <c r="AC378" s="63"/>
    </row>
    <row r="379" spans="1:68" ht="27" customHeight="1" x14ac:dyDescent="0.25">
      <c r="A379" s="60" t="s">
        <v>621</v>
      </c>
      <c r="B379" s="60" t="s">
        <v>622</v>
      </c>
      <c r="C379" s="34">
        <v>4301051100</v>
      </c>
      <c r="D379" s="643">
        <v>4607091387766</v>
      </c>
      <c r="E379" s="64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114</v>
      </c>
      <c r="L379" s="35"/>
      <c r="M379" s="36" t="s">
        <v>78</v>
      </c>
      <c r="N379" s="36"/>
      <c r="O379" s="35">
        <v>40</v>
      </c>
      <c r="P379" s="9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0"/>
      <c r="R379" s="640"/>
      <c r="S379" s="640"/>
      <c r="T379" s="641"/>
      <c r="U379" s="37"/>
      <c r="V379" s="37"/>
      <c r="W379" s="38" t="s">
        <v>67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/>
      <c r="AB379" s="66"/>
      <c r="AC379" s="473" t="s">
        <v>623</v>
      </c>
      <c r="AG379" s="75"/>
      <c r="AJ379" s="79"/>
      <c r="AK379" s="79">
        <v>0</v>
      </c>
      <c r="BB379" s="474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624</v>
      </c>
      <c r="B380" s="60" t="s">
        <v>625</v>
      </c>
      <c r="C380" s="34">
        <v>4301051818</v>
      </c>
      <c r="D380" s="643">
        <v>4607091387957</v>
      </c>
      <c r="E380" s="64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114</v>
      </c>
      <c r="L380" s="35"/>
      <c r="M380" s="36" t="s">
        <v>78</v>
      </c>
      <c r="N380" s="36"/>
      <c r="O380" s="35">
        <v>40</v>
      </c>
      <c r="P380" s="10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0"/>
      <c r="R380" s="640"/>
      <c r="S380" s="640"/>
      <c r="T380" s="641"/>
      <c r="U380" s="37"/>
      <c r="V380" s="37"/>
      <c r="W380" s="38" t="s">
        <v>67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/>
      <c r="AB380" s="66"/>
      <c r="AC380" s="475" t="s">
        <v>626</v>
      </c>
      <c r="AG380" s="75"/>
      <c r="AJ380" s="79"/>
      <c r="AK380" s="79">
        <v>0</v>
      </c>
      <c r="BB380" s="476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customHeight="1" x14ac:dyDescent="0.25">
      <c r="A381" s="60" t="s">
        <v>627</v>
      </c>
      <c r="B381" s="60" t="s">
        <v>628</v>
      </c>
      <c r="C381" s="34">
        <v>4301051819</v>
      </c>
      <c r="D381" s="643">
        <v>4607091387964</v>
      </c>
      <c r="E381" s="64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114</v>
      </c>
      <c r="L381" s="35"/>
      <c r="M381" s="36" t="s">
        <v>78</v>
      </c>
      <c r="N381" s="36"/>
      <c r="O381" s="35">
        <v>40</v>
      </c>
      <c r="P381" s="9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0"/>
      <c r="R381" s="640"/>
      <c r="S381" s="640"/>
      <c r="T381" s="641"/>
      <c r="U381" s="37"/>
      <c r="V381" s="37"/>
      <c r="W381" s="38" t="s">
        <v>67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/>
      <c r="AB381" s="66"/>
      <c r="AC381" s="477" t="s">
        <v>629</v>
      </c>
      <c r="AG381" s="75"/>
      <c r="AJ381" s="79"/>
      <c r="AK381" s="79">
        <v>0</v>
      </c>
      <c r="BB381" s="478" t="s">
        <v>1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customHeight="1" x14ac:dyDescent="0.25">
      <c r="A382" s="60" t="s">
        <v>630</v>
      </c>
      <c r="B382" s="60" t="s">
        <v>631</v>
      </c>
      <c r="C382" s="34">
        <v>4301051734</v>
      </c>
      <c r="D382" s="643">
        <v>4680115884588</v>
      </c>
      <c r="E382" s="64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77</v>
      </c>
      <c r="L382" s="35"/>
      <c r="M382" s="36" t="s">
        <v>78</v>
      </c>
      <c r="N382" s="36"/>
      <c r="O382" s="35">
        <v>40</v>
      </c>
      <c r="P382" s="9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0"/>
      <c r="R382" s="640"/>
      <c r="S382" s="640"/>
      <c r="T382" s="641"/>
      <c r="U382" s="37"/>
      <c r="V382" s="37"/>
      <c r="W382" s="38" t="s">
        <v>67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/>
      <c r="AB382" s="66"/>
      <c r="AC382" s="479" t="s">
        <v>623</v>
      </c>
      <c r="AG382" s="75"/>
      <c r="AJ382" s="79"/>
      <c r="AK382" s="79">
        <v>0</v>
      </c>
      <c r="BB382" s="480" t="s">
        <v>1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x14ac:dyDescent="0.2">
      <c r="A383" s="654"/>
      <c r="B383" s="655"/>
      <c r="C383" s="655"/>
      <c r="D383" s="655"/>
      <c r="E383" s="655"/>
      <c r="F383" s="655"/>
      <c r="G383" s="655"/>
      <c r="H383" s="655"/>
      <c r="I383" s="655"/>
      <c r="J383" s="655"/>
      <c r="K383" s="655"/>
      <c r="L383" s="655"/>
      <c r="M383" s="655"/>
      <c r="N383" s="655"/>
      <c r="O383" s="656"/>
      <c r="P383" s="650" t="s">
        <v>72</v>
      </c>
      <c r="Q383" s="647"/>
      <c r="R383" s="647"/>
      <c r="S383" s="647"/>
      <c r="T383" s="647"/>
      <c r="U383" s="647"/>
      <c r="V383" s="648"/>
      <c r="W383" s="40" t="s">
        <v>73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x14ac:dyDescent="0.2">
      <c r="A384" s="655"/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6"/>
      <c r="P384" s="650" t="s">
        <v>72</v>
      </c>
      <c r="Q384" s="647"/>
      <c r="R384" s="647"/>
      <c r="S384" s="647"/>
      <c r="T384" s="647"/>
      <c r="U384" s="647"/>
      <c r="V384" s="648"/>
      <c r="W384" s="40" t="s">
        <v>67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customHeight="1" x14ac:dyDescent="0.25">
      <c r="A385" s="658" t="s">
        <v>164</v>
      </c>
      <c r="B385" s="655"/>
      <c r="C385" s="655"/>
      <c r="D385" s="655"/>
      <c r="E385" s="655"/>
      <c r="F385" s="655"/>
      <c r="G385" s="655"/>
      <c r="H385" s="655"/>
      <c r="I385" s="655"/>
      <c r="J385" s="655"/>
      <c r="K385" s="655"/>
      <c r="L385" s="655"/>
      <c r="M385" s="655"/>
      <c r="N385" s="655"/>
      <c r="O385" s="655"/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  <c r="AA385" s="63"/>
      <c r="AB385" s="63"/>
      <c r="AC385" s="63"/>
    </row>
    <row r="386" spans="1:68" ht="27" customHeight="1" x14ac:dyDescent="0.25">
      <c r="A386" s="60" t="s">
        <v>632</v>
      </c>
      <c r="B386" s="60" t="s">
        <v>633</v>
      </c>
      <c r="C386" s="34">
        <v>4301060387</v>
      </c>
      <c r="D386" s="643">
        <v>4607091380880</v>
      </c>
      <c r="E386" s="64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114</v>
      </c>
      <c r="L386" s="35"/>
      <c r="M386" s="36" t="s">
        <v>78</v>
      </c>
      <c r="N386" s="36"/>
      <c r="O386" s="35">
        <v>30</v>
      </c>
      <c r="P386" s="9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0"/>
      <c r="R386" s="640"/>
      <c r="S386" s="640"/>
      <c r="T386" s="641"/>
      <c r="U386" s="37"/>
      <c r="V386" s="37"/>
      <c r="W386" s="38" t="s">
        <v>67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/>
      <c r="AB386" s="66"/>
      <c r="AC386" s="481" t="s">
        <v>634</v>
      </c>
      <c r="AG386" s="75"/>
      <c r="AJ386" s="79"/>
      <c r="AK386" s="79">
        <v>0</v>
      </c>
      <c r="BB386" s="482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635</v>
      </c>
      <c r="B387" s="60" t="s">
        <v>636</v>
      </c>
      <c r="C387" s="34">
        <v>4301060406</v>
      </c>
      <c r="D387" s="643">
        <v>4607091384482</v>
      </c>
      <c r="E387" s="64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114</v>
      </c>
      <c r="L387" s="35"/>
      <c r="M387" s="36" t="s">
        <v>78</v>
      </c>
      <c r="N387" s="36"/>
      <c r="O387" s="35">
        <v>30</v>
      </c>
      <c r="P387" s="8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0"/>
      <c r="R387" s="640"/>
      <c r="S387" s="640"/>
      <c r="T387" s="641"/>
      <c r="U387" s="37"/>
      <c r="V387" s="37"/>
      <c r="W387" s="38" t="s">
        <v>67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/>
      <c r="AB387" s="66"/>
      <c r="AC387" s="483" t="s">
        <v>637</v>
      </c>
      <c r="AG387" s="75"/>
      <c r="AJ387" s="79"/>
      <c r="AK387" s="79">
        <v>0</v>
      </c>
      <c r="BB387" s="484" t="s">
        <v>1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customHeight="1" x14ac:dyDescent="0.25">
      <c r="A388" s="60" t="s">
        <v>638</v>
      </c>
      <c r="B388" s="60" t="s">
        <v>639</v>
      </c>
      <c r="C388" s="34">
        <v>4301060484</v>
      </c>
      <c r="D388" s="643">
        <v>4607091380897</v>
      </c>
      <c r="E388" s="64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114</v>
      </c>
      <c r="L388" s="35"/>
      <c r="M388" s="36" t="s">
        <v>84</v>
      </c>
      <c r="N388" s="36"/>
      <c r="O388" s="35">
        <v>30</v>
      </c>
      <c r="P388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0"/>
      <c r="R388" s="640"/>
      <c r="S388" s="640"/>
      <c r="T388" s="641"/>
      <c r="U388" s="37"/>
      <c r="V388" s="37"/>
      <c r="W388" s="38" t="s">
        <v>67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/>
      <c r="AB388" s="66"/>
      <c r="AC388" s="485" t="s">
        <v>640</v>
      </c>
      <c r="AG388" s="75"/>
      <c r="AJ388" s="79"/>
      <c r="AK388" s="79">
        <v>0</v>
      </c>
      <c r="BB388" s="486" t="s">
        <v>1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x14ac:dyDescent="0.2">
      <c r="A389" s="654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6"/>
      <c r="P389" s="650" t="s">
        <v>72</v>
      </c>
      <c r="Q389" s="647"/>
      <c r="R389" s="647"/>
      <c r="S389" s="647"/>
      <c r="T389" s="647"/>
      <c r="U389" s="647"/>
      <c r="V389" s="648"/>
      <c r="W389" s="40" t="s">
        <v>73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x14ac:dyDescent="0.2">
      <c r="A390" s="655"/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6"/>
      <c r="P390" s="650" t="s">
        <v>72</v>
      </c>
      <c r="Q390" s="647"/>
      <c r="R390" s="647"/>
      <c r="S390" s="647"/>
      <c r="T390" s="647"/>
      <c r="U390" s="647"/>
      <c r="V390" s="648"/>
      <c r="W390" s="40" t="s">
        <v>67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customHeight="1" x14ac:dyDescent="0.25">
      <c r="A391" s="658" t="s">
        <v>272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3"/>
      <c r="AB391" s="63"/>
      <c r="AC391" s="63"/>
    </row>
    <row r="392" spans="1:68" ht="27" customHeight="1" x14ac:dyDescent="0.25">
      <c r="A392" s="60" t="s">
        <v>641</v>
      </c>
      <c r="B392" s="60" t="s">
        <v>642</v>
      </c>
      <c r="C392" s="34">
        <v>4301030235</v>
      </c>
      <c r="D392" s="643">
        <v>4607091388381</v>
      </c>
      <c r="E392" s="64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123</v>
      </c>
      <c r="L392" s="35"/>
      <c r="M392" s="36" t="s">
        <v>239</v>
      </c>
      <c r="N392" s="36"/>
      <c r="O392" s="35">
        <v>180</v>
      </c>
      <c r="P392" s="9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0"/>
      <c r="R392" s="640"/>
      <c r="S392" s="640"/>
      <c r="T392" s="641"/>
      <c r="U392" s="37"/>
      <c r="V392" s="37"/>
      <c r="W392" s="38" t="s">
        <v>67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/>
      <c r="AB392" s="66"/>
      <c r="AC392" s="487" t="s">
        <v>643</v>
      </c>
      <c r="AG392" s="75"/>
      <c r="AJ392" s="79"/>
      <c r="AK392" s="79">
        <v>0</v>
      </c>
      <c r="BB392" s="488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customHeight="1" x14ac:dyDescent="0.25">
      <c r="A393" s="60" t="s">
        <v>644</v>
      </c>
      <c r="B393" s="60" t="s">
        <v>645</v>
      </c>
      <c r="C393" s="34">
        <v>4301030232</v>
      </c>
      <c r="D393" s="643">
        <v>4607091388374</v>
      </c>
      <c r="E393" s="64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123</v>
      </c>
      <c r="L393" s="35"/>
      <c r="M393" s="36" t="s">
        <v>239</v>
      </c>
      <c r="N393" s="36"/>
      <c r="O393" s="35">
        <v>180</v>
      </c>
      <c r="P393" s="80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0"/>
      <c r="R393" s="640"/>
      <c r="S393" s="640"/>
      <c r="T393" s="641"/>
      <c r="U393" s="37"/>
      <c r="V393" s="37"/>
      <c r="W393" s="38" t="s">
        <v>67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/>
      <c r="AB393" s="66"/>
      <c r="AC393" s="489" t="s">
        <v>643</v>
      </c>
      <c r="AG393" s="75"/>
      <c r="AJ393" s="79"/>
      <c r="AK393" s="79">
        <v>0</v>
      </c>
      <c r="BB393" s="490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customHeight="1" x14ac:dyDescent="0.25">
      <c r="A394" s="60" t="s">
        <v>646</v>
      </c>
      <c r="B394" s="60" t="s">
        <v>647</v>
      </c>
      <c r="C394" s="34">
        <v>4301032015</v>
      </c>
      <c r="D394" s="643">
        <v>4607091383102</v>
      </c>
      <c r="E394" s="64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77</v>
      </c>
      <c r="L394" s="35"/>
      <c r="M394" s="36" t="s">
        <v>239</v>
      </c>
      <c r="N394" s="36"/>
      <c r="O394" s="35">
        <v>180</v>
      </c>
      <c r="P394" s="9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0"/>
      <c r="R394" s="640"/>
      <c r="S394" s="640"/>
      <c r="T394" s="641"/>
      <c r="U394" s="37"/>
      <c r="V394" s="37"/>
      <c r="W394" s="38" t="s">
        <v>67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/>
      <c r="AB394" s="66"/>
      <c r="AC394" s="491" t="s">
        <v>643</v>
      </c>
      <c r="AG394" s="75"/>
      <c r="AJ394" s="79"/>
      <c r="AK394" s="79">
        <v>0</v>
      </c>
      <c r="BB394" s="492" t="s">
        <v>1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customHeight="1" x14ac:dyDescent="0.25">
      <c r="A395" s="60" t="s">
        <v>648</v>
      </c>
      <c r="B395" s="60" t="s">
        <v>649</v>
      </c>
      <c r="C395" s="34">
        <v>4301030233</v>
      </c>
      <c r="D395" s="643">
        <v>4607091388404</v>
      </c>
      <c r="E395" s="64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77</v>
      </c>
      <c r="L395" s="35"/>
      <c r="M395" s="36" t="s">
        <v>239</v>
      </c>
      <c r="N395" s="36"/>
      <c r="O395" s="35">
        <v>180</v>
      </c>
      <c r="P395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0"/>
      <c r="R395" s="640"/>
      <c r="S395" s="640"/>
      <c r="T395" s="641"/>
      <c r="U395" s="37"/>
      <c r="V395" s="37"/>
      <c r="W395" s="38" t="s">
        <v>67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/>
      <c r="AB395" s="66"/>
      <c r="AC395" s="493" t="s">
        <v>643</v>
      </c>
      <c r="AG395" s="75"/>
      <c r="AJ395" s="79"/>
      <c r="AK395" s="79">
        <v>0</v>
      </c>
      <c r="BB395" s="494" t="s">
        <v>1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x14ac:dyDescent="0.2">
      <c r="A396" s="654"/>
      <c r="B396" s="655"/>
      <c r="C396" s="655"/>
      <c r="D396" s="655"/>
      <c r="E396" s="655"/>
      <c r="F396" s="655"/>
      <c r="G396" s="655"/>
      <c r="H396" s="655"/>
      <c r="I396" s="655"/>
      <c r="J396" s="655"/>
      <c r="K396" s="655"/>
      <c r="L396" s="655"/>
      <c r="M396" s="655"/>
      <c r="N396" s="655"/>
      <c r="O396" s="656"/>
      <c r="P396" s="650" t="s">
        <v>72</v>
      </c>
      <c r="Q396" s="647"/>
      <c r="R396" s="647"/>
      <c r="S396" s="647"/>
      <c r="T396" s="647"/>
      <c r="U396" s="647"/>
      <c r="V396" s="648"/>
      <c r="W396" s="40" t="s">
        <v>73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x14ac:dyDescent="0.2">
      <c r="A397" s="655"/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6"/>
      <c r="P397" s="650" t="s">
        <v>72</v>
      </c>
      <c r="Q397" s="647"/>
      <c r="R397" s="647"/>
      <c r="S397" s="647"/>
      <c r="T397" s="647"/>
      <c r="U397" s="647"/>
      <c r="V397" s="648"/>
      <c r="W397" s="40" t="s">
        <v>67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customHeight="1" x14ac:dyDescent="0.25">
      <c r="A398" s="658" t="s">
        <v>650</v>
      </c>
      <c r="B398" s="655"/>
      <c r="C398" s="655"/>
      <c r="D398" s="655"/>
      <c r="E398" s="655"/>
      <c r="F398" s="655"/>
      <c r="G398" s="655"/>
      <c r="H398" s="655"/>
      <c r="I398" s="655"/>
      <c r="J398" s="655"/>
      <c r="K398" s="655"/>
      <c r="L398" s="655"/>
      <c r="M398" s="655"/>
      <c r="N398" s="655"/>
      <c r="O398" s="655"/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  <c r="AA398" s="63"/>
      <c r="AB398" s="63"/>
      <c r="AC398" s="63"/>
    </row>
    <row r="399" spans="1:68" ht="16.5" customHeight="1" x14ac:dyDescent="0.25">
      <c r="A399" s="60" t="s">
        <v>651</v>
      </c>
      <c r="B399" s="60" t="s">
        <v>652</v>
      </c>
      <c r="C399" s="34">
        <v>4301180007</v>
      </c>
      <c r="D399" s="643">
        <v>4680115881808</v>
      </c>
      <c r="E399" s="64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77</v>
      </c>
      <c r="L399" s="35"/>
      <c r="M399" s="36" t="s">
        <v>653</v>
      </c>
      <c r="N399" s="36"/>
      <c r="O399" s="35">
        <v>731</v>
      </c>
      <c r="P399" s="7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0"/>
      <c r="R399" s="640"/>
      <c r="S399" s="640"/>
      <c r="T399" s="641"/>
      <c r="U399" s="37"/>
      <c r="V399" s="37"/>
      <c r="W399" s="38" t="s">
        <v>67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/>
      <c r="AB399" s="66"/>
      <c r="AC399" s="495" t="s">
        <v>654</v>
      </c>
      <c r="AG399" s="75"/>
      <c r="AJ399" s="79"/>
      <c r="AK399" s="79">
        <v>0</v>
      </c>
      <c r="BB399" s="496" t="s">
        <v>1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customHeight="1" x14ac:dyDescent="0.25">
      <c r="A400" s="60" t="s">
        <v>655</v>
      </c>
      <c r="B400" s="60" t="s">
        <v>656</v>
      </c>
      <c r="C400" s="34">
        <v>4301180006</v>
      </c>
      <c r="D400" s="643">
        <v>4680115881822</v>
      </c>
      <c r="E400" s="64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77</v>
      </c>
      <c r="L400" s="35"/>
      <c r="M400" s="36" t="s">
        <v>653</v>
      </c>
      <c r="N400" s="36"/>
      <c r="O400" s="35">
        <v>731</v>
      </c>
      <c r="P400" s="10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0"/>
      <c r="R400" s="640"/>
      <c r="S400" s="640"/>
      <c r="T400" s="641"/>
      <c r="U400" s="37"/>
      <c r="V400" s="37"/>
      <c r="W400" s="38" t="s">
        <v>67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/>
      <c r="AB400" s="66"/>
      <c r="AC400" s="497" t="s">
        <v>654</v>
      </c>
      <c r="AG400" s="75"/>
      <c r="AJ400" s="79"/>
      <c r="AK400" s="79">
        <v>0</v>
      </c>
      <c r="BB400" s="498" t="s">
        <v>1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customHeight="1" x14ac:dyDescent="0.25">
      <c r="A401" s="60" t="s">
        <v>657</v>
      </c>
      <c r="B401" s="60" t="s">
        <v>658</v>
      </c>
      <c r="C401" s="34">
        <v>4301180001</v>
      </c>
      <c r="D401" s="643">
        <v>4680115880016</v>
      </c>
      <c r="E401" s="64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77</v>
      </c>
      <c r="L401" s="35"/>
      <c r="M401" s="36" t="s">
        <v>653</v>
      </c>
      <c r="N401" s="36"/>
      <c r="O401" s="35">
        <v>731</v>
      </c>
      <c r="P401" s="9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0"/>
      <c r="R401" s="640"/>
      <c r="S401" s="640"/>
      <c r="T401" s="641"/>
      <c r="U401" s="37"/>
      <c r="V401" s="37"/>
      <c r="W401" s="38" t="s">
        <v>67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/>
      <c r="AB401" s="66"/>
      <c r="AC401" s="499" t="s">
        <v>654</v>
      </c>
      <c r="AG401" s="75"/>
      <c r="AJ401" s="79"/>
      <c r="AK401" s="79">
        <v>0</v>
      </c>
      <c r="BB401" s="500" t="s">
        <v>1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x14ac:dyDescent="0.2">
      <c r="A402" s="654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6"/>
      <c r="P402" s="650" t="s">
        <v>72</v>
      </c>
      <c r="Q402" s="647"/>
      <c r="R402" s="647"/>
      <c r="S402" s="647"/>
      <c r="T402" s="647"/>
      <c r="U402" s="647"/>
      <c r="V402" s="648"/>
      <c r="W402" s="40" t="s">
        <v>73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x14ac:dyDescent="0.2">
      <c r="A403" s="655"/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6"/>
      <c r="P403" s="650" t="s">
        <v>72</v>
      </c>
      <c r="Q403" s="647"/>
      <c r="R403" s="647"/>
      <c r="S403" s="647"/>
      <c r="T403" s="647"/>
      <c r="U403" s="647"/>
      <c r="V403" s="648"/>
      <c r="W403" s="40" t="s">
        <v>67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customHeight="1" x14ac:dyDescent="0.25">
      <c r="A404" s="658" t="s">
        <v>659</v>
      </c>
      <c r="B404" s="655"/>
      <c r="C404" s="655"/>
      <c r="D404" s="655"/>
      <c r="E404" s="655"/>
      <c r="F404" s="655"/>
      <c r="G404" s="655"/>
      <c r="H404" s="655"/>
      <c r="I404" s="655"/>
      <c r="J404" s="655"/>
      <c r="K404" s="655"/>
      <c r="L404" s="655"/>
      <c r="M404" s="655"/>
      <c r="N404" s="655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  <c r="AA404" s="63"/>
      <c r="AB404" s="63"/>
      <c r="AC404" s="63"/>
    </row>
    <row r="405" spans="1:68" ht="27" customHeight="1" x14ac:dyDescent="0.25">
      <c r="A405" s="60" t="s">
        <v>660</v>
      </c>
      <c r="B405" s="60" t="s">
        <v>661</v>
      </c>
      <c r="C405" s="34">
        <v>4301220003</v>
      </c>
      <c r="D405" s="643">
        <v>4680115888678</v>
      </c>
      <c r="E405" s="64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77</v>
      </c>
      <c r="L405" s="35"/>
      <c r="M405" s="36" t="s">
        <v>653</v>
      </c>
      <c r="N405" s="36"/>
      <c r="O405" s="35">
        <v>1096</v>
      </c>
      <c r="P405" s="99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0"/>
      <c r="R405" s="640"/>
      <c r="S405" s="640"/>
      <c r="T405" s="641"/>
      <c r="U405" s="37"/>
      <c r="V405" s="37"/>
      <c r="W405" s="38" t="s">
        <v>67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/>
      <c r="AB405" s="66"/>
      <c r="AC405" s="501" t="s">
        <v>662</v>
      </c>
      <c r="AG405" s="75"/>
      <c r="AJ405" s="79"/>
      <c r="AK405" s="79">
        <v>0</v>
      </c>
      <c r="BB405" s="502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customHeight="1" x14ac:dyDescent="0.25">
      <c r="A406" s="60" t="s">
        <v>663</v>
      </c>
      <c r="B406" s="60" t="s">
        <v>664</v>
      </c>
      <c r="C406" s="34">
        <v>4301220001</v>
      </c>
      <c r="D406" s="643">
        <v>4680115888654</v>
      </c>
      <c r="E406" s="64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123</v>
      </c>
      <c r="L406" s="35"/>
      <c r="M406" s="36" t="s">
        <v>653</v>
      </c>
      <c r="N406" s="36"/>
      <c r="O406" s="35">
        <v>1096</v>
      </c>
      <c r="P406" s="87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0"/>
      <c r="R406" s="640"/>
      <c r="S406" s="640"/>
      <c r="T406" s="641"/>
      <c r="U406" s="37"/>
      <c r="V406" s="37"/>
      <c r="W406" s="38" t="s">
        <v>67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/>
      <c r="AB406" s="66"/>
      <c r="AC406" s="503" t="s">
        <v>665</v>
      </c>
      <c r="AG406" s="75"/>
      <c r="AJ406" s="79"/>
      <c r="AK406" s="79">
        <v>0</v>
      </c>
      <c r="BB406" s="504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customHeight="1" x14ac:dyDescent="0.25">
      <c r="A407" s="60" t="s">
        <v>666</v>
      </c>
      <c r="B407" s="60" t="s">
        <v>667</v>
      </c>
      <c r="C407" s="34">
        <v>4301220002</v>
      </c>
      <c r="D407" s="643">
        <v>4680115888753</v>
      </c>
      <c r="E407" s="64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77</v>
      </c>
      <c r="L407" s="35"/>
      <c r="M407" s="36" t="s">
        <v>653</v>
      </c>
      <c r="N407" s="36"/>
      <c r="O407" s="35">
        <v>1096</v>
      </c>
      <c r="P407" s="94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0"/>
      <c r="R407" s="640"/>
      <c r="S407" s="640"/>
      <c r="T407" s="641"/>
      <c r="U407" s="37"/>
      <c r="V407" s="37"/>
      <c r="W407" s="38" t="s">
        <v>67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/>
      <c r="AB407" s="66"/>
      <c r="AC407" s="505" t="s">
        <v>662</v>
      </c>
      <c r="AG407" s="75"/>
      <c r="AJ407" s="79"/>
      <c r="AK407" s="79">
        <v>0</v>
      </c>
      <c r="BB407" s="506" t="s">
        <v>1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654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6"/>
      <c r="P408" s="650" t="s">
        <v>72</v>
      </c>
      <c r="Q408" s="647"/>
      <c r="R408" s="647"/>
      <c r="S408" s="647"/>
      <c r="T408" s="647"/>
      <c r="U408" s="647"/>
      <c r="V408" s="648"/>
      <c r="W408" s="40" t="s">
        <v>73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x14ac:dyDescent="0.2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6"/>
      <c r="P409" s="650" t="s">
        <v>72</v>
      </c>
      <c r="Q409" s="647"/>
      <c r="R409" s="647"/>
      <c r="S409" s="647"/>
      <c r="T409" s="647"/>
      <c r="U409" s="647"/>
      <c r="V409" s="648"/>
      <c r="W409" s="40" t="s">
        <v>67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customHeight="1" x14ac:dyDescent="0.25">
      <c r="A410" s="657" t="s">
        <v>668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2"/>
      <c r="AB410" s="62"/>
      <c r="AC410" s="62"/>
    </row>
    <row r="411" spans="1:68" ht="14.25" customHeight="1" x14ac:dyDescent="0.25">
      <c r="A411" s="658" t="s">
        <v>74</v>
      </c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5"/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  <c r="AA411" s="63"/>
      <c r="AB411" s="63"/>
      <c r="AC411" s="63"/>
    </row>
    <row r="412" spans="1:68" ht="16.5" customHeight="1" x14ac:dyDescent="0.25">
      <c r="A412" s="60" t="s">
        <v>669</v>
      </c>
      <c r="B412" s="60" t="s">
        <v>670</v>
      </c>
      <c r="C412" s="34">
        <v>4301052235</v>
      </c>
      <c r="D412" s="643">
        <v>4680115889415</v>
      </c>
      <c r="E412" s="64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114</v>
      </c>
      <c r="L412" s="35"/>
      <c r="M412" s="36" t="s">
        <v>78</v>
      </c>
      <c r="N412" s="36"/>
      <c r="O412" s="35">
        <v>40</v>
      </c>
      <c r="P412" s="711" t="s">
        <v>671</v>
      </c>
      <c r="Q412" s="640"/>
      <c r="R412" s="640"/>
      <c r="S412" s="640"/>
      <c r="T412" s="641"/>
      <c r="U412" s="37"/>
      <c r="V412" s="37"/>
      <c r="W412" s="38" t="s">
        <v>67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/>
      <c r="AB412" s="66" t="s">
        <v>672</v>
      </c>
      <c r="AC412" s="507" t="s">
        <v>673</v>
      </c>
      <c r="AG412" s="75"/>
      <c r="AJ412" s="79"/>
      <c r="AK412" s="79">
        <v>0</v>
      </c>
      <c r="BB412" s="50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customHeight="1" x14ac:dyDescent="0.25">
      <c r="A413" s="60" t="s">
        <v>674</v>
      </c>
      <c r="B413" s="60" t="s">
        <v>675</v>
      </c>
      <c r="C413" s="34">
        <v>4301052236</v>
      </c>
      <c r="D413" s="643">
        <v>4680115889422</v>
      </c>
      <c r="E413" s="64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114</v>
      </c>
      <c r="L413" s="35"/>
      <c r="M413" s="36" t="s">
        <v>78</v>
      </c>
      <c r="N413" s="36"/>
      <c r="O413" s="35">
        <v>40</v>
      </c>
      <c r="P413" s="946" t="s">
        <v>676</v>
      </c>
      <c r="Q413" s="640"/>
      <c r="R413" s="640"/>
      <c r="S413" s="640"/>
      <c r="T413" s="641"/>
      <c r="U413" s="37"/>
      <c r="V413" s="37"/>
      <c r="W413" s="38" t="s">
        <v>67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/>
      <c r="AB413" s="66" t="s">
        <v>672</v>
      </c>
      <c r="AC413" s="509" t="s">
        <v>677</v>
      </c>
      <c r="AG413" s="75"/>
      <c r="AJ413" s="79"/>
      <c r="AK413" s="79">
        <v>0</v>
      </c>
      <c r="BB413" s="510" t="s">
        <v>1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54"/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56"/>
      <c r="P414" s="650" t="s">
        <v>72</v>
      </c>
      <c r="Q414" s="647"/>
      <c r="R414" s="647"/>
      <c r="S414" s="647"/>
      <c r="T414" s="647"/>
      <c r="U414" s="647"/>
      <c r="V414" s="648"/>
      <c r="W414" s="40" t="s">
        <v>73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x14ac:dyDescent="0.2">
      <c r="A415" s="655"/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6"/>
      <c r="P415" s="650" t="s">
        <v>72</v>
      </c>
      <c r="Q415" s="647"/>
      <c r="R415" s="647"/>
      <c r="S415" s="647"/>
      <c r="T415" s="647"/>
      <c r="U415" s="647"/>
      <c r="V415" s="648"/>
      <c r="W415" s="40" t="s">
        <v>67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customHeight="1" x14ac:dyDescent="0.25">
      <c r="A416" s="657" t="s">
        <v>678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2"/>
      <c r="AB416" s="62"/>
      <c r="AC416" s="62"/>
    </row>
    <row r="417" spans="1:68" ht="14.25" customHeight="1" x14ac:dyDescent="0.25">
      <c r="A417" s="658" t="s">
        <v>74</v>
      </c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  <c r="AA417" s="63"/>
      <c r="AB417" s="63"/>
      <c r="AC417" s="63"/>
    </row>
    <row r="418" spans="1:68" ht="27" customHeight="1" x14ac:dyDescent="0.25">
      <c r="A418" s="60" t="s">
        <v>679</v>
      </c>
      <c r="B418" s="60" t="s">
        <v>680</v>
      </c>
      <c r="C418" s="34">
        <v>4301051489</v>
      </c>
      <c r="D418" s="643">
        <v>4607091387919</v>
      </c>
      <c r="E418" s="64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114</v>
      </c>
      <c r="L418" s="35"/>
      <c r="M418" s="36" t="s">
        <v>84</v>
      </c>
      <c r="N418" s="36"/>
      <c r="O418" s="35">
        <v>45</v>
      </c>
      <c r="P418" s="7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0"/>
      <c r="R418" s="640"/>
      <c r="S418" s="640"/>
      <c r="T418" s="641"/>
      <c r="U418" s="37"/>
      <c r="V418" s="37"/>
      <c r="W418" s="38" t="s">
        <v>67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/>
      <c r="AB418" s="66"/>
      <c r="AC418" s="511" t="s">
        <v>681</v>
      </c>
      <c r="AG418" s="75"/>
      <c r="AJ418" s="79"/>
      <c r="AK418" s="79">
        <v>0</v>
      </c>
      <c r="BB418" s="512" t="s">
        <v>1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682</v>
      </c>
      <c r="B419" s="60" t="s">
        <v>683</v>
      </c>
      <c r="C419" s="34">
        <v>4301051461</v>
      </c>
      <c r="D419" s="643">
        <v>4680115883604</v>
      </c>
      <c r="E419" s="64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77</v>
      </c>
      <c r="L419" s="35"/>
      <c r="M419" s="36" t="s">
        <v>78</v>
      </c>
      <c r="N419" s="36"/>
      <c r="O419" s="35">
        <v>45</v>
      </c>
      <c r="P419" s="86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0"/>
      <c r="R419" s="640"/>
      <c r="S419" s="640"/>
      <c r="T419" s="641"/>
      <c r="U419" s="37"/>
      <c r="V419" s="37"/>
      <c r="W419" s="38" t="s">
        <v>67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/>
      <c r="AB419" s="66"/>
      <c r="AC419" s="513" t="s">
        <v>684</v>
      </c>
      <c r="AG419" s="75"/>
      <c r="AJ419" s="79"/>
      <c r="AK419" s="79">
        <v>0</v>
      </c>
      <c r="BB419" s="514" t="s">
        <v>1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685</v>
      </c>
      <c r="B420" s="60" t="s">
        <v>686</v>
      </c>
      <c r="C420" s="34">
        <v>4301051864</v>
      </c>
      <c r="D420" s="643">
        <v>4680115883567</v>
      </c>
      <c r="E420" s="64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77</v>
      </c>
      <c r="L420" s="35"/>
      <c r="M420" s="36" t="s">
        <v>84</v>
      </c>
      <c r="N420" s="36"/>
      <c r="O420" s="35">
        <v>40</v>
      </c>
      <c r="P420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0"/>
      <c r="R420" s="640"/>
      <c r="S420" s="640"/>
      <c r="T420" s="641"/>
      <c r="U420" s="37"/>
      <c r="V420" s="37"/>
      <c r="W420" s="38" t="s">
        <v>67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/>
      <c r="AB420" s="66"/>
      <c r="AC420" s="515" t="s">
        <v>687</v>
      </c>
      <c r="AG420" s="75"/>
      <c r="AJ420" s="79"/>
      <c r="AK420" s="79">
        <v>0</v>
      </c>
      <c r="BB420" s="516" t="s">
        <v>1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654"/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6"/>
      <c r="P421" s="650" t="s">
        <v>72</v>
      </c>
      <c r="Q421" s="647"/>
      <c r="R421" s="647"/>
      <c r="S421" s="647"/>
      <c r="T421" s="647"/>
      <c r="U421" s="647"/>
      <c r="V421" s="648"/>
      <c r="W421" s="40" t="s">
        <v>73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x14ac:dyDescent="0.2">
      <c r="A422" s="655"/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6"/>
      <c r="P422" s="650" t="s">
        <v>72</v>
      </c>
      <c r="Q422" s="647"/>
      <c r="R422" s="647"/>
      <c r="S422" s="647"/>
      <c r="T422" s="647"/>
      <c r="U422" s="647"/>
      <c r="V422" s="648"/>
      <c r="W422" s="40" t="s">
        <v>67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customHeight="1" x14ac:dyDescent="0.2">
      <c r="A423" s="734" t="s">
        <v>688</v>
      </c>
      <c r="B423" s="735"/>
      <c r="C423" s="735"/>
      <c r="D423" s="735"/>
      <c r="E423" s="735"/>
      <c r="F423" s="735"/>
      <c r="G423" s="735"/>
      <c r="H423" s="735"/>
      <c r="I423" s="735"/>
      <c r="J423" s="735"/>
      <c r="K423" s="735"/>
      <c r="L423" s="735"/>
      <c r="M423" s="735"/>
      <c r="N423" s="735"/>
      <c r="O423" s="735"/>
      <c r="P423" s="735"/>
      <c r="Q423" s="735"/>
      <c r="R423" s="735"/>
      <c r="S423" s="735"/>
      <c r="T423" s="735"/>
      <c r="U423" s="735"/>
      <c r="V423" s="735"/>
      <c r="W423" s="735"/>
      <c r="X423" s="735"/>
      <c r="Y423" s="735"/>
      <c r="Z423" s="735"/>
      <c r="AA423" s="52"/>
      <c r="AB423" s="52"/>
      <c r="AC423" s="52"/>
    </row>
    <row r="424" spans="1:68" ht="16.5" customHeight="1" x14ac:dyDescent="0.25">
      <c r="A424" s="657" t="s">
        <v>689</v>
      </c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5"/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  <c r="AA424" s="62"/>
      <c r="AB424" s="62"/>
      <c r="AC424" s="62"/>
    </row>
    <row r="425" spans="1:68" ht="14.25" customHeight="1" x14ac:dyDescent="0.25">
      <c r="A425" s="658" t="s">
        <v>111</v>
      </c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5"/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  <c r="AA425" s="63"/>
      <c r="AB425" s="63"/>
      <c r="AC425" s="63"/>
    </row>
    <row r="426" spans="1:68" ht="27" customHeight="1" x14ac:dyDescent="0.25">
      <c r="A426" s="60" t="s">
        <v>690</v>
      </c>
      <c r="B426" s="60" t="s">
        <v>691</v>
      </c>
      <c r="C426" s="34">
        <v>4301012332</v>
      </c>
      <c r="D426" s="643">
        <v>4680115888401</v>
      </c>
      <c r="E426" s="64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114</v>
      </c>
      <c r="L426" s="35"/>
      <c r="M426" s="36" t="s">
        <v>84</v>
      </c>
      <c r="N426" s="36"/>
      <c r="O426" s="35">
        <v>60</v>
      </c>
      <c r="P426" s="9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0"/>
      <c r="R426" s="640"/>
      <c r="S426" s="640"/>
      <c r="T426" s="641"/>
      <c r="U426" s="37"/>
      <c r="V426" s="37"/>
      <c r="W426" s="38" t="s">
        <v>67</v>
      </c>
      <c r="X426" s="56">
        <v>0</v>
      </c>
      <c r="Y426" s="53">
        <f t="shared" ref="Y426:Y433" si="53">IFERROR(IF(X426="",0,CEILING((X426/$H426),1)*$H426),"")</f>
        <v>0</v>
      </c>
      <c r="Z426" s="39" t="str">
        <f>IFERROR(IF(Y426=0,"",ROUNDUP(Y426/H426,0)*0.02175),"")</f>
        <v/>
      </c>
      <c r="AA426" s="65"/>
      <c r="AB426" s="66"/>
      <c r="AC426" s="517" t="s">
        <v>692</v>
      </c>
      <c r="AG426" s="75"/>
      <c r="AJ426" s="79"/>
      <c r="AK426" s="79">
        <v>0</v>
      </c>
      <c r="BB426" s="518" t="s">
        <v>1</v>
      </c>
      <c r="BM426" s="75">
        <f t="shared" ref="BM426:BM433" si="54">IFERROR(X426*I426/H426,"0")</f>
        <v>0</v>
      </c>
      <c r="BN426" s="75">
        <f t="shared" ref="BN426:BN433" si="55">IFERROR(Y426*I426/H426,"0")</f>
        <v>0</v>
      </c>
      <c r="BO426" s="75">
        <f t="shared" ref="BO426:BO433" si="56">IFERROR(1/J426*(X426/H426),"0")</f>
        <v>0</v>
      </c>
      <c r="BP426" s="75">
        <f t="shared" ref="BP426:BP433" si="57">IFERROR(1/J426*(Y426/H426),"0")</f>
        <v>0</v>
      </c>
    </row>
    <row r="427" spans="1:68" ht="37.5" customHeight="1" x14ac:dyDescent="0.25">
      <c r="A427" s="60" t="s">
        <v>693</v>
      </c>
      <c r="B427" s="60" t="s">
        <v>694</v>
      </c>
      <c r="C427" s="34">
        <v>4301011869</v>
      </c>
      <c r="D427" s="643">
        <v>4680115884847</v>
      </c>
      <c r="E427" s="64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114</v>
      </c>
      <c r="L427" s="35"/>
      <c r="M427" s="36" t="s">
        <v>66</v>
      </c>
      <c r="N427" s="36"/>
      <c r="O427" s="35">
        <v>60</v>
      </c>
      <c r="P427" s="86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0"/>
      <c r="R427" s="640"/>
      <c r="S427" s="640"/>
      <c r="T427" s="641"/>
      <c r="U427" s="37"/>
      <c r="V427" s="37"/>
      <c r="W427" s="38" t="s">
        <v>67</v>
      </c>
      <c r="X427" s="56">
        <v>0</v>
      </c>
      <c r="Y427" s="53">
        <f t="shared" si="53"/>
        <v>0</v>
      </c>
      <c r="Z427" s="39" t="str">
        <f>IFERROR(IF(Y427=0,"",ROUNDUP(Y427/H427,0)*0.02175),"")</f>
        <v/>
      </c>
      <c r="AA427" s="65"/>
      <c r="AB427" s="66"/>
      <c r="AC427" s="519" t="s">
        <v>695</v>
      </c>
      <c r="AG427" s="75"/>
      <c r="AJ427" s="79"/>
      <c r="AK427" s="79">
        <v>0</v>
      </c>
      <c r="BB427" s="520" t="s">
        <v>1</v>
      </c>
      <c r="BM427" s="75">
        <f t="shared" si="54"/>
        <v>0</v>
      </c>
      <c r="BN427" s="75">
        <f t="shared" si="55"/>
        <v>0</v>
      </c>
      <c r="BO427" s="75">
        <f t="shared" si="56"/>
        <v>0</v>
      </c>
      <c r="BP427" s="75">
        <f t="shared" si="57"/>
        <v>0</v>
      </c>
    </row>
    <row r="428" spans="1:68" ht="27" customHeight="1" x14ac:dyDescent="0.25">
      <c r="A428" s="60" t="s">
        <v>696</v>
      </c>
      <c r="B428" s="60" t="s">
        <v>697</v>
      </c>
      <c r="C428" s="34">
        <v>4301012083</v>
      </c>
      <c r="D428" s="643">
        <v>4680115884854</v>
      </c>
      <c r="E428" s="64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114</v>
      </c>
      <c r="L428" s="35"/>
      <c r="M428" s="36" t="s">
        <v>115</v>
      </c>
      <c r="N428" s="36"/>
      <c r="O428" s="35">
        <v>60</v>
      </c>
      <c r="P428" s="90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0"/>
      <c r="R428" s="640"/>
      <c r="S428" s="640"/>
      <c r="T428" s="641"/>
      <c r="U428" s="37"/>
      <c r="V428" s="37"/>
      <c r="W428" s="38" t="s">
        <v>67</v>
      </c>
      <c r="X428" s="56">
        <v>500</v>
      </c>
      <c r="Y428" s="53">
        <f t="shared" si="53"/>
        <v>510</v>
      </c>
      <c r="Z428" s="39">
        <f>IFERROR(IF(Y428=0,"",ROUNDUP(Y428/H428,0)*0.02175),"")</f>
        <v>0.73949999999999994</v>
      </c>
      <c r="AA428" s="65"/>
      <c r="AB428" s="66"/>
      <c r="AC428" s="521" t="s">
        <v>698</v>
      </c>
      <c r="AG428" s="75"/>
      <c r="AJ428" s="79"/>
      <c r="AK428" s="79">
        <v>0</v>
      </c>
      <c r="BB428" s="522" t="s">
        <v>1</v>
      </c>
      <c r="BM428" s="75">
        <f t="shared" si="54"/>
        <v>515.66666666666663</v>
      </c>
      <c r="BN428" s="75">
        <f t="shared" si="55"/>
        <v>525.98</v>
      </c>
      <c r="BO428" s="75">
        <f t="shared" si="56"/>
        <v>0.69444444444444442</v>
      </c>
      <c r="BP428" s="75">
        <f t="shared" si="57"/>
        <v>0.70833333333333326</v>
      </c>
    </row>
    <row r="429" spans="1:68" ht="27" customHeight="1" x14ac:dyDescent="0.25">
      <c r="A429" s="60" t="s">
        <v>699</v>
      </c>
      <c r="B429" s="60" t="s">
        <v>700</v>
      </c>
      <c r="C429" s="34">
        <v>4301011867</v>
      </c>
      <c r="D429" s="643">
        <v>4680115884830</v>
      </c>
      <c r="E429" s="64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114</v>
      </c>
      <c r="L429" s="35"/>
      <c r="M429" s="36" t="s">
        <v>66</v>
      </c>
      <c r="N429" s="36"/>
      <c r="O429" s="35">
        <v>60</v>
      </c>
      <c r="P429" s="9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0"/>
      <c r="R429" s="640"/>
      <c r="S429" s="640"/>
      <c r="T429" s="641"/>
      <c r="U429" s="37"/>
      <c r="V429" s="37"/>
      <c r="W429" s="38" t="s">
        <v>67</v>
      </c>
      <c r="X429" s="56">
        <v>0</v>
      </c>
      <c r="Y429" s="53">
        <f t="shared" si="53"/>
        <v>0</v>
      </c>
      <c r="Z429" s="39" t="str">
        <f>IFERROR(IF(Y429=0,"",ROUNDUP(Y429/H429,0)*0.02175),"")</f>
        <v/>
      </c>
      <c r="AA429" s="65"/>
      <c r="AB429" s="66"/>
      <c r="AC429" s="523" t="s">
        <v>701</v>
      </c>
      <c r="AG429" s="75"/>
      <c r="AJ429" s="79"/>
      <c r="AK429" s="79">
        <v>0</v>
      </c>
      <c r="BB429" s="524" t="s">
        <v>1</v>
      </c>
      <c r="BM429" s="75">
        <f t="shared" si="54"/>
        <v>0</v>
      </c>
      <c r="BN429" s="75">
        <f t="shared" si="55"/>
        <v>0</v>
      </c>
      <c r="BO429" s="75">
        <f t="shared" si="56"/>
        <v>0</v>
      </c>
      <c r="BP429" s="75">
        <f t="shared" si="57"/>
        <v>0</v>
      </c>
    </row>
    <row r="430" spans="1:68" ht="27" customHeight="1" x14ac:dyDescent="0.25">
      <c r="A430" s="60" t="s">
        <v>702</v>
      </c>
      <c r="B430" s="60" t="s">
        <v>703</v>
      </c>
      <c r="C430" s="34">
        <v>4301012356</v>
      </c>
      <c r="D430" s="643">
        <v>4680115889231</v>
      </c>
      <c r="E430" s="64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114</v>
      </c>
      <c r="L430" s="35"/>
      <c r="M430" s="36" t="s">
        <v>84</v>
      </c>
      <c r="N430" s="36"/>
      <c r="O430" s="35">
        <v>60</v>
      </c>
      <c r="P430" s="7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0"/>
      <c r="R430" s="640"/>
      <c r="S430" s="640"/>
      <c r="T430" s="641"/>
      <c r="U430" s="37"/>
      <c r="V430" s="37"/>
      <c r="W430" s="38" t="s">
        <v>67</v>
      </c>
      <c r="X430" s="56">
        <v>0</v>
      </c>
      <c r="Y430" s="53">
        <f t="shared" si="53"/>
        <v>0</v>
      </c>
      <c r="Z430" s="39" t="str">
        <f>IFERROR(IF(Y430=0,"",ROUNDUP(Y430/H430,0)*0.02175),"")</f>
        <v/>
      </c>
      <c r="AA430" s="65"/>
      <c r="AB430" s="66"/>
      <c r="AC430" s="525" t="s">
        <v>704</v>
      </c>
      <c r="AG430" s="75"/>
      <c r="AJ430" s="79"/>
      <c r="AK430" s="79">
        <v>0</v>
      </c>
      <c r="BB430" s="526" t="s">
        <v>1</v>
      </c>
      <c r="BM430" s="75">
        <f t="shared" si="54"/>
        <v>0</v>
      </c>
      <c r="BN430" s="75">
        <f t="shared" si="55"/>
        <v>0</v>
      </c>
      <c r="BO430" s="75">
        <f t="shared" si="56"/>
        <v>0</v>
      </c>
      <c r="BP430" s="75">
        <f t="shared" si="57"/>
        <v>0</v>
      </c>
    </row>
    <row r="431" spans="1:68" ht="27" customHeight="1" x14ac:dyDescent="0.25">
      <c r="A431" s="60" t="s">
        <v>705</v>
      </c>
      <c r="B431" s="60" t="s">
        <v>706</v>
      </c>
      <c r="C431" s="34">
        <v>4301011433</v>
      </c>
      <c r="D431" s="643">
        <v>4680115882638</v>
      </c>
      <c r="E431" s="64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123</v>
      </c>
      <c r="L431" s="35"/>
      <c r="M431" s="36" t="s">
        <v>115</v>
      </c>
      <c r="N431" s="36"/>
      <c r="O431" s="35">
        <v>90</v>
      </c>
      <c r="P431" s="8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0"/>
      <c r="R431" s="640"/>
      <c r="S431" s="640"/>
      <c r="T431" s="641"/>
      <c r="U431" s="37"/>
      <c r="V431" s="37"/>
      <c r="W431" s="38" t="s">
        <v>67</v>
      </c>
      <c r="X431" s="56">
        <v>0</v>
      </c>
      <c r="Y431" s="53">
        <f t="shared" si="53"/>
        <v>0</v>
      </c>
      <c r="Z431" s="39" t="str">
        <f>IFERROR(IF(Y431=0,"",ROUNDUP(Y431/H431,0)*0.00902),"")</f>
        <v/>
      </c>
      <c r="AA431" s="65"/>
      <c r="AB431" s="66"/>
      <c r="AC431" s="527" t="s">
        <v>707</v>
      </c>
      <c r="AG431" s="75"/>
      <c r="AJ431" s="79"/>
      <c r="AK431" s="79">
        <v>0</v>
      </c>
      <c r="BB431" s="528" t="s">
        <v>1</v>
      </c>
      <c r="BM431" s="75">
        <f t="shared" si="54"/>
        <v>0</v>
      </c>
      <c r="BN431" s="75">
        <f t="shared" si="55"/>
        <v>0</v>
      </c>
      <c r="BO431" s="75">
        <f t="shared" si="56"/>
        <v>0</v>
      </c>
      <c r="BP431" s="75">
        <f t="shared" si="57"/>
        <v>0</v>
      </c>
    </row>
    <row r="432" spans="1:68" ht="27" customHeight="1" x14ac:dyDescent="0.25">
      <c r="A432" s="60" t="s">
        <v>708</v>
      </c>
      <c r="B432" s="60" t="s">
        <v>709</v>
      </c>
      <c r="C432" s="34">
        <v>4301011952</v>
      </c>
      <c r="D432" s="643">
        <v>4680115884922</v>
      </c>
      <c r="E432" s="64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123</v>
      </c>
      <c r="L432" s="35"/>
      <c r="M432" s="36" t="s">
        <v>66</v>
      </c>
      <c r="N432" s="36"/>
      <c r="O432" s="35">
        <v>60</v>
      </c>
      <c r="P432" s="99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0"/>
      <c r="R432" s="640"/>
      <c r="S432" s="640"/>
      <c r="T432" s="641"/>
      <c r="U432" s="37"/>
      <c r="V432" s="37"/>
      <c r="W432" s="38" t="s">
        <v>67</v>
      </c>
      <c r="X432" s="56">
        <v>0</v>
      </c>
      <c r="Y432" s="53">
        <f t="shared" si="53"/>
        <v>0</v>
      </c>
      <c r="Z432" s="39" t="str">
        <f>IFERROR(IF(Y432=0,"",ROUNDUP(Y432/H432,0)*0.00902),"")</f>
        <v/>
      </c>
      <c r="AA432" s="65"/>
      <c r="AB432" s="66"/>
      <c r="AC432" s="529" t="s">
        <v>710</v>
      </c>
      <c r="AG432" s="75"/>
      <c r="AJ432" s="79"/>
      <c r="AK432" s="79">
        <v>0</v>
      </c>
      <c r="BB432" s="530" t="s">
        <v>1</v>
      </c>
      <c r="BM432" s="75">
        <f t="shared" si="54"/>
        <v>0</v>
      </c>
      <c r="BN432" s="75">
        <f t="shared" si="55"/>
        <v>0</v>
      </c>
      <c r="BO432" s="75">
        <f t="shared" si="56"/>
        <v>0</v>
      </c>
      <c r="BP432" s="75">
        <f t="shared" si="57"/>
        <v>0</v>
      </c>
    </row>
    <row r="433" spans="1:68" ht="37.5" customHeight="1" x14ac:dyDescent="0.25">
      <c r="A433" s="60" t="s">
        <v>711</v>
      </c>
      <c r="B433" s="60" t="s">
        <v>712</v>
      </c>
      <c r="C433" s="34">
        <v>4301011868</v>
      </c>
      <c r="D433" s="643">
        <v>4680115884861</v>
      </c>
      <c r="E433" s="64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123</v>
      </c>
      <c r="L433" s="35"/>
      <c r="M433" s="36" t="s">
        <v>66</v>
      </c>
      <c r="N433" s="36"/>
      <c r="O433" s="35">
        <v>60</v>
      </c>
      <c r="P43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0"/>
      <c r="R433" s="640"/>
      <c r="S433" s="640"/>
      <c r="T433" s="641"/>
      <c r="U433" s="37"/>
      <c r="V433" s="37"/>
      <c r="W433" s="38" t="s">
        <v>67</v>
      </c>
      <c r="X433" s="56">
        <v>0</v>
      </c>
      <c r="Y433" s="53">
        <f t="shared" si="53"/>
        <v>0</v>
      </c>
      <c r="Z433" s="39" t="str">
        <f>IFERROR(IF(Y433=0,"",ROUNDUP(Y433/H433,0)*0.00902),"")</f>
        <v/>
      </c>
      <c r="AA433" s="65"/>
      <c r="AB433" s="66"/>
      <c r="AC433" s="531" t="s">
        <v>713</v>
      </c>
      <c r="AG433" s="75"/>
      <c r="AJ433" s="79"/>
      <c r="AK433" s="79">
        <v>0</v>
      </c>
      <c r="BB433" s="532" t="s">
        <v>1</v>
      </c>
      <c r="BM433" s="75">
        <f t="shared" si="54"/>
        <v>0</v>
      </c>
      <c r="BN433" s="75">
        <f t="shared" si="55"/>
        <v>0</v>
      </c>
      <c r="BO433" s="75">
        <f t="shared" si="56"/>
        <v>0</v>
      </c>
      <c r="BP433" s="75">
        <f t="shared" si="57"/>
        <v>0</v>
      </c>
    </row>
    <row r="434" spans="1:68" x14ac:dyDescent="0.2">
      <c r="A434" s="654"/>
      <c r="B434" s="655"/>
      <c r="C434" s="655"/>
      <c r="D434" s="655"/>
      <c r="E434" s="655"/>
      <c r="F434" s="655"/>
      <c r="G434" s="655"/>
      <c r="H434" s="655"/>
      <c r="I434" s="655"/>
      <c r="J434" s="655"/>
      <c r="K434" s="655"/>
      <c r="L434" s="655"/>
      <c r="M434" s="655"/>
      <c r="N434" s="655"/>
      <c r="O434" s="656"/>
      <c r="P434" s="650" t="s">
        <v>72</v>
      </c>
      <c r="Q434" s="647"/>
      <c r="R434" s="647"/>
      <c r="S434" s="647"/>
      <c r="T434" s="647"/>
      <c r="U434" s="647"/>
      <c r="V434" s="648"/>
      <c r="W434" s="40" t="s">
        <v>73</v>
      </c>
      <c r="X434" s="41">
        <f>IFERROR(X426/H426,"0")+IFERROR(X427/H427,"0")+IFERROR(X428/H428,"0")+IFERROR(X429/H429,"0")+IFERROR(X430/H430,"0")+IFERROR(X431/H431,"0")+IFERROR(X432/H432,"0")+IFERROR(X433/H433,"0")</f>
        <v>33.333333333333336</v>
      </c>
      <c r="Y434" s="41">
        <f>IFERROR(Y426/H426,"0")+IFERROR(Y427/H427,"0")+IFERROR(Y428/H428,"0")+IFERROR(Y429/H429,"0")+IFERROR(Y430/H430,"0")+IFERROR(Y431/H431,"0")+IFERROR(Y432/H432,"0")+IFERROR(Y433/H433,"0")</f>
        <v>34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0.73949999999999994</v>
      </c>
      <c r="AA434" s="64"/>
      <c r="AB434" s="64"/>
      <c r="AC434" s="64"/>
    </row>
    <row r="435" spans="1:68" x14ac:dyDescent="0.2">
      <c r="A435" s="655"/>
      <c r="B435" s="655"/>
      <c r="C435" s="655"/>
      <c r="D435" s="655"/>
      <c r="E435" s="655"/>
      <c r="F435" s="655"/>
      <c r="G435" s="655"/>
      <c r="H435" s="655"/>
      <c r="I435" s="655"/>
      <c r="J435" s="655"/>
      <c r="K435" s="655"/>
      <c r="L435" s="655"/>
      <c r="M435" s="655"/>
      <c r="N435" s="655"/>
      <c r="O435" s="656"/>
      <c r="P435" s="650" t="s">
        <v>72</v>
      </c>
      <c r="Q435" s="647"/>
      <c r="R435" s="647"/>
      <c r="S435" s="647"/>
      <c r="T435" s="647"/>
      <c r="U435" s="647"/>
      <c r="V435" s="648"/>
      <c r="W435" s="40" t="s">
        <v>67</v>
      </c>
      <c r="X435" s="41">
        <f>IFERROR(SUM(X426:X433),"0")</f>
        <v>500</v>
      </c>
      <c r="Y435" s="41">
        <f>IFERROR(SUM(Y426:Y433),"0")</f>
        <v>510</v>
      </c>
      <c r="Z435" s="40"/>
      <c r="AA435" s="64"/>
      <c r="AB435" s="64"/>
      <c r="AC435" s="64"/>
    </row>
    <row r="436" spans="1:68" ht="14.25" customHeight="1" x14ac:dyDescent="0.25">
      <c r="A436" s="658" t="s">
        <v>147</v>
      </c>
      <c r="B436" s="655"/>
      <c r="C436" s="655"/>
      <c r="D436" s="655"/>
      <c r="E436" s="655"/>
      <c r="F436" s="655"/>
      <c r="G436" s="655"/>
      <c r="H436" s="655"/>
      <c r="I436" s="655"/>
      <c r="J436" s="655"/>
      <c r="K436" s="655"/>
      <c r="L436" s="655"/>
      <c r="M436" s="655"/>
      <c r="N436" s="655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  <c r="AA436" s="63"/>
      <c r="AB436" s="63"/>
      <c r="AC436" s="63"/>
    </row>
    <row r="437" spans="1:68" ht="27" customHeight="1" x14ac:dyDescent="0.25">
      <c r="A437" s="60" t="s">
        <v>714</v>
      </c>
      <c r="B437" s="60" t="s">
        <v>715</v>
      </c>
      <c r="C437" s="34">
        <v>4301020178</v>
      </c>
      <c r="D437" s="643">
        <v>4607091383980</v>
      </c>
      <c r="E437" s="64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114</v>
      </c>
      <c r="L437" s="35"/>
      <c r="M437" s="36" t="s">
        <v>115</v>
      </c>
      <c r="N437" s="36"/>
      <c r="O437" s="35">
        <v>50</v>
      </c>
      <c r="P437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0"/>
      <c r="R437" s="640"/>
      <c r="S437" s="640"/>
      <c r="T437" s="641"/>
      <c r="U437" s="37"/>
      <c r="V437" s="37"/>
      <c r="W437" s="38" t="s">
        <v>67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/>
      <c r="AB437" s="66"/>
      <c r="AC437" s="533" t="s">
        <v>716</v>
      </c>
      <c r="AG437" s="75"/>
      <c r="AJ437" s="79"/>
      <c r="AK437" s="79">
        <v>0</v>
      </c>
      <c r="BB437" s="534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customHeight="1" x14ac:dyDescent="0.25">
      <c r="A438" s="60" t="s">
        <v>717</v>
      </c>
      <c r="B438" s="60" t="s">
        <v>718</v>
      </c>
      <c r="C438" s="34">
        <v>4301020355</v>
      </c>
      <c r="D438" s="643">
        <v>4680115888425</v>
      </c>
      <c r="E438" s="64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114</v>
      </c>
      <c r="L438" s="35"/>
      <c r="M438" s="36" t="s">
        <v>115</v>
      </c>
      <c r="N438" s="36"/>
      <c r="O438" s="35">
        <v>50</v>
      </c>
      <c r="P438" s="8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0"/>
      <c r="R438" s="640"/>
      <c r="S438" s="640"/>
      <c r="T438" s="641"/>
      <c r="U438" s="37"/>
      <c r="V438" s="37"/>
      <c r="W438" s="38" t="s">
        <v>67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/>
      <c r="AB438" s="66"/>
      <c r="AC438" s="535" t="s">
        <v>719</v>
      </c>
      <c r="AG438" s="75"/>
      <c r="AJ438" s="79"/>
      <c r="AK438" s="79">
        <v>0</v>
      </c>
      <c r="BB438" s="536" t="s">
        <v>1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customHeight="1" x14ac:dyDescent="0.25">
      <c r="A439" s="60" t="s">
        <v>720</v>
      </c>
      <c r="B439" s="60" t="s">
        <v>721</v>
      </c>
      <c r="C439" s="34">
        <v>4301020179</v>
      </c>
      <c r="D439" s="643">
        <v>4607091384178</v>
      </c>
      <c r="E439" s="64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123</v>
      </c>
      <c r="L439" s="35"/>
      <c r="M439" s="36" t="s">
        <v>115</v>
      </c>
      <c r="N439" s="36"/>
      <c r="O439" s="35">
        <v>50</v>
      </c>
      <c r="P439" s="69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0"/>
      <c r="R439" s="640"/>
      <c r="S439" s="640"/>
      <c r="T439" s="641"/>
      <c r="U439" s="37"/>
      <c r="V439" s="37"/>
      <c r="W439" s="38" t="s">
        <v>67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/>
      <c r="AB439" s="66"/>
      <c r="AC439" s="537" t="s">
        <v>722</v>
      </c>
      <c r="AG439" s="75"/>
      <c r="AJ439" s="79"/>
      <c r="AK439" s="79">
        <v>0</v>
      </c>
      <c r="BB439" s="538" t="s">
        <v>1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54"/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6"/>
      <c r="P440" s="650" t="s">
        <v>72</v>
      </c>
      <c r="Q440" s="647"/>
      <c r="R440" s="647"/>
      <c r="S440" s="647"/>
      <c r="T440" s="647"/>
      <c r="U440" s="647"/>
      <c r="V440" s="648"/>
      <c r="W440" s="40" t="s">
        <v>73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x14ac:dyDescent="0.2">
      <c r="A441" s="655"/>
      <c r="B441" s="655"/>
      <c r="C441" s="655"/>
      <c r="D441" s="655"/>
      <c r="E441" s="655"/>
      <c r="F441" s="655"/>
      <c r="G441" s="655"/>
      <c r="H441" s="655"/>
      <c r="I441" s="655"/>
      <c r="J441" s="655"/>
      <c r="K441" s="655"/>
      <c r="L441" s="655"/>
      <c r="M441" s="655"/>
      <c r="N441" s="655"/>
      <c r="O441" s="656"/>
      <c r="P441" s="650" t="s">
        <v>72</v>
      </c>
      <c r="Q441" s="647"/>
      <c r="R441" s="647"/>
      <c r="S441" s="647"/>
      <c r="T441" s="647"/>
      <c r="U441" s="647"/>
      <c r="V441" s="648"/>
      <c r="W441" s="40" t="s">
        <v>67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customHeight="1" x14ac:dyDescent="0.25">
      <c r="A442" s="658" t="s">
        <v>74</v>
      </c>
      <c r="B442" s="655"/>
      <c r="C442" s="655"/>
      <c r="D442" s="655"/>
      <c r="E442" s="655"/>
      <c r="F442" s="655"/>
      <c r="G442" s="655"/>
      <c r="H442" s="655"/>
      <c r="I442" s="655"/>
      <c r="J442" s="655"/>
      <c r="K442" s="655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  <c r="AA442" s="63"/>
      <c r="AB442" s="63"/>
      <c r="AC442" s="63"/>
    </row>
    <row r="443" spans="1:68" ht="27" customHeight="1" x14ac:dyDescent="0.25">
      <c r="A443" s="60" t="s">
        <v>723</v>
      </c>
      <c r="B443" s="60" t="s">
        <v>724</v>
      </c>
      <c r="C443" s="34">
        <v>4301051903</v>
      </c>
      <c r="D443" s="643">
        <v>4607091383928</v>
      </c>
      <c r="E443" s="64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114</v>
      </c>
      <c r="L443" s="35"/>
      <c r="M443" s="36" t="s">
        <v>78</v>
      </c>
      <c r="N443" s="36"/>
      <c r="O443" s="35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0"/>
      <c r="R443" s="640"/>
      <c r="S443" s="640"/>
      <c r="T443" s="641"/>
      <c r="U443" s="37"/>
      <c r="V443" s="37"/>
      <c r="W443" s="38" t="s">
        <v>67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/>
      <c r="AB443" s="66"/>
      <c r="AC443" s="539" t="s">
        <v>725</v>
      </c>
      <c r="AG443" s="75"/>
      <c r="AJ443" s="79"/>
      <c r="AK443" s="79">
        <v>0</v>
      </c>
      <c r="BB443" s="540" t="s">
        <v>1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customHeight="1" x14ac:dyDescent="0.25">
      <c r="A444" s="60" t="s">
        <v>726</v>
      </c>
      <c r="B444" s="60" t="s">
        <v>727</v>
      </c>
      <c r="C444" s="34">
        <v>4301051897</v>
      </c>
      <c r="D444" s="643">
        <v>4607091384260</v>
      </c>
      <c r="E444" s="64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114</v>
      </c>
      <c r="L444" s="35"/>
      <c r="M444" s="36" t="s">
        <v>78</v>
      </c>
      <c r="N444" s="36"/>
      <c r="O444" s="35">
        <v>40</v>
      </c>
      <c r="P444" s="63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0"/>
      <c r="R444" s="640"/>
      <c r="S444" s="640"/>
      <c r="T444" s="641"/>
      <c r="U444" s="37"/>
      <c r="V444" s="37"/>
      <c r="W444" s="38" t="s">
        <v>67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/>
      <c r="AB444" s="66"/>
      <c r="AC444" s="541" t="s">
        <v>728</v>
      </c>
      <c r="AG444" s="75"/>
      <c r="AJ444" s="79"/>
      <c r="AK444" s="79">
        <v>0</v>
      </c>
      <c r="BB444" s="542" t="s">
        <v>1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16.5" customHeight="1" x14ac:dyDescent="0.25">
      <c r="A445" s="60" t="s">
        <v>729</v>
      </c>
      <c r="B445" s="60" t="s">
        <v>730</v>
      </c>
      <c r="C445" s="34">
        <v>4301052220</v>
      </c>
      <c r="D445" s="643">
        <v>4680115889538</v>
      </c>
      <c r="E445" s="64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114</v>
      </c>
      <c r="L445" s="35"/>
      <c r="M445" s="36" t="s">
        <v>78</v>
      </c>
      <c r="N445" s="36"/>
      <c r="O445" s="35">
        <v>45</v>
      </c>
      <c r="P445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0"/>
      <c r="R445" s="640"/>
      <c r="S445" s="640"/>
      <c r="T445" s="641"/>
      <c r="U445" s="37"/>
      <c r="V445" s="37"/>
      <c r="W445" s="38" t="s">
        <v>67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/>
      <c r="AB445" s="66"/>
      <c r="AC445" s="543" t="s">
        <v>731</v>
      </c>
      <c r="AG445" s="75"/>
      <c r="AJ445" s="79"/>
      <c r="AK445" s="79">
        <v>0</v>
      </c>
      <c r="BB445" s="544" t="s">
        <v>1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654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6"/>
      <c r="P446" s="650" t="s">
        <v>72</v>
      </c>
      <c r="Q446" s="647"/>
      <c r="R446" s="647"/>
      <c r="S446" s="647"/>
      <c r="T446" s="647"/>
      <c r="U446" s="647"/>
      <c r="V446" s="648"/>
      <c r="W446" s="40" t="s">
        <v>73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x14ac:dyDescent="0.2">
      <c r="A447" s="655"/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6"/>
      <c r="P447" s="650" t="s">
        <v>72</v>
      </c>
      <c r="Q447" s="647"/>
      <c r="R447" s="647"/>
      <c r="S447" s="647"/>
      <c r="T447" s="647"/>
      <c r="U447" s="647"/>
      <c r="V447" s="648"/>
      <c r="W447" s="40" t="s">
        <v>67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customHeight="1" x14ac:dyDescent="0.25">
      <c r="A448" s="658" t="s">
        <v>164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3"/>
      <c r="AB448" s="63"/>
      <c r="AC448" s="63"/>
    </row>
    <row r="449" spans="1:68" ht="27" customHeight="1" x14ac:dyDescent="0.25">
      <c r="A449" s="60" t="s">
        <v>732</v>
      </c>
      <c r="B449" s="60" t="s">
        <v>733</v>
      </c>
      <c r="C449" s="34">
        <v>4301060537</v>
      </c>
      <c r="D449" s="643">
        <v>4680115889545</v>
      </c>
      <c r="E449" s="64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114</v>
      </c>
      <c r="L449" s="35"/>
      <c r="M449" s="36" t="s">
        <v>78</v>
      </c>
      <c r="N449" s="36"/>
      <c r="O449" s="35">
        <v>30</v>
      </c>
      <c r="P449" s="65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0"/>
      <c r="R449" s="640"/>
      <c r="S449" s="640"/>
      <c r="T449" s="641"/>
      <c r="U449" s="37"/>
      <c r="V449" s="37"/>
      <c r="W449" s="38" t="s">
        <v>67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/>
      <c r="AB449" s="66"/>
      <c r="AC449" s="545" t="s">
        <v>734</v>
      </c>
      <c r="AG449" s="75"/>
      <c r="AJ449" s="79"/>
      <c r="AK449" s="79">
        <v>0</v>
      </c>
      <c r="BB449" s="546" t="s">
        <v>1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customHeight="1" x14ac:dyDescent="0.25">
      <c r="A450" s="60" t="s">
        <v>735</v>
      </c>
      <c r="B450" s="60" t="s">
        <v>736</v>
      </c>
      <c r="C450" s="34">
        <v>4301060524</v>
      </c>
      <c r="D450" s="643">
        <v>4607091384673</v>
      </c>
      <c r="E450" s="64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114</v>
      </c>
      <c r="L450" s="35"/>
      <c r="M450" s="36" t="s">
        <v>78</v>
      </c>
      <c r="N450" s="36"/>
      <c r="O450" s="35">
        <v>40</v>
      </c>
      <c r="P450" s="86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0"/>
      <c r="R450" s="640"/>
      <c r="S450" s="640"/>
      <c r="T450" s="641"/>
      <c r="U450" s="37"/>
      <c r="V450" s="37"/>
      <c r="W450" s="38" t="s">
        <v>67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/>
      <c r="AB450" s="66"/>
      <c r="AC450" s="547" t="s">
        <v>737</v>
      </c>
      <c r="AG450" s="75"/>
      <c r="AJ450" s="79"/>
      <c r="AK450" s="79">
        <v>0</v>
      </c>
      <c r="BB450" s="548" t="s">
        <v>1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x14ac:dyDescent="0.2">
      <c r="A451" s="654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6"/>
      <c r="P451" s="650" t="s">
        <v>72</v>
      </c>
      <c r="Q451" s="647"/>
      <c r="R451" s="647"/>
      <c r="S451" s="647"/>
      <c r="T451" s="647"/>
      <c r="U451" s="647"/>
      <c r="V451" s="648"/>
      <c r="W451" s="40" t="s">
        <v>73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6"/>
      <c r="P452" s="650" t="s">
        <v>72</v>
      </c>
      <c r="Q452" s="647"/>
      <c r="R452" s="647"/>
      <c r="S452" s="647"/>
      <c r="T452" s="647"/>
      <c r="U452" s="647"/>
      <c r="V452" s="648"/>
      <c r="W452" s="40" t="s">
        <v>67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customHeight="1" x14ac:dyDescent="0.25">
      <c r="A453" s="657" t="s">
        <v>738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2"/>
      <c r="AB453" s="62"/>
      <c r="AC453" s="62"/>
    </row>
    <row r="454" spans="1:68" ht="14.25" customHeight="1" x14ac:dyDescent="0.25">
      <c r="A454" s="658" t="s">
        <v>111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3"/>
      <c r="AB454" s="63"/>
      <c r="AC454" s="63"/>
    </row>
    <row r="455" spans="1:68" ht="27" customHeight="1" x14ac:dyDescent="0.25">
      <c r="A455" s="60" t="s">
        <v>739</v>
      </c>
      <c r="B455" s="60" t="s">
        <v>740</v>
      </c>
      <c r="C455" s="34">
        <v>4301011875</v>
      </c>
      <c r="D455" s="643">
        <v>4680115884885</v>
      </c>
      <c r="E455" s="64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114</v>
      </c>
      <c r="L455" s="35"/>
      <c r="M455" s="36" t="s">
        <v>66</v>
      </c>
      <c r="N455" s="36"/>
      <c r="O455" s="35">
        <v>60</v>
      </c>
      <c r="P455" s="9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0"/>
      <c r="R455" s="640"/>
      <c r="S455" s="640"/>
      <c r="T455" s="641"/>
      <c r="U455" s="37"/>
      <c r="V455" s="37"/>
      <c r="W455" s="38" t="s">
        <v>67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/>
      <c r="AB455" s="66"/>
      <c r="AC455" s="549" t="s">
        <v>741</v>
      </c>
      <c r="AG455" s="75"/>
      <c r="AJ455" s="79"/>
      <c r="AK455" s="79">
        <v>0</v>
      </c>
      <c r="BB455" s="550" t="s">
        <v>1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customHeight="1" x14ac:dyDescent="0.25">
      <c r="A456" s="60" t="s">
        <v>742</v>
      </c>
      <c r="B456" s="60" t="s">
        <v>743</v>
      </c>
      <c r="C456" s="34">
        <v>4301011871</v>
      </c>
      <c r="D456" s="643">
        <v>4680115884908</v>
      </c>
      <c r="E456" s="64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123</v>
      </c>
      <c r="L456" s="35"/>
      <c r="M456" s="36" t="s">
        <v>66</v>
      </c>
      <c r="N456" s="36"/>
      <c r="O456" s="35">
        <v>60</v>
      </c>
      <c r="P456" s="9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0"/>
      <c r="R456" s="640"/>
      <c r="S456" s="640"/>
      <c r="T456" s="641"/>
      <c r="U456" s="37"/>
      <c r="V456" s="37"/>
      <c r="W456" s="38" t="s">
        <v>67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/>
      <c r="AB456" s="66"/>
      <c r="AC456" s="551" t="s">
        <v>741</v>
      </c>
      <c r="AG456" s="75"/>
      <c r="AJ456" s="79"/>
      <c r="AK456" s="79">
        <v>0</v>
      </c>
      <c r="BB456" s="552" t="s">
        <v>1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x14ac:dyDescent="0.2">
      <c r="A457" s="654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6"/>
      <c r="P457" s="650" t="s">
        <v>72</v>
      </c>
      <c r="Q457" s="647"/>
      <c r="R457" s="647"/>
      <c r="S457" s="647"/>
      <c r="T457" s="647"/>
      <c r="U457" s="647"/>
      <c r="V457" s="648"/>
      <c r="W457" s="40" t="s">
        <v>73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x14ac:dyDescent="0.2">
      <c r="A458" s="655"/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6"/>
      <c r="P458" s="650" t="s">
        <v>72</v>
      </c>
      <c r="Q458" s="647"/>
      <c r="R458" s="647"/>
      <c r="S458" s="647"/>
      <c r="T458" s="647"/>
      <c r="U458" s="647"/>
      <c r="V458" s="648"/>
      <c r="W458" s="40" t="s">
        <v>67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customHeight="1" x14ac:dyDescent="0.25">
      <c r="A459" s="658" t="s">
        <v>62</v>
      </c>
      <c r="B459" s="655"/>
      <c r="C459" s="655"/>
      <c r="D459" s="655"/>
      <c r="E459" s="655"/>
      <c r="F459" s="655"/>
      <c r="G459" s="655"/>
      <c r="H459" s="655"/>
      <c r="I459" s="655"/>
      <c r="J459" s="655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3"/>
      <c r="AB459" s="63"/>
      <c r="AC459" s="63"/>
    </row>
    <row r="460" spans="1:68" ht="27" customHeight="1" x14ac:dyDescent="0.25">
      <c r="A460" s="60" t="s">
        <v>744</v>
      </c>
      <c r="B460" s="60" t="s">
        <v>745</v>
      </c>
      <c r="C460" s="34">
        <v>4301031457</v>
      </c>
      <c r="D460" s="643">
        <v>4607091384802</v>
      </c>
      <c r="E460" s="64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123</v>
      </c>
      <c r="L460" s="35"/>
      <c r="M460" s="36" t="s">
        <v>66</v>
      </c>
      <c r="N460" s="36"/>
      <c r="O460" s="35">
        <v>50</v>
      </c>
      <c r="P460" s="7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0"/>
      <c r="R460" s="640"/>
      <c r="S460" s="640"/>
      <c r="T460" s="641"/>
      <c r="U460" s="37"/>
      <c r="V460" s="37"/>
      <c r="W460" s="38" t="s">
        <v>67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/>
      <c r="AB460" s="66"/>
      <c r="AC460" s="553" t="s">
        <v>746</v>
      </c>
      <c r="AG460" s="75"/>
      <c r="AJ460" s="79"/>
      <c r="AK460" s="79">
        <v>0</v>
      </c>
      <c r="BB460" s="554" t="s">
        <v>1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654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0" t="s">
        <v>72</v>
      </c>
      <c r="Q461" s="647"/>
      <c r="R461" s="647"/>
      <c r="S461" s="647"/>
      <c r="T461" s="647"/>
      <c r="U461" s="647"/>
      <c r="V461" s="648"/>
      <c r="W461" s="40" t="s">
        <v>73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x14ac:dyDescent="0.2">
      <c r="A462" s="655"/>
      <c r="B462" s="655"/>
      <c r="C462" s="655"/>
      <c r="D462" s="655"/>
      <c r="E462" s="655"/>
      <c r="F462" s="655"/>
      <c r="G462" s="655"/>
      <c r="H462" s="655"/>
      <c r="I462" s="655"/>
      <c r="J462" s="655"/>
      <c r="K462" s="655"/>
      <c r="L462" s="655"/>
      <c r="M462" s="655"/>
      <c r="N462" s="655"/>
      <c r="O462" s="656"/>
      <c r="P462" s="650" t="s">
        <v>72</v>
      </c>
      <c r="Q462" s="647"/>
      <c r="R462" s="647"/>
      <c r="S462" s="647"/>
      <c r="T462" s="647"/>
      <c r="U462" s="647"/>
      <c r="V462" s="648"/>
      <c r="W462" s="40" t="s">
        <v>67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customHeight="1" x14ac:dyDescent="0.25">
      <c r="A463" s="658" t="s">
        <v>74</v>
      </c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3"/>
      <c r="AB463" s="63"/>
      <c r="AC463" s="63"/>
    </row>
    <row r="464" spans="1:68" ht="27" customHeight="1" x14ac:dyDescent="0.25">
      <c r="A464" s="60" t="s">
        <v>747</v>
      </c>
      <c r="B464" s="60" t="s">
        <v>748</v>
      </c>
      <c r="C464" s="34">
        <v>4301051899</v>
      </c>
      <c r="D464" s="643">
        <v>4607091384246</v>
      </c>
      <c r="E464" s="64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114</v>
      </c>
      <c r="L464" s="35"/>
      <c r="M464" s="36" t="s">
        <v>78</v>
      </c>
      <c r="N464" s="36"/>
      <c r="O464" s="35">
        <v>40</v>
      </c>
      <c r="P464" s="9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0"/>
      <c r="R464" s="640"/>
      <c r="S464" s="640"/>
      <c r="T464" s="641"/>
      <c r="U464" s="37"/>
      <c r="V464" s="37"/>
      <c r="W464" s="38" t="s">
        <v>67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/>
      <c r="AB464" s="66"/>
      <c r="AC464" s="555" t="s">
        <v>749</v>
      </c>
      <c r="AG464" s="75"/>
      <c r="AJ464" s="79"/>
      <c r="AK464" s="79">
        <v>0</v>
      </c>
      <c r="BB464" s="556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750</v>
      </c>
      <c r="B465" s="60" t="s">
        <v>751</v>
      </c>
      <c r="C465" s="34">
        <v>4301051660</v>
      </c>
      <c r="D465" s="643">
        <v>4607091384253</v>
      </c>
      <c r="E465" s="64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77</v>
      </c>
      <c r="L465" s="35"/>
      <c r="M465" s="36" t="s">
        <v>78</v>
      </c>
      <c r="N465" s="36"/>
      <c r="O465" s="35">
        <v>40</v>
      </c>
      <c r="P465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0"/>
      <c r="R465" s="640"/>
      <c r="S465" s="640"/>
      <c r="T465" s="641"/>
      <c r="U465" s="37"/>
      <c r="V465" s="37"/>
      <c r="W465" s="38" t="s">
        <v>67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/>
      <c r="AB465" s="66"/>
      <c r="AC465" s="557" t="s">
        <v>749</v>
      </c>
      <c r="AG465" s="75"/>
      <c r="AJ465" s="79"/>
      <c r="AK465" s="79">
        <v>0</v>
      </c>
      <c r="BB465" s="558" t="s">
        <v>1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customHeight="1" x14ac:dyDescent="0.25">
      <c r="A466" s="60" t="s">
        <v>750</v>
      </c>
      <c r="B466" s="60" t="s">
        <v>752</v>
      </c>
      <c r="C466" s="34">
        <v>4301052069</v>
      </c>
      <c r="D466" s="643">
        <v>4607091384253</v>
      </c>
      <c r="E466" s="64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77</v>
      </c>
      <c r="L466" s="35"/>
      <c r="M466" s="36" t="s">
        <v>78</v>
      </c>
      <c r="N466" s="36"/>
      <c r="O466" s="35">
        <v>40</v>
      </c>
      <c r="P466" s="91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0"/>
      <c r="R466" s="640"/>
      <c r="S466" s="640"/>
      <c r="T466" s="641"/>
      <c r="U466" s="37"/>
      <c r="V466" s="37"/>
      <c r="W466" s="38" t="s">
        <v>67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/>
      <c r="AB466" s="66"/>
      <c r="AC466" s="559" t="s">
        <v>753</v>
      </c>
      <c r="AG466" s="75"/>
      <c r="AJ466" s="79"/>
      <c r="AK466" s="79">
        <v>0</v>
      </c>
      <c r="BB466" s="560" t="s">
        <v>1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654"/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6"/>
      <c r="P467" s="650" t="s">
        <v>72</v>
      </c>
      <c r="Q467" s="647"/>
      <c r="R467" s="647"/>
      <c r="S467" s="647"/>
      <c r="T467" s="647"/>
      <c r="U467" s="647"/>
      <c r="V467" s="648"/>
      <c r="W467" s="40" t="s">
        <v>73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x14ac:dyDescent="0.2">
      <c r="A468" s="655"/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6"/>
      <c r="P468" s="650" t="s">
        <v>72</v>
      </c>
      <c r="Q468" s="647"/>
      <c r="R468" s="647"/>
      <c r="S468" s="647"/>
      <c r="T468" s="647"/>
      <c r="U468" s="647"/>
      <c r="V468" s="648"/>
      <c r="W468" s="40" t="s">
        <v>67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customHeight="1" x14ac:dyDescent="0.2">
      <c r="A469" s="734" t="s">
        <v>754</v>
      </c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5"/>
      <c r="P469" s="735"/>
      <c r="Q469" s="735"/>
      <c r="R469" s="735"/>
      <c r="S469" s="735"/>
      <c r="T469" s="735"/>
      <c r="U469" s="735"/>
      <c r="V469" s="735"/>
      <c r="W469" s="735"/>
      <c r="X469" s="735"/>
      <c r="Y469" s="735"/>
      <c r="Z469" s="735"/>
      <c r="AA469" s="52"/>
      <c r="AB469" s="52"/>
      <c r="AC469" s="52"/>
    </row>
    <row r="470" spans="1:68" ht="16.5" customHeight="1" x14ac:dyDescent="0.25">
      <c r="A470" s="657" t="s">
        <v>755</v>
      </c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  <c r="AA470" s="62"/>
      <c r="AB470" s="62"/>
      <c r="AC470" s="62"/>
    </row>
    <row r="471" spans="1:68" ht="14.25" customHeight="1" x14ac:dyDescent="0.25">
      <c r="A471" s="658" t="s">
        <v>62</v>
      </c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5"/>
      <c r="P471" s="655"/>
      <c r="Q471" s="655"/>
      <c r="R471" s="655"/>
      <c r="S471" s="655"/>
      <c r="T471" s="655"/>
      <c r="U471" s="655"/>
      <c r="V471" s="655"/>
      <c r="W471" s="655"/>
      <c r="X471" s="655"/>
      <c r="Y471" s="655"/>
      <c r="Z471" s="655"/>
      <c r="AA471" s="63"/>
      <c r="AB471" s="63"/>
      <c r="AC471" s="63"/>
    </row>
    <row r="472" spans="1:68" ht="27" customHeight="1" x14ac:dyDescent="0.25">
      <c r="A472" s="60" t="s">
        <v>756</v>
      </c>
      <c r="B472" s="60" t="s">
        <v>757</v>
      </c>
      <c r="C472" s="34">
        <v>4301031405</v>
      </c>
      <c r="D472" s="643">
        <v>4680115886100</v>
      </c>
      <c r="E472" s="64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123</v>
      </c>
      <c r="L472" s="35"/>
      <c r="M472" s="36" t="s">
        <v>66</v>
      </c>
      <c r="N472" s="36"/>
      <c r="O472" s="35">
        <v>50</v>
      </c>
      <c r="P472" s="7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0"/>
      <c r="R472" s="640"/>
      <c r="S472" s="640"/>
      <c r="T472" s="641"/>
      <c r="U472" s="37"/>
      <c r="V472" s="37"/>
      <c r="W472" s="38" t="s">
        <v>67</v>
      </c>
      <c r="X472" s="56">
        <v>0</v>
      </c>
      <c r="Y472" s="53">
        <f t="shared" ref="Y472:Y477" si="58">IFERROR(IF(X472="",0,CEILING((X472/$H472),1)*$H472),"")</f>
        <v>0</v>
      </c>
      <c r="Z472" s="39" t="str">
        <f>IFERROR(IF(Y472=0,"",ROUNDUP(Y472/H472,0)*0.00902),"")</f>
        <v/>
      </c>
      <c r="AA472" s="65"/>
      <c r="AB472" s="66"/>
      <c r="AC472" s="561" t="s">
        <v>758</v>
      </c>
      <c r="AG472" s="75"/>
      <c r="AJ472" s="79"/>
      <c r="AK472" s="79">
        <v>0</v>
      </c>
      <c r="BB472" s="562" t="s">
        <v>1</v>
      </c>
      <c r="BM472" s="75">
        <f t="shared" ref="BM472:BM477" si="59">IFERROR(X472*I472/H472,"0")</f>
        <v>0</v>
      </c>
      <c r="BN472" s="75">
        <f t="shared" ref="BN472:BN477" si="60">IFERROR(Y472*I472/H472,"0")</f>
        <v>0</v>
      </c>
      <c r="BO472" s="75">
        <f t="shared" ref="BO472:BO477" si="61">IFERROR(1/J472*(X472/H472),"0")</f>
        <v>0</v>
      </c>
      <c r="BP472" s="75">
        <f t="shared" ref="BP472:BP477" si="62">IFERROR(1/J472*(Y472/H472),"0")</f>
        <v>0</v>
      </c>
    </row>
    <row r="473" spans="1:68" ht="27" customHeight="1" x14ac:dyDescent="0.25">
      <c r="A473" s="60" t="s">
        <v>759</v>
      </c>
      <c r="B473" s="60" t="s">
        <v>760</v>
      </c>
      <c r="C473" s="34">
        <v>4301031402</v>
      </c>
      <c r="D473" s="643">
        <v>4680115886124</v>
      </c>
      <c r="E473" s="64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123</v>
      </c>
      <c r="L473" s="35"/>
      <c r="M473" s="36" t="s">
        <v>66</v>
      </c>
      <c r="N473" s="36"/>
      <c r="O473" s="35">
        <v>50</v>
      </c>
      <c r="P473" s="9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0"/>
      <c r="R473" s="640"/>
      <c r="S473" s="640"/>
      <c r="T473" s="641"/>
      <c r="U473" s="37"/>
      <c r="V473" s="37"/>
      <c r="W473" s="38" t="s">
        <v>67</v>
      </c>
      <c r="X473" s="56">
        <v>0</v>
      </c>
      <c r="Y473" s="53">
        <f t="shared" si="58"/>
        <v>0</v>
      </c>
      <c r="Z473" s="39" t="str">
        <f>IFERROR(IF(Y473=0,"",ROUNDUP(Y473/H473,0)*0.00902),"")</f>
        <v/>
      </c>
      <c r="AA473" s="65"/>
      <c r="AB473" s="66"/>
      <c r="AC473" s="563" t="s">
        <v>761</v>
      </c>
      <c r="AG473" s="75"/>
      <c r="AJ473" s="79"/>
      <c r="AK473" s="79">
        <v>0</v>
      </c>
      <c r="BB473" s="564" t="s">
        <v>1</v>
      </c>
      <c r="BM473" s="75">
        <f t="shared" si="59"/>
        <v>0</v>
      </c>
      <c r="BN473" s="75">
        <f t="shared" si="60"/>
        <v>0</v>
      </c>
      <c r="BO473" s="75">
        <f t="shared" si="61"/>
        <v>0</v>
      </c>
      <c r="BP473" s="75">
        <f t="shared" si="62"/>
        <v>0</v>
      </c>
    </row>
    <row r="474" spans="1:68" ht="27" customHeight="1" x14ac:dyDescent="0.25">
      <c r="A474" s="60" t="s">
        <v>762</v>
      </c>
      <c r="B474" s="60" t="s">
        <v>763</v>
      </c>
      <c r="C474" s="34">
        <v>4301031362</v>
      </c>
      <c r="D474" s="643">
        <v>4607091384338</v>
      </c>
      <c r="E474" s="64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65</v>
      </c>
      <c r="L474" s="35"/>
      <c r="M474" s="36" t="s">
        <v>66</v>
      </c>
      <c r="N474" s="36"/>
      <c r="O474" s="35">
        <v>50</v>
      </c>
      <c r="P474" s="9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0"/>
      <c r="R474" s="640"/>
      <c r="S474" s="640"/>
      <c r="T474" s="641"/>
      <c r="U474" s="37"/>
      <c r="V474" s="37"/>
      <c r="W474" s="38" t="s">
        <v>67</v>
      </c>
      <c r="X474" s="56">
        <v>0</v>
      </c>
      <c r="Y474" s="53">
        <f t="shared" si="58"/>
        <v>0</v>
      </c>
      <c r="Z474" s="39" t="str">
        <f>IFERROR(IF(Y474=0,"",ROUNDUP(Y474/H474,0)*0.00502),"")</f>
        <v/>
      </c>
      <c r="AA474" s="65"/>
      <c r="AB474" s="66"/>
      <c r="AC474" s="565" t="s">
        <v>758</v>
      </c>
      <c r="AG474" s="75"/>
      <c r="AJ474" s="79"/>
      <c r="AK474" s="79">
        <v>0</v>
      </c>
      <c r="BB474" s="566" t="s">
        <v>1</v>
      </c>
      <c r="BM474" s="75">
        <f t="shared" si="59"/>
        <v>0</v>
      </c>
      <c r="BN474" s="75">
        <f t="shared" si="60"/>
        <v>0</v>
      </c>
      <c r="BO474" s="75">
        <f t="shared" si="61"/>
        <v>0</v>
      </c>
      <c r="BP474" s="75">
        <f t="shared" si="62"/>
        <v>0</v>
      </c>
    </row>
    <row r="475" spans="1:68" ht="27" customHeight="1" x14ac:dyDescent="0.25">
      <c r="A475" s="60" t="s">
        <v>764</v>
      </c>
      <c r="B475" s="60" t="s">
        <v>765</v>
      </c>
      <c r="C475" s="34">
        <v>4301031364</v>
      </c>
      <c r="D475" s="643">
        <v>4680115883161</v>
      </c>
      <c r="E475" s="64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65</v>
      </c>
      <c r="L475" s="35"/>
      <c r="M475" s="36" t="s">
        <v>66</v>
      </c>
      <c r="N475" s="36"/>
      <c r="O475" s="35">
        <v>50</v>
      </c>
      <c r="P475" s="7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0"/>
      <c r="R475" s="640"/>
      <c r="S475" s="640"/>
      <c r="T475" s="641"/>
      <c r="U475" s="37"/>
      <c r="V475" s="37"/>
      <c r="W475" s="38" t="s">
        <v>67</v>
      </c>
      <c r="X475" s="56">
        <v>0</v>
      </c>
      <c r="Y475" s="53">
        <f t="shared" si="58"/>
        <v>0</v>
      </c>
      <c r="Z475" s="39" t="str">
        <f>IFERROR(IF(Y475=0,"",ROUNDUP(Y475/H475,0)*0.00502),"")</f>
        <v/>
      </c>
      <c r="AA475" s="65"/>
      <c r="AB475" s="66"/>
      <c r="AC475" s="567" t="s">
        <v>766</v>
      </c>
      <c r="AG475" s="75"/>
      <c r="AJ475" s="79"/>
      <c r="AK475" s="79">
        <v>0</v>
      </c>
      <c r="BB475" s="568" t="s">
        <v>1</v>
      </c>
      <c r="BM475" s="75">
        <f t="shared" si="59"/>
        <v>0</v>
      </c>
      <c r="BN475" s="75">
        <f t="shared" si="60"/>
        <v>0</v>
      </c>
      <c r="BO475" s="75">
        <f t="shared" si="61"/>
        <v>0</v>
      </c>
      <c r="BP475" s="75">
        <f t="shared" si="62"/>
        <v>0</v>
      </c>
    </row>
    <row r="476" spans="1:68" ht="27" customHeight="1" x14ac:dyDescent="0.25">
      <c r="A476" s="60" t="s">
        <v>767</v>
      </c>
      <c r="B476" s="60" t="s">
        <v>768</v>
      </c>
      <c r="C476" s="34">
        <v>4301031358</v>
      </c>
      <c r="D476" s="643">
        <v>4607091389531</v>
      </c>
      <c r="E476" s="64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65</v>
      </c>
      <c r="L476" s="35"/>
      <c r="M476" s="36" t="s">
        <v>66</v>
      </c>
      <c r="N476" s="36"/>
      <c r="O476" s="35">
        <v>50</v>
      </c>
      <c r="P476" s="9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0"/>
      <c r="R476" s="640"/>
      <c r="S476" s="640"/>
      <c r="T476" s="641"/>
      <c r="U476" s="37"/>
      <c r="V476" s="37"/>
      <c r="W476" s="38" t="s">
        <v>67</v>
      </c>
      <c r="X476" s="56">
        <v>0</v>
      </c>
      <c r="Y476" s="53">
        <f t="shared" si="58"/>
        <v>0</v>
      </c>
      <c r="Z476" s="39" t="str">
        <f>IFERROR(IF(Y476=0,"",ROUNDUP(Y476/H476,0)*0.00502),"")</f>
        <v/>
      </c>
      <c r="AA476" s="65"/>
      <c r="AB476" s="66"/>
      <c r="AC476" s="569" t="s">
        <v>769</v>
      </c>
      <c r="AG476" s="75"/>
      <c r="AJ476" s="79"/>
      <c r="AK476" s="79">
        <v>0</v>
      </c>
      <c r="BB476" s="570" t="s">
        <v>1</v>
      </c>
      <c r="BM476" s="75">
        <f t="shared" si="59"/>
        <v>0</v>
      </c>
      <c r="BN476" s="75">
        <f t="shared" si="60"/>
        <v>0</v>
      </c>
      <c r="BO476" s="75">
        <f t="shared" si="61"/>
        <v>0</v>
      </c>
      <c r="BP476" s="75">
        <f t="shared" si="62"/>
        <v>0</v>
      </c>
    </row>
    <row r="477" spans="1:68" ht="37.5" customHeight="1" x14ac:dyDescent="0.25">
      <c r="A477" s="60" t="s">
        <v>770</v>
      </c>
      <c r="B477" s="60" t="s">
        <v>771</v>
      </c>
      <c r="C477" s="34">
        <v>4301031360</v>
      </c>
      <c r="D477" s="643">
        <v>4607091384345</v>
      </c>
      <c r="E477" s="64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65</v>
      </c>
      <c r="L477" s="35"/>
      <c r="M477" s="36" t="s">
        <v>66</v>
      </c>
      <c r="N477" s="36"/>
      <c r="O477" s="35">
        <v>50</v>
      </c>
      <c r="P477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0"/>
      <c r="R477" s="640"/>
      <c r="S477" s="640"/>
      <c r="T477" s="641"/>
      <c r="U477" s="37"/>
      <c r="V477" s="37"/>
      <c r="W477" s="38" t="s">
        <v>67</v>
      </c>
      <c r="X477" s="56">
        <v>0</v>
      </c>
      <c r="Y477" s="53">
        <f t="shared" si="58"/>
        <v>0</v>
      </c>
      <c r="Z477" s="39" t="str">
        <f>IFERROR(IF(Y477=0,"",ROUNDUP(Y477/H477,0)*0.00502),"")</f>
        <v/>
      </c>
      <c r="AA477" s="65"/>
      <c r="AB477" s="66"/>
      <c r="AC477" s="571" t="s">
        <v>766</v>
      </c>
      <c r="AG477" s="75"/>
      <c r="AJ477" s="79"/>
      <c r="AK477" s="79">
        <v>0</v>
      </c>
      <c r="BB477" s="572" t="s">
        <v>1</v>
      </c>
      <c r="BM477" s="75">
        <f t="shared" si="59"/>
        <v>0</v>
      </c>
      <c r="BN477" s="75">
        <f t="shared" si="60"/>
        <v>0</v>
      </c>
      <c r="BO477" s="75">
        <f t="shared" si="61"/>
        <v>0</v>
      </c>
      <c r="BP477" s="75">
        <f t="shared" si="62"/>
        <v>0</v>
      </c>
    </row>
    <row r="478" spans="1:68" x14ac:dyDescent="0.2">
      <c r="A478" s="654"/>
      <c r="B478" s="655"/>
      <c r="C478" s="655"/>
      <c r="D478" s="655"/>
      <c r="E478" s="655"/>
      <c r="F478" s="655"/>
      <c r="G478" s="655"/>
      <c r="H478" s="655"/>
      <c r="I478" s="655"/>
      <c r="J478" s="655"/>
      <c r="K478" s="655"/>
      <c r="L478" s="655"/>
      <c r="M478" s="655"/>
      <c r="N478" s="655"/>
      <c r="O478" s="656"/>
      <c r="P478" s="650" t="s">
        <v>72</v>
      </c>
      <c r="Q478" s="647"/>
      <c r="R478" s="647"/>
      <c r="S478" s="647"/>
      <c r="T478" s="647"/>
      <c r="U478" s="647"/>
      <c r="V478" s="648"/>
      <c r="W478" s="40" t="s">
        <v>73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x14ac:dyDescent="0.2">
      <c r="A479" s="655"/>
      <c r="B479" s="655"/>
      <c r="C479" s="655"/>
      <c r="D479" s="655"/>
      <c r="E479" s="655"/>
      <c r="F479" s="655"/>
      <c r="G479" s="655"/>
      <c r="H479" s="655"/>
      <c r="I479" s="655"/>
      <c r="J479" s="655"/>
      <c r="K479" s="655"/>
      <c r="L479" s="655"/>
      <c r="M479" s="655"/>
      <c r="N479" s="655"/>
      <c r="O479" s="656"/>
      <c r="P479" s="650" t="s">
        <v>72</v>
      </c>
      <c r="Q479" s="647"/>
      <c r="R479" s="647"/>
      <c r="S479" s="647"/>
      <c r="T479" s="647"/>
      <c r="U479" s="647"/>
      <c r="V479" s="648"/>
      <c r="W479" s="40" t="s">
        <v>67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customHeight="1" x14ac:dyDescent="0.25">
      <c r="A480" s="658" t="s">
        <v>74</v>
      </c>
      <c r="B480" s="655"/>
      <c r="C480" s="655"/>
      <c r="D480" s="655"/>
      <c r="E480" s="655"/>
      <c r="F480" s="655"/>
      <c r="G480" s="655"/>
      <c r="H480" s="655"/>
      <c r="I480" s="655"/>
      <c r="J480" s="655"/>
      <c r="K480" s="655"/>
      <c r="L480" s="655"/>
      <c r="M480" s="655"/>
      <c r="N480" s="655"/>
      <c r="O480" s="655"/>
      <c r="P480" s="655"/>
      <c r="Q480" s="655"/>
      <c r="R480" s="655"/>
      <c r="S480" s="655"/>
      <c r="T480" s="655"/>
      <c r="U480" s="655"/>
      <c r="V480" s="655"/>
      <c r="W480" s="655"/>
      <c r="X480" s="655"/>
      <c r="Y480" s="655"/>
      <c r="Z480" s="655"/>
      <c r="AA480" s="63"/>
      <c r="AB480" s="63"/>
      <c r="AC480" s="63"/>
    </row>
    <row r="481" spans="1:68" ht="27" customHeight="1" x14ac:dyDescent="0.25">
      <c r="A481" s="60" t="s">
        <v>772</v>
      </c>
      <c r="B481" s="60" t="s">
        <v>773</v>
      </c>
      <c r="C481" s="34">
        <v>4301051284</v>
      </c>
      <c r="D481" s="643">
        <v>4607091384352</v>
      </c>
      <c r="E481" s="64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123</v>
      </c>
      <c r="L481" s="35"/>
      <c r="M481" s="36" t="s">
        <v>78</v>
      </c>
      <c r="N481" s="36"/>
      <c r="O481" s="35">
        <v>45</v>
      </c>
      <c r="P481" s="9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0"/>
      <c r="R481" s="640"/>
      <c r="S481" s="640"/>
      <c r="T481" s="641"/>
      <c r="U481" s="37"/>
      <c r="V481" s="37"/>
      <c r="W481" s="38" t="s">
        <v>67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/>
      <c r="AB481" s="66"/>
      <c r="AC481" s="573" t="s">
        <v>774</v>
      </c>
      <c r="AG481" s="75"/>
      <c r="AJ481" s="79"/>
      <c r="AK481" s="79">
        <v>0</v>
      </c>
      <c r="BB481" s="574" t="s">
        <v>1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customHeight="1" x14ac:dyDescent="0.25">
      <c r="A482" s="60" t="s">
        <v>775</v>
      </c>
      <c r="B482" s="60" t="s">
        <v>776</v>
      </c>
      <c r="C482" s="34">
        <v>4301051431</v>
      </c>
      <c r="D482" s="643">
        <v>4607091389654</v>
      </c>
      <c r="E482" s="64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77</v>
      </c>
      <c r="L482" s="35"/>
      <c r="M482" s="36" t="s">
        <v>78</v>
      </c>
      <c r="N482" s="36"/>
      <c r="O482" s="35">
        <v>45</v>
      </c>
      <c r="P482" s="9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0"/>
      <c r="R482" s="640"/>
      <c r="S482" s="640"/>
      <c r="T482" s="641"/>
      <c r="U482" s="37"/>
      <c r="V482" s="37"/>
      <c r="W482" s="38" t="s">
        <v>67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/>
      <c r="AB482" s="66"/>
      <c r="AC482" s="575" t="s">
        <v>777</v>
      </c>
      <c r="AG482" s="75"/>
      <c r="AJ482" s="79"/>
      <c r="AK482" s="79">
        <v>0</v>
      </c>
      <c r="BB482" s="576" t="s">
        <v>1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x14ac:dyDescent="0.2">
      <c r="A483" s="654"/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6"/>
      <c r="P483" s="650" t="s">
        <v>72</v>
      </c>
      <c r="Q483" s="647"/>
      <c r="R483" s="647"/>
      <c r="S483" s="647"/>
      <c r="T483" s="647"/>
      <c r="U483" s="647"/>
      <c r="V483" s="648"/>
      <c r="W483" s="40" t="s">
        <v>73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x14ac:dyDescent="0.2">
      <c r="A484" s="655"/>
      <c r="B484" s="655"/>
      <c r="C484" s="655"/>
      <c r="D484" s="655"/>
      <c r="E484" s="655"/>
      <c r="F484" s="655"/>
      <c r="G484" s="655"/>
      <c r="H484" s="655"/>
      <c r="I484" s="655"/>
      <c r="J484" s="655"/>
      <c r="K484" s="655"/>
      <c r="L484" s="655"/>
      <c r="M484" s="655"/>
      <c r="N484" s="655"/>
      <c r="O484" s="656"/>
      <c r="P484" s="650" t="s">
        <v>72</v>
      </c>
      <c r="Q484" s="647"/>
      <c r="R484" s="647"/>
      <c r="S484" s="647"/>
      <c r="T484" s="647"/>
      <c r="U484" s="647"/>
      <c r="V484" s="648"/>
      <c r="W484" s="40" t="s">
        <v>67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customHeight="1" x14ac:dyDescent="0.25">
      <c r="A485" s="657" t="s">
        <v>778</v>
      </c>
      <c r="B485" s="655"/>
      <c r="C485" s="655"/>
      <c r="D485" s="655"/>
      <c r="E485" s="655"/>
      <c r="F485" s="655"/>
      <c r="G485" s="655"/>
      <c r="H485" s="655"/>
      <c r="I485" s="655"/>
      <c r="J485" s="655"/>
      <c r="K485" s="655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  <c r="AA485" s="62"/>
      <c r="AB485" s="62"/>
      <c r="AC485" s="62"/>
    </row>
    <row r="486" spans="1:68" ht="14.25" customHeight="1" x14ac:dyDescent="0.25">
      <c r="A486" s="658" t="s">
        <v>147</v>
      </c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  <c r="AA486" s="63"/>
      <c r="AB486" s="63"/>
      <c r="AC486" s="63"/>
    </row>
    <row r="487" spans="1:68" ht="27" customHeight="1" x14ac:dyDescent="0.25">
      <c r="A487" s="60" t="s">
        <v>779</v>
      </c>
      <c r="B487" s="60" t="s">
        <v>780</v>
      </c>
      <c r="C487" s="34">
        <v>4301020416</v>
      </c>
      <c r="D487" s="643">
        <v>4680115885240</v>
      </c>
      <c r="E487" s="64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77</v>
      </c>
      <c r="L487" s="35"/>
      <c r="M487" s="36" t="s">
        <v>66</v>
      </c>
      <c r="N487" s="36"/>
      <c r="O487" s="35">
        <v>40</v>
      </c>
      <c r="P487" s="7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0"/>
      <c r="R487" s="640"/>
      <c r="S487" s="640"/>
      <c r="T487" s="641"/>
      <c r="U487" s="37"/>
      <c r="V487" s="37"/>
      <c r="W487" s="38" t="s">
        <v>67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/>
      <c r="AB487" s="66"/>
      <c r="AC487" s="577" t="s">
        <v>781</v>
      </c>
      <c r="AG487" s="75"/>
      <c r="AJ487" s="79"/>
      <c r="AK487" s="79">
        <v>0</v>
      </c>
      <c r="BB487" s="578" t="s">
        <v>1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x14ac:dyDescent="0.2">
      <c r="A488" s="654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6"/>
      <c r="P488" s="650" t="s">
        <v>72</v>
      </c>
      <c r="Q488" s="647"/>
      <c r="R488" s="647"/>
      <c r="S488" s="647"/>
      <c r="T488" s="647"/>
      <c r="U488" s="647"/>
      <c r="V488" s="648"/>
      <c r="W488" s="40" t="s">
        <v>73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x14ac:dyDescent="0.2">
      <c r="A489" s="655"/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6"/>
      <c r="P489" s="650" t="s">
        <v>72</v>
      </c>
      <c r="Q489" s="647"/>
      <c r="R489" s="647"/>
      <c r="S489" s="647"/>
      <c r="T489" s="647"/>
      <c r="U489" s="647"/>
      <c r="V489" s="648"/>
      <c r="W489" s="40" t="s">
        <v>67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customHeight="1" x14ac:dyDescent="0.25">
      <c r="A490" s="658" t="s">
        <v>62</v>
      </c>
      <c r="B490" s="655"/>
      <c r="C490" s="655"/>
      <c r="D490" s="655"/>
      <c r="E490" s="655"/>
      <c r="F490" s="655"/>
      <c r="G490" s="655"/>
      <c r="H490" s="655"/>
      <c r="I490" s="655"/>
      <c r="J490" s="655"/>
      <c r="K490" s="655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  <c r="AA490" s="63"/>
      <c r="AB490" s="63"/>
      <c r="AC490" s="63"/>
    </row>
    <row r="491" spans="1:68" ht="27" customHeight="1" x14ac:dyDescent="0.25">
      <c r="A491" s="60" t="s">
        <v>782</v>
      </c>
      <c r="B491" s="60" t="s">
        <v>783</v>
      </c>
      <c r="C491" s="34">
        <v>4301031407</v>
      </c>
      <c r="D491" s="643">
        <v>4680115886094</v>
      </c>
      <c r="E491" s="64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123</v>
      </c>
      <c r="L491" s="35"/>
      <c r="M491" s="36" t="s">
        <v>66</v>
      </c>
      <c r="N491" s="36"/>
      <c r="O491" s="35">
        <v>50</v>
      </c>
      <c r="P491" s="8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0"/>
      <c r="R491" s="640"/>
      <c r="S491" s="640"/>
      <c r="T491" s="641"/>
      <c r="U491" s="37"/>
      <c r="V491" s="37"/>
      <c r="W491" s="38" t="s">
        <v>67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/>
      <c r="AB491" s="66"/>
      <c r="AC491" s="579" t="s">
        <v>784</v>
      </c>
      <c r="AG491" s="75"/>
      <c r="AJ491" s="79"/>
      <c r="AK491" s="79">
        <v>0</v>
      </c>
      <c r="BB491" s="580" t="s">
        <v>1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customHeight="1" x14ac:dyDescent="0.25">
      <c r="A492" s="60" t="s">
        <v>785</v>
      </c>
      <c r="B492" s="60" t="s">
        <v>786</v>
      </c>
      <c r="C492" s="34">
        <v>4301031373</v>
      </c>
      <c r="D492" s="643">
        <v>4680115880771</v>
      </c>
      <c r="E492" s="64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65</v>
      </c>
      <c r="L492" s="35"/>
      <c r="M492" s="36" t="s">
        <v>66</v>
      </c>
      <c r="N492" s="36"/>
      <c r="O492" s="35">
        <v>50</v>
      </c>
      <c r="P492" s="9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0"/>
      <c r="R492" s="640"/>
      <c r="S492" s="640"/>
      <c r="T492" s="641"/>
      <c r="U492" s="37"/>
      <c r="V492" s="37"/>
      <c r="W492" s="38" t="s">
        <v>67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/>
      <c r="AB492" s="66"/>
      <c r="AC492" s="581" t="s">
        <v>787</v>
      </c>
      <c r="AG492" s="75"/>
      <c r="AJ492" s="79"/>
      <c r="AK492" s="79">
        <v>0</v>
      </c>
      <c r="BB492" s="582" t="s">
        <v>1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customHeight="1" x14ac:dyDescent="0.25">
      <c r="A493" s="60" t="s">
        <v>788</v>
      </c>
      <c r="B493" s="60" t="s">
        <v>789</v>
      </c>
      <c r="C493" s="34">
        <v>4301031359</v>
      </c>
      <c r="D493" s="643">
        <v>4607091389500</v>
      </c>
      <c r="E493" s="64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65</v>
      </c>
      <c r="L493" s="35"/>
      <c r="M493" s="36" t="s">
        <v>66</v>
      </c>
      <c r="N493" s="36"/>
      <c r="O493" s="35">
        <v>50</v>
      </c>
      <c r="P493" s="8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0"/>
      <c r="R493" s="640"/>
      <c r="S493" s="640"/>
      <c r="T493" s="641"/>
      <c r="U493" s="37"/>
      <c r="V493" s="37"/>
      <c r="W493" s="38" t="s">
        <v>67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/>
      <c r="AB493" s="66"/>
      <c r="AC493" s="583" t="s">
        <v>787</v>
      </c>
      <c r="AG493" s="75"/>
      <c r="AJ493" s="79"/>
      <c r="AK493" s="79">
        <v>0</v>
      </c>
      <c r="BB493" s="584" t="s">
        <v>1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x14ac:dyDescent="0.2">
      <c r="A494" s="654"/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6"/>
      <c r="P494" s="650" t="s">
        <v>72</v>
      </c>
      <c r="Q494" s="647"/>
      <c r="R494" s="647"/>
      <c r="S494" s="647"/>
      <c r="T494" s="647"/>
      <c r="U494" s="647"/>
      <c r="V494" s="648"/>
      <c r="W494" s="40" t="s">
        <v>73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x14ac:dyDescent="0.2">
      <c r="A495" s="655"/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6"/>
      <c r="P495" s="650" t="s">
        <v>72</v>
      </c>
      <c r="Q495" s="647"/>
      <c r="R495" s="647"/>
      <c r="S495" s="647"/>
      <c r="T495" s="647"/>
      <c r="U495" s="647"/>
      <c r="V495" s="648"/>
      <c r="W495" s="40" t="s">
        <v>67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customHeight="1" x14ac:dyDescent="0.2">
      <c r="A496" s="734" t="s">
        <v>790</v>
      </c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5"/>
      <c r="P496" s="735"/>
      <c r="Q496" s="735"/>
      <c r="R496" s="735"/>
      <c r="S496" s="735"/>
      <c r="T496" s="735"/>
      <c r="U496" s="735"/>
      <c r="V496" s="735"/>
      <c r="W496" s="735"/>
      <c r="X496" s="735"/>
      <c r="Y496" s="735"/>
      <c r="Z496" s="735"/>
      <c r="AA496" s="52"/>
      <c r="AB496" s="52"/>
      <c r="AC496" s="52"/>
    </row>
    <row r="497" spans="1:68" ht="16.5" customHeight="1" x14ac:dyDescent="0.25">
      <c r="A497" s="657" t="s">
        <v>790</v>
      </c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  <c r="AA497" s="62"/>
      <c r="AB497" s="62"/>
      <c r="AC497" s="62"/>
    </row>
    <row r="498" spans="1:68" ht="14.25" customHeight="1" x14ac:dyDescent="0.25">
      <c r="A498" s="658" t="s">
        <v>111</v>
      </c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5"/>
      <c r="P498" s="655"/>
      <c r="Q498" s="655"/>
      <c r="R498" s="655"/>
      <c r="S498" s="655"/>
      <c r="T498" s="655"/>
      <c r="U498" s="655"/>
      <c r="V498" s="655"/>
      <c r="W498" s="655"/>
      <c r="X498" s="655"/>
      <c r="Y498" s="655"/>
      <c r="Z498" s="655"/>
      <c r="AA498" s="63"/>
      <c r="AB498" s="63"/>
      <c r="AC498" s="63"/>
    </row>
    <row r="499" spans="1:68" ht="27" customHeight="1" x14ac:dyDescent="0.25">
      <c r="A499" s="60" t="s">
        <v>791</v>
      </c>
      <c r="B499" s="60" t="s">
        <v>792</v>
      </c>
      <c r="C499" s="34">
        <v>4301011769</v>
      </c>
      <c r="D499" s="643">
        <v>4607091389067</v>
      </c>
      <c r="E499" s="64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114</v>
      </c>
      <c r="L499" s="35"/>
      <c r="M499" s="36" t="s">
        <v>78</v>
      </c>
      <c r="N499" s="36"/>
      <c r="O499" s="35">
        <v>60</v>
      </c>
      <c r="P499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0"/>
      <c r="R499" s="640"/>
      <c r="S499" s="640"/>
      <c r="T499" s="641"/>
      <c r="U499" s="37"/>
      <c r="V499" s="37"/>
      <c r="W499" s="38" t="s">
        <v>67</v>
      </c>
      <c r="X499" s="56">
        <v>0</v>
      </c>
      <c r="Y499" s="53">
        <f t="shared" ref="Y499:Y507" si="63">IFERROR(IF(X499="",0,CEILING((X499/$H499),1)*$H499),"")</f>
        <v>0</v>
      </c>
      <c r="Z499" s="39" t="str">
        <f t="shared" ref="Z499:Z504" si="64">IFERROR(IF(Y499=0,"",ROUNDUP(Y499/H499,0)*0.01196),"")</f>
        <v/>
      </c>
      <c r="AA499" s="65"/>
      <c r="AB499" s="66"/>
      <c r="AC499" s="585" t="s">
        <v>116</v>
      </c>
      <c r="AG499" s="75"/>
      <c r="AJ499" s="79"/>
      <c r="AK499" s="79">
        <v>0</v>
      </c>
      <c r="BB499" s="586" t="s">
        <v>1</v>
      </c>
      <c r="BM499" s="75">
        <f t="shared" ref="BM499:BM507" si="65">IFERROR(X499*I499/H499,"0")</f>
        <v>0</v>
      </c>
      <c r="BN499" s="75">
        <f t="shared" ref="BN499:BN507" si="66">IFERROR(Y499*I499/H499,"0")</f>
        <v>0</v>
      </c>
      <c r="BO499" s="75">
        <f t="shared" ref="BO499:BO507" si="67">IFERROR(1/J499*(X499/H499),"0")</f>
        <v>0</v>
      </c>
      <c r="BP499" s="75">
        <f t="shared" ref="BP499:BP507" si="68">IFERROR(1/J499*(Y499/H499),"0")</f>
        <v>0</v>
      </c>
    </row>
    <row r="500" spans="1:68" ht="16.5" customHeight="1" x14ac:dyDescent="0.25">
      <c r="A500" s="60" t="s">
        <v>793</v>
      </c>
      <c r="B500" s="60" t="s">
        <v>794</v>
      </c>
      <c r="C500" s="34">
        <v>4301012380</v>
      </c>
      <c r="D500" s="643">
        <v>4680115889576</v>
      </c>
      <c r="E500" s="64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114</v>
      </c>
      <c r="L500" s="35"/>
      <c r="M500" s="36" t="s">
        <v>115</v>
      </c>
      <c r="N500" s="36"/>
      <c r="O500" s="35">
        <v>60</v>
      </c>
      <c r="P500" s="64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0"/>
      <c r="R500" s="640"/>
      <c r="S500" s="640"/>
      <c r="T500" s="641"/>
      <c r="U500" s="37"/>
      <c r="V500" s="37"/>
      <c r="W500" s="38" t="s">
        <v>67</v>
      </c>
      <c r="X500" s="56">
        <v>0</v>
      </c>
      <c r="Y500" s="53">
        <f t="shared" si="63"/>
        <v>0</v>
      </c>
      <c r="Z500" s="39" t="str">
        <f t="shared" si="64"/>
        <v/>
      </c>
      <c r="AA500" s="65"/>
      <c r="AB500" s="66"/>
      <c r="AC500" s="587" t="s">
        <v>795</v>
      </c>
      <c r="AG500" s="75"/>
      <c r="AJ500" s="79"/>
      <c r="AK500" s="79">
        <v>0</v>
      </c>
      <c r="BB500" s="588" t="s">
        <v>1</v>
      </c>
      <c r="BM500" s="75">
        <f t="shared" si="65"/>
        <v>0</v>
      </c>
      <c r="BN500" s="75">
        <f t="shared" si="66"/>
        <v>0</v>
      </c>
      <c r="BO500" s="75">
        <f t="shared" si="67"/>
        <v>0</v>
      </c>
      <c r="BP500" s="75">
        <f t="shared" si="68"/>
        <v>0</v>
      </c>
    </row>
    <row r="501" spans="1:68" ht="27" customHeight="1" x14ac:dyDescent="0.25">
      <c r="A501" s="60" t="s">
        <v>796</v>
      </c>
      <c r="B501" s="60" t="s">
        <v>797</v>
      </c>
      <c r="C501" s="34">
        <v>4301011961</v>
      </c>
      <c r="D501" s="643">
        <v>4680115885271</v>
      </c>
      <c r="E501" s="64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114</v>
      </c>
      <c r="L501" s="35"/>
      <c r="M501" s="36" t="s">
        <v>115</v>
      </c>
      <c r="N501" s="36"/>
      <c r="O501" s="35">
        <v>60</v>
      </c>
      <c r="P501" s="85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0"/>
      <c r="R501" s="640"/>
      <c r="S501" s="640"/>
      <c r="T501" s="641"/>
      <c r="U501" s="37"/>
      <c r="V501" s="37"/>
      <c r="W501" s="38" t="s">
        <v>67</v>
      </c>
      <c r="X501" s="56">
        <v>0</v>
      </c>
      <c r="Y501" s="53">
        <f t="shared" si="63"/>
        <v>0</v>
      </c>
      <c r="Z501" s="39" t="str">
        <f t="shared" si="64"/>
        <v/>
      </c>
      <c r="AA501" s="65"/>
      <c r="AB501" s="66"/>
      <c r="AC501" s="589" t="s">
        <v>798</v>
      </c>
      <c r="AG501" s="75"/>
      <c r="AJ501" s="79"/>
      <c r="AK501" s="79">
        <v>0</v>
      </c>
      <c r="BB501" s="590" t="s">
        <v>1</v>
      </c>
      <c r="BM501" s="75">
        <f t="shared" si="65"/>
        <v>0</v>
      </c>
      <c r="BN501" s="75">
        <f t="shared" si="66"/>
        <v>0</v>
      </c>
      <c r="BO501" s="75">
        <f t="shared" si="67"/>
        <v>0</v>
      </c>
      <c r="BP501" s="75">
        <f t="shared" si="68"/>
        <v>0</v>
      </c>
    </row>
    <row r="502" spans="1:68" ht="27" customHeight="1" x14ac:dyDescent="0.25">
      <c r="A502" s="60" t="s">
        <v>799</v>
      </c>
      <c r="B502" s="60" t="s">
        <v>800</v>
      </c>
      <c r="C502" s="34">
        <v>4301011369</v>
      </c>
      <c r="D502" s="643">
        <v>4680115885226</v>
      </c>
      <c r="E502" s="64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114</v>
      </c>
      <c r="L502" s="35"/>
      <c r="M502" s="36" t="s">
        <v>115</v>
      </c>
      <c r="N502" s="36"/>
      <c r="O502" s="35">
        <v>60</v>
      </c>
      <c r="P502" s="9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0"/>
      <c r="R502" s="640"/>
      <c r="S502" s="640"/>
      <c r="T502" s="641"/>
      <c r="U502" s="37"/>
      <c r="V502" s="37"/>
      <c r="W502" s="38" t="s">
        <v>67</v>
      </c>
      <c r="X502" s="56">
        <v>60</v>
      </c>
      <c r="Y502" s="53">
        <f t="shared" si="63"/>
        <v>63.36</v>
      </c>
      <c r="Z502" s="39">
        <f t="shared" si="64"/>
        <v>0.14352000000000001</v>
      </c>
      <c r="AA502" s="65"/>
      <c r="AB502" s="66"/>
      <c r="AC502" s="591" t="s">
        <v>801</v>
      </c>
      <c r="AG502" s="75"/>
      <c r="AJ502" s="79"/>
      <c r="AK502" s="79">
        <v>0</v>
      </c>
      <c r="BB502" s="592" t="s">
        <v>1</v>
      </c>
      <c r="BM502" s="75">
        <f t="shared" si="65"/>
        <v>63.977272727272727</v>
      </c>
      <c r="BN502" s="75">
        <f t="shared" si="66"/>
        <v>67.559999999999988</v>
      </c>
      <c r="BO502" s="75">
        <f t="shared" si="67"/>
        <v>0.10926573426573427</v>
      </c>
      <c r="BP502" s="75">
        <f t="shared" si="68"/>
        <v>0.11538461538461539</v>
      </c>
    </row>
    <row r="503" spans="1:68" ht="16.5" customHeight="1" x14ac:dyDescent="0.25">
      <c r="A503" s="60" t="s">
        <v>802</v>
      </c>
      <c r="B503" s="60" t="s">
        <v>803</v>
      </c>
      <c r="C503" s="34">
        <v>4301011797</v>
      </c>
      <c r="D503" s="643">
        <v>4680115884502</v>
      </c>
      <c r="E503" s="64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114</v>
      </c>
      <c r="L503" s="35"/>
      <c r="M503" s="36" t="s">
        <v>78</v>
      </c>
      <c r="N503" s="36"/>
      <c r="O503" s="35">
        <v>60</v>
      </c>
      <c r="P503" s="8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0"/>
      <c r="R503" s="640"/>
      <c r="S503" s="640"/>
      <c r="T503" s="641"/>
      <c r="U503" s="37"/>
      <c r="V503" s="37"/>
      <c r="W503" s="38" t="s">
        <v>67</v>
      </c>
      <c r="X503" s="56">
        <v>0</v>
      </c>
      <c r="Y503" s="53">
        <f t="shared" si="63"/>
        <v>0</v>
      </c>
      <c r="Z503" s="39" t="str">
        <f t="shared" si="64"/>
        <v/>
      </c>
      <c r="AA503" s="65"/>
      <c r="AB503" s="66"/>
      <c r="AC503" s="593" t="s">
        <v>804</v>
      </c>
      <c r="AG503" s="75"/>
      <c r="AJ503" s="79"/>
      <c r="AK503" s="79">
        <v>0</v>
      </c>
      <c r="BB503" s="594" t="s">
        <v>1</v>
      </c>
      <c r="BM503" s="75">
        <f t="shared" si="65"/>
        <v>0</v>
      </c>
      <c r="BN503" s="75">
        <f t="shared" si="66"/>
        <v>0</v>
      </c>
      <c r="BO503" s="75">
        <f t="shared" si="67"/>
        <v>0</v>
      </c>
      <c r="BP503" s="75">
        <f t="shared" si="68"/>
        <v>0</v>
      </c>
    </row>
    <row r="504" spans="1:68" ht="27" customHeight="1" x14ac:dyDescent="0.25">
      <c r="A504" s="60" t="s">
        <v>805</v>
      </c>
      <c r="B504" s="60" t="s">
        <v>806</v>
      </c>
      <c r="C504" s="34">
        <v>4301011771</v>
      </c>
      <c r="D504" s="643">
        <v>4607091389104</v>
      </c>
      <c r="E504" s="64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114</v>
      </c>
      <c r="L504" s="35"/>
      <c r="M504" s="36" t="s">
        <v>115</v>
      </c>
      <c r="N504" s="36"/>
      <c r="O504" s="35">
        <v>60</v>
      </c>
      <c r="P504" s="8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0"/>
      <c r="R504" s="640"/>
      <c r="S504" s="640"/>
      <c r="T504" s="641"/>
      <c r="U504" s="37"/>
      <c r="V504" s="37"/>
      <c r="W504" s="38" t="s">
        <v>67</v>
      </c>
      <c r="X504" s="56">
        <v>0</v>
      </c>
      <c r="Y504" s="53">
        <f t="shared" si="63"/>
        <v>0</v>
      </c>
      <c r="Z504" s="39" t="str">
        <f t="shared" si="64"/>
        <v/>
      </c>
      <c r="AA504" s="65"/>
      <c r="AB504" s="66"/>
      <c r="AC504" s="595" t="s">
        <v>807</v>
      </c>
      <c r="AG504" s="75"/>
      <c r="AJ504" s="79"/>
      <c r="AK504" s="79">
        <v>0</v>
      </c>
      <c r="BB504" s="596" t="s">
        <v>1</v>
      </c>
      <c r="BM504" s="75">
        <f t="shared" si="65"/>
        <v>0</v>
      </c>
      <c r="BN504" s="75">
        <f t="shared" si="66"/>
        <v>0</v>
      </c>
      <c r="BO504" s="75">
        <f t="shared" si="67"/>
        <v>0</v>
      </c>
      <c r="BP504" s="75">
        <f t="shared" si="68"/>
        <v>0</v>
      </c>
    </row>
    <row r="505" spans="1:68" ht="27" customHeight="1" x14ac:dyDescent="0.25">
      <c r="A505" s="60" t="s">
        <v>808</v>
      </c>
      <c r="B505" s="60" t="s">
        <v>809</v>
      </c>
      <c r="C505" s="34">
        <v>4301012125</v>
      </c>
      <c r="D505" s="643">
        <v>4680115886391</v>
      </c>
      <c r="E505" s="64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77</v>
      </c>
      <c r="L505" s="35"/>
      <c r="M505" s="36" t="s">
        <v>78</v>
      </c>
      <c r="N505" s="36"/>
      <c r="O505" s="35">
        <v>60</v>
      </c>
      <c r="P505" s="6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0"/>
      <c r="R505" s="640"/>
      <c r="S505" s="640"/>
      <c r="T505" s="641"/>
      <c r="U505" s="37"/>
      <c r="V505" s="37"/>
      <c r="W505" s="38" t="s">
        <v>67</v>
      </c>
      <c r="X505" s="56">
        <v>0</v>
      </c>
      <c r="Y505" s="53">
        <f t="shared" si="63"/>
        <v>0</v>
      </c>
      <c r="Z505" s="39" t="str">
        <f>IFERROR(IF(Y505=0,"",ROUNDUP(Y505/H505,0)*0.00651),"")</f>
        <v/>
      </c>
      <c r="AA505" s="65"/>
      <c r="AB505" s="66"/>
      <c r="AC505" s="597" t="s">
        <v>116</v>
      </c>
      <c r="AG505" s="75"/>
      <c r="AJ505" s="79"/>
      <c r="AK505" s="79">
        <v>0</v>
      </c>
      <c r="BB505" s="598" t="s">
        <v>1</v>
      </c>
      <c r="BM505" s="75">
        <f t="shared" si="65"/>
        <v>0</v>
      </c>
      <c r="BN505" s="75">
        <f t="shared" si="66"/>
        <v>0</v>
      </c>
      <c r="BO505" s="75">
        <f t="shared" si="67"/>
        <v>0</v>
      </c>
      <c r="BP505" s="75">
        <f t="shared" si="68"/>
        <v>0</v>
      </c>
    </row>
    <row r="506" spans="1:68" ht="27" customHeight="1" x14ac:dyDescent="0.25">
      <c r="A506" s="60" t="s">
        <v>810</v>
      </c>
      <c r="B506" s="60" t="s">
        <v>811</v>
      </c>
      <c r="C506" s="34">
        <v>4301012048</v>
      </c>
      <c r="D506" s="643">
        <v>4680115880603</v>
      </c>
      <c r="E506" s="64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123</v>
      </c>
      <c r="L506" s="35"/>
      <c r="M506" s="36" t="s">
        <v>78</v>
      </c>
      <c r="N506" s="36"/>
      <c r="O506" s="35">
        <v>60</v>
      </c>
      <c r="P506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0"/>
      <c r="R506" s="640"/>
      <c r="S506" s="640"/>
      <c r="T506" s="641"/>
      <c r="U506" s="37"/>
      <c r="V506" s="37"/>
      <c r="W506" s="38" t="s">
        <v>67</v>
      </c>
      <c r="X506" s="56">
        <v>0</v>
      </c>
      <c r="Y506" s="53">
        <f t="shared" si="63"/>
        <v>0</v>
      </c>
      <c r="Z506" s="39" t="str">
        <f>IFERROR(IF(Y506=0,"",ROUNDUP(Y506/H506,0)*0.00902),"")</f>
        <v/>
      </c>
      <c r="AA506" s="65"/>
      <c r="AB506" s="66"/>
      <c r="AC506" s="599" t="s">
        <v>116</v>
      </c>
      <c r="AG506" s="75"/>
      <c r="AJ506" s="79"/>
      <c r="AK506" s="79">
        <v>0</v>
      </c>
      <c r="BB506" s="600" t="s">
        <v>1</v>
      </c>
      <c r="BM506" s="75">
        <f t="shared" si="65"/>
        <v>0</v>
      </c>
      <c r="BN506" s="75">
        <f t="shared" si="66"/>
        <v>0</v>
      </c>
      <c r="BO506" s="75">
        <f t="shared" si="67"/>
        <v>0</v>
      </c>
      <c r="BP506" s="75">
        <f t="shared" si="68"/>
        <v>0</v>
      </c>
    </row>
    <row r="507" spans="1:68" ht="27" customHeight="1" x14ac:dyDescent="0.25">
      <c r="A507" s="60" t="s">
        <v>812</v>
      </c>
      <c r="B507" s="60" t="s">
        <v>813</v>
      </c>
      <c r="C507" s="34">
        <v>4301012034</v>
      </c>
      <c r="D507" s="643">
        <v>4607091389982</v>
      </c>
      <c r="E507" s="64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123</v>
      </c>
      <c r="L507" s="35"/>
      <c r="M507" s="36" t="s">
        <v>115</v>
      </c>
      <c r="N507" s="36"/>
      <c r="O507" s="35">
        <v>60</v>
      </c>
      <c r="P507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0"/>
      <c r="R507" s="640"/>
      <c r="S507" s="640"/>
      <c r="T507" s="641"/>
      <c r="U507" s="37"/>
      <c r="V507" s="37"/>
      <c r="W507" s="38" t="s">
        <v>67</v>
      </c>
      <c r="X507" s="56">
        <v>0</v>
      </c>
      <c r="Y507" s="53">
        <f t="shared" si="63"/>
        <v>0</v>
      </c>
      <c r="Z507" s="39" t="str">
        <f>IFERROR(IF(Y507=0,"",ROUNDUP(Y507/H507,0)*0.00902),"")</f>
        <v/>
      </c>
      <c r="AA507" s="65"/>
      <c r="AB507" s="66"/>
      <c r="AC507" s="601" t="s">
        <v>807</v>
      </c>
      <c r="AG507" s="75"/>
      <c r="AJ507" s="79"/>
      <c r="AK507" s="79">
        <v>0</v>
      </c>
      <c r="BB507" s="602" t="s">
        <v>1</v>
      </c>
      <c r="BM507" s="75">
        <f t="shared" si="65"/>
        <v>0</v>
      </c>
      <c r="BN507" s="75">
        <f t="shared" si="66"/>
        <v>0</v>
      </c>
      <c r="BO507" s="75">
        <f t="shared" si="67"/>
        <v>0</v>
      </c>
      <c r="BP507" s="75">
        <f t="shared" si="68"/>
        <v>0</v>
      </c>
    </row>
    <row r="508" spans="1:68" x14ac:dyDescent="0.2">
      <c r="A508" s="654"/>
      <c r="B508" s="655"/>
      <c r="C508" s="655"/>
      <c r="D508" s="655"/>
      <c r="E508" s="655"/>
      <c r="F508" s="655"/>
      <c r="G508" s="655"/>
      <c r="H508" s="655"/>
      <c r="I508" s="655"/>
      <c r="J508" s="655"/>
      <c r="K508" s="655"/>
      <c r="L508" s="655"/>
      <c r="M508" s="655"/>
      <c r="N508" s="655"/>
      <c r="O508" s="656"/>
      <c r="P508" s="650" t="s">
        <v>72</v>
      </c>
      <c r="Q508" s="647"/>
      <c r="R508" s="647"/>
      <c r="S508" s="647"/>
      <c r="T508" s="647"/>
      <c r="U508" s="647"/>
      <c r="V508" s="648"/>
      <c r="W508" s="40" t="s">
        <v>73</v>
      </c>
      <c r="X508" s="41">
        <f>IFERROR(X499/H499,"0")+IFERROR(X500/H500,"0")+IFERROR(X501/H501,"0")+IFERROR(X502/H502,"0")+IFERROR(X503/H503,"0")+IFERROR(X504/H504,"0")+IFERROR(X505/H505,"0")+IFERROR(X506/H506,"0")+IFERROR(X507/H507,"0")</f>
        <v>11.363636363636363</v>
      </c>
      <c r="Y508" s="41">
        <f>IFERROR(Y499/H499,"0")+IFERROR(Y500/H500,"0")+IFERROR(Y501/H501,"0")+IFERROR(Y502/H502,"0")+IFERROR(Y503/H503,"0")+IFERROR(Y504/H504,"0")+IFERROR(Y505/H505,"0")+IFERROR(Y506/H506,"0")+IFERROR(Y507/H507,"0")</f>
        <v>12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0.14352000000000001</v>
      </c>
      <c r="AA508" s="64"/>
      <c r="AB508" s="64"/>
      <c r="AC508" s="64"/>
    </row>
    <row r="509" spans="1:68" x14ac:dyDescent="0.2">
      <c r="A509" s="655"/>
      <c r="B509" s="655"/>
      <c r="C509" s="655"/>
      <c r="D509" s="655"/>
      <c r="E509" s="655"/>
      <c r="F509" s="655"/>
      <c r="G509" s="655"/>
      <c r="H509" s="655"/>
      <c r="I509" s="655"/>
      <c r="J509" s="655"/>
      <c r="K509" s="655"/>
      <c r="L509" s="655"/>
      <c r="M509" s="655"/>
      <c r="N509" s="655"/>
      <c r="O509" s="656"/>
      <c r="P509" s="650" t="s">
        <v>72</v>
      </c>
      <c r="Q509" s="647"/>
      <c r="R509" s="647"/>
      <c r="S509" s="647"/>
      <c r="T509" s="647"/>
      <c r="U509" s="647"/>
      <c r="V509" s="648"/>
      <c r="W509" s="40" t="s">
        <v>67</v>
      </c>
      <c r="X509" s="41">
        <f>IFERROR(SUM(X499:X507),"0")</f>
        <v>60</v>
      </c>
      <c r="Y509" s="41">
        <f>IFERROR(SUM(Y499:Y507),"0")</f>
        <v>63.36</v>
      </c>
      <c r="Z509" s="40"/>
      <c r="AA509" s="64"/>
      <c r="AB509" s="64"/>
      <c r="AC509" s="64"/>
    </row>
    <row r="510" spans="1:68" ht="14.25" customHeight="1" x14ac:dyDescent="0.25">
      <c r="A510" s="658" t="s">
        <v>147</v>
      </c>
      <c r="B510" s="655"/>
      <c r="C510" s="655"/>
      <c r="D510" s="655"/>
      <c r="E510" s="655"/>
      <c r="F510" s="655"/>
      <c r="G510" s="655"/>
      <c r="H510" s="655"/>
      <c r="I510" s="655"/>
      <c r="J510" s="655"/>
      <c r="K510" s="655"/>
      <c r="L510" s="655"/>
      <c r="M510" s="655"/>
      <c r="N510" s="655"/>
      <c r="O510" s="655"/>
      <c r="P510" s="655"/>
      <c r="Q510" s="655"/>
      <c r="R510" s="655"/>
      <c r="S510" s="655"/>
      <c r="T510" s="655"/>
      <c r="U510" s="655"/>
      <c r="V510" s="655"/>
      <c r="W510" s="655"/>
      <c r="X510" s="655"/>
      <c r="Y510" s="655"/>
      <c r="Z510" s="655"/>
      <c r="AA510" s="63"/>
      <c r="AB510" s="63"/>
      <c r="AC510" s="63"/>
    </row>
    <row r="511" spans="1:68" ht="16.5" customHeight="1" x14ac:dyDescent="0.25">
      <c r="A511" s="60" t="s">
        <v>814</v>
      </c>
      <c r="B511" s="60" t="s">
        <v>815</v>
      </c>
      <c r="C511" s="34">
        <v>4301020334</v>
      </c>
      <c r="D511" s="643">
        <v>4607091388930</v>
      </c>
      <c r="E511" s="64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114</v>
      </c>
      <c r="L511" s="35"/>
      <c r="M511" s="36" t="s">
        <v>78</v>
      </c>
      <c r="N511" s="36"/>
      <c r="O511" s="35">
        <v>70</v>
      </c>
      <c r="P511" s="8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0"/>
      <c r="R511" s="640"/>
      <c r="S511" s="640"/>
      <c r="T511" s="641"/>
      <c r="U511" s="37"/>
      <c r="V511" s="37"/>
      <c r="W511" s="38" t="s">
        <v>67</v>
      </c>
      <c r="X511" s="56">
        <v>150</v>
      </c>
      <c r="Y511" s="53">
        <f>IFERROR(IF(X511="",0,CEILING((X511/$H511),1)*$H511),"")</f>
        <v>153.12</v>
      </c>
      <c r="Z511" s="39">
        <f>IFERROR(IF(Y511=0,"",ROUNDUP(Y511/H511,0)*0.01196),"")</f>
        <v>0.34683999999999998</v>
      </c>
      <c r="AA511" s="65"/>
      <c r="AB511" s="66"/>
      <c r="AC511" s="603" t="s">
        <v>816</v>
      </c>
      <c r="AG511" s="75"/>
      <c r="AJ511" s="79"/>
      <c r="AK511" s="79">
        <v>0</v>
      </c>
      <c r="BB511" s="604" t="s">
        <v>1</v>
      </c>
      <c r="BM511" s="75">
        <f>IFERROR(X511*I511/H511,"0")</f>
        <v>159.94318181818181</v>
      </c>
      <c r="BN511" s="75">
        <f>IFERROR(Y511*I511/H511,"0")</f>
        <v>163.26999999999998</v>
      </c>
      <c r="BO511" s="75">
        <f>IFERROR(1/J511*(X511/H511),"0")</f>
        <v>0.27316433566433568</v>
      </c>
      <c r="BP511" s="75">
        <f>IFERROR(1/J511*(Y511/H511),"0")</f>
        <v>0.27884615384615385</v>
      </c>
    </row>
    <row r="512" spans="1:68" ht="16.5" customHeight="1" x14ac:dyDescent="0.25">
      <c r="A512" s="60" t="s">
        <v>817</v>
      </c>
      <c r="B512" s="60" t="s">
        <v>818</v>
      </c>
      <c r="C512" s="34">
        <v>4301020374</v>
      </c>
      <c r="D512" s="643">
        <v>4680115886407</v>
      </c>
      <c r="E512" s="64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77</v>
      </c>
      <c r="L512" s="35"/>
      <c r="M512" s="36" t="s">
        <v>115</v>
      </c>
      <c r="N512" s="36"/>
      <c r="O512" s="35">
        <v>70</v>
      </c>
      <c r="P512" s="7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0"/>
      <c r="R512" s="640"/>
      <c r="S512" s="640"/>
      <c r="T512" s="641"/>
      <c r="U512" s="37"/>
      <c r="V512" s="37"/>
      <c r="W512" s="38" t="s">
        <v>67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/>
      <c r="AB512" s="66"/>
      <c r="AC512" s="605" t="s">
        <v>816</v>
      </c>
      <c r="AG512" s="75"/>
      <c r="AJ512" s="79"/>
      <c r="AK512" s="79">
        <v>0</v>
      </c>
      <c r="BB512" s="606" t="s">
        <v>1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customHeight="1" x14ac:dyDescent="0.25">
      <c r="A513" s="60" t="s">
        <v>819</v>
      </c>
      <c r="B513" s="60" t="s">
        <v>820</v>
      </c>
      <c r="C513" s="34">
        <v>4301020385</v>
      </c>
      <c r="D513" s="643">
        <v>4680115880054</v>
      </c>
      <c r="E513" s="64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123</v>
      </c>
      <c r="L513" s="35"/>
      <c r="M513" s="36" t="s">
        <v>115</v>
      </c>
      <c r="N513" s="36"/>
      <c r="O513" s="35">
        <v>70</v>
      </c>
      <c r="P513" s="9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0"/>
      <c r="R513" s="640"/>
      <c r="S513" s="640"/>
      <c r="T513" s="641"/>
      <c r="U513" s="37"/>
      <c r="V513" s="37"/>
      <c r="W513" s="38" t="s">
        <v>67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/>
      <c r="AB513" s="66"/>
      <c r="AC513" s="607" t="s">
        <v>816</v>
      </c>
      <c r="AG513" s="75"/>
      <c r="AJ513" s="79"/>
      <c r="AK513" s="79">
        <v>0</v>
      </c>
      <c r="BB513" s="608" t="s">
        <v>1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654"/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6"/>
      <c r="P514" s="650" t="s">
        <v>72</v>
      </c>
      <c r="Q514" s="647"/>
      <c r="R514" s="647"/>
      <c r="S514" s="647"/>
      <c r="T514" s="647"/>
      <c r="U514" s="647"/>
      <c r="V514" s="648"/>
      <c r="W514" s="40" t="s">
        <v>73</v>
      </c>
      <c r="X514" s="41">
        <f>IFERROR(X511/H511,"0")+IFERROR(X512/H512,"0")+IFERROR(X513/H513,"0")</f>
        <v>28.409090909090907</v>
      </c>
      <c r="Y514" s="41">
        <f>IFERROR(Y511/H511,"0")+IFERROR(Y512/H512,"0")+IFERROR(Y513/H513,"0")</f>
        <v>29</v>
      </c>
      <c r="Z514" s="41">
        <f>IFERROR(IF(Z511="",0,Z511),"0")+IFERROR(IF(Z512="",0,Z512),"0")+IFERROR(IF(Z513="",0,Z513),"0")</f>
        <v>0.34683999999999998</v>
      </c>
      <c r="AA514" s="64"/>
      <c r="AB514" s="64"/>
      <c r="AC514" s="64"/>
    </row>
    <row r="515" spans="1:68" x14ac:dyDescent="0.2">
      <c r="A515" s="655"/>
      <c r="B515" s="655"/>
      <c r="C515" s="655"/>
      <c r="D515" s="655"/>
      <c r="E515" s="655"/>
      <c r="F515" s="655"/>
      <c r="G515" s="655"/>
      <c r="H515" s="655"/>
      <c r="I515" s="655"/>
      <c r="J515" s="655"/>
      <c r="K515" s="655"/>
      <c r="L515" s="655"/>
      <c r="M515" s="655"/>
      <c r="N515" s="655"/>
      <c r="O515" s="656"/>
      <c r="P515" s="650" t="s">
        <v>72</v>
      </c>
      <c r="Q515" s="647"/>
      <c r="R515" s="647"/>
      <c r="S515" s="647"/>
      <c r="T515" s="647"/>
      <c r="U515" s="647"/>
      <c r="V515" s="648"/>
      <c r="W515" s="40" t="s">
        <v>67</v>
      </c>
      <c r="X515" s="41">
        <f>IFERROR(SUM(X511:X513),"0")</f>
        <v>150</v>
      </c>
      <c r="Y515" s="41">
        <f>IFERROR(SUM(Y511:Y513),"0")</f>
        <v>153.12</v>
      </c>
      <c r="Z515" s="40"/>
      <c r="AA515" s="64"/>
      <c r="AB515" s="64"/>
      <c r="AC515" s="64"/>
    </row>
    <row r="516" spans="1:68" ht="14.25" customHeight="1" x14ac:dyDescent="0.25">
      <c r="A516" s="658" t="s">
        <v>62</v>
      </c>
      <c r="B516" s="655"/>
      <c r="C516" s="655"/>
      <c r="D516" s="655"/>
      <c r="E516" s="655"/>
      <c r="F516" s="655"/>
      <c r="G516" s="655"/>
      <c r="H516" s="655"/>
      <c r="I516" s="655"/>
      <c r="J516" s="655"/>
      <c r="K516" s="655"/>
      <c r="L516" s="655"/>
      <c r="M516" s="655"/>
      <c r="N516" s="655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  <c r="AA516" s="63"/>
      <c r="AB516" s="63"/>
      <c r="AC516" s="63"/>
    </row>
    <row r="517" spans="1:68" ht="27" customHeight="1" x14ac:dyDescent="0.25">
      <c r="A517" s="60" t="s">
        <v>821</v>
      </c>
      <c r="B517" s="60" t="s">
        <v>822</v>
      </c>
      <c r="C517" s="34">
        <v>4301031349</v>
      </c>
      <c r="D517" s="643">
        <v>4680115883116</v>
      </c>
      <c r="E517" s="64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114</v>
      </c>
      <c r="L517" s="35"/>
      <c r="M517" s="36" t="s">
        <v>115</v>
      </c>
      <c r="N517" s="36"/>
      <c r="O517" s="35">
        <v>70</v>
      </c>
      <c r="P517" s="8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0"/>
      <c r="R517" s="640"/>
      <c r="S517" s="640"/>
      <c r="T517" s="641"/>
      <c r="U517" s="37"/>
      <c r="V517" s="37"/>
      <c r="W517" s="38" t="s">
        <v>67</v>
      </c>
      <c r="X517" s="56">
        <v>0</v>
      </c>
      <c r="Y517" s="53">
        <f t="shared" ref="Y517:Y523" si="69">IFERROR(IF(X517="",0,CEILING((X517/$H517),1)*$H517),"")</f>
        <v>0</v>
      </c>
      <c r="Z517" s="39" t="str">
        <f>IFERROR(IF(Y517=0,"",ROUNDUP(Y517/H517,0)*0.01196),"")</f>
        <v/>
      </c>
      <c r="AA517" s="65"/>
      <c r="AB517" s="66"/>
      <c r="AC517" s="609" t="s">
        <v>823</v>
      </c>
      <c r="AG517" s="75"/>
      <c r="AJ517" s="79"/>
      <c r="AK517" s="79">
        <v>0</v>
      </c>
      <c r="BB517" s="610" t="s">
        <v>1</v>
      </c>
      <c r="BM517" s="75">
        <f t="shared" ref="BM517:BM523" si="70">IFERROR(X517*I517/H517,"0")</f>
        <v>0</v>
      </c>
      <c r="BN517" s="75">
        <f t="shared" ref="BN517:BN523" si="71">IFERROR(Y517*I517/H517,"0")</f>
        <v>0</v>
      </c>
      <c r="BO517" s="75">
        <f t="shared" ref="BO517:BO523" si="72">IFERROR(1/J517*(X517/H517),"0")</f>
        <v>0</v>
      </c>
      <c r="BP517" s="75">
        <f t="shared" ref="BP517:BP523" si="73">IFERROR(1/J517*(Y517/H517),"0")</f>
        <v>0</v>
      </c>
    </row>
    <row r="518" spans="1:68" ht="27" customHeight="1" x14ac:dyDescent="0.25">
      <c r="A518" s="60" t="s">
        <v>824</v>
      </c>
      <c r="B518" s="60" t="s">
        <v>825</v>
      </c>
      <c r="C518" s="34">
        <v>4301031350</v>
      </c>
      <c r="D518" s="643">
        <v>4680115883093</v>
      </c>
      <c r="E518" s="64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114</v>
      </c>
      <c r="L518" s="35"/>
      <c r="M518" s="36" t="s">
        <v>66</v>
      </c>
      <c r="N518" s="36"/>
      <c r="O518" s="35">
        <v>70</v>
      </c>
      <c r="P51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0"/>
      <c r="R518" s="640"/>
      <c r="S518" s="640"/>
      <c r="T518" s="641"/>
      <c r="U518" s="37"/>
      <c r="V518" s="37"/>
      <c r="W518" s="38" t="s">
        <v>67</v>
      </c>
      <c r="X518" s="56">
        <v>0</v>
      </c>
      <c r="Y518" s="53">
        <f t="shared" si="69"/>
        <v>0</v>
      </c>
      <c r="Z518" s="39" t="str">
        <f>IFERROR(IF(Y518=0,"",ROUNDUP(Y518/H518,0)*0.01196),"")</f>
        <v/>
      </c>
      <c r="AA518" s="65"/>
      <c r="AB518" s="66"/>
      <c r="AC518" s="611" t="s">
        <v>826</v>
      </c>
      <c r="AG518" s="75"/>
      <c r="AJ518" s="79"/>
      <c r="AK518" s="79">
        <v>0</v>
      </c>
      <c r="BB518" s="612" t="s">
        <v>1</v>
      </c>
      <c r="BM518" s="75">
        <f t="shared" si="70"/>
        <v>0</v>
      </c>
      <c r="BN518" s="75">
        <f t="shared" si="71"/>
        <v>0</v>
      </c>
      <c r="BO518" s="75">
        <f t="shared" si="72"/>
        <v>0</v>
      </c>
      <c r="BP518" s="75">
        <f t="shared" si="73"/>
        <v>0</v>
      </c>
    </row>
    <row r="519" spans="1:68" ht="27" customHeight="1" x14ac:dyDescent="0.25">
      <c r="A519" s="60" t="s">
        <v>827</v>
      </c>
      <c r="B519" s="60" t="s">
        <v>828</v>
      </c>
      <c r="C519" s="34">
        <v>4301031353</v>
      </c>
      <c r="D519" s="643">
        <v>4680115883109</v>
      </c>
      <c r="E519" s="64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114</v>
      </c>
      <c r="L519" s="35"/>
      <c r="M519" s="36" t="s">
        <v>66</v>
      </c>
      <c r="N519" s="36"/>
      <c r="O519" s="35">
        <v>70</v>
      </c>
      <c r="P519" s="93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0"/>
      <c r="R519" s="640"/>
      <c r="S519" s="640"/>
      <c r="T519" s="641"/>
      <c r="U519" s="37"/>
      <c r="V519" s="37"/>
      <c r="W519" s="38" t="s">
        <v>67</v>
      </c>
      <c r="X519" s="56">
        <v>50</v>
      </c>
      <c r="Y519" s="53">
        <f t="shared" si="69"/>
        <v>52.800000000000004</v>
      </c>
      <c r="Z519" s="39">
        <f>IFERROR(IF(Y519=0,"",ROUNDUP(Y519/H519,0)*0.01196),"")</f>
        <v>0.1196</v>
      </c>
      <c r="AA519" s="65"/>
      <c r="AB519" s="66"/>
      <c r="AC519" s="613" t="s">
        <v>829</v>
      </c>
      <c r="AG519" s="75"/>
      <c r="AJ519" s="79"/>
      <c r="AK519" s="79">
        <v>0</v>
      </c>
      <c r="BB519" s="614" t="s">
        <v>1</v>
      </c>
      <c r="BM519" s="75">
        <f t="shared" si="70"/>
        <v>53.314393939393938</v>
      </c>
      <c r="BN519" s="75">
        <f t="shared" si="71"/>
        <v>56.3</v>
      </c>
      <c r="BO519" s="75">
        <f t="shared" si="72"/>
        <v>9.1054778554778545E-2</v>
      </c>
      <c r="BP519" s="75">
        <f t="shared" si="73"/>
        <v>9.6153846153846159E-2</v>
      </c>
    </row>
    <row r="520" spans="1:68" ht="27" customHeight="1" x14ac:dyDescent="0.25">
      <c r="A520" s="60" t="s">
        <v>830</v>
      </c>
      <c r="B520" s="60" t="s">
        <v>831</v>
      </c>
      <c r="C520" s="34">
        <v>4301031419</v>
      </c>
      <c r="D520" s="643">
        <v>4680115882072</v>
      </c>
      <c r="E520" s="64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123</v>
      </c>
      <c r="L520" s="35"/>
      <c r="M520" s="36" t="s">
        <v>115</v>
      </c>
      <c r="N520" s="36"/>
      <c r="O520" s="35">
        <v>70</v>
      </c>
      <c r="P52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0"/>
      <c r="R520" s="640"/>
      <c r="S520" s="640"/>
      <c r="T520" s="641"/>
      <c r="U520" s="37"/>
      <c r="V520" s="37"/>
      <c r="W520" s="38" t="s">
        <v>67</v>
      </c>
      <c r="X520" s="56">
        <v>0</v>
      </c>
      <c r="Y520" s="53">
        <f t="shared" si="69"/>
        <v>0</v>
      </c>
      <c r="Z520" s="39" t="str">
        <f>IFERROR(IF(Y520=0,"",ROUNDUP(Y520/H520,0)*0.00902),"")</f>
        <v/>
      </c>
      <c r="AA520" s="65"/>
      <c r="AB520" s="66"/>
      <c r="AC520" s="615" t="s">
        <v>823</v>
      </c>
      <c r="AG520" s="75"/>
      <c r="AJ520" s="79"/>
      <c r="AK520" s="79">
        <v>0</v>
      </c>
      <c r="BB520" s="616" t="s">
        <v>1</v>
      </c>
      <c r="BM520" s="75">
        <f t="shared" si="70"/>
        <v>0</v>
      </c>
      <c r="BN520" s="75">
        <f t="shared" si="71"/>
        <v>0</v>
      </c>
      <c r="BO520" s="75">
        <f t="shared" si="72"/>
        <v>0</v>
      </c>
      <c r="BP520" s="75">
        <f t="shared" si="73"/>
        <v>0</v>
      </c>
    </row>
    <row r="521" spans="1:68" ht="27" customHeight="1" x14ac:dyDescent="0.25">
      <c r="A521" s="60" t="s">
        <v>832</v>
      </c>
      <c r="B521" s="60" t="s">
        <v>833</v>
      </c>
      <c r="C521" s="34">
        <v>4301031352</v>
      </c>
      <c r="D521" s="643">
        <v>4680115882102</v>
      </c>
      <c r="E521" s="64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123</v>
      </c>
      <c r="L521" s="35"/>
      <c r="M521" s="36" t="s">
        <v>66</v>
      </c>
      <c r="N521" s="36"/>
      <c r="O521" s="35">
        <v>70</v>
      </c>
      <c r="P521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0"/>
      <c r="R521" s="640"/>
      <c r="S521" s="640"/>
      <c r="T521" s="641"/>
      <c r="U521" s="37"/>
      <c r="V521" s="37"/>
      <c r="W521" s="38" t="s">
        <v>67</v>
      </c>
      <c r="X521" s="56">
        <v>0</v>
      </c>
      <c r="Y521" s="53">
        <f t="shared" si="69"/>
        <v>0</v>
      </c>
      <c r="Z521" s="39" t="str">
        <f>IFERROR(IF(Y521=0,"",ROUNDUP(Y521/H521,0)*0.00902),"")</f>
        <v/>
      </c>
      <c r="AA521" s="65"/>
      <c r="AB521" s="66"/>
      <c r="AC521" s="617" t="s">
        <v>826</v>
      </c>
      <c r="AG521" s="75"/>
      <c r="AJ521" s="79"/>
      <c r="AK521" s="79">
        <v>0</v>
      </c>
      <c r="BB521" s="618" t="s">
        <v>1</v>
      </c>
      <c r="BM521" s="75">
        <f t="shared" si="70"/>
        <v>0</v>
      </c>
      <c r="BN521" s="75">
        <f t="shared" si="71"/>
        <v>0</v>
      </c>
      <c r="BO521" s="75">
        <f t="shared" si="72"/>
        <v>0</v>
      </c>
      <c r="BP521" s="75">
        <f t="shared" si="73"/>
        <v>0</v>
      </c>
    </row>
    <row r="522" spans="1:68" ht="27" customHeight="1" x14ac:dyDescent="0.25">
      <c r="A522" s="60" t="s">
        <v>832</v>
      </c>
      <c r="B522" s="60" t="s">
        <v>834</v>
      </c>
      <c r="C522" s="34">
        <v>4301031418</v>
      </c>
      <c r="D522" s="643">
        <v>4680115882102</v>
      </c>
      <c r="E522" s="64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123</v>
      </c>
      <c r="L522" s="35"/>
      <c r="M522" s="36" t="s">
        <v>66</v>
      </c>
      <c r="N522" s="36"/>
      <c r="O522" s="35">
        <v>70</v>
      </c>
      <c r="P522" s="9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0"/>
      <c r="R522" s="640"/>
      <c r="S522" s="640"/>
      <c r="T522" s="641"/>
      <c r="U522" s="37"/>
      <c r="V522" s="37"/>
      <c r="W522" s="38" t="s">
        <v>67</v>
      </c>
      <c r="X522" s="56">
        <v>0</v>
      </c>
      <c r="Y522" s="53">
        <f t="shared" si="69"/>
        <v>0</v>
      </c>
      <c r="Z522" s="39" t="str">
        <f>IFERROR(IF(Y522=0,"",ROUNDUP(Y522/H522,0)*0.00902),"")</f>
        <v/>
      </c>
      <c r="AA522" s="65"/>
      <c r="AB522" s="66"/>
      <c r="AC522" s="619" t="s">
        <v>826</v>
      </c>
      <c r="AG522" s="75"/>
      <c r="AJ522" s="79"/>
      <c r="AK522" s="79">
        <v>0</v>
      </c>
      <c r="BB522" s="620" t="s">
        <v>1</v>
      </c>
      <c r="BM522" s="75">
        <f t="shared" si="70"/>
        <v>0</v>
      </c>
      <c r="BN522" s="75">
        <f t="shared" si="71"/>
        <v>0</v>
      </c>
      <c r="BO522" s="75">
        <f t="shared" si="72"/>
        <v>0</v>
      </c>
      <c r="BP522" s="75">
        <f t="shared" si="73"/>
        <v>0</v>
      </c>
    </row>
    <row r="523" spans="1:68" ht="27" customHeight="1" x14ac:dyDescent="0.25">
      <c r="A523" s="60" t="s">
        <v>835</v>
      </c>
      <c r="B523" s="60" t="s">
        <v>836</v>
      </c>
      <c r="C523" s="34">
        <v>4301031417</v>
      </c>
      <c r="D523" s="643">
        <v>4680115882096</v>
      </c>
      <c r="E523" s="64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123</v>
      </c>
      <c r="L523" s="35"/>
      <c r="M523" s="36" t="s">
        <v>66</v>
      </c>
      <c r="N523" s="36"/>
      <c r="O523" s="35">
        <v>70</v>
      </c>
      <c r="P523" s="8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0"/>
      <c r="R523" s="640"/>
      <c r="S523" s="640"/>
      <c r="T523" s="641"/>
      <c r="U523" s="37"/>
      <c r="V523" s="37"/>
      <c r="W523" s="38" t="s">
        <v>67</v>
      </c>
      <c r="X523" s="56">
        <v>0</v>
      </c>
      <c r="Y523" s="53">
        <f t="shared" si="69"/>
        <v>0</v>
      </c>
      <c r="Z523" s="39" t="str">
        <f>IFERROR(IF(Y523=0,"",ROUNDUP(Y523/H523,0)*0.00902),"")</f>
        <v/>
      </c>
      <c r="AA523" s="65"/>
      <c r="AB523" s="66"/>
      <c r="AC523" s="621" t="s">
        <v>829</v>
      </c>
      <c r="AG523" s="75"/>
      <c r="AJ523" s="79"/>
      <c r="AK523" s="79">
        <v>0</v>
      </c>
      <c r="BB523" s="622" t="s">
        <v>1</v>
      </c>
      <c r="BM523" s="75">
        <f t="shared" si="70"/>
        <v>0</v>
      </c>
      <c r="BN523" s="75">
        <f t="shared" si="71"/>
        <v>0</v>
      </c>
      <c r="BO523" s="75">
        <f t="shared" si="72"/>
        <v>0</v>
      </c>
      <c r="BP523" s="75">
        <f t="shared" si="73"/>
        <v>0</v>
      </c>
    </row>
    <row r="524" spans="1:68" x14ac:dyDescent="0.2">
      <c r="A524" s="654"/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6"/>
      <c r="P524" s="650" t="s">
        <v>72</v>
      </c>
      <c r="Q524" s="647"/>
      <c r="R524" s="647"/>
      <c r="S524" s="647"/>
      <c r="T524" s="647"/>
      <c r="U524" s="647"/>
      <c r="V524" s="648"/>
      <c r="W524" s="40" t="s">
        <v>73</v>
      </c>
      <c r="X524" s="41">
        <f>IFERROR(X517/H517,"0")+IFERROR(X518/H518,"0")+IFERROR(X519/H519,"0")+IFERROR(X520/H520,"0")+IFERROR(X521/H521,"0")+IFERROR(X522/H522,"0")+IFERROR(X523/H523,"0")</f>
        <v>9.4696969696969688</v>
      </c>
      <c r="Y524" s="41">
        <f>IFERROR(Y517/H517,"0")+IFERROR(Y518/H518,"0")+IFERROR(Y519/H519,"0")+IFERROR(Y520/H520,"0")+IFERROR(Y521/H521,"0")+IFERROR(Y522/H522,"0")+IFERROR(Y523/H523,"0")</f>
        <v>10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0.1196</v>
      </c>
      <c r="AA524" s="64"/>
      <c r="AB524" s="64"/>
      <c r="AC524" s="64"/>
    </row>
    <row r="525" spans="1:68" x14ac:dyDescent="0.2">
      <c r="A525" s="655"/>
      <c r="B525" s="655"/>
      <c r="C525" s="655"/>
      <c r="D525" s="655"/>
      <c r="E525" s="655"/>
      <c r="F525" s="655"/>
      <c r="G525" s="655"/>
      <c r="H525" s="655"/>
      <c r="I525" s="655"/>
      <c r="J525" s="655"/>
      <c r="K525" s="655"/>
      <c r="L525" s="655"/>
      <c r="M525" s="655"/>
      <c r="N525" s="655"/>
      <c r="O525" s="656"/>
      <c r="P525" s="650" t="s">
        <v>72</v>
      </c>
      <c r="Q525" s="647"/>
      <c r="R525" s="647"/>
      <c r="S525" s="647"/>
      <c r="T525" s="647"/>
      <c r="U525" s="647"/>
      <c r="V525" s="648"/>
      <c r="W525" s="40" t="s">
        <v>67</v>
      </c>
      <c r="X525" s="41">
        <f>IFERROR(SUM(X517:X523),"0")</f>
        <v>50</v>
      </c>
      <c r="Y525" s="41">
        <f>IFERROR(SUM(Y517:Y523),"0")</f>
        <v>52.800000000000004</v>
      </c>
      <c r="Z525" s="40"/>
      <c r="AA525" s="64"/>
      <c r="AB525" s="64"/>
      <c r="AC525" s="64"/>
    </row>
    <row r="526" spans="1:68" ht="27.75" customHeight="1" x14ac:dyDescent="0.2">
      <c r="A526" s="734" t="s">
        <v>837</v>
      </c>
      <c r="B526" s="735"/>
      <c r="C526" s="735"/>
      <c r="D526" s="735"/>
      <c r="E526" s="735"/>
      <c r="F526" s="735"/>
      <c r="G526" s="735"/>
      <c r="H526" s="735"/>
      <c r="I526" s="735"/>
      <c r="J526" s="735"/>
      <c r="K526" s="735"/>
      <c r="L526" s="735"/>
      <c r="M526" s="735"/>
      <c r="N526" s="735"/>
      <c r="O526" s="735"/>
      <c r="P526" s="735"/>
      <c r="Q526" s="735"/>
      <c r="R526" s="735"/>
      <c r="S526" s="735"/>
      <c r="T526" s="735"/>
      <c r="U526" s="735"/>
      <c r="V526" s="735"/>
      <c r="W526" s="735"/>
      <c r="X526" s="735"/>
      <c r="Y526" s="735"/>
      <c r="Z526" s="735"/>
      <c r="AA526" s="52"/>
      <c r="AB526" s="52"/>
      <c r="AC526" s="52"/>
    </row>
    <row r="527" spans="1:68" ht="16.5" customHeight="1" x14ac:dyDescent="0.25">
      <c r="A527" s="657" t="s">
        <v>837</v>
      </c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  <c r="AA527" s="62"/>
      <c r="AB527" s="62"/>
      <c r="AC527" s="62"/>
    </row>
    <row r="528" spans="1:68" ht="14.25" customHeight="1" x14ac:dyDescent="0.25">
      <c r="A528" s="658" t="s">
        <v>111</v>
      </c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5"/>
      <c r="P528" s="655"/>
      <c r="Q528" s="655"/>
      <c r="R528" s="655"/>
      <c r="S528" s="655"/>
      <c r="T528" s="655"/>
      <c r="U528" s="655"/>
      <c r="V528" s="655"/>
      <c r="W528" s="655"/>
      <c r="X528" s="655"/>
      <c r="Y528" s="655"/>
      <c r="Z528" s="655"/>
      <c r="AA528" s="63"/>
      <c r="AB528" s="63"/>
      <c r="AC528" s="63"/>
    </row>
    <row r="529" spans="1:68" ht="27" customHeight="1" x14ac:dyDescent="0.25">
      <c r="A529" s="60" t="s">
        <v>838</v>
      </c>
      <c r="B529" s="60" t="s">
        <v>839</v>
      </c>
      <c r="C529" s="34">
        <v>4301011584</v>
      </c>
      <c r="D529" s="643">
        <v>4640242180564</v>
      </c>
      <c r="E529" s="64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114</v>
      </c>
      <c r="L529" s="35"/>
      <c r="M529" s="36" t="s">
        <v>115</v>
      </c>
      <c r="N529" s="36"/>
      <c r="O529" s="35">
        <v>50</v>
      </c>
      <c r="P529" s="8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0"/>
      <c r="R529" s="640"/>
      <c r="S529" s="640"/>
      <c r="T529" s="641"/>
      <c r="U529" s="37"/>
      <c r="V529" s="37"/>
      <c r="W529" s="38" t="s">
        <v>67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/>
      <c r="AB529" s="66"/>
      <c r="AC529" s="623" t="s">
        <v>840</v>
      </c>
      <c r="AG529" s="75"/>
      <c r="AJ529" s="79"/>
      <c r="AK529" s="79">
        <v>0</v>
      </c>
      <c r="BB529" s="624" t="s">
        <v>1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x14ac:dyDescent="0.2">
      <c r="A530" s="654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6"/>
      <c r="P530" s="650" t="s">
        <v>72</v>
      </c>
      <c r="Q530" s="647"/>
      <c r="R530" s="647"/>
      <c r="S530" s="647"/>
      <c r="T530" s="647"/>
      <c r="U530" s="647"/>
      <c r="V530" s="648"/>
      <c r="W530" s="40" t="s">
        <v>73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x14ac:dyDescent="0.2">
      <c r="A531" s="655"/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6"/>
      <c r="P531" s="650" t="s">
        <v>72</v>
      </c>
      <c r="Q531" s="647"/>
      <c r="R531" s="647"/>
      <c r="S531" s="647"/>
      <c r="T531" s="647"/>
      <c r="U531" s="647"/>
      <c r="V531" s="648"/>
      <c r="W531" s="40" t="s">
        <v>67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customHeight="1" x14ac:dyDescent="0.25">
      <c r="A532" s="658" t="s">
        <v>147</v>
      </c>
      <c r="B532" s="655"/>
      <c r="C532" s="655"/>
      <c r="D532" s="655"/>
      <c r="E532" s="655"/>
      <c r="F532" s="655"/>
      <c r="G532" s="655"/>
      <c r="H532" s="655"/>
      <c r="I532" s="655"/>
      <c r="J532" s="655"/>
      <c r="K532" s="655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  <c r="AA532" s="63"/>
      <c r="AB532" s="63"/>
      <c r="AC532" s="63"/>
    </row>
    <row r="533" spans="1:68" ht="27" customHeight="1" x14ac:dyDescent="0.25">
      <c r="A533" s="60" t="s">
        <v>841</v>
      </c>
      <c r="B533" s="60" t="s">
        <v>842</v>
      </c>
      <c r="C533" s="34">
        <v>4301020400</v>
      </c>
      <c r="D533" s="643">
        <v>4640242180519</v>
      </c>
      <c r="E533" s="64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114</v>
      </c>
      <c r="L533" s="35"/>
      <c r="M533" s="36" t="s">
        <v>115</v>
      </c>
      <c r="N533" s="36"/>
      <c r="O533" s="35">
        <v>50</v>
      </c>
      <c r="P533" s="83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0"/>
      <c r="R533" s="640"/>
      <c r="S533" s="640"/>
      <c r="T533" s="641"/>
      <c r="U533" s="37"/>
      <c r="V533" s="37"/>
      <c r="W533" s="38" t="s">
        <v>67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/>
      <c r="AB533" s="66"/>
      <c r="AC533" s="625" t="s">
        <v>843</v>
      </c>
      <c r="AG533" s="75"/>
      <c r="AJ533" s="79"/>
      <c r="AK533" s="79">
        <v>0</v>
      </c>
      <c r="BB533" s="626" t="s">
        <v>1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x14ac:dyDescent="0.2">
      <c r="A534" s="654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0" t="s">
        <v>72</v>
      </c>
      <c r="Q534" s="647"/>
      <c r="R534" s="647"/>
      <c r="S534" s="647"/>
      <c r="T534" s="647"/>
      <c r="U534" s="647"/>
      <c r="V534" s="648"/>
      <c r="W534" s="40" t="s">
        <v>73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x14ac:dyDescent="0.2">
      <c r="A535" s="655"/>
      <c r="B535" s="655"/>
      <c r="C535" s="655"/>
      <c r="D535" s="655"/>
      <c r="E535" s="655"/>
      <c r="F535" s="655"/>
      <c r="G535" s="655"/>
      <c r="H535" s="655"/>
      <c r="I535" s="655"/>
      <c r="J535" s="655"/>
      <c r="K535" s="655"/>
      <c r="L535" s="655"/>
      <c r="M535" s="655"/>
      <c r="N535" s="655"/>
      <c r="O535" s="656"/>
      <c r="P535" s="650" t="s">
        <v>72</v>
      </c>
      <c r="Q535" s="647"/>
      <c r="R535" s="647"/>
      <c r="S535" s="647"/>
      <c r="T535" s="647"/>
      <c r="U535" s="647"/>
      <c r="V535" s="648"/>
      <c r="W535" s="40" t="s">
        <v>67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customHeight="1" x14ac:dyDescent="0.25">
      <c r="A536" s="658" t="s">
        <v>62</v>
      </c>
      <c r="B536" s="655"/>
      <c r="C536" s="655"/>
      <c r="D536" s="655"/>
      <c r="E536" s="655"/>
      <c r="F536" s="655"/>
      <c r="G536" s="655"/>
      <c r="H536" s="655"/>
      <c r="I536" s="655"/>
      <c r="J536" s="655"/>
      <c r="K536" s="655"/>
      <c r="L536" s="655"/>
      <c r="M536" s="655"/>
      <c r="N536" s="655"/>
      <c r="O536" s="655"/>
      <c r="P536" s="655"/>
      <c r="Q536" s="655"/>
      <c r="R536" s="655"/>
      <c r="S536" s="655"/>
      <c r="T536" s="655"/>
      <c r="U536" s="655"/>
      <c r="V536" s="655"/>
      <c r="W536" s="655"/>
      <c r="X536" s="655"/>
      <c r="Y536" s="655"/>
      <c r="Z536" s="655"/>
      <c r="AA536" s="63"/>
      <c r="AB536" s="63"/>
      <c r="AC536" s="63"/>
    </row>
    <row r="537" spans="1:68" ht="27" customHeight="1" x14ac:dyDescent="0.25">
      <c r="A537" s="60" t="s">
        <v>844</v>
      </c>
      <c r="B537" s="60" t="s">
        <v>845</v>
      </c>
      <c r="C537" s="34">
        <v>4301031500</v>
      </c>
      <c r="D537" s="643">
        <v>4640242180595</v>
      </c>
      <c r="E537" s="64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123</v>
      </c>
      <c r="L537" s="35"/>
      <c r="M537" s="36" t="s">
        <v>66</v>
      </c>
      <c r="N537" s="36"/>
      <c r="O537" s="35">
        <v>40</v>
      </c>
      <c r="P537" s="92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0"/>
      <c r="R537" s="640"/>
      <c r="S537" s="640"/>
      <c r="T537" s="641"/>
      <c r="U537" s="37"/>
      <c r="V537" s="37"/>
      <c r="W537" s="38" t="s">
        <v>67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/>
      <c r="AB537" s="66"/>
      <c r="AC537" s="627" t="s">
        <v>846</v>
      </c>
      <c r="AG537" s="75"/>
      <c r="AJ537" s="79"/>
      <c r="AK537" s="79">
        <v>0</v>
      </c>
      <c r="BB537" s="628" t="s">
        <v>1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x14ac:dyDescent="0.2">
      <c r="A538" s="654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0" t="s">
        <v>72</v>
      </c>
      <c r="Q538" s="647"/>
      <c r="R538" s="647"/>
      <c r="S538" s="647"/>
      <c r="T538" s="647"/>
      <c r="U538" s="647"/>
      <c r="V538" s="648"/>
      <c r="W538" s="40" t="s">
        <v>73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x14ac:dyDescent="0.2">
      <c r="A539" s="655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56"/>
      <c r="P539" s="650" t="s">
        <v>72</v>
      </c>
      <c r="Q539" s="647"/>
      <c r="R539" s="647"/>
      <c r="S539" s="647"/>
      <c r="T539" s="647"/>
      <c r="U539" s="647"/>
      <c r="V539" s="648"/>
      <c r="W539" s="40" t="s">
        <v>67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customHeight="1" x14ac:dyDescent="0.25">
      <c r="A540" s="658" t="s">
        <v>74</v>
      </c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5"/>
      <c r="P540" s="655"/>
      <c r="Q540" s="655"/>
      <c r="R540" s="655"/>
      <c r="S540" s="655"/>
      <c r="T540" s="655"/>
      <c r="U540" s="655"/>
      <c r="V540" s="655"/>
      <c r="W540" s="655"/>
      <c r="X540" s="655"/>
      <c r="Y540" s="655"/>
      <c r="Z540" s="655"/>
      <c r="AA540" s="63"/>
      <c r="AB540" s="63"/>
      <c r="AC540" s="63"/>
    </row>
    <row r="541" spans="1:68" ht="27" customHeight="1" x14ac:dyDescent="0.25">
      <c r="A541" s="60" t="s">
        <v>847</v>
      </c>
      <c r="B541" s="60" t="s">
        <v>848</v>
      </c>
      <c r="C541" s="34">
        <v>4301052043</v>
      </c>
      <c r="D541" s="643">
        <v>4640242180533</v>
      </c>
      <c r="E541" s="64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114</v>
      </c>
      <c r="L541" s="35"/>
      <c r="M541" s="36" t="s">
        <v>78</v>
      </c>
      <c r="N541" s="36"/>
      <c r="O541" s="35">
        <v>45</v>
      </c>
      <c r="P541" s="7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0"/>
      <c r="R541" s="640"/>
      <c r="S541" s="640"/>
      <c r="T541" s="641"/>
      <c r="U541" s="37"/>
      <c r="V541" s="37"/>
      <c r="W541" s="38" t="s">
        <v>67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/>
      <c r="AB541" s="66"/>
      <c r="AC541" s="629" t="s">
        <v>849</v>
      </c>
      <c r="AG541" s="75"/>
      <c r="AJ541" s="79"/>
      <c r="AK541" s="79">
        <v>0</v>
      </c>
      <c r="BB541" s="630" t="s">
        <v>1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x14ac:dyDescent="0.2">
      <c r="A542" s="654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0" t="s">
        <v>72</v>
      </c>
      <c r="Q542" s="647"/>
      <c r="R542" s="647"/>
      <c r="S542" s="647"/>
      <c r="T542" s="647"/>
      <c r="U542" s="647"/>
      <c r="V542" s="648"/>
      <c r="W542" s="40" t="s">
        <v>73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x14ac:dyDescent="0.2">
      <c r="A543" s="655"/>
      <c r="B543" s="655"/>
      <c r="C543" s="655"/>
      <c r="D543" s="655"/>
      <c r="E543" s="655"/>
      <c r="F543" s="655"/>
      <c r="G543" s="655"/>
      <c r="H543" s="655"/>
      <c r="I543" s="655"/>
      <c r="J543" s="655"/>
      <c r="K543" s="655"/>
      <c r="L543" s="655"/>
      <c r="M543" s="655"/>
      <c r="N543" s="655"/>
      <c r="O543" s="656"/>
      <c r="P543" s="650" t="s">
        <v>72</v>
      </c>
      <c r="Q543" s="647"/>
      <c r="R543" s="647"/>
      <c r="S543" s="647"/>
      <c r="T543" s="647"/>
      <c r="U543" s="647"/>
      <c r="V543" s="648"/>
      <c r="W543" s="40" t="s">
        <v>67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customHeight="1" x14ac:dyDescent="0.25">
      <c r="A544" s="658" t="s">
        <v>164</v>
      </c>
      <c r="B544" s="655"/>
      <c r="C544" s="655"/>
      <c r="D544" s="655"/>
      <c r="E544" s="655"/>
      <c r="F544" s="655"/>
      <c r="G544" s="655"/>
      <c r="H544" s="655"/>
      <c r="I544" s="655"/>
      <c r="J544" s="655"/>
      <c r="K544" s="655"/>
      <c r="L544" s="655"/>
      <c r="M544" s="655"/>
      <c r="N544" s="655"/>
      <c r="O544" s="655"/>
      <c r="P544" s="655"/>
      <c r="Q544" s="655"/>
      <c r="R544" s="655"/>
      <c r="S544" s="655"/>
      <c r="T544" s="655"/>
      <c r="U544" s="655"/>
      <c r="V544" s="655"/>
      <c r="W544" s="655"/>
      <c r="X544" s="655"/>
      <c r="Y544" s="655"/>
      <c r="Z544" s="655"/>
      <c r="AA544" s="63"/>
      <c r="AB544" s="63"/>
      <c r="AC544" s="63"/>
    </row>
    <row r="545" spans="1:68" ht="27" customHeight="1" x14ac:dyDescent="0.25">
      <c r="A545" s="60" t="s">
        <v>850</v>
      </c>
      <c r="B545" s="60" t="s">
        <v>851</v>
      </c>
      <c r="C545" s="34">
        <v>4301060535</v>
      </c>
      <c r="D545" s="643">
        <v>4640242180120</v>
      </c>
      <c r="E545" s="64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114</v>
      </c>
      <c r="L545" s="35"/>
      <c r="M545" s="36" t="s">
        <v>78</v>
      </c>
      <c r="N545" s="36"/>
      <c r="O545" s="35">
        <v>40</v>
      </c>
      <c r="P545" s="8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0"/>
      <c r="R545" s="640"/>
      <c r="S545" s="640"/>
      <c r="T545" s="641"/>
      <c r="U545" s="37"/>
      <c r="V545" s="37"/>
      <c r="W545" s="38" t="s">
        <v>67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/>
      <c r="AB545" s="66"/>
      <c r="AC545" s="631" t="s">
        <v>852</v>
      </c>
      <c r="AG545" s="75"/>
      <c r="AJ545" s="79"/>
      <c r="AK545" s="79">
        <v>0</v>
      </c>
      <c r="BB545" s="632" t="s">
        <v>1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853</v>
      </c>
      <c r="B546" s="60" t="s">
        <v>854</v>
      </c>
      <c r="C546" s="34">
        <v>4301060536</v>
      </c>
      <c r="D546" s="643">
        <v>4640242180137</v>
      </c>
      <c r="E546" s="64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114</v>
      </c>
      <c r="L546" s="35"/>
      <c r="M546" s="36" t="s">
        <v>78</v>
      </c>
      <c r="N546" s="36"/>
      <c r="O546" s="35">
        <v>40</v>
      </c>
      <c r="P546" s="89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0"/>
      <c r="R546" s="640"/>
      <c r="S546" s="640"/>
      <c r="T546" s="641"/>
      <c r="U546" s="37"/>
      <c r="V546" s="37"/>
      <c r="W546" s="38" t="s">
        <v>67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/>
      <c r="AB546" s="66"/>
      <c r="AC546" s="633" t="s">
        <v>855</v>
      </c>
      <c r="AG546" s="75"/>
      <c r="AJ546" s="79"/>
      <c r="AK546" s="79">
        <v>0</v>
      </c>
      <c r="BB546" s="634" t="s">
        <v>1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x14ac:dyDescent="0.2">
      <c r="A547" s="654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6"/>
      <c r="P547" s="650" t="s">
        <v>72</v>
      </c>
      <c r="Q547" s="647"/>
      <c r="R547" s="647"/>
      <c r="S547" s="647"/>
      <c r="T547" s="647"/>
      <c r="U547" s="647"/>
      <c r="V547" s="648"/>
      <c r="W547" s="40" t="s">
        <v>73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6"/>
      <c r="P548" s="650" t="s">
        <v>72</v>
      </c>
      <c r="Q548" s="647"/>
      <c r="R548" s="647"/>
      <c r="S548" s="647"/>
      <c r="T548" s="647"/>
      <c r="U548" s="647"/>
      <c r="V548" s="648"/>
      <c r="W548" s="40" t="s">
        <v>67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customHeight="1" x14ac:dyDescent="0.25">
      <c r="A549" s="657" t="s">
        <v>856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2"/>
      <c r="AB549" s="62"/>
      <c r="AC549" s="62"/>
    </row>
    <row r="550" spans="1:68" ht="14.25" customHeight="1" x14ac:dyDescent="0.25">
      <c r="A550" s="658" t="s">
        <v>147</v>
      </c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  <c r="AA550" s="63"/>
      <c r="AB550" s="63"/>
      <c r="AC550" s="63"/>
    </row>
    <row r="551" spans="1:68" ht="27" customHeight="1" x14ac:dyDescent="0.25">
      <c r="A551" s="60" t="s">
        <v>857</v>
      </c>
      <c r="B551" s="60" t="s">
        <v>858</v>
      </c>
      <c r="C551" s="34">
        <v>4301020428</v>
      </c>
      <c r="D551" s="643">
        <v>4640242180090</v>
      </c>
      <c r="E551" s="64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114</v>
      </c>
      <c r="L551" s="35"/>
      <c r="M551" s="36" t="s">
        <v>115</v>
      </c>
      <c r="N551" s="36"/>
      <c r="O551" s="35">
        <v>50</v>
      </c>
      <c r="P551" s="74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0"/>
      <c r="R551" s="640"/>
      <c r="S551" s="640"/>
      <c r="T551" s="641"/>
      <c r="U551" s="37"/>
      <c r="V551" s="37"/>
      <c r="W551" s="38" t="s">
        <v>67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/>
      <c r="AB551" s="66"/>
      <c r="AC551" s="635" t="s">
        <v>859</v>
      </c>
      <c r="AG551" s="75"/>
      <c r="AJ551" s="79"/>
      <c r="AK551" s="79">
        <v>0</v>
      </c>
      <c r="BB551" s="636" t="s">
        <v>1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x14ac:dyDescent="0.2">
      <c r="A552" s="654"/>
      <c r="B552" s="655"/>
      <c r="C552" s="655"/>
      <c r="D552" s="655"/>
      <c r="E552" s="655"/>
      <c r="F552" s="655"/>
      <c r="G552" s="655"/>
      <c r="H552" s="655"/>
      <c r="I552" s="655"/>
      <c r="J552" s="655"/>
      <c r="K552" s="655"/>
      <c r="L552" s="655"/>
      <c r="M552" s="655"/>
      <c r="N552" s="655"/>
      <c r="O552" s="656"/>
      <c r="P552" s="650" t="s">
        <v>72</v>
      </c>
      <c r="Q552" s="647"/>
      <c r="R552" s="647"/>
      <c r="S552" s="647"/>
      <c r="T552" s="647"/>
      <c r="U552" s="647"/>
      <c r="V552" s="648"/>
      <c r="W552" s="40" t="s">
        <v>73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x14ac:dyDescent="0.2">
      <c r="A553" s="655"/>
      <c r="B553" s="655"/>
      <c r="C553" s="655"/>
      <c r="D553" s="655"/>
      <c r="E553" s="655"/>
      <c r="F553" s="655"/>
      <c r="G553" s="655"/>
      <c r="H553" s="655"/>
      <c r="I553" s="655"/>
      <c r="J553" s="655"/>
      <c r="K553" s="655"/>
      <c r="L553" s="655"/>
      <c r="M553" s="655"/>
      <c r="N553" s="655"/>
      <c r="O553" s="656"/>
      <c r="P553" s="650" t="s">
        <v>72</v>
      </c>
      <c r="Q553" s="647"/>
      <c r="R553" s="647"/>
      <c r="S553" s="647"/>
      <c r="T553" s="647"/>
      <c r="U553" s="647"/>
      <c r="V553" s="648"/>
      <c r="W553" s="40" t="s">
        <v>67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948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833"/>
      <c r="P554" s="736" t="s">
        <v>860</v>
      </c>
      <c r="Q554" s="737"/>
      <c r="R554" s="737"/>
      <c r="S554" s="737"/>
      <c r="T554" s="737"/>
      <c r="U554" s="737"/>
      <c r="V554" s="683"/>
      <c r="W554" s="40" t="s">
        <v>67</v>
      </c>
      <c r="X554" s="41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1260</v>
      </c>
      <c r="Y554" s="41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1292.28</v>
      </c>
      <c r="Z554" s="40"/>
      <c r="AA554" s="64"/>
      <c r="AB554" s="64"/>
      <c r="AC554" s="64"/>
    </row>
    <row r="555" spans="1:68" x14ac:dyDescent="0.2">
      <c r="A555" s="655"/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833"/>
      <c r="P555" s="736" t="s">
        <v>861</v>
      </c>
      <c r="Q555" s="737"/>
      <c r="R555" s="737"/>
      <c r="S555" s="737"/>
      <c r="T555" s="737"/>
      <c r="U555" s="737"/>
      <c r="V555" s="683"/>
      <c r="W555" s="40" t="s">
        <v>67</v>
      </c>
      <c r="X555" s="41">
        <f>IFERROR(SUM(BM22:BM551),"0")</f>
        <v>1320.9447250280582</v>
      </c>
      <c r="Y555" s="41">
        <f>IFERROR(SUM(BN22:BN551),"0")</f>
        <v>1354.76</v>
      </c>
      <c r="Z555" s="40"/>
      <c r="AA555" s="64"/>
      <c r="AB555" s="64"/>
      <c r="AC555" s="64"/>
    </row>
    <row r="556" spans="1:68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833"/>
      <c r="P556" s="736" t="s">
        <v>862</v>
      </c>
      <c r="Q556" s="737"/>
      <c r="R556" s="737"/>
      <c r="S556" s="737"/>
      <c r="T556" s="737"/>
      <c r="U556" s="737"/>
      <c r="V556" s="683"/>
      <c r="W556" s="40" t="s">
        <v>863</v>
      </c>
      <c r="X556" s="42">
        <f>ROUNDUP(SUM(BO22:BO551),0)</f>
        <v>3</v>
      </c>
      <c r="Y556" s="42">
        <f>ROUNDUP(SUM(BP22:BP551),0)</f>
        <v>3</v>
      </c>
      <c r="Z556" s="40"/>
      <c r="AA556" s="64"/>
      <c r="AB556" s="64"/>
      <c r="AC556" s="64"/>
    </row>
    <row r="557" spans="1:68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833"/>
      <c r="P557" s="736" t="s">
        <v>864</v>
      </c>
      <c r="Q557" s="737"/>
      <c r="R557" s="737"/>
      <c r="S557" s="737"/>
      <c r="T557" s="737"/>
      <c r="U557" s="737"/>
      <c r="V557" s="683"/>
      <c r="W557" s="40" t="s">
        <v>67</v>
      </c>
      <c r="X557" s="41">
        <f>GrossWeightTotal+PalletQtyTotal*25</f>
        <v>1395.9447250280582</v>
      </c>
      <c r="Y557" s="41">
        <f>GrossWeightTotalR+PalletQtyTotalR*25</f>
        <v>1429.76</v>
      </c>
      <c r="Z557" s="40"/>
      <c r="AA557" s="64"/>
      <c r="AB557" s="64"/>
      <c r="AC557" s="64"/>
    </row>
    <row r="558" spans="1:68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833"/>
      <c r="P558" s="736" t="s">
        <v>865</v>
      </c>
      <c r="Q558" s="737"/>
      <c r="R558" s="737"/>
      <c r="S558" s="737"/>
      <c r="T558" s="737"/>
      <c r="U558" s="737"/>
      <c r="V558" s="683"/>
      <c r="W558" s="40" t="s">
        <v>863</v>
      </c>
      <c r="X558" s="41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141.21773288439957</v>
      </c>
      <c r="Y558" s="41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145</v>
      </c>
      <c r="Z558" s="40"/>
      <c r="AA558" s="64"/>
      <c r="AB558" s="64"/>
      <c r="AC558" s="64"/>
    </row>
    <row r="559" spans="1:68" ht="14.25" customHeight="1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833"/>
      <c r="P559" s="736" t="s">
        <v>866</v>
      </c>
      <c r="Q559" s="737"/>
      <c r="R559" s="737"/>
      <c r="S559" s="737"/>
      <c r="T559" s="737"/>
      <c r="U559" s="737"/>
      <c r="V559" s="683"/>
      <c r="W559" s="43" t="s">
        <v>867</v>
      </c>
      <c r="X559" s="40"/>
      <c r="Y559" s="40"/>
      <c r="Z559" s="40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2.4882599999999999</v>
      </c>
      <c r="AA559" s="64"/>
      <c r="AB559" s="64"/>
      <c r="AC559" s="64"/>
    </row>
    <row r="560" spans="1:68" ht="13.5" customHeight="1" thickBot="1" x14ac:dyDescent="0.25"/>
    <row r="561" spans="1:32" ht="27" customHeight="1" thickTop="1" thickBot="1" x14ac:dyDescent="0.25">
      <c r="A561" s="44" t="s">
        <v>868</v>
      </c>
      <c r="B561" s="80" t="s">
        <v>61</v>
      </c>
      <c r="C561" s="80" t="s">
        <v>92</v>
      </c>
      <c r="D561" s="651" t="s">
        <v>109</v>
      </c>
      <c r="E561" s="826"/>
      <c r="F561" s="826"/>
      <c r="G561" s="826"/>
      <c r="H561" s="826"/>
      <c r="I561" s="826"/>
      <c r="J561" s="663"/>
      <c r="K561" s="651" t="s">
        <v>342</v>
      </c>
      <c r="L561" s="826"/>
      <c r="M561" s="826"/>
      <c r="N561" s="826"/>
      <c r="O561" s="826"/>
      <c r="P561" s="826"/>
      <c r="Q561" s="826"/>
      <c r="R561" s="826"/>
      <c r="S561" s="826"/>
      <c r="T561" s="826"/>
      <c r="U561" s="826"/>
      <c r="V561" s="663"/>
      <c r="W561" s="651" t="s">
        <v>688</v>
      </c>
      <c r="X561" s="663"/>
      <c r="Y561" s="651" t="s">
        <v>754</v>
      </c>
      <c r="Z561" s="663"/>
      <c r="AA561" s="80" t="s">
        <v>790</v>
      </c>
      <c r="AB561" s="651" t="s">
        <v>837</v>
      </c>
      <c r="AC561" s="663"/>
      <c r="AF561" s="1"/>
    </row>
    <row r="562" spans="1:32" ht="14.25" customHeight="1" thickTop="1" x14ac:dyDescent="0.2">
      <c r="A562" s="941" t="s">
        <v>869</v>
      </c>
      <c r="B562" s="651" t="s">
        <v>61</v>
      </c>
      <c r="C562" s="651" t="s">
        <v>93</v>
      </c>
      <c r="D562" s="651" t="s">
        <v>110</v>
      </c>
      <c r="E562" s="651" t="s">
        <v>126</v>
      </c>
      <c r="F562" s="651" t="s">
        <v>171</v>
      </c>
      <c r="G562" s="651" t="s">
        <v>192</v>
      </c>
      <c r="H562" s="651" t="s">
        <v>232</v>
      </c>
      <c r="I562" s="651" t="s">
        <v>256</v>
      </c>
      <c r="J562" s="651" t="s">
        <v>109</v>
      </c>
      <c r="K562" s="651" t="s">
        <v>343</v>
      </c>
      <c r="L562" s="651" t="s">
        <v>364</v>
      </c>
      <c r="M562" s="651" t="s">
        <v>431</v>
      </c>
      <c r="N562" s="1"/>
      <c r="O562" s="651" t="s">
        <v>499</v>
      </c>
      <c r="P562" s="651" t="s">
        <v>532</v>
      </c>
      <c r="Q562" s="651" t="s">
        <v>548</v>
      </c>
      <c r="R562" s="651" t="s">
        <v>557</v>
      </c>
      <c r="S562" s="651" t="s">
        <v>578</v>
      </c>
      <c r="T562" s="651" t="s">
        <v>587</v>
      </c>
      <c r="U562" s="651" t="s">
        <v>668</v>
      </c>
      <c r="V562" s="651" t="s">
        <v>678</v>
      </c>
      <c r="W562" s="651" t="s">
        <v>689</v>
      </c>
      <c r="X562" s="651" t="s">
        <v>738</v>
      </c>
      <c r="Y562" s="651" t="s">
        <v>755</v>
      </c>
      <c r="Z562" s="651" t="s">
        <v>778</v>
      </c>
      <c r="AA562" s="651" t="s">
        <v>790</v>
      </c>
      <c r="AB562" s="651" t="s">
        <v>837</v>
      </c>
      <c r="AC562" s="651" t="s">
        <v>856</v>
      </c>
      <c r="AF562" s="1"/>
    </row>
    <row r="563" spans="1:32" ht="13.5" customHeight="1" thickBot="1" x14ac:dyDescent="0.25">
      <c r="A563" s="942"/>
      <c r="B563" s="652"/>
      <c r="C563" s="652"/>
      <c r="D563" s="652"/>
      <c r="E563" s="652"/>
      <c r="F563" s="652"/>
      <c r="G563" s="652"/>
      <c r="H563" s="652"/>
      <c r="I563" s="652"/>
      <c r="J563" s="652"/>
      <c r="K563" s="652"/>
      <c r="L563" s="652"/>
      <c r="M563" s="652"/>
      <c r="N563" s="1"/>
      <c r="O563" s="652"/>
      <c r="P563" s="652"/>
      <c r="Q563" s="652"/>
      <c r="R563" s="652"/>
      <c r="S563" s="652"/>
      <c r="T563" s="652"/>
      <c r="U563" s="652"/>
      <c r="V563" s="652"/>
      <c r="W563" s="652"/>
      <c r="X563" s="652"/>
      <c r="Y563" s="652"/>
      <c r="Z563" s="652"/>
      <c r="AA563" s="652"/>
      <c r="AB563" s="652"/>
      <c r="AC563" s="652"/>
      <c r="AF563" s="1"/>
    </row>
    <row r="564" spans="1:32" ht="18" customHeight="1" thickTop="1" thickBot="1" x14ac:dyDescent="0.25">
      <c r="A564" s="44" t="s">
        <v>870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108</v>
      </c>
      <c r="E564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0">
        <f>IFERROR(Y84*1,"0")+IFERROR(Y85*1,"0")+IFERROR(Y86*1,"0")+IFERROR(Y87*1,"0")+IFERROR(Y91*1,"0")+IFERROR(Y92*1,"0")+IFERROR(Y93*1,"0")+IFERROR(Y94*1,"0")</f>
        <v>202.5</v>
      </c>
      <c r="G564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202.5</v>
      </c>
      <c r="H564" s="50">
        <f>IFERROR(Y129*1,"0")+IFERROR(Y130*1,"0")+IFERROR(Y131*1,"0")+IFERROR(Y135*1,"0")+IFERROR(Y136*1,"0")+IFERROR(Y137*1,"0")+IFERROR(Y138*1,"0")+IFERROR(Y142*1,"0")+IFERROR(Y143*1,"0")+IFERROR(Y144*1,"0")</f>
        <v>0</v>
      </c>
      <c r="I564" s="50">
        <f>IFERROR(Y149*1,"0")+IFERROR(Y150*1,"0")+IFERROR(Y151*1,"0")+IFERROR(Y152*1,"0")+IFERROR(Y153*1,"0")+IFERROR(Y154*1,"0")+IFERROR(Y155*1,"0")+IFERROR(Y159*1,"0")</f>
        <v>0</v>
      </c>
      <c r="J564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0">
        <f>IFERROR(Y206*1,"0")+IFERROR(Y207*1,"0")+IFERROR(Y208*1,"0")+IFERROR(Y209*1,"0")+IFERROR(Y210*1,"0")+IFERROR(Y211*1,"0")+IFERROR(Y212*1,"0")</f>
        <v>0</v>
      </c>
      <c r="L564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0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0">
        <f>IFERROR(Y324*1,"0")+IFERROR(Y325*1,"0")+IFERROR(Y326*1,"0")+IFERROR(Y327*1,"0")+IFERROR(Y328*1,"0")</f>
        <v>0</v>
      </c>
      <c r="Q564" s="50">
        <f>IFERROR(Y333*1,"0")+IFERROR(Y334*1,"0")+IFERROR(Y335*1,"0")</f>
        <v>0</v>
      </c>
      <c r="R564" s="50">
        <f>IFERROR(Y340*1,"0")+IFERROR(Y341*1,"0")+IFERROR(Y342*1,"0")+IFERROR(Y343*1,"0")+IFERROR(Y344*1,"0")+IFERROR(Y348*1,"0")+IFERROR(Y349*1,"0")</f>
        <v>0</v>
      </c>
      <c r="S564" s="50">
        <f>IFERROR(Y354*1,"0")+IFERROR(Y355*1,"0")+IFERROR(Y356*1,"0")</f>
        <v>0</v>
      </c>
      <c r="T564" s="50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510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269.28000000000003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1" t="s">
        <v>872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873</v>
      </c>
      <c r="C6" s="51" t="s">
        <v>874</v>
      </c>
      <c r="D6" s="51" t="s">
        <v>875</v>
      </c>
      <c r="E6" s="51"/>
    </row>
    <row r="7" spans="2:8" x14ac:dyDescent="0.2">
      <c r="B7" s="51" t="s">
        <v>876</v>
      </c>
      <c r="C7" s="51" t="s">
        <v>877</v>
      </c>
      <c r="D7" s="51" t="s">
        <v>878</v>
      </c>
      <c r="E7" s="51"/>
    </row>
    <row r="8" spans="2:8" x14ac:dyDescent="0.2">
      <c r="B8" s="51" t="s">
        <v>879</v>
      </c>
      <c r="C8" s="51" t="s">
        <v>880</v>
      </c>
      <c r="D8" s="51" t="s">
        <v>881</v>
      </c>
      <c r="E8" s="51"/>
    </row>
    <row r="9" spans="2:8" x14ac:dyDescent="0.2">
      <c r="B9" s="51" t="s">
        <v>882</v>
      </c>
      <c r="C9" s="51" t="s">
        <v>883</v>
      </c>
      <c r="D9" s="51" t="s">
        <v>884</v>
      </c>
      <c r="E9" s="51"/>
    </row>
    <row r="10" spans="2:8" x14ac:dyDescent="0.2">
      <c r="B10" s="51" t="s">
        <v>885</v>
      </c>
      <c r="C10" s="51" t="s">
        <v>886</v>
      </c>
      <c r="D10" s="51" t="s">
        <v>887</v>
      </c>
      <c r="E10" s="51"/>
    </row>
    <row r="11" spans="2:8" x14ac:dyDescent="0.2">
      <c r="B11" s="51" t="s">
        <v>888</v>
      </c>
      <c r="C11" s="51" t="s">
        <v>889</v>
      </c>
      <c r="D11" s="51" t="s">
        <v>890</v>
      </c>
      <c r="E11" s="51"/>
    </row>
    <row r="12" spans="2:8" x14ac:dyDescent="0.2">
      <c r="B12" s="51" t="s">
        <v>891</v>
      </c>
      <c r="C12" s="51" t="s">
        <v>892</v>
      </c>
      <c r="D12" s="51" t="s">
        <v>893</v>
      </c>
      <c r="E12" s="51"/>
    </row>
    <row r="14" spans="2:8" x14ac:dyDescent="0.2">
      <c r="B14" s="51" t="s">
        <v>894</v>
      </c>
      <c r="C14" s="51" t="s">
        <v>874</v>
      </c>
      <c r="D14" s="51"/>
      <c r="E14" s="51"/>
    </row>
    <row r="16" spans="2:8" x14ac:dyDescent="0.2">
      <c r="B16" s="51" t="s">
        <v>895</v>
      </c>
      <c r="C16" s="51" t="s">
        <v>877</v>
      </c>
      <c r="D16" s="51"/>
      <c r="E16" s="51"/>
    </row>
    <row r="18" spans="2:5" x14ac:dyDescent="0.2">
      <c r="B18" s="51" t="s">
        <v>896</v>
      </c>
      <c r="C18" s="51" t="s">
        <v>880</v>
      </c>
      <c r="D18" s="51"/>
      <c r="E18" s="51"/>
    </row>
    <row r="20" spans="2:5" x14ac:dyDescent="0.2">
      <c r="B20" s="51" t="s">
        <v>897</v>
      </c>
      <c r="C20" s="51" t="s">
        <v>883</v>
      </c>
      <c r="D20" s="51"/>
      <c r="E20" s="51"/>
    </row>
    <row r="22" spans="2:5" x14ac:dyDescent="0.2">
      <c r="B22" s="51" t="s">
        <v>898</v>
      </c>
      <c r="C22" s="51" t="s">
        <v>886</v>
      </c>
      <c r="D22" s="51"/>
      <c r="E22" s="51"/>
    </row>
    <row r="24" spans="2:5" x14ac:dyDescent="0.2">
      <c r="B24" s="51" t="s">
        <v>899</v>
      </c>
      <c r="C24" s="51" t="s">
        <v>889</v>
      </c>
      <c r="D24" s="51"/>
      <c r="E24" s="51"/>
    </row>
    <row r="26" spans="2:5" x14ac:dyDescent="0.2">
      <c r="B26" s="51" t="s">
        <v>900</v>
      </c>
      <c r="C26" s="51" t="s">
        <v>892</v>
      </c>
      <c r="D26" s="51"/>
      <c r="E26" s="51"/>
    </row>
    <row r="28" spans="2:5" x14ac:dyDescent="0.2">
      <c r="B28" s="51" t="s">
        <v>901</v>
      </c>
      <c r="C28" s="51"/>
      <c r="D28" s="51"/>
      <c r="E28" s="51"/>
    </row>
    <row r="29" spans="2:5" x14ac:dyDescent="0.2">
      <c r="B29" s="51" t="s">
        <v>902</v>
      </c>
      <c r="C29" s="51"/>
      <c r="D29" s="51"/>
      <c r="E29" s="51"/>
    </row>
    <row r="30" spans="2:5" x14ac:dyDescent="0.2">
      <c r="B30" s="51" t="s">
        <v>903</v>
      </c>
      <c r="C30" s="51"/>
      <c r="D30" s="51"/>
      <c r="E30" s="51"/>
    </row>
    <row r="31" spans="2:5" x14ac:dyDescent="0.2">
      <c r="B31" s="51" t="s">
        <v>904</v>
      </c>
      <c r="C31" s="51"/>
      <c r="D31" s="51"/>
      <c r="E31" s="51"/>
    </row>
    <row r="32" spans="2:5" x14ac:dyDescent="0.2">
      <c r="B32" s="51" t="s">
        <v>905</v>
      </c>
      <c r="C32" s="51"/>
      <c r="D32" s="51"/>
      <c r="E32" s="51"/>
    </row>
    <row r="33" spans="2:5" x14ac:dyDescent="0.2">
      <c r="B33" s="51" t="s">
        <v>906</v>
      </c>
      <c r="C33" s="51"/>
      <c r="D33" s="51"/>
      <c r="E33" s="51"/>
    </row>
    <row r="34" spans="2:5" x14ac:dyDescent="0.2">
      <c r="B34" s="51" t="s">
        <v>907</v>
      </c>
      <c r="C34" s="51"/>
      <c r="D34" s="51"/>
      <c r="E34" s="51"/>
    </row>
    <row r="35" spans="2:5" x14ac:dyDescent="0.2">
      <c r="B35" s="51" t="s">
        <v>908</v>
      </c>
      <c r="C35" s="51"/>
      <c r="D35" s="51"/>
      <c r="E35" s="51"/>
    </row>
    <row r="36" spans="2:5" x14ac:dyDescent="0.2">
      <c r="B36" s="51" t="s">
        <v>909</v>
      </c>
      <c r="C36" s="51"/>
      <c r="D36" s="51"/>
      <c r="E36" s="51"/>
    </row>
    <row r="37" spans="2:5" x14ac:dyDescent="0.2">
      <c r="B37" s="51" t="s">
        <v>910</v>
      </c>
      <c r="C37" s="51"/>
      <c r="D37" s="51"/>
      <c r="E37" s="51"/>
    </row>
    <row r="38" spans="2:5" x14ac:dyDescent="0.2">
      <c r="B38" s="51" t="s">
        <v>911</v>
      </c>
      <c r="C38" s="51"/>
      <c r="D38" s="51"/>
      <c r="E38" s="51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2026-08-15T04:35:30Z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