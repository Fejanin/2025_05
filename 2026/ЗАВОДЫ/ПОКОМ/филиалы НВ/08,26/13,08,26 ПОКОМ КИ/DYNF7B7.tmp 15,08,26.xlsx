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685BDF-438D-4042-8CBB-7C3B4AE508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</sheets>
  <calcPr calcId="191029"/>
  <pivotCaches>
    <pivotCache cacheId="0" r:id="rId2"/>
  </pivotCaches>
</workbook>
</file>

<file path=xl/calcChain.xml><?xml version="1.0" encoding="utf-8"?>
<calcChain xmlns="http://schemas.openxmlformats.org/spreadsheetml/2006/main">
  <c r="J192" i="2" l="1"/>
  <c r="I192" i="2"/>
  <c r="J117" i="2"/>
  <c r="I117" i="2"/>
  <c r="J110" i="2"/>
  <c r="I110" i="2"/>
  <c r="J100" i="2"/>
  <c r="I100" i="2"/>
  <c r="J59" i="2"/>
  <c r="I59" i="2"/>
  <c r="J4" i="2"/>
  <c r="I4" i="2"/>
</calcChain>
</file>

<file path=xl/sharedStrings.xml><?xml version="1.0" encoding="utf-8"?>
<sst xmlns="http://schemas.openxmlformats.org/spreadsheetml/2006/main" count="479" uniqueCount="226">
  <si>
    <t>Запрошенная дата отгрузки</t>
  </si>
  <si>
    <t>Внешний код клиента</t>
  </si>
  <si>
    <t>Код единицы продаж</t>
  </si>
  <si>
    <t>Наименование для бланков</t>
  </si>
  <si>
    <t>Внешний номер заказа</t>
  </si>
  <si>
    <t>НВМелСемен</t>
  </si>
  <si>
    <t>SU001485</t>
  </si>
  <si>
    <t>Вареные колбасы Докторская ГОСТ Вязанка Фикс.вес 0,4 Вектор Вязанка</t>
  </si>
  <si>
    <t>6292219</t>
  </si>
  <si>
    <t>SU002835</t>
  </si>
  <si>
    <t>Сардельки «Филейские» Весовые н/о мгс ТМ «Вязанка»</t>
  </si>
  <si>
    <t>SU001523</t>
  </si>
  <si>
    <t>Сосиски «Молокуши (Вязанка Молочные)» Весовой п/а мгс ТМ «Вязанка»</t>
  </si>
  <si>
    <t>SU001718</t>
  </si>
  <si>
    <t>Сосиски «Молокуши» ф/в 0,45 п/а мгс ТМ «Вязанка»</t>
  </si>
  <si>
    <t>SU001721</t>
  </si>
  <si>
    <t>Сосиски «Сливочные Вязанка» Весовой п/а мгс ТМ «Вязанка»</t>
  </si>
  <si>
    <t>SU001720</t>
  </si>
  <si>
    <t>Сосиски «Сливочные» ф/в 0,45 п/а мгс ТМ «Вязанка»</t>
  </si>
  <si>
    <t>SU002367</t>
  </si>
  <si>
    <t>Сардельки «Сливушки» фикс.вес 0,33 п/а мгс ТМ «Вязанка»</t>
  </si>
  <si>
    <t>SU004041</t>
  </si>
  <si>
    <t>Копченые колбасы «Балыковая» Весовой фиброуз ТМ «Вязанка»</t>
  </si>
  <si>
    <t>SU004045</t>
  </si>
  <si>
    <t>Копченые колбасы «Сервелат Финский» Фикс.вес 0,28 фиброуз срез ТМ «Вязанка»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</si>
  <si>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</si>
  <si>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</si>
  <si>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SU003829</t>
  </si>
  <si>
    <t>Копченые колбасы «Сервелат Мясорубский Делюкс» Фикс.вес 0,3 фиброуз ТМ «Стародворье»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</si>
  <si>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</si>
  <si>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</si>
  <si>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</si>
  <si>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</si>
  <si>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</si>
  <si>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</si>
  <si>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</si>
  <si>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</si>
  <si>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</si>
  <si>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</si>
  <si>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</si>
  <si>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</si>
  <si>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SU002843</t>
  </si>
  <si>
    <t>Сосиски «Сочинки Молочные» Весовой п/а мгс ТМ «Стародворье»</t>
  </si>
  <si>
    <t>SU002845</t>
  </si>
  <si>
    <t>Сосиски «Сочинки Сливочные» Весовые ТМ «Стародворье» 1,35 кг</t>
  </si>
  <si>
    <t>SU002725</t>
  </si>
  <si>
    <t>Сосиски «Сочинки» Весовой п/а ТМ «Стародворье»</t>
  </si>
  <si>
    <t>SU002842</t>
  </si>
  <si>
    <t>Сосиски «Сочинки Молочные» Фикс.вес 0,4 п/а мгс ТМ «Стародворье»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</si>
  <si>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</si>
  <si>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</si>
  <si>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</si>
  <si>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</si>
  <si>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SU002686</t>
  </si>
  <si>
    <t>Сосиски Сочинки с сыром Бордо ф/в 0,4 кг п/а Стародворье</t>
  </si>
  <si>
    <t>SU002844</t>
  </si>
  <si>
    <t>Сосиски «Сочинки Сливочные» Фикс.вес 0,4 п/а мгс ТМ «Стародворье»</t>
  </si>
  <si>
    <t>SU002759</t>
  </si>
  <si>
    <t>Сардельки «Сочинки с сыром» Фикс.вес 0,4 п/а ТМ «Стародворье»</t>
  </si>
  <si>
    <t>SU002758</t>
  </si>
  <si>
    <t>Сардельки «Сочинки» Фикс.вес 0,4 п/а ТМ «Стародворье»</t>
  </si>
  <si>
    <t>SU002801</t>
  </si>
  <si>
    <t>Сосиски «Сочинки по-баварски с сыром»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</si>
  <si>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</si>
  <si>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</si>
  <si>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SU004103</t>
  </si>
  <si>
    <t>Вареные колбасы «Молочная» Весовой п/а ТМ «Стародворье»</t>
  </si>
  <si>
    <t>SU004104</t>
  </si>
  <si>
    <t>Вареные колбасы «Мясная» Весовой п/а ТМ «Стародворье»</t>
  </si>
  <si>
    <t>SU000227</t>
  </si>
  <si>
    <t>Сардельки «Стародворские с говядиной» Весовые NDX ТМ «Стародворье»</t>
  </si>
  <si>
    <t>SU001920</t>
  </si>
  <si>
    <t>С/к колбасы Княжеская Бордо Весовые б/о терм/п Стародворье</t>
  </si>
  <si>
    <t>SU000126</t>
  </si>
  <si>
    <t>Ветчины Нежная Особая Особая Весовые П/а Особый рецепт большой батон</t>
  </si>
  <si>
    <t>SU002287</t>
  </si>
  <si>
    <t>Сардельки «Сочные» Весовой п/а ТМ «Особый рецепт»</t>
  </si>
  <si>
    <t>SU002074</t>
  </si>
  <si>
    <t>Сосиски «Молочные для завтрака» Весовой п/а ТМ «Особый рецепт»</t>
  </si>
  <si>
    <t>SU002205</t>
  </si>
  <si>
    <t>Сосиски «Молочные для завтрака» Фикс.вес 0,4 П/а мгс ТМ «Особый рецепт»</t>
  </si>
  <si>
    <t>SU002631</t>
  </si>
  <si>
    <t>Вареные колбасы «Молочная Дугушка» Фикс.вес 0,6 П/а ТМ «Дугушка»</t>
  </si>
  <si>
    <t>SU002158</t>
  </si>
  <si>
    <t>В/к колбасы «Салями Запеченая» Весовые ТМ «Дугушка»</t>
  </si>
  <si>
    <t>SU002655</t>
  </si>
  <si>
    <t>Сосиски «Датские» Весовой п/а ТМ «Зареченские продукты»</t>
  </si>
  <si>
    <t>SU000722</t>
  </si>
  <si>
    <t>Вареные колбасы Докторская ГОСТ Вязанка Весовые Вектор Вязанка</t>
  </si>
  <si>
    <t>SU002928</t>
  </si>
  <si>
    <t>Вареные колбасы «Сливушка» Вес П/а ТМ «Вязанка»</t>
  </si>
  <si>
    <t>6292222</t>
  </si>
  <si>
    <t>SU003423</t>
  </si>
  <si>
    <t>Вареные колбасы «Со шпиком» Весовой п/а ТМ «Особый рецепт» большой батон</t>
  </si>
  <si>
    <t>SU004238</t>
  </si>
  <si>
    <t>Вареные колбасы «Докторская Классическая» Весовой п/а ТМ «Особый рецепт»</t>
  </si>
  <si>
    <t>SU002634</t>
  </si>
  <si>
    <t>Вареные колбасы «Дугушка Стародворская» Вес п/а ТМ «Дугушка»</t>
  </si>
  <si>
    <t>SU002010</t>
  </si>
  <si>
    <t>Вареные колбасы «Молочная Дугушка» Весовые Вектор ТМ «Дугушка»</t>
  </si>
  <si>
    <t>SU002035</t>
  </si>
  <si>
    <t>Ветчины Дугушка Дугушка Вес б/о Дугушка</t>
  </si>
  <si>
    <t>НВТрояны</t>
  </si>
  <si>
    <t>SU002828</t>
  </si>
  <si>
    <t>Ветчины «Филейская» Весовые Вектор ТМ «Вязанка»</t>
  </si>
  <si>
    <t>6292214</t>
  </si>
  <si>
    <t>SU002833</t>
  </si>
  <si>
    <t>Ветчины «Сливушка с индейкой» Весовой п/а ТМ «Вязанка»</t>
  </si>
  <si>
    <t>SU002735</t>
  </si>
  <si>
    <t>Ветчины «Сливушка с индейкой» Фикс.вес 0,4 п/а ТМ «Вязанка»</t>
  </si>
  <si>
    <t>SU002983</t>
  </si>
  <si>
    <t>Колбаса вареная Мусульманская ТМ Вязанка Халяль вектор ф/в 0,4 кг Казахстан АК</t>
  </si>
  <si>
    <t>SU002984</t>
  </si>
  <si>
    <t>Сосиски Восточные халяль ТМ Вязанка полиамид в/у ф/в 0,33 кг Казахстан АК</t>
  </si>
  <si>
    <t>SU004047</t>
  </si>
  <si>
    <t>Копченые колбасы «Сервелат Финский» Весовой фиброуз ТМ «Вязанка»</t>
  </si>
  <si>
    <t>SU004044</t>
  </si>
  <si>
    <t>Копченые колбасы «Сервелат Ореховый» Весовой фиброуз ТМ «Вязанка»</t>
  </si>
  <si>
    <t>SU004039</t>
  </si>
  <si>
    <t>Копченые колбасы «Балыковая» Фикс.вес 0,28 фиброуз срез ТМ «Вязанка»</t>
  </si>
  <si>
    <t>SU002847</t>
  </si>
  <si>
    <t>В/к колбасы Сервелат Мясорубский с мелкорубленным окороком Бордо Весовой фиброуз Стародворье</t>
  </si>
  <si>
    <t>SU003178</t>
  </si>
  <si>
    <t>Копченые колбасы «Сервелат Мясорубский» Фикс.вес 0,08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</si>
  <si>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</si>
  <si>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</si>
  <si>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</si>
  <si>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</si>
  <si>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</si>
  <si>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</si>
  <si>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SU003921</t>
  </si>
  <si>
    <t>Деликатесы в/к «Грудинка копчено-вареная» Фикс.вес 0,12 нарезка ТМ «Стародворье»</t>
  </si>
  <si>
    <t>SU002252</t>
  </si>
  <si>
    <t>П/к колбасы Кракушка пряная с сальцем Бавария Фикс.вес 0,3 н/о в/у Стародворье</t>
  </si>
  <si>
    <t>SU001430</t>
  </si>
  <si>
    <t>Сардельки «Шпикачки Стародворские» Весовой NDX ТМ «Стародворье»</t>
  </si>
  <si>
    <t>SU001921</t>
  </si>
  <si>
    <t>С/к колбасы Салями Охотничья Бордо Весовые б/о терм/п 180 Стародворье</t>
  </si>
  <si>
    <t>SU002092</t>
  </si>
  <si>
    <t>С/к колбасы Баварская Бавария Фикс.вес 0,17 б/о терм/п Стародворье</t>
  </si>
  <si>
    <t>SU001869</t>
  </si>
  <si>
    <t>С/к колбасы Швейцарская Бордо Фикс.вес 0,17 Фиброуз терм/п Стародворье</t>
  </si>
  <si>
    <t>SU004146</t>
  </si>
  <si>
    <t>Консервы «Буженина в пряном маринаде» Фикс.вес 0,25 ТМ «Стародворье»</t>
  </si>
  <si>
    <t>SU000246</t>
  </si>
  <si>
    <t>Сосиски «Молочные оригинальные» Весовой п/а ТМ «Особый рецепт»</t>
  </si>
  <si>
    <t>SU002643</t>
  </si>
  <si>
    <t>Ветчины «Дугушка» Фикс.вес 0,6 полиамид ТМ «Дугушка»</t>
  </si>
  <si>
    <t>SU002150</t>
  </si>
  <si>
    <t>В/к колбасы «Рубленая Запеченная» Весовые Вектор ТМ «Дугушка»</t>
  </si>
  <si>
    <t>НВЛугРабоч</t>
  </si>
  <si>
    <t>SU002986</t>
  </si>
  <si>
    <t>Вареные колбасы «Докторская ГОСТ» Фикс.вес 0,37 п/а ТМ «Вязанка»</t>
  </si>
  <si>
    <t>6292234</t>
  </si>
  <si>
    <t>SU003642</t>
  </si>
  <si>
    <t>Вареные колбасы «Филейская со шпиком» Весовые п/а ТМ «Вязанка»</t>
  </si>
  <si>
    <t>SU002831</t>
  </si>
  <si>
    <t>Колбаса вареная Филейская ТМ Вязанка ТС Классическая полиамид ф/в 0,4 кг</t>
  </si>
  <si>
    <t>SU002815</t>
  </si>
  <si>
    <t>Вареные колбасы «Филейская» Фикс.вес 0,45 Вектор ТМ «Вязанка»</t>
  </si>
  <si>
    <t>SU002830</t>
  </si>
  <si>
    <t>Вареные колбасы Молокуша Вязанка Вес п/а Вязанка</t>
  </si>
  <si>
    <t>SU002816</t>
  </si>
  <si>
    <t>Вареные колбасы Молокуша Вязанка Фикс.вес 0,45 п/а Вязанка</t>
  </si>
  <si>
    <t>SU002734</t>
  </si>
  <si>
    <t>Вареные колбасы Сливушка Вязанка Фикс.вес 0,45 П/а Вязанка</t>
  </si>
  <si>
    <t>SU002985</t>
  </si>
  <si>
    <t>П/к колбасы «Аль-Ислами халяль» ф/в 0,35 фиброуз ТМ «Вязанка»</t>
  </si>
  <si>
    <t>SU004157</t>
  </si>
  <si>
    <t>Вареные колбасы «Мясная Классическая» Весовой п/а ТМ «Вязанка»</t>
  </si>
  <si>
    <t>SU004042</t>
  </si>
  <si>
    <t>Копченые колбасы «Сервелат Ореховый» Фикс.вес 0,28 фиброуз срез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</si>
  <si>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</si>
  <si>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</si>
  <si>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</si>
  <si>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</si>
  <si>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SU003896</t>
  </si>
  <si>
    <t>Сыровяленые колбасы «Фуэт» Фикс.вес 0,07 нарезка ТМ «Стародворье»</t>
  </si>
  <si>
    <t>SU003273</t>
  </si>
  <si>
    <t>Вареные колбасы «Молочная Стародворская с молоком» Весовой п/а ТМ «Стародворье»</t>
  </si>
  <si>
    <t>SU004106</t>
  </si>
  <si>
    <t>Вареные колбасы «Со шпиком» Весовой п/а ТМ «Стародворье»</t>
  </si>
  <si>
    <t>SU003392</t>
  </si>
  <si>
    <t>Вареные колбасы «Стародворская Традиционная» Весовой п/а ТМ «Стародворье»</t>
  </si>
  <si>
    <t>SU001822</t>
  </si>
  <si>
    <t>В/к колбасы Кремлевский Бордо Весовые Фиброуз в/у Стародворье</t>
  </si>
  <si>
    <t>SU001051</t>
  </si>
  <si>
    <t>Сардельки «Нежные» Весовые NDX мгс ТМ «Стародворье»</t>
  </si>
  <si>
    <t>SU002841</t>
  </si>
  <si>
    <t>Паштеты «Любительский ГОСТ» Фикс.вес 0,1 ТМ «Стародворье»</t>
  </si>
  <si>
    <t>SU002840</t>
  </si>
  <si>
    <t>Паштеты «Печеночный с морковью ГОСТ» Фикс.вес 0,1 ТМ «Стародворье»</t>
  </si>
  <si>
    <t>SU004144</t>
  </si>
  <si>
    <t>Консервы «Гречка по-купечески с говядиной и овощами» Фикс.вес 0,325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</si>
  <si>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</si>
  <si>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</si>
  <si>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</si>
  <si>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</si>
  <si>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SU004131</t>
  </si>
  <si>
    <t>Вареные колбасы «Ветчинно-рубленая» Весовой п/а ТМ «Особый рецепт»</t>
  </si>
  <si>
    <t>SU002011</t>
  </si>
  <si>
    <t>Вареные колбасы Докторская ГОСТ Дугушка Весовые Вектор Дугушка</t>
  </si>
  <si>
    <t>SU002182</t>
  </si>
  <si>
    <t>Вареные колбасы «Дугушка со шпиком» Весовой Вектор ТМ «Дугушка»</t>
  </si>
  <si>
    <t>SU002632</t>
  </si>
  <si>
    <t>Вареные колбасы «Докторская ГОСТ» Фикс.вес 0,6 п/а ТМ «Дугушка»</t>
  </si>
  <si>
    <t>SU002151</t>
  </si>
  <si>
    <t>В/к колбасы «Сервелат Запеченный» Весовые Вектор ТМ «Дугушка»</t>
  </si>
  <si>
    <t>SU002918</t>
  </si>
  <si>
    <t>В/к колбасы «Сервелат Запеченный» Фикс.вес 0,6 вектор ТМ «Стародворье»</t>
  </si>
  <si>
    <t>SU004016</t>
  </si>
  <si>
    <t>Сосиски «Мясные для гриля» Фикс.вес 0,3 целлофан ТМ «Ядрена копоть»</t>
  </si>
  <si>
    <t>6292232</t>
  </si>
  <si>
    <t>SU003420</t>
  </si>
  <si>
    <t>Вареные колбасы «Филейная» Весовой п/а ТМ «Особый рецепт» большой батон</t>
  </si>
  <si>
    <t>6292238</t>
  </si>
  <si>
    <t>SU002829</t>
  </si>
  <si>
    <t>Вареные колбасы «Филейская» Весовые Вектор ТМ «Вязанка»</t>
  </si>
  <si>
    <t>SU001835</t>
  </si>
  <si>
    <t>Сосиски Баварские Бавария Весовые П/а мгс Стародворье</t>
  </si>
  <si>
    <t>SU003422</t>
  </si>
  <si>
    <t>Вареные колбасы «Молочная» Весовой п/а ТМ «Особый рецепт»</t>
  </si>
  <si>
    <t>Общий итог</t>
  </si>
  <si>
    <t xml:space="preserve"> Заказано</t>
  </si>
  <si>
    <t xml:space="preserve"> Урезание</t>
  </si>
  <si>
    <t xml:space="preserve"> Недогруз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</si>
</sst>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pivotButton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164" fontId="0" fillId="2" borderId="1" xfId="0" applyNumberFormat="1" applyFill="1" applyBorder="1"/>
  </cellXfs>
  <cellStyles count="1">
    <cellStyle name="Обычный" xfId="0" builtinId="0"/>
  </cellStyles>
  <dxfs count="25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авлухина Василиса Александровна" refreshedDate="46248.724260995368" createdVersion="6" refreshedVersion="6" minRefreshableVersion="3" recordCount="229" xr:uid="{00000000-000A-0000-FFFF-FFFF08000000}">
  <cacheSource type="worksheet">
    <worksheetSource name="Table"/>
  </cacheSource>
  <cacheFields count="30">
    <cacheField name="Счет клиента" numFmtId="49">
      <sharedItems/>
    </cacheField>
    <cacheField name="Поздний заказ" numFmtId="49">
      <sharedItems/>
    </cacheField>
    <cacheField name="Наименование" numFmtId="49">
      <sharedItems/>
    </cacheField>
    <cacheField name="Заказ на продажу" numFmtId="49">
      <sharedItems/>
    </cacheField>
    <cacheField name="Запрошенная дата отгрузки" numFmtId="14">
      <sharedItems containsSemiMixedTypes="0" containsNonDate="0" containsDate="1" containsString="0" minDate="2026-08-15T00:00:00" maxDate="2026-08-16T00:00:00" count="1">
        <d v="2026-08-15T00:00:00"/>
      </sharedItems>
    </cacheField>
    <cacheField name="Время отгрузки" numFmtId="19">
      <sharedItems containsSemiMixedTypes="0" containsNonDate="0" containsDate="1" containsString="0" minDate="2026-08-14T20:00:00" maxDate="2026-08-14T20:00:00"/>
    </cacheField>
    <cacheField name="Запрошенная дата прихода" numFmtId="14">
      <sharedItems containsSemiMixedTypes="0" containsNonDate="0" containsDate="1" containsString="0" minDate="2026-08-15T00:00:00" maxDate="2026-08-16T00:00:00"/>
    </cacheField>
    <cacheField name="Время прихода" numFmtId="19">
      <sharedItems containsSemiMixedTypes="0" containsNonDate="0" containsDate="1" containsString="0" minDate="2026-08-14T20:00:00" maxDate="2026-08-14T20:00:00"/>
    </cacheField>
    <cacheField name="Код адреса поставки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Внешний код клиента" numFmtId="49">
      <sharedItems count="3">
        <s v="НВМелСемен"/>
        <s v="НВТрояны"/>
        <s v="НВЛугРабоч"/>
      </sharedItems>
    </cacheField>
    <cacheField name="Окончательная" numFmtId="49">
      <sharedItems/>
    </cacheField>
    <cacheField name="Код единицы продаж" numFmtId="49">
      <sharedItems count="104">
        <s v="SU001485"/>
        <s v="SU002835"/>
        <s v="SU001523"/>
        <s v="SU001718"/>
        <s v="SU001721"/>
        <s v="SU001720"/>
        <s v="SU002367"/>
        <s v="SU004041"/>
        <s v="SU004045"/>
        <s v="SU002660"/>
        <s v="SU003829"/>
        <s v="SU002848"/>
        <s v="SU002941"/>
        <s v="SU002943"/>
        <s v="SU002944"/>
        <s v="SU002942"/>
        <s v="SU002948"/>
        <s v="SU002843"/>
        <s v="SU002845"/>
        <s v="SU002725"/>
        <s v="SU002842"/>
        <s v="SU002618"/>
        <s v="SU002621"/>
        <s v="SU002686"/>
        <s v="SU002844"/>
        <s v="SU002759"/>
        <s v="SU002758"/>
        <s v="SU002801"/>
        <s v="SU002799"/>
        <s v="SU004103"/>
        <s v="SU004104"/>
        <s v="SU000227"/>
        <s v="SU001920"/>
        <s v="SU000126"/>
        <s v="SU002287"/>
        <s v="SU002074"/>
        <s v="SU002205"/>
        <s v="SU002631"/>
        <s v="SU002158"/>
        <s v="SU002655"/>
        <s v="SU000722"/>
        <s v="SU002928"/>
        <s v="SU003423"/>
        <s v="SU004238"/>
        <s v="SU002634"/>
        <s v="SU002010"/>
        <s v="SU002035"/>
        <s v="SU002828"/>
        <s v="SU002833"/>
        <s v="SU002735"/>
        <s v="SU002983"/>
        <s v="SU002984"/>
        <s v="SU004047"/>
        <s v="SU004044"/>
        <s v="SU004039"/>
        <s v="SU002847"/>
        <s v="SU003178"/>
        <s v="SU003894"/>
        <s v="SU002945"/>
        <s v="SU002947"/>
        <s v="SU003921"/>
        <s v="SU002252"/>
        <s v="SU001430"/>
        <s v="SU001921"/>
        <s v="SU002092"/>
        <s v="SU001869"/>
        <s v="SU004146"/>
        <s v="SU000246"/>
        <s v="SU002643"/>
        <s v="SU002150"/>
        <s v="SU002986"/>
        <s v="SU003642"/>
        <s v="SU002831"/>
        <s v="SU002815"/>
        <s v="SU002830"/>
        <s v="SU002816"/>
        <s v="SU002734"/>
        <s v="SU002985"/>
        <s v="SU004157"/>
        <s v="SU004042"/>
        <s v="SU002756"/>
        <s v="SU004026"/>
        <s v="SU003896"/>
        <s v="SU003273"/>
        <s v="SU004106"/>
        <s v="SU003392"/>
        <s v="SU001822"/>
        <s v="SU001051"/>
        <s v="SU002841"/>
        <s v="SU002840"/>
        <s v="SU004144"/>
        <s v="SU003167"/>
        <s v="SU003168"/>
        <s v="SU004131"/>
        <s v="SU002011"/>
        <s v="SU002182"/>
        <s v="SU002632"/>
        <s v="SU002151"/>
        <s v="SU002918"/>
        <s v="SU004016"/>
        <s v="SU003420"/>
        <s v="SU002829"/>
        <s v="SU001835"/>
        <s v="SU003422"/>
      </sharedItems>
    </cacheField>
    <cacheField name="Наименование для бланков" numFmtId="49">
      <sharedItems count="104">
        <s v="Вареные колбасы Докторская ГОСТ Вязанка Фикс.вес 0,4 Вектор Вязанка"/>
        <s v="Сардельки «Филейские» Весовые н/о мгс ТМ «Вязанка»"/>
        <s v="Сосиски «Молокуши (Вязанка Молочные)» Весовой п/а мгс ТМ «Вязанка»"/>
        <s v="Сосиски «Молокуши» ф/в 0,45 п/а мгс ТМ «Вязанка»"/>
        <s v="Сосиски «Сливочные Вязанка» Весовой п/а мгс ТМ «Вязанка»"/>
        <s v="Сосиски «Сливочные» ф/в 0,45 п/а мгс ТМ «Вязанка»"/>
        <s v="Сардельки «Сливушки» фикс.вес 0,33 п/а мгс ТМ «Вязанка»"/>
        <s v="Копченые колбасы «Балыковая» Весовой фиброуз ТМ «Вязанка»"/>
        <s v="Копченые колбасы «Сервелат Финский» Фикс.вес 0,28 фиброуз срез ТМ «Вязанка»"/>
        <s v="Колбаса Мясорубская ТМ Стародворье с рубленой грудинкой в оболочке фиброуз в вакуумной упаковке 0,35 кг срез"/>
        <s v="Копченые колбасы «Сервелат Мясорубский Делюкс» Фикс.вес 0,3 фиброуз ТМ «Стародворье»"/>
        <s v="В/к колбасы Сервелат Мясорубский с мелкорубленным окороком срез Бордо Фикс.вес 0,35 фиброуз Стародворье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В/к колбасы «Сочинка по-европейски с сочной грудинкой» срез Фикс.вес 0,3 фиброуз ТМ «Стародворье»"/>
        <s v="В/к колбасы «Сочинка по-фински с сочным окороком» срез Фикс.вес 0,3 фиброуз ТМ «Стародворье»"/>
        <s v="П/к колбасы «Сочинка рубленая с сочным окороком» срез Фикс.вес 0,3 фиброуз ТМ «Стародворье»"/>
        <s v="Сосиски «Сочинки Молочные» Весовой п/а мгс ТМ «Стародворье»"/>
        <s v="Сосиски «Сочинки Сливочные» Весовые ТМ «Стародворье» 1,35 кг"/>
        <s v="Сосиски «Сочинки» Весовой п/а ТМ «Стародворье»"/>
        <s v="Сосиски «Сочинки Молочные» Фикс.вес 0,4 п/а мгс ТМ «Стародворье»"/>
        <s v="Сосиски «Сочинки с сочной грудинкой» Фикс.вес 0,4 П/а мгс ТМ «Стародворье»"/>
        <s v="Сосиски «Сочинки с сочным окороком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Сардельки «Сочинки с сыром» Фикс.вес 0,4 п/а ТМ «Стародворье»"/>
        <s v="Сардельки «Сочинки» Фикс.вес 0,4 п/а ТМ «Стародворье»"/>
        <s v="Сосиски «Сочинки по-баварски с сыром» Фикс.вес 0,4 П/а мгс ТМ «Стародворье»"/>
        <s v="Сосиски Сочинки по-баварски Бавария Фикс.вес 0,4 П/а мгс Стародворье"/>
        <s v="Вареные колбасы «Молочная» Весовой п/а ТМ «Стародворье»"/>
        <s v="Вареные колбасы «Мясная» Весовой п/а ТМ «Стародворье»"/>
        <s v="Сардельки «Стародворские с говядиной» Весовые NDX ТМ «Стародворье»"/>
        <s v="С/к колбасы Княжеская Бордо Весовые б/о терм/п Стародворье"/>
        <s v="Ветчины Нежная Особая Особая Весовые П/а Особый рецепт большой батон"/>
        <s v="Сардельки «Сочные» Весовой п/а ТМ «Особый рецепт»"/>
        <s v="Сосиски «Молочные для завтрака» Весовой п/а ТМ «Особый рецепт»"/>
        <s v="Сосиски «Молочные для завтрака» Фикс.вес 0,4 П/а мгс ТМ «Особый рецепт»"/>
        <s v="Вареные колбасы «Молочная Дугушка» Фикс.вес 0,6 П/а ТМ «Дугушка»"/>
        <s v="В/к колбасы «Салями Запеченая» Весовые ТМ «Дугушка»"/>
        <s v="Сосиски «Датские» Весовой п/а ТМ «Зареченские продукты»"/>
        <s v="Вареные колбасы Докторская ГОСТ Вязанка Весовые Вектор Вязанка"/>
        <s v="Вареные колбасы «Сливушка» Вес П/а ТМ «Вязанка»"/>
        <s v="Вареные колбасы «Со шпиком» Весовой п/а ТМ «Особый рецепт» большой батон"/>
        <s v="Вареные колбасы «Докторская Классическая» Весовой п/а ТМ «Особый рецепт»"/>
        <s v="Вареные колбасы «Дугушка Стародворская» Вес п/а ТМ «Дугушка»"/>
        <s v="Вареные колбасы «Молочная Дугушка» Весовые Вектор ТМ «Дугушка»"/>
        <s v="Ветчины Дугушка Дугушка Вес б/о Дугушка"/>
        <s v="Ветчины «Филейская» Весовые Вектор ТМ «Вязанка»"/>
        <s v="Ветчины «Сливушка с индейкой» Весовой п/а ТМ «Вязанка»"/>
        <s v="Ветчины «Сливушка с индейкой» Фикс.вес 0,4 п/а ТМ «Вязанка»"/>
        <s v="Колбаса вареная Мусульманская ТМ Вязанка Халяль вектор ф/в 0,4 кг Казахстан АК"/>
        <s v="Сосиски Восточные халяль ТМ Вязанка полиамид в/у ф/в 0,33 кг Казахстан АК"/>
        <s v="Копченые колбасы «Сервелат Финский» Весовой фиброуз ТМ «Вязанка»"/>
        <s v="Копченые колбасы «Сервелат Ореховый» Весовой фиброуз ТМ «Вязанка»"/>
        <s v="Копченые колбасы «Балыковая» Фикс.вес 0,28 фиброуз срез ТМ «Вязанка»"/>
        <s v="В/к колбасы Сервелат Мясорубский с мелкорубленным окороком Бордо Весовой фиброуз Стародворье"/>
        <s v="Копченые колбасы «Сервелат Мясорубский» Фикс.вес 0,08 нарезка ТМ «Стародворье»"/>
        <s v="Сырокопченые колбасы «Сервелат Ореховый» Фикс.вес 0,07 нарезка ТМ «Стародворье»"/>
        <s v="П/к колбасы «Сочинка зернистая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Деликатесы в/к «Грудинка копчено-вареная» Фикс.вес 0,12 нарезка ТМ «Стародворье»"/>
        <s v="П/к колбасы Кракушка пряная с сальцем Бавария Фикс.вес 0,3 н/о в/у Стародворье"/>
        <s v="Сардельки «Шпикачки Стародворские» Весовой NDX ТМ «Стародворье»"/>
        <s v="С/к колбасы Салями Охотничья Бордо Весовые б/о терм/п 180 Стародворье"/>
        <s v="С/к колбасы Баварская Бавария Фикс.вес 0,17 б/о терм/п Стародворье"/>
        <s v="С/к колбасы Швейцарская Бордо Фикс.вес 0,17 Фиброуз терм/п Стародворье"/>
        <s v="Консервы «Буженина в пряном маринаде» Фикс.вес 0,25 ТМ «Стародворье»"/>
        <s v="Сосиски «Молочные оригинальные» Весовой п/а ТМ «Особый рецепт»"/>
        <s v="Ветчины «Дугушка» Фикс.вес 0,6 полиамид ТМ «Дугушка»"/>
        <s v="В/к колбасы «Рубленая Запеченная» Весовые Вектор ТМ «Дугушка»"/>
        <s v="Вареные колбасы «Докторская ГОСТ» Фикс.вес 0,37 п/а ТМ «Вязанка»"/>
        <s v="Вареные колбасы «Филейская со шпиком» Весовые п/а ТМ «Вязанка»"/>
        <s v="Колбаса вареная Филейская ТМ Вязанка ТС Классическая полиамид ф/в 0,4 кг"/>
        <s v="Вареные колбасы «Филейская» Фикс.вес 0,45 Вектор ТМ «Вязанка»"/>
        <s v="Вареные колбасы Молокуша Вязанка Вес п/а Вязанка"/>
        <s v="Вареные колбасы Молокуша Вязанка Фикс.вес 0,45 п/а Вязанка"/>
        <s v="Вареные колбасы Сливушка Вязанка Фикс.вес 0,45 П/а Вязанка"/>
        <s v="П/к колбасы «Аль-Ислами халяль» ф/в 0,35 фиброуз ТМ «Вязанка»"/>
        <s v="Вареные колбасы «Мясная Классическая» Весовой п/а ТМ «Вязанка»"/>
        <s v="Копченые колбасы «Сервелат Ореховый» Фикс.вес 0,28 фиброуз срез ТМ «Вязанка»"/>
        <s v="Колбаса Мясорубская ТМ Стародворье с рубленой грудинкой в оболочке фиброуз в вакуумной упаковке"/>
        <s v="Копченые колбасы «Ассорти Мясорубская коллекция: Сервелат Делюкс, С балыком» Фикс.вес 0,08 нарезка ТМ «Стародворье»"/>
        <s v="Сыровяленые колбасы «Фуэт» Фикс.вес 0,07 нарезка ТМ «Стародворье»"/>
        <s v="Вареные колбасы «Молочная Стародворская с молоком» Весовой п/а ТМ «Стародворье»"/>
        <s v="Вареные колбасы «Со шпиком» Весовой п/а ТМ «Стародворье»"/>
        <s v="Вареные колбасы «Стародворская Традиционная» Весовой п/а ТМ «Стародворье»"/>
        <s v="В/к колбасы Кремлевский Бордо Весовые Фиброуз в/у Стародворье"/>
        <s v="Сардельки «Нежные» Весовые NDX мгс ТМ «Стародворье»"/>
        <s v="Паштеты «Любительский ГОСТ» Фикс.вес 0,1 ТМ «Стародворье»"/>
        <s v="Паштеты «Печеночный с морковью ГОСТ» Фикс.вес 0,1 ТМ «Стародворье»"/>
        <s v="Консервы «Гречка по-купечески с говядиной и овощами» Фикс.вес 0,325 ТМ «Стародворье»"/>
        <s v="Сосиски «Баварские» Фикс.вес 0,35 П/а ТМ «Стародворье»"/>
        <s v="Сосиски «Баварские с сыром» Фикс.вес 0,35 п/а ТМ «Стародворье»"/>
        <s v="Вареные колбасы «Ветчинно-рубленая» Весовой п/а ТМ «Особый рецепт»"/>
        <s v="Вареные колбасы Докторская ГОСТ Дугушка Весовые Вектор Дугушка"/>
        <s v="Вареные колбасы «Дугушка со шпиком» Весовой Вектор ТМ «Дугушка»"/>
        <s v="Вареные колбасы «Докторская ГОСТ» Фикс.вес 0,6 п/а ТМ «Дугушка»"/>
        <s v="В/к колбасы «Сервелат Запеченный» Весовые Вектор ТМ «Дугушка»"/>
        <s v="В/к колбасы «Сервелат Запеченный» Фикс.вес 0,6 вектор ТМ «Стародворье»"/>
        <s v="Сосиски «Мясные для гриля» Фикс.вес 0,3 целлофан ТМ «Ядрена копоть»"/>
        <s v="Вареные колбасы «Филейная» Весовой п/а ТМ «Особый рецепт» большой батон"/>
        <s v="Вареные колбасы «Филейская» Весовые Вектор ТМ «Вязанка»"/>
        <s v="Сосиски Баварские Бавария Весовые П/а мгс Стародворье"/>
        <s v="Вареные колбасы «Молочная» Весовой п/а ТМ «Особый рецепт»"/>
      </sharedItems>
    </cacheField>
    <cacheField name="Заказано" numFmtId="4">
      <sharedItems containsSemiMixedTypes="0" containsString="0" containsNumber="1" minValue="2.5499999999999998" maxValue="2010"/>
    </cacheField>
    <cacheField name="Согласовано" numFmtId="4">
      <sharedItems containsString="0" containsBlank="1" containsNumber="1" minValue="3.2" maxValue="2010"/>
    </cacheField>
    <cacheField name="Отгружено" numFmtId="4">
      <sharedItems containsString="0" containsBlank="1" containsNumber="1" minValue="3.2" maxValue="2010"/>
    </cacheField>
    <cacheField name="Урезание" numFmtId="4">
      <sharedItems containsString="0" containsBlank="1" containsNumber="1" minValue="-768" maxValue="-2.5499999999999998" count="43">
        <m/>
        <n v="-171.5"/>
        <n v="-15.12"/>
        <n v="-35.700000000000003"/>
        <n v="-102.6"/>
        <n v="-18"/>
        <n v="-3.6"/>
        <n v="-75.599999999999994"/>
        <n v="-244.8"/>
        <n v="-64.8"/>
        <n v="-126"/>
        <n v="-144"/>
        <n v="-306"/>
        <n v="-63"/>
        <n v="-31.5"/>
        <n v="-52.5"/>
        <n v="-31.92"/>
        <n v="-21"/>
        <n v="-21.6"/>
        <n v="-305.12"/>
        <n v="-16.2"/>
        <n v="-468"/>
        <n v="-256.8"/>
        <n v="-34.200000000000003"/>
        <n v="-17.850000000000001"/>
        <n v="-54"/>
        <n v="-108"/>
        <n v="-450"/>
        <n v="-91"/>
        <n v="-29.4"/>
        <n v="-118.8"/>
        <n v="-178.2"/>
        <n v="-169.2"/>
        <n v="-45"/>
        <n v="-768"/>
        <n v="-192"/>
        <n v="-79.8"/>
        <n v="-2.5499999999999998"/>
        <n v="-50.4"/>
        <n v="-100.8"/>
        <n v="-37.799999999999997"/>
        <n v="-194.4"/>
        <n v="-86.4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 count="1">
        <m/>
      </sharedItems>
    </cacheField>
    <cacheField name="Внешний номер заказа" numFmtId="49">
      <sharedItems count="6">
        <s v="6292219"/>
        <s v="6292222"/>
        <s v="6292214"/>
        <s v="6292234"/>
        <s v="6292232"/>
        <s v="6292238"/>
      </sharedItems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9"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0"/>
    <x v="0"/>
    <n v="4"/>
    <n v="4"/>
    <n v="4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1"/>
    <x v="1"/>
    <n v="405.6"/>
    <n v="405.6"/>
    <n v="405.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2"/>
    <x v="2"/>
    <n v="542.70000000000005"/>
    <n v="542.70000000000005"/>
    <n v="542.70000000000005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3"/>
    <x v="3"/>
    <n v="54"/>
    <n v="54"/>
    <n v="54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4"/>
    <x v="4"/>
    <n v="72.900000000000006"/>
    <n v="72.900000000000006"/>
    <n v="72.90000000000000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5"/>
    <x v="5"/>
    <n v="27"/>
    <n v="27"/>
    <n v="27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6"/>
    <x v="6"/>
    <n v="5.94"/>
    <n v="5.94"/>
    <n v="5.94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7"/>
    <x v="7"/>
    <n v="171.5"/>
    <m/>
    <m/>
    <x v="1"/>
    <s v="ОгранПроизвМощностей"/>
    <s v="Производ"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8"/>
    <x v="8"/>
    <n v="15.12"/>
    <m/>
    <m/>
    <x v="2"/>
    <s v="ОгранПроизвМощностей"/>
    <s v="Производ"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9"/>
    <x v="9"/>
    <n v="35.700000000000003"/>
    <m/>
    <m/>
    <x v="3"/>
    <s v="ОгранПроизвМощностей"/>
    <s v="Производ"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10"/>
    <x v="10"/>
    <n v="7.2"/>
    <n v="7.2"/>
    <n v="7.2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11"/>
    <x v="11"/>
    <n v="25.2"/>
    <n v="25.2"/>
    <n v="25.2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12"/>
    <x v="12"/>
    <n v="48.6"/>
    <n v="48.6"/>
    <n v="48.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13"/>
    <x v="13"/>
    <n v="102.6"/>
    <m/>
    <m/>
    <x v="4"/>
    <s v="ОгранПроизвМощностей"/>
    <s v="Производ"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14"/>
    <x v="14"/>
    <n v="18"/>
    <m/>
    <m/>
    <x v="5"/>
    <s v="ОгранПроизвМощностей"/>
    <s v="Производ"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15"/>
    <x v="15"/>
    <n v="3.6"/>
    <m/>
    <m/>
    <x v="6"/>
    <s v="ОгранПроизвМощностей"/>
    <s v="Производ"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16"/>
    <x v="16"/>
    <n v="75.599999999999994"/>
    <m/>
    <m/>
    <x v="7"/>
    <s v="ОгранПроизвМощностей"/>
    <s v="Производ"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17"/>
    <x v="17"/>
    <n v="81"/>
    <n v="81"/>
    <n v="81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18"/>
    <x v="18"/>
    <n v="72.900000000000006"/>
    <n v="72.900000000000006"/>
    <n v="72.90000000000000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19"/>
    <x v="19"/>
    <n v="34.799999999999997"/>
    <n v="34.799999999999997"/>
    <n v="34.799999999999997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20"/>
    <x v="20"/>
    <n v="7.2"/>
    <n v="7.2"/>
    <n v="7.2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21"/>
    <x v="21"/>
    <n v="244.8"/>
    <m/>
    <m/>
    <x v="8"/>
    <s v="ОгранПроизвМощностей"/>
    <s v="Производ"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22"/>
    <x v="22"/>
    <n v="64.8"/>
    <m/>
    <m/>
    <x v="9"/>
    <s v="ОгранПроизвМощностей"/>
    <s v="Производ"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23"/>
    <x v="23"/>
    <n v="79.2"/>
    <n v="79.2"/>
    <n v="79.2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24"/>
    <x v="24"/>
    <n v="100.8"/>
    <n v="100.8"/>
    <n v="100.8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25"/>
    <x v="25"/>
    <n v="43.2"/>
    <n v="43.2"/>
    <n v="43.2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26"/>
    <x v="26"/>
    <n v="26.4"/>
    <n v="26.4"/>
    <n v="26.4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27"/>
    <x v="27"/>
    <n v="16.8"/>
    <n v="16.8"/>
    <n v="16.8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28"/>
    <x v="28"/>
    <n v="36"/>
    <n v="36"/>
    <n v="3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29"/>
    <x v="29"/>
    <n v="23.4"/>
    <n v="23.4"/>
    <n v="23.4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30"/>
    <x v="30"/>
    <n v="39"/>
    <n v="39"/>
    <n v="39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31"/>
    <x v="31"/>
    <n v="195"/>
    <n v="195"/>
    <n v="195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32"/>
    <x v="32"/>
    <n v="15.2"/>
    <n v="15.2"/>
    <n v="15.2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33"/>
    <x v="33"/>
    <n v="495"/>
    <n v="495"/>
    <n v="495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34"/>
    <x v="34"/>
    <n v="126"/>
    <m/>
    <m/>
    <x v="10"/>
    <s v="ОгранПроизвМощностей"/>
    <s v="Производ"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35"/>
    <x v="35"/>
    <n v="207"/>
    <n v="207"/>
    <n v="207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36"/>
    <x v="36"/>
    <n v="16.8"/>
    <n v="16.8"/>
    <n v="16.8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37"/>
    <x v="37"/>
    <n v="28.8"/>
    <n v="28.8"/>
    <n v="28.8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38"/>
    <x v="38"/>
    <n v="10.56"/>
    <n v="10.56"/>
    <n v="10.5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39"/>
    <x v="39"/>
    <n v="144"/>
    <m/>
    <m/>
    <x v="11"/>
    <s v="ОгранПроизвМощностей"/>
    <s v="Производ"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8"/>
    <x v="0"/>
    <d v="2026-08-14T20:00:00"/>
    <d v="2026-08-15T00:00:00"/>
    <d v="2026-08-14T20:00:00"/>
    <s v="596383_10"/>
    <s v="VLDR"/>
    <s v="ЦСК"/>
    <s v="Нет"/>
    <m/>
    <x v="0"/>
    <s v="Нет"/>
    <x v="40"/>
    <x v="40"/>
    <n v="86.4"/>
    <n v="86.4"/>
    <n v="86.4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4249"/>
    <x v="0"/>
    <d v="2026-08-14T20:00:00"/>
    <d v="2026-08-15T00:00:00"/>
    <d v="2026-08-14T20:00:00"/>
    <s v="596383_10"/>
    <s v="VLDR"/>
    <s v="ЦСК"/>
    <s v="Нет"/>
    <m/>
    <x v="0"/>
    <s v="Нет"/>
    <x v="41"/>
    <x v="41"/>
    <n v="507.6"/>
    <n v="507.6"/>
    <n v="507.6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4249"/>
    <x v="0"/>
    <d v="2026-08-14T20:00:00"/>
    <d v="2026-08-15T00:00:00"/>
    <d v="2026-08-14T20:00:00"/>
    <s v="596383_10"/>
    <s v="VLDR"/>
    <s v="ЦСК"/>
    <s v="Нет"/>
    <m/>
    <x v="0"/>
    <s v="Нет"/>
    <x v="31"/>
    <x v="31"/>
    <n v="304.2"/>
    <n v="304.2"/>
    <n v="304.2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4249"/>
    <x v="0"/>
    <d v="2026-08-14T20:00:00"/>
    <d v="2026-08-15T00:00:00"/>
    <d v="2026-08-14T20:00:00"/>
    <s v="596383_10"/>
    <s v="VLDR"/>
    <s v="ЦСК"/>
    <s v="Нет"/>
    <m/>
    <x v="0"/>
    <s v="Нет"/>
    <x v="42"/>
    <x v="42"/>
    <n v="2010"/>
    <n v="2010"/>
    <n v="2010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4249"/>
    <x v="0"/>
    <d v="2026-08-14T20:00:00"/>
    <d v="2026-08-15T00:00:00"/>
    <d v="2026-08-14T20:00:00"/>
    <s v="596383_10"/>
    <s v="VLDR"/>
    <s v="ЦСК"/>
    <s v="Нет"/>
    <m/>
    <x v="0"/>
    <s v="Нет"/>
    <x v="43"/>
    <x v="43"/>
    <n v="1500"/>
    <n v="1500"/>
    <n v="1500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4249"/>
    <x v="0"/>
    <d v="2026-08-14T20:00:00"/>
    <d v="2026-08-15T00:00:00"/>
    <d v="2026-08-14T20:00:00"/>
    <s v="596383_10"/>
    <s v="VLDR"/>
    <s v="ЦСК"/>
    <s v="Нет"/>
    <m/>
    <x v="0"/>
    <s v="Нет"/>
    <x v="33"/>
    <x v="33"/>
    <n v="510"/>
    <n v="510"/>
    <n v="510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4249"/>
    <x v="0"/>
    <d v="2026-08-14T20:00:00"/>
    <d v="2026-08-15T00:00:00"/>
    <d v="2026-08-14T20:00:00"/>
    <s v="596383_10"/>
    <s v="VLDR"/>
    <s v="ЦСК"/>
    <s v="Нет"/>
    <m/>
    <x v="0"/>
    <s v="Нет"/>
    <x v="34"/>
    <x v="34"/>
    <n v="306"/>
    <m/>
    <m/>
    <x v="12"/>
    <s v="ОгранПроизвМощностей"/>
    <s v="Производ"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4249"/>
    <x v="0"/>
    <d v="2026-08-14T20:00:00"/>
    <d v="2026-08-15T00:00:00"/>
    <d v="2026-08-14T20:00:00"/>
    <s v="596383_10"/>
    <s v="VLDR"/>
    <s v="ЦСК"/>
    <s v="Нет"/>
    <m/>
    <x v="0"/>
    <s v="Нет"/>
    <x v="44"/>
    <x v="44"/>
    <n v="1003.2"/>
    <n v="1003.2"/>
    <n v="1003.2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4249"/>
    <x v="0"/>
    <d v="2026-08-14T20:00:00"/>
    <d v="2026-08-15T00:00:00"/>
    <d v="2026-08-14T20:00:00"/>
    <s v="596383_10"/>
    <s v="VLDR"/>
    <s v="ЦСК"/>
    <s v="Нет"/>
    <m/>
    <x v="0"/>
    <s v="Нет"/>
    <x v="45"/>
    <x v="45"/>
    <n v="501.6"/>
    <n v="501.6"/>
    <n v="501.6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4249"/>
    <x v="0"/>
    <d v="2026-08-14T20:00:00"/>
    <d v="2026-08-15T00:00:00"/>
    <d v="2026-08-14T20:00:00"/>
    <s v="596383_10"/>
    <s v="VLDR"/>
    <s v="ЦСК"/>
    <s v="Нет"/>
    <m/>
    <x v="0"/>
    <s v="Нет"/>
    <x v="46"/>
    <x v="46"/>
    <n v="501.6"/>
    <n v="501.6"/>
    <n v="501.6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4249"/>
    <x v="0"/>
    <d v="2026-08-14T20:00:00"/>
    <d v="2026-08-15T00:00:00"/>
    <d v="2026-08-14T20:00:00"/>
    <s v="596383_10"/>
    <s v="VLDR"/>
    <s v="ЦСК"/>
    <s v="Нет"/>
    <m/>
    <x v="0"/>
    <s v="Нет"/>
    <x v="40"/>
    <x v="40"/>
    <n v="2008.8"/>
    <n v="2008.8"/>
    <n v="2008.8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47"/>
    <x v="47"/>
    <n v="32.4"/>
    <n v="32.4"/>
    <n v="32.4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1"/>
    <x v="1"/>
    <n v="148.19999999999999"/>
    <n v="148.19999999999999"/>
    <n v="148.19999999999999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2"/>
    <x v="2"/>
    <n v="234.9"/>
    <n v="234.9"/>
    <n v="234.9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41"/>
    <x v="41"/>
    <n v="54"/>
    <n v="54"/>
    <n v="54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48"/>
    <x v="48"/>
    <n v="10.8"/>
    <n v="10.8"/>
    <n v="10.8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49"/>
    <x v="49"/>
    <n v="24"/>
    <n v="24"/>
    <n v="24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4"/>
    <x v="4"/>
    <n v="267.3"/>
    <n v="267.3"/>
    <n v="267.3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50"/>
    <x v="50"/>
    <n v="6.4"/>
    <n v="6.4"/>
    <n v="6.4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51"/>
    <x v="51"/>
    <n v="5.28"/>
    <n v="5.28"/>
    <n v="5.28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7"/>
    <x v="7"/>
    <n v="63"/>
    <m/>
    <m/>
    <x v="13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52"/>
    <x v="52"/>
    <n v="31.5"/>
    <m/>
    <m/>
    <x v="14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53"/>
    <x v="53"/>
    <n v="52.5"/>
    <m/>
    <m/>
    <x v="15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54"/>
    <x v="54"/>
    <n v="15.12"/>
    <m/>
    <m/>
    <x v="2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8"/>
    <x v="8"/>
    <n v="31.92"/>
    <m/>
    <m/>
    <x v="16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55"/>
    <x v="55"/>
    <n v="75.599999999999994"/>
    <m/>
    <m/>
    <x v="7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9"/>
    <x v="9"/>
    <n v="21"/>
    <m/>
    <m/>
    <x v="17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10"/>
    <x v="10"/>
    <n v="27"/>
    <n v="27"/>
    <n v="27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56"/>
    <x v="56"/>
    <n v="3.2"/>
    <n v="3.2"/>
    <n v="3.2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57"/>
    <x v="57"/>
    <n v="5.04"/>
    <n v="5.04"/>
    <n v="5.04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13"/>
    <x v="13"/>
    <n v="21.6"/>
    <m/>
    <m/>
    <x v="18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58"/>
    <x v="58"/>
    <n v="610.20000000000005"/>
    <n v="305.08"/>
    <n v="305.08"/>
    <x v="19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59"/>
    <x v="59"/>
    <n v="43.2"/>
    <n v="43.2"/>
    <n v="43.2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15"/>
    <x v="15"/>
    <n v="16.2"/>
    <m/>
    <m/>
    <x v="20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17"/>
    <x v="17"/>
    <n v="210.6"/>
    <n v="210.6"/>
    <n v="210.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18"/>
    <x v="18"/>
    <n v="113.4"/>
    <n v="113.4"/>
    <n v="113.4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19"/>
    <x v="19"/>
    <n v="26.1"/>
    <n v="26.1"/>
    <n v="26.1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20"/>
    <x v="20"/>
    <n v="86.4"/>
    <n v="86.4"/>
    <n v="86.4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21"/>
    <x v="21"/>
    <n v="468"/>
    <m/>
    <m/>
    <x v="21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22"/>
    <x v="22"/>
    <n v="256.8"/>
    <m/>
    <m/>
    <x v="22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23"/>
    <x v="23"/>
    <n v="79.2"/>
    <n v="79.2"/>
    <n v="79.2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24"/>
    <x v="24"/>
    <n v="40.799999999999997"/>
    <n v="40.799999999999997"/>
    <n v="40.799999999999997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25"/>
    <x v="25"/>
    <n v="9.6"/>
    <n v="9.6"/>
    <n v="9.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26"/>
    <x v="26"/>
    <n v="31.2"/>
    <n v="31.2"/>
    <n v="31.2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60"/>
    <x v="60"/>
    <n v="3.6"/>
    <n v="3.6"/>
    <n v="3.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27"/>
    <x v="27"/>
    <n v="12"/>
    <n v="12"/>
    <n v="12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28"/>
    <x v="28"/>
    <n v="93.6"/>
    <n v="93.6"/>
    <n v="93.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29"/>
    <x v="29"/>
    <n v="39"/>
    <n v="39"/>
    <n v="39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30"/>
    <x v="30"/>
    <n v="117"/>
    <n v="117"/>
    <n v="117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61"/>
    <x v="61"/>
    <n v="34.200000000000003"/>
    <m/>
    <m/>
    <x v="23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31"/>
    <x v="31"/>
    <n v="62.4"/>
    <n v="62.4"/>
    <n v="62.4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62"/>
    <x v="62"/>
    <n v="100.8"/>
    <n v="100.8"/>
    <n v="100.8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63"/>
    <x v="63"/>
    <n v="57.76"/>
    <n v="57.76"/>
    <n v="57.7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32"/>
    <x v="32"/>
    <n v="24.32"/>
    <n v="24.32"/>
    <n v="24.32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64"/>
    <x v="64"/>
    <n v="17.850000000000001"/>
    <m/>
    <m/>
    <x v="24"/>
    <s v="КлиентИзменилЗаказ"/>
    <s v="Клиент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65"/>
    <x v="65"/>
    <n v="33.15"/>
    <n v="33.15"/>
    <n v="33.15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66"/>
    <x v="66"/>
    <n v="36"/>
    <n v="36"/>
    <n v="3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67"/>
    <x v="67"/>
    <n v="54"/>
    <m/>
    <m/>
    <x v="25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34"/>
    <x v="34"/>
    <n v="108"/>
    <m/>
    <m/>
    <x v="26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35"/>
    <x v="35"/>
    <n v="450"/>
    <m/>
    <m/>
    <x v="27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46"/>
    <x v="46"/>
    <n v="58.08"/>
    <n v="58.08"/>
    <n v="58.08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68"/>
    <x v="68"/>
    <n v="19.2"/>
    <n v="19.2"/>
    <n v="19.2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69"/>
    <x v="69"/>
    <n v="89.76"/>
    <n v="89.76"/>
    <n v="89.7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38"/>
    <x v="38"/>
    <n v="63.36"/>
    <n v="63.36"/>
    <n v="63.3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39"/>
    <x v="39"/>
    <n v="306"/>
    <m/>
    <m/>
    <x v="12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50"/>
    <x v="0"/>
    <d v="2026-08-14T20:00:00"/>
    <d v="2026-08-15T00:00:00"/>
    <d v="2026-08-14T20:00:00"/>
    <s v="596383_4"/>
    <s v="VLDR"/>
    <s v="ЦСК"/>
    <s v="Нет"/>
    <m/>
    <x v="1"/>
    <s v="Нет"/>
    <x v="40"/>
    <x v="40"/>
    <n v="151.19999999999999"/>
    <n v="151.19999999999999"/>
    <n v="151.19999999999999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70"/>
    <x v="70"/>
    <n v="55.5"/>
    <n v="55.5"/>
    <n v="55.5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71"/>
    <x v="71"/>
    <n v="44.8"/>
    <n v="44.8"/>
    <n v="44.8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72"/>
    <x v="72"/>
    <n v="76"/>
    <n v="76"/>
    <n v="7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73"/>
    <x v="73"/>
    <n v="76.5"/>
    <n v="76.5"/>
    <n v="76.5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74"/>
    <x v="74"/>
    <n v="32.4"/>
    <n v="32.4"/>
    <n v="32.4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75"/>
    <x v="75"/>
    <n v="36"/>
    <n v="36"/>
    <n v="3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2"/>
    <x v="2"/>
    <n v="64.8"/>
    <n v="64.8"/>
    <n v="64.8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3"/>
    <x v="3"/>
    <n v="86.4"/>
    <n v="86.4"/>
    <n v="86.4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41"/>
    <x v="41"/>
    <n v="248.4"/>
    <n v="248.4"/>
    <n v="248.4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76"/>
    <x v="76"/>
    <n v="229.5"/>
    <n v="229.5"/>
    <n v="229.5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48"/>
    <x v="48"/>
    <n v="21.6"/>
    <n v="21.6"/>
    <n v="21.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49"/>
    <x v="49"/>
    <n v="110.4"/>
    <n v="110.4"/>
    <n v="110.4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5"/>
    <x v="5"/>
    <n v="72.900000000000006"/>
    <n v="72.900000000000006"/>
    <n v="72.90000000000000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50"/>
    <x v="50"/>
    <n v="48"/>
    <n v="48"/>
    <n v="48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77"/>
    <x v="77"/>
    <n v="25.2"/>
    <n v="25.2"/>
    <n v="25.2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51"/>
    <x v="51"/>
    <n v="36.96"/>
    <n v="36.96"/>
    <n v="36.9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78"/>
    <x v="78"/>
    <n v="84"/>
    <n v="84"/>
    <n v="84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7"/>
    <x v="7"/>
    <n v="161"/>
    <n v="161"/>
    <n v="161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52"/>
    <x v="52"/>
    <n v="91"/>
    <m/>
    <m/>
    <x v="28"/>
    <s v="ОгранПроизвМощностей"/>
    <s v="Производ"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53"/>
    <x v="53"/>
    <n v="63"/>
    <m/>
    <m/>
    <x v="13"/>
    <s v="ОгранПроизвМощностей"/>
    <s v="Производ"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79"/>
    <x v="79"/>
    <n v="33.6"/>
    <n v="33.6"/>
    <n v="33.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80"/>
    <x v="80"/>
    <n v="29.4"/>
    <m/>
    <m/>
    <x v="29"/>
    <s v="ОгранПроизвМощностей"/>
    <s v="Производ"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81"/>
    <x v="81"/>
    <n v="5.6"/>
    <n v="5.6"/>
    <n v="5.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9"/>
    <x v="9"/>
    <n v="35.700000000000003"/>
    <m/>
    <m/>
    <x v="3"/>
    <s v="ОгранПроизвМощностей"/>
    <s v="Производ"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10"/>
    <x v="10"/>
    <n v="61.2"/>
    <n v="61.2"/>
    <n v="61.2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82"/>
    <x v="82"/>
    <n v="3.78"/>
    <n v="3.78"/>
    <n v="3.78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12"/>
    <x v="12"/>
    <n v="243"/>
    <n v="243"/>
    <n v="243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13"/>
    <x v="13"/>
    <n v="118.8"/>
    <m/>
    <m/>
    <x v="30"/>
    <s v="ОгранПроизвМощностей"/>
    <s v="Производ"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58"/>
    <x v="58"/>
    <n v="178.2"/>
    <m/>
    <m/>
    <x v="31"/>
    <s v="ОгранПроизвМощностей"/>
    <s v="Производ"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59"/>
    <x v="59"/>
    <n v="54"/>
    <n v="54"/>
    <n v="54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14"/>
    <x v="14"/>
    <n v="169.2"/>
    <m/>
    <m/>
    <x v="32"/>
    <s v="ОгранПроизвМощностей"/>
    <s v="Производ"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15"/>
    <x v="15"/>
    <n v="45"/>
    <m/>
    <m/>
    <x v="33"/>
    <s v="ОгранПроизвМощностей"/>
    <s v="Производ"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16"/>
    <x v="16"/>
    <n v="45"/>
    <m/>
    <m/>
    <x v="33"/>
    <s v="ОгранПроизвМощностей"/>
    <s v="Производ"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17"/>
    <x v="17"/>
    <n v="105.3"/>
    <n v="105.3"/>
    <n v="105.3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18"/>
    <x v="18"/>
    <n v="81"/>
    <n v="81"/>
    <n v="81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19"/>
    <x v="19"/>
    <n v="156.6"/>
    <n v="156.6"/>
    <n v="156.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20"/>
    <x v="20"/>
    <n v="79.2"/>
    <n v="79.2"/>
    <n v="79.2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21"/>
    <x v="21"/>
    <n v="768"/>
    <m/>
    <m/>
    <x v="34"/>
    <s v="ОгранПроизвМощностей"/>
    <s v="Производ"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22"/>
    <x v="22"/>
    <n v="192"/>
    <m/>
    <m/>
    <x v="35"/>
    <s v="ОгранПроизвМощностей"/>
    <s v="Производ"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23"/>
    <x v="23"/>
    <n v="314.39999999999998"/>
    <n v="314.39999999999998"/>
    <n v="314.39999999999998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24"/>
    <x v="24"/>
    <n v="21.6"/>
    <n v="21.6"/>
    <n v="21.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25"/>
    <x v="25"/>
    <n v="4.8"/>
    <n v="4.8"/>
    <n v="4.8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83"/>
    <x v="83"/>
    <n v="174"/>
    <n v="174"/>
    <n v="174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60"/>
    <x v="60"/>
    <n v="10.8"/>
    <n v="10.8"/>
    <n v="10.8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27"/>
    <x v="27"/>
    <n v="40.799999999999997"/>
    <n v="40.799999999999997"/>
    <n v="40.799999999999997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28"/>
    <x v="28"/>
    <n v="60"/>
    <n v="60"/>
    <n v="60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29"/>
    <x v="29"/>
    <n v="101.4"/>
    <n v="101.4"/>
    <n v="101.4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30"/>
    <x v="30"/>
    <n v="171.6"/>
    <n v="171.6"/>
    <n v="171.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84"/>
    <x v="84"/>
    <n v="78"/>
    <n v="78"/>
    <n v="78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85"/>
    <x v="85"/>
    <n v="10.8"/>
    <n v="10.8"/>
    <n v="10.8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86"/>
    <x v="86"/>
    <n v="79.8"/>
    <m/>
    <m/>
    <x v="36"/>
    <s v="ОгранПроизвМощностей"/>
    <s v="Производ"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87"/>
    <x v="87"/>
    <n v="33.6"/>
    <n v="33.6"/>
    <n v="33.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31"/>
    <x v="31"/>
    <n v="1076.4000000000001"/>
    <n v="1076.4000000000001"/>
    <n v="1076.4000000000001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62"/>
    <x v="62"/>
    <n v="50.4"/>
    <n v="50.4"/>
    <n v="50.4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64"/>
    <x v="64"/>
    <n v="2.5499999999999998"/>
    <m/>
    <m/>
    <x v="37"/>
    <s v="КлиентИзменилЗаказ"/>
    <s v="Клиент"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88"/>
    <x v="88"/>
    <n v="6"/>
    <n v="6"/>
    <n v="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89"/>
    <x v="89"/>
    <n v="12"/>
    <n v="12"/>
    <n v="12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66"/>
    <x v="66"/>
    <n v="51"/>
    <n v="51"/>
    <n v="51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90"/>
    <x v="90"/>
    <n v="66.3"/>
    <n v="66.3"/>
    <n v="66.3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91"/>
    <x v="91"/>
    <n v="35.700000000000003"/>
    <n v="35.700000000000003"/>
    <n v="35.700000000000003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92"/>
    <x v="92"/>
    <n v="54.6"/>
    <n v="54.6"/>
    <n v="54.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93"/>
    <x v="93"/>
    <n v="195"/>
    <n v="195"/>
    <n v="195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34"/>
    <x v="34"/>
    <n v="108"/>
    <m/>
    <m/>
    <x v="26"/>
    <s v="ОгранПроизвМощностей"/>
    <s v="Производ"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35"/>
    <x v="35"/>
    <n v="1008"/>
    <n v="1008"/>
    <n v="1008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94"/>
    <x v="94"/>
    <n v="63.36"/>
    <n v="63.36"/>
    <n v="63.3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95"/>
    <x v="95"/>
    <n v="79.2"/>
    <n v="79.2"/>
    <n v="79.2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96"/>
    <x v="96"/>
    <n v="9.6"/>
    <n v="9.6"/>
    <n v="9.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46"/>
    <x v="46"/>
    <n v="142.56"/>
    <n v="142.56"/>
    <n v="142.5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68"/>
    <x v="68"/>
    <n v="76.8"/>
    <n v="76.8"/>
    <n v="76.8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69"/>
    <x v="69"/>
    <n v="121.44"/>
    <n v="121.44"/>
    <n v="121.44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38"/>
    <x v="38"/>
    <n v="10.56"/>
    <n v="10.56"/>
    <n v="10.5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97"/>
    <x v="97"/>
    <n v="454.08"/>
    <n v="454.08"/>
    <n v="454.08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98"/>
    <x v="98"/>
    <n v="9.6"/>
    <n v="9.6"/>
    <n v="9.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39"/>
    <x v="39"/>
    <n v="54"/>
    <m/>
    <m/>
    <x v="25"/>
    <s v="ОгранПроизвМощностей"/>
    <s v="Производ"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68"/>
    <x v="0"/>
    <d v="2026-08-14T20:00:00"/>
    <d v="2026-08-15T00:00:00"/>
    <d v="2026-08-14T20:00:00"/>
    <s v="596383_9"/>
    <s v="VLDR"/>
    <s v="ЦСК"/>
    <s v="Нет"/>
    <m/>
    <x v="2"/>
    <s v="Нет"/>
    <x v="99"/>
    <x v="99"/>
    <n v="34.200000000000003"/>
    <n v="34.200000000000003"/>
    <n v="34.200000000000003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4270"/>
    <x v="0"/>
    <d v="2026-08-14T20:00:00"/>
    <d v="2026-08-15T00:00:00"/>
    <d v="2026-08-14T20:00:00"/>
    <s v="596383_9"/>
    <s v="VLDR"/>
    <s v="ЦСК"/>
    <s v="Нет"/>
    <m/>
    <x v="2"/>
    <s v="Нет"/>
    <x v="31"/>
    <x v="31"/>
    <n v="124.8"/>
    <n v="124.8"/>
    <n v="124.8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4270"/>
    <x v="0"/>
    <d v="2026-08-14T20:00:00"/>
    <d v="2026-08-15T00:00:00"/>
    <d v="2026-08-14T20:00:00"/>
    <s v="596383_9"/>
    <s v="VLDR"/>
    <s v="ЦСК"/>
    <s v="Нет"/>
    <m/>
    <x v="2"/>
    <s v="Нет"/>
    <x v="100"/>
    <x v="100"/>
    <n v="120"/>
    <n v="120"/>
    <n v="120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4270"/>
    <x v="0"/>
    <d v="2026-08-14T20:00:00"/>
    <d v="2026-08-15T00:00:00"/>
    <d v="2026-08-14T20:00:00"/>
    <s v="596383_9"/>
    <s v="VLDR"/>
    <s v="ЦСК"/>
    <s v="Нет"/>
    <m/>
    <x v="2"/>
    <s v="Нет"/>
    <x v="35"/>
    <x v="35"/>
    <n v="144"/>
    <n v="144"/>
    <n v="144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4270"/>
    <x v="0"/>
    <d v="2026-08-14T20:00:00"/>
    <d v="2026-08-15T00:00:00"/>
    <d v="2026-08-14T20:00:00"/>
    <s v="596383_9"/>
    <s v="VLDR"/>
    <s v="ЦСК"/>
    <s v="Нет"/>
    <m/>
    <x v="2"/>
    <s v="Нет"/>
    <x v="36"/>
    <x v="36"/>
    <n v="33.6"/>
    <n v="33.6"/>
    <n v="33.6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4270"/>
    <x v="0"/>
    <d v="2026-08-14T20:00:00"/>
    <d v="2026-08-15T00:00:00"/>
    <d v="2026-08-14T20:00:00"/>
    <s v="596383_9"/>
    <s v="VLDR"/>
    <s v="ЦСК"/>
    <s v="Нет"/>
    <m/>
    <x v="2"/>
    <s v="Нет"/>
    <x v="45"/>
    <x v="45"/>
    <n v="42.24"/>
    <n v="42.24"/>
    <n v="42.24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4270"/>
    <x v="0"/>
    <d v="2026-08-14T20:00:00"/>
    <d v="2026-08-15T00:00:00"/>
    <d v="2026-08-14T20:00:00"/>
    <s v="596383_9"/>
    <s v="VLDR"/>
    <s v="ЦСК"/>
    <s v="Нет"/>
    <m/>
    <x v="2"/>
    <s v="Нет"/>
    <x v="97"/>
    <x v="97"/>
    <n v="42.24"/>
    <n v="42.24"/>
    <n v="42.24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4270"/>
    <x v="0"/>
    <d v="2026-08-14T20:00:00"/>
    <d v="2026-08-15T00:00:00"/>
    <d v="2026-08-14T20:00:00"/>
    <s v="596383_9"/>
    <s v="VLDR"/>
    <s v="ЦСК"/>
    <s v="Нет"/>
    <m/>
    <x v="2"/>
    <s v="Нет"/>
    <x v="41"/>
    <x v="41"/>
    <n v="86.4"/>
    <n v="86.4"/>
    <n v="86.4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71"/>
    <x v="71"/>
    <n v="268.8"/>
    <n v="268.8"/>
    <n v="268.8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101"/>
    <x v="101"/>
    <n v="345.6"/>
    <n v="345.6"/>
    <n v="345.6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47"/>
    <x v="47"/>
    <n v="259.2"/>
    <n v="259.2"/>
    <n v="259.2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74"/>
    <x v="74"/>
    <n v="432"/>
    <n v="432"/>
    <n v="432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2"/>
    <x v="2"/>
    <n v="194.4"/>
    <n v="194.4"/>
    <n v="194.4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3"/>
    <x v="3"/>
    <n v="75.599999999999994"/>
    <n v="75.599999999999994"/>
    <n v="75.599999999999994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41"/>
    <x v="41"/>
    <n v="691.2"/>
    <n v="691.2"/>
    <n v="691.2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4"/>
    <x v="4"/>
    <n v="259.2"/>
    <n v="259.2"/>
    <n v="259.2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5"/>
    <x v="5"/>
    <n v="64.8"/>
    <n v="64.8"/>
    <n v="64.8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80"/>
    <x v="80"/>
    <n v="50.4"/>
    <m/>
    <m/>
    <x v="38"/>
    <s v="ОгранПроизвМощностей"/>
    <s v="Производ"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55"/>
    <x v="55"/>
    <n v="100.8"/>
    <m/>
    <m/>
    <x v="39"/>
    <s v="ОгранПроизвМощностей"/>
    <s v="Производ"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9"/>
    <x v="9"/>
    <n v="37.799999999999997"/>
    <m/>
    <m/>
    <x v="40"/>
    <s v="ОгранПроизвМощностей"/>
    <s v="Производ"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11"/>
    <x v="11"/>
    <n v="75.599999999999994"/>
    <n v="75.599999999999994"/>
    <n v="75.599999999999994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12"/>
    <x v="12"/>
    <n v="194.4"/>
    <n v="194.4"/>
    <n v="194.4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13"/>
    <x v="13"/>
    <n v="194.4"/>
    <m/>
    <m/>
    <x v="41"/>
    <s v="ОгранПроизвМощностей"/>
    <s v="Производ"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58"/>
    <x v="58"/>
    <n v="194.4"/>
    <m/>
    <m/>
    <x v="41"/>
    <s v="ОгранПроизвМощностей"/>
    <s v="Производ"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59"/>
    <x v="59"/>
    <n v="194.4"/>
    <n v="194.4"/>
    <n v="194.4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19"/>
    <x v="19"/>
    <n v="348"/>
    <n v="348"/>
    <n v="348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20"/>
    <x v="20"/>
    <n v="144"/>
    <n v="144"/>
    <n v="144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21"/>
    <x v="21"/>
    <n v="86.4"/>
    <m/>
    <m/>
    <x v="42"/>
    <s v="ОгранПроизвМощностей"/>
    <s v="Производ"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22"/>
    <x v="22"/>
    <n v="86.4"/>
    <m/>
    <m/>
    <x v="42"/>
    <s v="ОгранПроизвМощностей"/>
    <s v="Производ"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24"/>
    <x v="24"/>
    <n v="57.6"/>
    <n v="57.6"/>
    <n v="57.6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27"/>
    <x v="27"/>
    <n v="86.4"/>
    <n v="86.4"/>
    <n v="86.4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28"/>
    <x v="28"/>
    <n v="57.6"/>
    <n v="57.6"/>
    <n v="57.6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87"/>
    <x v="87"/>
    <n v="268.8"/>
    <n v="268.8"/>
    <n v="268.8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31"/>
    <x v="31"/>
    <n v="312"/>
    <n v="312"/>
    <n v="312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62"/>
    <x v="62"/>
    <n v="67.2"/>
    <n v="67.2"/>
    <n v="67.2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102"/>
    <x v="102"/>
    <n v="64.8"/>
    <n v="64.8"/>
    <n v="64.8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103"/>
    <x v="103"/>
    <n v="240"/>
    <n v="240"/>
    <n v="240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42"/>
    <x v="42"/>
    <n v="360"/>
    <n v="360"/>
    <n v="360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100"/>
    <x v="100"/>
    <n v="405"/>
    <n v="405"/>
    <n v="405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33"/>
    <x v="33"/>
    <n v="360"/>
    <n v="360"/>
    <n v="360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34"/>
    <x v="34"/>
    <n v="144"/>
    <m/>
    <m/>
    <x v="11"/>
    <s v="ОгранПроизвМощностей"/>
    <s v="Производ"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35"/>
    <x v="35"/>
    <n v="144"/>
    <n v="144"/>
    <n v="144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36"/>
    <x v="36"/>
    <n v="86.4"/>
    <n v="86.4"/>
    <n v="86.4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44"/>
    <x v="44"/>
    <n v="211.2"/>
    <n v="211.2"/>
    <n v="211.2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45"/>
    <x v="45"/>
    <n v="253.44"/>
    <n v="253.44"/>
    <n v="253.44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46"/>
    <x v="46"/>
    <n v="42.24"/>
    <n v="42.24"/>
    <n v="42.24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69"/>
    <x v="69"/>
    <n v="126.72"/>
    <n v="126.72"/>
    <n v="126.72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38"/>
    <x v="38"/>
    <n v="84.48"/>
    <n v="84.48"/>
    <n v="84.48"/>
    <x v="0"/>
    <m/>
    <m/>
    <s v="Нет"/>
    <x v="0"/>
    <x v="5"/>
    <m/>
    <m/>
    <s v="Нет"/>
    <m/>
  </r>
  <r>
    <s v="596383"/>
    <s v="Нет"/>
    <s v="ОБЩЕСТВО С ОГРАНИЧЕННОЙ ОТВЕТСТВЕННОСТЬЮ &quot;НОВОЕ ВРЕМЯ&quot;"/>
    <s v="TSO001084272"/>
    <x v="0"/>
    <d v="2026-08-14T20:00:00"/>
    <d v="2026-08-15T00:00:00"/>
    <d v="2026-08-14T20:00:00"/>
    <s v="596383_9"/>
    <s v="VLDR"/>
    <s v="ЦСК"/>
    <s v="Нет"/>
    <m/>
    <x v="2"/>
    <s v="Нет"/>
    <x v="40"/>
    <x v="40"/>
    <n v="691.2"/>
    <n v="691.2"/>
    <n v="691.2"/>
    <x v="0"/>
    <m/>
    <m/>
    <s v="Нет"/>
    <x v="0"/>
    <x v="5"/>
    <m/>
    <m/>
    <s v="Нет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H233" firstHeaderRow="0" firstDataRow="1" firstDataCol="5"/>
  <pivotFields count="3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 defaultSubtotal="0">
      <items count="1">
        <item x="0"/>
      </items>
    </pivotField>
    <pivotField compact="0" numFmtId="19" outline="0" showAll="0" defaultSubtotal="0"/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2"/>
        <item x="0"/>
        <item x="1"/>
      </items>
    </pivotField>
    <pivotField compact="0" outline="0" showAll="0" defaultSubtotal="0"/>
    <pivotField axis="axisRow" compact="0" outline="0" showAll="0" defaultSubtotal="0">
      <items count="104">
        <item x="33"/>
        <item x="31"/>
        <item x="67"/>
        <item x="40"/>
        <item x="87"/>
        <item x="62"/>
        <item x="0"/>
        <item x="2"/>
        <item x="3"/>
        <item x="5"/>
        <item x="4"/>
        <item x="86"/>
        <item x="102"/>
        <item x="65"/>
        <item x="32"/>
        <item x="63"/>
        <item x="45"/>
        <item x="94"/>
        <item x="46"/>
        <item x="35"/>
        <item x="64"/>
        <item x="69"/>
        <item x="97"/>
        <item x="38"/>
        <item x="95"/>
        <item x="36"/>
        <item x="61"/>
        <item x="34"/>
        <item x="6"/>
        <item x="21"/>
        <item x="22"/>
        <item x="37"/>
        <item x="96"/>
        <item x="44"/>
        <item x="68"/>
        <item x="39"/>
        <item x="9"/>
        <item x="23"/>
        <item x="19"/>
        <item x="76"/>
        <item x="49"/>
        <item x="80"/>
        <item x="26"/>
        <item x="25"/>
        <item x="28"/>
        <item x="27"/>
        <item x="73"/>
        <item x="75"/>
        <item x="47"/>
        <item x="101"/>
        <item x="74"/>
        <item x="72"/>
        <item x="48"/>
        <item x="1"/>
        <item x="89"/>
        <item x="88"/>
        <item x="20"/>
        <item x="17"/>
        <item x="24"/>
        <item x="18"/>
        <item x="55"/>
        <item x="11"/>
        <item x="98"/>
        <item x="41"/>
        <item x="12"/>
        <item x="15"/>
        <item x="13"/>
        <item x="14"/>
        <item x="58"/>
        <item x="59"/>
        <item x="16"/>
        <item x="50"/>
        <item x="51"/>
        <item x="77"/>
        <item x="70"/>
        <item x="91"/>
        <item x="92"/>
        <item x="56"/>
        <item x="83"/>
        <item x="85"/>
        <item x="100"/>
        <item x="103"/>
        <item x="42"/>
        <item x="71"/>
        <item x="10"/>
        <item x="57"/>
        <item x="82"/>
        <item x="60"/>
        <item x="99"/>
        <item x="81"/>
        <item x="54"/>
        <item x="7"/>
        <item x="79"/>
        <item x="53"/>
        <item x="8"/>
        <item x="52"/>
        <item x="29"/>
        <item x="30"/>
        <item x="84"/>
        <item x="93"/>
        <item x="90"/>
        <item x="66"/>
        <item x="78"/>
        <item x="43"/>
      </items>
    </pivotField>
    <pivotField axis="axisRow" compact="0" outline="0" showAll="0" defaultSubtotal="0">
      <items count="104">
        <item x="69"/>
        <item x="38"/>
        <item x="97"/>
        <item x="98"/>
        <item x="12"/>
        <item x="14"/>
        <item x="13"/>
        <item x="15"/>
        <item x="86"/>
        <item x="55"/>
        <item x="11"/>
        <item x="93"/>
        <item x="70"/>
        <item x="96"/>
        <item x="43"/>
        <item x="95"/>
        <item x="44"/>
        <item x="45"/>
        <item x="37"/>
        <item x="83"/>
        <item x="103"/>
        <item x="29"/>
        <item x="78"/>
        <item x="30"/>
        <item x="41"/>
        <item x="42"/>
        <item x="84"/>
        <item x="85"/>
        <item x="100"/>
        <item x="71"/>
        <item x="101"/>
        <item x="73"/>
        <item x="40"/>
        <item x="0"/>
        <item x="94"/>
        <item x="74"/>
        <item x="75"/>
        <item x="76"/>
        <item x="68"/>
        <item x="48"/>
        <item x="49"/>
        <item x="47"/>
        <item x="46"/>
        <item x="33"/>
        <item x="60"/>
        <item x="50"/>
        <item x="72"/>
        <item x="80"/>
        <item x="9"/>
        <item x="66"/>
        <item x="90"/>
        <item x="81"/>
        <item x="7"/>
        <item x="54"/>
        <item x="10"/>
        <item x="56"/>
        <item x="53"/>
        <item x="79"/>
        <item x="52"/>
        <item x="8"/>
        <item x="77"/>
        <item x="58"/>
        <item x="59"/>
        <item x="16"/>
        <item x="61"/>
        <item x="88"/>
        <item x="89"/>
        <item x="64"/>
        <item x="32"/>
        <item x="63"/>
        <item x="65"/>
        <item x="87"/>
        <item x="6"/>
        <item x="25"/>
        <item x="26"/>
        <item x="34"/>
        <item x="31"/>
        <item x="1"/>
        <item x="62"/>
        <item x="92"/>
        <item x="91"/>
        <item x="39"/>
        <item x="2"/>
        <item x="3"/>
        <item x="35"/>
        <item x="36"/>
        <item x="67"/>
        <item x="99"/>
        <item x="4"/>
        <item x="5"/>
        <item x="17"/>
        <item x="20"/>
        <item x="27"/>
        <item x="21"/>
        <item x="22"/>
        <item x="18"/>
        <item x="24"/>
        <item x="19"/>
        <item x="102"/>
        <item x="51"/>
        <item x="28"/>
        <item x="23"/>
        <item x="82"/>
        <item x="57"/>
      </items>
    </pivotField>
    <pivotField dataField="1" compact="0" numFmtId="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>
      <items count="43">
        <item x="34"/>
        <item x="21"/>
        <item x="27"/>
        <item x="12"/>
        <item x="19"/>
        <item x="22"/>
        <item x="8"/>
        <item x="41"/>
        <item x="35"/>
        <item x="31"/>
        <item x="1"/>
        <item x="32"/>
        <item x="11"/>
        <item x="10"/>
        <item x="30"/>
        <item x="26"/>
        <item x="4"/>
        <item x="39"/>
        <item x="28"/>
        <item x="42"/>
        <item x="36"/>
        <item x="7"/>
        <item x="9"/>
        <item x="13"/>
        <item x="25"/>
        <item x="15"/>
        <item x="38"/>
        <item x="33"/>
        <item x="40"/>
        <item x="3"/>
        <item x="23"/>
        <item x="16"/>
        <item x="14"/>
        <item x="29"/>
        <item x="18"/>
        <item x="17"/>
        <item x="5"/>
        <item x="24"/>
        <item x="20"/>
        <item x="2"/>
        <item x="6"/>
        <item x="37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>
      <items count="1">
        <item x="0"/>
      </items>
    </pivotField>
    <pivotField axis="axisRow" compact="0" outline="0" showAll="0" defaultSubtotal="0">
      <items count="6">
        <item x="2"/>
        <item x="0"/>
        <item x="1"/>
        <item x="4"/>
        <item x="3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4"/>
    <field x="25"/>
    <field x="13"/>
    <field x="15"/>
    <field x="16"/>
  </rowFields>
  <rowItems count="230">
    <i>
      <x/>
      <x/>
      <x v="2"/>
      <x v="1"/>
      <x v="76"/>
    </i>
    <i r="3">
      <x v="2"/>
      <x v="86"/>
    </i>
    <i r="3">
      <x v="3"/>
      <x v="32"/>
    </i>
    <i r="3">
      <x v="5"/>
      <x v="78"/>
    </i>
    <i r="3">
      <x v="7"/>
      <x v="82"/>
    </i>
    <i r="3">
      <x v="10"/>
      <x v="88"/>
    </i>
    <i r="3">
      <x v="13"/>
      <x v="70"/>
    </i>
    <i r="3">
      <x v="14"/>
      <x v="68"/>
    </i>
    <i r="3">
      <x v="15"/>
      <x v="69"/>
    </i>
    <i r="3">
      <x v="18"/>
      <x v="42"/>
    </i>
    <i r="3">
      <x v="19"/>
      <x v="84"/>
    </i>
    <i r="3">
      <x v="20"/>
      <x v="67"/>
    </i>
    <i r="3">
      <x v="21"/>
      <x/>
    </i>
    <i r="3">
      <x v="23"/>
      <x v="1"/>
    </i>
    <i r="3">
      <x v="26"/>
      <x v="64"/>
    </i>
    <i r="3">
      <x v="27"/>
      <x v="75"/>
    </i>
    <i r="3">
      <x v="29"/>
      <x v="93"/>
    </i>
    <i r="3">
      <x v="30"/>
      <x v="94"/>
    </i>
    <i r="3">
      <x v="34"/>
      <x v="38"/>
    </i>
    <i r="3">
      <x v="35"/>
      <x v="81"/>
    </i>
    <i r="3">
      <x v="36"/>
      <x v="48"/>
    </i>
    <i r="3">
      <x v="37"/>
      <x v="101"/>
    </i>
    <i r="3">
      <x v="38"/>
      <x v="97"/>
    </i>
    <i r="3">
      <x v="40"/>
      <x v="40"/>
    </i>
    <i r="3">
      <x v="42"/>
      <x v="74"/>
    </i>
    <i r="3">
      <x v="43"/>
      <x v="73"/>
    </i>
    <i r="3">
      <x v="44"/>
      <x v="100"/>
    </i>
    <i r="3">
      <x v="45"/>
      <x v="92"/>
    </i>
    <i r="3">
      <x v="48"/>
      <x v="41"/>
    </i>
    <i r="3">
      <x v="52"/>
      <x v="39"/>
    </i>
    <i r="3">
      <x v="53"/>
      <x v="77"/>
    </i>
    <i r="3">
      <x v="56"/>
      <x v="91"/>
    </i>
    <i r="3">
      <x v="57"/>
      <x v="90"/>
    </i>
    <i r="3">
      <x v="58"/>
      <x v="96"/>
    </i>
    <i r="3">
      <x v="59"/>
      <x v="95"/>
    </i>
    <i r="3">
      <x v="60"/>
      <x v="9"/>
    </i>
    <i r="3">
      <x v="63"/>
      <x v="24"/>
    </i>
    <i r="3">
      <x v="65"/>
      <x v="7"/>
    </i>
    <i r="3">
      <x v="66"/>
      <x v="6"/>
    </i>
    <i r="3">
      <x v="68"/>
      <x v="61"/>
    </i>
    <i r="3">
      <x v="69"/>
      <x v="62"/>
    </i>
    <i r="3">
      <x v="71"/>
      <x v="45"/>
    </i>
    <i r="3">
      <x v="72"/>
      <x v="99"/>
    </i>
    <i r="3">
      <x v="77"/>
      <x v="55"/>
    </i>
    <i r="3">
      <x v="84"/>
      <x v="54"/>
    </i>
    <i r="3">
      <x v="85"/>
      <x v="103"/>
    </i>
    <i r="3">
      <x v="87"/>
      <x v="44"/>
    </i>
    <i r="3">
      <x v="90"/>
      <x v="53"/>
    </i>
    <i r="3">
      <x v="91"/>
      <x v="52"/>
    </i>
    <i r="3">
      <x v="93"/>
      <x v="56"/>
    </i>
    <i r="3">
      <x v="94"/>
      <x v="59"/>
    </i>
    <i r="3">
      <x v="95"/>
      <x v="58"/>
    </i>
    <i r="3">
      <x v="96"/>
      <x v="21"/>
    </i>
    <i r="3">
      <x v="97"/>
      <x v="23"/>
    </i>
    <i r="3">
      <x v="101"/>
      <x v="49"/>
    </i>
    <i r="1">
      <x v="1"/>
      <x v="1"/>
      <x/>
      <x v="43"/>
    </i>
    <i r="3">
      <x v="1"/>
      <x v="76"/>
    </i>
    <i r="3">
      <x v="3"/>
      <x v="32"/>
    </i>
    <i r="3">
      <x v="6"/>
      <x v="33"/>
    </i>
    <i r="3">
      <x v="7"/>
      <x v="82"/>
    </i>
    <i r="3">
      <x v="8"/>
      <x v="83"/>
    </i>
    <i r="3">
      <x v="9"/>
      <x v="89"/>
    </i>
    <i r="3">
      <x v="10"/>
      <x v="88"/>
    </i>
    <i r="3">
      <x v="14"/>
      <x v="68"/>
    </i>
    <i r="3">
      <x v="19"/>
      <x v="84"/>
    </i>
    <i r="3">
      <x v="23"/>
      <x v="1"/>
    </i>
    <i r="3">
      <x v="25"/>
      <x v="85"/>
    </i>
    <i r="3">
      <x v="27"/>
      <x v="75"/>
    </i>
    <i r="3">
      <x v="28"/>
      <x v="72"/>
    </i>
    <i r="3">
      <x v="29"/>
      <x v="93"/>
    </i>
    <i r="3">
      <x v="30"/>
      <x v="94"/>
    </i>
    <i r="3">
      <x v="31"/>
      <x v="18"/>
    </i>
    <i r="3">
      <x v="35"/>
      <x v="81"/>
    </i>
    <i r="3">
      <x v="36"/>
      <x v="48"/>
    </i>
    <i r="3">
      <x v="37"/>
      <x v="101"/>
    </i>
    <i r="3">
      <x v="38"/>
      <x v="97"/>
    </i>
    <i r="3">
      <x v="42"/>
      <x v="74"/>
    </i>
    <i r="3">
      <x v="43"/>
      <x v="73"/>
    </i>
    <i r="3">
      <x v="44"/>
      <x v="100"/>
    </i>
    <i r="3">
      <x v="45"/>
      <x v="92"/>
    </i>
    <i r="3">
      <x v="53"/>
      <x v="77"/>
    </i>
    <i r="3">
      <x v="56"/>
      <x v="91"/>
    </i>
    <i r="3">
      <x v="57"/>
      <x v="90"/>
    </i>
    <i r="3">
      <x v="58"/>
      <x v="96"/>
    </i>
    <i r="3">
      <x v="59"/>
      <x v="95"/>
    </i>
    <i r="3">
      <x v="61"/>
      <x v="10"/>
    </i>
    <i r="3">
      <x v="64"/>
      <x v="4"/>
    </i>
    <i r="3">
      <x v="65"/>
      <x v="7"/>
    </i>
    <i r="3">
      <x v="66"/>
      <x v="6"/>
    </i>
    <i r="3">
      <x v="67"/>
      <x v="5"/>
    </i>
    <i r="3">
      <x v="70"/>
      <x v="63"/>
    </i>
    <i r="3">
      <x v="84"/>
      <x v="54"/>
    </i>
    <i r="3">
      <x v="91"/>
      <x v="52"/>
    </i>
    <i r="3">
      <x v="94"/>
      <x v="59"/>
    </i>
    <i r="3">
      <x v="96"/>
      <x v="21"/>
    </i>
    <i r="3">
      <x v="97"/>
      <x v="23"/>
    </i>
    <i r="1">
      <x v="2"/>
      <x v="1"/>
      <x/>
      <x v="43"/>
    </i>
    <i r="3">
      <x v="1"/>
      <x v="76"/>
    </i>
    <i r="3">
      <x v="3"/>
      <x v="32"/>
    </i>
    <i r="3">
      <x v="16"/>
      <x v="17"/>
    </i>
    <i r="3">
      <x v="18"/>
      <x v="42"/>
    </i>
    <i r="3">
      <x v="27"/>
      <x v="75"/>
    </i>
    <i r="3">
      <x v="33"/>
      <x v="16"/>
    </i>
    <i r="3">
      <x v="63"/>
      <x v="24"/>
    </i>
    <i r="3">
      <x v="82"/>
      <x v="25"/>
    </i>
    <i r="3">
      <x v="103"/>
      <x v="14"/>
    </i>
    <i r="1">
      <x v="3"/>
      <x/>
      <x v="1"/>
      <x v="76"/>
    </i>
    <i r="3">
      <x v="16"/>
      <x v="17"/>
    </i>
    <i r="3">
      <x v="19"/>
      <x v="84"/>
    </i>
    <i r="3">
      <x v="22"/>
      <x v="2"/>
    </i>
    <i r="3">
      <x v="25"/>
      <x v="85"/>
    </i>
    <i r="3">
      <x v="63"/>
      <x v="24"/>
    </i>
    <i r="3">
      <x v="80"/>
      <x v="28"/>
    </i>
    <i r="1">
      <x v="4"/>
      <x/>
      <x v="1"/>
      <x v="76"/>
    </i>
    <i r="3">
      <x v="4"/>
      <x v="71"/>
    </i>
    <i r="3">
      <x v="5"/>
      <x v="78"/>
    </i>
    <i r="3">
      <x v="7"/>
      <x v="82"/>
    </i>
    <i r="3">
      <x v="8"/>
      <x v="83"/>
    </i>
    <i r="3">
      <x v="9"/>
      <x v="89"/>
    </i>
    <i r="3">
      <x v="11"/>
      <x v="8"/>
    </i>
    <i r="3">
      <x v="17"/>
      <x v="34"/>
    </i>
    <i r="3">
      <x v="18"/>
      <x v="42"/>
    </i>
    <i r="3">
      <x v="19"/>
      <x v="84"/>
    </i>
    <i r="3">
      <x v="20"/>
      <x v="67"/>
    </i>
    <i r="3">
      <x v="21"/>
      <x/>
    </i>
    <i r="3">
      <x v="22"/>
      <x v="2"/>
    </i>
    <i r="3">
      <x v="23"/>
      <x v="1"/>
    </i>
    <i r="3">
      <x v="24"/>
      <x v="15"/>
    </i>
    <i r="3">
      <x v="27"/>
      <x v="75"/>
    </i>
    <i r="3">
      <x v="29"/>
      <x v="93"/>
    </i>
    <i r="3">
      <x v="30"/>
      <x v="94"/>
    </i>
    <i r="3">
      <x v="32"/>
      <x v="13"/>
    </i>
    <i r="3">
      <x v="34"/>
      <x v="38"/>
    </i>
    <i r="3">
      <x v="35"/>
      <x v="81"/>
    </i>
    <i r="3">
      <x v="36"/>
      <x v="48"/>
    </i>
    <i r="3">
      <x v="37"/>
      <x v="101"/>
    </i>
    <i r="3">
      <x v="38"/>
      <x v="97"/>
    </i>
    <i r="3">
      <x v="39"/>
      <x v="37"/>
    </i>
    <i r="3">
      <x v="40"/>
      <x v="40"/>
    </i>
    <i r="3">
      <x v="41"/>
      <x v="47"/>
    </i>
    <i r="3">
      <x v="43"/>
      <x v="73"/>
    </i>
    <i r="3">
      <x v="44"/>
      <x v="100"/>
    </i>
    <i r="3">
      <x v="45"/>
      <x v="92"/>
    </i>
    <i r="3">
      <x v="46"/>
      <x v="31"/>
    </i>
    <i r="3">
      <x v="47"/>
      <x v="36"/>
    </i>
    <i r="3">
      <x v="50"/>
      <x v="35"/>
    </i>
    <i r="3">
      <x v="51"/>
      <x v="46"/>
    </i>
    <i r="3">
      <x v="52"/>
      <x v="39"/>
    </i>
    <i r="3">
      <x v="54"/>
      <x v="66"/>
    </i>
    <i r="3">
      <x v="55"/>
      <x v="65"/>
    </i>
    <i r="3">
      <x v="56"/>
      <x v="91"/>
    </i>
    <i r="3">
      <x v="57"/>
      <x v="90"/>
    </i>
    <i r="3">
      <x v="58"/>
      <x v="96"/>
    </i>
    <i r="3">
      <x v="59"/>
      <x v="95"/>
    </i>
    <i r="3">
      <x v="62"/>
      <x v="3"/>
    </i>
    <i r="3">
      <x v="63"/>
      <x v="24"/>
    </i>
    <i r="3">
      <x v="64"/>
      <x v="4"/>
    </i>
    <i r="3">
      <x v="65"/>
      <x v="7"/>
    </i>
    <i r="3">
      <x v="66"/>
      <x v="6"/>
    </i>
    <i r="3">
      <x v="67"/>
      <x v="5"/>
    </i>
    <i r="3">
      <x v="68"/>
      <x v="61"/>
    </i>
    <i r="3">
      <x v="69"/>
      <x v="62"/>
    </i>
    <i r="3">
      <x v="70"/>
      <x v="63"/>
    </i>
    <i r="3">
      <x v="71"/>
      <x v="45"/>
    </i>
    <i r="3">
      <x v="72"/>
      <x v="99"/>
    </i>
    <i r="3">
      <x v="73"/>
      <x v="60"/>
    </i>
    <i r="3">
      <x v="74"/>
      <x v="12"/>
    </i>
    <i r="3">
      <x v="75"/>
      <x v="80"/>
    </i>
    <i r="3">
      <x v="76"/>
      <x v="79"/>
    </i>
    <i r="3">
      <x v="78"/>
      <x v="19"/>
    </i>
    <i r="3">
      <x v="79"/>
      <x v="27"/>
    </i>
    <i r="3">
      <x v="83"/>
      <x v="29"/>
    </i>
    <i r="3">
      <x v="84"/>
      <x v="54"/>
    </i>
    <i r="3">
      <x v="86"/>
      <x v="102"/>
    </i>
    <i r="3">
      <x v="87"/>
      <x v="44"/>
    </i>
    <i r="3">
      <x v="88"/>
      <x v="87"/>
    </i>
    <i r="3">
      <x v="89"/>
      <x v="51"/>
    </i>
    <i r="3">
      <x v="91"/>
      <x v="52"/>
    </i>
    <i r="3">
      <x v="92"/>
      <x v="57"/>
    </i>
    <i r="3">
      <x v="93"/>
      <x v="56"/>
    </i>
    <i r="3">
      <x v="95"/>
      <x v="58"/>
    </i>
    <i r="3">
      <x v="96"/>
      <x v="21"/>
    </i>
    <i r="3">
      <x v="97"/>
      <x v="23"/>
    </i>
    <i r="3">
      <x v="98"/>
      <x v="26"/>
    </i>
    <i r="3">
      <x v="99"/>
      <x v="11"/>
    </i>
    <i r="3">
      <x v="100"/>
      <x v="50"/>
    </i>
    <i r="3">
      <x v="101"/>
      <x v="49"/>
    </i>
    <i r="3">
      <x v="102"/>
      <x v="22"/>
    </i>
    <i r="1">
      <x v="5"/>
      <x/>
      <x/>
      <x v="43"/>
    </i>
    <i r="3">
      <x v="1"/>
      <x v="76"/>
    </i>
    <i r="3">
      <x v="3"/>
      <x v="32"/>
    </i>
    <i r="3">
      <x v="4"/>
      <x v="71"/>
    </i>
    <i r="3">
      <x v="5"/>
      <x v="78"/>
    </i>
    <i r="3">
      <x v="7"/>
      <x v="82"/>
    </i>
    <i r="3">
      <x v="8"/>
      <x v="83"/>
    </i>
    <i r="3">
      <x v="9"/>
      <x v="89"/>
    </i>
    <i r="3">
      <x v="10"/>
      <x v="88"/>
    </i>
    <i r="3">
      <x v="12"/>
      <x v="98"/>
    </i>
    <i r="3">
      <x v="16"/>
      <x v="17"/>
    </i>
    <i r="3">
      <x v="18"/>
      <x v="42"/>
    </i>
    <i r="3">
      <x v="19"/>
      <x v="84"/>
    </i>
    <i r="3">
      <x v="21"/>
      <x/>
    </i>
    <i r="3">
      <x v="23"/>
      <x v="1"/>
    </i>
    <i r="3">
      <x v="25"/>
      <x v="85"/>
    </i>
    <i r="3">
      <x v="27"/>
      <x v="75"/>
    </i>
    <i r="3">
      <x v="29"/>
      <x v="93"/>
    </i>
    <i r="3">
      <x v="30"/>
      <x v="94"/>
    </i>
    <i r="3">
      <x v="33"/>
      <x v="16"/>
    </i>
    <i r="3">
      <x v="36"/>
      <x v="48"/>
    </i>
    <i r="3">
      <x v="38"/>
      <x v="97"/>
    </i>
    <i r="3">
      <x v="41"/>
      <x v="47"/>
    </i>
    <i r="3">
      <x v="44"/>
      <x v="100"/>
    </i>
    <i r="3">
      <x v="45"/>
      <x v="92"/>
    </i>
    <i r="3">
      <x v="48"/>
      <x v="41"/>
    </i>
    <i r="3">
      <x v="49"/>
      <x v="30"/>
    </i>
    <i r="3">
      <x v="50"/>
      <x v="35"/>
    </i>
    <i r="3">
      <x v="56"/>
      <x v="91"/>
    </i>
    <i r="3">
      <x v="58"/>
      <x v="96"/>
    </i>
    <i r="3">
      <x v="60"/>
      <x v="9"/>
    </i>
    <i r="3">
      <x v="61"/>
      <x v="10"/>
    </i>
    <i r="3">
      <x v="63"/>
      <x v="24"/>
    </i>
    <i r="3">
      <x v="64"/>
      <x v="4"/>
    </i>
    <i r="3">
      <x v="66"/>
      <x v="6"/>
    </i>
    <i r="3">
      <x v="68"/>
      <x v="61"/>
    </i>
    <i r="3">
      <x v="69"/>
      <x v="62"/>
    </i>
    <i r="3">
      <x v="80"/>
      <x v="28"/>
    </i>
    <i r="3">
      <x v="81"/>
      <x v="20"/>
    </i>
    <i r="3">
      <x v="82"/>
      <x v="25"/>
    </i>
    <i r="3">
      <x v="83"/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Заказано" fld="17" baseField="16" baseItem="76" numFmtId="164"/>
    <dataField name=" Урезание" fld="20" baseField="16" baseItem="76" numFmtId="164"/>
    <dataField name=" Недогруз" fld="24" baseField="16" baseItem="76" numFmtId="164"/>
  </dataFields>
  <formats count="257">
    <format dxfId="256">
      <pivotArea type="all" dataOnly="0" outline="0" fieldPosition="0"/>
    </format>
    <format dxfId="255">
      <pivotArea outline="0" collapsedLevelsAreSubtotals="1" fieldPosition="0"/>
    </format>
    <format dxfId="254">
      <pivotArea field="4" type="button" dataOnly="0" labelOnly="1" outline="0" axis="axisRow" fieldPosition="0"/>
    </format>
    <format dxfId="253">
      <pivotArea field="25" type="button" dataOnly="0" labelOnly="1" outline="0" axis="axisRow" fieldPosition="1"/>
    </format>
    <format dxfId="252">
      <pivotArea field="13" type="button" dataOnly="0" labelOnly="1" outline="0" axis="axisRow" fieldPosition="2"/>
    </format>
    <format dxfId="251">
      <pivotArea field="15" type="button" dataOnly="0" labelOnly="1" outline="0" axis="axisRow" fieldPosition="3"/>
    </format>
    <format dxfId="250">
      <pivotArea field="16" type="button" dataOnly="0" labelOnly="1" outline="0" axis="axisRow" fieldPosition="4"/>
    </format>
    <format dxfId="249">
      <pivotArea dataOnly="0" labelOnly="1" outline="0" fieldPosition="0">
        <references count="1">
          <reference field="4" count="0"/>
        </references>
      </pivotArea>
    </format>
    <format dxfId="248">
      <pivotArea dataOnly="0" labelOnly="1" grandRow="1" outline="0" fieldPosition="0"/>
    </format>
    <format dxfId="247">
      <pivotArea dataOnly="0" labelOnly="1" outline="0" fieldPosition="0">
        <references count="2">
          <reference field="4" count="0" selected="0"/>
          <reference field="25" count="0"/>
        </references>
      </pivotArea>
    </format>
    <format dxfId="246">
      <pivotArea dataOnly="0" labelOnly="1" outline="0" fieldPosition="0">
        <references count="3">
          <reference field="4" count="0" selected="0"/>
          <reference field="13" count="1">
            <x v="2"/>
          </reference>
          <reference field="25" count="1" selected="0">
            <x v="0"/>
          </reference>
        </references>
      </pivotArea>
    </format>
    <format dxfId="245">
      <pivotArea dataOnly="0" labelOnly="1" outline="0" fieldPosition="0">
        <references count="3">
          <reference field="4" count="0" selected="0"/>
          <reference field="13" count="1">
            <x v="1"/>
          </reference>
          <reference field="25" count="1" selected="0">
            <x v="1"/>
          </reference>
        </references>
      </pivotArea>
    </format>
    <format dxfId="244">
      <pivotArea dataOnly="0" labelOnly="1" outline="0" fieldPosition="0">
        <references count="3">
          <reference field="4" count="0" selected="0"/>
          <reference field="13" count="1">
            <x v="0"/>
          </reference>
          <reference field="25" count="1" selected="0">
            <x v="3"/>
          </reference>
        </references>
      </pivotArea>
    </format>
    <format dxfId="243">
      <pivotArea dataOnly="0" labelOnly="1" outline="0" fieldPosition="0">
        <references count="4">
          <reference field="4" count="0" selected="0"/>
          <reference field="13" count="1" selected="0">
            <x v="2"/>
          </reference>
          <reference field="15" count="50">
            <x v="1"/>
            <x v="2"/>
            <x v="3"/>
            <x v="5"/>
            <x v="7"/>
            <x v="10"/>
            <x v="13"/>
            <x v="14"/>
            <x v="15"/>
            <x v="18"/>
            <x v="19"/>
            <x v="20"/>
            <x v="21"/>
            <x v="23"/>
            <x v="26"/>
            <x v="27"/>
            <x v="29"/>
            <x v="30"/>
            <x v="34"/>
            <x v="35"/>
            <x v="36"/>
            <x v="37"/>
            <x v="38"/>
            <x v="40"/>
            <x v="42"/>
            <x v="43"/>
            <x v="44"/>
            <x v="45"/>
            <x v="48"/>
            <x v="52"/>
            <x v="53"/>
            <x v="56"/>
            <x v="57"/>
            <x v="58"/>
            <x v="59"/>
            <x v="60"/>
            <x v="63"/>
            <x v="65"/>
            <x v="66"/>
            <x v="68"/>
            <x v="69"/>
            <x v="71"/>
            <x v="72"/>
            <x v="77"/>
            <x v="84"/>
            <x v="85"/>
            <x v="87"/>
            <x v="90"/>
            <x v="91"/>
            <x v="93"/>
          </reference>
          <reference field="25" count="1" selected="0">
            <x v="0"/>
          </reference>
        </references>
      </pivotArea>
    </format>
    <format dxfId="242">
      <pivotArea dataOnly="0" labelOnly="1" outline="0" fieldPosition="0">
        <references count="4">
          <reference field="4" count="0" selected="0"/>
          <reference field="13" count="1" selected="0">
            <x v="2"/>
          </reference>
          <reference field="15" count="5">
            <x v="94"/>
            <x v="95"/>
            <x v="96"/>
            <x v="97"/>
            <x v="101"/>
          </reference>
          <reference field="25" count="1" selected="0">
            <x v="0"/>
          </reference>
        </references>
      </pivotArea>
    </format>
    <format dxfId="241">
      <pivotArea dataOnly="0" labelOnly="1" outline="0" fieldPosition="0">
        <references count="4">
          <reference field="4" count="0" selected="0"/>
          <reference field="13" count="1" selected="0">
            <x v="1"/>
          </reference>
          <reference field="15" count="41">
            <x v="0"/>
            <x v="1"/>
            <x v="3"/>
            <x v="6"/>
            <x v="7"/>
            <x v="8"/>
            <x v="9"/>
            <x v="10"/>
            <x v="14"/>
            <x v="19"/>
            <x v="23"/>
            <x v="25"/>
            <x v="27"/>
            <x v="28"/>
            <x v="29"/>
            <x v="30"/>
            <x v="31"/>
            <x v="35"/>
            <x v="36"/>
            <x v="37"/>
            <x v="38"/>
            <x v="42"/>
            <x v="43"/>
            <x v="44"/>
            <x v="45"/>
            <x v="53"/>
            <x v="56"/>
            <x v="57"/>
            <x v="58"/>
            <x v="59"/>
            <x v="61"/>
            <x v="64"/>
            <x v="65"/>
            <x v="66"/>
            <x v="67"/>
            <x v="70"/>
            <x v="84"/>
            <x v="91"/>
            <x v="94"/>
            <x v="96"/>
            <x v="97"/>
          </reference>
          <reference field="25" count="1" selected="0">
            <x v="1"/>
          </reference>
        </references>
      </pivotArea>
    </format>
    <format dxfId="240">
      <pivotArea dataOnly="0" labelOnly="1" outline="0" fieldPosition="0">
        <references count="4">
          <reference field="4" count="0" selected="0"/>
          <reference field="13" count="1" selected="0">
            <x v="1"/>
          </reference>
          <reference field="15" count="10">
            <x v="0"/>
            <x v="1"/>
            <x v="3"/>
            <x v="16"/>
            <x v="18"/>
            <x v="27"/>
            <x v="33"/>
            <x v="63"/>
            <x v="82"/>
            <x v="103"/>
          </reference>
          <reference field="25" count="1" selected="0">
            <x v="2"/>
          </reference>
        </references>
      </pivotArea>
    </format>
    <format dxfId="239">
      <pivotArea dataOnly="0" labelOnly="1" outline="0" fieldPosition="0">
        <references count="4">
          <reference field="4" count="0" selected="0"/>
          <reference field="13" count="1" selected="0">
            <x v="0"/>
          </reference>
          <reference field="15" count="7">
            <x v="1"/>
            <x v="16"/>
            <x v="19"/>
            <x v="22"/>
            <x v="25"/>
            <x v="63"/>
            <x v="80"/>
          </reference>
          <reference field="25" count="1" selected="0">
            <x v="3"/>
          </reference>
        </references>
      </pivotArea>
    </format>
    <format dxfId="238">
      <pivotArea dataOnly="0" labelOnly="1" outline="0" fieldPosition="0">
        <references count="4">
          <reference field="4" count="0" selected="0"/>
          <reference field="13" count="1" selected="0">
            <x v="0"/>
          </reference>
          <reference field="15" count="50">
            <x v="1"/>
            <x v="4"/>
            <x v="5"/>
            <x v="7"/>
            <x v="8"/>
            <x v="9"/>
            <x v="11"/>
            <x v="17"/>
            <x v="18"/>
            <x v="19"/>
            <x v="20"/>
            <x v="21"/>
            <x v="22"/>
            <x v="23"/>
            <x v="24"/>
            <x v="27"/>
            <x v="29"/>
            <x v="30"/>
            <x v="32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  <x v="50"/>
            <x v="51"/>
            <x v="52"/>
            <x v="54"/>
            <x v="55"/>
            <x v="56"/>
            <x v="57"/>
            <x v="58"/>
            <x v="59"/>
            <x v="62"/>
            <x v="63"/>
            <x v="64"/>
            <x v="65"/>
            <x v="66"/>
            <x v="67"/>
            <x v="68"/>
            <x v="69"/>
            <x v="70"/>
          </reference>
          <reference field="25" count="1" selected="0">
            <x v="4"/>
          </reference>
        </references>
      </pivotArea>
    </format>
    <format dxfId="237">
      <pivotArea dataOnly="0" labelOnly="1" outline="0" fieldPosition="0">
        <references count="4">
          <reference field="4" count="0" selected="0"/>
          <reference field="13" count="1" selected="0">
            <x v="0"/>
          </reference>
          <reference field="15" count="25">
            <x v="71"/>
            <x v="72"/>
            <x v="73"/>
            <x v="74"/>
            <x v="75"/>
            <x v="76"/>
            <x v="78"/>
            <x v="79"/>
            <x v="83"/>
            <x v="84"/>
            <x v="86"/>
            <x v="87"/>
            <x v="88"/>
            <x v="89"/>
            <x v="91"/>
            <x v="92"/>
            <x v="93"/>
            <x v="95"/>
            <x v="96"/>
            <x v="97"/>
            <x v="98"/>
            <x v="99"/>
            <x v="100"/>
            <x v="101"/>
            <x v="102"/>
          </reference>
          <reference field="25" count="1" selected="0">
            <x v="4"/>
          </reference>
        </references>
      </pivotArea>
    </format>
    <format dxfId="236">
      <pivotArea dataOnly="0" labelOnly="1" outline="0" fieldPosition="0">
        <references count="4">
          <reference field="4" count="0" selected="0"/>
          <reference field="13" count="1" selected="0">
            <x v="0"/>
          </reference>
          <reference field="15" count="41">
            <x v="0"/>
            <x v="1"/>
            <x v="3"/>
            <x v="4"/>
            <x v="5"/>
            <x v="7"/>
            <x v="8"/>
            <x v="9"/>
            <x v="10"/>
            <x v="12"/>
            <x v="16"/>
            <x v="18"/>
            <x v="19"/>
            <x v="21"/>
            <x v="23"/>
            <x v="25"/>
            <x v="27"/>
            <x v="29"/>
            <x v="30"/>
            <x v="33"/>
            <x v="36"/>
            <x v="38"/>
            <x v="41"/>
            <x v="44"/>
            <x v="45"/>
            <x v="48"/>
            <x v="49"/>
            <x v="50"/>
            <x v="56"/>
            <x v="58"/>
            <x v="60"/>
            <x v="61"/>
            <x v="63"/>
            <x v="64"/>
            <x v="66"/>
            <x v="68"/>
            <x v="69"/>
            <x v="80"/>
            <x v="81"/>
            <x v="82"/>
            <x v="83"/>
          </reference>
          <reference field="25" count="1" selected="0">
            <x v="5"/>
          </reference>
        </references>
      </pivotArea>
    </format>
    <format dxfId="235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"/>
          </reference>
          <reference field="16" count="1">
            <x v="76"/>
          </reference>
          <reference field="25" count="1" selected="0">
            <x v="0"/>
          </reference>
        </references>
      </pivotArea>
    </format>
    <format dxfId="234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2"/>
          </reference>
          <reference field="16" count="1">
            <x v="86"/>
          </reference>
          <reference field="25" count="1" selected="0">
            <x v="0"/>
          </reference>
        </references>
      </pivotArea>
    </format>
    <format dxfId="233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3"/>
          </reference>
          <reference field="16" count="1">
            <x v="32"/>
          </reference>
          <reference field="25" count="1" selected="0">
            <x v="0"/>
          </reference>
        </references>
      </pivotArea>
    </format>
    <format dxfId="232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5"/>
          </reference>
          <reference field="16" count="1">
            <x v="78"/>
          </reference>
          <reference field="25" count="1" selected="0">
            <x v="0"/>
          </reference>
        </references>
      </pivotArea>
    </format>
    <format dxfId="231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7"/>
          </reference>
          <reference field="16" count="1">
            <x v="82"/>
          </reference>
          <reference field="25" count="1" selected="0">
            <x v="0"/>
          </reference>
        </references>
      </pivotArea>
    </format>
    <format dxfId="230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0"/>
          </reference>
          <reference field="16" count="1">
            <x v="88"/>
          </reference>
          <reference field="25" count="1" selected="0">
            <x v="0"/>
          </reference>
        </references>
      </pivotArea>
    </format>
    <format dxfId="229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3"/>
          </reference>
          <reference field="16" count="1">
            <x v="70"/>
          </reference>
          <reference field="25" count="1" selected="0">
            <x v="0"/>
          </reference>
        </references>
      </pivotArea>
    </format>
    <format dxfId="228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4"/>
          </reference>
          <reference field="16" count="1">
            <x v="68"/>
          </reference>
          <reference field="25" count="1" selected="0">
            <x v="0"/>
          </reference>
        </references>
      </pivotArea>
    </format>
    <format dxfId="227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5"/>
          </reference>
          <reference field="16" count="1">
            <x v="69"/>
          </reference>
          <reference field="25" count="1" selected="0">
            <x v="0"/>
          </reference>
        </references>
      </pivotArea>
    </format>
    <format dxfId="226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8"/>
          </reference>
          <reference field="16" count="1">
            <x v="42"/>
          </reference>
          <reference field="25" count="1" selected="0">
            <x v="0"/>
          </reference>
        </references>
      </pivotArea>
    </format>
    <format dxfId="225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9"/>
          </reference>
          <reference field="16" count="1">
            <x v="84"/>
          </reference>
          <reference field="25" count="1" selected="0">
            <x v="0"/>
          </reference>
        </references>
      </pivotArea>
    </format>
    <format dxfId="224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20"/>
          </reference>
          <reference field="16" count="1">
            <x v="67"/>
          </reference>
          <reference field="25" count="1" selected="0">
            <x v="0"/>
          </reference>
        </references>
      </pivotArea>
    </format>
    <format dxfId="223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21"/>
          </reference>
          <reference field="16" count="1">
            <x v="0"/>
          </reference>
          <reference field="25" count="1" selected="0">
            <x v="0"/>
          </reference>
        </references>
      </pivotArea>
    </format>
    <format dxfId="222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23"/>
          </reference>
          <reference field="16" count="1">
            <x v="1"/>
          </reference>
          <reference field="25" count="1" selected="0">
            <x v="0"/>
          </reference>
        </references>
      </pivotArea>
    </format>
    <format dxfId="221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26"/>
          </reference>
          <reference field="16" count="1">
            <x v="64"/>
          </reference>
          <reference field="25" count="1" selected="0">
            <x v="0"/>
          </reference>
        </references>
      </pivotArea>
    </format>
    <format dxfId="220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27"/>
          </reference>
          <reference field="16" count="1">
            <x v="75"/>
          </reference>
          <reference field="25" count="1" selected="0">
            <x v="0"/>
          </reference>
        </references>
      </pivotArea>
    </format>
    <format dxfId="219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29"/>
          </reference>
          <reference field="16" count="1">
            <x v="93"/>
          </reference>
          <reference field="25" count="1" selected="0">
            <x v="0"/>
          </reference>
        </references>
      </pivotArea>
    </format>
    <format dxfId="218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30"/>
          </reference>
          <reference field="16" count="1">
            <x v="94"/>
          </reference>
          <reference field="25" count="1" selected="0">
            <x v="0"/>
          </reference>
        </references>
      </pivotArea>
    </format>
    <format dxfId="217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34"/>
          </reference>
          <reference field="16" count="1">
            <x v="38"/>
          </reference>
          <reference field="25" count="1" selected="0">
            <x v="0"/>
          </reference>
        </references>
      </pivotArea>
    </format>
    <format dxfId="216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35"/>
          </reference>
          <reference field="16" count="1">
            <x v="81"/>
          </reference>
          <reference field="25" count="1" selected="0">
            <x v="0"/>
          </reference>
        </references>
      </pivotArea>
    </format>
    <format dxfId="215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36"/>
          </reference>
          <reference field="16" count="1">
            <x v="48"/>
          </reference>
          <reference field="25" count="1" selected="0">
            <x v="0"/>
          </reference>
        </references>
      </pivotArea>
    </format>
    <format dxfId="214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37"/>
          </reference>
          <reference field="16" count="1">
            <x v="101"/>
          </reference>
          <reference field="25" count="1" selected="0">
            <x v="0"/>
          </reference>
        </references>
      </pivotArea>
    </format>
    <format dxfId="213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38"/>
          </reference>
          <reference field="16" count="1">
            <x v="97"/>
          </reference>
          <reference field="25" count="1" selected="0">
            <x v="0"/>
          </reference>
        </references>
      </pivotArea>
    </format>
    <format dxfId="212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40"/>
          </reference>
          <reference field="16" count="1">
            <x v="40"/>
          </reference>
          <reference field="25" count="1" selected="0">
            <x v="0"/>
          </reference>
        </references>
      </pivotArea>
    </format>
    <format dxfId="211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42"/>
          </reference>
          <reference field="16" count="1">
            <x v="74"/>
          </reference>
          <reference field="25" count="1" selected="0">
            <x v="0"/>
          </reference>
        </references>
      </pivotArea>
    </format>
    <format dxfId="210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43"/>
          </reference>
          <reference field="16" count="1">
            <x v="73"/>
          </reference>
          <reference field="25" count="1" selected="0">
            <x v="0"/>
          </reference>
        </references>
      </pivotArea>
    </format>
    <format dxfId="209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44"/>
          </reference>
          <reference field="16" count="1">
            <x v="100"/>
          </reference>
          <reference field="25" count="1" selected="0">
            <x v="0"/>
          </reference>
        </references>
      </pivotArea>
    </format>
    <format dxfId="208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45"/>
          </reference>
          <reference field="16" count="1">
            <x v="92"/>
          </reference>
          <reference field="25" count="1" selected="0">
            <x v="0"/>
          </reference>
        </references>
      </pivotArea>
    </format>
    <format dxfId="207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48"/>
          </reference>
          <reference field="16" count="1">
            <x v="41"/>
          </reference>
          <reference field="25" count="1" selected="0">
            <x v="0"/>
          </reference>
        </references>
      </pivotArea>
    </format>
    <format dxfId="206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52"/>
          </reference>
          <reference field="16" count="1">
            <x v="39"/>
          </reference>
          <reference field="25" count="1" selected="0">
            <x v="0"/>
          </reference>
        </references>
      </pivotArea>
    </format>
    <format dxfId="205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53"/>
          </reference>
          <reference field="16" count="1">
            <x v="77"/>
          </reference>
          <reference field="25" count="1" selected="0">
            <x v="0"/>
          </reference>
        </references>
      </pivotArea>
    </format>
    <format dxfId="204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56"/>
          </reference>
          <reference field="16" count="1">
            <x v="91"/>
          </reference>
          <reference field="25" count="1" selected="0">
            <x v="0"/>
          </reference>
        </references>
      </pivotArea>
    </format>
    <format dxfId="203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57"/>
          </reference>
          <reference field="16" count="1">
            <x v="90"/>
          </reference>
          <reference field="25" count="1" selected="0">
            <x v="0"/>
          </reference>
        </references>
      </pivotArea>
    </format>
    <format dxfId="202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58"/>
          </reference>
          <reference field="16" count="1">
            <x v="96"/>
          </reference>
          <reference field="25" count="1" selected="0">
            <x v="0"/>
          </reference>
        </references>
      </pivotArea>
    </format>
    <format dxfId="201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59"/>
          </reference>
          <reference field="16" count="1">
            <x v="95"/>
          </reference>
          <reference field="25" count="1" selected="0">
            <x v="0"/>
          </reference>
        </references>
      </pivotArea>
    </format>
    <format dxfId="200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60"/>
          </reference>
          <reference field="16" count="1">
            <x v="9"/>
          </reference>
          <reference field="25" count="1" selected="0">
            <x v="0"/>
          </reference>
        </references>
      </pivotArea>
    </format>
    <format dxfId="199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63"/>
          </reference>
          <reference field="16" count="1">
            <x v="24"/>
          </reference>
          <reference field="25" count="1" selected="0">
            <x v="0"/>
          </reference>
        </references>
      </pivotArea>
    </format>
    <format dxfId="198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65"/>
          </reference>
          <reference field="16" count="1">
            <x v="7"/>
          </reference>
          <reference field="25" count="1" selected="0">
            <x v="0"/>
          </reference>
        </references>
      </pivotArea>
    </format>
    <format dxfId="197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66"/>
          </reference>
          <reference field="16" count="1">
            <x v="6"/>
          </reference>
          <reference field="25" count="1" selected="0">
            <x v="0"/>
          </reference>
        </references>
      </pivotArea>
    </format>
    <format dxfId="196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68"/>
          </reference>
          <reference field="16" count="1">
            <x v="61"/>
          </reference>
          <reference field="25" count="1" selected="0">
            <x v="0"/>
          </reference>
        </references>
      </pivotArea>
    </format>
    <format dxfId="195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69"/>
          </reference>
          <reference field="16" count="1">
            <x v="62"/>
          </reference>
          <reference field="25" count="1" selected="0">
            <x v="0"/>
          </reference>
        </references>
      </pivotArea>
    </format>
    <format dxfId="194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71"/>
          </reference>
          <reference field="16" count="1">
            <x v="45"/>
          </reference>
          <reference field="25" count="1" selected="0">
            <x v="0"/>
          </reference>
        </references>
      </pivotArea>
    </format>
    <format dxfId="193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72"/>
          </reference>
          <reference field="16" count="1">
            <x v="99"/>
          </reference>
          <reference field="25" count="1" selected="0">
            <x v="0"/>
          </reference>
        </references>
      </pivotArea>
    </format>
    <format dxfId="192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77"/>
          </reference>
          <reference field="16" count="1">
            <x v="55"/>
          </reference>
          <reference field="25" count="1" selected="0">
            <x v="0"/>
          </reference>
        </references>
      </pivotArea>
    </format>
    <format dxfId="191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84"/>
          </reference>
          <reference field="16" count="1">
            <x v="54"/>
          </reference>
          <reference field="25" count="1" selected="0">
            <x v="0"/>
          </reference>
        </references>
      </pivotArea>
    </format>
    <format dxfId="190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85"/>
          </reference>
          <reference field="16" count="1">
            <x v="103"/>
          </reference>
          <reference field="25" count="1" selected="0">
            <x v="0"/>
          </reference>
        </references>
      </pivotArea>
    </format>
    <format dxfId="189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87"/>
          </reference>
          <reference field="16" count="1">
            <x v="44"/>
          </reference>
          <reference field="25" count="1" selected="0">
            <x v="0"/>
          </reference>
        </references>
      </pivotArea>
    </format>
    <format dxfId="188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90"/>
          </reference>
          <reference field="16" count="1">
            <x v="53"/>
          </reference>
          <reference field="25" count="1" selected="0">
            <x v="0"/>
          </reference>
        </references>
      </pivotArea>
    </format>
    <format dxfId="187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91"/>
          </reference>
          <reference field="16" count="1">
            <x v="52"/>
          </reference>
          <reference field="25" count="1" selected="0">
            <x v="0"/>
          </reference>
        </references>
      </pivotArea>
    </format>
    <format dxfId="186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93"/>
          </reference>
          <reference field="16" count="1">
            <x v="56"/>
          </reference>
          <reference field="25" count="1" selected="0">
            <x v="0"/>
          </reference>
        </references>
      </pivotArea>
    </format>
    <format dxfId="185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94"/>
          </reference>
          <reference field="16" count="1">
            <x v="59"/>
          </reference>
          <reference field="25" count="1" selected="0">
            <x v="0"/>
          </reference>
        </references>
      </pivotArea>
    </format>
    <format dxfId="184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95"/>
          </reference>
          <reference field="16" count="1">
            <x v="58"/>
          </reference>
          <reference field="25" count="1" selected="0">
            <x v="0"/>
          </reference>
        </references>
      </pivotArea>
    </format>
    <format dxfId="183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96"/>
          </reference>
          <reference field="16" count="1">
            <x v="21"/>
          </reference>
          <reference field="25" count="1" selected="0">
            <x v="0"/>
          </reference>
        </references>
      </pivotArea>
    </format>
    <format dxfId="182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97"/>
          </reference>
          <reference field="16" count="1">
            <x v="23"/>
          </reference>
          <reference field="25" count="1" selected="0">
            <x v="0"/>
          </reference>
        </references>
      </pivotArea>
    </format>
    <format dxfId="181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01"/>
          </reference>
          <reference field="16" count="1">
            <x v="49"/>
          </reference>
          <reference field="25" count="1" selected="0">
            <x v="0"/>
          </reference>
        </references>
      </pivotArea>
    </format>
    <format dxfId="180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0"/>
          </reference>
          <reference field="16" count="1">
            <x v="43"/>
          </reference>
          <reference field="25" count="1" selected="0">
            <x v="1"/>
          </reference>
        </references>
      </pivotArea>
    </format>
    <format dxfId="179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"/>
          </reference>
          <reference field="16" count="1">
            <x v="76"/>
          </reference>
          <reference field="25" count="1" selected="0">
            <x v="1"/>
          </reference>
        </references>
      </pivotArea>
    </format>
    <format dxfId="178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3"/>
          </reference>
          <reference field="16" count="1">
            <x v="32"/>
          </reference>
          <reference field="25" count="1" selected="0">
            <x v="1"/>
          </reference>
        </references>
      </pivotArea>
    </format>
    <format dxfId="177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6"/>
          </reference>
          <reference field="16" count="1">
            <x v="33"/>
          </reference>
          <reference field="25" count="1" selected="0">
            <x v="1"/>
          </reference>
        </references>
      </pivotArea>
    </format>
    <format dxfId="176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7"/>
          </reference>
          <reference field="16" count="1">
            <x v="82"/>
          </reference>
          <reference field="25" count="1" selected="0">
            <x v="1"/>
          </reference>
        </references>
      </pivotArea>
    </format>
    <format dxfId="175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8"/>
          </reference>
          <reference field="16" count="1">
            <x v="83"/>
          </reference>
          <reference field="25" count="1" selected="0">
            <x v="1"/>
          </reference>
        </references>
      </pivotArea>
    </format>
    <format dxfId="174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9"/>
          </reference>
          <reference field="16" count="1">
            <x v="89"/>
          </reference>
          <reference field="25" count="1" selected="0">
            <x v="1"/>
          </reference>
        </references>
      </pivotArea>
    </format>
    <format dxfId="173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0"/>
          </reference>
          <reference field="16" count="1">
            <x v="88"/>
          </reference>
          <reference field="25" count="1" selected="0">
            <x v="1"/>
          </reference>
        </references>
      </pivotArea>
    </format>
    <format dxfId="172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4"/>
          </reference>
          <reference field="16" count="1">
            <x v="68"/>
          </reference>
          <reference field="25" count="1" selected="0">
            <x v="1"/>
          </reference>
        </references>
      </pivotArea>
    </format>
    <format dxfId="171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9"/>
          </reference>
          <reference field="16" count="1">
            <x v="84"/>
          </reference>
          <reference field="25" count="1" selected="0">
            <x v="1"/>
          </reference>
        </references>
      </pivotArea>
    </format>
    <format dxfId="170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23"/>
          </reference>
          <reference field="16" count="1">
            <x v="1"/>
          </reference>
          <reference field="25" count="1" selected="0">
            <x v="1"/>
          </reference>
        </references>
      </pivotArea>
    </format>
    <format dxfId="169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25"/>
          </reference>
          <reference field="16" count="1">
            <x v="85"/>
          </reference>
          <reference field="25" count="1" selected="0">
            <x v="1"/>
          </reference>
        </references>
      </pivotArea>
    </format>
    <format dxfId="168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27"/>
          </reference>
          <reference field="16" count="1">
            <x v="75"/>
          </reference>
          <reference field="25" count="1" selected="0">
            <x v="1"/>
          </reference>
        </references>
      </pivotArea>
    </format>
    <format dxfId="167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28"/>
          </reference>
          <reference field="16" count="1">
            <x v="72"/>
          </reference>
          <reference field="25" count="1" selected="0">
            <x v="1"/>
          </reference>
        </references>
      </pivotArea>
    </format>
    <format dxfId="166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29"/>
          </reference>
          <reference field="16" count="1">
            <x v="93"/>
          </reference>
          <reference field="25" count="1" selected="0">
            <x v="1"/>
          </reference>
        </references>
      </pivotArea>
    </format>
    <format dxfId="165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30"/>
          </reference>
          <reference field="16" count="1">
            <x v="94"/>
          </reference>
          <reference field="25" count="1" selected="0">
            <x v="1"/>
          </reference>
        </references>
      </pivotArea>
    </format>
    <format dxfId="164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31"/>
          </reference>
          <reference field="16" count="1">
            <x v="18"/>
          </reference>
          <reference field="25" count="1" selected="0">
            <x v="1"/>
          </reference>
        </references>
      </pivotArea>
    </format>
    <format dxfId="163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35"/>
          </reference>
          <reference field="16" count="1">
            <x v="81"/>
          </reference>
          <reference field="25" count="1" selected="0">
            <x v="1"/>
          </reference>
        </references>
      </pivotArea>
    </format>
    <format dxfId="162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36"/>
          </reference>
          <reference field="16" count="1">
            <x v="48"/>
          </reference>
          <reference field="25" count="1" selected="0">
            <x v="1"/>
          </reference>
        </references>
      </pivotArea>
    </format>
    <format dxfId="161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37"/>
          </reference>
          <reference field="16" count="1">
            <x v="101"/>
          </reference>
          <reference field="25" count="1" selected="0">
            <x v="1"/>
          </reference>
        </references>
      </pivotArea>
    </format>
    <format dxfId="160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38"/>
          </reference>
          <reference field="16" count="1">
            <x v="97"/>
          </reference>
          <reference field="25" count="1" selected="0">
            <x v="1"/>
          </reference>
        </references>
      </pivotArea>
    </format>
    <format dxfId="159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42"/>
          </reference>
          <reference field="16" count="1">
            <x v="74"/>
          </reference>
          <reference field="25" count="1" selected="0">
            <x v="1"/>
          </reference>
        </references>
      </pivotArea>
    </format>
    <format dxfId="158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43"/>
          </reference>
          <reference field="16" count="1">
            <x v="73"/>
          </reference>
          <reference field="25" count="1" selected="0">
            <x v="1"/>
          </reference>
        </references>
      </pivotArea>
    </format>
    <format dxfId="157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44"/>
          </reference>
          <reference field="16" count="1">
            <x v="100"/>
          </reference>
          <reference field="25" count="1" selected="0">
            <x v="1"/>
          </reference>
        </references>
      </pivotArea>
    </format>
    <format dxfId="156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45"/>
          </reference>
          <reference field="16" count="1">
            <x v="92"/>
          </reference>
          <reference field="25" count="1" selected="0">
            <x v="1"/>
          </reference>
        </references>
      </pivotArea>
    </format>
    <format dxfId="155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53"/>
          </reference>
          <reference field="16" count="1">
            <x v="77"/>
          </reference>
          <reference field="25" count="1" selected="0">
            <x v="1"/>
          </reference>
        </references>
      </pivotArea>
    </format>
    <format dxfId="154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56"/>
          </reference>
          <reference field="16" count="1">
            <x v="91"/>
          </reference>
          <reference field="25" count="1" selected="0">
            <x v="1"/>
          </reference>
        </references>
      </pivotArea>
    </format>
    <format dxfId="153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57"/>
          </reference>
          <reference field="16" count="1">
            <x v="90"/>
          </reference>
          <reference field="25" count="1" selected="0">
            <x v="1"/>
          </reference>
        </references>
      </pivotArea>
    </format>
    <format dxfId="152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58"/>
          </reference>
          <reference field="16" count="1">
            <x v="96"/>
          </reference>
          <reference field="25" count="1" selected="0">
            <x v="1"/>
          </reference>
        </references>
      </pivotArea>
    </format>
    <format dxfId="151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59"/>
          </reference>
          <reference field="16" count="1">
            <x v="95"/>
          </reference>
          <reference field="25" count="1" selected="0">
            <x v="1"/>
          </reference>
        </references>
      </pivotArea>
    </format>
    <format dxfId="150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61"/>
          </reference>
          <reference field="16" count="1">
            <x v="10"/>
          </reference>
          <reference field="25" count="1" selected="0">
            <x v="1"/>
          </reference>
        </references>
      </pivotArea>
    </format>
    <format dxfId="149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64"/>
          </reference>
          <reference field="16" count="1">
            <x v="4"/>
          </reference>
          <reference field="25" count="1" selected="0">
            <x v="1"/>
          </reference>
        </references>
      </pivotArea>
    </format>
    <format dxfId="148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65"/>
          </reference>
          <reference field="16" count="1">
            <x v="7"/>
          </reference>
          <reference field="25" count="1" selected="0">
            <x v="1"/>
          </reference>
        </references>
      </pivotArea>
    </format>
    <format dxfId="147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66"/>
          </reference>
          <reference field="16" count="1">
            <x v="6"/>
          </reference>
          <reference field="25" count="1" selected="0">
            <x v="1"/>
          </reference>
        </references>
      </pivotArea>
    </format>
    <format dxfId="146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67"/>
          </reference>
          <reference field="16" count="1">
            <x v="5"/>
          </reference>
          <reference field="25" count="1" selected="0">
            <x v="1"/>
          </reference>
        </references>
      </pivotArea>
    </format>
    <format dxfId="145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70"/>
          </reference>
          <reference field="16" count="1">
            <x v="63"/>
          </reference>
          <reference field="25" count="1" selected="0">
            <x v="1"/>
          </reference>
        </references>
      </pivotArea>
    </format>
    <format dxfId="144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84"/>
          </reference>
          <reference field="16" count="1">
            <x v="54"/>
          </reference>
          <reference field="25" count="1" selected="0">
            <x v="1"/>
          </reference>
        </references>
      </pivotArea>
    </format>
    <format dxfId="143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91"/>
          </reference>
          <reference field="16" count="1">
            <x v="52"/>
          </reference>
          <reference field="25" count="1" selected="0">
            <x v="1"/>
          </reference>
        </references>
      </pivotArea>
    </format>
    <format dxfId="142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94"/>
          </reference>
          <reference field="16" count="1">
            <x v="59"/>
          </reference>
          <reference field="25" count="1" selected="0">
            <x v="1"/>
          </reference>
        </references>
      </pivotArea>
    </format>
    <format dxfId="141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96"/>
          </reference>
          <reference field="16" count="1">
            <x v="21"/>
          </reference>
          <reference field="25" count="1" selected="0">
            <x v="1"/>
          </reference>
        </references>
      </pivotArea>
    </format>
    <format dxfId="140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97"/>
          </reference>
          <reference field="16" count="1">
            <x v="23"/>
          </reference>
          <reference field="25" count="1" selected="0">
            <x v="1"/>
          </reference>
        </references>
      </pivotArea>
    </format>
    <format dxfId="139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0"/>
          </reference>
          <reference field="16" count="1">
            <x v="43"/>
          </reference>
          <reference field="25" count="1" selected="0">
            <x v="2"/>
          </reference>
        </references>
      </pivotArea>
    </format>
    <format dxfId="138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"/>
          </reference>
          <reference field="16" count="1">
            <x v="76"/>
          </reference>
          <reference field="25" count="1" selected="0">
            <x v="2"/>
          </reference>
        </references>
      </pivotArea>
    </format>
    <format dxfId="137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3"/>
          </reference>
          <reference field="16" count="1">
            <x v="32"/>
          </reference>
          <reference field="25" count="1" selected="0">
            <x v="2"/>
          </reference>
        </references>
      </pivotArea>
    </format>
    <format dxfId="136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6"/>
          </reference>
          <reference field="16" count="1">
            <x v="17"/>
          </reference>
          <reference field="25" count="1" selected="0">
            <x v="2"/>
          </reference>
        </references>
      </pivotArea>
    </format>
    <format dxfId="135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8"/>
          </reference>
          <reference field="16" count="1">
            <x v="42"/>
          </reference>
          <reference field="25" count="1" selected="0">
            <x v="2"/>
          </reference>
        </references>
      </pivotArea>
    </format>
    <format dxfId="134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27"/>
          </reference>
          <reference field="16" count="1">
            <x v="75"/>
          </reference>
          <reference field="25" count="1" selected="0">
            <x v="2"/>
          </reference>
        </references>
      </pivotArea>
    </format>
    <format dxfId="133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33"/>
          </reference>
          <reference field="16" count="1">
            <x v="16"/>
          </reference>
          <reference field="25" count="1" selected="0">
            <x v="2"/>
          </reference>
        </references>
      </pivotArea>
    </format>
    <format dxfId="132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63"/>
          </reference>
          <reference field="16" count="1">
            <x v="24"/>
          </reference>
          <reference field="25" count="1" selected="0">
            <x v="2"/>
          </reference>
        </references>
      </pivotArea>
    </format>
    <format dxfId="131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82"/>
          </reference>
          <reference field="16" count="1">
            <x v="25"/>
          </reference>
          <reference field="25" count="1" selected="0">
            <x v="2"/>
          </reference>
        </references>
      </pivotArea>
    </format>
    <format dxfId="130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03"/>
          </reference>
          <reference field="16" count="1">
            <x v="14"/>
          </reference>
          <reference field="25" count="1" selected="0">
            <x v="2"/>
          </reference>
        </references>
      </pivotArea>
    </format>
    <format dxfId="129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"/>
          </reference>
          <reference field="16" count="1">
            <x v="76"/>
          </reference>
          <reference field="25" count="1" selected="0">
            <x v="3"/>
          </reference>
        </references>
      </pivotArea>
    </format>
    <format dxfId="128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6"/>
          </reference>
          <reference field="16" count="1">
            <x v="17"/>
          </reference>
          <reference field="25" count="1" selected="0">
            <x v="3"/>
          </reference>
        </references>
      </pivotArea>
    </format>
    <format dxfId="127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9"/>
          </reference>
          <reference field="16" count="1">
            <x v="84"/>
          </reference>
          <reference field="25" count="1" selected="0">
            <x v="3"/>
          </reference>
        </references>
      </pivotArea>
    </format>
    <format dxfId="126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2"/>
          </reference>
          <reference field="16" count="1">
            <x v="2"/>
          </reference>
          <reference field="25" count="1" selected="0">
            <x v="3"/>
          </reference>
        </references>
      </pivotArea>
    </format>
    <format dxfId="125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5"/>
          </reference>
          <reference field="16" count="1">
            <x v="85"/>
          </reference>
          <reference field="25" count="1" selected="0">
            <x v="3"/>
          </reference>
        </references>
      </pivotArea>
    </format>
    <format dxfId="124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63"/>
          </reference>
          <reference field="16" count="1">
            <x v="24"/>
          </reference>
          <reference field="25" count="1" selected="0">
            <x v="3"/>
          </reference>
        </references>
      </pivotArea>
    </format>
    <format dxfId="123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80"/>
          </reference>
          <reference field="16" count="1">
            <x v="28"/>
          </reference>
          <reference field="25" count="1" selected="0">
            <x v="3"/>
          </reference>
        </references>
      </pivotArea>
    </format>
    <format dxfId="122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"/>
          </reference>
          <reference field="16" count="1">
            <x v="76"/>
          </reference>
          <reference field="25" count="1" selected="0">
            <x v="4"/>
          </reference>
        </references>
      </pivotArea>
    </format>
    <format dxfId="121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"/>
          </reference>
          <reference field="16" count="1">
            <x v="71"/>
          </reference>
          <reference field="25" count="1" selected="0">
            <x v="4"/>
          </reference>
        </references>
      </pivotArea>
    </format>
    <format dxfId="120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5"/>
          </reference>
          <reference field="16" count="1">
            <x v="78"/>
          </reference>
          <reference field="25" count="1" selected="0">
            <x v="4"/>
          </reference>
        </references>
      </pivotArea>
    </format>
    <format dxfId="119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7"/>
          </reference>
          <reference field="16" count="1">
            <x v="82"/>
          </reference>
          <reference field="25" count="1" selected="0">
            <x v="4"/>
          </reference>
        </references>
      </pivotArea>
    </format>
    <format dxfId="118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8"/>
          </reference>
          <reference field="16" count="1">
            <x v="83"/>
          </reference>
          <reference field="25" count="1" selected="0">
            <x v="4"/>
          </reference>
        </references>
      </pivotArea>
    </format>
    <format dxfId="117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"/>
          </reference>
          <reference field="16" count="1">
            <x v="89"/>
          </reference>
          <reference field="25" count="1" selected="0">
            <x v="4"/>
          </reference>
        </references>
      </pivotArea>
    </format>
    <format dxfId="116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1"/>
          </reference>
          <reference field="16" count="1">
            <x v="8"/>
          </reference>
          <reference field="25" count="1" selected="0">
            <x v="4"/>
          </reference>
        </references>
      </pivotArea>
    </format>
    <format dxfId="115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7"/>
          </reference>
          <reference field="16" count="1">
            <x v="34"/>
          </reference>
          <reference field="25" count="1" selected="0">
            <x v="4"/>
          </reference>
        </references>
      </pivotArea>
    </format>
    <format dxfId="114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8"/>
          </reference>
          <reference field="16" count="1">
            <x v="42"/>
          </reference>
          <reference field="25" count="1" selected="0">
            <x v="4"/>
          </reference>
        </references>
      </pivotArea>
    </format>
    <format dxfId="113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9"/>
          </reference>
          <reference field="16" count="1">
            <x v="84"/>
          </reference>
          <reference field="25" count="1" selected="0">
            <x v="4"/>
          </reference>
        </references>
      </pivotArea>
    </format>
    <format dxfId="112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0"/>
          </reference>
          <reference field="16" count="1">
            <x v="67"/>
          </reference>
          <reference field="25" count="1" selected="0">
            <x v="4"/>
          </reference>
        </references>
      </pivotArea>
    </format>
    <format dxfId="111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1"/>
          </reference>
          <reference field="16" count="1">
            <x v="0"/>
          </reference>
          <reference field="25" count="1" selected="0">
            <x v="4"/>
          </reference>
        </references>
      </pivotArea>
    </format>
    <format dxfId="110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2"/>
          </reference>
          <reference field="16" count="1">
            <x v="2"/>
          </reference>
          <reference field="25" count="1" selected="0">
            <x v="4"/>
          </reference>
        </references>
      </pivotArea>
    </format>
    <format dxfId="109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3"/>
          </reference>
          <reference field="16" count="1">
            <x v="1"/>
          </reference>
          <reference field="25" count="1" selected="0">
            <x v="4"/>
          </reference>
        </references>
      </pivotArea>
    </format>
    <format dxfId="108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4"/>
          </reference>
          <reference field="16" count="1">
            <x v="15"/>
          </reference>
          <reference field="25" count="1" selected="0">
            <x v="4"/>
          </reference>
        </references>
      </pivotArea>
    </format>
    <format dxfId="107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7"/>
          </reference>
          <reference field="16" count="1">
            <x v="75"/>
          </reference>
          <reference field="25" count="1" selected="0">
            <x v="4"/>
          </reference>
        </references>
      </pivotArea>
    </format>
    <format dxfId="106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9"/>
          </reference>
          <reference field="16" count="1">
            <x v="93"/>
          </reference>
          <reference field="25" count="1" selected="0">
            <x v="4"/>
          </reference>
        </references>
      </pivotArea>
    </format>
    <format dxfId="105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30"/>
          </reference>
          <reference field="16" count="1">
            <x v="94"/>
          </reference>
          <reference field="25" count="1" selected="0">
            <x v="4"/>
          </reference>
        </references>
      </pivotArea>
    </format>
    <format dxfId="104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32"/>
          </reference>
          <reference field="16" count="1">
            <x v="13"/>
          </reference>
          <reference field="25" count="1" selected="0">
            <x v="4"/>
          </reference>
        </references>
      </pivotArea>
    </format>
    <format dxfId="103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34"/>
          </reference>
          <reference field="16" count="1">
            <x v="38"/>
          </reference>
          <reference field="25" count="1" selected="0">
            <x v="4"/>
          </reference>
        </references>
      </pivotArea>
    </format>
    <format dxfId="102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35"/>
          </reference>
          <reference field="16" count="1">
            <x v="81"/>
          </reference>
          <reference field="25" count="1" selected="0">
            <x v="4"/>
          </reference>
        </references>
      </pivotArea>
    </format>
    <format dxfId="101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36"/>
          </reference>
          <reference field="16" count="1">
            <x v="48"/>
          </reference>
          <reference field="25" count="1" selected="0">
            <x v="4"/>
          </reference>
        </references>
      </pivotArea>
    </format>
    <format dxfId="100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37"/>
          </reference>
          <reference field="16" count="1">
            <x v="101"/>
          </reference>
          <reference field="25" count="1" selected="0">
            <x v="4"/>
          </reference>
        </references>
      </pivotArea>
    </format>
    <format dxfId="99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38"/>
          </reference>
          <reference field="16" count="1">
            <x v="97"/>
          </reference>
          <reference field="25" count="1" selected="0">
            <x v="4"/>
          </reference>
        </references>
      </pivotArea>
    </format>
    <format dxfId="98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39"/>
          </reference>
          <reference field="16" count="1">
            <x v="37"/>
          </reference>
          <reference field="25" count="1" selected="0">
            <x v="4"/>
          </reference>
        </references>
      </pivotArea>
    </format>
    <format dxfId="97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0"/>
          </reference>
          <reference field="16" count="1">
            <x v="40"/>
          </reference>
          <reference field="25" count="1" selected="0">
            <x v="4"/>
          </reference>
        </references>
      </pivotArea>
    </format>
    <format dxfId="96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1"/>
          </reference>
          <reference field="16" count="1">
            <x v="47"/>
          </reference>
          <reference field="25" count="1" selected="0">
            <x v="4"/>
          </reference>
        </references>
      </pivotArea>
    </format>
    <format dxfId="95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3"/>
          </reference>
          <reference field="16" count="1">
            <x v="73"/>
          </reference>
          <reference field="25" count="1" selected="0">
            <x v="4"/>
          </reference>
        </references>
      </pivotArea>
    </format>
    <format dxfId="94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4"/>
          </reference>
          <reference field="16" count="1">
            <x v="100"/>
          </reference>
          <reference field="25" count="1" selected="0">
            <x v="4"/>
          </reference>
        </references>
      </pivotArea>
    </format>
    <format dxfId="93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5"/>
          </reference>
          <reference field="16" count="1">
            <x v="92"/>
          </reference>
          <reference field="25" count="1" selected="0">
            <x v="4"/>
          </reference>
        </references>
      </pivotArea>
    </format>
    <format dxfId="92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6"/>
          </reference>
          <reference field="16" count="1">
            <x v="31"/>
          </reference>
          <reference field="25" count="1" selected="0">
            <x v="4"/>
          </reference>
        </references>
      </pivotArea>
    </format>
    <format dxfId="91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7"/>
          </reference>
          <reference field="16" count="1">
            <x v="36"/>
          </reference>
          <reference field="25" count="1" selected="0">
            <x v="4"/>
          </reference>
        </references>
      </pivotArea>
    </format>
    <format dxfId="90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50"/>
          </reference>
          <reference field="16" count="1">
            <x v="35"/>
          </reference>
          <reference field="25" count="1" selected="0">
            <x v="4"/>
          </reference>
        </references>
      </pivotArea>
    </format>
    <format dxfId="89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51"/>
          </reference>
          <reference field="16" count="1">
            <x v="46"/>
          </reference>
          <reference field="25" count="1" selected="0">
            <x v="4"/>
          </reference>
        </references>
      </pivotArea>
    </format>
    <format dxfId="88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52"/>
          </reference>
          <reference field="16" count="1">
            <x v="39"/>
          </reference>
          <reference field="25" count="1" selected="0">
            <x v="4"/>
          </reference>
        </references>
      </pivotArea>
    </format>
    <format dxfId="87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54"/>
          </reference>
          <reference field="16" count="1">
            <x v="66"/>
          </reference>
          <reference field="25" count="1" selected="0">
            <x v="4"/>
          </reference>
        </references>
      </pivotArea>
    </format>
    <format dxfId="86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55"/>
          </reference>
          <reference field="16" count="1">
            <x v="65"/>
          </reference>
          <reference field="25" count="1" selected="0">
            <x v="4"/>
          </reference>
        </references>
      </pivotArea>
    </format>
    <format dxfId="85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56"/>
          </reference>
          <reference field="16" count="1">
            <x v="91"/>
          </reference>
          <reference field="25" count="1" selected="0">
            <x v="4"/>
          </reference>
        </references>
      </pivotArea>
    </format>
    <format dxfId="84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57"/>
          </reference>
          <reference field="16" count="1">
            <x v="90"/>
          </reference>
          <reference field="25" count="1" selected="0">
            <x v="4"/>
          </reference>
        </references>
      </pivotArea>
    </format>
    <format dxfId="83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58"/>
          </reference>
          <reference field="16" count="1">
            <x v="96"/>
          </reference>
          <reference field="25" count="1" selected="0">
            <x v="4"/>
          </reference>
        </references>
      </pivotArea>
    </format>
    <format dxfId="82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59"/>
          </reference>
          <reference field="16" count="1">
            <x v="95"/>
          </reference>
          <reference field="25" count="1" selected="0">
            <x v="4"/>
          </reference>
        </references>
      </pivotArea>
    </format>
    <format dxfId="81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62"/>
          </reference>
          <reference field="16" count="1">
            <x v="3"/>
          </reference>
          <reference field="25" count="1" selected="0">
            <x v="4"/>
          </reference>
        </references>
      </pivotArea>
    </format>
    <format dxfId="80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63"/>
          </reference>
          <reference field="16" count="1">
            <x v="24"/>
          </reference>
          <reference field="25" count="1" selected="0">
            <x v="4"/>
          </reference>
        </references>
      </pivotArea>
    </format>
    <format dxfId="79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64"/>
          </reference>
          <reference field="16" count="1">
            <x v="4"/>
          </reference>
          <reference field="25" count="1" selected="0">
            <x v="4"/>
          </reference>
        </references>
      </pivotArea>
    </format>
    <format dxfId="78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65"/>
          </reference>
          <reference field="16" count="1">
            <x v="7"/>
          </reference>
          <reference field="25" count="1" selected="0">
            <x v="4"/>
          </reference>
        </references>
      </pivotArea>
    </format>
    <format dxfId="77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66"/>
          </reference>
          <reference field="16" count="1">
            <x v="6"/>
          </reference>
          <reference field="25" count="1" selected="0">
            <x v="4"/>
          </reference>
        </references>
      </pivotArea>
    </format>
    <format dxfId="76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67"/>
          </reference>
          <reference field="16" count="1">
            <x v="5"/>
          </reference>
          <reference field="25" count="1" selected="0">
            <x v="4"/>
          </reference>
        </references>
      </pivotArea>
    </format>
    <format dxfId="75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68"/>
          </reference>
          <reference field="16" count="1">
            <x v="61"/>
          </reference>
          <reference field="25" count="1" selected="0">
            <x v="4"/>
          </reference>
        </references>
      </pivotArea>
    </format>
    <format dxfId="74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69"/>
          </reference>
          <reference field="16" count="1">
            <x v="62"/>
          </reference>
          <reference field="25" count="1" selected="0">
            <x v="4"/>
          </reference>
        </references>
      </pivotArea>
    </format>
    <format dxfId="73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70"/>
          </reference>
          <reference field="16" count="1">
            <x v="63"/>
          </reference>
          <reference field="25" count="1" selected="0">
            <x v="4"/>
          </reference>
        </references>
      </pivotArea>
    </format>
    <format dxfId="72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71"/>
          </reference>
          <reference field="16" count="1">
            <x v="45"/>
          </reference>
          <reference field="25" count="1" selected="0">
            <x v="4"/>
          </reference>
        </references>
      </pivotArea>
    </format>
    <format dxfId="71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72"/>
          </reference>
          <reference field="16" count="1">
            <x v="99"/>
          </reference>
          <reference field="25" count="1" selected="0">
            <x v="4"/>
          </reference>
        </references>
      </pivotArea>
    </format>
    <format dxfId="70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73"/>
          </reference>
          <reference field="16" count="1">
            <x v="60"/>
          </reference>
          <reference field="25" count="1" selected="0">
            <x v="4"/>
          </reference>
        </references>
      </pivotArea>
    </format>
    <format dxfId="69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74"/>
          </reference>
          <reference field="16" count="1">
            <x v="12"/>
          </reference>
          <reference field="25" count="1" selected="0">
            <x v="4"/>
          </reference>
        </references>
      </pivotArea>
    </format>
    <format dxfId="68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75"/>
          </reference>
          <reference field="16" count="1">
            <x v="80"/>
          </reference>
          <reference field="25" count="1" selected="0">
            <x v="4"/>
          </reference>
        </references>
      </pivotArea>
    </format>
    <format dxfId="67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76"/>
          </reference>
          <reference field="16" count="1">
            <x v="79"/>
          </reference>
          <reference field="25" count="1" selected="0">
            <x v="4"/>
          </reference>
        </references>
      </pivotArea>
    </format>
    <format dxfId="66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78"/>
          </reference>
          <reference field="16" count="1">
            <x v="19"/>
          </reference>
          <reference field="25" count="1" selected="0">
            <x v="4"/>
          </reference>
        </references>
      </pivotArea>
    </format>
    <format dxfId="65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79"/>
          </reference>
          <reference field="16" count="1">
            <x v="27"/>
          </reference>
          <reference field="25" count="1" selected="0">
            <x v="4"/>
          </reference>
        </references>
      </pivotArea>
    </format>
    <format dxfId="64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83"/>
          </reference>
          <reference field="16" count="1">
            <x v="29"/>
          </reference>
          <reference field="25" count="1" selected="0">
            <x v="4"/>
          </reference>
        </references>
      </pivotArea>
    </format>
    <format dxfId="63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84"/>
          </reference>
          <reference field="16" count="1">
            <x v="54"/>
          </reference>
          <reference field="25" count="1" selected="0">
            <x v="4"/>
          </reference>
        </references>
      </pivotArea>
    </format>
    <format dxfId="62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86"/>
          </reference>
          <reference field="16" count="1">
            <x v="102"/>
          </reference>
          <reference field="25" count="1" selected="0">
            <x v="4"/>
          </reference>
        </references>
      </pivotArea>
    </format>
    <format dxfId="61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87"/>
          </reference>
          <reference field="16" count="1">
            <x v="44"/>
          </reference>
          <reference field="25" count="1" selected="0">
            <x v="4"/>
          </reference>
        </references>
      </pivotArea>
    </format>
    <format dxfId="60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88"/>
          </reference>
          <reference field="16" count="1">
            <x v="87"/>
          </reference>
          <reference field="25" count="1" selected="0">
            <x v="4"/>
          </reference>
        </references>
      </pivotArea>
    </format>
    <format dxfId="59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89"/>
          </reference>
          <reference field="16" count="1">
            <x v="51"/>
          </reference>
          <reference field="25" count="1" selected="0">
            <x v="4"/>
          </reference>
        </references>
      </pivotArea>
    </format>
    <format dxfId="58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1"/>
          </reference>
          <reference field="16" count="1">
            <x v="52"/>
          </reference>
          <reference field="25" count="1" selected="0">
            <x v="4"/>
          </reference>
        </references>
      </pivotArea>
    </format>
    <format dxfId="57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2"/>
          </reference>
          <reference field="16" count="1">
            <x v="57"/>
          </reference>
          <reference field="25" count="1" selected="0">
            <x v="4"/>
          </reference>
        </references>
      </pivotArea>
    </format>
    <format dxfId="56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3"/>
          </reference>
          <reference field="16" count="1">
            <x v="56"/>
          </reference>
          <reference field="25" count="1" selected="0">
            <x v="4"/>
          </reference>
        </references>
      </pivotArea>
    </format>
    <format dxfId="55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5"/>
          </reference>
          <reference field="16" count="1">
            <x v="58"/>
          </reference>
          <reference field="25" count="1" selected="0">
            <x v="4"/>
          </reference>
        </references>
      </pivotArea>
    </format>
    <format dxfId="54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6"/>
          </reference>
          <reference field="16" count="1">
            <x v="21"/>
          </reference>
          <reference field="25" count="1" selected="0">
            <x v="4"/>
          </reference>
        </references>
      </pivotArea>
    </format>
    <format dxfId="53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7"/>
          </reference>
          <reference field="16" count="1">
            <x v="23"/>
          </reference>
          <reference field="25" count="1" selected="0">
            <x v="4"/>
          </reference>
        </references>
      </pivotArea>
    </format>
    <format dxfId="52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8"/>
          </reference>
          <reference field="16" count="1">
            <x v="26"/>
          </reference>
          <reference field="25" count="1" selected="0">
            <x v="4"/>
          </reference>
        </references>
      </pivotArea>
    </format>
    <format dxfId="51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9"/>
          </reference>
          <reference field="16" count="1">
            <x v="11"/>
          </reference>
          <reference field="25" count="1" selected="0">
            <x v="4"/>
          </reference>
        </references>
      </pivotArea>
    </format>
    <format dxfId="50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00"/>
          </reference>
          <reference field="16" count="1">
            <x v="50"/>
          </reference>
          <reference field="25" count="1" selected="0">
            <x v="4"/>
          </reference>
        </references>
      </pivotArea>
    </format>
    <format dxfId="49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01"/>
          </reference>
          <reference field="16" count="1">
            <x v="49"/>
          </reference>
          <reference field="25" count="1" selected="0">
            <x v="4"/>
          </reference>
        </references>
      </pivotArea>
    </format>
    <format dxfId="48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02"/>
          </reference>
          <reference field="16" count="1">
            <x v="22"/>
          </reference>
          <reference field="25" count="1" selected="0">
            <x v="4"/>
          </reference>
        </references>
      </pivotArea>
    </format>
    <format dxfId="47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0"/>
          </reference>
          <reference field="16" count="1">
            <x v="43"/>
          </reference>
          <reference field="25" count="1" selected="0">
            <x v="5"/>
          </reference>
        </references>
      </pivotArea>
    </format>
    <format dxfId="46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"/>
          </reference>
          <reference field="16" count="1">
            <x v="76"/>
          </reference>
          <reference field="25" count="1" selected="0">
            <x v="5"/>
          </reference>
        </references>
      </pivotArea>
    </format>
    <format dxfId="45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3"/>
          </reference>
          <reference field="16" count="1">
            <x v="32"/>
          </reference>
          <reference field="25" count="1" selected="0">
            <x v="5"/>
          </reference>
        </references>
      </pivotArea>
    </format>
    <format dxfId="44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"/>
          </reference>
          <reference field="16" count="1">
            <x v="71"/>
          </reference>
          <reference field="25" count="1" selected="0">
            <x v="5"/>
          </reference>
        </references>
      </pivotArea>
    </format>
    <format dxfId="43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5"/>
          </reference>
          <reference field="16" count="1">
            <x v="78"/>
          </reference>
          <reference field="25" count="1" selected="0">
            <x v="5"/>
          </reference>
        </references>
      </pivotArea>
    </format>
    <format dxfId="42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7"/>
          </reference>
          <reference field="16" count="1">
            <x v="82"/>
          </reference>
          <reference field="25" count="1" selected="0">
            <x v="5"/>
          </reference>
        </references>
      </pivotArea>
    </format>
    <format dxfId="41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8"/>
          </reference>
          <reference field="16" count="1">
            <x v="83"/>
          </reference>
          <reference field="25" count="1" selected="0">
            <x v="5"/>
          </reference>
        </references>
      </pivotArea>
    </format>
    <format dxfId="40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"/>
          </reference>
          <reference field="16" count="1">
            <x v="89"/>
          </reference>
          <reference field="25" count="1" selected="0">
            <x v="5"/>
          </reference>
        </references>
      </pivotArea>
    </format>
    <format dxfId="39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0"/>
          </reference>
          <reference field="16" count="1">
            <x v="88"/>
          </reference>
          <reference field="25" count="1" selected="0">
            <x v="5"/>
          </reference>
        </references>
      </pivotArea>
    </format>
    <format dxfId="38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2"/>
          </reference>
          <reference field="16" count="1">
            <x v="98"/>
          </reference>
          <reference field="25" count="1" selected="0">
            <x v="5"/>
          </reference>
        </references>
      </pivotArea>
    </format>
    <format dxfId="37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6"/>
          </reference>
          <reference field="16" count="1">
            <x v="17"/>
          </reference>
          <reference field="25" count="1" selected="0">
            <x v="5"/>
          </reference>
        </references>
      </pivotArea>
    </format>
    <format dxfId="36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8"/>
          </reference>
          <reference field="16" count="1">
            <x v="42"/>
          </reference>
          <reference field="25" count="1" selected="0">
            <x v="5"/>
          </reference>
        </references>
      </pivotArea>
    </format>
    <format dxfId="35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9"/>
          </reference>
          <reference field="16" count="1">
            <x v="84"/>
          </reference>
          <reference field="25" count="1" selected="0">
            <x v="5"/>
          </reference>
        </references>
      </pivotArea>
    </format>
    <format dxfId="34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1"/>
          </reference>
          <reference field="16" count="1">
            <x v="0"/>
          </reference>
          <reference field="25" count="1" selected="0">
            <x v="5"/>
          </reference>
        </references>
      </pivotArea>
    </format>
    <format dxfId="33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3"/>
          </reference>
          <reference field="16" count="1">
            <x v="1"/>
          </reference>
          <reference field="25" count="1" selected="0">
            <x v="5"/>
          </reference>
        </references>
      </pivotArea>
    </format>
    <format dxfId="32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5"/>
          </reference>
          <reference field="16" count="1">
            <x v="85"/>
          </reference>
          <reference field="25" count="1" selected="0">
            <x v="5"/>
          </reference>
        </references>
      </pivotArea>
    </format>
    <format dxfId="31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7"/>
          </reference>
          <reference field="16" count="1">
            <x v="75"/>
          </reference>
          <reference field="25" count="1" selected="0">
            <x v="5"/>
          </reference>
        </references>
      </pivotArea>
    </format>
    <format dxfId="30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9"/>
          </reference>
          <reference field="16" count="1">
            <x v="93"/>
          </reference>
          <reference field="25" count="1" selected="0">
            <x v="5"/>
          </reference>
        </references>
      </pivotArea>
    </format>
    <format dxfId="29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30"/>
          </reference>
          <reference field="16" count="1">
            <x v="94"/>
          </reference>
          <reference field="25" count="1" selected="0">
            <x v="5"/>
          </reference>
        </references>
      </pivotArea>
    </format>
    <format dxfId="28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33"/>
          </reference>
          <reference field="16" count="1">
            <x v="16"/>
          </reference>
          <reference field="25" count="1" selected="0">
            <x v="5"/>
          </reference>
        </references>
      </pivotArea>
    </format>
    <format dxfId="27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36"/>
          </reference>
          <reference field="16" count="1">
            <x v="48"/>
          </reference>
          <reference field="25" count="1" selected="0">
            <x v="5"/>
          </reference>
        </references>
      </pivotArea>
    </format>
    <format dxfId="26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38"/>
          </reference>
          <reference field="16" count="1">
            <x v="97"/>
          </reference>
          <reference field="25" count="1" selected="0">
            <x v="5"/>
          </reference>
        </references>
      </pivotArea>
    </format>
    <format dxfId="25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1"/>
          </reference>
          <reference field="16" count="1">
            <x v="47"/>
          </reference>
          <reference field="25" count="1" selected="0">
            <x v="5"/>
          </reference>
        </references>
      </pivotArea>
    </format>
    <format dxfId="24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4"/>
          </reference>
          <reference field="16" count="1">
            <x v="100"/>
          </reference>
          <reference field="25" count="1" selected="0">
            <x v="5"/>
          </reference>
        </references>
      </pivotArea>
    </format>
    <format dxfId="23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5"/>
          </reference>
          <reference field="16" count="1">
            <x v="92"/>
          </reference>
          <reference field="25" count="1" selected="0">
            <x v="5"/>
          </reference>
        </references>
      </pivotArea>
    </format>
    <format dxfId="22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8"/>
          </reference>
          <reference field="16" count="1">
            <x v="41"/>
          </reference>
          <reference field="25" count="1" selected="0">
            <x v="5"/>
          </reference>
        </references>
      </pivotArea>
    </format>
    <format dxfId="21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9"/>
          </reference>
          <reference field="16" count="1">
            <x v="30"/>
          </reference>
          <reference field="25" count="1" selected="0">
            <x v="5"/>
          </reference>
        </references>
      </pivotArea>
    </format>
    <format dxfId="20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50"/>
          </reference>
          <reference field="16" count="1">
            <x v="35"/>
          </reference>
          <reference field="25" count="1" selected="0">
            <x v="5"/>
          </reference>
        </references>
      </pivotArea>
    </format>
    <format dxfId="19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56"/>
          </reference>
          <reference field="16" count="1">
            <x v="91"/>
          </reference>
          <reference field="25" count="1" selected="0">
            <x v="5"/>
          </reference>
        </references>
      </pivotArea>
    </format>
    <format dxfId="18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58"/>
          </reference>
          <reference field="16" count="1">
            <x v="96"/>
          </reference>
          <reference field="25" count="1" selected="0">
            <x v="5"/>
          </reference>
        </references>
      </pivotArea>
    </format>
    <format dxfId="17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60"/>
          </reference>
          <reference field="16" count="1">
            <x v="9"/>
          </reference>
          <reference field="25" count="1" selected="0">
            <x v="5"/>
          </reference>
        </references>
      </pivotArea>
    </format>
    <format dxfId="16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61"/>
          </reference>
          <reference field="16" count="1">
            <x v="10"/>
          </reference>
          <reference field="25" count="1" selected="0">
            <x v="5"/>
          </reference>
        </references>
      </pivotArea>
    </format>
    <format dxfId="15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63"/>
          </reference>
          <reference field="16" count="1">
            <x v="24"/>
          </reference>
          <reference field="25" count="1" selected="0">
            <x v="5"/>
          </reference>
        </references>
      </pivotArea>
    </format>
    <format dxfId="14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64"/>
          </reference>
          <reference field="16" count="1">
            <x v="4"/>
          </reference>
          <reference field="25" count="1" selected="0">
            <x v="5"/>
          </reference>
        </references>
      </pivotArea>
    </format>
    <format dxfId="13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66"/>
          </reference>
          <reference field="16" count="1">
            <x v="6"/>
          </reference>
          <reference field="25" count="1" selected="0">
            <x v="5"/>
          </reference>
        </references>
      </pivotArea>
    </format>
    <format dxfId="12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68"/>
          </reference>
          <reference field="16" count="1">
            <x v="61"/>
          </reference>
          <reference field="25" count="1" selected="0">
            <x v="5"/>
          </reference>
        </references>
      </pivotArea>
    </format>
    <format dxfId="11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69"/>
          </reference>
          <reference field="16" count="1">
            <x v="62"/>
          </reference>
          <reference field="25" count="1" selected="0">
            <x v="5"/>
          </reference>
        </references>
      </pivotArea>
    </format>
    <format dxfId="10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80"/>
          </reference>
          <reference field="16" count="1">
            <x v="28"/>
          </reference>
          <reference field="25" count="1" selected="0">
            <x v="5"/>
          </reference>
        </references>
      </pivotArea>
    </format>
    <format dxfId="9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81"/>
          </reference>
          <reference field="16" count="1">
            <x v="20"/>
          </reference>
          <reference field="25" count="1" selected="0">
            <x v="5"/>
          </reference>
        </references>
      </pivotArea>
    </format>
    <format dxfId="8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82"/>
          </reference>
          <reference field="16" count="1">
            <x v="25"/>
          </reference>
          <reference field="25" count="1" selected="0">
            <x v="5"/>
          </reference>
        </references>
      </pivotArea>
    </format>
    <format dxfId="7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83"/>
          </reference>
          <reference field="16" count="1">
            <x v="29"/>
          </reference>
          <reference field="25" count="1" selected="0">
            <x v="5"/>
          </reference>
        </references>
      </pivotArea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outline="0" fieldPosition="0">
        <references count="6">
          <reference field="4294967294" count="1" selected="0">
            <x v="0"/>
          </reference>
          <reference field="4" count="0" selected="0"/>
          <reference field="13" count="1" selected="0">
            <x v="1"/>
          </reference>
          <reference field="15" count="1" selected="0">
            <x v="0"/>
          </reference>
          <reference field="16" count="1" selected="0">
            <x v="43"/>
          </reference>
          <reference field="25" count="1" selected="0">
            <x v="1"/>
          </reference>
        </references>
      </pivotArea>
    </format>
    <format dxfId="4">
      <pivotArea outline="0" fieldPosition="0">
        <references count="6">
          <reference field="4294967294" count="1" selected="0">
            <x v="0"/>
          </reference>
          <reference field="4" count="0" selected="0"/>
          <reference field="13" count="1" selected="0">
            <x v="2"/>
          </reference>
          <reference field="15" count="1" selected="0">
            <x v="1"/>
          </reference>
          <reference field="16" count="1" selected="0">
            <x v="76"/>
          </reference>
          <reference field="25" count="1" selected="0">
            <x v="0"/>
          </reference>
        </references>
      </pivotArea>
    </format>
    <format dxfId="3">
      <pivotArea outline="0" fieldPosition="0">
        <references count="6">
          <reference field="4294967294" count="1" selected="0">
            <x v="0"/>
          </reference>
          <reference field="4" count="0" selected="0"/>
          <reference field="13" count="1" selected="0">
            <x v="1"/>
          </reference>
          <reference field="15" count="1" selected="0">
            <x v="0"/>
          </reference>
          <reference field="16" count="1" selected="0">
            <x v="43"/>
          </reference>
          <reference field="25" count="1" selected="0">
            <x v="2"/>
          </reference>
        </references>
      </pivotArea>
    </format>
    <format dxfId="2">
      <pivotArea outline="0" fieldPosition="0">
        <references count="6">
          <reference field="4294967294" count="1" selected="0">
            <x v="0"/>
          </reference>
          <reference field="4" count="0" selected="0"/>
          <reference field="13" count="1" selected="0">
            <x v="0"/>
          </reference>
          <reference field="15" count="1" selected="0">
            <x v="1"/>
          </reference>
          <reference field="16" count="1" selected="0">
            <x v="76"/>
          </reference>
          <reference field="25" count="1" selected="0">
            <x v="3"/>
          </reference>
        </references>
      </pivotArea>
    </format>
    <format dxfId="1">
      <pivotArea outline="0" fieldPosition="0">
        <references count="6">
          <reference field="4294967294" count="1" selected="0">
            <x v="0"/>
          </reference>
          <reference field="4" count="0" selected="0"/>
          <reference field="13" count="1" selected="0">
            <x v="0"/>
          </reference>
          <reference field="15" count="1" selected="0">
            <x v="1"/>
          </reference>
          <reference field="16" count="1" selected="0">
            <x v="76"/>
          </reference>
          <reference field="25" count="1" selected="0">
            <x v="4"/>
          </reference>
        </references>
      </pivotArea>
    </format>
    <format dxfId="0">
      <pivotArea outline="0" fieldPosition="0">
        <references count="6">
          <reference field="4294967294" count="1" selected="0">
            <x v="0"/>
          </reference>
          <reference field="4" count="0" selected="0"/>
          <reference field="13" count="1" selected="0">
            <x v="0"/>
          </reference>
          <reference field="15" count="1" selected="0">
            <x v="0"/>
          </reference>
          <reference field="16" count="1" selected="0">
            <x v="43"/>
          </reference>
          <reference field="25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233"/>
  <sheetViews>
    <sheetView tabSelected="1" topLeftCell="A172" workbookViewId="0">
      <selection activeCell="B192" sqref="B192"/>
    </sheetView>
  </sheetViews>
  <sheetFormatPr defaultRowHeight="15" x14ac:dyDescent="0.25"/>
  <cols>
    <col min="1" max="1" width="27.85546875" customWidth="1"/>
    <col min="2" max="2" width="24.42578125" bestFit="1" customWidth="1"/>
    <col min="3" max="3" width="24.140625" customWidth="1"/>
    <col min="4" max="4" width="24.42578125" customWidth="1"/>
    <col min="5" max="5" width="108.7109375" customWidth="1"/>
    <col min="6" max="6" width="9.5703125" customWidth="1"/>
    <col min="7" max="7" width="10.140625" customWidth="1"/>
    <col min="8" max="8" width="10" customWidth="1"/>
  </cols>
  <sheetData>
    <row r="3" spans="1:10" x14ac:dyDescent="0.25">
      <c r="A3" s="1" t="s">
        <v>0</v>
      </c>
      <c r="B3" s="1" t="s">
        <v>4</v>
      </c>
      <c r="C3" s="1" t="s">
        <v>1</v>
      </c>
      <c r="D3" s="1" t="s">
        <v>2</v>
      </c>
      <c r="E3" s="1" t="s">
        <v>3</v>
      </c>
      <c r="F3" s="2" t="s">
        <v>223</v>
      </c>
      <c r="G3" s="2" t="s">
        <v>224</v>
      </c>
      <c r="H3" s="2" t="s">
        <v>225</v>
      </c>
    </row>
    <row r="4" spans="1:10" x14ac:dyDescent="0.25">
      <c r="A4" s="3">
        <v>46249</v>
      </c>
      <c r="B4" s="2" t="s">
        <v>105</v>
      </c>
      <c r="C4" s="2" t="s">
        <v>102</v>
      </c>
      <c r="D4" s="2" t="s">
        <v>69</v>
      </c>
      <c r="E4" s="2" t="s">
        <v>70</v>
      </c>
      <c r="F4" s="6">
        <v>62.4</v>
      </c>
      <c r="G4" s="4"/>
      <c r="H4" s="4"/>
      <c r="I4" s="5">
        <f>SUM(F4:F58)</f>
        <v>5053.7399999999989</v>
      </c>
      <c r="J4" s="5">
        <f>SUM(G4:G58)</f>
        <v>-2328.41</v>
      </c>
    </row>
    <row r="5" spans="1:10" x14ac:dyDescent="0.25">
      <c r="A5" s="2"/>
      <c r="B5" s="2"/>
      <c r="C5" s="2"/>
      <c r="D5" s="2" t="s">
        <v>144</v>
      </c>
      <c r="E5" s="2" t="s">
        <v>145</v>
      </c>
      <c r="F5" s="4">
        <v>54</v>
      </c>
      <c r="G5" s="4">
        <v>-54</v>
      </c>
      <c r="H5" s="4"/>
    </row>
    <row r="6" spans="1:10" x14ac:dyDescent="0.25">
      <c r="A6" s="2"/>
      <c r="B6" s="2"/>
      <c r="C6" s="2"/>
      <c r="D6" s="2" t="s">
        <v>87</v>
      </c>
      <c r="E6" s="2" t="s">
        <v>88</v>
      </c>
      <c r="F6" s="4">
        <v>151.19999999999999</v>
      </c>
      <c r="G6" s="4"/>
      <c r="H6" s="4"/>
    </row>
    <row r="7" spans="1:10" x14ac:dyDescent="0.25">
      <c r="A7" s="2"/>
      <c r="B7" s="2"/>
      <c r="C7" s="2"/>
      <c r="D7" s="2" t="s">
        <v>134</v>
      </c>
      <c r="E7" s="2" t="s">
        <v>135</v>
      </c>
      <c r="F7" s="4">
        <v>100.8</v>
      </c>
      <c r="G7" s="4"/>
      <c r="H7" s="4"/>
    </row>
    <row r="8" spans="1:10" x14ac:dyDescent="0.25">
      <c r="A8" s="2"/>
      <c r="B8" s="2"/>
      <c r="C8" s="2"/>
      <c r="D8" s="2" t="s">
        <v>11</v>
      </c>
      <c r="E8" s="2" t="s">
        <v>12</v>
      </c>
      <c r="F8" s="4">
        <v>234.9</v>
      </c>
      <c r="G8" s="4"/>
      <c r="H8" s="4"/>
    </row>
    <row r="9" spans="1:10" x14ac:dyDescent="0.25">
      <c r="A9" s="2"/>
      <c r="B9" s="2"/>
      <c r="C9" s="2"/>
      <c r="D9" s="2" t="s">
        <v>15</v>
      </c>
      <c r="E9" s="2" t="s">
        <v>16</v>
      </c>
      <c r="F9" s="4">
        <v>267.3</v>
      </c>
      <c r="G9" s="4"/>
      <c r="H9" s="4"/>
    </row>
    <row r="10" spans="1:10" x14ac:dyDescent="0.25">
      <c r="A10" s="2"/>
      <c r="B10" s="2"/>
      <c r="C10" s="2"/>
      <c r="D10" s="2" t="s">
        <v>140</v>
      </c>
      <c r="E10" s="2" t="s">
        <v>141</v>
      </c>
      <c r="F10" s="4">
        <v>33.15</v>
      </c>
      <c r="G10" s="4"/>
      <c r="H10" s="4"/>
    </row>
    <row r="11" spans="1:10" x14ac:dyDescent="0.25">
      <c r="A11" s="2"/>
      <c r="B11" s="2"/>
      <c r="C11" s="2"/>
      <c r="D11" s="2" t="s">
        <v>71</v>
      </c>
      <c r="E11" s="2" t="s">
        <v>72</v>
      </c>
      <c r="F11" s="4">
        <v>24.32</v>
      </c>
      <c r="G11" s="4"/>
      <c r="H11" s="4"/>
    </row>
    <row r="12" spans="1:10" x14ac:dyDescent="0.25">
      <c r="A12" s="2"/>
      <c r="B12" s="2"/>
      <c r="C12" s="2"/>
      <c r="D12" s="2" t="s">
        <v>136</v>
      </c>
      <c r="E12" s="2" t="s">
        <v>137</v>
      </c>
      <c r="F12" s="4">
        <v>57.76</v>
      </c>
      <c r="G12" s="4"/>
      <c r="H12" s="4"/>
    </row>
    <row r="13" spans="1:10" x14ac:dyDescent="0.25">
      <c r="A13" s="2"/>
      <c r="B13" s="2"/>
      <c r="C13" s="2"/>
      <c r="D13" s="2" t="s">
        <v>100</v>
      </c>
      <c r="E13" s="2" t="s">
        <v>101</v>
      </c>
      <c r="F13" s="4">
        <v>58.08</v>
      </c>
      <c r="G13" s="4"/>
      <c r="H13" s="4"/>
    </row>
    <row r="14" spans="1:10" x14ac:dyDescent="0.25">
      <c r="A14" s="2"/>
      <c r="B14" s="2"/>
      <c r="C14" s="2"/>
      <c r="D14" s="2" t="s">
        <v>77</v>
      </c>
      <c r="E14" s="2" t="s">
        <v>78</v>
      </c>
      <c r="F14" s="4">
        <v>450</v>
      </c>
      <c r="G14" s="4">
        <v>-450</v>
      </c>
      <c r="H14" s="4"/>
    </row>
    <row r="15" spans="1:10" x14ac:dyDescent="0.25">
      <c r="A15" s="2"/>
      <c r="B15" s="2"/>
      <c r="C15" s="2"/>
      <c r="D15" s="2" t="s">
        <v>138</v>
      </c>
      <c r="E15" s="2" t="s">
        <v>139</v>
      </c>
      <c r="F15" s="4">
        <v>17.850000000000001</v>
      </c>
      <c r="G15" s="4">
        <v>-17.850000000000001</v>
      </c>
      <c r="H15" s="4"/>
    </row>
    <row r="16" spans="1:10" x14ac:dyDescent="0.25">
      <c r="A16" s="2"/>
      <c r="B16" s="2"/>
      <c r="C16" s="2"/>
      <c r="D16" s="2" t="s">
        <v>148</v>
      </c>
      <c r="E16" s="2" t="s">
        <v>149</v>
      </c>
      <c r="F16" s="4">
        <v>89.76</v>
      </c>
      <c r="G16" s="4"/>
      <c r="H16" s="4"/>
    </row>
    <row r="17" spans="1:8" x14ac:dyDescent="0.25">
      <c r="A17" s="2"/>
      <c r="B17" s="2"/>
      <c r="C17" s="2"/>
      <c r="D17" s="2" t="s">
        <v>83</v>
      </c>
      <c r="E17" s="2" t="s">
        <v>84</v>
      </c>
      <c r="F17" s="4">
        <v>63.36</v>
      </c>
      <c r="G17" s="4"/>
      <c r="H17" s="4"/>
    </row>
    <row r="18" spans="1:8" x14ac:dyDescent="0.25">
      <c r="A18" s="2"/>
      <c r="B18" s="2"/>
      <c r="C18" s="2"/>
      <c r="D18" s="2" t="s">
        <v>132</v>
      </c>
      <c r="E18" s="2" t="s">
        <v>133</v>
      </c>
      <c r="F18" s="4">
        <v>34.200000000000003</v>
      </c>
      <c r="G18" s="4">
        <v>-34.200000000000003</v>
      </c>
      <c r="H18" s="4"/>
    </row>
    <row r="19" spans="1:8" x14ac:dyDescent="0.25">
      <c r="A19" s="2"/>
      <c r="B19" s="2"/>
      <c r="C19" s="2"/>
      <c r="D19" s="2" t="s">
        <v>75</v>
      </c>
      <c r="E19" s="2" t="s">
        <v>76</v>
      </c>
      <c r="F19" s="4">
        <v>108</v>
      </c>
      <c r="G19" s="4">
        <v>-108</v>
      </c>
      <c r="H19" s="4"/>
    </row>
    <row r="20" spans="1:8" x14ac:dyDescent="0.25">
      <c r="A20" s="2"/>
      <c r="B20" s="2"/>
      <c r="C20" s="2"/>
      <c r="D20" s="2" t="s">
        <v>49</v>
      </c>
      <c r="E20" s="2" t="s">
        <v>50</v>
      </c>
      <c r="F20" s="4">
        <v>468</v>
      </c>
      <c r="G20" s="4">
        <v>-468</v>
      </c>
      <c r="H20" s="4"/>
    </row>
    <row r="21" spans="1:8" x14ac:dyDescent="0.25">
      <c r="A21" s="2"/>
      <c r="B21" s="2"/>
      <c r="C21" s="2"/>
      <c r="D21" s="2" t="s">
        <v>51</v>
      </c>
      <c r="E21" s="2" t="s">
        <v>52</v>
      </c>
      <c r="F21" s="4">
        <v>256.8</v>
      </c>
      <c r="G21" s="4">
        <v>-256.8</v>
      </c>
      <c r="H21" s="4"/>
    </row>
    <row r="22" spans="1:8" x14ac:dyDescent="0.25">
      <c r="A22" s="2"/>
      <c r="B22" s="2"/>
      <c r="C22" s="2"/>
      <c r="D22" s="2" t="s">
        <v>146</v>
      </c>
      <c r="E22" s="2" t="s">
        <v>147</v>
      </c>
      <c r="F22" s="4">
        <v>19.2</v>
      </c>
      <c r="G22" s="4"/>
      <c r="H22" s="4"/>
    </row>
    <row r="23" spans="1:8" x14ac:dyDescent="0.25">
      <c r="A23" s="2"/>
      <c r="B23" s="2"/>
      <c r="C23" s="2"/>
      <c r="D23" s="2" t="s">
        <v>85</v>
      </c>
      <c r="E23" s="2" t="s">
        <v>86</v>
      </c>
      <c r="F23" s="4">
        <v>306</v>
      </c>
      <c r="G23" s="4">
        <v>-306</v>
      </c>
      <c r="H23" s="4"/>
    </row>
    <row r="24" spans="1:8" x14ac:dyDescent="0.25">
      <c r="A24" s="2"/>
      <c r="B24" s="2"/>
      <c r="C24" s="2"/>
      <c r="D24" s="2" t="s">
        <v>25</v>
      </c>
      <c r="E24" s="2" t="s">
        <v>26</v>
      </c>
      <c r="F24" s="4">
        <v>21</v>
      </c>
      <c r="G24" s="4">
        <v>-21</v>
      </c>
      <c r="H24" s="4"/>
    </row>
    <row r="25" spans="1:8" x14ac:dyDescent="0.25">
      <c r="A25" s="2"/>
      <c r="B25" s="2"/>
      <c r="C25" s="2"/>
      <c r="D25" s="2" t="s">
        <v>53</v>
      </c>
      <c r="E25" s="2" t="s">
        <v>54</v>
      </c>
      <c r="F25" s="4">
        <v>79.2</v>
      </c>
      <c r="G25" s="4"/>
      <c r="H25" s="4"/>
    </row>
    <row r="26" spans="1:8" x14ac:dyDescent="0.25">
      <c r="A26" s="2"/>
      <c r="B26" s="2"/>
      <c r="C26" s="2"/>
      <c r="D26" s="2" t="s">
        <v>45</v>
      </c>
      <c r="E26" s="2" t="s">
        <v>46</v>
      </c>
      <c r="F26" s="4">
        <v>26.1</v>
      </c>
      <c r="G26" s="4"/>
      <c r="H26" s="4"/>
    </row>
    <row r="27" spans="1:8" x14ac:dyDescent="0.25">
      <c r="A27" s="2"/>
      <c r="B27" s="2"/>
      <c r="C27" s="2"/>
      <c r="D27" s="2" t="s">
        <v>108</v>
      </c>
      <c r="E27" s="2" t="s">
        <v>109</v>
      </c>
      <c r="F27" s="4">
        <v>24</v>
      </c>
      <c r="G27" s="4"/>
      <c r="H27" s="4"/>
    </row>
    <row r="28" spans="1:8" x14ac:dyDescent="0.25">
      <c r="A28" s="2"/>
      <c r="B28" s="2"/>
      <c r="C28" s="2"/>
      <c r="D28" s="2" t="s">
        <v>59</v>
      </c>
      <c r="E28" s="2" t="s">
        <v>60</v>
      </c>
      <c r="F28" s="4">
        <v>31.2</v>
      </c>
      <c r="G28" s="4"/>
      <c r="H28" s="4"/>
    </row>
    <row r="29" spans="1:8" x14ac:dyDescent="0.25">
      <c r="A29" s="2"/>
      <c r="B29" s="2"/>
      <c r="C29" s="2"/>
      <c r="D29" s="2" t="s">
        <v>57</v>
      </c>
      <c r="E29" s="2" t="s">
        <v>58</v>
      </c>
      <c r="F29" s="4">
        <v>9.6</v>
      </c>
      <c r="G29" s="4"/>
      <c r="H29" s="4"/>
    </row>
    <row r="30" spans="1:8" x14ac:dyDescent="0.25">
      <c r="A30" s="2"/>
      <c r="B30" s="2"/>
      <c r="C30" s="2"/>
      <c r="D30" s="2" t="s">
        <v>63</v>
      </c>
      <c r="E30" s="2" t="s">
        <v>64</v>
      </c>
      <c r="F30" s="4">
        <v>93.6</v>
      </c>
      <c r="G30" s="4"/>
      <c r="H30" s="4"/>
    </row>
    <row r="31" spans="1:8" x14ac:dyDescent="0.25">
      <c r="A31" s="2"/>
      <c r="B31" s="2"/>
      <c r="C31" s="2"/>
      <c r="D31" s="2" t="s">
        <v>61</v>
      </c>
      <c r="E31" s="2" t="s">
        <v>62</v>
      </c>
      <c r="F31" s="4">
        <v>12</v>
      </c>
      <c r="G31" s="4"/>
      <c r="H31" s="4"/>
    </row>
    <row r="32" spans="1:8" x14ac:dyDescent="0.25">
      <c r="A32" s="2"/>
      <c r="B32" s="2"/>
      <c r="C32" s="2"/>
      <c r="D32" s="2" t="s">
        <v>103</v>
      </c>
      <c r="E32" s="2" t="s">
        <v>104</v>
      </c>
      <c r="F32" s="4">
        <v>32.4</v>
      </c>
      <c r="G32" s="4"/>
      <c r="H32" s="4"/>
    </row>
    <row r="33" spans="1:8" x14ac:dyDescent="0.25">
      <c r="A33" s="2"/>
      <c r="B33" s="2"/>
      <c r="C33" s="2"/>
      <c r="D33" s="2" t="s">
        <v>106</v>
      </c>
      <c r="E33" s="2" t="s">
        <v>107</v>
      </c>
      <c r="F33" s="4">
        <v>10.8</v>
      </c>
      <c r="G33" s="4"/>
      <c r="H33" s="4"/>
    </row>
    <row r="34" spans="1:8" x14ac:dyDescent="0.25">
      <c r="A34" s="2"/>
      <c r="B34" s="2"/>
      <c r="C34" s="2"/>
      <c r="D34" s="2" t="s">
        <v>9</v>
      </c>
      <c r="E34" s="2" t="s">
        <v>10</v>
      </c>
      <c r="F34" s="4">
        <v>148.19999999999999</v>
      </c>
      <c r="G34" s="4"/>
      <c r="H34" s="4"/>
    </row>
    <row r="35" spans="1:8" x14ac:dyDescent="0.25">
      <c r="A35" s="2"/>
      <c r="B35" s="2"/>
      <c r="C35" s="2"/>
      <c r="D35" s="2" t="s">
        <v>47</v>
      </c>
      <c r="E35" s="2" t="s">
        <v>48</v>
      </c>
      <c r="F35" s="4">
        <v>86.4</v>
      </c>
      <c r="G35" s="4"/>
      <c r="H35" s="4"/>
    </row>
    <row r="36" spans="1:8" x14ac:dyDescent="0.25">
      <c r="A36" s="2"/>
      <c r="B36" s="2"/>
      <c r="C36" s="2"/>
      <c r="D36" s="2" t="s">
        <v>41</v>
      </c>
      <c r="E36" s="2" t="s">
        <v>42</v>
      </c>
      <c r="F36" s="4">
        <v>210.6</v>
      </c>
      <c r="G36" s="4"/>
      <c r="H36" s="4"/>
    </row>
    <row r="37" spans="1:8" x14ac:dyDescent="0.25">
      <c r="A37" s="2"/>
      <c r="B37" s="2"/>
      <c r="C37" s="2"/>
      <c r="D37" s="2" t="s">
        <v>55</v>
      </c>
      <c r="E37" s="2" t="s">
        <v>56</v>
      </c>
      <c r="F37" s="4">
        <v>40.799999999999997</v>
      </c>
      <c r="G37" s="4"/>
      <c r="H37" s="4"/>
    </row>
    <row r="38" spans="1:8" x14ac:dyDescent="0.25">
      <c r="A38" s="2"/>
      <c r="B38" s="2"/>
      <c r="C38" s="2"/>
      <c r="D38" s="2" t="s">
        <v>43</v>
      </c>
      <c r="E38" s="2" t="s">
        <v>44</v>
      </c>
      <c r="F38" s="4">
        <v>113.4</v>
      </c>
      <c r="G38" s="4"/>
      <c r="H38" s="4"/>
    </row>
    <row r="39" spans="1:8" x14ac:dyDescent="0.25">
      <c r="A39" s="2"/>
      <c r="B39" s="2"/>
      <c r="C39" s="2"/>
      <c r="D39" s="2" t="s">
        <v>120</v>
      </c>
      <c r="E39" s="2" t="s">
        <v>121</v>
      </c>
      <c r="F39" s="4">
        <v>75.599999999999994</v>
      </c>
      <c r="G39" s="4">
        <v>-75.599999999999994</v>
      </c>
      <c r="H39" s="4"/>
    </row>
    <row r="40" spans="1:8" x14ac:dyDescent="0.25">
      <c r="A40" s="2"/>
      <c r="B40" s="2"/>
      <c r="C40" s="2"/>
      <c r="D40" s="2" t="s">
        <v>89</v>
      </c>
      <c r="E40" s="2" t="s">
        <v>90</v>
      </c>
      <c r="F40" s="4">
        <v>54</v>
      </c>
      <c r="G40" s="4"/>
      <c r="H40" s="4"/>
    </row>
    <row r="41" spans="1:8" x14ac:dyDescent="0.25">
      <c r="A41" s="2"/>
      <c r="B41" s="2"/>
      <c r="C41" s="2"/>
      <c r="D41" s="2" t="s">
        <v>37</v>
      </c>
      <c r="E41" s="2" t="s">
        <v>38</v>
      </c>
      <c r="F41" s="4">
        <v>16.2</v>
      </c>
      <c r="G41" s="4">
        <v>-16.2</v>
      </c>
      <c r="H41" s="4"/>
    </row>
    <row r="42" spans="1:8" x14ac:dyDescent="0.25">
      <c r="A42" s="2"/>
      <c r="B42" s="2"/>
      <c r="C42" s="2"/>
      <c r="D42" s="2" t="s">
        <v>33</v>
      </c>
      <c r="E42" s="2" t="s">
        <v>34</v>
      </c>
      <c r="F42" s="4">
        <v>21.6</v>
      </c>
      <c r="G42" s="4">
        <v>-21.6</v>
      </c>
      <c r="H42" s="4"/>
    </row>
    <row r="43" spans="1:8" x14ac:dyDescent="0.25">
      <c r="A43" s="2"/>
      <c r="B43" s="2"/>
      <c r="C43" s="2"/>
      <c r="D43" s="2" t="s">
        <v>126</v>
      </c>
      <c r="E43" s="2" t="s">
        <v>127</v>
      </c>
      <c r="F43" s="4">
        <v>610.20000000000005</v>
      </c>
      <c r="G43" s="4">
        <v>-305.12</v>
      </c>
      <c r="H43" s="4"/>
    </row>
    <row r="44" spans="1:8" x14ac:dyDescent="0.25">
      <c r="A44" s="2"/>
      <c r="B44" s="2"/>
      <c r="C44" s="2"/>
      <c r="D44" s="2" t="s">
        <v>128</v>
      </c>
      <c r="E44" s="2" t="s">
        <v>129</v>
      </c>
      <c r="F44" s="4">
        <v>43.2</v>
      </c>
      <c r="G44" s="4"/>
      <c r="H44" s="4"/>
    </row>
    <row r="45" spans="1:8" x14ac:dyDescent="0.25">
      <c r="A45" s="2"/>
      <c r="B45" s="2"/>
      <c r="C45" s="2"/>
      <c r="D45" s="2" t="s">
        <v>110</v>
      </c>
      <c r="E45" s="2" t="s">
        <v>111</v>
      </c>
      <c r="F45" s="4">
        <v>6.4</v>
      </c>
      <c r="G45" s="4"/>
      <c r="H45" s="4"/>
    </row>
    <row r="46" spans="1:8" x14ac:dyDescent="0.25">
      <c r="A46" s="2"/>
      <c r="B46" s="2"/>
      <c r="C46" s="2"/>
      <c r="D46" s="2" t="s">
        <v>112</v>
      </c>
      <c r="E46" s="2" t="s">
        <v>113</v>
      </c>
      <c r="F46" s="4">
        <v>5.28</v>
      </c>
      <c r="G46" s="4"/>
      <c r="H46" s="4"/>
    </row>
    <row r="47" spans="1:8" x14ac:dyDescent="0.25">
      <c r="A47" s="2"/>
      <c r="B47" s="2"/>
      <c r="C47" s="2"/>
      <c r="D47" s="2" t="s">
        <v>122</v>
      </c>
      <c r="E47" s="2" t="s">
        <v>123</v>
      </c>
      <c r="F47" s="4">
        <v>3.2</v>
      </c>
      <c r="G47" s="4"/>
      <c r="H47" s="4"/>
    </row>
    <row r="48" spans="1:8" x14ac:dyDescent="0.25">
      <c r="A48" s="2"/>
      <c r="B48" s="2"/>
      <c r="C48" s="2"/>
      <c r="D48" s="2" t="s">
        <v>27</v>
      </c>
      <c r="E48" s="2" t="s">
        <v>28</v>
      </c>
      <c r="F48" s="4">
        <v>27</v>
      </c>
      <c r="G48" s="4"/>
      <c r="H48" s="4"/>
    </row>
    <row r="49" spans="1:10" x14ac:dyDescent="0.25">
      <c r="A49" s="2"/>
      <c r="B49" s="2"/>
      <c r="C49" s="2"/>
      <c r="D49" s="2" t="s">
        <v>124</v>
      </c>
      <c r="E49" s="2" t="s">
        <v>125</v>
      </c>
      <c r="F49" s="4">
        <v>5.04</v>
      </c>
      <c r="G49" s="4"/>
      <c r="H49" s="4"/>
    </row>
    <row r="50" spans="1:10" x14ac:dyDescent="0.25">
      <c r="A50" s="2"/>
      <c r="B50" s="2"/>
      <c r="C50" s="2"/>
      <c r="D50" s="2" t="s">
        <v>130</v>
      </c>
      <c r="E50" s="2" t="s">
        <v>131</v>
      </c>
      <c r="F50" s="4">
        <v>3.6</v>
      </c>
      <c r="G50" s="4"/>
      <c r="H50" s="4"/>
    </row>
    <row r="51" spans="1:10" x14ac:dyDescent="0.25">
      <c r="A51" s="2"/>
      <c r="B51" s="2"/>
      <c r="C51" s="2"/>
      <c r="D51" s="2" t="s">
        <v>118</v>
      </c>
      <c r="E51" s="2" t="s">
        <v>119</v>
      </c>
      <c r="F51" s="4">
        <v>15.12</v>
      </c>
      <c r="G51" s="4">
        <v>-15.12</v>
      </c>
      <c r="H51" s="4"/>
    </row>
    <row r="52" spans="1:10" x14ac:dyDescent="0.25">
      <c r="A52" s="2"/>
      <c r="B52" s="2"/>
      <c r="C52" s="2"/>
      <c r="D52" s="2" t="s">
        <v>21</v>
      </c>
      <c r="E52" s="2" t="s">
        <v>22</v>
      </c>
      <c r="F52" s="4">
        <v>63</v>
      </c>
      <c r="G52" s="4">
        <v>-63</v>
      </c>
      <c r="H52" s="4"/>
    </row>
    <row r="53" spans="1:10" x14ac:dyDescent="0.25">
      <c r="A53" s="2"/>
      <c r="B53" s="2"/>
      <c r="C53" s="2"/>
      <c r="D53" s="2" t="s">
        <v>116</v>
      </c>
      <c r="E53" s="2" t="s">
        <v>117</v>
      </c>
      <c r="F53" s="4">
        <v>52.5</v>
      </c>
      <c r="G53" s="4">
        <v>-52.5</v>
      </c>
      <c r="H53" s="4"/>
    </row>
    <row r="54" spans="1:10" x14ac:dyDescent="0.25">
      <c r="A54" s="2"/>
      <c r="B54" s="2"/>
      <c r="C54" s="2"/>
      <c r="D54" s="2" t="s">
        <v>23</v>
      </c>
      <c r="E54" s="2" t="s">
        <v>24</v>
      </c>
      <c r="F54" s="4">
        <v>31.92</v>
      </c>
      <c r="G54" s="4">
        <v>-31.92</v>
      </c>
      <c r="H54" s="4"/>
    </row>
    <row r="55" spans="1:10" x14ac:dyDescent="0.25">
      <c r="A55" s="2"/>
      <c r="B55" s="2"/>
      <c r="C55" s="2"/>
      <c r="D55" s="2" t="s">
        <v>114</v>
      </c>
      <c r="E55" s="2" t="s">
        <v>115</v>
      </c>
      <c r="F55" s="4">
        <v>31.5</v>
      </c>
      <c r="G55" s="4">
        <v>-31.5</v>
      </c>
      <c r="H55" s="4"/>
    </row>
    <row r="56" spans="1:10" x14ac:dyDescent="0.25">
      <c r="A56" s="2"/>
      <c r="B56" s="2"/>
      <c r="C56" s="2"/>
      <c r="D56" s="2" t="s">
        <v>65</v>
      </c>
      <c r="E56" s="2" t="s">
        <v>66</v>
      </c>
      <c r="F56" s="4">
        <v>39</v>
      </c>
      <c r="G56" s="4"/>
      <c r="H56" s="4"/>
    </row>
    <row r="57" spans="1:10" x14ac:dyDescent="0.25">
      <c r="A57" s="2"/>
      <c r="B57" s="2"/>
      <c r="C57" s="2"/>
      <c r="D57" s="2" t="s">
        <v>67</v>
      </c>
      <c r="E57" s="2" t="s">
        <v>68</v>
      </c>
      <c r="F57" s="4">
        <v>117</v>
      </c>
      <c r="G57" s="4"/>
      <c r="H57" s="4"/>
    </row>
    <row r="58" spans="1:10" x14ac:dyDescent="0.25">
      <c r="A58" s="2"/>
      <c r="B58" s="2"/>
      <c r="C58" s="2"/>
      <c r="D58" s="2" t="s">
        <v>142</v>
      </c>
      <c r="E58" s="2" t="s">
        <v>143</v>
      </c>
      <c r="F58" s="4">
        <v>36</v>
      </c>
      <c r="G58" s="4"/>
      <c r="H58" s="4"/>
    </row>
    <row r="59" spans="1:10" x14ac:dyDescent="0.25">
      <c r="A59" s="2"/>
      <c r="B59" s="2" t="s">
        <v>8</v>
      </c>
      <c r="C59" s="2" t="s">
        <v>5</v>
      </c>
      <c r="D59" s="2" t="s">
        <v>73</v>
      </c>
      <c r="E59" s="2" t="s">
        <v>74</v>
      </c>
      <c r="F59" s="6">
        <v>495</v>
      </c>
      <c r="G59" s="4"/>
      <c r="H59" s="4"/>
      <c r="I59" s="5">
        <f>SUM(F59:F99)</f>
        <v>3810.3199999999997</v>
      </c>
      <c r="J59" s="5">
        <f>SUM(G59:G99)</f>
        <v>-1001.7200000000001</v>
      </c>
    </row>
    <row r="60" spans="1:10" x14ac:dyDescent="0.25">
      <c r="A60" s="2"/>
      <c r="B60" s="2"/>
      <c r="C60" s="2"/>
      <c r="D60" s="2" t="s">
        <v>69</v>
      </c>
      <c r="E60" s="2" t="s">
        <v>70</v>
      </c>
      <c r="F60" s="4">
        <v>195</v>
      </c>
      <c r="G60" s="4"/>
      <c r="H60" s="4"/>
    </row>
    <row r="61" spans="1:10" x14ac:dyDescent="0.25">
      <c r="A61" s="2"/>
      <c r="B61" s="2"/>
      <c r="C61" s="2"/>
      <c r="D61" s="2" t="s">
        <v>87</v>
      </c>
      <c r="E61" s="2" t="s">
        <v>88</v>
      </c>
      <c r="F61" s="4">
        <v>86.4</v>
      </c>
      <c r="G61" s="4"/>
      <c r="H61" s="4"/>
    </row>
    <row r="62" spans="1:10" x14ac:dyDescent="0.25">
      <c r="A62" s="2"/>
      <c r="B62" s="2"/>
      <c r="C62" s="2"/>
      <c r="D62" s="2" t="s">
        <v>6</v>
      </c>
      <c r="E62" s="2" t="s">
        <v>7</v>
      </c>
      <c r="F62" s="4">
        <v>4</v>
      </c>
      <c r="G62" s="4"/>
      <c r="H62" s="4"/>
    </row>
    <row r="63" spans="1:10" x14ac:dyDescent="0.25">
      <c r="A63" s="2"/>
      <c r="B63" s="2"/>
      <c r="C63" s="2"/>
      <c r="D63" s="2" t="s">
        <v>11</v>
      </c>
      <c r="E63" s="2" t="s">
        <v>12</v>
      </c>
      <c r="F63" s="4">
        <v>542.70000000000005</v>
      </c>
      <c r="G63" s="4"/>
      <c r="H63" s="4"/>
    </row>
    <row r="64" spans="1:10" x14ac:dyDescent="0.25">
      <c r="A64" s="2"/>
      <c r="B64" s="2"/>
      <c r="C64" s="2"/>
      <c r="D64" s="2" t="s">
        <v>13</v>
      </c>
      <c r="E64" s="2" t="s">
        <v>14</v>
      </c>
      <c r="F64" s="4">
        <v>54</v>
      </c>
      <c r="G64" s="4"/>
      <c r="H64" s="4"/>
    </row>
    <row r="65" spans="1:8" x14ac:dyDescent="0.25">
      <c r="A65" s="2"/>
      <c r="B65" s="2"/>
      <c r="C65" s="2"/>
      <c r="D65" s="2" t="s">
        <v>17</v>
      </c>
      <c r="E65" s="2" t="s">
        <v>18</v>
      </c>
      <c r="F65" s="4">
        <v>27</v>
      </c>
      <c r="G65" s="4"/>
      <c r="H65" s="4"/>
    </row>
    <row r="66" spans="1:8" x14ac:dyDescent="0.25">
      <c r="A66" s="2"/>
      <c r="B66" s="2"/>
      <c r="C66" s="2"/>
      <c r="D66" s="2" t="s">
        <v>15</v>
      </c>
      <c r="E66" s="2" t="s">
        <v>16</v>
      </c>
      <c r="F66" s="4">
        <v>72.900000000000006</v>
      </c>
      <c r="G66" s="4"/>
      <c r="H66" s="4"/>
    </row>
    <row r="67" spans="1:8" x14ac:dyDescent="0.25">
      <c r="A67" s="2"/>
      <c r="B67" s="2"/>
      <c r="C67" s="2"/>
      <c r="D67" s="2" t="s">
        <v>71</v>
      </c>
      <c r="E67" s="2" t="s">
        <v>72</v>
      </c>
      <c r="F67" s="4">
        <v>15.2</v>
      </c>
      <c r="G67" s="4"/>
      <c r="H67" s="4"/>
    </row>
    <row r="68" spans="1:8" x14ac:dyDescent="0.25">
      <c r="A68" s="2"/>
      <c r="B68" s="2"/>
      <c r="C68" s="2"/>
      <c r="D68" s="2" t="s">
        <v>77</v>
      </c>
      <c r="E68" s="2" t="s">
        <v>78</v>
      </c>
      <c r="F68" s="4">
        <v>207</v>
      </c>
      <c r="G68" s="4"/>
      <c r="H68" s="4"/>
    </row>
    <row r="69" spans="1:8" x14ac:dyDescent="0.25">
      <c r="A69" s="2"/>
      <c r="B69" s="2"/>
      <c r="C69" s="2"/>
      <c r="D69" s="2" t="s">
        <v>83</v>
      </c>
      <c r="E69" s="2" t="s">
        <v>84</v>
      </c>
      <c r="F69" s="4">
        <v>10.56</v>
      </c>
      <c r="G69" s="4"/>
      <c r="H69" s="4"/>
    </row>
    <row r="70" spans="1:8" x14ac:dyDescent="0.25">
      <c r="A70" s="2"/>
      <c r="B70" s="2"/>
      <c r="C70" s="2"/>
      <c r="D70" s="2" t="s">
        <v>79</v>
      </c>
      <c r="E70" s="2" t="s">
        <v>80</v>
      </c>
      <c r="F70" s="4">
        <v>16.8</v>
      </c>
      <c r="G70" s="4"/>
      <c r="H70" s="4"/>
    </row>
    <row r="71" spans="1:8" x14ac:dyDescent="0.25">
      <c r="A71" s="2"/>
      <c r="B71" s="2"/>
      <c r="C71" s="2"/>
      <c r="D71" s="2" t="s">
        <v>75</v>
      </c>
      <c r="E71" s="2" t="s">
        <v>76</v>
      </c>
      <c r="F71" s="4">
        <v>126</v>
      </c>
      <c r="G71" s="4">
        <v>-126</v>
      </c>
      <c r="H71" s="4"/>
    </row>
    <row r="72" spans="1:8" x14ac:dyDescent="0.25">
      <c r="A72" s="2"/>
      <c r="B72" s="2"/>
      <c r="C72" s="2"/>
      <c r="D72" s="2" t="s">
        <v>19</v>
      </c>
      <c r="E72" s="2" t="s">
        <v>20</v>
      </c>
      <c r="F72" s="4">
        <v>5.94</v>
      </c>
      <c r="G72" s="4"/>
      <c r="H72" s="4"/>
    </row>
    <row r="73" spans="1:8" x14ac:dyDescent="0.25">
      <c r="A73" s="2"/>
      <c r="B73" s="2"/>
      <c r="C73" s="2"/>
      <c r="D73" s="2" t="s">
        <v>49</v>
      </c>
      <c r="E73" s="2" t="s">
        <v>50</v>
      </c>
      <c r="F73" s="4">
        <v>244.8</v>
      </c>
      <c r="G73" s="4">
        <v>-244.8</v>
      </c>
      <c r="H73" s="4"/>
    </row>
    <row r="74" spans="1:8" x14ac:dyDescent="0.25">
      <c r="A74" s="2"/>
      <c r="B74" s="2"/>
      <c r="C74" s="2"/>
      <c r="D74" s="2" t="s">
        <v>51</v>
      </c>
      <c r="E74" s="2" t="s">
        <v>52</v>
      </c>
      <c r="F74" s="4">
        <v>64.8</v>
      </c>
      <c r="G74" s="4">
        <v>-64.8</v>
      </c>
      <c r="H74" s="4"/>
    </row>
    <row r="75" spans="1:8" x14ac:dyDescent="0.25">
      <c r="A75" s="2"/>
      <c r="B75" s="2"/>
      <c r="C75" s="2"/>
      <c r="D75" s="2" t="s">
        <v>81</v>
      </c>
      <c r="E75" s="2" t="s">
        <v>82</v>
      </c>
      <c r="F75" s="4">
        <v>28.8</v>
      </c>
      <c r="G75" s="4"/>
      <c r="H75" s="4"/>
    </row>
    <row r="76" spans="1:8" x14ac:dyDescent="0.25">
      <c r="A76" s="2"/>
      <c r="B76" s="2"/>
      <c r="C76" s="2"/>
      <c r="D76" s="2" t="s">
        <v>85</v>
      </c>
      <c r="E76" s="2" t="s">
        <v>86</v>
      </c>
      <c r="F76" s="4">
        <v>144</v>
      </c>
      <c r="G76" s="4">
        <v>-144</v>
      </c>
      <c r="H76" s="4"/>
    </row>
    <row r="77" spans="1:8" x14ac:dyDescent="0.25">
      <c r="A77" s="2"/>
      <c r="B77" s="2"/>
      <c r="C77" s="2"/>
      <c r="D77" s="2" t="s">
        <v>25</v>
      </c>
      <c r="E77" s="2" t="s">
        <v>26</v>
      </c>
      <c r="F77" s="4">
        <v>35.700000000000003</v>
      </c>
      <c r="G77" s="4">
        <v>-35.700000000000003</v>
      </c>
      <c r="H77" s="4"/>
    </row>
    <row r="78" spans="1:8" x14ac:dyDescent="0.25">
      <c r="A78" s="2"/>
      <c r="B78" s="2"/>
      <c r="C78" s="2"/>
      <c r="D78" s="2" t="s">
        <v>53</v>
      </c>
      <c r="E78" s="2" t="s">
        <v>54</v>
      </c>
      <c r="F78" s="4">
        <v>79.2</v>
      </c>
      <c r="G78" s="4"/>
      <c r="H78" s="4"/>
    </row>
    <row r="79" spans="1:8" x14ac:dyDescent="0.25">
      <c r="A79" s="2"/>
      <c r="B79" s="2"/>
      <c r="C79" s="2"/>
      <c r="D79" s="2" t="s">
        <v>45</v>
      </c>
      <c r="E79" s="2" t="s">
        <v>46</v>
      </c>
      <c r="F79" s="4">
        <v>34.799999999999997</v>
      </c>
      <c r="G79" s="4"/>
      <c r="H79" s="4"/>
    </row>
    <row r="80" spans="1:8" x14ac:dyDescent="0.25">
      <c r="A80" s="2"/>
      <c r="B80" s="2"/>
      <c r="C80" s="2"/>
      <c r="D80" s="2" t="s">
        <v>59</v>
      </c>
      <c r="E80" s="2" t="s">
        <v>60</v>
      </c>
      <c r="F80" s="4">
        <v>26.4</v>
      </c>
      <c r="G80" s="4"/>
      <c r="H80" s="4"/>
    </row>
    <row r="81" spans="1:8" x14ac:dyDescent="0.25">
      <c r="A81" s="2"/>
      <c r="B81" s="2"/>
      <c r="C81" s="2"/>
      <c r="D81" s="2" t="s">
        <v>57</v>
      </c>
      <c r="E81" s="2" t="s">
        <v>58</v>
      </c>
      <c r="F81" s="4">
        <v>43.2</v>
      </c>
      <c r="G81" s="4"/>
      <c r="H81" s="4"/>
    </row>
    <row r="82" spans="1:8" x14ac:dyDescent="0.25">
      <c r="A82" s="2"/>
      <c r="B82" s="2"/>
      <c r="C82" s="2"/>
      <c r="D82" s="2" t="s">
        <v>63</v>
      </c>
      <c r="E82" s="2" t="s">
        <v>64</v>
      </c>
      <c r="F82" s="4">
        <v>36</v>
      </c>
      <c r="G82" s="4"/>
      <c r="H82" s="4"/>
    </row>
    <row r="83" spans="1:8" x14ac:dyDescent="0.25">
      <c r="A83" s="2"/>
      <c r="B83" s="2"/>
      <c r="C83" s="2"/>
      <c r="D83" s="2" t="s">
        <v>61</v>
      </c>
      <c r="E83" s="2" t="s">
        <v>62</v>
      </c>
      <c r="F83" s="4">
        <v>16.8</v>
      </c>
      <c r="G83" s="4"/>
      <c r="H83" s="4"/>
    </row>
    <row r="84" spans="1:8" x14ac:dyDescent="0.25">
      <c r="A84" s="2"/>
      <c r="B84" s="2"/>
      <c r="C84" s="2"/>
      <c r="D84" s="2" t="s">
        <v>9</v>
      </c>
      <c r="E84" s="2" t="s">
        <v>10</v>
      </c>
      <c r="F84" s="4">
        <v>405.6</v>
      </c>
      <c r="G84" s="4"/>
      <c r="H84" s="4"/>
    </row>
    <row r="85" spans="1:8" x14ac:dyDescent="0.25">
      <c r="A85" s="2"/>
      <c r="B85" s="2"/>
      <c r="C85" s="2"/>
      <c r="D85" s="2" t="s">
        <v>47</v>
      </c>
      <c r="E85" s="2" t="s">
        <v>48</v>
      </c>
      <c r="F85" s="4">
        <v>7.2</v>
      </c>
      <c r="G85" s="4"/>
      <c r="H85" s="4"/>
    </row>
    <row r="86" spans="1:8" x14ac:dyDescent="0.25">
      <c r="A86" s="2"/>
      <c r="B86" s="2"/>
      <c r="C86" s="2"/>
      <c r="D86" s="2" t="s">
        <v>41</v>
      </c>
      <c r="E86" s="2" t="s">
        <v>42</v>
      </c>
      <c r="F86" s="4">
        <v>81</v>
      </c>
      <c r="G86" s="4"/>
      <c r="H86" s="4"/>
    </row>
    <row r="87" spans="1:8" x14ac:dyDescent="0.25">
      <c r="A87" s="2"/>
      <c r="B87" s="2"/>
      <c r="C87" s="2"/>
      <c r="D87" s="2" t="s">
        <v>55</v>
      </c>
      <c r="E87" s="2" t="s">
        <v>56</v>
      </c>
      <c r="F87" s="4">
        <v>100.8</v>
      </c>
      <c r="G87" s="4"/>
      <c r="H87" s="4"/>
    </row>
    <row r="88" spans="1:8" x14ac:dyDescent="0.25">
      <c r="A88" s="2"/>
      <c r="B88" s="2"/>
      <c r="C88" s="2"/>
      <c r="D88" s="2" t="s">
        <v>43</v>
      </c>
      <c r="E88" s="2" t="s">
        <v>44</v>
      </c>
      <c r="F88" s="4">
        <v>72.900000000000006</v>
      </c>
      <c r="G88" s="4"/>
      <c r="H88" s="4"/>
    </row>
    <row r="89" spans="1:8" x14ac:dyDescent="0.25">
      <c r="A89" s="2"/>
      <c r="B89" s="2"/>
      <c r="C89" s="2"/>
      <c r="D89" s="2" t="s">
        <v>29</v>
      </c>
      <c r="E89" s="2" t="s">
        <v>30</v>
      </c>
      <c r="F89" s="4">
        <v>25.2</v>
      </c>
      <c r="G89" s="4"/>
      <c r="H89" s="4"/>
    </row>
    <row r="90" spans="1:8" x14ac:dyDescent="0.25">
      <c r="A90" s="2"/>
      <c r="B90" s="2"/>
      <c r="C90" s="2"/>
      <c r="D90" s="2" t="s">
        <v>31</v>
      </c>
      <c r="E90" s="2" t="s">
        <v>32</v>
      </c>
      <c r="F90" s="4">
        <v>48.6</v>
      </c>
      <c r="G90" s="4"/>
      <c r="H90" s="4"/>
    </row>
    <row r="91" spans="1:8" x14ac:dyDescent="0.25">
      <c r="A91" s="2"/>
      <c r="B91" s="2"/>
      <c r="C91" s="2"/>
      <c r="D91" s="2" t="s">
        <v>37</v>
      </c>
      <c r="E91" s="2" t="s">
        <v>38</v>
      </c>
      <c r="F91" s="4">
        <v>3.6</v>
      </c>
      <c r="G91" s="4">
        <v>-3.6</v>
      </c>
      <c r="H91" s="4"/>
    </row>
    <row r="92" spans="1:8" x14ac:dyDescent="0.25">
      <c r="A92" s="2"/>
      <c r="B92" s="2"/>
      <c r="C92" s="2"/>
      <c r="D92" s="2" t="s">
        <v>33</v>
      </c>
      <c r="E92" s="2" t="s">
        <v>34</v>
      </c>
      <c r="F92" s="4">
        <v>102.6</v>
      </c>
      <c r="G92" s="4">
        <v>-102.6</v>
      </c>
      <c r="H92" s="4"/>
    </row>
    <row r="93" spans="1:8" x14ac:dyDescent="0.25">
      <c r="A93" s="2"/>
      <c r="B93" s="2"/>
      <c r="C93" s="2"/>
      <c r="D93" s="2" t="s">
        <v>35</v>
      </c>
      <c r="E93" s="2" t="s">
        <v>36</v>
      </c>
      <c r="F93" s="4">
        <v>18</v>
      </c>
      <c r="G93" s="4">
        <v>-18</v>
      </c>
      <c r="H93" s="4"/>
    </row>
    <row r="94" spans="1:8" x14ac:dyDescent="0.25">
      <c r="A94" s="2"/>
      <c r="B94" s="2"/>
      <c r="C94" s="2"/>
      <c r="D94" s="2" t="s">
        <v>39</v>
      </c>
      <c r="E94" s="2" t="s">
        <v>40</v>
      </c>
      <c r="F94" s="4">
        <v>75.599999999999994</v>
      </c>
      <c r="G94" s="4">
        <v>-75.599999999999994</v>
      </c>
      <c r="H94" s="4"/>
    </row>
    <row r="95" spans="1:8" x14ac:dyDescent="0.25">
      <c r="A95" s="2"/>
      <c r="B95" s="2"/>
      <c r="C95" s="2"/>
      <c r="D95" s="2" t="s">
        <v>27</v>
      </c>
      <c r="E95" s="2" t="s">
        <v>28</v>
      </c>
      <c r="F95" s="4">
        <v>7.2</v>
      </c>
      <c r="G95" s="4"/>
      <c r="H95" s="4"/>
    </row>
    <row r="96" spans="1:8" x14ac:dyDescent="0.25">
      <c r="A96" s="2"/>
      <c r="B96" s="2"/>
      <c r="C96" s="2"/>
      <c r="D96" s="2" t="s">
        <v>21</v>
      </c>
      <c r="E96" s="2" t="s">
        <v>22</v>
      </c>
      <c r="F96" s="4">
        <v>171.5</v>
      </c>
      <c r="G96" s="4">
        <v>-171.5</v>
      </c>
      <c r="H96" s="4"/>
    </row>
    <row r="97" spans="1:10" x14ac:dyDescent="0.25">
      <c r="A97" s="2"/>
      <c r="B97" s="2"/>
      <c r="C97" s="2"/>
      <c r="D97" s="2" t="s">
        <v>23</v>
      </c>
      <c r="E97" s="2" t="s">
        <v>24</v>
      </c>
      <c r="F97" s="4">
        <v>15.12</v>
      </c>
      <c r="G97" s="4">
        <v>-15.12</v>
      </c>
      <c r="H97" s="4"/>
    </row>
    <row r="98" spans="1:10" x14ac:dyDescent="0.25">
      <c r="A98" s="2"/>
      <c r="B98" s="2"/>
      <c r="C98" s="2"/>
      <c r="D98" s="2" t="s">
        <v>65</v>
      </c>
      <c r="E98" s="2" t="s">
        <v>66</v>
      </c>
      <c r="F98" s="4">
        <v>23.4</v>
      </c>
      <c r="G98" s="4"/>
      <c r="H98" s="4"/>
    </row>
    <row r="99" spans="1:10" x14ac:dyDescent="0.25">
      <c r="A99" s="2"/>
      <c r="B99" s="2"/>
      <c r="C99" s="2"/>
      <c r="D99" s="2" t="s">
        <v>67</v>
      </c>
      <c r="E99" s="2" t="s">
        <v>68</v>
      </c>
      <c r="F99" s="4">
        <v>39</v>
      </c>
      <c r="G99" s="4"/>
      <c r="H99" s="4"/>
    </row>
    <row r="100" spans="1:10" x14ac:dyDescent="0.25">
      <c r="A100" s="2"/>
      <c r="B100" s="2" t="s">
        <v>91</v>
      </c>
      <c r="C100" s="2" t="s">
        <v>5</v>
      </c>
      <c r="D100" s="2" t="s">
        <v>73</v>
      </c>
      <c r="E100" s="2" t="s">
        <v>74</v>
      </c>
      <c r="F100" s="6">
        <v>510</v>
      </c>
      <c r="G100" s="4"/>
      <c r="H100" s="4"/>
      <c r="I100" s="5">
        <f>SUM(F100:F109)</f>
        <v>9153</v>
      </c>
      <c r="J100" s="5">
        <f>SUM(G100:G109)</f>
        <v>-306</v>
      </c>
    </row>
    <row r="101" spans="1:10" x14ac:dyDescent="0.25">
      <c r="A101" s="2"/>
      <c r="B101" s="2"/>
      <c r="C101" s="2"/>
      <c r="D101" s="2" t="s">
        <v>69</v>
      </c>
      <c r="E101" s="2" t="s">
        <v>70</v>
      </c>
      <c r="F101" s="4">
        <v>304.2</v>
      </c>
      <c r="G101" s="4"/>
      <c r="H101" s="4"/>
    </row>
    <row r="102" spans="1:10" x14ac:dyDescent="0.25">
      <c r="A102" s="2"/>
      <c r="B102" s="2"/>
      <c r="C102" s="2"/>
      <c r="D102" s="2" t="s">
        <v>87</v>
      </c>
      <c r="E102" s="2" t="s">
        <v>88</v>
      </c>
      <c r="F102" s="4">
        <v>2008.8</v>
      </c>
      <c r="G102" s="4"/>
      <c r="H102" s="4"/>
    </row>
    <row r="103" spans="1:10" x14ac:dyDescent="0.25">
      <c r="A103" s="2"/>
      <c r="B103" s="2"/>
      <c r="C103" s="2"/>
      <c r="D103" s="2" t="s">
        <v>98</v>
      </c>
      <c r="E103" s="2" t="s">
        <v>99</v>
      </c>
      <c r="F103" s="4">
        <v>501.6</v>
      </c>
      <c r="G103" s="4"/>
      <c r="H103" s="4"/>
    </row>
    <row r="104" spans="1:10" x14ac:dyDescent="0.25">
      <c r="A104" s="2"/>
      <c r="B104" s="2"/>
      <c r="C104" s="2"/>
      <c r="D104" s="2" t="s">
        <v>100</v>
      </c>
      <c r="E104" s="2" t="s">
        <v>101</v>
      </c>
      <c r="F104" s="4">
        <v>501.6</v>
      </c>
      <c r="G104" s="4"/>
      <c r="H104" s="4"/>
    </row>
    <row r="105" spans="1:10" x14ac:dyDescent="0.25">
      <c r="A105" s="2"/>
      <c r="B105" s="2"/>
      <c r="C105" s="2"/>
      <c r="D105" s="2" t="s">
        <v>75</v>
      </c>
      <c r="E105" s="2" t="s">
        <v>76</v>
      </c>
      <c r="F105" s="4">
        <v>306</v>
      </c>
      <c r="G105" s="4">
        <v>-306</v>
      </c>
      <c r="H105" s="4"/>
    </row>
    <row r="106" spans="1:10" x14ac:dyDescent="0.25">
      <c r="A106" s="2"/>
      <c r="B106" s="2"/>
      <c r="C106" s="2"/>
      <c r="D106" s="2" t="s">
        <v>96</v>
      </c>
      <c r="E106" s="2" t="s">
        <v>97</v>
      </c>
      <c r="F106" s="4">
        <v>1003.2</v>
      </c>
      <c r="G106" s="4"/>
      <c r="H106" s="4"/>
    </row>
    <row r="107" spans="1:10" x14ac:dyDescent="0.25">
      <c r="A107" s="2"/>
      <c r="B107" s="2"/>
      <c r="C107" s="2"/>
      <c r="D107" s="2" t="s">
        <v>89</v>
      </c>
      <c r="E107" s="2" t="s">
        <v>90</v>
      </c>
      <c r="F107" s="4">
        <v>507.6</v>
      </c>
      <c r="G107" s="4"/>
      <c r="H107" s="4"/>
    </row>
    <row r="108" spans="1:10" x14ac:dyDescent="0.25">
      <c r="A108" s="2"/>
      <c r="B108" s="2"/>
      <c r="C108" s="2"/>
      <c r="D108" s="2" t="s">
        <v>92</v>
      </c>
      <c r="E108" s="2" t="s">
        <v>93</v>
      </c>
      <c r="F108" s="4">
        <v>2010</v>
      </c>
      <c r="G108" s="4"/>
      <c r="H108" s="4"/>
    </row>
    <row r="109" spans="1:10" x14ac:dyDescent="0.25">
      <c r="A109" s="2"/>
      <c r="B109" s="2"/>
      <c r="C109" s="2"/>
      <c r="D109" s="2" t="s">
        <v>94</v>
      </c>
      <c r="E109" s="2" t="s">
        <v>95</v>
      </c>
      <c r="F109" s="4">
        <v>1500</v>
      </c>
      <c r="G109" s="4"/>
      <c r="H109" s="4"/>
    </row>
    <row r="110" spans="1:10" x14ac:dyDescent="0.25">
      <c r="A110" s="2"/>
      <c r="B110" s="2" t="s">
        <v>212</v>
      </c>
      <c r="C110" s="2" t="s">
        <v>150</v>
      </c>
      <c r="D110" s="2" t="s">
        <v>69</v>
      </c>
      <c r="E110" s="2" t="s">
        <v>70</v>
      </c>
      <c r="F110" s="6">
        <v>124.8</v>
      </c>
      <c r="G110" s="4"/>
      <c r="H110" s="4"/>
      <c r="I110" s="5">
        <f>SUM(F110:F116)</f>
        <v>593.28</v>
      </c>
      <c r="J110" s="5">
        <f>SUM(G110:G116)</f>
        <v>0</v>
      </c>
    </row>
    <row r="111" spans="1:10" x14ac:dyDescent="0.25">
      <c r="A111" s="2"/>
      <c r="B111" s="2"/>
      <c r="C111" s="2"/>
      <c r="D111" s="2" t="s">
        <v>98</v>
      </c>
      <c r="E111" s="2" t="s">
        <v>99</v>
      </c>
      <c r="F111" s="4">
        <v>42.24</v>
      </c>
      <c r="G111" s="4"/>
      <c r="H111" s="4"/>
    </row>
    <row r="112" spans="1:10" x14ac:dyDescent="0.25">
      <c r="A112" s="2"/>
      <c r="B112" s="2"/>
      <c r="C112" s="2"/>
      <c r="D112" s="2" t="s">
        <v>77</v>
      </c>
      <c r="E112" s="2" t="s">
        <v>78</v>
      </c>
      <c r="F112" s="4">
        <v>144</v>
      </c>
      <c r="G112" s="4"/>
      <c r="H112" s="4"/>
    </row>
    <row r="113" spans="1:10" x14ac:dyDescent="0.25">
      <c r="A113" s="2"/>
      <c r="B113" s="2"/>
      <c r="C113" s="2"/>
      <c r="D113" s="2" t="s">
        <v>206</v>
      </c>
      <c r="E113" s="2" t="s">
        <v>207</v>
      </c>
      <c r="F113" s="4">
        <v>42.24</v>
      </c>
      <c r="G113" s="4"/>
      <c r="H113" s="4"/>
    </row>
    <row r="114" spans="1:10" x14ac:dyDescent="0.25">
      <c r="A114" s="2"/>
      <c r="B114" s="2"/>
      <c r="C114" s="2"/>
      <c r="D114" s="2" t="s">
        <v>79</v>
      </c>
      <c r="E114" s="2" t="s">
        <v>80</v>
      </c>
      <c r="F114" s="4">
        <v>33.6</v>
      </c>
      <c r="G114" s="4"/>
      <c r="H114" s="4"/>
    </row>
    <row r="115" spans="1:10" x14ac:dyDescent="0.25">
      <c r="A115" s="2"/>
      <c r="B115" s="2"/>
      <c r="C115" s="2"/>
      <c r="D115" s="2" t="s">
        <v>89</v>
      </c>
      <c r="E115" s="2" t="s">
        <v>90</v>
      </c>
      <c r="F115" s="4">
        <v>86.4</v>
      </c>
      <c r="G115" s="4"/>
      <c r="H115" s="4"/>
    </row>
    <row r="116" spans="1:10" x14ac:dyDescent="0.25">
      <c r="A116" s="2"/>
      <c r="B116" s="2"/>
      <c r="C116" s="2"/>
      <c r="D116" s="2" t="s">
        <v>213</v>
      </c>
      <c r="E116" s="2" t="s">
        <v>214</v>
      </c>
      <c r="F116" s="4">
        <v>120</v>
      </c>
      <c r="G116" s="4"/>
      <c r="H116" s="4"/>
    </row>
    <row r="117" spans="1:10" x14ac:dyDescent="0.25">
      <c r="A117" s="2"/>
      <c r="B117" s="2" t="s">
        <v>153</v>
      </c>
      <c r="C117" s="2" t="s">
        <v>150</v>
      </c>
      <c r="D117" s="2" t="s">
        <v>69</v>
      </c>
      <c r="E117" s="2" t="s">
        <v>70</v>
      </c>
      <c r="F117" s="6">
        <v>1076.4000000000001</v>
      </c>
      <c r="G117" s="4"/>
      <c r="H117" s="4"/>
      <c r="I117" s="5">
        <f>SUM(F117:F191)</f>
        <v>8891.8900000000012</v>
      </c>
      <c r="J117" s="5">
        <f>SUM(G117:G191)</f>
        <v>-1979.65</v>
      </c>
    </row>
    <row r="118" spans="1:10" x14ac:dyDescent="0.25">
      <c r="A118" s="2"/>
      <c r="B118" s="2"/>
      <c r="C118" s="2"/>
      <c r="D118" s="2" t="s">
        <v>186</v>
      </c>
      <c r="E118" s="2" t="s">
        <v>187</v>
      </c>
      <c r="F118" s="4">
        <v>33.6</v>
      </c>
      <c r="G118" s="4"/>
      <c r="H118" s="4"/>
    </row>
    <row r="119" spans="1:10" x14ac:dyDescent="0.25">
      <c r="A119" s="2"/>
      <c r="B119" s="2"/>
      <c r="C119" s="2"/>
      <c r="D119" s="2" t="s">
        <v>134</v>
      </c>
      <c r="E119" s="2" t="s">
        <v>135</v>
      </c>
      <c r="F119" s="4">
        <v>50.4</v>
      </c>
      <c r="G119" s="4"/>
      <c r="H119" s="4"/>
    </row>
    <row r="120" spans="1:10" x14ac:dyDescent="0.25">
      <c r="A120" s="2"/>
      <c r="B120" s="2"/>
      <c r="C120" s="2"/>
      <c r="D120" s="2" t="s">
        <v>11</v>
      </c>
      <c r="E120" s="2" t="s">
        <v>12</v>
      </c>
      <c r="F120" s="4">
        <v>64.8</v>
      </c>
      <c r="G120" s="4"/>
      <c r="H120" s="4"/>
    </row>
    <row r="121" spans="1:10" x14ac:dyDescent="0.25">
      <c r="A121" s="2"/>
      <c r="B121" s="2"/>
      <c r="C121" s="2"/>
      <c r="D121" s="2" t="s">
        <v>13</v>
      </c>
      <c r="E121" s="2" t="s">
        <v>14</v>
      </c>
      <c r="F121" s="4">
        <v>86.4</v>
      </c>
      <c r="G121" s="4"/>
      <c r="H121" s="4"/>
    </row>
    <row r="122" spans="1:10" x14ac:dyDescent="0.25">
      <c r="A122" s="2"/>
      <c r="B122" s="2"/>
      <c r="C122" s="2"/>
      <c r="D122" s="2" t="s">
        <v>17</v>
      </c>
      <c r="E122" s="2" t="s">
        <v>18</v>
      </c>
      <c r="F122" s="4">
        <v>72.900000000000006</v>
      </c>
      <c r="G122" s="4"/>
      <c r="H122" s="4"/>
    </row>
    <row r="123" spans="1:10" x14ac:dyDescent="0.25">
      <c r="A123" s="2"/>
      <c r="B123" s="2"/>
      <c r="C123" s="2"/>
      <c r="D123" s="2" t="s">
        <v>184</v>
      </c>
      <c r="E123" s="2" t="s">
        <v>185</v>
      </c>
      <c r="F123" s="4">
        <v>79.8</v>
      </c>
      <c r="G123" s="4">
        <v>-79.8</v>
      </c>
      <c r="H123" s="4"/>
    </row>
    <row r="124" spans="1:10" x14ac:dyDescent="0.25">
      <c r="A124" s="2"/>
      <c r="B124" s="2"/>
      <c r="C124" s="2"/>
      <c r="D124" s="2" t="s">
        <v>200</v>
      </c>
      <c r="E124" s="2" t="s">
        <v>201</v>
      </c>
      <c r="F124" s="4">
        <v>63.36</v>
      </c>
      <c r="G124" s="4"/>
      <c r="H124" s="4"/>
    </row>
    <row r="125" spans="1:10" x14ac:dyDescent="0.25">
      <c r="A125" s="2"/>
      <c r="B125" s="2"/>
      <c r="C125" s="2"/>
      <c r="D125" s="2" t="s">
        <v>100</v>
      </c>
      <c r="E125" s="2" t="s">
        <v>101</v>
      </c>
      <c r="F125" s="4">
        <v>142.56</v>
      </c>
      <c r="G125" s="4"/>
      <c r="H125" s="4"/>
    </row>
    <row r="126" spans="1:10" x14ac:dyDescent="0.25">
      <c r="A126" s="2"/>
      <c r="B126" s="2"/>
      <c r="C126" s="2"/>
      <c r="D126" s="2" t="s">
        <v>77</v>
      </c>
      <c r="E126" s="2" t="s">
        <v>78</v>
      </c>
      <c r="F126" s="4">
        <v>1008</v>
      </c>
      <c r="G126" s="4"/>
      <c r="H126" s="4"/>
    </row>
    <row r="127" spans="1:10" x14ac:dyDescent="0.25">
      <c r="A127" s="2"/>
      <c r="B127" s="2"/>
      <c r="C127" s="2"/>
      <c r="D127" s="2" t="s">
        <v>138</v>
      </c>
      <c r="E127" s="2" t="s">
        <v>139</v>
      </c>
      <c r="F127" s="4">
        <v>2.5499999999999998</v>
      </c>
      <c r="G127" s="4">
        <v>-2.5499999999999998</v>
      </c>
      <c r="H127" s="4"/>
    </row>
    <row r="128" spans="1:10" x14ac:dyDescent="0.25">
      <c r="A128" s="2"/>
      <c r="B128" s="2"/>
      <c r="C128" s="2"/>
      <c r="D128" s="2" t="s">
        <v>148</v>
      </c>
      <c r="E128" s="2" t="s">
        <v>149</v>
      </c>
      <c r="F128" s="4">
        <v>121.44</v>
      </c>
      <c r="G128" s="4"/>
      <c r="H128" s="4"/>
    </row>
    <row r="129" spans="1:8" x14ac:dyDescent="0.25">
      <c r="A129" s="2"/>
      <c r="B129" s="2"/>
      <c r="C129" s="2"/>
      <c r="D129" s="2" t="s">
        <v>206</v>
      </c>
      <c r="E129" s="2" t="s">
        <v>207</v>
      </c>
      <c r="F129" s="4">
        <v>454.08</v>
      </c>
      <c r="G129" s="4"/>
      <c r="H129" s="4"/>
    </row>
    <row r="130" spans="1:8" x14ac:dyDescent="0.25">
      <c r="A130" s="2"/>
      <c r="B130" s="2"/>
      <c r="C130" s="2"/>
      <c r="D130" s="2" t="s">
        <v>83</v>
      </c>
      <c r="E130" s="2" t="s">
        <v>84</v>
      </c>
      <c r="F130" s="4">
        <v>10.56</v>
      </c>
      <c r="G130" s="4"/>
      <c r="H130" s="4"/>
    </row>
    <row r="131" spans="1:8" x14ac:dyDescent="0.25">
      <c r="A131" s="2"/>
      <c r="B131" s="2"/>
      <c r="C131" s="2"/>
      <c r="D131" s="2" t="s">
        <v>202</v>
      </c>
      <c r="E131" s="2" t="s">
        <v>203</v>
      </c>
      <c r="F131" s="4">
        <v>79.2</v>
      </c>
      <c r="G131" s="4"/>
      <c r="H131" s="4"/>
    </row>
    <row r="132" spans="1:8" x14ac:dyDescent="0.25">
      <c r="A132" s="2"/>
      <c r="B132" s="2"/>
      <c r="C132" s="2"/>
      <c r="D132" s="2" t="s">
        <v>75</v>
      </c>
      <c r="E132" s="2" t="s">
        <v>76</v>
      </c>
      <c r="F132" s="4">
        <v>108</v>
      </c>
      <c r="G132" s="4">
        <v>-108</v>
      </c>
      <c r="H132" s="4"/>
    </row>
    <row r="133" spans="1:8" x14ac:dyDescent="0.25">
      <c r="A133" s="2"/>
      <c r="B133" s="2"/>
      <c r="C133" s="2"/>
      <c r="D133" s="2" t="s">
        <v>49</v>
      </c>
      <c r="E133" s="2" t="s">
        <v>50</v>
      </c>
      <c r="F133" s="4">
        <v>768</v>
      </c>
      <c r="G133" s="4">
        <v>-768</v>
      </c>
      <c r="H133" s="4"/>
    </row>
    <row r="134" spans="1:8" x14ac:dyDescent="0.25">
      <c r="A134" s="2"/>
      <c r="B134" s="2"/>
      <c r="C134" s="2"/>
      <c r="D134" s="2" t="s">
        <v>51</v>
      </c>
      <c r="E134" s="2" t="s">
        <v>52</v>
      </c>
      <c r="F134" s="4">
        <v>192</v>
      </c>
      <c r="G134" s="4">
        <v>-192</v>
      </c>
      <c r="H134" s="4"/>
    </row>
    <row r="135" spans="1:8" x14ac:dyDescent="0.25">
      <c r="A135" s="2"/>
      <c r="B135" s="2"/>
      <c r="C135" s="2"/>
      <c r="D135" s="2" t="s">
        <v>204</v>
      </c>
      <c r="E135" s="2" t="s">
        <v>205</v>
      </c>
      <c r="F135" s="4">
        <v>9.6</v>
      </c>
      <c r="G135" s="4"/>
      <c r="H135" s="4"/>
    </row>
    <row r="136" spans="1:8" x14ac:dyDescent="0.25">
      <c r="A136" s="2"/>
      <c r="B136" s="2"/>
      <c r="C136" s="2"/>
      <c r="D136" s="2" t="s">
        <v>146</v>
      </c>
      <c r="E136" s="2" t="s">
        <v>147</v>
      </c>
      <c r="F136" s="4">
        <v>76.8</v>
      </c>
      <c r="G136" s="4"/>
      <c r="H136" s="4"/>
    </row>
    <row r="137" spans="1:8" x14ac:dyDescent="0.25">
      <c r="A137" s="2"/>
      <c r="B137" s="2"/>
      <c r="C137" s="2"/>
      <c r="D137" s="2" t="s">
        <v>85</v>
      </c>
      <c r="E137" s="2" t="s">
        <v>86</v>
      </c>
      <c r="F137" s="4">
        <v>54</v>
      </c>
      <c r="G137" s="4">
        <v>-54</v>
      </c>
      <c r="H137" s="4"/>
    </row>
    <row r="138" spans="1:8" x14ac:dyDescent="0.25">
      <c r="A138" s="2"/>
      <c r="B138" s="2"/>
      <c r="C138" s="2"/>
      <c r="D138" s="2" t="s">
        <v>25</v>
      </c>
      <c r="E138" s="2" t="s">
        <v>26</v>
      </c>
      <c r="F138" s="4">
        <v>35.700000000000003</v>
      </c>
      <c r="G138" s="4">
        <v>-35.700000000000003</v>
      </c>
      <c r="H138" s="4"/>
    </row>
    <row r="139" spans="1:8" x14ac:dyDescent="0.25">
      <c r="A139" s="2"/>
      <c r="B139" s="2"/>
      <c r="C139" s="2"/>
      <c r="D139" s="2" t="s">
        <v>53</v>
      </c>
      <c r="E139" s="2" t="s">
        <v>54</v>
      </c>
      <c r="F139" s="4">
        <v>314.39999999999998</v>
      </c>
      <c r="G139" s="4"/>
      <c r="H139" s="4"/>
    </row>
    <row r="140" spans="1:8" x14ac:dyDescent="0.25">
      <c r="A140" s="2"/>
      <c r="B140" s="2"/>
      <c r="C140" s="2"/>
      <c r="D140" s="2" t="s">
        <v>45</v>
      </c>
      <c r="E140" s="2" t="s">
        <v>46</v>
      </c>
      <c r="F140" s="4">
        <v>156.6</v>
      </c>
      <c r="G140" s="4"/>
      <c r="H140" s="4"/>
    </row>
    <row r="141" spans="1:8" x14ac:dyDescent="0.25">
      <c r="A141" s="2"/>
      <c r="B141" s="2"/>
      <c r="C141" s="2"/>
      <c r="D141" s="2" t="s">
        <v>164</v>
      </c>
      <c r="E141" s="2" t="s">
        <v>165</v>
      </c>
      <c r="F141" s="4">
        <v>229.5</v>
      </c>
      <c r="G141" s="4"/>
      <c r="H141" s="4"/>
    </row>
    <row r="142" spans="1:8" x14ac:dyDescent="0.25">
      <c r="A142" s="2"/>
      <c r="B142" s="2"/>
      <c r="C142" s="2"/>
      <c r="D142" s="2" t="s">
        <v>108</v>
      </c>
      <c r="E142" s="2" t="s">
        <v>109</v>
      </c>
      <c r="F142" s="4">
        <v>110.4</v>
      </c>
      <c r="G142" s="4"/>
      <c r="H142" s="4"/>
    </row>
    <row r="143" spans="1:8" x14ac:dyDescent="0.25">
      <c r="A143" s="2"/>
      <c r="B143" s="2"/>
      <c r="C143" s="2"/>
      <c r="D143" s="2" t="s">
        <v>172</v>
      </c>
      <c r="E143" s="2" t="s">
        <v>173</v>
      </c>
      <c r="F143" s="4">
        <v>29.4</v>
      </c>
      <c r="G143" s="4">
        <v>-29.4</v>
      </c>
      <c r="H143" s="4"/>
    </row>
    <row r="144" spans="1:8" x14ac:dyDescent="0.25">
      <c r="A144" s="2"/>
      <c r="B144" s="2"/>
      <c r="C144" s="2"/>
      <c r="D144" s="2" t="s">
        <v>57</v>
      </c>
      <c r="E144" s="2" t="s">
        <v>58</v>
      </c>
      <c r="F144" s="4">
        <v>4.8</v>
      </c>
      <c r="G144" s="4"/>
      <c r="H144" s="4"/>
    </row>
    <row r="145" spans="1:8" x14ac:dyDescent="0.25">
      <c r="A145" s="2"/>
      <c r="B145" s="2"/>
      <c r="C145" s="2"/>
      <c r="D145" s="2" t="s">
        <v>63</v>
      </c>
      <c r="E145" s="2" t="s">
        <v>64</v>
      </c>
      <c r="F145" s="4">
        <v>60</v>
      </c>
      <c r="G145" s="4"/>
      <c r="H145" s="4"/>
    </row>
    <row r="146" spans="1:8" x14ac:dyDescent="0.25">
      <c r="A146" s="2"/>
      <c r="B146" s="2"/>
      <c r="C146" s="2"/>
      <c r="D146" s="2" t="s">
        <v>61</v>
      </c>
      <c r="E146" s="2" t="s">
        <v>62</v>
      </c>
      <c r="F146" s="4">
        <v>40.799999999999997</v>
      </c>
      <c r="G146" s="4"/>
      <c r="H146" s="4"/>
    </row>
    <row r="147" spans="1:8" x14ac:dyDescent="0.25">
      <c r="A147" s="2"/>
      <c r="B147" s="2"/>
      <c r="C147" s="2"/>
      <c r="D147" s="2" t="s">
        <v>158</v>
      </c>
      <c r="E147" s="2" t="s">
        <v>159</v>
      </c>
      <c r="F147" s="4">
        <v>76.5</v>
      </c>
      <c r="G147" s="4"/>
      <c r="H147" s="4"/>
    </row>
    <row r="148" spans="1:8" x14ac:dyDescent="0.25">
      <c r="A148" s="2"/>
      <c r="B148" s="2"/>
      <c r="C148" s="2"/>
      <c r="D148" s="2" t="s">
        <v>162</v>
      </c>
      <c r="E148" s="2" t="s">
        <v>163</v>
      </c>
      <c r="F148" s="4">
        <v>36</v>
      </c>
      <c r="G148" s="4"/>
      <c r="H148" s="4"/>
    </row>
    <row r="149" spans="1:8" x14ac:dyDescent="0.25">
      <c r="A149" s="2"/>
      <c r="B149" s="2"/>
      <c r="C149" s="2"/>
      <c r="D149" s="2" t="s">
        <v>160</v>
      </c>
      <c r="E149" s="2" t="s">
        <v>161</v>
      </c>
      <c r="F149" s="4">
        <v>32.4</v>
      </c>
      <c r="G149" s="4"/>
      <c r="H149" s="4"/>
    </row>
    <row r="150" spans="1:8" x14ac:dyDescent="0.25">
      <c r="A150" s="2"/>
      <c r="B150" s="2"/>
      <c r="C150" s="2"/>
      <c r="D150" s="2" t="s">
        <v>156</v>
      </c>
      <c r="E150" s="2" t="s">
        <v>157</v>
      </c>
      <c r="F150" s="4">
        <v>76</v>
      </c>
      <c r="G150" s="4"/>
      <c r="H150" s="4"/>
    </row>
    <row r="151" spans="1:8" x14ac:dyDescent="0.25">
      <c r="A151" s="2"/>
      <c r="B151" s="2"/>
      <c r="C151" s="2"/>
      <c r="D151" s="2" t="s">
        <v>106</v>
      </c>
      <c r="E151" s="2" t="s">
        <v>107</v>
      </c>
      <c r="F151" s="4">
        <v>21.6</v>
      </c>
      <c r="G151" s="4"/>
      <c r="H151" s="4"/>
    </row>
    <row r="152" spans="1:8" x14ac:dyDescent="0.25">
      <c r="A152" s="2"/>
      <c r="B152" s="2"/>
      <c r="C152" s="2"/>
      <c r="D152" s="2" t="s">
        <v>190</v>
      </c>
      <c r="E152" s="2" t="s">
        <v>191</v>
      </c>
      <c r="F152" s="4">
        <v>12</v>
      </c>
      <c r="G152" s="4"/>
      <c r="H152" s="4"/>
    </row>
    <row r="153" spans="1:8" x14ac:dyDescent="0.25">
      <c r="A153" s="2"/>
      <c r="B153" s="2"/>
      <c r="C153" s="2"/>
      <c r="D153" s="2" t="s">
        <v>188</v>
      </c>
      <c r="E153" s="2" t="s">
        <v>189</v>
      </c>
      <c r="F153" s="4">
        <v>6</v>
      </c>
      <c r="G153" s="4"/>
      <c r="H153" s="4"/>
    </row>
    <row r="154" spans="1:8" x14ac:dyDescent="0.25">
      <c r="A154" s="2"/>
      <c r="B154" s="2"/>
      <c r="C154" s="2"/>
      <c r="D154" s="2" t="s">
        <v>47</v>
      </c>
      <c r="E154" s="2" t="s">
        <v>48</v>
      </c>
      <c r="F154" s="4">
        <v>79.2</v>
      </c>
      <c r="G154" s="4"/>
      <c r="H154" s="4"/>
    </row>
    <row r="155" spans="1:8" x14ac:dyDescent="0.25">
      <c r="A155" s="2"/>
      <c r="B155" s="2"/>
      <c r="C155" s="2"/>
      <c r="D155" s="2" t="s">
        <v>41</v>
      </c>
      <c r="E155" s="2" t="s">
        <v>42</v>
      </c>
      <c r="F155" s="4">
        <v>105.3</v>
      </c>
      <c r="G155" s="4"/>
      <c r="H155" s="4"/>
    </row>
    <row r="156" spans="1:8" x14ac:dyDescent="0.25">
      <c r="A156" s="2"/>
      <c r="B156" s="2"/>
      <c r="C156" s="2"/>
      <c r="D156" s="2" t="s">
        <v>55</v>
      </c>
      <c r="E156" s="2" t="s">
        <v>56</v>
      </c>
      <c r="F156" s="4">
        <v>21.6</v>
      </c>
      <c r="G156" s="4"/>
      <c r="H156" s="4"/>
    </row>
    <row r="157" spans="1:8" x14ac:dyDescent="0.25">
      <c r="A157" s="2"/>
      <c r="B157" s="2"/>
      <c r="C157" s="2"/>
      <c r="D157" s="2" t="s">
        <v>43</v>
      </c>
      <c r="E157" s="2" t="s">
        <v>44</v>
      </c>
      <c r="F157" s="4">
        <v>81</v>
      </c>
      <c r="G157" s="4"/>
      <c r="H157" s="4"/>
    </row>
    <row r="158" spans="1:8" x14ac:dyDescent="0.25">
      <c r="A158" s="2"/>
      <c r="B158" s="2"/>
      <c r="C158" s="2"/>
      <c r="D158" s="2" t="s">
        <v>208</v>
      </c>
      <c r="E158" s="2" t="s">
        <v>209</v>
      </c>
      <c r="F158" s="4">
        <v>9.6</v>
      </c>
      <c r="G158" s="4"/>
      <c r="H158" s="4"/>
    </row>
    <row r="159" spans="1:8" x14ac:dyDescent="0.25">
      <c r="A159" s="2"/>
      <c r="B159" s="2"/>
      <c r="C159" s="2"/>
      <c r="D159" s="2" t="s">
        <v>89</v>
      </c>
      <c r="E159" s="2" t="s">
        <v>90</v>
      </c>
      <c r="F159" s="4">
        <v>248.4</v>
      </c>
      <c r="G159" s="4"/>
      <c r="H159" s="4"/>
    </row>
    <row r="160" spans="1:8" x14ac:dyDescent="0.25">
      <c r="A160" s="2"/>
      <c r="B160" s="2"/>
      <c r="C160" s="2"/>
      <c r="D160" s="2" t="s">
        <v>31</v>
      </c>
      <c r="E160" s="2" t="s">
        <v>32</v>
      </c>
      <c r="F160" s="4">
        <v>243</v>
      </c>
      <c r="G160" s="4"/>
      <c r="H160" s="4"/>
    </row>
    <row r="161" spans="1:8" x14ac:dyDescent="0.25">
      <c r="A161" s="2"/>
      <c r="B161" s="2"/>
      <c r="C161" s="2"/>
      <c r="D161" s="2" t="s">
        <v>37</v>
      </c>
      <c r="E161" s="2" t="s">
        <v>38</v>
      </c>
      <c r="F161" s="4">
        <v>45</v>
      </c>
      <c r="G161" s="4">
        <v>-45</v>
      </c>
      <c r="H161" s="4"/>
    </row>
    <row r="162" spans="1:8" x14ac:dyDescent="0.25">
      <c r="A162" s="2"/>
      <c r="B162" s="2"/>
      <c r="C162" s="2"/>
      <c r="D162" s="2" t="s">
        <v>33</v>
      </c>
      <c r="E162" s="2" t="s">
        <v>34</v>
      </c>
      <c r="F162" s="4">
        <v>118.8</v>
      </c>
      <c r="G162" s="4">
        <v>-118.8</v>
      </c>
      <c r="H162" s="4"/>
    </row>
    <row r="163" spans="1:8" x14ac:dyDescent="0.25">
      <c r="A163" s="2"/>
      <c r="B163" s="2"/>
      <c r="C163" s="2"/>
      <c r="D163" s="2" t="s">
        <v>35</v>
      </c>
      <c r="E163" s="2" t="s">
        <v>36</v>
      </c>
      <c r="F163" s="4">
        <v>169.2</v>
      </c>
      <c r="G163" s="4">
        <v>-169.2</v>
      </c>
      <c r="H163" s="4"/>
    </row>
    <row r="164" spans="1:8" x14ac:dyDescent="0.25">
      <c r="A164" s="2"/>
      <c r="B164" s="2"/>
      <c r="C164" s="2"/>
      <c r="D164" s="2" t="s">
        <v>126</v>
      </c>
      <c r="E164" s="2" t="s">
        <v>127</v>
      </c>
      <c r="F164" s="4">
        <v>178.2</v>
      </c>
      <c r="G164" s="4">
        <v>-178.2</v>
      </c>
      <c r="H164" s="4"/>
    </row>
    <row r="165" spans="1:8" x14ac:dyDescent="0.25">
      <c r="A165" s="2"/>
      <c r="B165" s="2"/>
      <c r="C165" s="2"/>
      <c r="D165" s="2" t="s">
        <v>128</v>
      </c>
      <c r="E165" s="2" t="s">
        <v>129</v>
      </c>
      <c r="F165" s="4">
        <v>54</v>
      </c>
      <c r="G165" s="4"/>
      <c r="H165" s="4"/>
    </row>
    <row r="166" spans="1:8" x14ac:dyDescent="0.25">
      <c r="A166" s="2"/>
      <c r="B166" s="2"/>
      <c r="C166" s="2"/>
      <c r="D166" s="2" t="s">
        <v>39</v>
      </c>
      <c r="E166" s="2" t="s">
        <v>40</v>
      </c>
      <c r="F166" s="4">
        <v>45</v>
      </c>
      <c r="G166" s="4">
        <v>-45</v>
      </c>
      <c r="H166" s="4"/>
    </row>
    <row r="167" spans="1:8" x14ac:dyDescent="0.25">
      <c r="A167" s="2"/>
      <c r="B167" s="2"/>
      <c r="C167" s="2"/>
      <c r="D167" s="2" t="s">
        <v>110</v>
      </c>
      <c r="E167" s="2" t="s">
        <v>111</v>
      </c>
      <c r="F167" s="4">
        <v>48</v>
      </c>
      <c r="G167" s="4"/>
      <c r="H167" s="4"/>
    </row>
    <row r="168" spans="1:8" x14ac:dyDescent="0.25">
      <c r="A168" s="2"/>
      <c r="B168" s="2"/>
      <c r="C168" s="2"/>
      <c r="D168" s="2" t="s">
        <v>112</v>
      </c>
      <c r="E168" s="2" t="s">
        <v>113</v>
      </c>
      <c r="F168" s="4">
        <v>36.96</v>
      </c>
      <c r="G168" s="4"/>
      <c r="H168" s="4"/>
    </row>
    <row r="169" spans="1:8" x14ac:dyDescent="0.25">
      <c r="A169" s="2"/>
      <c r="B169" s="2"/>
      <c r="C169" s="2"/>
      <c r="D169" s="2" t="s">
        <v>166</v>
      </c>
      <c r="E169" s="2" t="s">
        <v>167</v>
      </c>
      <c r="F169" s="4">
        <v>25.2</v>
      </c>
      <c r="G169" s="4"/>
      <c r="H169" s="4"/>
    </row>
    <row r="170" spans="1:8" x14ac:dyDescent="0.25">
      <c r="A170" s="2"/>
      <c r="B170" s="2"/>
      <c r="C170" s="2"/>
      <c r="D170" s="2" t="s">
        <v>151</v>
      </c>
      <c r="E170" s="2" t="s">
        <v>152</v>
      </c>
      <c r="F170" s="4">
        <v>55.5</v>
      </c>
      <c r="G170" s="4"/>
      <c r="H170" s="4"/>
    </row>
    <row r="171" spans="1:8" x14ac:dyDescent="0.25">
      <c r="A171" s="2"/>
      <c r="B171" s="2"/>
      <c r="C171" s="2"/>
      <c r="D171" s="2" t="s">
        <v>194</v>
      </c>
      <c r="E171" s="2" t="s">
        <v>195</v>
      </c>
      <c r="F171" s="4">
        <v>35.700000000000003</v>
      </c>
      <c r="G171" s="4"/>
      <c r="H171" s="4"/>
    </row>
    <row r="172" spans="1:8" x14ac:dyDescent="0.25">
      <c r="A172" s="2"/>
      <c r="B172" s="2"/>
      <c r="C172" s="2"/>
      <c r="D172" s="2" t="s">
        <v>196</v>
      </c>
      <c r="E172" s="2" t="s">
        <v>197</v>
      </c>
      <c r="F172" s="4">
        <v>54.6</v>
      </c>
      <c r="G172" s="4"/>
      <c r="H172" s="4"/>
    </row>
    <row r="173" spans="1:8" x14ac:dyDescent="0.25">
      <c r="A173" s="2"/>
      <c r="B173" s="2"/>
      <c r="C173" s="2"/>
      <c r="D173" s="2" t="s">
        <v>178</v>
      </c>
      <c r="E173" s="2" t="s">
        <v>179</v>
      </c>
      <c r="F173" s="4">
        <v>174</v>
      </c>
      <c r="G173" s="4"/>
      <c r="H173" s="4"/>
    </row>
    <row r="174" spans="1:8" x14ac:dyDescent="0.25">
      <c r="A174" s="2"/>
      <c r="B174" s="2"/>
      <c r="C174" s="2"/>
      <c r="D174" s="2" t="s">
        <v>182</v>
      </c>
      <c r="E174" s="2" t="s">
        <v>183</v>
      </c>
      <c r="F174" s="4">
        <v>10.8</v>
      </c>
      <c r="G174" s="4"/>
      <c r="H174" s="4"/>
    </row>
    <row r="175" spans="1:8" x14ac:dyDescent="0.25">
      <c r="A175" s="2"/>
      <c r="B175" s="2"/>
      <c r="C175" s="2"/>
      <c r="D175" s="2" t="s">
        <v>154</v>
      </c>
      <c r="E175" s="2" t="s">
        <v>155</v>
      </c>
      <c r="F175" s="4">
        <v>44.8</v>
      </c>
      <c r="G175" s="4"/>
      <c r="H175" s="4"/>
    </row>
    <row r="176" spans="1:8" x14ac:dyDescent="0.25">
      <c r="A176" s="2"/>
      <c r="B176" s="2"/>
      <c r="C176" s="2"/>
      <c r="D176" s="2" t="s">
        <v>27</v>
      </c>
      <c r="E176" s="2" t="s">
        <v>28</v>
      </c>
      <c r="F176" s="4">
        <v>61.2</v>
      </c>
      <c r="G176" s="4"/>
      <c r="H176" s="4"/>
    </row>
    <row r="177" spans="1:10" x14ac:dyDescent="0.25">
      <c r="A177" s="2"/>
      <c r="B177" s="2"/>
      <c r="C177" s="2"/>
      <c r="D177" s="2" t="s">
        <v>176</v>
      </c>
      <c r="E177" s="2" t="s">
        <v>177</v>
      </c>
      <c r="F177" s="4">
        <v>3.78</v>
      </c>
      <c r="G177" s="4"/>
      <c r="H177" s="4"/>
    </row>
    <row r="178" spans="1:10" x14ac:dyDescent="0.25">
      <c r="A178" s="2"/>
      <c r="B178" s="2"/>
      <c r="C178" s="2"/>
      <c r="D178" s="2" t="s">
        <v>130</v>
      </c>
      <c r="E178" s="2" t="s">
        <v>131</v>
      </c>
      <c r="F178" s="4">
        <v>10.8</v>
      </c>
      <c r="G178" s="4"/>
      <c r="H178" s="4"/>
    </row>
    <row r="179" spans="1:10" x14ac:dyDescent="0.25">
      <c r="A179" s="2"/>
      <c r="B179" s="2"/>
      <c r="C179" s="2"/>
      <c r="D179" s="2" t="s">
        <v>210</v>
      </c>
      <c r="E179" s="2" t="s">
        <v>211</v>
      </c>
      <c r="F179" s="4">
        <v>34.200000000000003</v>
      </c>
      <c r="G179" s="4"/>
      <c r="H179" s="4"/>
    </row>
    <row r="180" spans="1:10" x14ac:dyDescent="0.25">
      <c r="A180" s="2"/>
      <c r="B180" s="2"/>
      <c r="C180" s="2"/>
      <c r="D180" s="2" t="s">
        <v>174</v>
      </c>
      <c r="E180" s="2" t="s">
        <v>175</v>
      </c>
      <c r="F180" s="4">
        <v>5.6</v>
      </c>
      <c r="G180" s="4"/>
      <c r="H180" s="4"/>
    </row>
    <row r="181" spans="1:10" x14ac:dyDescent="0.25">
      <c r="A181" s="2"/>
      <c r="B181" s="2"/>
      <c r="C181" s="2"/>
      <c r="D181" s="2" t="s">
        <v>21</v>
      </c>
      <c r="E181" s="2" t="s">
        <v>22</v>
      </c>
      <c r="F181" s="4">
        <v>161</v>
      </c>
      <c r="G181" s="4"/>
      <c r="H181" s="4"/>
    </row>
    <row r="182" spans="1:10" x14ac:dyDescent="0.25">
      <c r="A182" s="2"/>
      <c r="B182" s="2"/>
      <c r="C182" s="2"/>
      <c r="D182" s="2" t="s">
        <v>170</v>
      </c>
      <c r="E182" s="2" t="s">
        <v>171</v>
      </c>
      <c r="F182" s="4">
        <v>33.6</v>
      </c>
      <c r="G182" s="4"/>
      <c r="H182" s="4"/>
    </row>
    <row r="183" spans="1:10" x14ac:dyDescent="0.25">
      <c r="A183" s="2"/>
      <c r="B183" s="2"/>
      <c r="C183" s="2"/>
      <c r="D183" s="2" t="s">
        <v>116</v>
      </c>
      <c r="E183" s="2" t="s">
        <v>117</v>
      </c>
      <c r="F183" s="4">
        <v>63</v>
      </c>
      <c r="G183" s="4">
        <v>-63</v>
      </c>
      <c r="H183" s="4"/>
    </row>
    <row r="184" spans="1:10" x14ac:dyDescent="0.25">
      <c r="A184" s="2"/>
      <c r="B184" s="2"/>
      <c r="C184" s="2"/>
      <c r="D184" s="2" t="s">
        <v>114</v>
      </c>
      <c r="E184" s="2" t="s">
        <v>115</v>
      </c>
      <c r="F184" s="4">
        <v>91</v>
      </c>
      <c r="G184" s="4">
        <v>-91</v>
      </c>
      <c r="H184" s="4"/>
    </row>
    <row r="185" spans="1:10" x14ac:dyDescent="0.25">
      <c r="A185" s="2"/>
      <c r="B185" s="2"/>
      <c r="C185" s="2"/>
      <c r="D185" s="2" t="s">
        <v>65</v>
      </c>
      <c r="E185" s="2" t="s">
        <v>66</v>
      </c>
      <c r="F185" s="4">
        <v>101.4</v>
      </c>
      <c r="G185" s="4"/>
      <c r="H185" s="4"/>
    </row>
    <row r="186" spans="1:10" x14ac:dyDescent="0.25">
      <c r="A186" s="2"/>
      <c r="B186" s="2"/>
      <c r="C186" s="2"/>
      <c r="D186" s="2" t="s">
        <v>67</v>
      </c>
      <c r="E186" s="2" t="s">
        <v>68</v>
      </c>
      <c r="F186" s="4">
        <v>171.6</v>
      </c>
      <c r="G186" s="4"/>
      <c r="H186" s="4"/>
    </row>
    <row r="187" spans="1:10" x14ac:dyDescent="0.25">
      <c r="A187" s="2"/>
      <c r="B187" s="2"/>
      <c r="C187" s="2"/>
      <c r="D187" s="2" t="s">
        <v>180</v>
      </c>
      <c r="E187" s="2" t="s">
        <v>181</v>
      </c>
      <c r="F187" s="4">
        <v>78</v>
      </c>
      <c r="G187" s="4"/>
      <c r="H187" s="4"/>
    </row>
    <row r="188" spans="1:10" x14ac:dyDescent="0.25">
      <c r="A188" s="2"/>
      <c r="B188" s="2"/>
      <c r="C188" s="2"/>
      <c r="D188" s="2" t="s">
        <v>198</v>
      </c>
      <c r="E188" s="2" t="s">
        <v>199</v>
      </c>
      <c r="F188" s="4">
        <v>195</v>
      </c>
      <c r="G188" s="4"/>
      <c r="H188" s="4"/>
    </row>
    <row r="189" spans="1:10" x14ac:dyDescent="0.25">
      <c r="A189" s="2"/>
      <c r="B189" s="2"/>
      <c r="C189" s="2"/>
      <c r="D189" s="2" t="s">
        <v>192</v>
      </c>
      <c r="E189" s="2" t="s">
        <v>193</v>
      </c>
      <c r="F189" s="4">
        <v>66.3</v>
      </c>
      <c r="G189" s="4"/>
      <c r="H189" s="4"/>
    </row>
    <row r="190" spans="1:10" x14ac:dyDescent="0.25">
      <c r="A190" s="2"/>
      <c r="B190" s="2"/>
      <c r="C190" s="2"/>
      <c r="D190" s="2" t="s">
        <v>142</v>
      </c>
      <c r="E190" s="2" t="s">
        <v>143</v>
      </c>
      <c r="F190" s="4">
        <v>51</v>
      </c>
      <c r="G190" s="4"/>
      <c r="H190" s="4"/>
    </row>
    <row r="191" spans="1:10" x14ac:dyDescent="0.25">
      <c r="A191" s="2"/>
      <c r="B191" s="2"/>
      <c r="C191" s="2"/>
      <c r="D191" s="2" t="s">
        <v>168</v>
      </c>
      <c r="E191" s="2" t="s">
        <v>169</v>
      </c>
      <c r="F191" s="4">
        <v>84</v>
      </c>
      <c r="G191" s="4"/>
      <c r="H191" s="4"/>
    </row>
    <row r="192" spans="1:10" x14ac:dyDescent="0.25">
      <c r="A192" s="2"/>
      <c r="B192" s="2" t="s">
        <v>215</v>
      </c>
      <c r="C192" s="2" t="s">
        <v>150</v>
      </c>
      <c r="D192" s="2" t="s">
        <v>73</v>
      </c>
      <c r="E192" s="2" t="s">
        <v>74</v>
      </c>
      <c r="F192" s="6">
        <v>360</v>
      </c>
      <c r="G192" s="4"/>
      <c r="H192" s="4"/>
      <c r="I192" s="5">
        <f>SUM(F192:F232)</f>
        <v>8360.8799999999992</v>
      </c>
      <c r="J192" s="5">
        <f>SUM(G192:G232)</f>
        <v>-894.6</v>
      </c>
    </row>
    <row r="193" spans="1:8" x14ac:dyDescent="0.25">
      <c r="A193" s="2"/>
      <c r="B193" s="2"/>
      <c r="C193" s="2"/>
      <c r="D193" s="2" t="s">
        <v>69</v>
      </c>
      <c r="E193" s="2" t="s">
        <v>70</v>
      </c>
      <c r="F193" s="4">
        <v>312</v>
      </c>
      <c r="G193" s="4"/>
      <c r="H193" s="4"/>
    </row>
    <row r="194" spans="1:8" x14ac:dyDescent="0.25">
      <c r="A194" s="2"/>
      <c r="B194" s="2"/>
      <c r="C194" s="2"/>
      <c r="D194" s="2" t="s">
        <v>87</v>
      </c>
      <c r="E194" s="2" t="s">
        <v>88</v>
      </c>
      <c r="F194" s="4">
        <v>691.2</v>
      </c>
      <c r="G194" s="4"/>
      <c r="H194" s="4"/>
    </row>
    <row r="195" spans="1:8" x14ac:dyDescent="0.25">
      <c r="A195" s="2"/>
      <c r="B195" s="2"/>
      <c r="C195" s="2"/>
      <c r="D195" s="2" t="s">
        <v>186</v>
      </c>
      <c r="E195" s="2" t="s">
        <v>187</v>
      </c>
      <c r="F195" s="4">
        <v>268.8</v>
      </c>
      <c r="G195" s="4"/>
      <c r="H195" s="4"/>
    </row>
    <row r="196" spans="1:8" x14ac:dyDescent="0.25">
      <c r="A196" s="2"/>
      <c r="B196" s="2"/>
      <c r="C196" s="2"/>
      <c r="D196" s="2" t="s">
        <v>134</v>
      </c>
      <c r="E196" s="2" t="s">
        <v>135</v>
      </c>
      <c r="F196" s="4">
        <v>67.2</v>
      </c>
      <c r="G196" s="4"/>
      <c r="H196" s="4"/>
    </row>
    <row r="197" spans="1:8" x14ac:dyDescent="0.25">
      <c r="A197" s="2"/>
      <c r="B197" s="2"/>
      <c r="C197" s="2"/>
      <c r="D197" s="2" t="s">
        <v>11</v>
      </c>
      <c r="E197" s="2" t="s">
        <v>12</v>
      </c>
      <c r="F197" s="4">
        <v>194.4</v>
      </c>
      <c r="G197" s="4"/>
      <c r="H197" s="4"/>
    </row>
    <row r="198" spans="1:8" x14ac:dyDescent="0.25">
      <c r="A198" s="2"/>
      <c r="B198" s="2"/>
      <c r="C198" s="2"/>
      <c r="D198" s="2" t="s">
        <v>13</v>
      </c>
      <c r="E198" s="2" t="s">
        <v>14</v>
      </c>
      <c r="F198" s="4">
        <v>75.599999999999994</v>
      </c>
      <c r="G198" s="4"/>
      <c r="H198" s="4"/>
    </row>
    <row r="199" spans="1:8" x14ac:dyDescent="0.25">
      <c r="A199" s="2"/>
      <c r="B199" s="2"/>
      <c r="C199" s="2"/>
      <c r="D199" s="2" t="s">
        <v>17</v>
      </c>
      <c r="E199" s="2" t="s">
        <v>18</v>
      </c>
      <c r="F199" s="4">
        <v>64.8</v>
      </c>
      <c r="G199" s="4"/>
      <c r="H199" s="4"/>
    </row>
    <row r="200" spans="1:8" x14ac:dyDescent="0.25">
      <c r="A200" s="2"/>
      <c r="B200" s="2"/>
      <c r="C200" s="2"/>
      <c r="D200" s="2" t="s">
        <v>15</v>
      </c>
      <c r="E200" s="2" t="s">
        <v>16</v>
      </c>
      <c r="F200" s="4">
        <v>259.2</v>
      </c>
      <c r="G200" s="4"/>
      <c r="H200" s="4"/>
    </row>
    <row r="201" spans="1:8" x14ac:dyDescent="0.25">
      <c r="A201" s="2"/>
      <c r="B201" s="2"/>
      <c r="C201" s="2"/>
      <c r="D201" s="2" t="s">
        <v>218</v>
      </c>
      <c r="E201" s="2" t="s">
        <v>219</v>
      </c>
      <c r="F201" s="4">
        <v>64.8</v>
      </c>
      <c r="G201" s="4"/>
      <c r="H201" s="4"/>
    </row>
    <row r="202" spans="1:8" x14ac:dyDescent="0.25">
      <c r="A202" s="2"/>
      <c r="B202" s="2"/>
      <c r="C202" s="2"/>
      <c r="D202" s="2" t="s">
        <v>98</v>
      </c>
      <c r="E202" s="2" t="s">
        <v>99</v>
      </c>
      <c r="F202" s="4">
        <v>253.44</v>
      </c>
      <c r="G202" s="4"/>
      <c r="H202" s="4"/>
    </row>
    <row r="203" spans="1:8" x14ac:dyDescent="0.25">
      <c r="A203" s="2"/>
      <c r="B203" s="2"/>
      <c r="C203" s="2"/>
      <c r="D203" s="2" t="s">
        <v>100</v>
      </c>
      <c r="E203" s="2" t="s">
        <v>101</v>
      </c>
      <c r="F203" s="4">
        <v>42.24</v>
      </c>
      <c r="G203" s="4"/>
      <c r="H203" s="4"/>
    </row>
    <row r="204" spans="1:8" x14ac:dyDescent="0.25">
      <c r="A204" s="2"/>
      <c r="B204" s="2"/>
      <c r="C204" s="2"/>
      <c r="D204" s="2" t="s">
        <v>77</v>
      </c>
      <c r="E204" s="2" t="s">
        <v>78</v>
      </c>
      <c r="F204" s="4">
        <v>144</v>
      </c>
      <c r="G204" s="4"/>
      <c r="H204" s="4"/>
    </row>
    <row r="205" spans="1:8" x14ac:dyDescent="0.25">
      <c r="A205" s="2"/>
      <c r="B205" s="2"/>
      <c r="C205" s="2"/>
      <c r="D205" s="2" t="s">
        <v>148</v>
      </c>
      <c r="E205" s="2" t="s">
        <v>149</v>
      </c>
      <c r="F205" s="4">
        <v>126.72</v>
      </c>
      <c r="G205" s="4"/>
      <c r="H205" s="4"/>
    </row>
    <row r="206" spans="1:8" x14ac:dyDescent="0.25">
      <c r="A206" s="2"/>
      <c r="B206" s="2"/>
      <c r="C206" s="2"/>
      <c r="D206" s="2" t="s">
        <v>83</v>
      </c>
      <c r="E206" s="2" t="s">
        <v>84</v>
      </c>
      <c r="F206" s="4">
        <v>84.48</v>
      </c>
      <c r="G206" s="4"/>
      <c r="H206" s="4"/>
    </row>
    <row r="207" spans="1:8" x14ac:dyDescent="0.25">
      <c r="A207" s="2"/>
      <c r="B207" s="2"/>
      <c r="C207" s="2"/>
      <c r="D207" s="2" t="s">
        <v>79</v>
      </c>
      <c r="E207" s="2" t="s">
        <v>80</v>
      </c>
      <c r="F207" s="4">
        <v>86.4</v>
      </c>
      <c r="G207" s="4"/>
      <c r="H207" s="4"/>
    </row>
    <row r="208" spans="1:8" x14ac:dyDescent="0.25">
      <c r="A208" s="2"/>
      <c r="B208" s="2"/>
      <c r="C208" s="2"/>
      <c r="D208" s="2" t="s">
        <v>75</v>
      </c>
      <c r="E208" s="2" t="s">
        <v>76</v>
      </c>
      <c r="F208" s="4">
        <v>144</v>
      </c>
      <c r="G208" s="4">
        <v>-144</v>
      </c>
      <c r="H208" s="4"/>
    </row>
    <row r="209" spans="1:8" x14ac:dyDescent="0.25">
      <c r="A209" s="2"/>
      <c r="B209" s="2"/>
      <c r="C209" s="2"/>
      <c r="D209" s="2" t="s">
        <v>49</v>
      </c>
      <c r="E209" s="2" t="s">
        <v>50</v>
      </c>
      <c r="F209" s="4">
        <v>86.4</v>
      </c>
      <c r="G209" s="4">
        <v>-86.4</v>
      </c>
      <c r="H209" s="4"/>
    </row>
    <row r="210" spans="1:8" x14ac:dyDescent="0.25">
      <c r="A210" s="2"/>
      <c r="B210" s="2"/>
      <c r="C210" s="2"/>
      <c r="D210" s="2" t="s">
        <v>51</v>
      </c>
      <c r="E210" s="2" t="s">
        <v>52</v>
      </c>
      <c r="F210" s="4">
        <v>86.4</v>
      </c>
      <c r="G210" s="4">
        <v>-86.4</v>
      </c>
      <c r="H210" s="4"/>
    </row>
    <row r="211" spans="1:8" x14ac:dyDescent="0.25">
      <c r="A211" s="2"/>
      <c r="B211" s="2"/>
      <c r="C211" s="2"/>
      <c r="D211" s="2" t="s">
        <v>96</v>
      </c>
      <c r="E211" s="2" t="s">
        <v>97</v>
      </c>
      <c r="F211" s="4">
        <v>211.2</v>
      </c>
      <c r="G211" s="4"/>
      <c r="H211" s="4"/>
    </row>
    <row r="212" spans="1:8" x14ac:dyDescent="0.25">
      <c r="A212" s="2"/>
      <c r="B212" s="2"/>
      <c r="C212" s="2"/>
      <c r="D212" s="2" t="s">
        <v>25</v>
      </c>
      <c r="E212" s="2" t="s">
        <v>26</v>
      </c>
      <c r="F212" s="4">
        <v>37.799999999999997</v>
      </c>
      <c r="G212" s="4">
        <v>-37.799999999999997</v>
      </c>
      <c r="H212" s="4"/>
    </row>
    <row r="213" spans="1:8" x14ac:dyDescent="0.25">
      <c r="A213" s="2"/>
      <c r="B213" s="2"/>
      <c r="C213" s="2"/>
      <c r="D213" s="2" t="s">
        <v>45</v>
      </c>
      <c r="E213" s="2" t="s">
        <v>46</v>
      </c>
      <c r="F213" s="4">
        <v>348</v>
      </c>
      <c r="G213" s="4"/>
      <c r="H213" s="4"/>
    </row>
    <row r="214" spans="1:8" x14ac:dyDescent="0.25">
      <c r="A214" s="2"/>
      <c r="B214" s="2"/>
      <c r="C214" s="2"/>
      <c r="D214" s="2" t="s">
        <v>172</v>
      </c>
      <c r="E214" s="2" t="s">
        <v>173</v>
      </c>
      <c r="F214" s="4">
        <v>50.4</v>
      </c>
      <c r="G214" s="4">
        <v>-50.4</v>
      </c>
      <c r="H214" s="4"/>
    </row>
    <row r="215" spans="1:8" x14ac:dyDescent="0.25">
      <c r="A215" s="2"/>
      <c r="B215" s="2"/>
      <c r="C215" s="2"/>
      <c r="D215" s="2" t="s">
        <v>63</v>
      </c>
      <c r="E215" s="2" t="s">
        <v>64</v>
      </c>
      <c r="F215" s="4">
        <v>57.6</v>
      </c>
      <c r="G215" s="4"/>
      <c r="H215" s="4"/>
    </row>
    <row r="216" spans="1:8" x14ac:dyDescent="0.25">
      <c r="A216" s="2"/>
      <c r="B216" s="2"/>
      <c r="C216" s="2"/>
      <c r="D216" s="2" t="s">
        <v>61</v>
      </c>
      <c r="E216" s="2" t="s">
        <v>62</v>
      </c>
      <c r="F216" s="4">
        <v>86.4</v>
      </c>
      <c r="G216" s="4"/>
      <c r="H216" s="4"/>
    </row>
    <row r="217" spans="1:8" x14ac:dyDescent="0.25">
      <c r="A217" s="2"/>
      <c r="B217" s="2"/>
      <c r="C217" s="2"/>
      <c r="D217" s="2" t="s">
        <v>103</v>
      </c>
      <c r="E217" s="2" t="s">
        <v>104</v>
      </c>
      <c r="F217" s="4">
        <v>259.2</v>
      </c>
      <c r="G217" s="4"/>
      <c r="H217" s="4"/>
    </row>
    <row r="218" spans="1:8" x14ac:dyDescent="0.25">
      <c r="A218" s="2"/>
      <c r="B218" s="2"/>
      <c r="C218" s="2"/>
      <c r="D218" s="2" t="s">
        <v>216</v>
      </c>
      <c r="E218" s="2" t="s">
        <v>217</v>
      </c>
      <c r="F218" s="4">
        <v>345.6</v>
      </c>
      <c r="G218" s="4"/>
      <c r="H218" s="4"/>
    </row>
    <row r="219" spans="1:8" x14ac:dyDescent="0.25">
      <c r="A219" s="2"/>
      <c r="B219" s="2"/>
      <c r="C219" s="2"/>
      <c r="D219" s="2" t="s">
        <v>160</v>
      </c>
      <c r="E219" s="2" t="s">
        <v>161</v>
      </c>
      <c r="F219" s="4">
        <v>432</v>
      </c>
      <c r="G219" s="4"/>
      <c r="H219" s="4"/>
    </row>
    <row r="220" spans="1:8" x14ac:dyDescent="0.25">
      <c r="A220" s="2"/>
      <c r="B220" s="2"/>
      <c r="C220" s="2"/>
      <c r="D220" s="2" t="s">
        <v>47</v>
      </c>
      <c r="E220" s="2" t="s">
        <v>48</v>
      </c>
      <c r="F220" s="4">
        <v>144</v>
      </c>
      <c r="G220" s="4"/>
      <c r="H220" s="4"/>
    </row>
    <row r="221" spans="1:8" x14ac:dyDescent="0.25">
      <c r="A221" s="2"/>
      <c r="B221" s="2"/>
      <c r="C221" s="2"/>
      <c r="D221" s="2" t="s">
        <v>55</v>
      </c>
      <c r="E221" s="2" t="s">
        <v>56</v>
      </c>
      <c r="F221" s="4">
        <v>57.6</v>
      </c>
      <c r="G221" s="4"/>
      <c r="H221" s="4"/>
    </row>
    <row r="222" spans="1:8" x14ac:dyDescent="0.25">
      <c r="A222" s="2"/>
      <c r="B222" s="2"/>
      <c r="C222" s="2"/>
      <c r="D222" s="2" t="s">
        <v>120</v>
      </c>
      <c r="E222" s="2" t="s">
        <v>121</v>
      </c>
      <c r="F222" s="4">
        <v>100.8</v>
      </c>
      <c r="G222" s="4">
        <v>-100.8</v>
      </c>
      <c r="H222" s="4"/>
    </row>
    <row r="223" spans="1:8" x14ac:dyDescent="0.25">
      <c r="A223" s="2"/>
      <c r="B223" s="2"/>
      <c r="C223" s="2"/>
      <c r="D223" s="2" t="s">
        <v>29</v>
      </c>
      <c r="E223" s="2" t="s">
        <v>30</v>
      </c>
      <c r="F223" s="4">
        <v>75.599999999999994</v>
      </c>
      <c r="G223" s="4"/>
      <c r="H223" s="4"/>
    </row>
    <row r="224" spans="1:8" x14ac:dyDescent="0.25">
      <c r="A224" s="2"/>
      <c r="B224" s="2"/>
      <c r="C224" s="2"/>
      <c r="D224" s="2" t="s">
        <v>89</v>
      </c>
      <c r="E224" s="2" t="s">
        <v>90</v>
      </c>
      <c r="F224" s="4">
        <v>691.2</v>
      </c>
      <c r="G224" s="4"/>
      <c r="H224" s="4"/>
    </row>
    <row r="225" spans="1:8" x14ac:dyDescent="0.25">
      <c r="A225" s="2"/>
      <c r="B225" s="2"/>
      <c r="C225" s="2"/>
      <c r="D225" s="2" t="s">
        <v>31</v>
      </c>
      <c r="E225" s="2" t="s">
        <v>32</v>
      </c>
      <c r="F225" s="4">
        <v>194.4</v>
      </c>
      <c r="G225" s="4"/>
      <c r="H225" s="4"/>
    </row>
    <row r="226" spans="1:8" x14ac:dyDescent="0.25">
      <c r="A226" s="2"/>
      <c r="B226" s="2"/>
      <c r="C226" s="2"/>
      <c r="D226" s="2" t="s">
        <v>33</v>
      </c>
      <c r="E226" s="2" t="s">
        <v>34</v>
      </c>
      <c r="F226" s="4">
        <v>194.4</v>
      </c>
      <c r="G226" s="4">
        <v>-194.4</v>
      </c>
      <c r="H226" s="4"/>
    </row>
    <row r="227" spans="1:8" x14ac:dyDescent="0.25">
      <c r="A227" s="2"/>
      <c r="B227" s="2"/>
      <c r="C227" s="2"/>
      <c r="D227" s="2" t="s">
        <v>126</v>
      </c>
      <c r="E227" s="2" t="s">
        <v>127</v>
      </c>
      <c r="F227" s="4">
        <v>194.4</v>
      </c>
      <c r="G227" s="4">
        <v>-194.4</v>
      </c>
      <c r="H227" s="4"/>
    </row>
    <row r="228" spans="1:8" x14ac:dyDescent="0.25">
      <c r="A228" s="2"/>
      <c r="B228" s="2"/>
      <c r="C228" s="2"/>
      <c r="D228" s="2" t="s">
        <v>128</v>
      </c>
      <c r="E228" s="2" t="s">
        <v>129</v>
      </c>
      <c r="F228" s="4">
        <v>194.4</v>
      </c>
      <c r="G228" s="4"/>
      <c r="H228" s="4"/>
    </row>
    <row r="229" spans="1:8" x14ac:dyDescent="0.25">
      <c r="A229" s="2"/>
      <c r="B229" s="2"/>
      <c r="C229" s="2"/>
      <c r="D229" s="2" t="s">
        <v>213</v>
      </c>
      <c r="E229" s="2" t="s">
        <v>214</v>
      </c>
      <c r="F229" s="4">
        <v>405</v>
      </c>
      <c r="G229" s="4"/>
      <c r="H229" s="4"/>
    </row>
    <row r="230" spans="1:8" x14ac:dyDescent="0.25">
      <c r="A230" s="2"/>
      <c r="B230" s="2"/>
      <c r="C230" s="2"/>
      <c r="D230" s="2" t="s">
        <v>220</v>
      </c>
      <c r="E230" s="2" t="s">
        <v>221</v>
      </c>
      <c r="F230" s="4">
        <v>240</v>
      </c>
      <c r="G230" s="4"/>
      <c r="H230" s="4"/>
    </row>
    <row r="231" spans="1:8" x14ac:dyDescent="0.25">
      <c r="A231" s="2"/>
      <c r="B231" s="2"/>
      <c r="C231" s="2"/>
      <c r="D231" s="2" t="s">
        <v>92</v>
      </c>
      <c r="E231" s="2" t="s">
        <v>93</v>
      </c>
      <c r="F231" s="4">
        <v>360</v>
      </c>
      <c r="G231" s="4"/>
      <c r="H231" s="4"/>
    </row>
    <row r="232" spans="1:8" x14ac:dyDescent="0.25">
      <c r="A232" s="2"/>
      <c r="B232" s="2"/>
      <c r="C232" s="2"/>
      <c r="D232" s="2" t="s">
        <v>154</v>
      </c>
      <c r="E232" s="2" t="s">
        <v>155</v>
      </c>
      <c r="F232" s="4">
        <v>268.8</v>
      </c>
      <c r="G232" s="4"/>
      <c r="H232" s="4"/>
    </row>
    <row r="233" spans="1:8" x14ac:dyDescent="0.25">
      <c r="A233" s="3" t="s">
        <v>222</v>
      </c>
      <c r="B233" s="2"/>
      <c r="C233" s="2"/>
      <c r="D233" s="2"/>
      <c r="E233" s="2"/>
      <c r="F233" s="4">
        <v>35863.110000000015</v>
      </c>
      <c r="G233" s="4">
        <v>-6510.3799999999974</v>
      </c>
      <c r="H233" s="4"/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2026-08-15T03:52:21Z</dcterms:modified>
</cp:coreProperties>
</file>