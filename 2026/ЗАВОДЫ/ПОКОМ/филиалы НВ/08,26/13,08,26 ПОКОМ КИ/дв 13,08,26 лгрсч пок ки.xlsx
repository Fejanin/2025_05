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13,08,26 ПОКОМ КИ\"/>
    </mc:Choice>
  </mc:AlternateContent>
  <xr:revisionPtr revIDLastSave="0" documentId="13_ncr:1_{42F1AC0E-BC90-43CA-822A-5F60C088327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6" i="1"/>
  <c r="T5" i="1"/>
  <c r="P5" i="1" l="1"/>
  <c r="P2" i="1" s="1"/>
  <c r="S136" i="1"/>
  <c r="AH136" i="1" s="1"/>
  <c r="Q136" i="1"/>
  <c r="V136" i="1" s="1"/>
  <c r="L136" i="1"/>
  <c r="S135" i="1"/>
  <c r="AH135" i="1" s="1"/>
  <c r="Q135" i="1"/>
  <c r="L135" i="1"/>
  <c r="S134" i="1"/>
  <c r="AH134" i="1" s="1"/>
  <c r="Q134" i="1"/>
  <c r="V134" i="1" s="1"/>
  <c r="L134" i="1"/>
  <c r="S133" i="1"/>
  <c r="AH133" i="1" s="1"/>
  <c r="Q133" i="1"/>
  <c r="L133" i="1"/>
  <c r="Q132" i="1"/>
  <c r="V132" i="1" s="1"/>
  <c r="L132" i="1"/>
  <c r="Q131" i="1"/>
  <c r="R131" i="1" s="1"/>
  <c r="L131" i="1"/>
  <c r="Q130" i="1"/>
  <c r="L130" i="1"/>
  <c r="S129" i="1"/>
  <c r="AH129" i="1" s="1"/>
  <c r="Q129" i="1"/>
  <c r="V129" i="1" s="1"/>
  <c r="L129" i="1"/>
  <c r="S128" i="1"/>
  <c r="AH128" i="1" s="1"/>
  <c r="Q128" i="1"/>
  <c r="V128" i="1" s="1"/>
  <c r="L128" i="1"/>
  <c r="S127" i="1"/>
  <c r="AH127" i="1" s="1"/>
  <c r="Q127" i="1"/>
  <c r="V127" i="1" s="1"/>
  <c r="L127" i="1"/>
  <c r="S126" i="1"/>
  <c r="AH126" i="1" s="1"/>
  <c r="Q126" i="1"/>
  <c r="L126" i="1"/>
  <c r="Q125" i="1"/>
  <c r="V125" i="1" s="1"/>
  <c r="L125" i="1"/>
  <c r="Q124" i="1"/>
  <c r="L124" i="1"/>
  <c r="Q123" i="1"/>
  <c r="R123" i="1" s="1"/>
  <c r="L123" i="1"/>
  <c r="S122" i="1"/>
  <c r="AH122" i="1" s="1"/>
  <c r="Q122" i="1"/>
  <c r="L122" i="1"/>
  <c r="S121" i="1"/>
  <c r="AH121" i="1" s="1"/>
  <c r="Q121" i="1"/>
  <c r="L121" i="1"/>
  <c r="S120" i="1"/>
  <c r="AH120" i="1" s="1"/>
  <c r="Q120" i="1"/>
  <c r="V120" i="1" s="1"/>
  <c r="L120" i="1"/>
  <c r="S119" i="1"/>
  <c r="AH119" i="1" s="1"/>
  <c r="Q119" i="1"/>
  <c r="L119" i="1"/>
  <c r="Q118" i="1"/>
  <c r="R118" i="1" s="1"/>
  <c r="S118" i="1" s="1"/>
  <c r="AH118" i="1" s="1"/>
  <c r="L118" i="1"/>
  <c r="Q117" i="1"/>
  <c r="R117" i="1" s="1"/>
  <c r="L117" i="1"/>
  <c r="S116" i="1"/>
  <c r="AH116" i="1" s="1"/>
  <c r="Q116" i="1"/>
  <c r="L116" i="1"/>
  <c r="S115" i="1"/>
  <c r="AH115" i="1" s="1"/>
  <c r="Q115" i="1"/>
  <c r="V115" i="1" s="1"/>
  <c r="L115" i="1"/>
  <c r="S114" i="1"/>
  <c r="AH114" i="1" s="1"/>
  <c r="Q114" i="1"/>
  <c r="V114" i="1" s="1"/>
  <c r="L114" i="1"/>
  <c r="S113" i="1"/>
  <c r="AH113" i="1" s="1"/>
  <c r="Q113" i="1"/>
  <c r="L113" i="1"/>
  <c r="Q112" i="1"/>
  <c r="L112" i="1"/>
  <c r="F112" i="1"/>
  <c r="F5" i="1" s="1"/>
  <c r="Q111" i="1"/>
  <c r="R111" i="1" s="1"/>
  <c r="L111" i="1"/>
  <c r="Q110" i="1"/>
  <c r="V110" i="1" s="1"/>
  <c r="L110" i="1"/>
  <c r="S109" i="1"/>
  <c r="AH109" i="1" s="1"/>
  <c r="Q109" i="1"/>
  <c r="V109" i="1" s="1"/>
  <c r="L109" i="1"/>
  <c r="Q108" i="1"/>
  <c r="V108" i="1" s="1"/>
  <c r="L108" i="1"/>
  <c r="Q107" i="1"/>
  <c r="V107" i="1" s="1"/>
  <c r="L107" i="1"/>
  <c r="S106" i="1"/>
  <c r="AH106" i="1" s="1"/>
  <c r="Q106" i="1"/>
  <c r="L106" i="1"/>
  <c r="S105" i="1"/>
  <c r="AH105" i="1" s="1"/>
  <c r="Q105" i="1"/>
  <c r="V105" i="1" s="1"/>
  <c r="L105" i="1"/>
  <c r="Q104" i="1"/>
  <c r="R104" i="1" s="1"/>
  <c r="L104" i="1"/>
  <c r="Q103" i="1"/>
  <c r="R103" i="1" s="1"/>
  <c r="L103" i="1"/>
  <c r="S102" i="1"/>
  <c r="AH102" i="1" s="1"/>
  <c r="Q102" i="1"/>
  <c r="V102" i="1" s="1"/>
  <c r="L102" i="1"/>
  <c r="Q101" i="1"/>
  <c r="R101" i="1" s="1"/>
  <c r="L101" i="1"/>
  <c r="S100" i="1"/>
  <c r="AH100" i="1" s="1"/>
  <c r="Q100" i="1"/>
  <c r="V100" i="1" s="1"/>
  <c r="L100" i="1"/>
  <c r="S99" i="1"/>
  <c r="AH99" i="1" s="1"/>
  <c r="Q99" i="1"/>
  <c r="V99" i="1" s="1"/>
  <c r="L99" i="1"/>
  <c r="S98" i="1"/>
  <c r="AH98" i="1" s="1"/>
  <c r="Q98" i="1"/>
  <c r="L98" i="1"/>
  <c r="S97" i="1"/>
  <c r="AH97" i="1" s="1"/>
  <c r="Q97" i="1"/>
  <c r="V97" i="1" s="1"/>
  <c r="L97" i="1"/>
  <c r="S96" i="1"/>
  <c r="AH96" i="1" s="1"/>
  <c r="Q96" i="1"/>
  <c r="L96" i="1"/>
  <c r="S95" i="1"/>
  <c r="AH95" i="1" s="1"/>
  <c r="Q95" i="1"/>
  <c r="L95" i="1"/>
  <c r="Q94" i="1"/>
  <c r="V94" i="1" s="1"/>
  <c r="L94" i="1"/>
  <c r="S93" i="1"/>
  <c r="AH93" i="1" s="1"/>
  <c r="Q93" i="1"/>
  <c r="L93" i="1"/>
  <c r="Q92" i="1"/>
  <c r="R92" i="1" s="1"/>
  <c r="S92" i="1" s="1"/>
  <c r="AH92" i="1" s="1"/>
  <c r="L92" i="1"/>
  <c r="Q91" i="1"/>
  <c r="V91" i="1" s="1"/>
  <c r="L91" i="1"/>
  <c r="S90" i="1"/>
  <c r="AH90" i="1" s="1"/>
  <c r="Q90" i="1"/>
  <c r="L90" i="1"/>
  <c r="Q89" i="1"/>
  <c r="R89" i="1" s="1"/>
  <c r="S89" i="1" s="1"/>
  <c r="AH89" i="1" s="1"/>
  <c r="L89" i="1"/>
  <c r="Q88" i="1"/>
  <c r="V88" i="1" s="1"/>
  <c r="L88" i="1"/>
  <c r="S87" i="1"/>
  <c r="AH87" i="1" s="1"/>
  <c r="Q87" i="1"/>
  <c r="L87" i="1"/>
  <c r="S86" i="1"/>
  <c r="AH86" i="1" s="1"/>
  <c r="Q86" i="1"/>
  <c r="V86" i="1" s="1"/>
  <c r="L86" i="1"/>
  <c r="S85" i="1"/>
  <c r="AH85" i="1" s="1"/>
  <c r="Q85" i="1"/>
  <c r="L85" i="1"/>
  <c r="S84" i="1"/>
  <c r="AH84" i="1" s="1"/>
  <c r="Q84" i="1"/>
  <c r="L84" i="1"/>
  <c r="S83" i="1"/>
  <c r="AH83" i="1" s="1"/>
  <c r="Q83" i="1"/>
  <c r="V83" i="1" s="1"/>
  <c r="L83" i="1"/>
  <c r="Q82" i="1"/>
  <c r="R82" i="1" s="1"/>
  <c r="L82" i="1"/>
  <c r="S81" i="1"/>
  <c r="AH81" i="1" s="1"/>
  <c r="Q81" i="1"/>
  <c r="V81" i="1" s="1"/>
  <c r="L81" i="1"/>
  <c r="Q80" i="1"/>
  <c r="R80" i="1" s="1"/>
  <c r="L80" i="1"/>
  <c r="Q79" i="1"/>
  <c r="R79" i="1" s="1"/>
  <c r="L79" i="1"/>
  <c r="Q78" i="1"/>
  <c r="R78" i="1" s="1"/>
  <c r="S78" i="1" s="1"/>
  <c r="AH78" i="1" s="1"/>
  <c r="L78" i="1"/>
  <c r="Q77" i="1"/>
  <c r="V77" i="1" s="1"/>
  <c r="L77" i="1"/>
  <c r="Q76" i="1"/>
  <c r="V76" i="1" s="1"/>
  <c r="L76" i="1"/>
  <c r="Q75" i="1"/>
  <c r="R75" i="1" s="1"/>
  <c r="S75" i="1" s="1"/>
  <c r="AH75" i="1" s="1"/>
  <c r="L75" i="1"/>
  <c r="Q74" i="1"/>
  <c r="R74" i="1" s="1"/>
  <c r="S74" i="1" s="1"/>
  <c r="AH74" i="1" s="1"/>
  <c r="L74" i="1"/>
  <c r="Q73" i="1"/>
  <c r="V73" i="1" s="1"/>
  <c r="L73" i="1"/>
  <c r="Q72" i="1"/>
  <c r="R72" i="1" s="1"/>
  <c r="L72" i="1"/>
  <c r="Q71" i="1"/>
  <c r="R71" i="1" s="1"/>
  <c r="S71" i="1" s="1"/>
  <c r="AH71" i="1" s="1"/>
  <c r="L71" i="1"/>
  <c r="Q70" i="1"/>
  <c r="R70" i="1" s="1"/>
  <c r="L70" i="1"/>
  <c r="S69" i="1"/>
  <c r="AH69" i="1" s="1"/>
  <c r="Q69" i="1"/>
  <c r="L69" i="1"/>
  <c r="Q68" i="1"/>
  <c r="R68" i="1" s="1"/>
  <c r="S68" i="1" s="1"/>
  <c r="AH68" i="1" s="1"/>
  <c r="L68" i="1"/>
  <c r="S67" i="1"/>
  <c r="AH67" i="1" s="1"/>
  <c r="Q67" i="1"/>
  <c r="V67" i="1" s="1"/>
  <c r="L67" i="1"/>
  <c r="Q66" i="1"/>
  <c r="R66" i="1" s="1"/>
  <c r="L66" i="1"/>
  <c r="S65" i="1"/>
  <c r="AH65" i="1" s="1"/>
  <c r="Q65" i="1"/>
  <c r="V65" i="1" s="1"/>
  <c r="L65" i="1"/>
  <c r="S64" i="1"/>
  <c r="AH64" i="1" s="1"/>
  <c r="Q64" i="1"/>
  <c r="L64" i="1"/>
  <c r="Q63" i="1"/>
  <c r="R63" i="1" s="1"/>
  <c r="S63" i="1" s="1"/>
  <c r="AH63" i="1" s="1"/>
  <c r="L63" i="1"/>
  <c r="Q62" i="1"/>
  <c r="R62" i="1" s="1"/>
  <c r="L62" i="1"/>
  <c r="Q61" i="1"/>
  <c r="V61" i="1" s="1"/>
  <c r="L61" i="1"/>
  <c r="Q60" i="1"/>
  <c r="R60" i="1" s="1"/>
  <c r="L60" i="1"/>
  <c r="Q59" i="1"/>
  <c r="R59" i="1" s="1"/>
  <c r="S59" i="1" s="1"/>
  <c r="AH59" i="1" s="1"/>
  <c r="L59" i="1"/>
  <c r="S58" i="1"/>
  <c r="AH58" i="1" s="1"/>
  <c r="Q58" i="1"/>
  <c r="V58" i="1" s="1"/>
  <c r="L58" i="1"/>
  <c r="Q57" i="1"/>
  <c r="R57" i="1" s="1"/>
  <c r="L57" i="1"/>
  <c r="S56" i="1"/>
  <c r="AH56" i="1" s="1"/>
  <c r="Q56" i="1"/>
  <c r="V56" i="1" s="1"/>
  <c r="L56" i="1"/>
  <c r="Q55" i="1"/>
  <c r="V55" i="1" s="1"/>
  <c r="L55" i="1"/>
  <c r="Q54" i="1"/>
  <c r="R54" i="1" s="1"/>
  <c r="L54" i="1"/>
  <c r="Q53" i="1"/>
  <c r="R53" i="1" s="1"/>
  <c r="S53" i="1" s="1"/>
  <c r="AH53" i="1" s="1"/>
  <c r="L53" i="1"/>
  <c r="S52" i="1"/>
  <c r="AH52" i="1" s="1"/>
  <c r="Q52" i="1"/>
  <c r="V52" i="1" s="1"/>
  <c r="L52" i="1"/>
  <c r="Q51" i="1"/>
  <c r="R51" i="1" s="1"/>
  <c r="L51" i="1"/>
  <c r="Q50" i="1"/>
  <c r="R50" i="1" s="1"/>
  <c r="S50" i="1" s="1"/>
  <c r="AH50" i="1" s="1"/>
  <c r="L50" i="1"/>
  <c r="Q49" i="1"/>
  <c r="V49" i="1" s="1"/>
  <c r="L49" i="1"/>
  <c r="Q48" i="1"/>
  <c r="V48" i="1" s="1"/>
  <c r="L48" i="1"/>
  <c r="S47" i="1"/>
  <c r="AH47" i="1" s="1"/>
  <c r="Q47" i="1"/>
  <c r="L47" i="1"/>
  <c r="S46" i="1"/>
  <c r="AH46" i="1" s="1"/>
  <c r="Q46" i="1"/>
  <c r="V46" i="1" s="1"/>
  <c r="L46" i="1"/>
  <c r="S45" i="1"/>
  <c r="AH45" i="1" s="1"/>
  <c r="Q45" i="1"/>
  <c r="L45" i="1"/>
  <c r="Q44" i="1"/>
  <c r="R44" i="1" s="1"/>
  <c r="L44" i="1"/>
  <c r="S43" i="1"/>
  <c r="AH43" i="1" s="1"/>
  <c r="Q43" i="1"/>
  <c r="L43" i="1"/>
  <c r="S42" i="1"/>
  <c r="AH42" i="1" s="1"/>
  <c r="Q42" i="1"/>
  <c r="V42" i="1" s="1"/>
  <c r="L42" i="1"/>
  <c r="S41" i="1"/>
  <c r="AH41" i="1" s="1"/>
  <c r="Q41" i="1"/>
  <c r="V41" i="1" s="1"/>
  <c r="L41" i="1"/>
  <c r="Q40" i="1"/>
  <c r="R40" i="1" s="1"/>
  <c r="L40" i="1"/>
  <c r="S39" i="1"/>
  <c r="AH39" i="1" s="1"/>
  <c r="Q39" i="1"/>
  <c r="V39" i="1" s="1"/>
  <c r="L39" i="1"/>
  <c r="Q38" i="1"/>
  <c r="R38" i="1" s="1"/>
  <c r="S38" i="1" s="1"/>
  <c r="AH38" i="1" s="1"/>
  <c r="L38" i="1"/>
  <c r="S37" i="1"/>
  <c r="AH37" i="1" s="1"/>
  <c r="Q37" i="1"/>
  <c r="L37" i="1"/>
  <c r="S36" i="1"/>
  <c r="AH36" i="1" s="1"/>
  <c r="Q36" i="1"/>
  <c r="L36" i="1"/>
  <c r="S35" i="1"/>
  <c r="AH35" i="1" s="1"/>
  <c r="Q35" i="1"/>
  <c r="V35" i="1" s="1"/>
  <c r="L35" i="1"/>
  <c r="Q34" i="1"/>
  <c r="V34" i="1" s="1"/>
  <c r="L34" i="1"/>
  <c r="S33" i="1"/>
  <c r="AH33" i="1" s="1"/>
  <c r="Q33" i="1"/>
  <c r="L33" i="1"/>
  <c r="S32" i="1"/>
  <c r="AH32" i="1" s="1"/>
  <c r="Q32" i="1"/>
  <c r="V32" i="1" s="1"/>
  <c r="L32" i="1"/>
  <c r="S31" i="1"/>
  <c r="AH31" i="1" s="1"/>
  <c r="Q31" i="1"/>
  <c r="L31" i="1"/>
  <c r="S30" i="1"/>
  <c r="AH30" i="1" s="1"/>
  <c r="Q30" i="1"/>
  <c r="V30" i="1" s="1"/>
  <c r="L30" i="1"/>
  <c r="S29" i="1"/>
  <c r="AH29" i="1" s="1"/>
  <c r="Q29" i="1"/>
  <c r="L29" i="1"/>
  <c r="S28" i="1"/>
  <c r="AH28" i="1" s="1"/>
  <c r="Q28" i="1"/>
  <c r="V28" i="1" s="1"/>
  <c r="L28" i="1"/>
  <c r="Q27" i="1"/>
  <c r="V27" i="1" s="1"/>
  <c r="L27" i="1"/>
  <c r="Q26" i="1"/>
  <c r="R26" i="1" s="1"/>
  <c r="S26" i="1" s="1"/>
  <c r="AH26" i="1" s="1"/>
  <c r="L26" i="1"/>
  <c r="Q25" i="1"/>
  <c r="R25" i="1" s="1"/>
  <c r="S25" i="1" s="1"/>
  <c r="AH25" i="1" s="1"/>
  <c r="L25" i="1"/>
  <c r="S24" i="1"/>
  <c r="AH24" i="1" s="1"/>
  <c r="Q24" i="1"/>
  <c r="V24" i="1" s="1"/>
  <c r="L24" i="1"/>
  <c r="Q23" i="1"/>
  <c r="R23" i="1" s="1"/>
  <c r="S23" i="1" s="1"/>
  <c r="AH23" i="1" s="1"/>
  <c r="L23" i="1"/>
  <c r="Q22" i="1"/>
  <c r="R22" i="1" s="1"/>
  <c r="S22" i="1" s="1"/>
  <c r="AH22" i="1" s="1"/>
  <c r="L22" i="1"/>
  <c r="Q21" i="1"/>
  <c r="V21" i="1" s="1"/>
  <c r="L21" i="1"/>
  <c r="S20" i="1"/>
  <c r="AH20" i="1" s="1"/>
  <c r="Q20" i="1"/>
  <c r="L20" i="1"/>
  <c r="S19" i="1"/>
  <c r="AH19" i="1" s="1"/>
  <c r="Q19" i="1"/>
  <c r="R19" i="1" s="1"/>
  <c r="L19" i="1"/>
  <c r="Q18" i="1"/>
  <c r="V18" i="1" s="1"/>
  <c r="L18" i="1"/>
  <c r="Q17" i="1"/>
  <c r="R17" i="1" s="1"/>
  <c r="L17" i="1"/>
  <c r="Q16" i="1"/>
  <c r="R16" i="1" s="1"/>
  <c r="S16" i="1" s="1"/>
  <c r="AH16" i="1" s="1"/>
  <c r="L16" i="1"/>
  <c r="S15" i="1"/>
  <c r="AH15" i="1" s="1"/>
  <c r="Q15" i="1"/>
  <c r="L15" i="1"/>
  <c r="Q14" i="1"/>
  <c r="V14" i="1" s="1"/>
  <c r="L14" i="1"/>
  <c r="S13" i="1"/>
  <c r="AH13" i="1" s="1"/>
  <c r="Q13" i="1"/>
  <c r="V13" i="1" s="1"/>
  <c r="L13" i="1"/>
  <c r="Q12" i="1"/>
  <c r="V12" i="1" s="1"/>
  <c r="L12" i="1"/>
  <c r="Q11" i="1"/>
  <c r="R11" i="1" s="1"/>
  <c r="L11" i="1"/>
  <c r="Q10" i="1"/>
  <c r="R10" i="1" s="1"/>
  <c r="S10" i="1" s="1"/>
  <c r="AH10" i="1" s="1"/>
  <c r="L10" i="1"/>
  <c r="S9" i="1"/>
  <c r="AH9" i="1" s="1"/>
  <c r="Q9" i="1"/>
  <c r="L9" i="1"/>
  <c r="Q8" i="1"/>
  <c r="R8" i="1" s="1"/>
  <c r="L8" i="1"/>
  <c r="Q7" i="1"/>
  <c r="R7" i="1" s="1"/>
  <c r="S7" i="1" s="1"/>
  <c r="AH7" i="1" s="1"/>
  <c r="L7" i="1"/>
  <c r="Q6" i="1"/>
  <c r="R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E5" i="1"/>
  <c r="V15" i="1" l="1"/>
  <c r="R112" i="1"/>
  <c r="V17" i="1"/>
  <c r="R27" i="1"/>
  <c r="V38" i="1"/>
  <c r="V123" i="1"/>
  <c r="V135" i="1"/>
  <c r="V75" i="1"/>
  <c r="V22" i="1"/>
  <c r="R94" i="1"/>
  <c r="S94" i="1" s="1"/>
  <c r="AH94" i="1" s="1"/>
  <c r="R108" i="1"/>
  <c r="V63" i="1"/>
  <c r="V62" i="1"/>
  <c r="V106" i="1"/>
  <c r="R55" i="1"/>
  <c r="V7" i="1"/>
  <c r="S44" i="1"/>
  <c r="AH44" i="1" s="1"/>
  <c r="R125" i="1"/>
  <c r="V84" i="1"/>
  <c r="V92" i="1"/>
  <c r="V98" i="1"/>
  <c r="V54" i="1"/>
  <c r="V36" i="1"/>
  <c r="S62" i="1"/>
  <c r="AH62" i="1" s="1"/>
  <c r="R110" i="1"/>
  <c r="R49" i="1"/>
  <c r="V78" i="1"/>
  <c r="V112" i="1"/>
  <c r="V122" i="1"/>
  <c r="V50" i="1"/>
  <c r="V72" i="1"/>
  <c r="V80" i="1"/>
  <c r="V33" i="1"/>
  <c r="V45" i="1"/>
  <c r="V113" i="1"/>
  <c r="S80" i="1"/>
  <c r="AH80" i="1" s="1"/>
  <c r="S70" i="1"/>
  <c r="AH70" i="1" s="1"/>
  <c r="R91" i="1"/>
  <c r="V111" i="1"/>
  <c r="V6" i="1"/>
  <c r="R18" i="1"/>
  <c r="S18" i="1" s="1"/>
  <c r="AH18" i="1" s="1"/>
  <c r="V23" i="1"/>
  <c r="R48" i="1"/>
  <c r="S48" i="1" s="1"/>
  <c r="AH48" i="1" s="1"/>
  <c r="V59" i="1"/>
  <c r="R76" i="1"/>
  <c r="V131" i="1"/>
  <c r="V70" i="1"/>
  <c r="V121" i="1"/>
  <c r="R77" i="1"/>
  <c r="V44" i="1"/>
  <c r="S49" i="1"/>
  <c r="AH49" i="1" s="1"/>
  <c r="V82" i="1"/>
  <c r="V19" i="1"/>
  <c r="V117" i="1"/>
  <c r="R14" i="1"/>
  <c r="S14" i="1" s="1"/>
  <c r="AH14" i="1" s="1"/>
  <c r="V25" i="1"/>
  <c r="V103" i="1"/>
  <c r="R88" i="1"/>
  <c r="V118" i="1"/>
  <c r="V31" i="1"/>
  <c r="V68" i="1"/>
  <c r="V9" i="1"/>
  <c r="V79" i="1"/>
  <c r="V10" i="1"/>
  <c r="R21" i="1"/>
  <c r="S27" i="1"/>
  <c r="AH27" i="1" s="1"/>
  <c r="V37" i="1"/>
  <c r="V74" i="1"/>
  <c r="L5" i="1"/>
  <c r="V11" i="1"/>
  <c r="S131" i="1"/>
  <c r="AH131" i="1" s="1"/>
  <c r="S8" i="1"/>
  <c r="AH8" i="1" s="1"/>
  <c r="S11" i="1"/>
  <c r="AH11" i="1" s="1"/>
  <c r="S17" i="1"/>
  <c r="AH17" i="1" s="1"/>
  <c r="S103" i="1"/>
  <c r="AH103" i="1" s="1"/>
  <c r="R107" i="1"/>
  <c r="V40" i="1"/>
  <c r="V57" i="1"/>
  <c r="V66" i="1"/>
  <c r="S111" i="1"/>
  <c r="AH111" i="1" s="1"/>
  <c r="V119" i="1"/>
  <c r="S123" i="1"/>
  <c r="AH123" i="1" s="1"/>
  <c r="V87" i="1"/>
  <c r="V20" i="1"/>
  <c r="V53" i="1"/>
  <c r="S79" i="1"/>
  <c r="AH79" i="1" s="1"/>
  <c r="R12" i="1"/>
  <c r="V95" i="1"/>
  <c r="V8" i="1"/>
  <c r="V16" i="1"/>
  <c r="V71" i="1"/>
  <c r="S104" i="1"/>
  <c r="AH104" i="1" s="1"/>
  <c r="R124" i="1"/>
  <c r="V124" i="1"/>
  <c r="S54" i="1"/>
  <c r="AH54" i="1" s="1"/>
  <c r="V104" i="1"/>
  <c r="S40" i="1"/>
  <c r="AH40" i="1" s="1"/>
  <c r="V96" i="1"/>
  <c r="Q5" i="1"/>
  <c r="V29" i="1"/>
  <c r="S72" i="1"/>
  <c r="AH72" i="1" s="1"/>
  <c r="S88" i="1"/>
  <c r="AH88" i="1" s="1"/>
  <c r="S112" i="1"/>
  <c r="AH112" i="1" s="1"/>
  <c r="V116" i="1"/>
  <c r="S6" i="1"/>
  <c r="S125" i="1"/>
  <c r="AH125" i="1" s="1"/>
  <c r="V64" i="1"/>
  <c r="S101" i="1"/>
  <c r="AH101" i="1" s="1"/>
  <c r="V93" i="1"/>
  <c r="V101" i="1"/>
  <c r="S117" i="1"/>
  <c r="AH117" i="1" s="1"/>
  <c r="V26" i="1"/>
  <c r="S51" i="1"/>
  <c r="AH51" i="1" s="1"/>
  <c r="S60" i="1"/>
  <c r="AH60" i="1" s="1"/>
  <c r="V69" i="1"/>
  <c r="R73" i="1"/>
  <c r="V85" i="1"/>
  <c r="V51" i="1"/>
  <c r="V60" i="1"/>
  <c r="V89" i="1"/>
  <c r="R130" i="1"/>
  <c r="V130" i="1"/>
  <c r="S57" i="1"/>
  <c r="AH57" i="1" s="1"/>
  <c r="V43" i="1"/>
  <c r="V47" i="1"/>
  <c r="S66" i="1"/>
  <c r="AH66" i="1" s="1"/>
  <c r="S110" i="1"/>
  <c r="AH110" i="1" s="1"/>
  <c r="V126" i="1"/>
  <c r="V90" i="1"/>
  <c r="R61" i="1"/>
  <c r="S82" i="1"/>
  <c r="AH82" i="1" s="1"/>
  <c r="V133" i="1"/>
  <c r="R34" i="1"/>
  <c r="R132" i="1"/>
  <c r="S108" i="1" l="1"/>
  <c r="AH108" i="1" s="1"/>
  <c r="S77" i="1"/>
  <c r="AH77" i="1" s="1"/>
  <c r="S55" i="1"/>
  <c r="AH55" i="1" s="1"/>
  <c r="S91" i="1"/>
  <c r="AH91" i="1" s="1"/>
  <c r="S21" i="1"/>
  <c r="AH21" i="1" s="1"/>
  <c r="S76" i="1"/>
  <c r="AH76" i="1" s="1"/>
  <c r="R5" i="1"/>
  <c r="S73" i="1"/>
  <c r="AH73" i="1" s="1"/>
  <c r="S12" i="1"/>
  <c r="AH12" i="1" s="1"/>
  <c r="S107" i="1"/>
  <c r="AH107" i="1" s="1"/>
  <c r="AH6" i="1"/>
  <c r="S34" i="1"/>
  <c r="AH34" i="1" s="1"/>
  <c r="S124" i="1"/>
  <c r="AH124" i="1" s="1"/>
  <c r="S61" i="1"/>
  <c r="AH61" i="1" s="1"/>
  <c r="S132" i="1"/>
  <c r="AH132" i="1" s="1"/>
  <c r="S130" i="1"/>
  <c r="AH130" i="1" s="1"/>
  <c r="S5" i="1" l="1"/>
  <c r="AH5" i="1"/>
  <c r="AH1" i="1" s="1"/>
</calcChain>
</file>

<file path=xl/sharedStrings.xml><?xml version="1.0" encoding="utf-8"?>
<sst xmlns="http://schemas.openxmlformats.org/spreadsheetml/2006/main" count="598" uniqueCount="315">
  <si>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</si>
  <si>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</si>
  <si>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</si>
  <si>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</si>
  <si>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</si>
  <si>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</si>
  <si>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</si>
  <si>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</si>
  <si>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</si>
  <si>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</si>
  <si>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</si>
  <si>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</si>
  <si>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</si>
  <si>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</si>
  <si>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</si>
  <si>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</si>
  <si>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</si>
  <si>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</si>
  <si>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</si>
  <si>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</si>
  <si>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</si>
  <si>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</si>
  <si>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</si>
  <si>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</si>
  <si>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15,08,</t>
  </si>
  <si>
    <t>13,08,</t>
  </si>
  <si>
    <t>17,08,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</si>
  <si>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</si>
  <si>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</si>
  <si>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</si>
  <si>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</si>
  <si>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</si>
  <si>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</si>
  <si>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</si>
  <si>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</si>
  <si>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</si>
  <si>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</si>
  <si>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</si>
  <si>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</si>
  <si>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</si>
  <si>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</si>
  <si>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</si>
  <si>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</si>
  <si>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</si>
  <si>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</si>
  <si>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</si>
  <si>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</si>
  <si>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</si>
  <si>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</si>
  <si>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</si>
  <si>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</si>
  <si>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</si>
  <si>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</si>
  <si>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</si>
  <si>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</si>
  <si>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</si>
  <si>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</si>
  <si>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</si>
  <si>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</si>
  <si>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</si>
  <si>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</si>
  <si>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</si>
  <si>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</si>
  <si>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</si>
  <si>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</si>
  <si>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</si>
  <si>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</si>
  <si>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</si>
  <si>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</si>
  <si>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</si>
  <si>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</si>
  <si>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</si>
  <si>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</si>
  <si>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</si>
  <si>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</si>
  <si>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</si>
  <si>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</si>
  <si>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</si>
  <si>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</si>
  <si>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</si>
  <si>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</si>
  <si>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</si>
  <si>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НЕДОГРУЗ / матрица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</si>
  <si>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</si>
  <si>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</si>
  <si>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</si>
  <si>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</si>
  <si>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</si>
  <si>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</si>
  <si>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</si>
  <si>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</si>
  <si>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</si>
  <si>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</si>
  <si>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</si>
  <si>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</si>
  <si>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</si>
  <si>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</si>
  <si>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</si>
  <si>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</si>
  <si>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</si>
  <si>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</si>
  <si>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</si>
  <si>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</si>
  <si>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</si>
  <si>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</si>
  <si>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</si>
  <si>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</si>
  <si>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</si>
  <si>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</si>
  <si>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</si>
  <si>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</si>
  <si>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</si>
  <si>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</si>
  <si>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</si>
  <si>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</si>
  <si>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</si>
  <si>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</si>
  <si>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</si>
  <si>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</si>
  <si>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</si>
  <si>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</si>
  <si>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</si>
  <si>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</si>
  <si>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</si>
  <si>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</si>
  <si>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</si>
  <si>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</si>
  <si>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</si>
  <si>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</si>
  <si>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</si>
  <si>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</si>
  <si>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</si>
  <si>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</si>
  <si>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</si>
  <si>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</si>
  <si>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</si>
  <si>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</si>
  <si>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</si>
  <si>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</si>
  <si>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</si>
  <si>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</si>
  <si>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</si>
  <si>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</si>
  <si>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</si>
  <si>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</si>
  <si>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</si>
  <si>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</si>
  <si>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</si>
  <si>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</si>
  <si>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</si>
  <si>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</si>
  <si>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</si>
  <si>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</si>
  <si>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</si>
  <si>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</si>
  <si>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</si>
  <si>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</si>
  <si>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</si>
  <si>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</si>
  <si>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</si>
  <si>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</si>
  <si>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</si>
  <si>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</si>
  <si>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</si>
  <si>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</si>
  <si>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</si>
  <si>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</si>
  <si>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</si>
  <si>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</si>
  <si>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</si>
  <si>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</si>
  <si>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</si>
  <si>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</si>
  <si>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</si>
  <si>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</si>
  <si>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</si>
  <si>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</si>
  <si>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</si>
  <si>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</si>
  <si>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</si>
  <si>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</si>
  <si>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</si>
  <si>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</si>
  <si>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</si>
  <si>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</si>
  <si>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</si>
  <si>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</si>
  <si>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</si>
  <si>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</si>
  <si>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</si>
  <si>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</si>
  <si>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</si>
  <si>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</si>
  <si>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</si>
  <si>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</si>
  <si>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</si>
  <si>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</si>
  <si>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</si>
  <si>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</si>
  <si>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</si>
  <si>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</si>
  <si>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</si>
  <si>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</si>
  <si>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</si>
  <si>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</si>
  <si>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</si>
  <si>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</si>
  <si>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</si>
  <si>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</si>
  <si>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</si>
  <si>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</si>
  <si>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</si>
  <si>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</si>
  <si>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</si>
  <si>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</si>
  <si>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</si>
  <si>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</si>
  <si>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</si>
  <si>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</si>
  <si>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</si>
  <si>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</si>
  <si>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</si>
  <si>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</si>
  <si>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</si>
  <si>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</si>
  <si>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</si>
  <si>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</si>
  <si>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</si>
  <si>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</si>
  <si>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</si>
  <si>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</si>
  <si>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</si>
  <si>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</si>
  <si>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</si>
  <si>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</si>
  <si>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</si>
  <si>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</si>
  <si>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</si>
  <si>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</si>
  <si>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</si>
  <si>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</si>
  <si>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</si>
  <si>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</si>
  <si>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</si>
  <si>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</si>
  <si>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</si>
  <si>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</si>
  <si>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</si>
  <si>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</si>
  <si>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</si>
  <si>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</si>
  <si>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</si>
  <si>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</si>
  <si>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</si>
  <si>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</si>
  <si>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</si>
  <si>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</si>
  <si>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</si>
  <si>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</si>
  <si>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</si>
  <si>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</si>
  <si>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</si>
  <si>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</si>
  <si>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</si>
  <si>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</si>
  <si>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</si>
  <si>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</si>
  <si>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</si>
  <si>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</si>
  <si>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</si>
  <si>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</si>
  <si>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</si>
  <si>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</si>
  <si>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</si>
  <si>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</si>
  <si>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</si>
  <si>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</si>
  <si>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</si>
  <si>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</si>
  <si>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</si>
  <si>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</si>
  <si>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</si>
  <si>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</si>
  <si>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</si>
  <si>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</si>
  <si>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</si>
  <si>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</si>
  <si>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</si>
  <si>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</si>
  <si>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</si>
  <si>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</si>
  <si>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</si>
  <si>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</si>
  <si>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</si>
  <si>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</si>
  <si>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</si>
  <si>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</si>
  <si>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 / новинка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</si>
  <si>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</si>
  <si>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</si>
  <si>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</si>
  <si>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</si>
  <si>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</si>
  <si>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</si>
  <si>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</si>
  <si>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</si>
  <si>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</si>
  <si>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</si>
  <si>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</si>
  <si>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</si>
  <si>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</si>
  <si>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</si>
  <si>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</si>
  <si>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t>15,08,доз</t>
  </si>
  <si>
    <t>17,08,доз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</si>
</sst>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0" borderId="1" xfId="1" applyNumberFormat="1" applyFont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5" fontId="1" fillId="0" borderId="1" xfId="1" applyNumberFormat="1" applyFont="1"/>
    <xf numFmtId="164" fontId="8" fillId="0" borderId="1" xfId="1" applyNumberFormat="1" applyFont="1"/>
    <xf numFmtId="164" fontId="8" fillId="3" borderId="1" xfId="1" applyNumberFormat="1" applyFont="1" applyFill="1"/>
    <xf numFmtId="0" fontId="7" fillId="0" borderId="1" xfId="0" applyFont="1" applyBorder="1"/>
    <xf numFmtId="165" fontId="8" fillId="0" borderId="1" xfId="1" applyNumberFormat="1" applyFont="1"/>
    <xf numFmtId="164" fontId="8" fillId="0" borderId="2" xfId="1" applyNumberFormat="1" applyFont="1" applyBorder="1"/>
    <xf numFmtId="0" fontId="7" fillId="0" borderId="0" xfId="0" applyFont="1" applyBorder="1"/>
    <xf numFmtId="164" fontId="1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2" sqref="Y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0" customWidth="1"/>
    <col min="17" max="19" width="7" customWidth="1"/>
    <col min="20" max="20" width="7" style="23" customWidth="1"/>
    <col min="21" max="22" width="5" customWidth="1"/>
    <col min="23" max="32" width="6.7109375" customWidth="1"/>
    <col min="33" max="33" width="34.85546875" customWidth="1"/>
    <col min="34" max="34" width="7" customWidth="1"/>
  </cols>
  <sheetData>
    <row r="1" spans="1:35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18">
        <v>2850</v>
      </c>
      <c r="Q1" s="9"/>
      <c r="R1" s="9"/>
      <c r="S1" s="17">
        <v>-0.38500000000000001</v>
      </c>
      <c r="T1" s="21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>
        <f>AH2-AH5</f>
        <v>-2</v>
      </c>
    </row>
    <row r="2" spans="1:35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18">
        <f>P1-P5</f>
        <v>0</v>
      </c>
      <c r="Q2" s="9"/>
      <c r="R2" s="9"/>
      <c r="S2" s="9" t="s">
        <v>0</v>
      </c>
      <c r="T2" s="1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>
        <v>17600</v>
      </c>
    </row>
    <row r="3" spans="1:3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17</v>
      </c>
      <c r="S3" s="2" t="s">
        <v>18</v>
      </c>
      <c r="T3" s="2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</row>
    <row r="4" spans="1:35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24</v>
      </c>
      <c r="P4" s="18" t="s">
        <v>313</v>
      </c>
      <c r="Q4" s="9" t="s">
        <v>25</v>
      </c>
      <c r="R4" s="9"/>
      <c r="S4" s="9" t="s">
        <v>26</v>
      </c>
      <c r="T4" s="18" t="s">
        <v>314</v>
      </c>
      <c r="U4" s="9"/>
      <c r="V4" s="9"/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 t="s">
        <v>35</v>
      </c>
      <c r="AF4" s="9" t="s">
        <v>36</v>
      </c>
      <c r="AG4" s="9"/>
      <c r="AH4" s="9"/>
    </row>
    <row r="5" spans="1:35" x14ac:dyDescent="0.25">
      <c r="A5" s="9"/>
      <c r="B5" s="9"/>
      <c r="C5" s="9"/>
      <c r="D5" s="9"/>
      <c r="E5" s="3">
        <f>SUM(E6:E500)</f>
        <v>50222.6</v>
      </c>
      <c r="F5" s="3">
        <f>SUM(F6:F500)</f>
        <v>76729.617999999959</v>
      </c>
      <c r="G5" s="6"/>
      <c r="H5" s="9"/>
      <c r="I5" s="9"/>
      <c r="J5" s="9"/>
      <c r="K5" s="3">
        <f t="shared" ref="K5:S5" si="0">SUM(K6:K500)</f>
        <v>54312.307999999997</v>
      </c>
      <c r="L5" s="3">
        <f t="shared" si="0"/>
        <v>-4089.7079999999992</v>
      </c>
      <c r="M5" s="3">
        <f t="shared" si="0"/>
        <v>0</v>
      </c>
      <c r="N5" s="3">
        <f t="shared" si="0"/>
        <v>0</v>
      </c>
      <c r="O5" s="3">
        <f t="shared" si="0"/>
        <v>13882.862948</v>
      </c>
      <c r="P5" s="19">
        <f t="shared" ref="P5" si="1">SUM(P6:P500)</f>
        <v>2850</v>
      </c>
      <c r="Q5" s="3">
        <f t="shared" si="0"/>
        <v>10044.52</v>
      </c>
      <c r="R5" s="3">
        <f t="shared" si="0"/>
        <v>26882.633414</v>
      </c>
      <c r="S5" s="3">
        <f t="shared" si="0"/>
        <v>24908.216354000004</v>
      </c>
      <c r="T5" s="19">
        <f t="shared" ref="T5" si="2">SUM(T6:T500)</f>
        <v>3200</v>
      </c>
      <c r="U5" s="9"/>
      <c r="V5" s="9"/>
      <c r="W5" s="3">
        <f t="shared" ref="W5:AF5" si="3">SUM(W6:W500)</f>
        <v>9949.1036000000058</v>
      </c>
      <c r="X5" s="3">
        <f t="shared" si="3"/>
        <v>10811.337600000001</v>
      </c>
      <c r="Y5" s="3">
        <f t="shared" si="3"/>
        <v>10814.749599999994</v>
      </c>
      <c r="Z5" s="3">
        <f t="shared" si="3"/>
        <v>9814.5397999999986</v>
      </c>
      <c r="AA5" s="3">
        <f t="shared" si="3"/>
        <v>10673.229199999996</v>
      </c>
      <c r="AB5" s="3">
        <f t="shared" si="3"/>
        <v>11337.38639999999</v>
      </c>
      <c r="AC5" s="3">
        <f t="shared" si="3"/>
        <v>10928.520799999995</v>
      </c>
      <c r="AD5" s="3">
        <f t="shared" si="3"/>
        <v>11001.886399999999</v>
      </c>
      <c r="AE5" s="3">
        <f t="shared" si="3"/>
        <v>11305.235399999998</v>
      </c>
      <c r="AF5" s="3">
        <f t="shared" si="3"/>
        <v>10846.147799999995</v>
      </c>
      <c r="AG5" s="9"/>
      <c r="AH5" s="3">
        <f>SUM(AH6:AH500)</f>
        <v>17602</v>
      </c>
    </row>
    <row r="6" spans="1:35" x14ac:dyDescent="0.25">
      <c r="A6" s="24" t="s">
        <v>37</v>
      </c>
      <c r="B6" s="9" t="s">
        <v>38</v>
      </c>
      <c r="C6" s="9">
        <v>3952.413</v>
      </c>
      <c r="D6" s="9">
        <v>3963.9650000000001</v>
      </c>
      <c r="E6" s="9">
        <v>2362.2049999999999</v>
      </c>
      <c r="F6" s="9">
        <v>5382.2089999999998</v>
      </c>
      <c r="G6" s="6">
        <v>1</v>
      </c>
      <c r="H6" s="9">
        <v>50</v>
      </c>
      <c r="I6" s="9" t="s">
        <v>39</v>
      </c>
      <c r="J6" s="9"/>
      <c r="K6" s="9">
        <v>2318.4499999999998</v>
      </c>
      <c r="L6" s="9">
        <f t="shared" ref="L6:L37" si="4">E6-K6</f>
        <v>43.755000000000109</v>
      </c>
      <c r="M6" s="9"/>
      <c r="N6" s="9"/>
      <c r="O6" s="9">
        <v>0</v>
      </c>
      <c r="P6" s="18">
        <v>1000</v>
      </c>
      <c r="Q6" s="9">
        <f t="shared" ref="Q6:Q37" si="5">E6/5</f>
        <v>472.44099999999997</v>
      </c>
      <c r="R6" s="4">
        <f>12*Q6-O6-F6</f>
        <v>287.08299999999963</v>
      </c>
      <c r="S6" s="4">
        <f>R6+$S$1*Q6</f>
        <v>105.19321499999964</v>
      </c>
      <c r="T6" s="22">
        <v>1000</v>
      </c>
      <c r="U6" s="9">
        <f>(F6+O6+S6+T6)/Q6</f>
        <v>13.73166641972225</v>
      </c>
      <c r="V6" s="9">
        <f t="shared" ref="V6:V37" si="6">(F6+O6)/Q6</f>
        <v>11.392341054226877</v>
      </c>
      <c r="W6" s="9">
        <v>450.1</v>
      </c>
      <c r="X6" s="9">
        <v>477.90280000000001</v>
      </c>
      <c r="Y6" s="9">
        <v>497.21940000000012</v>
      </c>
      <c r="Z6" s="9">
        <v>462.68740000000003</v>
      </c>
      <c r="AA6" s="9">
        <v>504.16359999999997</v>
      </c>
      <c r="AB6" s="9">
        <v>475.59160000000003</v>
      </c>
      <c r="AC6" s="9">
        <v>485.4896</v>
      </c>
      <c r="AD6" s="9">
        <v>548.13580000000002</v>
      </c>
      <c r="AE6" s="9">
        <v>531.78219999999999</v>
      </c>
      <c r="AF6" s="9">
        <v>520.48940000000005</v>
      </c>
      <c r="AG6" s="9"/>
      <c r="AH6" s="9">
        <f t="shared" ref="AH6:AH37" si="7">ROUND(G6*S6,0)</f>
        <v>105</v>
      </c>
      <c r="AI6" t="s">
        <v>40</v>
      </c>
    </row>
    <row r="7" spans="1:35" x14ac:dyDescent="0.25">
      <c r="A7" s="9" t="s">
        <v>41</v>
      </c>
      <c r="B7" s="9" t="s">
        <v>38</v>
      </c>
      <c r="C7" s="9">
        <v>2278.634</v>
      </c>
      <c r="D7" s="9">
        <v>1225.049</v>
      </c>
      <c r="E7" s="9">
        <v>1500.5329999999999</v>
      </c>
      <c r="F7" s="9">
        <v>1896.2329999999999</v>
      </c>
      <c r="G7" s="6">
        <v>1</v>
      </c>
      <c r="H7" s="9">
        <v>45</v>
      </c>
      <c r="I7" s="9" t="s">
        <v>39</v>
      </c>
      <c r="J7" s="9"/>
      <c r="K7" s="9">
        <v>1442.3</v>
      </c>
      <c r="L7" s="9">
        <f t="shared" si="4"/>
        <v>58.232999999999947</v>
      </c>
      <c r="M7" s="9"/>
      <c r="N7" s="9"/>
      <c r="O7" s="9">
        <v>61.654140000000211</v>
      </c>
      <c r="P7" s="18">
        <v>300</v>
      </c>
      <c r="Q7" s="9">
        <f t="shared" si="5"/>
        <v>300.10659999999996</v>
      </c>
      <c r="R7" s="4">
        <f>12*Q7-O7-F7</f>
        <v>1643.3920599999994</v>
      </c>
      <c r="S7" s="4">
        <f>R7+$S$1*Q7</f>
        <v>1527.8510189999995</v>
      </c>
      <c r="T7" s="22"/>
      <c r="U7" s="9">
        <f t="shared" ref="U7:U70" si="8">(F7+O7+S7+T7)/Q7</f>
        <v>11.615</v>
      </c>
      <c r="V7" s="9">
        <f t="shared" si="6"/>
        <v>6.5239722818491845</v>
      </c>
      <c r="W7" s="9">
        <v>262.36520000000002</v>
      </c>
      <c r="X7" s="9">
        <v>266.33199999999999</v>
      </c>
      <c r="Y7" s="9">
        <v>285.43920000000003</v>
      </c>
      <c r="Z7" s="9">
        <v>272.41820000000001</v>
      </c>
      <c r="AA7" s="9">
        <v>253.45859999999999</v>
      </c>
      <c r="AB7" s="9">
        <v>242.8768</v>
      </c>
      <c r="AC7" s="9">
        <v>235.5034</v>
      </c>
      <c r="AD7" s="9">
        <v>220.28479999999999</v>
      </c>
      <c r="AE7" s="9">
        <v>230.947</v>
      </c>
      <c r="AF7" s="9">
        <v>231.88659999999999</v>
      </c>
      <c r="AG7" s="9"/>
      <c r="AH7" s="9">
        <f t="shared" si="7"/>
        <v>1528</v>
      </c>
      <c r="AI7" t="s">
        <v>42</v>
      </c>
    </row>
    <row r="8" spans="1:35" x14ac:dyDescent="0.25">
      <c r="A8" s="9" t="s">
        <v>43</v>
      </c>
      <c r="B8" s="9" t="s">
        <v>38</v>
      </c>
      <c r="C8" s="9">
        <v>2154.9389999999999</v>
      </c>
      <c r="D8" s="9">
        <v>1179.6079999999999</v>
      </c>
      <c r="E8" s="9">
        <v>1236.2260000000001</v>
      </c>
      <c r="F8" s="9">
        <v>2010.606</v>
      </c>
      <c r="G8" s="6">
        <v>1</v>
      </c>
      <c r="H8" s="9">
        <v>45</v>
      </c>
      <c r="I8" s="9" t="s">
        <v>39</v>
      </c>
      <c r="J8" s="9"/>
      <c r="K8" s="9">
        <v>1247.5999999999999</v>
      </c>
      <c r="L8" s="9">
        <f t="shared" si="4"/>
        <v>-11.373999999999796</v>
      </c>
      <c r="M8" s="9"/>
      <c r="N8" s="9"/>
      <c r="O8" s="9">
        <v>0</v>
      </c>
      <c r="P8" s="18">
        <v>250</v>
      </c>
      <c r="Q8" s="9">
        <f t="shared" si="5"/>
        <v>247.24520000000001</v>
      </c>
      <c r="R8" s="4">
        <f>12*Q8-O8-F8</f>
        <v>956.33639999999991</v>
      </c>
      <c r="S8" s="4">
        <f>R8+$S$1*Q8</f>
        <v>861.14699799999994</v>
      </c>
      <c r="T8" s="22"/>
      <c r="U8" s="9">
        <f t="shared" si="8"/>
        <v>11.614999999999998</v>
      </c>
      <c r="V8" s="9">
        <f t="shared" si="6"/>
        <v>8.1320324924407021</v>
      </c>
      <c r="W8" s="9">
        <v>223.76159999999999</v>
      </c>
      <c r="X8" s="9">
        <v>249.89080000000001</v>
      </c>
      <c r="Y8" s="9">
        <v>251.58420000000001</v>
      </c>
      <c r="Z8" s="9">
        <v>216.3372</v>
      </c>
      <c r="AA8" s="9">
        <v>214.10339999999999</v>
      </c>
      <c r="AB8" s="9">
        <v>227.751</v>
      </c>
      <c r="AC8" s="9">
        <v>235.30099999999999</v>
      </c>
      <c r="AD8" s="9">
        <v>231.13040000000001</v>
      </c>
      <c r="AE8" s="9">
        <v>232.49080000000001</v>
      </c>
      <c r="AF8" s="9">
        <v>229.34979999999999</v>
      </c>
      <c r="AG8" s="9"/>
      <c r="AH8" s="9">
        <f t="shared" si="7"/>
        <v>861</v>
      </c>
      <c r="AI8" t="s">
        <v>44</v>
      </c>
    </row>
    <row r="9" spans="1:35" x14ac:dyDescent="0.25">
      <c r="A9" s="10" t="s">
        <v>45</v>
      </c>
      <c r="B9" s="10" t="s">
        <v>46</v>
      </c>
      <c r="C9" s="10"/>
      <c r="D9" s="10"/>
      <c r="E9" s="10"/>
      <c r="F9" s="10"/>
      <c r="G9" s="11">
        <v>0</v>
      </c>
      <c r="H9" s="10"/>
      <c r="I9" s="10" t="s">
        <v>39</v>
      </c>
      <c r="J9" s="10"/>
      <c r="K9" s="10"/>
      <c r="L9" s="10">
        <f t="shared" si="4"/>
        <v>0</v>
      </c>
      <c r="M9" s="10"/>
      <c r="N9" s="10"/>
      <c r="O9" s="10">
        <v>0</v>
      </c>
      <c r="P9" s="10"/>
      <c r="Q9" s="10">
        <f t="shared" si="5"/>
        <v>0</v>
      </c>
      <c r="R9" s="12"/>
      <c r="S9" s="4">
        <f>R9</f>
        <v>0</v>
      </c>
      <c r="T9" s="22"/>
      <c r="U9" s="9" t="e">
        <f t="shared" si="8"/>
        <v>#DIV/0!</v>
      </c>
      <c r="V9" s="10" t="e">
        <f t="shared" si="6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47</v>
      </c>
      <c r="AH9" s="9">
        <f t="shared" si="7"/>
        <v>0</v>
      </c>
      <c r="AI9" t="s">
        <v>48</v>
      </c>
    </row>
    <row r="10" spans="1:35" x14ac:dyDescent="0.25">
      <c r="A10" s="9" t="s">
        <v>49</v>
      </c>
      <c r="B10" s="9" t="s">
        <v>46</v>
      </c>
      <c r="C10" s="9">
        <v>819</v>
      </c>
      <c r="D10" s="9">
        <v>823</v>
      </c>
      <c r="E10" s="9">
        <v>713</v>
      </c>
      <c r="F10" s="9">
        <v>881</v>
      </c>
      <c r="G10" s="6">
        <v>0.45</v>
      </c>
      <c r="H10" s="9">
        <v>45</v>
      </c>
      <c r="I10" s="9" t="s">
        <v>39</v>
      </c>
      <c r="J10" s="9"/>
      <c r="K10" s="9">
        <v>746</v>
      </c>
      <c r="L10" s="9">
        <f t="shared" si="4"/>
        <v>-33</v>
      </c>
      <c r="M10" s="9"/>
      <c r="N10" s="9"/>
      <c r="O10" s="9">
        <v>188.11</v>
      </c>
      <c r="P10" s="9"/>
      <c r="Q10" s="9">
        <f t="shared" si="5"/>
        <v>142.6</v>
      </c>
      <c r="R10" s="4">
        <f>12*Q10-O10-F10</f>
        <v>642.08999999999969</v>
      </c>
      <c r="S10" s="4">
        <f>R10+$S$1*Q10</f>
        <v>587.18899999999974</v>
      </c>
      <c r="T10" s="22"/>
      <c r="U10" s="9">
        <f t="shared" si="8"/>
        <v>11.615</v>
      </c>
      <c r="V10" s="9">
        <f t="shared" si="6"/>
        <v>7.4972650771388514</v>
      </c>
      <c r="W10" s="9">
        <v>135.4</v>
      </c>
      <c r="X10" s="9">
        <v>120.4</v>
      </c>
      <c r="Y10" s="9">
        <v>117.2</v>
      </c>
      <c r="Z10" s="9">
        <v>118.2</v>
      </c>
      <c r="AA10" s="9">
        <v>139</v>
      </c>
      <c r="AB10" s="9">
        <v>136.80000000000001</v>
      </c>
      <c r="AC10" s="9">
        <v>124.8</v>
      </c>
      <c r="AD10" s="9">
        <v>110.6</v>
      </c>
      <c r="AE10" s="9">
        <v>109</v>
      </c>
      <c r="AF10" s="9">
        <v>123.6</v>
      </c>
      <c r="AG10" s="9"/>
      <c r="AH10" s="9">
        <f t="shared" si="7"/>
        <v>264</v>
      </c>
      <c r="AI10" t="s">
        <v>50</v>
      </c>
    </row>
    <row r="11" spans="1:35" x14ac:dyDescent="0.25">
      <c r="A11" s="9" t="s">
        <v>51</v>
      </c>
      <c r="B11" s="9" t="s">
        <v>46</v>
      </c>
      <c r="C11" s="9">
        <v>1667.76</v>
      </c>
      <c r="D11" s="9">
        <v>1383</v>
      </c>
      <c r="E11" s="9">
        <v>1176</v>
      </c>
      <c r="F11" s="9">
        <v>1768.76</v>
      </c>
      <c r="G11" s="6">
        <v>0.45</v>
      </c>
      <c r="H11" s="9">
        <v>45</v>
      </c>
      <c r="I11" s="9" t="s">
        <v>39</v>
      </c>
      <c r="J11" s="9"/>
      <c r="K11" s="9">
        <v>1260</v>
      </c>
      <c r="L11" s="9">
        <f t="shared" si="4"/>
        <v>-84</v>
      </c>
      <c r="M11" s="9"/>
      <c r="N11" s="9"/>
      <c r="O11" s="9">
        <v>156.86560000000031</v>
      </c>
      <c r="P11" s="9"/>
      <c r="Q11" s="9">
        <f t="shared" si="5"/>
        <v>235.2</v>
      </c>
      <c r="R11" s="4">
        <f>12*Q11-O11-F11</f>
        <v>896.77439999999956</v>
      </c>
      <c r="S11" s="4">
        <f>R11+$S$1*Q11</f>
        <v>806.22239999999954</v>
      </c>
      <c r="T11" s="22"/>
      <c r="U11" s="9">
        <f t="shared" si="8"/>
        <v>11.615</v>
      </c>
      <c r="V11" s="9">
        <f t="shared" si="6"/>
        <v>8.1871836734693897</v>
      </c>
      <c r="W11" s="9">
        <v>216.8</v>
      </c>
      <c r="X11" s="9">
        <v>224.44800000000001</v>
      </c>
      <c r="Y11" s="9">
        <v>225.648</v>
      </c>
      <c r="Z11" s="9">
        <v>230.6</v>
      </c>
      <c r="AA11" s="9">
        <v>273.39999999999998</v>
      </c>
      <c r="AB11" s="9">
        <v>246.4</v>
      </c>
      <c r="AC11" s="9">
        <v>230.2</v>
      </c>
      <c r="AD11" s="9">
        <v>217</v>
      </c>
      <c r="AE11" s="9">
        <v>207.6</v>
      </c>
      <c r="AF11" s="9">
        <v>228.4</v>
      </c>
      <c r="AG11" s="9"/>
      <c r="AH11" s="9">
        <f t="shared" si="7"/>
        <v>363</v>
      </c>
      <c r="AI11" t="s">
        <v>52</v>
      </c>
    </row>
    <row r="12" spans="1:35" x14ac:dyDescent="0.25">
      <c r="A12" s="9" t="s">
        <v>53</v>
      </c>
      <c r="B12" s="9" t="s">
        <v>46</v>
      </c>
      <c r="C12" s="9">
        <v>123</v>
      </c>
      <c r="D12" s="9">
        <v>105</v>
      </c>
      <c r="E12" s="9">
        <v>78</v>
      </c>
      <c r="F12" s="9">
        <v>132</v>
      </c>
      <c r="G12" s="6">
        <v>0.17</v>
      </c>
      <c r="H12" s="9">
        <v>180</v>
      </c>
      <c r="I12" s="9" t="s">
        <v>39</v>
      </c>
      <c r="J12" s="9"/>
      <c r="K12" s="9">
        <v>85</v>
      </c>
      <c r="L12" s="9">
        <f t="shared" si="4"/>
        <v>-7</v>
      </c>
      <c r="M12" s="9"/>
      <c r="N12" s="9"/>
      <c r="O12" s="9">
        <v>7.4000000000000057</v>
      </c>
      <c r="P12" s="9"/>
      <c r="Q12" s="9">
        <f t="shared" si="5"/>
        <v>15.6</v>
      </c>
      <c r="R12" s="4">
        <f>12*Q12-O12-F12</f>
        <v>47.799999999999983</v>
      </c>
      <c r="S12" s="4">
        <f>R12</f>
        <v>47.799999999999983</v>
      </c>
      <c r="T12" s="22"/>
      <c r="U12" s="9">
        <f t="shared" si="8"/>
        <v>12</v>
      </c>
      <c r="V12" s="9">
        <f t="shared" si="6"/>
        <v>8.9358974358974361</v>
      </c>
      <c r="W12" s="9">
        <v>15</v>
      </c>
      <c r="X12" s="9">
        <v>18.2</v>
      </c>
      <c r="Y12" s="9">
        <v>17.2</v>
      </c>
      <c r="Z12" s="9">
        <v>10.199999999999999</v>
      </c>
      <c r="AA12" s="9">
        <v>14.6</v>
      </c>
      <c r="AB12" s="9">
        <v>20.2</v>
      </c>
      <c r="AC12" s="9">
        <v>15.2</v>
      </c>
      <c r="AD12" s="9">
        <v>11.8</v>
      </c>
      <c r="AE12" s="9">
        <v>12.8</v>
      </c>
      <c r="AF12" s="9">
        <v>7.4</v>
      </c>
      <c r="AG12" s="9"/>
      <c r="AH12" s="9">
        <f t="shared" si="7"/>
        <v>8</v>
      </c>
      <c r="AI12" t="s">
        <v>54</v>
      </c>
    </row>
    <row r="13" spans="1:35" x14ac:dyDescent="0.25">
      <c r="A13" s="9" t="s">
        <v>55</v>
      </c>
      <c r="B13" s="9" t="s">
        <v>46</v>
      </c>
      <c r="C13" s="9">
        <v>129</v>
      </c>
      <c r="D13" s="9">
        <v>102</v>
      </c>
      <c r="E13" s="9">
        <v>53</v>
      </c>
      <c r="F13" s="9">
        <v>169</v>
      </c>
      <c r="G13" s="6">
        <v>0.3</v>
      </c>
      <c r="H13" s="9">
        <v>40</v>
      </c>
      <c r="I13" s="9" t="s">
        <v>39</v>
      </c>
      <c r="J13" s="9"/>
      <c r="K13" s="9">
        <v>64</v>
      </c>
      <c r="L13" s="9">
        <f t="shared" si="4"/>
        <v>-11</v>
      </c>
      <c r="M13" s="9"/>
      <c r="N13" s="9"/>
      <c r="O13" s="9">
        <v>0</v>
      </c>
      <c r="P13" s="9"/>
      <c r="Q13" s="9">
        <f t="shared" si="5"/>
        <v>10.6</v>
      </c>
      <c r="R13" s="4"/>
      <c r="S13" s="4">
        <f>R13</f>
        <v>0</v>
      </c>
      <c r="T13" s="22"/>
      <c r="U13" s="9">
        <f t="shared" si="8"/>
        <v>15.943396226415095</v>
      </c>
      <c r="V13" s="9">
        <f t="shared" si="6"/>
        <v>15.943396226415095</v>
      </c>
      <c r="W13" s="9">
        <v>10</v>
      </c>
      <c r="X13" s="9">
        <v>19</v>
      </c>
      <c r="Y13" s="9">
        <v>21</v>
      </c>
      <c r="Z13" s="9">
        <v>22.2</v>
      </c>
      <c r="AA13" s="9">
        <v>22.8</v>
      </c>
      <c r="AB13" s="9">
        <v>17.600000000000001</v>
      </c>
      <c r="AC13" s="9">
        <v>17.8</v>
      </c>
      <c r="AD13" s="9">
        <v>9.1999999999999993</v>
      </c>
      <c r="AE13" s="9">
        <v>19.399999999999999</v>
      </c>
      <c r="AF13" s="9">
        <v>23</v>
      </c>
      <c r="AG13" s="9"/>
      <c r="AH13" s="9">
        <f t="shared" si="7"/>
        <v>0</v>
      </c>
      <c r="AI13" t="s">
        <v>56</v>
      </c>
    </row>
    <row r="14" spans="1:35" x14ac:dyDescent="0.25">
      <c r="A14" s="9" t="s">
        <v>57</v>
      </c>
      <c r="B14" s="9" t="s">
        <v>46</v>
      </c>
      <c r="C14" s="9">
        <v>262</v>
      </c>
      <c r="D14" s="9">
        <v>405</v>
      </c>
      <c r="E14" s="9">
        <v>238</v>
      </c>
      <c r="F14" s="9">
        <v>403</v>
      </c>
      <c r="G14" s="6">
        <v>0.17</v>
      </c>
      <c r="H14" s="9">
        <v>180</v>
      </c>
      <c r="I14" s="9" t="s">
        <v>39</v>
      </c>
      <c r="J14" s="9"/>
      <c r="K14" s="9">
        <v>242</v>
      </c>
      <c r="L14" s="9">
        <f t="shared" si="4"/>
        <v>-4</v>
      </c>
      <c r="M14" s="9"/>
      <c r="N14" s="9"/>
      <c r="O14" s="9">
        <v>0</v>
      </c>
      <c r="P14" s="9"/>
      <c r="Q14" s="9">
        <f t="shared" si="5"/>
        <v>47.6</v>
      </c>
      <c r="R14" s="4">
        <f>12*Q14-O14-F14</f>
        <v>168.20000000000005</v>
      </c>
      <c r="S14" s="4">
        <f>R14</f>
        <v>168.20000000000005</v>
      </c>
      <c r="T14" s="22"/>
      <c r="U14" s="9">
        <f t="shared" si="8"/>
        <v>12</v>
      </c>
      <c r="V14" s="9">
        <f t="shared" si="6"/>
        <v>8.4663865546218489</v>
      </c>
      <c r="W14" s="9">
        <v>44.8</v>
      </c>
      <c r="X14" s="9">
        <v>57.2</v>
      </c>
      <c r="Y14" s="9">
        <v>52.8</v>
      </c>
      <c r="Z14" s="9">
        <v>33.6</v>
      </c>
      <c r="AA14" s="9">
        <v>38.4</v>
      </c>
      <c r="AB14" s="9">
        <v>56</v>
      </c>
      <c r="AC14" s="9">
        <v>56.2</v>
      </c>
      <c r="AD14" s="9">
        <v>45</v>
      </c>
      <c r="AE14" s="9">
        <v>39.4</v>
      </c>
      <c r="AF14" s="9">
        <v>40.6</v>
      </c>
      <c r="AG14" s="9"/>
      <c r="AH14" s="9">
        <f t="shared" si="7"/>
        <v>29</v>
      </c>
      <c r="AI14" t="s">
        <v>58</v>
      </c>
    </row>
    <row r="15" spans="1:35" x14ac:dyDescent="0.25">
      <c r="A15" s="10" t="s">
        <v>59</v>
      </c>
      <c r="B15" s="10" t="s">
        <v>46</v>
      </c>
      <c r="C15" s="10">
        <v>-1</v>
      </c>
      <c r="D15" s="10"/>
      <c r="E15" s="10"/>
      <c r="F15" s="10">
        <v>-1</v>
      </c>
      <c r="G15" s="11">
        <v>0</v>
      </c>
      <c r="H15" s="10"/>
      <c r="I15" s="10" t="s">
        <v>60</v>
      </c>
      <c r="J15" s="10"/>
      <c r="K15" s="10"/>
      <c r="L15" s="10">
        <f t="shared" si="4"/>
        <v>0</v>
      </c>
      <c r="M15" s="10"/>
      <c r="N15" s="10"/>
      <c r="O15" s="10">
        <v>0</v>
      </c>
      <c r="P15" s="10"/>
      <c r="Q15" s="10">
        <f t="shared" si="5"/>
        <v>0</v>
      </c>
      <c r="R15" s="12"/>
      <c r="S15" s="4">
        <f>R15</f>
        <v>0</v>
      </c>
      <c r="T15" s="22"/>
      <c r="U15" s="9" t="e">
        <f t="shared" si="8"/>
        <v>#DIV/0!</v>
      </c>
      <c r="V15" s="10" t="e">
        <f t="shared" si="6"/>
        <v>#DIV/0!</v>
      </c>
      <c r="W15" s="10">
        <v>0</v>
      </c>
      <c r="X15" s="10">
        <v>0</v>
      </c>
      <c r="Y15" s="10">
        <v>0.2</v>
      </c>
      <c r="Z15" s="10">
        <v>0.2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/>
      <c r="AH15" s="9">
        <f t="shared" si="7"/>
        <v>0</v>
      </c>
      <c r="AI15" t="s">
        <v>61</v>
      </c>
    </row>
    <row r="16" spans="1:35" x14ac:dyDescent="0.25">
      <c r="A16" s="24" t="s">
        <v>62</v>
      </c>
      <c r="B16" s="9" t="s">
        <v>38</v>
      </c>
      <c r="C16" s="9">
        <v>1366.8440000000001</v>
      </c>
      <c r="D16" s="9">
        <v>1979.5609999999999</v>
      </c>
      <c r="E16" s="9">
        <v>1165.9179999999999</v>
      </c>
      <c r="F16" s="9">
        <v>2083.0819999999999</v>
      </c>
      <c r="G16" s="6">
        <v>1</v>
      </c>
      <c r="H16" s="9">
        <v>70</v>
      </c>
      <c r="I16" s="9" t="s">
        <v>39</v>
      </c>
      <c r="J16" s="9"/>
      <c r="K16" s="9">
        <v>1160.4449999999999</v>
      </c>
      <c r="L16" s="9">
        <f t="shared" si="4"/>
        <v>5.4729999999999563</v>
      </c>
      <c r="M16" s="9"/>
      <c r="N16" s="9"/>
      <c r="O16" s="9">
        <v>140.91615999999979</v>
      </c>
      <c r="P16" s="18">
        <v>500</v>
      </c>
      <c r="Q16" s="9">
        <f t="shared" si="5"/>
        <v>233.18359999999998</v>
      </c>
      <c r="R16" s="4">
        <f>12*Q16-O16-F16</f>
        <v>574.20504000000028</v>
      </c>
      <c r="S16" s="4">
        <f>R16+$S$1*Q16</f>
        <v>484.42935400000027</v>
      </c>
      <c r="T16" s="22">
        <v>200</v>
      </c>
      <c r="U16" s="9">
        <f t="shared" si="8"/>
        <v>12.472693251154885</v>
      </c>
      <c r="V16" s="9">
        <f t="shared" si="6"/>
        <v>9.537541062064399</v>
      </c>
      <c r="W16" s="9">
        <v>242.98320000000001</v>
      </c>
      <c r="X16" s="9">
        <v>239.7028</v>
      </c>
      <c r="Y16" s="9">
        <v>236.7696</v>
      </c>
      <c r="Z16" s="9">
        <v>224.553</v>
      </c>
      <c r="AA16" s="9">
        <v>226.56899999999999</v>
      </c>
      <c r="AB16" s="9">
        <v>227.60939999999999</v>
      </c>
      <c r="AC16" s="9">
        <v>217.93199999999999</v>
      </c>
      <c r="AD16" s="9">
        <v>228.4726</v>
      </c>
      <c r="AE16" s="9">
        <v>235.23580000000001</v>
      </c>
      <c r="AF16" s="9">
        <v>236.49680000000001</v>
      </c>
      <c r="AG16" s="9"/>
      <c r="AH16" s="9">
        <f t="shared" si="7"/>
        <v>484</v>
      </c>
      <c r="AI16" t="s">
        <v>63</v>
      </c>
    </row>
    <row r="17" spans="1:35" x14ac:dyDescent="0.25">
      <c r="A17" s="24" t="s">
        <v>64</v>
      </c>
      <c r="B17" s="9" t="s">
        <v>38</v>
      </c>
      <c r="C17" s="9">
        <v>7502.4260000000004</v>
      </c>
      <c r="D17" s="9">
        <v>2934.674</v>
      </c>
      <c r="E17" s="9">
        <v>3303.058</v>
      </c>
      <c r="F17" s="9">
        <v>6954.8130000000001</v>
      </c>
      <c r="G17" s="6">
        <v>1</v>
      </c>
      <c r="H17" s="9">
        <v>50</v>
      </c>
      <c r="I17" s="9" t="s">
        <v>39</v>
      </c>
      <c r="J17" s="9"/>
      <c r="K17" s="9">
        <v>3320.5</v>
      </c>
      <c r="L17" s="9">
        <f t="shared" si="4"/>
        <v>-17.442000000000007</v>
      </c>
      <c r="M17" s="9"/>
      <c r="N17" s="9"/>
      <c r="O17" s="9">
        <v>0</v>
      </c>
      <c r="P17" s="18">
        <v>0</v>
      </c>
      <c r="Q17" s="9">
        <f t="shared" si="5"/>
        <v>660.61159999999995</v>
      </c>
      <c r="R17" s="4">
        <f>12*Q17-O17-F17</f>
        <v>972.52619999999933</v>
      </c>
      <c r="S17" s="4">
        <f>R17+$S$1*Q17</f>
        <v>718.19073399999934</v>
      </c>
      <c r="T17" s="22">
        <v>700</v>
      </c>
      <c r="U17" s="9">
        <f t="shared" si="8"/>
        <v>12.674624142234258</v>
      </c>
      <c r="V17" s="9">
        <f t="shared" si="6"/>
        <v>10.527839656463799</v>
      </c>
      <c r="W17" s="9">
        <v>636.86320000000001</v>
      </c>
      <c r="X17" s="9">
        <v>674.43259999999998</v>
      </c>
      <c r="Y17" s="9">
        <v>703.17060000000004</v>
      </c>
      <c r="Z17" s="9">
        <v>753.43720000000008</v>
      </c>
      <c r="AA17" s="9">
        <v>789.19159999999999</v>
      </c>
      <c r="AB17" s="9">
        <v>779.79539999999997</v>
      </c>
      <c r="AC17" s="9">
        <v>746.61940000000004</v>
      </c>
      <c r="AD17" s="9">
        <v>740.76059999999995</v>
      </c>
      <c r="AE17" s="9">
        <v>725.36279999999999</v>
      </c>
      <c r="AF17" s="9">
        <v>627.70680000000004</v>
      </c>
      <c r="AG17" s="9"/>
      <c r="AH17" s="9">
        <f t="shared" si="7"/>
        <v>718</v>
      </c>
      <c r="AI17" t="s">
        <v>65</v>
      </c>
    </row>
    <row r="18" spans="1:35" x14ac:dyDescent="0.25">
      <c r="A18" s="9" t="s">
        <v>66</v>
      </c>
      <c r="B18" s="9" t="s">
        <v>38</v>
      </c>
      <c r="C18" s="9">
        <v>79.995999999999995</v>
      </c>
      <c r="D18" s="9">
        <v>206.828</v>
      </c>
      <c r="E18" s="9">
        <v>127.441</v>
      </c>
      <c r="F18" s="9">
        <v>155.01</v>
      </c>
      <c r="G18" s="6">
        <v>1</v>
      </c>
      <c r="H18" s="9">
        <v>60</v>
      </c>
      <c r="I18" s="9" t="s">
        <v>39</v>
      </c>
      <c r="J18" s="9"/>
      <c r="K18" s="9">
        <v>125.8</v>
      </c>
      <c r="L18" s="9">
        <f t="shared" si="4"/>
        <v>1.6410000000000053</v>
      </c>
      <c r="M18" s="9"/>
      <c r="N18" s="9"/>
      <c r="O18" s="9">
        <v>59.531000000000027</v>
      </c>
      <c r="P18" s="9"/>
      <c r="Q18" s="9">
        <f t="shared" si="5"/>
        <v>25.488199999999999</v>
      </c>
      <c r="R18" s="4">
        <f>12*Q18-O18-F18</f>
        <v>91.317399999999935</v>
      </c>
      <c r="S18" s="4">
        <f>R18</f>
        <v>91.317399999999935</v>
      </c>
      <c r="T18" s="22"/>
      <c r="U18" s="9">
        <f t="shared" si="8"/>
        <v>11.999999999999998</v>
      </c>
      <c r="V18" s="9">
        <f t="shared" si="6"/>
        <v>8.4172675983396257</v>
      </c>
      <c r="W18" s="9">
        <v>23.536200000000001</v>
      </c>
      <c r="X18" s="9">
        <v>24.895399999999999</v>
      </c>
      <c r="Y18" s="9">
        <v>24.598400000000002</v>
      </c>
      <c r="Z18" s="9">
        <v>18.6858</v>
      </c>
      <c r="AA18" s="9">
        <v>21.406600000000001</v>
      </c>
      <c r="AB18" s="9">
        <v>20.923999999999999</v>
      </c>
      <c r="AC18" s="9">
        <v>19.589400000000001</v>
      </c>
      <c r="AD18" s="9">
        <v>22.287800000000001</v>
      </c>
      <c r="AE18" s="9">
        <v>21.7728</v>
      </c>
      <c r="AF18" s="9">
        <v>17.471399999999999</v>
      </c>
      <c r="AG18" s="9"/>
      <c r="AH18" s="9">
        <f t="shared" si="7"/>
        <v>91</v>
      </c>
      <c r="AI18" t="s">
        <v>67</v>
      </c>
    </row>
    <row r="19" spans="1:35" x14ac:dyDescent="0.25">
      <c r="A19" s="9" t="s">
        <v>68</v>
      </c>
      <c r="B19" s="9" t="s">
        <v>38</v>
      </c>
      <c r="C19" s="9">
        <v>37.19</v>
      </c>
      <c r="D19" s="9">
        <v>142.93600000000001</v>
      </c>
      <c r="E19" s="9">
        <v>84.331000000000003</v>
      </c>
      <c r="F19" s="9">
        <v>87.832999999999998</v>
      </c>
      <c r="G19" s="6">
        <v>1</v>
      </c>
      <c r="H19" s="9">
        <v>60</v>
      </c>
      <c r="I19" s="9" t="s">
        <v>39</v>
      </c>
      <c r="J19" s="9"/>
      <c r="K19" s="9">
        <v>85.21</v>
      </c>
      <c r="L19" s="9">
        <f t="shared" si="4"/>
        <v>-0.87899999999999068</v>
      </c>
      <c r="M19" s="9"/>
      <c r="N19" s="9"/>
      <c r="O19" s="9">
        <v>75.626199999999997</v>
      </c>
      <c r="P19" s="9"/>
      <c r="Q19" s="9">
        <f t="shared" si="5"/>
        <v>16.866199999999999</v>
      </c>
      <c r="R19" s="4">
        <f>12*Q19-O19-F19</f>
        <v>38.935199999999995</v>
      </c>
      <c r="S19" s="4">
        <f>R19</f>
        <v>38.935199999999995</v>
      </c>
      <c r="T19" s="22"/>
      <c r="U19" s="9">
        <f t="shared" si="8"/>
        <v>12.000000000000002</v>
      </c>
      <c r="V19" s="9">
        <f t="shared" si="6"/>
        <v>9.6915250619582363</v>
      </c>
      <c r="W19" s="9">
        <v>17.227399999999999</v>
      </c>
      <c r="X19" s="9">
        <v>14.844200000000001</v>
      </c>
      <c r="Y19" s="9">
        <v>17.3218</v>
      </c>
      <c r="Z19" s="9">
        <v>17.478400000000001</v>
      </c>
      <c r="AA19" s="9">
        <v>13.7256</v>
      </c>
      <c r="AB19" s="9">
        <v>14.416600000000001</v>
      </c>
      <c r="AC19" s="9">
        <v>16.773</v>
      </c>
      <c r="AD19" s="9">
        <v>16.835999999999999</v>
      </c>
      <c r="AE19" s="9">
        <v>15.0814</v>
      </c>
      <c r="AF19" s="9">
        <v>11.555400000000001</v>
      </c>
      <c r="AG19" s="9"/>
      <c r="AH19" s="9">
        <f t="shared" si="7"/>
        <v>39</v>
      </c>
      <c r="AI19" t="s">
        <v>69</v>
      </c>
    </row>
    <row r="20" spans="1:35" x14ac:dyDescent="0.25">
      <c r="A20" s="9" t="s">
        <v>70</v>
      </c>
      <c r="B20" s="9" t="s">
        <v>38</v>
      </c>
      <c r="C20" s="9">
        <v>5.0999999999999996</v>
      </c>
      <c r="D20" s="9">
        <v>25.597000000000001</v>
      </c>
      <c r="E20" s="9">
        <v>3.149</v>
      </c>
      <c r="F20" s="9">
        <v>27.547999999999998</v>
      </c>
      <c r="G20" s="6">
        <v>1</v>
      </c>
      <c r="H20" s="9">
        <v>180</v>
      </c>
      <c r="I20" s="9" t="s">
        <v>39</v>
      </c>
      <c r="J20" s="9"/>
      <c r="K20" s="9">
        <v>3.44</v>
      </c>
      <c r="L20" s="9">
        <f t="shared" si="4"/>
        <v>-0.29099999999999993</v>
      </c>
      <c r="M20" s="9"/>
      <c r="N20" s="9"/>
      <c r="O20" s="9">
        <v>0</v>
      </c>
      <c r="P20" s="9"/>
      <c r="Q20" s="9">
        <f t="shared" si="5"/>
        <v>0.62980000000000003</v>
      </c>
      <c r="R20" s="4"/>
      <c r="S20" s="4">
        <f>R20</f>
        <v>0</v>
      </c>
      <c r="T20" s="22"/>
      <c r="U20" s="9">
        <f t="shared" si="8"/>
        <v>43.740870117497614</v>
      </c>
      <c r="V20" s="9">
        <f t="shared" si="6"/>
        <v>43.740870117497614</v>
      </c>
      <c r="W20" s="9">
        <v>1.0427999999999999</v>
      </c>
      <c r="X20" s="9">
        <v>2.0901999999999998</v>
      </c>
      <c r="Y20" s="9">
        <v>2.1625999999999999</v>
      </c>
      <c r="Z20" s="9">
        <v>1.7310000000000001</v>
      </c>
      <c r="AA20" s="9">
        <v>1.6870000000000001</v>
      </c>
      <c r="AB20" s="9">
        <v>1.4314</v>
      </c>
      <c r="AC20" s="9">
        <v>1.4481999999999999</v>
      </c>
      <c r="AD20" s="9">
        <v>1.9716</v>
      </c>
      <c r="AE20" s="9">
        <v>1.2405999999999999</v>
      </c>
      <c r="AF20" s="9">
        <v>0.79459999999999997</v>
      </c>
      <c r="AG20" s="14" t="s">
        <v>71</v>
      </c>
      <c r="AH20" s="9">
        <f t="shared" si="7"/>
        <v>0</v>
      </c>
      <c r="AI20" t="s">
        <v>72</v>
      </c>
    </row>
    <row r="21" spans="1:35" x14ac:dyDescent="0.25">
      <c r="A21" s="9" t="s">
        <v>73</v>
      </c>
      <c r="B21" s="9" t="s">
        <v>38</v>
      </c>
      <c r="C21" s="9">
        <v>1848.683</v>
      </c>
      <c r="D21" s="9">
        <v>2742.982</v>
      </c>
      <c r="E21" s="9">
        <v>1415.7760000000001</v>
      </c>
      <c r="F21" s="9">
        <v>3056.4349999999999</v>
      </c>
      <c r="G21" s="6">
        <v>1</v>
      </c>
      <c r="H21" s="9">
        <v>60</v>
      </c>
      <c r="I21" s="9" t="s">
        <v>39</v>
      </c>
      <c r="J21" s="9"/>
      <c r="K21" s="9">
        <v>1396.88</v>
      </c>
      <c r="L21" s="9">
        <f t="shared" si="4"/>
        <v>18.895999999999958</v>
      </c>
      <c r="M21" s="9"/>
      <c r="N21" s="9"/>
      <c r="O21" s="9">
        <v>0</v>
      </c>
      <c r="P21" s="9"/>
      <c r="Q21" s="9">
        <f t="shared" si="5"/>
        <v>283.15520000000004</v>
      </c>
      <c r="R21" s="4">
        <f>12*Q21-O21-F21</f>
        <v>341.42740000000049</v>
      </c>
      <c r="S21" s="4">
        <f>R21+$S$1*Q21</f>
        <v>232.41264800000047</v>
      </c>
      <c r="T21" s="22"/>
      <c r="U21" s="9">
        <f t="shared" si="8"/>
        <v>11.615</v>
      </c>
      <c r="V21" s="9">
        <f t="shared" si="6"/>
        <v>10.79420402662568</v>
      </c>
      <c r="W21" s="9">
        <v>289.96379999999999</v>
      </c>
      <c r="X21" s="9">
        <v>276.86619999999999</v>
      </c>
      <c r="Y21" s="9">
        <v>268.45139999999998</v>
      </c>
      <c r="Z21" s="9">
        <v>275.91120000000001</v>
      </c>
      <c r="AA21" s="9">
        <v>284.72680000000003</v>
      </c>
      <c r="AB21" s="9">
        <v>282.6728</v>
      </c>
      <c r="AC21" s="9">
        <v>268.63920000000002</v>
      </c>
      <c r="AD21" s="9">
        <v>285.46140000000003</v>
      </c>
      <c r="AE21" s="9">
        <v>300.20659999999998</v>
      </c>
      <c r="AF21" s="9">
        <v>291.22340000000003</v>
      </c>
      <c r="AG21" s="9"/>
      <c r="AH21" s="9">
        <f t="shared" si="7"/>
        <v>232</v>
      </c>
      <c r="AI21" t="s">
        <v>74</v>
      </c>
    </row>
    <row r="22" spans="1:35" x14ac:dyDescent="0.25">
      <c r="A22" s="9" t="s">
        <v>75</v>
      </c>
      <c r="B22" s="9" t="s">
        <v>38</v>
      </c>
      <c r="C22" s="9">
        <v>266.45</v>
      </c>
      <c r="D22" s="9">
        <v>148.01499999999999</v>
      </c>
      <c r="E22" s="9">
        <v>188.62</v>
      </c>
      <c r="F22" s="9">
        <v>212.697</v>
      </c>
      <c r="G22" s="6">
        <v>1</v>
      </c>
      <c r="H22" s="9">
        <v>70</v>
      </c>
      <c r="I22" s="9" t="s">
        <v>39</v>
      </c>
      <c r="J22" s="9"/>
      <c r="K22" s="9">
        <v>195.09</v>
      </c>
      <c r="L22" s="9">
        <f t="shared" si="4"/>
        <v>-6.4699999999999989</v>
      </c>
      <c r="M22" s="9"/>
      <c r="N22" s="9"/>
      <c r="O22" s="9">
        <v>119.1379</v>
      </c>
      <c r="P22" s="9"/>
      <c r="Q22" s="9">
        <f t="shared" si="5"/>
        <v>37.724000000000004</v>
      </c>
      <c r="R22" s="4">
        <f>12*Q22-O22-F22</f>
        <v>120.85310000000004</v>
      </c>
      <c r="S22" s="4">
        <f>R22</f>
        <v>120.85310000000004</v>
      </c>
      <c r="T22" s="22"/>
      <c r="U22" s="9">
        <f t="shared" si="8"/>
        <v>12</v>
      </c>
      <c r="V22" s="9">
        <f t="shared" si="6"/>
        <v>8.796386915491464</v>
      </c>
      <c r="W22" s="9">
        <v>35.753</v>
      </c>
      <c r="X22" s="9">
        <v>35.983400000000003</v>
      </c>
      <c r="Y22" s="9">
        <v>37.6586</v>
      </c>
      <c r="Z22" s="9">
        <v>29.225200000000001</v>
      </c>
      <c r="AA22" s="9">
        <v>30.331199999999999</v>
      </c>
      <c r="AB22" s="9">
        <v>41.240400000000001</v>
      </c>
      <c r="AC22" s="9">
        <v>40.357600000000012</v>
      </c>
      <c r="AD22" s="9">
        <v>31.3566</v>
      </c>
      <c r="AE22" s="9">
        <v>32.416400000000003</v>
      </c>
      <c r="AF22" s="9">
        <v>50.782600000000002</v>
      </c>
      <c r="AG22" s="9"/>
      <c r="AH22" s="9">
        <f t="shared" si="7"/>
        <v>121</v>
      </c>
      <c r="AI22" t="s">
        <v>76</v>
      </c>
    </row>
    <row r="23" spans="1:35" x14ac:dyDescent="0.25">
      <c r="A23" s="9" t="s">
        <v>77</v>
      </c>
      <c r="B23" s="9" t="s">
        <v>38</v>
      </c>
      <c r="C23" s="9">
        <v>400.46600000000001</v>
      </c>
      <c r="D23" s="9">
        <v>732.25900000000001</v>
      </c>
      <c r="E23" s="9">
        <v>399.87799999999999</v>
      </c>
      <c r="F23" s="9">
        <v>689.09100000000001</v>
      </c>
      <c r="G23" s="6">
        <v>1</v>
      </c>
      <c r="H23" s="9">
        <v>70</v>
      </c>
      <c r="I23" s="9" t="s">
        <v>39</v>
      </c>
      <c r="J23" s="9"/>
      <c r="K23" s="9">
        <v>397.29</v>
      </c>
      <c r="L23" s="9">
        <f t="shared" si="4"/>
        <v>2.5879999999999654</v>
      </c>
      <c r="M23" s="9"/>
      <c r="N23" s="9"/>
      <c r="O23" s="9">
        <v>6.4433199999998578</v>
      </c>
      <c r="P23" s="9"/>
      <c r="Q23" s="9">
        <f t="shared" si="5"/>
        <v>79.9756</v>
      </c>
      <c r="R23" s="4">
        <f>12*Q23-O23-F23</f>
        <v>264.17288000000019</v>
      </c>
      <c r="S23" s="4">
        <f>R23+$S$1*Q23</f>
        <v>233.38227400000019</v>
      </c>
      <c r="T23" s="22"/>
      <c r="U23" s="9">
        <f t="shared" si="8"/>
        <v>11.615</v>
      </c>
      <c r="V23" s="9">
        <f t="shared" si="6"/>
        <v>8.6968315336177522</v>
      </c>
      <c r="W23" s="9">
        <v>79.880200000000002</v>
      </c>
      <c r="X23" s="9">
        <v>85.579599999999999</v>
      </c>
      <c r="Y23" s="9">
        <v>89.1798</v>
      </c>
      <c r="Z23" s="9">
        <v>90.862200000000001</v>
      </c>
      <c r="AA23" s="9">
        <v>89.53540000000001</v>
      </c>
      <c r="AB23" s="9">
        <v>90.167400000000001</v>
      </c>
      <c r="AC23" s="9">
        <v>90.783199999999994</v>
      </c>
      <c r="AD23" s="9">
        <v>90.342600000000004</v>
      </c>
      <c r="AE23" s="9">
        <v>100.7072</v>
      </c>
      <c r="AF23" s="9">
        <v>100.1114</v>
      </c>
      <c r="AG23" s="9"/>
      <c r="AH23" s="9">
        <f t="shared" si="7"/>
        <v>233</v>
      </c>
      <c r="AI23" t="s">
        <v>78</v>
      </c>
    </row>
    <row r="24" spans="1:35" x14ac:dyDescent="0.25">
      <c r="A24" s="10" t="s">
        <v>79</v>
      </c>
      <c r="B24" s="10" t="s">
        <v>38</v>
      </c>
      <c r="C24" s="10"/>
      <c r="D24" s="10"/>
      <c r="E24" s="10"/>
      <c r="F24" s="10"/>
      <c r="G24" s="11">
        <v>0</v>
      </c>
      <c r="H24" s="10"/>
      <c r="I24" s="10" t="s">
        <v>39</v>
      </c>
      <c r="J24" s="10"/>
      <c r="K24" s="10"/>
      <c r="L24" s="10">
        <f t="shared" si="4"/>
        <v>0</v>
      </c>
      <c r="M24" s="10"/>
      <c r="N24" s="10"/>
      <c r="O24" s="10">
        <v>0</v>
      </c>
      <c r="P24" s="10"/>
      <c r="Q24" s="10">
        <f t="shared" si="5"/>
        <v>0</v>
      </c>
      <c r="R24" s="12"/>
      <c r="S24" s="4">
        <f>R24</f>
        <v>0</v>
      </c>
      <c r="T24" s="22"/>
      <c r="U24" s="9" t="e">
        <f t="shared" si="8"/>
        <v>#DIV/0!</v>
      </c>
      <c r="V24" s="10" t="e">
        <f t="shared" si="6"/>
        <v>#DIV/0!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 t="s">
        <v>47</v>
      </c>
      <c r="AH24" s="9">
        <f t="shared" si="7"/>
        <v>0</v>
      </c>
      <c r="AI24" t="s">
        <v>80</v>
      </c>
    </row>
    <row r="25" spans="1:35" x14ac:dyDescent="0.25">
      <c r="A25" s="9" t="s">
        <v>81</v>
      </c>
      <c r="B25" s="9" t="s">
        <v>38</v>
      </c>
      <c r="C25" s="9">
        <v>831.48</v>
      </c>
      <c r="D25" s="9">
        <v>311.94200000000001</v>
      </c>
      <c r="E25" s="9">
        <v>617.15200000000004</v>
      </c>
      <c r="F25" s="9">
        <v>467.16500000000002</v>
      </c>
      <c r="G25" s="6">
        <v>1</v>
      </c>
      <c r="H25" s="9">
        <v>70</v>
      </c>
      <c r="I25" s="8" t="s">
        <v>82</v>
      </c>
      <c r="J25" s="9"/>
      <c r="K25" s="9">
        <v>610.91</v>
      </c>
      <c r="L25" s="9">
        <f t="shared" si="4"/>
        <v>6.2420000000000755</v>
      </c>
      <c r="M25" s="9"/>
      <c r="N25" s="9"/>
      <c r="O25" s="9">
        <v>451.70625999999959</v>
      </c>
      <c r="P25" s="18">
        <v>0</v>
      </c>
      <c r="Q25" s="9">
        <f t="shared" si="5"/>
        <v>123.43040000000001</v>
      </c>
      <c r="R25" s="4">
        <f>12*Q25-O25-F25</f>
        <v>562.29354000000058</v>
      </c>
      <c r="S25" s="4">
        <f>R25</f>
        <v>562.29354000000058</v>
      </c>
      <c r="T25" s="22"/>
      <c r="U25" s="9">
        <f t="shared" si="8"/>
        <v>12.000000000000002</v>
      </c>
      <c r="V25" s="9">
        <f t="shared" si="6"/>
        <v>7.4444485313180513</v>
      </c>
      <c r="W25" s="9">
        <v>120.05240000000001</v>
      </c>
      <c r="X25" s="9">
        <v>127.38039999999999</v>
      </c>
      <c r="Y25" s="9">
        <v>123.4118</v>
      </c>
      <c r="Z25" s="9">
        <v>117.6122</v>
      </c>
      <c r="AA25" s="9">
        <v>125.7372</v>
      </c>
      <c r="AB25" s="9">
        <v>138.38999999999999</v>
      </c>
      <c r="AC25" s="9">
        <v>139.70419999999999</v>
      </c>
      <c r="AD25" s="9">
        <v>135.19220000000001</v>
      </c>
      <c r="AE25" s="9">
        <v>130.17939999999999</v>
      </c>
      <c r="AF25" s="9">
        <v>121.59180000000001</v>
      </c>
      <c r="AG25" s="9"/>
      <c r="AH25" s="9">
        <f t="shared" si="7"/>
        <v>562</v>
      </c>
      <c r="AI25" t="s">
        <v>83</v>
      </c>
    </row>
    <row r="26" spans="1:35" x14ac:dyDescent="0.25">
      <c r="A26" s="9" t="s">
        <v>84</v>
      </c>
      <c r="B26" s="9" t="s">
        <v>38</v>
      </c>
      <c r="C26" s="9">
        <v>196.523</v>
      </c>
      <c r="D26" s="9">
        <v>134.51499999999999</v>
      </c>
      <c r="E26" s="9">
        <v>126.72799999999999</v>
      </c>
      <c r="F26" s="9">
        <v>204.31</v>
      </c>
      <c r="G26" s="6">
        <v>1</v>
      </c>
      <c r="H26" s="9">
        <v>40</v>
      </c>
      <c r="I26" s="9" t="s">
        <v>39</v>
      </c>
      <c r="J26" s="9"/>
      <c r="K26" s="9">
        <v>121.1</v>
      </c>
      <c r="L26" s="9">
        <f t="shared" si="4"/>
        <v>5.6280000000000001</v>
      </c>
      <c r="M26" s="9"/>
      <c r="N26" s="9"/>
      <c r="O26" s="9">
        <v>78.560999999999922</v>
      </c>
      <c r="P26" s="9"/>
      <c r="Q26" s="9">
        <f t="shared" si="5"/>
        <v>25.345599999999997</v>
      </c>
      <c r="R26" s="4">
        <f>12*Q26-O26-F26</f>
        <v>21.276200000000074</v>
      </c>
      <c r="S26" s="4">
        <f>R26</f>
        <v>21.276200000000074</v>
      </c>
      <c r="T26" s="22"/>
      <c r="U26" s="9">
        <f t="shared" si="8"/>
        <v>12.000000000000002</v>
      </c>
      <c r="V26" s="9">
        <f t="shared" si="6"/>
        <v>11.160556467394734</v>
      </c>
      <c r="W26" s="9">
        <v>25.345600000000001</v>
      </c>
      <c r="X26" s="9">
        <v>29.334199999999999</v>
      </c>
      <c r="Y26" s="9">
        <v>30.359200000000001</v>
      </c>
      <c r="Z26" s="9">
        <v>1.6180000000000001</v>
      </c>
      <c r="AA26" s="9">
        <v>0.88819999999999999</v>
      </c>
      <c r="AB26" s="9">
        <v>28.8462</v>
      </c>
      <c r="AC26" s="9">
        <v>28.550999999999998</v>
      </c>
      <c r="AD26" s="9">
        <v>16.459599999999998</v>
      </c>
      <c r="AE26" s="9">
        <v>16.6052</v>
      </c>
      <c r="AF26" s="9">
        <v>15.1754</v>
      </c>
      <c r="AG26" s="9"/>
      <c r="AH26" s="9">
        <f t="shared" si="7"/>
        <v>21</v>
      </c>
      <c r="AI26" t="s">
        <v>85</v>
      </c>
    </row>
    <row r="27" spans="1:35" x14ac:dyDescent="0.25">
      <c r="A27" s="9" t="s">
        <v>86</v>
      </c>
      <c r="B27" s="9" t="s">
        <v>38</v>
      </c>
      <c r="C27" s="9">
        <v>219.49799999999999</v>
      </c>
      <c r="D27" s="9">
        <v>440.79899999999998</v>
      </c>
      <c r="E27" s="9">
        <v>267.68200000000002</v>
      </c>
      <c r="F27" s="9">
        <v>362.87599999999998</v>
      </c>
      <c r="G27" s="6">
        <v>1</v>
      </c>
      <c r="H27" s="9">
        <v>30</v>
      </c>
      <c r="I27" s="9" t="s">
        <v>39</v>
      </c>
      <c r="J27" s="9"/>
      <c r="K27" s="9">
        <v>273.60000000000002</v>
      </c>
      <c r="L27" s="9">
        <f t="shared" si="4"/>
        <v>-5.9180000000000064</v>
      </c>
      <c r="M27" s="9"/>
      <c r="N27" s="9"/>
      <c r="O27" s="9">
        <v>28.620400000000071</v>
      </c>
      <c r="P27" s="9"/>
      <c r="Q27" s="9">
        <f t="shared" si="5"/>
        <v>53.5364</v>
      </c>
      <c r="R27" s="4">
        <f>12*Q27-O27-F27</f>
        <v>250.94039999999995</v>
      </c>
      <c r="S27" s="4">
        <f>R27+$S$1*Q27</f>
        <v>230.32888599999995</v>
      </c>
      <c r="T27" s="22"/>
      <c r="U27" s="9">
        <f t="shared" si="8"/>
        <v>11.615</v>
      </c>
      <c r="V27" s="9">
        <f t="shared" si="6"/>
        <v>7.3127143401498804</v>
      </c>
      <c r="W27" s="9">
        <v>46.989400000000003</v>
      </c>
      <c r="X27" s="9">
        <v>50.754199999999997</v>
      </c>
      <c r="Y27" s="9">
        <v>52.681199999999997</v>
      </c>
      <c r="Z27" s="9">
        <v>61.315399999999997</v>
      </c>
      <c r="AA27" s="9">
        <v>65.999600000000001</v>
      </c>
      <c r="AB27" s="9">
        <v>56.640599999999992</v>
      </c>
      <c r="AC27" s="9">
        <v>57.695599999999999</v>
      </c>
      <c r="AD27" s="9">
        <v>53.313800000000001</v>
      </c>
      <c r="AE27" s="9">
        <v>47.676200000000001</v>
      </c>
      <c r="AF27" s="9">
        <v>38.641599999999997</v>
      </c>
      <c r="AG27" s="9"/>
      <c r="AH27" s="9">
        <f t="shared" si="7"/>
        <v>230</v>
      </c>
      <c r="AI27" t="s">
        <v>87</v>
      </c>
    </row>
    <row r="28" spans="1:35" x14ac:dyDescent="0.25">
      <c r="A28" s="9" t="s">
        <v>88</v>
      </c>
      <c r="B28" s="9" t="s">
        <v>38</v>
      </c>
      <c r="C28" s="9">
        <v>10.457000000000001</v>
      </c>
      <c r="D28" s="9"/>
      <c r="E28" s="9">
        <v>3.1349999999999998</v>
      </c>
      <c r="F28" s="9">
        <v>0.23499999999999999</v>
      </c>
      <c r="G28" s="6">
        <v>1</v>
      </c>
      <c r="H28" s="9">
        <v>40</v>
      </c>
      <c r="I28" s="8" t="s">
        <v>82</v>
      </c>
      <c r="J28" s="9"/>
      <c r="K28" s="9">
        <v>98.7</v>
      </c>
      <c r="L28" s="9">
        <f t="shared" si="4"/>
        <v>-95.564999999999998</v>
      </c>
      <c r="M28" s="9"/>
      <c r="N28" s="9"/>
      <c r="O28" s="9">
        <v>100</v>
      </c>
      <c r="P28" s="9"/>
      <c r="Q28" s="9">
        <f t="shared" si="5"/>
        <v>0.627</v>
      </c>
      <c r="R28" s="4">
        <v>100</v>
      </c>
      <c r="S28" s="4">
        <f t="shared" ref="S28:S33" si="9">R28</f>
        <v>100</v>
      </c>
      <c r="T28" s="22"/>
      <c r="U28" s="9">
        <f t="shared" si="8"/>
        <v>319.35406698564594</v>
      </c>
      <c r="V28" s="9">
        <f t="shared" si="6"/>
        <v>159.86443381180223</v>
      </c>
      <c r="W28" s="9">
        <v>13.4148</v>
      </c>
      <c r="X28" s="9">
        <v>42.743000000000002</v>
      </c>
      <c r="Y28" s="9">
        <v>41.494799999999998</v>
      </c>
      <c r="Z28" s="9">
        <v>42.447800000000001</v>
      </c>
      <c r="AA28" s="9">
        <v>46.859200000000001</v>
      </c>
      <c r="AB28" s="9">
        <v>44.1312</v>
      </c>
      <c r="AC28" s="9">
        <v>43.206599999999987</v>
      </c>
      <c r="AD28" s="9">
        <v>39.3598</v>
      </c>
      <c r="AE28" s="9">
        <v>38.984400000000001</v>
      </c>
      <c r="AF28" s="9">
        <v>38.6952</v>
      </c>
      <c r="AG28" s="9"/>
      <c r="AH28" s="9">
        <f t="shared" si="7"/>
        <v>100</v>
      </c>
      <c r="AI28" t="s">
        <v>89</v>
      </c>
    </row>
    <row r="29" spans="1:35" x14ac:dyDescent="0.25">
      <c r="A29" s="9" t="s">
        <v>90</v>
      </c>
      <c r="B29" s="9" t="s">
        <v>38</v>
      </c>
      <c r="C29" s="9">
        <v>1831.5609999999999</v>
      </c>
      <c r="D29" s="9">
        <v>1119.5640000000001</v>
      </c>
      <c r="E29" s="9">
        <v>2045.9169999999999</v>
      </c>
      <c r="F29" s="9">
        <v>705.82799999999997</v>
      </c>
      <c r="G29" s="6">
        <v>1</v>
      </c>
      <c r="H29" s="9">
        <v>30</v>
      </c>
      <c r="I29" s="8" t="s">
        <v>82</v>
      </c>
      <c r="J29" s="9"/>
      <c r="K29" s="9">
        <v>2059.5320000000002</v>
      </c>
      <c r="L29" s="9">
        <f t="shared" si="4"/>
        <v>-13.615000000000236</v>
      </c>
      <c r="M29" s="9"/>
      <c r="N29" s="9"/>
      <c r="O29" s="9">
        <v>1073.02296</v>
      </c>
      <c r="P29" s="9"/>
      <c r="Q29" s="9">
        <f t="shared" si="5"/>
        <v>409.18340000000001</v>
      </c>
      <c r="R29" s="4">
        <v>900</v>
      </c>
      <c r="S29" s="4">
        <f t="shared" si="9"/>
        <v>900</v>
      </c>
      <c r="T29" s="22"/>
      <c r="U29" s="9">
        <f t="shared" si="8"/>
        <v>6.5468221829135782</v>
      </c>
      <c r="V29" s="9">
        <f t="shared" si="6"/>
        <v>4.3473194660389449</v>
      </c>
      <c r="W29" s="9">
        <v>406.64479999999998</v>
      </c>
      <c r="X29" s="9">
        <v>471.33839999999998</v>
      </c>
      <c r="Y29" s="9">
        <v>480.87979999999999</v>
      </c>
      <c r="Z29" s="9">
        <v>213.43700000000001</v>
      </c>
      <c r="AA29" s="9">
        <v>215.16399999999999</v>
      </c>
      <c r="AB29" s="9">
        <v>450.7</v>
      </c>
      <c r="AC29" s="9">
        <v>450.23039999999997</v>
      </c>
      <c r="AD29" s="9">
        <v>427.48280000000011</v>
      </c>
      <c r="AE29" s="9">
        <v>418.57639999999998</v>
      </c>
      <c r="AF29" s="9">
        <v>396.39859999999999</v>
      </c>
      <c r="AG29" s="9"/>
      <c r="AH29" s="9">
        <f t="shared" si="7"/>
        <v>900</v>
      </c>
      <c r="AI29" t="s">
        <v>91</v>
      </c>
    </row>
    <row r="30" spans="1:35" x14ac:dyDescent="0.25">
      <c r="A30" s="10" t="s">
        <v>92</v>
      </c>
      <c r="B30" s="10" t="s">
        <v>38</v>
      </c>
      <c r="C30" s="10">
        <v>0.437</v>
      </c>
      <c r="D30" s="10"/>
      <c r="E30" s="10"/>
      <c r="F30" s="10">
        <v>0.437</v>
      </c>
      <c r="G30" s="11">
        <v>0</v>
      </c>
      <c r="H30" s="10">
        <v>45</v>
      </c>
      <c r="I30" s="10" t="s">
        <v>60</v>
      </c>
      <c r="J30" s="10"/>
      <c r="K30" s="10">
        <v>2.6</v>
      </c>
      <c r="L30" s="10">
        <f t="shared" si="4"/>
        <v>-2.6</v>
      </c>
      <c r="M30" s="10"/>
      <c r="N30" s="10"/>
      <c r="O30" s="10">
        <v>0</v>
      </c>
      <c r="P30" s="10"/>
      <c r="Q30" s="10">
        <f t="shared" si="5"/>
        <v>0</v>
      </c>
      <c r="R30" s="12"/>
      <c r="S30" s="4">
        <f t="shared" si="9"/>
        <v>0</v>
      </c>
      <c r="T30" s="22"/>
      <c r="U30" s="9" t="e">
        <f t="shared" si="8"/>
        <v>#DIV/0!</v>
      </c>
      <c r="V30" s="10" t="e">
        <f t="shared" si="6"/>
        <v>#DIV/0!</v>
      </c>
      <c r="W30" s="10">
        <v>0.26</v>
      </c>
      <c r="X30" s="10">
        <v>1.5546</v>
      </c>
      <c r="Y30" s="10">
        <v>4.6036000000000001</v>
      </c>
      <c r="Z30" s="10">
        <v>4.6284000000000001</v>
      </c>
      <c r="AA30" s="10">
        <v>3.6878000000000002</v>
      </c>
      <c r="AB30" s="10">
        <v>5.8213999999999997</v>
      </c>
      <c r="AC30" s="10">
        <v>3.9933999999999998</v>
      </c>
      <c r="AD30" s="10">
        <v>2.5615999999999999</v>
      </c>
      <c r="AE30" s="10">
        <v>5.5739999999999998</v>
      </c>
      <c r="AF30" s="10">
        <v>5.3944000000000001</v>
      </c>
      <c r="AG30" s="10"/>
      <c r="AH30" s="9">
        <f t="shared" si="7"/>
        <v>0</v>
      </c>
      <c r="AI30" t="s">
        <v>93</v>
      </c>
    </row>
    <row r="31" spans="1:35" x14ac:dyDescent="0.25">
      <c r="A31" s="10" t="s">
        <v>94</v>
      </c>
      <c r="B31" s="10" t="s">
        <v>38</v>
      </c>
      <c r="C31" s="10">
        <v>-0.25700000000000001</v>
      </c>
      <c r="D31" s="10"/>
      <c r="E31" s="10"/>
      <c r="F31" s="10">
        <v>-0.25700000000000001</v>
      </c>
      <c r="G31" s="11">
        <v>0</v>
      </c>
      <c r="H31" s="10">
        <v>40</v>
      </c>
      <c r="I31" s="10" t="s">
        <v>60</v>
      </c>
      <c r="J31" s="10"/>
      <c r="K31" s="10">
        <v>36.4</v>
      </c>
      <c r="L31" s="10">
        <f t="shared" si="4"/>
        <v>-36.4</v>
      </c>
      <c r="M31" s="10"/>
      <c r="N31" s="10"/>
      <c r="O31" s="10">
        <v>0</v>
      </c>
      <c r="P31" s="10"/>
      <c r="Q31" s="10">
        <f t="shared" si="5"/>
        <v>0</v>
      </c>
      <c r="R31" s="12"/>
      <c r="S31" s="4">
        <f t="shared" si="9"/>
        <v>0</v>
      </c>
      <c r="T31" s="22"/>
      <c r="U31" s="9" t="e">
        <f t="shared" si="8"/>
        <v>#DIV/0!</v>
      </c>
      <c r="V31" s="10" t="e">
        <f t="shared" si="6"/>
        <v>#DIV/0!</v>
      </c>
      <c r="W31" s="10">
        <v>0</v>
      </c>
      <c r="X31" s="10">
        <v>0.73980000000000001</v>
      </c>
      <c r="Y31" s="10">
        <v>1.2958000000000001</v>
      </c>
      <c r="Z31" s="10">
        <v>12.6168</v>
      </c>
      <c r="AA31" s="10">
        <v>11.9848</v>
      </c>
      <c r="AB31" s="10">
        <v>17.542200000000001</v>
      </c>
      <c r="AC31" s="10">
        <v>20.3004</v>
      </c>
      <c r="AD31" s="10">
        <v>11.212</v>
      </c>
      <c r="AE31" s="10">
        <v>8.2512000000000008</v>
      </c>
      <c r="AF31" s="10">
        <v>7.6128</v>
      </c>
      <c r="AG31" s="10"/>
      <c r="AH31" s="9">
        <f t="shared" si="7"/>
        <v>0</v>
      </c>
      <c r="AI31" t="s">
        <v>95</v>
      </c>
    </row>
    <row r="32" spans="1:35" x14ac:dyDescent="0.25">
      <c r="A32" s="9" t="s">
        <v>96</v>
      </c>
      <c r="B32" s="9" t="s">
        <v>38</v>
      </c>
      <c r="C32" s="9">
        <v>3.7480000000000002</v>
      </c>
      <c r="D32" s="9"/>
      <c r="E32" s="9">
        <v>-1.012</v>
      </c>
      <c r="F32" s="9">
        <v>3.7480000000000002</v>
      </c>
      <c r="G32" s="6">
        <v>1</v>
      </c>
      <c r="H32" s="9">
        <v>40</v>
      </c>
      <c r="I32" s="8" t="s">
        <v>82</v>
      </c>
      <c r="J32" s="9"/>
      <c r="K32" s="9">
        <v>673.6</v>
      </c>
      <c r="L32" s="9">
        <f t="shared" si="4"/>
        <v>-674.61199999999997</v>
      </c>
      <c r="M32" s="9"/>
      <c r="N32" s="9"/>
      <c r="O32" s="9">
        <v>1000</v>
      </c>
      <c r="P32" s="9"/>
      <c r="Q32" s="9">
        <f t="shared" si="5"/>
        <v>-0.2024</v>
      </c>
      <c r="R32" s="4">
        <v>1000</v>
      </c>
      <c r="S32" s="4">
        <f t="shared" si="9"/>
        <v>1000</v>
      </c>
      <c r="T32" s="22"/>
      <c r="U32" s="9">
        <f t="shared" si="8"/>
        <v>-9899.9407114624519</v>
      </c>
      <c r="V32" s="9">
        <f t="shared" si="6"/>
        <v>-4959.229249011858</v>
      </c>
      <c r="W32" s="9">
        <v>-0.22040000000000001</v>
      </c>
      <c r="X32" s="9">
        <v>466.95479999999998</v>
      </c>
      <c r="Y32" s="9">
        <v>466.65679999999998</v>
      </c>
      <c r="Z32" s="9">
        <v>-1.0442</v>
      </c>
      <c r="AA32" s="9">
        <v>170.2936</v>
      </c>
      <c r="AB32" s="9">
        <v>540.2518</v>
      </c>
      <c r="AC32" s="9">
        <v>543.82479999999998</v>
      </c>
      <c r="AD32" s="9">
        <v>632.09960000000001</v>
      </c>
      <c r="AE32" s="9">
        <v>771.26760000000002</v>
      </c>
      <c r="AF32" s="9">
        <v>511.33100000000002</v>
      </c>
      <c r="AG32" s="9"/>
      <c r="AH32" s="9">
        <f t="shared" si="7"/>
        <v>1000</v>
      </c>
      <c r="AI32" t="s">
        <v>97</v>
      </c>
    </row>
    <row r="33" spans="1:35" x14ac:dyDescent="0.25">
      <c r="A33" s="10" t="s">
        <v>98</v>
      </c>
      <c r="B33" s="10" t="s">
        <v>38</v>
      </c>
      <c r="C33" s="10"/>
      <c r="D33" s="10"/>
      <c r="E33" s="10"/>
      <c r="F33" s="10"/>
      <c r="G33" s="11">
        <v>0</v>
      </c>
      <c r="H33" s="10"/>
      <c r="I33" s="10" t="s">
        <v>39</v>
      </c>
      <c r="J33" s="10"/>
      <c r="K33" s="10"/>
      <c r="L33" s="10">
        <f t="shared" si="4"/>
        <v>0</v>
      </c>
      <c r="M33" s="10"/>
      <c r="N33" s="10"/>
      <c r="O33" s="10">
        <v>0</v>
      </c>
      <c r="P33" s="10"/>
      <c r="Q33" s="10">
        <f t="shared" si="5"/>
        <v>0</v>
      </c>
      <c r="R33" s="12"/>
      <c r="S33" s="4">
        <f t="shared" si="9"/>
        <v>0</v>
      </c>
      <c r="T33" s="22"/>
      <c r="U33" s="9" t="e">
        <f t="shared" si="8"/>
        <v>#DIV/0!</v>
      </c>
      <c r="V33" s="10" t="e">
        <f t="shared" si="6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47</v>
      </c>
      <c r="AH33" s="9">
        <f t="shared" si="7"/>
        <v>0</v>
      </c>
      <c r="AI33" t="s">
        <v>99</v>
      </c>
    </row>
    <row r="34" spans="1:35" x14ac:dyDescent="0.25">
      <c r="A34" s="9" t="s">
        <v>100</v>
      </c>
      <c r="B34" s="9" t="s">
        <v>38</v>
      </c>
      <c r="C34" s="9">
        <v>101.932</v>
      </c>
      <c r="D34" s="9">
        <v>446.892</v>
      </c>
      <c r="E34" s="9">
        <v>237.10900000000001</v>
      </c>
      <c r="F34" s="9">
        <v>284.95699999999999</v>
      </c>
      <c r="G34" s="6">
        <v>1</v>
      </c>
      <c r="H34" s="9">
        <v>30</v>
      </c>
      <c r="I34" s="9" t="s">
        <v>39</v>
      </c>
      <c r="J34" s="9"/>
      <c r="K34" s="9">
        <v>240.5</v>
      </c>
      <c r="L34" s="9">
        <f t="shared" si="4"/>
        <v>-3.3909999999999911</v>
      </c>
      <c r="M34" s="9"/>
      <c r="N34" s="9"/>
      <c r="O34" s="9">
        <v>50.253300000000138</v>
      </c>
      <c r="P34" s="9"/>
      <c r="Q34" s="9">
        <f t="shared" si="5"/>
        <v>47.421800000000005</v>
      </c>
      <c r="R34" s="4">
        <f>12*Q34-O34-F34</f>
        <v>233.85129999999992</v>
      </c>
      <c r="S34" s="4">
        <f>R34+$S$1*Q34</f>
        <v>215.59390699999992</v>
      </c>
      <c r="T34" s="22"/>
      <c r="U34" s="9">
        <f t="shared" si="8"/>
        <v>11.614999999999998</v>
      </c>
      <c r="V34" s="9">
        <f t="shared" si="6"/>
        <v>7.0686962536217539</v>
      </c>
      <c r="W34" s="9">
        <v>41.256</v>
      </c>
      <c r="X34" s="9">
        <v>46.957599999999999</v>
      </c>
      <c r="Y34" s="9">
        <v>52.282200000000003</v>
      </c>
      <c r="Z34" s="9">
        <v>40.8566</v>
      </c>
      <c r="AA34" s="9">
        <v>32.737400000000001</v>
      </c>
      <c r="AB34" s="9">
        <v>46.584200000000003</v>
      </c>
      <c r="AC34" s="9">
        <v>55.434800000000003</v>
      </c>
      <c r="AD34" s="9">
        <v>52.496000000000002</v>
      </c>
      <c r="AE34" s="9">
        <v>46.775199999999998</v>
      </c>
      <c r="AF34" s="9">
        <v>42.855600000000003</v>
      </c>
      <c r="AG34" s="9"/>
      <c r="AH34" s="9">
        <f t="shared" si="7"/>
        <v>216</v>
      </c>
      <c r="AI34" t="s">
        <v>101</v>
      </c>
    </row>
    <row r="35" spans="1:35" x14ac:dyDescent="0.25">
      <c r="A35" s="10" t="s">
        <v>102</v>
      </c>
      <c r="B35" s="10" t="s">
        <v>38</v>
      </c>
      <c r="C35" s="10"/>
      <c r="D35" s="10"/>
      <c r="E35" s="10"/>
      <c r="F35" s="10"/>
      <c r="G35" s="11">
        <v>0</v>
      </c>
      <c r="H35" s="10"/>
      <c r="I35" s="10" t="s">
        <v>39</v>
      </c>
      <c r="J35" s="10"/>
      <c r="K35" s="10"/>
      <c r="L35" s="10">
        <f t="shared" si="4"/>
        <v>0</v>
      </c>
      <c r="M35" s="10"/>
      <c r="N35" s="10"/>
      <c r="O35" s="10">
        <v>0</v>
      </c>
      <c r="P35" s="10"/>
      <c r="Q35" s="10">
        <f t="shared" si="5"/>
        <v>0</v>
      </c>
      <c r="R35" s="12"/>
      <c r="S35" s="4">
        <f>R35</f>
        <v>0</v>
      </c>
      <c r="T35" s="22"/>
      <c r="U35" s="9" t="e">
        <f t="shared" si="8"/>
        <v>#DIV/0!</v>
      </c>
      <c r="V35" s="10" t="e">
        <f t="shared" si="6"/>
        <v>#DIV/0!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 t="s">
        <v>47</v>
      </c>
      <c r="AH35" s="9">
        <f t="shared" si="7"/>
        <v>0</v>
      </c>
      <c r="AI35" t="s">
        <v>103</v>
      </c>
    </row>
    <row r="36" spans="1:35" x14ac:dyDescent="0.25">
      <c r="A36" s="10" t="s">
        <v>104</v>
      </c>
      <c r="B36" s="10" t="s">
        <v>38</v>
      </c>
      <c r="C36" s="10"/>
      <c r="D36" s="10"/>
      <c r="E36" s="10"/>
      <c r="F36" s="10"/>
      <c r="G36" s="11">
        <v>0</v>
      </c>
      <c r="H36" s="10"/>
      <c r="I36" s="10" t="s">
        <v>39</v>
      </c>
      <c r="J36" s="10"/>
      <c r="K36" s="10"/>
      <c r="L36" s="10">
        <f t="shared" si="4"/>
        <v>0</v>
      </c>
      <c r="M36" s="10"/>
      <c r="N36" s="10"/>
      <c r="O36" s="10">
        <v>0</v>
      </c>
      <c r="P36" s="10"/>
      <c r="Q36" s="10">
        <f t="shared" si="5"/>
        <v>0</v>
      </c>
      <c r="R36" s="12"/>
      <c r="S36" s="4">
        <f>R36</f>
        <v>0</v>
      </c>
      <c r="T36" s="22"/>
      <c r="U36" s="9" t="e">
        <f t="shared" si="8"/>
        <v>#DIV/0!</v>
      </c>
      <c r="V36" s="10" t="e">
        <f t="shared" si="6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 t="s">
        <v>47</v>
      </c>
      <c r="AH36" s="9">
        <f t="shared" si="7"/>
        <v>0</v>
      </c>
      <c r="AI36" t="s">
        <v>105</v>
      </c>
    </row>
    <row r="37" spans="1:35" x14ac:dyDescent="0.25">
      <c r="A37" s="9" t="s">
        <v>106</v>
      </c>
      <c r="B37" s="9" t="s">
        <v>46</v>
      </c>
      <c r="C37" s="9">
        <v>2183.94</v>
      </c>
      <c r="D37" s="9">
        <v>3810</v>
      </c>
      <c r="E37" s="9">
        <v>4787</v>
      </c>
      <c r="F37" s="9">
        <v>1143.94</v>
      </c>
      <c r="G37" s="6">
        <v>0.4</v>
      </c>
      <c r="H37" s="9">
        <v>45</v>
      </c>
      <c r="I37" s="8" t="s">
        <v>82</v>
      </c>
      <c r="J37" s="9"/>
      <c r="K37" s="9">
        <v>4857</v>
      </c>
      <c r="L37" s="9">
        <f t="shared" si="4"/>
        <v>-70</v>
      </c>
      <c r="M37" s="9"/>
      <c r="N37" s="9"/>
      <c r="O37" s="9">
        <v>1918.46</v>
      </c>
      <c r="P37" s="9"/>
      <c r="Q37" s="9">
        <f t="shared" si="5"/>
        <v>957.4</v>
      </c>
      <c r="R37" s="4">
        <v>3000</v>
      </c>
      <c r="S37" s="4">
        <f>R37</f>
        <v>3000</v>
      </c>
      <c r="T37" s="22"/>
      <c r="U37" s="9">
        <f t="shared" si="8"/>
        <v>6.3321495717568412</v>
      </c>
      <c r="V37" s="9">
        <f t="shared" si="6"/>
        <v>3.1986630457489036</v>
      </c>
      <c r="W37" s="9">
        <v>972</v>
      </c>
      <c r="X37" s="9">
        <v>989.81200000000013</v>
      </c>
      <c r="Y37" s="9">
        <v>974.61200000000008</v>
      </c>
      <c r="Z37" s="9">
        <v>922.4</v>
      </c>
      <c r="AA37" s="9">
        <v>935.8</v>
      </c>
      <c r="AB37" s="9">
        <v>879.4</v>
      </c>
      <c r="AC37" s="9">
        <v>846.35859999999991</v>
      </c>
      <c r="AD37" s="9">
        <v>867.75859999999989</v>
      </c>
      <c r="AE37" s="9">
        <v>893.8</v>
      </c>
      <c r="AF37" s="9">
        <v>890.8</v>
      </c>
      <c r="AG37" s="9"/>
      <c r="AH37" s="9">
        <f t="shared" si="7"/>
        <v>1200</v>
      </c>
      <c r="AI37" t="s">
        <v>107</v>
      </c>
    </row>
    <row r="38" spans="1:35" x14ac:dyDescent="0.25">
      <c r="A38" s="9" t="s">
        <v>108</v>
      </c>
      <c r="B38" s="9" t="s">
        <v>46</v>
      </c>
      <c r="C38" s="9">
        <v>719</v>
      </c>
      <c r="D38" s="9">
        <v>200</v>
      </c>
      <c r="E38" s="9">
        <v>527</v>
      </c>
      <c r="F38" s="9">
        <v>382</v>
      </c>
      <c r="G38" s="6">
        <v>0.45</v>
      </c>
      <c r="H38" s="9">
        <v>50</v>
      </c>
      <c r="I38" s="9" t="s">
        <v>39</v>
      </c>
      <c r="J38" s="9"/>
      <c r="K38" s="9">
        <v>529</v>
      </c>
      <c r="L38" s="9">
        <f t="shared" ref="L38:L69" si="10">E38-K38</f>
        <v>-2</v>
      </c>
      <c r="M38" s="9"/>
      <c r="N38" s="9"/>
      <c r="O38" s="9">
        <v>509.06</v>
      </c>
      <c r="P38" s="9"/>
      <c r="Q38" s="9">
        <f t="shared" ref="Q38:Q69" si="11">E38/5</f>
        <v>105.4</v>
      </c>
      <c r="R38" s="4">
        <f>12*Q38-O38-F38</f>
        <v>373.74000000000024</v>
      </c>
      <c r="S38" s="4">
        <f>R38+$S$1*Q38</f>
        <v>333.16100000000023</v>
      </c>
      <c r="T38" s="22"/>
      <c r="U38" s="9">
        <f t="shared" si="8"/>
        <v>11.615000000000002</v>
      </c>
      <c r="V38" s="9">
        <f t="shared" ref="V38:V69" si="12">(F38+O38)/Q38</f>
        <v>8.454079696394686</v>
      </c>
      <c r="W38" s="9">
        <v>102.8</v>
      </c>
      <c r="X38" s="9">
        <v>77.8</v>
      </c>
      <c r="Y38" s="9">
        <v>75</v>
      </c>
      <c r="Z38" s="9">
        <v>65</v>
      </c>
      <c r="AA38" s="9">
        <v>95.6</v>
      </c>
      <c r="AB38" s="9">
        <v>101.8</v>
      </c>
      <c r="AC38" s="9">
        <v>92.4</v>
      </c>
      <c r="AD38" s="9">
        <v>96.2</v>
      </c>
      <c r="AE38" s="9">
        <v>96</v>
      </c>
      <c r="AF38" s="9">
        <v>109.6</v>
      </c>
      <c r="AG38" s="9"/>
      <c r="AH38" s="9">
        <f t="shared" ref="AH38:AH69" si="13">ROUND(G38*S38,0)</f>
        <v>150</v>
      </c>
      <c r="AI38" t="s">
        <v>109</v>
      </c>
    </row>
    <row r="39" spans="1:35" x14ac:dyDescent="0.25">
      <c r="A39" s="9" t="s">
        <v>110</v>
      </c>
      <c r="B39" s="9" t="s">
        <v>46</v>
      </c>
      <c r="C39" s="9">
        <v>354</v>
      </c>
      <c r="D39" s="9">
        <v>1013</v>
      </c>
      <c r="E39" s="9">
        <v>1084</v>
      </c>
      <c r="F39" s="9">
        <v>240</v>
      </c>
      <c r="G39" s="6">
        <v>0.4</v>
      </c>
      <c r="H39" s="9">
        <v>45</v>
      </c>
      <c r="I39" s="8" t="s">
        <v>82</v>
      </c>
      <c r="J39" s="9"/>
      <c r="K39" s="9">
        <v>1236</v>
      </c>
      <c r="L39" s="9">
        <f t="shared" si="10"/>
        <v>-152</v>
      </c>
      <c r="M39" s="9"/>
      <c r="N39" s="9"/>
      <c r="O39" s="9">
        <v>478.05</v>
      </c>
      <c r="P39" s="9"/>
      <c r="Q39" s="9">
        <f t="shared" si="11"/>
        <v>216.8</v>
      </c>
      <c r="R39" s="4">
        <v>500</v>
      </c>
      <c r="S39" s="4">
        <f t="shared" ref="S39:S47" si="14">R39</f>
        <v>500</v>
      </c>
      <c r="T39" s="22"/>
      <c r="U39" s="9">
        <f t="shared" si="8"/>
        <v>5.6183118081180803</v>
      </c>
      <c r="V39" s="9">
        <f t="shared" si="12"/>
        <v>3.3120387453874534</v>
      </c>
      <c r="W39" s="9">
        <v>259</v>
      </c>
      <c r="X39" s="9">
        <v>245.2</v>
      </c>
      <c r="Y39" s="9">
        <v>165.6</v>
      </c>
      <c r="Z39" s="9">
        <v>105.6</v>
      </c>
      <c r="AA39" s="9">
        <v>196.2</v>
      </c>
      <c r="AB39" s="9">
        <v>218.8</v>
      </c>
      <c r="AC39" s="9">
        <v>207.2</v>
      </c>
      <c r="AD39" s="9">
        <v>223</v>
      </c>
      <c r="AE39" s="9">
        <v>237.2</v>
      </c>
      <c r="AF39" s="9">
        <v>222</v>
      </c>
      <c r="AG39" s="9"/>
      <c r="AH39" s="9">
        <f t="shared" si="13"/>
        <v>200</v>
      </c>
      <c r="AI39" t="s">
        <v>111</v>
      </c>
    </row>
    <row r="40" spans="1:35" x14ac:dyDescent="0.25">
      <c r="A40" s="9" t="s">
        <v>112</v>
      </c>
      <c r="B40" s="9" t="s">
        <v>46</v>
      </c>
      <c r="C40" s="9">
        <v>42</v>
      </c>
      <c r="D40" s="9"/>
      <c r="E40" s="9">
        <v>19</v>
      </c>
      <c r="F40" s="9">
        <v>20</v>
      </c>
      <c r="G40" s="6">
        <v>0.4</v>
      </c>
      <c r="H40" s="9">
        <v>40</v>
      </c>
      <c r="I40" s="8" t="s">
        <v>82</v>
      </c>
      <c r="J40" s="9"/>
      <c r="K40" s="9">
        <v>20</v>
      </c>
      <c r="L40" s="9">
        <f t="shared" si="10"/>
        <v>-1</v>
      </c>
      <c r="M40" s="9"/>
      <c r="N40" s="9"/>
      <c r="O40" s="9">
        <v>0</v>
      </c>
      <c r="P40" s="9"/>
      <c r="Q40" s="9">
        <f t="shared" si="11"/>
        <v>3.8</v>
      </c>
      <c r="R40" s="4">
        <f>12*Q40-O40-F40</f>
        <v>25.599999999999994</v>
      </c>
      <c r="S40" s="4">
        <f t="shared" si="14"/>
        <v>25.599999999999994</v>
      </c>
      <c r="T40" s="22"/>
      <c r="U40" s="9">
        <f t="shared" si="8"/>
        <v>11.999999999999998</v>
      </c>
      <c r="V40" s="9">
        <f t="shared" si="12"/>
        <v>5.2631578947368425</v>
      </c>
      <c r="W40" s="9">
        <v>2.6</v>
      </c>
      <c r="X40" s="9">
        <v>3.6</v>
      </c>
      <c r="Y40" s="9">
        <v>2.2000000000000002</v>
      </c>
      <c r="Z40" s="9">
        <v>2.6</v>
      </c>
      <c r="AA40" s="9">
        <v>5.4</v>
      </c>
      <c r="AB40" s="9">
        <v>4</v>
      </c>
      <c r="AC40" s="9">
        <v>1.4</v>
      </c>
      <c r="AD40" s="9">
        <v>2.8</v>
      </c>
      <c r="AE40" s="9">
        <v>2.6</v>
      </c>
      <c r="AF40" s="9">
        <v>0.2</v>
      </c>
      <c r="AG40" s="9"/>
      <c r="AH40" s="9">
        <f t="shared" si="13"/>
        <v>10</v>
      </c>
      <c r="AI40" t="s">
        <v>113</v>
      </c>
    </row>
    <row r="41" spans="1:35" x14ac:dyDescent="0.25">
      <c r="A41" s="9" t="s">
        <v>114</v>
      </c>
      <c r="B41" s="9" t="s">
        <v>38</v>
      </c>
      <c r="C41" s="9">
        <v>0.64700000000000002</v>
      </c>
      <c r="D41" s="9">
        <v>256.16899999999998</v>
      </c>
      <c r="E41" s="9">
        <v>-7.5049999999999999</v>
      </c>
      <c r="F41" s="9">
        <v>256.81599999999997</v>
      </c>
      <c r="G41" s="6">
        <v>1</v>
      </c>
      <c r="H41" s="9">
        <v>45</v>
      </c>
      <c r="I41" s="9" t="s">
        <v>39</v>
      </c>
      <c r="J41" s="9"/>
      <c r="K41" s="9">
        <v>105</v>
      </c>
      <c r="L41" s="9">
        <f t="shared" si="10"/>
        <v>-112.505</v>
      </c>
      <c r="M41" s="9"/>
      <c r="N41" s="9"/>
      <c r="O41" s="9">
        <v>150</v>
      </c>
      <c r="P41" s="9"/>
      <c r="Q41" s="9">
        <f t="shared" si="11"/>
        <v>-1.5009999999999999</v>
      </c>
      <c r="R41" s="4">
        <v>100</v>
      </c>
      <c r="S41" s="4">
        <f t="shared" si="14"/>
        <v>100</v>
      </c>
      <c r="T41" s="22"/>
      <c r="U41" s="9">
        <f t="shared" si="8"/>
        <v>-337.6522318454364</v>
      </c>
      <c r="V41" s="9">
        <f t="shared" si="12"/>
        <v>-271.02998001332446</v>
      </c>
      <c r="W41" s="9">
        <v>-2.0733999999999999</v>
      </c>
      <c r="X41" s="9">
        <v>9.1658000000000008</v>
      </c>
      <c r="Y41" s="9">
        <v>37.942599999999999</v>
      </c>
      <c r="Z41" s="9">
        <v>58.043199999999999</v>
      </c>
      <c r="AA41" s="9">
        <v>60.015799999999999</v>
      </c>
      <c r="AB41" s="9">
        <v>55.129399999999997</v>
      </c>
      <c r="AC41" s="9">
        <v>48.190600000000003</v>
      </c>
      <c r="AD41" s="9">
        <v>52.069800000000001</v>
      </c>
      <c r="AE41" s="9">
        <v>54.658799999999999</v>
      </c>
      <c r="AF41" s="9">
        <v>61.988999999999997</v>
      </c>
      <c r="AG41" s="9"/>
      <c r="AH41" s="9">
        <f t="shared" si="13"/>
        <v>100</v>
      </c>
      <c r="AI41" t="s">
        <v>115</v>
      </c>
    </row>
    <row r="42" spans="1:35" x14ac:dyDescent="0.25">
      <c r="A42" s="9" t="s">
        <v>116</v>
      </c>
      <c r="B42" s="9" t="s">
        <v>46</v>
      </c>
      <c r="C42" s="9">
        <v>487</v>
      </c>
      <c r="D42" s="9">
        <v>700</v>
      </c>
      <c r="E42" s="9">
        <v>320</v>
      </c>
      <c r="F42" s="9">
        <v>833</v>
      </c>
      <c r="G42" s="6">
        <v>0.1</v>
      </c>
      <c r="H42" s="9">
        <v>731</v>
      </c>
      <c r="I42" s="9" t="s">
        <v>39</v>
      </c>
      <c r="J42" s="9"/>
      <c r="K42" s="9">
        <v>324</v>
      </c>
      <c r="L42" s="9">
        <f t="shared" si="10"/>
        <v>-4</v>
      </c>
      <c r="M42" s="9"/>
      <c r="N42" s="9"/>
      <c r="O42" s="9">
        <v>0</v>
      </c>
      <c r="P42" s="9"/>
      <c r="Q42" s="9">
        <f t="shared" si="11"/>
        <v>64</v>
      </c>
      <c r="R42" s="4"/>
      <c r="S42" s="4">
        <f t="shared" si="14"/>
        <v>0</v>
      </c>
      <c r="T42" s="22"/>
      <c r="U42" s="9">
        <f t="shared" si="8"/>
        <v>13.015625</v>
      </c>
      <c r="V42" s="9">
        <f t="shared" si="12"/>
        <v>13.015625</v>
      </c>
      <c r="W42" s="9">
        <v>69.2</v>
      </c>
      <c r="X42" s="9">
        <v>86.4</v>
      </c>
      <c r="Y42" s="9">
        <v>78.599999999999994</v>
      </c>
      <c r="Z42" s="9">
        <v>70.599999999999994</v>
      </c>
      <c r="AA42" s="9">
        <v>80.599999999999994</v>
      </c>
      <c r="AB42" s="9">
        <v>60.2</v>
      </c>
      <c r="AC42" s="9">
        <v>46.4</v>
      </c>
      <c r="AD42" s="9">
        <v>46.8</v>
      </c>
      <c r="AE42" s="9">
        <v>53.2</v>
      </c>
      <c r="AF42" s="9">
        <v>56.4</v>
      </c>
      <c r="AG42" s="9"/>
      <c r="AH42" s="9">
        <f t="shared" si="13"/>
        <v>0</v>
      </c>
      <c r="AI42" t="s">
        <v>117</v>
      </c>
    </row>
    <row r="43" spans="1:35" x14ac:dyDescent="0.25">
      <c r="A43" s="9" t="s">
        <v>118</v>
      </c>
      <c r="B43" s="9" t="s">
        <v>46</v>
      </c>
      <c r="C43" s="9"/>
      <c r="D43" s="9"/>
      <c r="E43" s="9">
        <v>-14</v>
      </c>
      <c r="F43" s="9"/>
      <c r="G43" s="6">
        <v>0.35</v>
      </c>
      <c r="H43" s="9">
        <v>40</v>
      </c>
      <c r="I43" s="8" t="s">
        <v>82</v>
      </c>
      <c r="J43" s="9"/>
      <c r="K43" s="9">
        <v>100</v>
      </c>
      <c r="L43" s="9">
        <f t="shared" si="10"/>
        <v>-114</v>
      </c>
      <c r="M43" s="9"/>
      <c r="N43" s="9"/>
      <c r="O43" s="9">
        <v>100</v>
      </c>
      <c r="P43" s="9"/>
      <c r="Q43" s="9">
        <f t="shared" si="11"/>
        <v>-2.8</v>
      </c>
      <c r="R43" s="4">
        <v>100</v>
      </c>
      <c r="S43" s="4">
        <f t="shared" si="14"/>
        <v>100</v>
      </c>
      <c r="T43" s="22"/>
      <c r="U43" s="9">
        <f t="shared" si="8"/>
        <v>-71.428571428571431</v>
      </c>
      <c r="V43" s="9">
        <f t="shared" si="12"/>
        <v>-35.714285714285715</v>
      </c>
      <c r="W43" s="9">
        <v>-3</v>
      </c>
      <c r="X43" s="9">
        <v>6.8</v>
      </c>
      <c r="Y43" s="9">
        <v>28.4</v>
      </c>
      <c r="Z43" s="9">
        <v>45</v>
      </c>
      <c r="AA43" s="9">
        <v>43.6</v>
      </c>
      <c r="AB43" s="9">
        <v>47.6</v>
      </c>
      <c r="AC43" s="9">
        <v>44.6</v>
      </c>
      <c r="AD43" s="9">
        <v>46.4</v>
      </c>
      <c r="AE43" s="9">
        <v>55.6</v>
      </c>
      <c r="AF43" s="9">
        <v>56.6</v>
      </c>
      <c r="AG43" s="9"/>
      <c r="AH43" s="9">
        <f t="shared" si="13"/>
        <v>35</v>
      </c>
      <c r="AI43" t="s">
        <v>119</v>
      </c>
    </row>
    <row r="44" spans="1:35" x14ac:dyDescent="0.25">
      <c r="A44" s="9" t="s">
        <v>120</v>
      </c>
      <c r="B44" s="9" t="s">
        <v>38</v>
      </c>
      <c r="C44" s="9">
        <v>38.927999999999997</v>
      </c>
      <c r="D44" s="9">
        <v>57.284999999999997</v>
      </c>
      <c r="E44" s="9">
        <v>44.469000000000001</v>
      </c>
      <c r="F44" s="9">
        <v>43.866999999999997</v>
      </c>
      <c r="G44" s="6">
        <v>1</v>
      </c>
      <c r="H44" s="9">
        <v>40</v>
      </c>
      <c r="I44" s="9" t="s">
        <v>39</v>
      </c>
      <c r="J44" s="9"/>
      <c r="K44" s="9">
        <v>51.65</v>
      </c>
      <c r="L44" s="9">
        <f t="shared" si="10"/>
        <v>-7.1809999999999974</v>
      </c>
      <c r="M44" s="9"/>
      <c r="N44" s="9"/>
      <c r="O44" s="9">
        <v>26.23439999999999</v>
      </c>
      <c r="P44" s="9"/>
      <c r="Q44" s="9">
        <f t="shared" si="11"/>
        <v>8.8938000000000006</v>
      </c>
      <c r="R44" s="4">
        <f>12*Q44-O44-F44</f>
        <v>36.624200000000023</v>
      </c>
      <c r="S44" s="4">
        <f t="shared" si="14"/>
        <v>36.624200000000023</v>
      </c>
      <c r="T44" s="22"/>
      <c r="U44" s="9">
        <f t="shared" si="8"/>
        <v>12</v>
      </c>
      <c r="V44" s="9">
        <f t="shared" si="12"/>
        <v>7.8820526659020871</v>
      </c>
      <c r="W44" s="9">
        <v>8.7584</v>
      </c>
      <c r="X44" s="9">
        <v>7.7378</v>
      </c>
      <c r="Y44" s="9">
        <v>8.1522000000000006</v>
      </c>
      <c r="Z44" s="9">
        <v>10.566599999999999</v>
      </c>
      <c r="AA44" s="9">
        <v>9.1028000000000002</v>
      </c>
      <c r="AB44" s="9">
        <v>7.556</v>
      </c>
      <c r="AC44" s="9">
        <v>7.9702000000000002</v>
      </c>
      <c r="AD44" s="9">
        <v>9.6010000000000009</v>
      </c>
      <c r="AE44" s="9">
        <v>10.6218</v>
      </c>
      <c r="AF44" s="9">
        <v>8.5141999999999989</v>
      </c>
      <c r="AG44" s="9"/>
      <c r="AH44" s="9">
        <f t="shared" si="13"/>
        <v>37</v>
      </c>
      <c r="AI44" t="s">
        <v>121</v>
      </c>
    </row>
    <row r="45" spans="1:35" x14ac:dyDescent="0.25">
      <c r="A45" s="9" t="s">
        <v>122</v>
      </c>
      <c r="B45" s="9" t="s">
        <v>46</v>
      </c>
      <c r="C45" s="9"/>
      <c r="D45" s="9">
        <v>156</v>
      </c>
      <c r="E45" s="9">
        <v>35</v>
      </c>
      <c r="F45" s="9">
        <v>104</v>
      </c>
      <c r="G45" s="6">
        <v>0.4</v>
      </c>
      <c r="H45" s="9">
        <v>40</v>
      </c>
      <c r="I45" s="8" t="s">
        <v>82</v>
      </c>
      <c r="J45" s="9"/>
      <c r="K45" s="9">
        <v>46</v>
      </c>
      <c r="L45" s="9">
        <f t="shared" si="10"/>
        <v>-11</v>
      </c>
      <c r="M45" s="9"/>
      <c r="N45" s="9"/>
      <c r="O45" s="9">
        <v>100</v>
      </c>
      <c r="P45" s="9"/>
      <c r="Q45" s="9">
        <f t="shared" si="11"/>
        <v>7</v>
      </c>
      <c r="R45" s="4">
        <v>80</v>
      </c>
      <c r="S45" s="4">
        <f t="shared" si="14"/>
        <v>80</v>
      </c>
      <c r="T45" s="22"/>
      <c r="U45" s="9">
        <f t="shared" si="8"/>
        <v>40.571428571428569</v>
      </c>
      <c r="V45" s="9">
        <f t="shared" si="12"/>
        <v>29.142857142857142</v>
      </c>
      <c r="W45" s="9">
        <v>3</v>
      </c>
      <c r="X45" s="9">
        <v>44.6</v>
      </c>
      <c r="Y45" s="9">
        <v>42.4</v>
      </c>
      <c r="Z45" s="9">
        <v>-0.8</v>
      </c>
      <c r="AA45" s="9">
        <v>17.2</v>
      </c>
      <c r="AB45" s="9">
        <v>30.2</v>
      </c>
      <c r="AC45" s="9">
        <v>32.799999999999997</v>
      </c>
      <c r="AD45" s="9">
        <v>44.6</v>
      </c>
      <c r="AE45" s="9">
        <v>38.6</v>
      </c>
      <c r="AF45" s="9">
        <v>36.200000000000003</v>
      </c>
      <c r="AG45" s="9"/>
      <c r="AH45" s="9">
        <f t="shared" si="13"/>
        <v>32</v>
      </c>
      <c r="AI45" t="s">
        <v>123</v>
      </c>
    </row>
    <row r="46" spans="1:35" x14ac:dyDescent="0.25">
      <c r="A46" s="9" t="s">
        <v>124</v>
      </c>
      <c r="B46" s="9" t="s">
        <v>46</v>
      </c>
      <c r="C46" s="9">
        <v>12</v>
      </c>
      <c r="D46" s="9">
        <v>102</v>
      </c>
      <c r="E46" s="9">
        <v>-4</v>
      </c>
      <c r="F46" s="9">
        <v>112</v>
      </c>
      <c r="G46" s="6">
        <v>0.4</v>
      </c>
      <c r="H46" s="9">
        <v>45</v>
      </c>
      <c r="I46" s="8" t="s">
        <v>82</v>
      </c>
      <c r="J46" s="9"/>
      <c r="K46" s="9">
        <v>308</v>
      </c>
      <c r="L46" s="9">
        <f t="shared" si="10"/>
        <v>-312</v>
      </c>
      <c r="M46" s="9"/>
      <c r="N46" s="9"/>
      <c r="O46" s="9">
        <v>147.6</v>
      </c>
      <c r="P46" s="9"/>
      <c r="Q46" s="9">
        <f t="shared" si="11"/>
        <v>-0.8</v>
      </c>
      <c r="R46" s="4">
        <v>150</v>
      </c>
      <c r="S46" s="4">
        <f t="shared" si="14"/>
        <v>150</v>
      </c>
      <c r="T46" s="22"/>
      <c r="U46" s="9">
        <f t="shared" si="8"/>
        <v>-512</v>
      </c>
      <c r="V46" s="9">
        <f t="shared" si="12"/>
        <v>-324.5</v>
      </c>
      <c r="W46" s="9">
        <v>23.6</v>
      </c>
      <c r="X46" s="9">
        <v>52.4</v>
      </c>
      <c r="Y46" s="9">
        <v>27.8</v>
      </c>
      <c r="Z46" s="9">
        <v>-0.8</v>
      </c>
      <c r="AA46" s="9">
        <v>6.6</v>
      </c>
      <c r="AB46" s="9">
        <v>42.6</v>
      </c>
      <c r="AC46" s="9">
        <v>57.4</v>
      </c>
      <c r="AD46" s="9">
        <v>39.6</v>
      </c>
      <c r="AE46" s="9">
        <v>35.4</v>
      </c>
      <c r="AF46" s="9">
        <v>36</v>
      </c>
      <c r="AG46" s="9"/>
      <c r="AH46" s="9">
        <f t="shared" si="13"/>
        <v>60</v>
      </c>
      <c r="AI46" t="s">
        <v>125</v>
      </c>
    </row>
    <row r="47" spans="1:35" x14ac:dyDescent="0.25">
      <c r="A47" s="9" t="s">
        <v>126</v>
      </c>
      <c r="B47" s="9" t="s">
        <v>38</v>
      </c>
      <c r="C47" s="9">
        <v>327.53800000000001</v>
      </c>
      <c r="D47" s="9"/>
      <c r="E47" s="9">
        <v>91.944999999999993</v>
      </c>
      <c r="F47" s="9">
        <v>224.113</v>
      </c>
      <c r="G47" s="6">
        <v>1</v>
      </c>
      <c r="H47" s="9">
        <v>40</v>
      </c>
      <c r="I47" s="9" t="s">
        <v>39</v>
      </c>
      <c r="J47" s="9"/>
      <c r="K47" s="9">
        <v>98.5</v>
      </c>
      <c r="L47" s="9">
        <f t="shared" si="10"/>
        <v>-6.5550000000000068</v>
      </c>
      <c r="M47" s="9"/>
      <c r="N47" s="9"/>
      <c r="O47" s="9">
        <v>0</v>
      </c>
      <c r="P47" s="9"/>
      <c r="Q47" s="9">
        <f t="shared" si="11"/>
        <v>18.388999999999999</v>
      </c>
      <c r="R47" s="4"/>
      <c r="S47" s="4">
        <f t="shared" si="14"/>
        <v>0</v>
      </c>
      <c r="T47" s="22"/>
      <c r="U47" s="9">
        <f t="shared" si="8"/>
        <v>12.187340257762793</v>
      </c>
      <c r="V47" s="9">
        <f t="shared" si="12"/>
        <v>12.187340257762793</v>
      </c>
      <c r="W47" s="9">
        <v>21.290800000000001</v>
      </c>
      <c r="X47" s="9">
        <v>17.810400000000001</v>
      </c>
      <c r="Y47" s="9">
        <v>16.632000000000001</v>
      </c>
      <c r="Z47" s="9">
        <v>22.530799999999999</v>
      </c>
      <c r="AA47" s="9">
        <v>20.517600000000002</v>
      </c>
      <c r="AB47" s="9">
        <v>24.51</v>
      </c>
      <c r="AC47" s="9">
        <v>25.950800000000001</v>
      </c>
      <c r="AD47" s="9">
        <v>25.9468</v>
      </c>
      <c r="AE47" s="9">
        <v>25.837199999999999</v>
      </c>
      <c r="AF47" s="9">
        <v>21.918800000000001</v>
      </c>
      <c r="AG47" s="15" t="s">
        <v>127</v>
      </c>
      <c r="AH47" s="9">
        <f t="shared" si="13"/>
        <v>0</v>
      </c>
      <c r="AI47" t="s">
        <v>128</v>
      </c>
    </row>
    <row r="48" spans="1:35" x14ac:dyDescent="0.25">
      <c r="A48" s="9" t="s">
        <v>129</v>
      </c>
      <c r="B48" s="9" t="s">
        <v>46</v>
      </c>
      <c r="C48" s="9">
        <v>2509</v>
      </c>
      <c r="D48" s="9">
        <v>866</v>
      </c>
      <c r="E48" s="9">
        <v>1155</v>
      </c>
      <c r="F48" s="9">
        <v>2109</v>
      </c>
      <c r="G48" s="6">
        <v>0.35</v>
      </c>
      <c r="H48" s="9">
        <v>40</v>
      </c>
      <c r="I48" s="9" t="s">
        <v>39</v>
      </c>
      <c r="J48" s="9"/>
      <c r="K48" s="9">
        <v>1184</v>
      </c>
      <c r="L48" s="9">
        <f t="shared" si="10"/>
        <v>-29</v>
      </c>
      <c r="M48" s="9"/>
      <c r="N48" s="9"/>
      <c r="O48" s="9">
        <v>0</v>
      </c>
      <c r="P48" s="9"/>
      <c r="Q48" s="9">
        <f t="shared" si="11"/>
        <v>231</v>
      </c>
      <c r="R48" s="4">
        <f>12*Q48-O48-F48</f>
        <v>663</v>
      </c>
      <c r="S48" s="4">
        <f>R48+$S$1*Q48</f>
        <v>574.06500000000005</v>
      </c>
      <c r="T48" s="22"/>
      <c r="U48" s="9">
        <f t="shared" si="8"/>
        <v>11.615</v>
      </c>
      <c r="V48" s="9">
        <f t="shared" si="12"/>
        <v>9.1298701298701292</v>
      </c>
      <c r="W48" s="9">
        <v>229.8</v>
      </c>
      <c r="X48" s="9">
        <v>254</v>
      </c>
      <c r="Y48" s="9">
        <v>261.39999999999998</v>
      </c>
      <c r="Z48" s="9">
        <v>234</v>
      </c>
      <c r="AA48" s="9">
        <v>230.6</v>
      </c>
      <c r="AB48" s="9">
        <v>272.2</v>
      </c>
      <c r="AC48" s="9">
        <v>290.39999999999998</v>
      </c>
      <c r="AD48" s="9">
        <v>282.2</v>
      </c>
      <c r="AE48" s="9">
        <v>295</v>
      </c>
      <c r="AF48" s="9">
        <v>315.2</v>
      </c>
      <c r="AG48" s="9"/>
      <c r="AH48" s="9">
        <f t="shared" si="13"/>
        <v>201</v>
      </c>
      <c r="AI48" t="s">
        <v>130</v>
      </c>
    </row>
    <row r="49" spans="1:35" x14ac:dyDescent="0.25">
      <c r="A49" s="9" t="s">
        <v>131</v>
      </c>
      <c r="B49" s="9" t="s">
        <v>46</v>
      </c>
      <c r="C49" s="9">
        <v>971</v>
      </c>
      <c r="D49" s="9">
        <v>208</v>
      </c>
      <c r="E49" s="9">
        <v>698</v>
      </c>
      <c r="F49" s="9">
        <v>417</v>
      </c>
      <c r="G49" s="6">
        <v>0.4</v>
      </c>
      <c r="H49" s="9">
        <v>40</v>
      </c>
      <c r="I49" s="8" t="s">
        <v>82</v>
      </c>
      <c r="J49" s="9"/>
      <c r="K49" s="9">
        <v>714</v>
      </c>
      <c r="L49" s="9">
        <f t="shared" si="10"/>
        <v>-16</v>
      </c>
      <c r="M49" s="9"/>
      <c r="N49" s="9"/>
      <c r="O49" s="9">
        <v>782.55</v>
      </c>
      <c r="P49" s="9"/>
      <c r="Q49" s="9">
        <f t="shared" si="11"/>
        <v>139.6</v>
      </c>
      <c r="R49" s="4">
        <f>12*Q49-O49-F49</f>
        <v>475.64999999999986</v>
      </c>
      <c r="S49" s="4">
        <f>R49</f>
        <v>475.64999999999986</v>
      </c>
      <c r="T49" s="22"/>
      <c r="U49" s="9">
        <f t="shared" si="8"/>
        <v>12</v>
      </c>
      <c r="V49" s="9">
        <f t="shared" si="12"/>
        <v>8.5927650429799431</v>
      </c>
      <c r="W49" s="9">
        <v>149</v>
      </c>
      <c r="X49" s="9">
        <v>103</v>
      </c>
      <c r="Y49" s="9">
        <v>49.8</v>
      </c>
      <c r="Z49" s="9">
        <v>86</v>
      </c>
      <c r="AA49" s="9">
        <v>134.4</v>
      </c>
      <c r="AB49" s="9">
        <v>143.4</v>
      </c>
      <c r="AC49" s="9">
        <v>127.4</v>
      </c>
      <c r="AD49" s="9">
        <v>113.8</v>
      </c>
      <c r="AE49" s="9">
        <v>119.2</v>
      </c>
      <c r="AF49" s="9">
        <v>124</v>
      </c>
      <c r="AG49" s="9"/>
      <c r="AH49" s="9">
        <f t="shared" si="13"/>
        <v>190</v>
      </c>
      <c r="AI49" t="s">
        <v>132</v>
      </c>
    </row>
    <row r="50" spans="1:35" x14ac:dyDescent="0.25">
      <c r="A50" s="9" t="s">
        <v>133</v>
      </c>
      <c r="B50" s="9" t="s">
        <v>38</v>
      </c>
      <c r="C50" s="9">
        <v>606.31899999999996</v>
      </c>
      <c r="D50" s="9">
        <v>649.97699999999998</v>
      </c>
      <c r="E50" s="9">
        <v>372.8</v>
      </c>
      <c r="F50" s="9">
        <v>846.87099999999998</v>
      </c>
      <c r="G50" s="6">
        <v>1</v>
      </c>
      <c r="H50" s="9">
        <v>50</v>
      </c>
      <c r="I50" s="9" t="s">
        <v>39</v>
      </c>
      <c r="J50" s="9"/>
      <c r="K50" s="9">
        <v>387.85</v>
      </c>
      <c r="L50" s="9">
        <f t="shared" si="10"/>
        <v>-15.050000000000011</v>
      </c>
      <c r="M50" s="9"/>
      <c r="N50" s="9"/>
      <c r="O50" s="9">
        <v>0</v>
      </c>
      <c r="P50" s="9"/>
      <c r="Q50" s="9">
        <f t="shared" si="11"/>
        <v>74.56</v>
      </c>
      <c r="R50" s="4">
        <f>12*Q50-O50-F50</f>
        <v>47.849000000000046</v>
      </c>
      <c r="S50" s="4">
        <f>R50</f>
        <v>47.849000000000046</v>
      </c>
      <c r="T50" s="22"/>
      <c r="U50" s="9">
        <f t="shared" si="8"/>
        <v>12</v>
      </c>
      <c r="V50" s="9">
        <f t="shared" si="12"/>
        <v>11.358248390557939</v>
      </c>
      <c r="W50" s="9">
        <v>74.037400000000005</v>
      </c>
      <c r="X50" s="9">
        <v>94.643200000000007</v>
      </c>
      <c r="Y50" s="9">
        <v>101.782</v>
      </c>
      <c r="Z50" s="9">
        <v>92.1952</v>
      </c>
      <c r="AA50" s="9">
        <v>85.624400000000009</v>
      </c>
      <c r="AB50" s="9">
        <v>98.405999999999992</v>
      </c>
      <c r="AC50" s="9">
        <v>105.60339999999999</v>
      </c>
      <c r="AD50" s="9">
        <v>102.15940000000001</v>
      </c>
      <c r="AE50" s="9">
        <v>104.79640000000001</v>
      </c>
      <c r="AF50" s="9">
        <v>96.198999999999998</v>
      </c>
      <c r="AG50" s="9"/>
      <c r="AH50" s="9">
        <f t="shared" si="13"/>
        <v>48</v>
      </c>
      <c r="AI50" t="s">
        <v>134</v>
      </c>
    </row>
    <row r="51" spans="1:35" x14ac:dyDescent="0.25">
      <c r="A51" s="9" t="s">
        <v>135</v>
      </c>
      <c r="B51" s="9" t="s">
        <v>38</v>
      </c>
      <c r="C51" s="9">
        <v>786.68899999999996</v>
      </c>
      <c r="D51" s="9">
        <v>622.11800000000005</v>
      </c>
      <c r="E51" s="9">
        <v>529.04499999999996</v>
      </c>
      <c r="F51" s="9">
        <v>832.24</v>
      </c>
      <c r="G51" s="6">
        <v>1</v>
      </c>
      <c r="H51" s="9">
        <v>50</v>
      </c>
      <c r="I51" s="9" t="s">
        <v>39</v>
      </c>
      <c r="J51" s="9"/>
      <c r="K51" s="9">
        <v>527.9</v>
      </c>
      <c r="L51" s="9">
        <f t="shared" si="10"/>
        <v>1.1449999999999818</v>
      </c>
      <c r="M51" s="9"/>
      <c r="N51" s="9"/>
      <c r="O51" s="9">
        <v>26.255919999999719</v>
      </c>
      <c r="P51" s="9"/>
      <c r="Q51" s="9">
        <f t="shared" si="11"/>
        <v>105.809</v>
      </c>
      <c r="R51" s="4">
        <f>12*Q51-O51-F51</f>
        <v>411.21208000000047</v>
      </c>
      <c r="S51" s="4">
        <f>R51+$S$1*Q51</f>
        <v>370.47561500000046</v>
      </c>
      <c r="T51" s="22"/>
      <c r="U51" s="9">
        <f t="shared" si="8"/>
        <v>11.615000000000002</v>
      </c>
      <c r="V51" s="9">
        <f t="shared" si="12"/>
        <v>8.1136379703049819</v>
      </c>
      <c r="W51" s="9">
        <v>99.316400000000002</v>
      </c>
      <c r="X51" s="9">
        <v>104.8566</v>
      </c>
      <c r="Y51" s="9">
        <v>106.93259999999999</v>
      </c>
      <c r="Z51" s="9">
        <v>107.8848</v>
      </c>
      <c r="AA51" s="9">
        <v>115.07080000000001</v>
      </c>
      <c r="AB51" s="9">
        <v>121.9318</v>
      </c>
      <c r="AC51" s="9">
        <v>115.127</v>
      </c>
      <c r="AD51" s="9">
        <v>112.86660000000001</v>
      </c>
      <c r="AE51" s="9">
        <v>117.1014</v>
      </c>
      <c r="AF51" s="9">
        <v>120.026</v>
      </c>
      <c r="AG51" s="9"/>
      <c r="AH51" s="9">
        <f t="shared" si="13"/>
        <v>370</v>
      </c>
      <c r="AI51" t="s">
        <v>136</v>
      </c>
    </row>
    <row r="52" spans="1:35" x14ac:dyDescent="0.25">
      <c r="A52" s="9" t="s">
        <v>137</v>
      </c>
      <c r="B52" s="9" t="s">
        <v>38</v>
      </c>
      <c r="C52" s="9">
        <v>35.496000000000002</v>
      </c>
      <c r="D52" s="9"/>
      <c r="E52" s="9">
        <v>2.92</v>
      </c>
      <c r="F52" s="9">
        <v>32.576000000000001</v>
      </c>
      <c r="G52" s="6">
        <v>1</v>
      </c>
      <c r="H52" s="9">
        <v>45</v>
      </c>
      <c r="I52" s="8" t="s">
        <v>82</v>
      </c>
      <c r="J52" s="9"/>
      <c r="K52" s="9">
        <v>113.1</v>
      </c>
      <c r="L52" s="9">
        <f t="shared" si="10"/>
        <v>-110.17999999999999</v>
      </c>
      <c r="M52" s="9"/>
      <c r="N52" s="9"/>
      <c r="O52" s="9">
        <v>50</v>
      </c>
      <c r="P52" s="9"/>
      <c r="Q52" s="9">
        <f t="shared" si="11"/>
        <v>0.58399999999999996</v>
      </c>
      <c r="R52" s="4">
        <v>50</v>
      </c>
      <c r="S52" s="4">
        <f>R52</f>
        <v>50</v>
      </c>
      <c r="T52" s="22"/>
      <c r="U52" s="9">
        <f t="shared" si="8"/>
        <v>227.01369863013699</v>
      </c>
      <c r="V52" s="9">
        <f t="shared" si="12"/>
        <v>141.39726027397259</v>
      </c>
      <c r="W52" s="9">
        <v>9.094199999999999</v>
      </c>
      <c r="X52" s="9">
        <v>17.8614</v>
      </c>
      <c r="Y52" s="9">
        <v>19.946200000000001</v>
      </c>
      <c r="Z52" s="9">
        <v>17.854199999999999</v>
      </c>
      <c r="AA52" s="9">
        <v>15.411</v>
      </c>
      <c r="AB52" s="9">
        <v>11.0654</v>
      </c>
      <c r="AC52" s="9">
        <v>9.3583999999999996</v>
      </c>
      <c r="AD52" s="9">
        <v>8.730599999999999</v>
      </c>
      <c r="AE52" s="9">
        <v>4.0386000000000006</v>
      </c>
      <c r="AF52" s="9">
        <v>8.4756</v>
      </c>
      <c r="AG52" s="9"/>
      <c r="AH52" s="9">
        <f t="shared" si="13"/>
        <v>50</v>
      </c>
      <c r="AI52" t="s">
        <v>138</v>
      </c>
    </row>
    <row r="53" spans="1:35" x14ac:dyDescent="0.25">
      <c r="A53" s="9" t="s">
        <v>139</v>
      </c>
      <c r="B53" s="9" t="s">
        <v>46</v>
      </c>
      <c r="C53" s="9">
        <v>381</v>
      </c>
      <c r="D53" s="9">
        <v>30</v>
      </c>
      <c r="E53" s="9">
        <v>212</v>
      </c>
      <c r="F53" s="9">
        <v>185</v>
      </c>
      <c r="G53" s="6">
        <v>0.45</v>
      </c>
      <c r="H53" s="9">
        <v>50</v>
      </c>
      <c r="I53" s="9" t="s">
        <v>39</v>
      </c>
      <c r="J53" s="9"/>
      <c r="K53" s="9">
        <v>218</v>
      </c>
      <c r="L53" s="9">
        <f t="shared" si="10"/>
        <v>-6</v>
      </c>
      <c r="M53" s="9"/>
      <c r="N53" s="9"/>
      <c r="O53" s="9">
        <v>161.67999999999989</v>
      </c>
      <c r="P53" s="9"/>
      <c r="Q53" s="9">
        <f t="shared" si="11"/>
        <v>42.4</v>
      </c>
      <c r="R53" s="4">
        <f>12*Q53-O53-F53</f>
        <v>162.12000000000006</v>
      </c>
      <c r="S53" s="4">
        <f>R53</f>
        <v>162.12000000000006</v>
      </c>
      <c r="T53" s="22"/>
      <c r="U53" s="9">
        <f t="shared" si="8"/>
        <v>12</v>
      </c>
      <c r="V53" s="9">
        <f t="shared" si="12"/>
        <v>8.176415094339621</v>
      </c>
      <c r="W53" s="9">
        <v>40.4</v>
      </c>
      <c r="X53" s="9">
        <v>35</v>
      </c>
      <c r="Y53" s="9">
        <v>41.4</v>
      </c>
      <c r="Z53" s="9">
        <v>38.799999999999997</v>
      </c>
      <c r="AA53" s="9">
        <v>36.6</v>
      </c>
      <c r="AB53" s="9">
        <v>46.2</v>
      </c>
      <c r="AC53" s="9">
        <v>56</v>
      </c>
      <c r="AD53" s="9">
        <v>66.599999999999994</v>
      </c>
      <c r="AE53" s="9">
        <v>68</v>
      </c>
      <c r="AF53" s="9">
        <v>62</v>
      </c>
      <c r="AG53" s="9"/>
      <c r="AH53" s="9">
        <f t="shared" si="13"/>
        <v>73</v>
      </c>
      <c r="AI53" t="s">
        <v>140</v>
      </c>
    </row>
    <row r="54" spans="1:35" x14ac:dyDescent="0.25">
      <c r="A54" s="9" t="s">
        <v>141</v>
      </c>
      <c r="B54" s="9" t="s">
        <v>46</v>
      </c>
      <c r="C54" s="9">
        <v>908</v>
      </c>
      <c r="D54" s="9">
        <v>370</v>
      </c>
      <c r="E54" s="9">
        <v>484</v>
      </c>
      <c r="F54" s="9">
        <v>771</v>
      </c>
      <c r="G54" s="6">
        <v>0.45</v>
      </c>
      <c r="H54" s="9">
        <v>50</v>
      </c>
      <c r="I54" s="9" t="s">
        <v>39</v>
      </c>
      <c r="J54" s="9"/>
      <c r="K54" s="9">
        <v>529</v>
      </c>
      <c r="L54" s="9">
        <f t="shared" si="10"/>
        <v>-45</v>
      </c>
      <c r="M54" s="9"/>
      <c r="N54" s="9"/>
      <c r="O54" s="9">
        <v>75.960000000000036</v>
      </c>
      <c r="P54" s="9"/>
      <c r="Q54" s="9">
        <f t="shared" si="11"/>
        <v>96.8</v>
      </c>
      <c r="R54" s="4">
        <f>12*Q54-O54-F54</f>
        <v>314.63999999999987</v>
      </c>
      <c r="S54" s="4">
        <f>R54+$S$1*Q54</f>
        <v>277.37199999999984</v>
      </c>
      <c r="T54" s="22"/>
      <c r="U54" s="9">
        <f t="shared" si="8"/>
        <v>11.614999999999998</v>
      </c>
      <c r="V54" s="9">
        <f t="shared" si="12"/>
        <v>8.7495867768595055</v>
      </c>
      <c r="W54" s="9">
        <v>93.2</v>
      </c>
      <c r="X54" s="9">
        <v>95.8</v>
      </c>
      <c r="Y54" s="9">
        <v>91.6</v>
      </c>
      <c r="Z54" s="9">
        <v>94.4</v>
      </c>
      <c r="AA54" s="9">
        <v>114.6</v>
      </c>
      <c r="AB54" s="9">
        <v>103.4</v>
      </c>
      <c r="AC54" s="9">
        <v>94</v>
      </c>
      <c r="AD54" s="9">
        <v>111.2</v>
      </c>
      <c r="AE54" s="9">
        <v>109</v>
      </c>
      <c r="AF54" s="9">
        <v>109</v>
      </c>
      <c r="AG54" s="9"/>
      <c r="AH54" s="9">
        <f t="shared" si="13"/>
        <v>125</v>
      </c>
      <c r="AI54" t="s">
        <v>142</v>
      </c>
    </row>
    <row r="55" spans="1:35" x14ac:dyDescent="0.25">
      <c r="A55" s="9" t="s">
        <v>143</v>
      </c>
      <c r="B55" s="9" t="s">
        <v>46</v>
      </c>
      <c r="C55" s="9">
        <v>129</v>
      </c>
      <c r="D55" s="9">
        <v>156</v>
      </c>
      <c r="E55" s="9">
        <v>95</v>
      </c>
      <c r="F55" s="9">
        <v>181</v>
      </c>
      <c r="G55" s="6">
        <v>0.4</v>
      </c>
      <c r="H55" s="9">
        <v>40</v>
      </c>
      <c r="I55" s="9" t="s">
        <v>39</v>
      </c>
      <c r="J55" s="9"/>
      <c r="K55" s="9">
        <v>103</v>
      </c>
      <c r="L55" s="9">
        <f t="shared" si="10"/>
        <v>-8</v>
      </c>
      <c r="M55" s="9"/>
      <c r="N55" s="9"/>
      <c r="O55" s="9">
        <v>0</v>
      </c>
      <c r="P55" s="9"/>
      <c r="Q55" s="9">
        <f t="shared" si="11"/>
        <v>19</v>
      </c>
      <c r="R55" s="4">
        <f>12*Q55-O55-F55</f>
        <v>47</v>
      </c>
      <c r="S55" s="4">
        <f>R55</f>
        <v>47</v>
      </c>
      <c r="T55" s="22"/>
      <c r="U55" s="9">
        <f t="shared" si="8"/>
        <v>12</v>
      </c>
      <c r="V55" s="9">
        <f t="shared" si="12"/>
        <v>9.526315789473685</v>
      </c>
      <c r="W55" s="9">
        <v>19.8</v>
      </c>
      <c r="X55" s="9">
        <v>25.6</v>
      </c>
      <c r="Y55" s="9">
        <v>30.8</v>
      </c>
      <c r="Z55" s="9">
        <v>30.8</v>
      </c>
      <c r="AA55" s="9">
        <v>25.8</v>
      </c>
      <c r="AB55" s="9">
        <v>27.4</v>
      </c>
      <c r="AC55" s="9">
        <v>37.200000000000003</v>
      </c>
      <c r="AD55" s="9">
        <v>33.6</v>
      </c>
      <c r="AE55" s="9">
        <v>27.6</v>
      </c>
      <c r="AF55" s="9">
        <v>19.600000000000001</v>
      </c>
      <c r="AG55" s="9"/>
      <c r="AH55" s="9">
        <f t="shared" si="13"/>
        <v>19</v>
      </c>
      <c r="AI55" t="s">
        <v>144</v>
      </c>
    </row>
    <row r="56" spans="1:35" x14ac:dyDescent="0.25">
      <c r="A56" s="9" t="s">
        <v>145</v>
      </c>
      <c r="B56" s="9" t="s">
        <v>46</v>
      </c>
      <c r="C56" s="9">
        <v>64</v>
      </c>
      <c r="D56" s="9">
        <v>126</v>
      </c>
      <c r="E56" s="9">
        <v>44</v>
      </c>
      <c r="F56" s="9">
        <v>137</v>
      </c>
      <c r="G56" s="6">
        <v>0.4</v>
      </c>
      <c r="H56" s="9">
        <v>40</v>
      </c>
      <c r="I56" s="8" t="s">
        <v>82</v>
      </c>
      <c r="J56" s="9"/>
      <c r="K56" s="9">
        <v>52</v>
      </c>
      <c r="L56" s="9">
        <f t="shared" si="10"/>
        <v>-8</v>
      </c>
      <c r="M56" s="9"/>
      <c r="N56" s="9"/>
      <c r="O56" s="9">
        <v>10</v>
      </c>
      <c r="P56" s="9"/>
      <c r="Q56" s="9">
        <f t="shared" si="11"/>
        <v>8.8000000000000007</v>
      </c>
      <c r="R56" s="4">
        <v>20</v>
      </c>
      <c r="S56" s="4">
        <f>R56</f>
        <v>20</v>
      </c>
      <c r="T56" s="22"/>
      <c r="U56" s="9">
        <f t="shared" si="8"/>
        <v>18.977272727272727</v>
      </c>
      <c r="V56" s="9">
        <f t="shared" si="12"/>
        <v>16.704545454545453</v>
      </c>
      <c r="W56" s="9">
        <v>14.6</v>
      </c>
      <c r="X56" s="9">
        <v>20</v>
      </c>
      <c r="Y56" s="9">
        <v>17.2</v>
      </c>
      <c r="Z56" s="9">
        <v>12.4</v>
      </c>
      <c r="AA56" s="9">
        <v>13</v>
      </c>
      <c r="AB56" s="9">
        <v>17.2</v>
      </c>
      <c r="AC56" s="9">
        <v>11.2</v>
      </c>
      <c r="AD56" s="9">
        <v>7.8</v>
      </c>
      <c r="AE56" s="9">
        <v>11.2</v>
      </c>
      <c r="AF56" s="9">
        <v>12.4</v>
      </c>
      <c r="AG56" s="9"/>
      <c r="AH56" s="9">
        <f t="shared" si="13"/>
        <v>8</v>
      </c>
      <c r="AI56" t="s">
        <v>146</v>
      </c>
    </row>
    <row r="57" spans="1:35" x14ac:dyDescent="0.25">
      <c r="A57" s="9" t="s">
        <v>147</v>
      </c>
      <c r="B57" s="9" t="s">
        <v>38</v>
      </c>
      <c r="C57" s="9">
        <v>1014.6</v>
      </c>
      <c r="D57" s="9">
        <v>861.31600000000003</v>
      </c>
      <c r="E57" s="9">
        <v>626.68299999999999</v>
      </c>
      <c r="F57" s="9">
        <v>1188.097</v>
      </c>
      <c r="G57" s="6">
        <v>1</v>
      </c>
      <c r="H57" s="9">
        <v>50</v>
      </c>
      <c r="I57" s="9" t="s">
        <v>39</v>
      </c>
      <c r="J57" s="9"/>
      <c r="K57" s="9">
        <v>622.75</v>
      </c>
      <c r="L57" s="9">
        <f t="shared" si="10"/>
        <v>3.9329999999999927</v>
      </c>
      <c r="M57" s="9"/>
      <c r="N57" s="9"/>
      <c r="O57" s="9">
        <v>0</v>
      </c>
      <c r="P57" s="9"/>
      <c r="Q57" s="9">
        <f t="shared" si="11"/>
        <v>125.3366</v>
      </c>
      <c r="R57" s="4">
        <f>12*Q57-O57-F57</f>
        <v>315.94220000000018</v>
      </c>
      <c r="S57" s="4">
        <f>R57+$S$1*Q57</f>
        <v>267.68760900000018</v>
      </c>
      <c r="T57" s="22"/>
      <c r="U57" s="9">
        <f t="shared" si="8"/>
        <v>11.615000000000002</v>
      </c>
      <c r="V57" s="9">
        <f t="shared" si="12"/>
        <v>9.4792502748598562</v>
      </c>
      <c r="W57" s="9">
        <v>121.60299999999999</v>
      </c>
      <c r="X57" s="9">
        <v>139.44720000000001</v>
      </c>
      <c r="Y57" s="9">
        <v>142.02119999999999</v>
      </c>
      <c r="Z57" s="9">
        <v>148.81020000000001</v>
      </c>
      <c r="AA57" s="9">
        <v>151.5138</v>
      </c>
      <c r="AB57" s="9">
        <v>152.57759999999999</v>
      </c>
      <c r="AC57" s="9">
        <v>151.32759999999999</v>
      </c>
      <c r="AD57" s="9">
        <v>138.55520000000001</v>
      </c>
      <c r="AE57" s="9">
        <v>142.07140000000001</v>
      </c>
      <c r="AF57" s="9">
        <v>139.2654</v>
      </c>
      <c r="AG57" s="9"/>
      <c r="AH57" s="9">
        <f t="shared" si="13"/>
        <v>268</v>
      </c>
      <c r="AI57" t="s">
        <v>148</v>
      </c>
    </row>
    <row r="58" spans="1:35" x14ac:dyDescent="0.25">
      <c r="A58" s="10" t="s">
        <v>149</v>
      </c>
      <c r="B58" s="10" t="s">
        <v>38</v>
      </c>
      <c r="C58" s="10">
        <v>100.54300000000001</v>
      </c>
      <c r="D58" s="10"/>
      <c r="E58" s="10"/>
      <c r="F58" s="13">
        <v>100.54300000000001</v>
      </c>
      <c r="G58" s="11">
        <v>0</v>
      </c>
      <c r="H58" s="10"/>
      <c r="I58" s="10" t="s">
        <v>150</v>
      </c>
      <c r="J58" s="10" t="s">
        <v>151</v>
      </c>
      <c r="K58" s="10"/>
      <c r="L58" s="10">
        <f t="shared" si="10"/>
        <v>0</v>
      </c>
      <c r="M58" s="10"/>
      <c r="N58" s="10"/>
      <c r="O58" s="10">
        <v>0</v>
      </c>
      <c r="P58" s="10"/>
      <c r="Q58" s="10">
        <f t="shared" si="11"/>
        <v>0</v>
      </c>
      <c r="R58" s="12"/>
      <c r="S58" s="4">
        <f>R58</f>
        <v>0</v>
      </c>
      <c r="T58" s="22"/>
      <c r="U58" s="9" t="e">
        <f t="shared" si="8"/>
        <v>#DIV/0!</v>
      </c>
      <c r="V58" s="10" t="e">
        <f t="shared" si="12"/>
        <v>#DIV/0!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/>
      <c r="AH58" s="9">
        <f t="shared" si="13"/>
        <v>0</v>
      </c>
      <c r="AI58" t="s">
        <v>152</v>
      </c>
    </row>
    <row r="59" spans="1:35" x14ac:dyDescent="0.25">
      <c r="A59" s="9" t="s">
        <v>153</v>
      </c>
      <c r="B59" s="9" t="s">
        <v>46</v>
      </c>
      <c r="C59" s="9">
        <v>133</v>
      </c>
      <c r="D59" s="9">
        <v>580</v>
      </c>
      <c r="E59" s="9">
        <v>248</v>
      </c>
      <c r="F59" s="9">
        <v>441</v>
      </c>
      <c r="G59" s="6">
        <v>0.1</v>
      </c>
      <c r="H59" s="9">
        <v>731</v>
      </c>
      <c r="I59" s="9" t="s">
        <v>39</v>
      </c>
      <c r="J59" s="9"/>
      <c r="K59" s="9">
        <v>256</v>
      </c>
      <c r="L59" s="9">
        <f t="shared" si="10"/>
        <v>-8</v>
      </c>
      <c r="M59" s="9"/>
      <c r="N59" s="9"/>
      <c r="O59" s="9">
        <v>55.399999999999977</v>
      </c>
      <c r="P59" s="9"/>
      <c r="Q59" s="9">
        <f t="shared" si="11"/>
        <v>49.6</v>
      </c>
      <c r="R59" s="4">
        <f>12*Q59-O59-F59</f>
        <v>98.800000000000068</v>
      </c>
      <c r="S59" s="4">
        <f>R59</f>
        <v>98.800000000000068</v>
      </c>
      <c r="T59" s="22"/>
      <c r="U59" s="9">
        <f t="shared" si="8"/>
        <v>12</v>
      </c>
      <c r="V59" s="9">
        <f t="shared" si="12"/>
        <v>10.008064516129032</v>
      </c>
      <c r="W59" s="9">
        <v>52.8</v>
      </c>
      <c r="X59" s="9">
        <v>58</v>
      </c>
      <c r="Y59" s="9">
        <v>56.4</v>
      </c>
      <c r="Z59" s="9">
        <v>43.8</v>
      </c>
      <c r="AA59" s="9">
        <v>46</v>
      </c>
      <c r="AB59" s="9">
        <v>43</v>
      </c>
      <c r="AC59" s="9">
        <v>32</v>
      </c>
      <c r="AD59" s="9">
        <v>24.4</v>
      </c>
      <c r="AE59" s="9">
        <v>32.4</v>
      </c>
      <c r="AF59" s="9">
        <v>36.4</v>
      </c>
      <c r="AG59" s="9"/>
      <c r="AH59" s="9">
        <f t="shared" si="13"/>
        <v>10</v>
      </c>
      <c r="AI59" t="s">
        <v>154</v>
      </c>
    </row>
    <row r="60" spans="1:35" x14ac:dyDescent="0.25">
      <c r="A60" s="9" t="s">
        <v>155</v>
      </c>
      <c r="B60" s="9" t="s">
        <v>38</v>
      </c>
      <c r="C60" s="9">
        <v>1296.18</v>
      </c>
      <c r="D60" s="9">
        <v>959.32299999999998</v>
      </c>
      <c r="E60" s="9">
        <v>933.92200000000003</v>
      </c>
      <c r="F60" s="9">
        <v>1253.683</v>
      </c>
      <c r="G60" s="6">
        <v>1</v>
      </c>
      <c r="H60" s="9">
        <v>50</v>
      </c>
      <c r="I60" s="9" t="s">
        <v>39</v>
      </c>
      <c r="J60" s="9"/>
      <c r="K60" s="9">
        <v>908.8</v>
      </c>
      <c r="L60" s="9">
        <f t="shared" si="10"/>
        <v>25.122000000000071</v>
      </c>
      <c r="M60" s="9"/>
      <c r="N60" s="9"/>
      <c r="O60" s="9">
        <v>238.66956999999991</v>
      </c>
      <c r="P60" s="9"/>
      <c r="Q60" s="9">
        <f t="shared" si="11"/>
        <v>186.78440000000001</v>
      </c>
      <c r="R60" s="4">
        <f>12*Q60-O60-F60</f>
        <v>749.06023000000005</v>
      </c>
      <c r="S60" s="4">
        <f>R60+$S$1*Q60</f>
        <v>677.148236</v>
      </c>
      <c r="T60" s="22"/>
      <c r="U60" s="9">
        <f t="shared" si="8"/>
        <v>11.615</v>
      </c>
      <c r="V60" s="9">
        <f t="shared" si="12"/>
        <v>7.9897066885671393</v>
      </c>
      <c r="W60" s="9">
        <v>179.19659999999999</v>
      </c>
      <c r="X60" s="9">
        <v>169.71199999999999</v>
      </c>
      <c r="Y60" s="9">
        <v>165.36500000000001</v>
      </c>
      <c r="Z60" s="9">
        <v>160.84059999999999</v>
      </c>
      <c r="AA60" s="9">
        <v>178.38939999999999</v>
      </c>
      <c r="AB60" s="9">
        <v>198.24420000000001</v>
      </c>
      <c r="AC60" s="9">
        <v>186.80680000000001</v>
      </c>
      <c r="AD60" s="9">
        <v>175.28739999999999</v>
      </c>
      <c r="AE60" s="9">
        <v>181.8802</v>
      </c>
      <c r="AF60" s="9">
        <v>201.43039999999999</v>
      </c>
      <c r="AG60" s="9"/>
      <c r="AH60" s="9">
        <f t="shared" si="13"/>
        <v>677</v>
      </c>
      <c r="AI60" t="s">
        <v>156</v>
      </c>
    </row>
    <row r="61" spans="1:35" x14ac:dyDescent="0.25">
      <c r="A61" s="9" t="s">
        <v>157</v>
      </c>
      <c r="B61" s="9" t="s">
        <v>38</v>
      </c>
      <c r="C61" s="9">
        <v>131.404</v>
      </c>
      <c r="D61" s="9">
        <v>77.123000000000005</v>
      </c>
      <c r="E61" s="9">
        <v>91.254000000000005</v>
      </c>
      <c r="F61" s="9">
        <v>107.011</v>
      </c>
      <c r="G61" s="6">
        <v>1</v>
      </c>
      <c r="H61" s="9">
        <v>55</v>
      </c>
      <c r="I61" s="9" t="s">
        <v>39</v>
      </c>
      <c r="J61" s="9"/>
      <c r="K61" s="9">
        <v>92.45</v>
      </c>
      <c r="L61" s="9">
        <f t="shared" si="10"/>
        <v>-1.195999999999998</v>
      </c>
      <c r="M61" s="9"/>
      <c r="N61" s="9"/>
      <c r="O61" s="9">
        <v>17.399399999999989</v>
      </c>
      <c r="P61" s="9"/>
      <c r="Q61" s="9">
        <f t="shared" si="11"/>
        <v>18.250800000000002</v>
      </c>
      <c r="R61" s="4">
        <f>12*Q61-O61-F61</f>
        <v>94.599200000000053</v>
      </c>
      <c r="S61" s="4">
        <f>R61</f>
        <v>94.599200000000053</v>
      </c>
      <c r="T61" s="22"/>
      <c r="U61" s="9">
        <f t="shared" si="8"/>
        <v>12</v>
      </c>
      <c r="V61" s="9">
        <f t="shared" si="12"/>
        <v>6.8167094045192522</v>
      </c>
      <c r="W61" s="9">
        <v>15.446999999999999</v>
      </c>
      <c r="X61" s="9">
        <v>17.9756</v>
      </c>
      <c r="Y61" s="9">
        <v>16.6264</v>
      </c>
      <c r="Z61" s="9">
        <v>20.0504</v>
      </c>
      <c r="AA61" s="9">
        <v>20.848199999999999</v>
      </c>
      <c r="AB61" s="9">
        <v>17.22</v>
      </c>
      <c r="AC61" s="9">
        <v>18.130600000000001</v>
      </c>
      <c r="AD61" s="9">
        <v>18.803999999999998</v>
      </c>
      <c r="AE61" s="9">
        <v>19.883600000000001</v>
      </c>
      <c r="AF61" s="9">
        <v>22.8446</v>
      </c>
      <c r="AG61" s="9"/>
      <c r="AH61" s="9">
        <f t="shared" si="13"/>
        <v>95</v>
      </c>
      <c r="AI61" t="s">
        <v>158</v>
      </c>
    </row>
    <row r="62" spans="1:35" x14ac:dyDescent="0.25">
      <c r="A62" s="9" t="s">
        <v>159</v>
      </c>
      <c r="B62" s="9" t="s">
        <v>46</v>
      </c>
      <c r="C62" s="9">
        <v>249</v>
      </c>
      <c r="D62" s="9">
        <v>260</v>
      </c>
      <c r="E62" s="9">
        <v>219</v>
      </c>
      <c r="F62" s="9">
        <v>269</v>
      </c>
      <c r="G62" s="6">
        <v>0.1</v>
      </c>
      <c r="H62" s="9">
        <v>731</v>
      </c>
      <c r="I62" s="9" t="s">
        <v>39</v>
      </c>
      <c r="J62" s="9"/>
      <c r="K62" s="9">
        <v>223</v>
      </c>
      <c r="L62" s="9">
        <f t="shared" si="10"/>
        <v>-4</v>
      </c>
      <c r="M62" s="9"/>
      <c r="N62" s="9"/>
      <c r="O62" s="9">
        <v>109.6</v>
      </c>
      <c r="P62" s="9"/>
      <c r="Q62" s="9">
        <f t="shared" si="11"/>
        <v>43.8</v>
      </c>
      <c r="R62" s="4">
        <f>12*Q62-O62-F62</f>
        <v>146.99999999999989</v>
      </c>
      <c r="S62" s="4">
        <f>R62</f>
        <v>146.99999999999989</v>
      </c>
      <c r="T62" s="22"/>
      <c r="U62" s="9">
        <f t="shared" si="8"/>
        <v>11.999999999999998</v>
      </c>
      <c r="V62" s="9">
        <f t="shared" si="12"/>
        <v>8.6438356164383574</v>
      </c>
      <c r="W62" s="9">
        <v>41.8</v>
      </c>
      <c r="X62" s="9">
        <v>40.6</v>
      </c>
      <c r="Y62" s="9">
        <v>37.6</v>
      </c>
      <c r="Z62" s="9">
        <v>34</v>
      </c>
      <c r="AA62" s="9">
        <v>46</v>
      </c>
      <c r="AB62" s="9">
        <v>42.2</v>
      </c>
      <c r="AC62" s="9">
        <v>26</v>
      </c>
      <c r="AD62" s="9">
        <v>19</v>
      </c>
      <c r="AE62" s="9">
        <v>26.4</v>
      </c>
      <c r="AF62" s="9">
        <v>35</v>
      </c>
      <c r="AG62" s="9"/>
      <c r="AH62" s="9">
        <f t="shared" si="13"/>
        <v>15</v>
      </c>
      <c r="AI62" t="s">
        <v>160</v>
      </c>
    </row>
    <row r="63" spans="1:35" x14ac:dyDescent="0.25">
      <c r="A63" s="9" t="s">
        <v>161</v>
      </c>
      <c r="B63" s="9" t="s">
        <v>46</v>
      </c>
      <c r="C63" s="9">
        <v>322</v>
      </c>
      <c r="D63" s="9">
        <v>381</v>
      </c>
      <c r="E63" s="9">
        <v>345</v>
      </c>
      <c r="F63" s="9">
        <v>336</v>
      </c>
      <c r="G63" s="6">
        <v>0.4</v>
      </c>
      <c r="H63" s="9">
        <v>50</v>
      </c>
      <c r="I63" s="9" t="s">
        <v>39</v>
      </c>
      <c r="J63" s="9"/>
      <c r="K63" s="9">
        <v>347</v>
      </c>
      <c r="L63" s="9">
        <f t="shared" si="10"/>
        <v>-2</v>
      </c>
      <c r="M63" s="9"/>
      <c r="N63" s="9"/>
      <c r="O63" s="9">
        <v>185.49999999999989</v>
      </c>
      <c r="P63" s="9"/>
      <c r="Q63" s="9">
        <f t="shared" si="11"/>
        <v>69</v>
      </c>
      <c r="R63" s="4">
        <f>12*Q63-O63-F63</f>
        <v>306.50000000000011</v>
      </c>
      <c r="S63" s="4">
        <f>R63+$S$1*Q63</f>
        <v>279.93500000000012</v>
      </c>
      <c r="T63" s="22"/>
      <c r="U63" s="9">
        <f t="shared" si="8"/>
        <v>11.614999999999998</v>
      </c>
      <c r="V63" s="9">
        <f t="shared" si="12"/>
        <v>7.5579710144927521</v>
      </c>
      <c r="W63" s="9">
        <v>59.8</v>
      </c>
      <c r="X63" s="9">
        <v>59.4</v>
      </c>
      <c r="Y63" s="9">
        <v>52.2</v>
      </c>
      <c r="Z63" s="9">
        <v>41</v>
      </c>
      <c r="AA63" s="9">
        <v>60.6</v>
      </c>
      <c r="AB63" s="9">
        <v>49.4</v>
      </c>
      <c r="AC63" s="9">
        <v>42.6</v>
      </c>
      <c r="AD63" s="9">
        <v>47.8</v>
      </c>
      <c r="AE63" s="9">
        <v>52.2</v>
      </c>
      <c r="AF63" s="9">
        <v>44.4</v>
      </c>
      <c r="AG63" s="9"/>
      <c r="AH63" s="9">
        <f t="shared" si="13"/>
        <v>112</v>
      </c>
      <c r="AI63" t="s">
        <v>162</v>
      </c>
    </row>
    <row r="64" spans="1:35" x14ac:dyDescent="0.25">
      <c r="A64" s="9" t="s">
        <v>163</v>
      </c>
      <c r="B64" s="9" t="s">
        <v>38</v>
      </c>
      <c r="C64" s="9">
        <v>6.2949999999999999</v>
      </c>
      <c r="D64" s="9">
        <v>581.38300000000004</v>
      </c>
      <c r="E64" s="9">
        <v>127.178</v>
      </c>
      <c r="F64" s="9">
        <v>459.70400000000001</v>
      </c>
      <c r="G64" s="6">
        <v>1</v>
      </c>
      <c r="H64" s="9">
        <v>40</v>
      </c>
      <c r="I64" s="9" t="s">
        <v>39</v>
      </c>
      <c r="J64" s="9"/>
      <c r="K64" s="9">
        <v>227.9</v>
      </c>
      <c r="L64" s="9">
        <f t="shared" si="10"/>
        <v>-100.72200000000001</v>
      </c>
      <c r="M64" s="9"/>
      <c r="N64" s="9"/>
      <c r="O64" s="9">
        <v>100</v>
      </c>
      <c r="P64" s="9"/>
      <c r="Q64" s="9">
        <f t="shared" si="11"/>
        <v>25.435600000000001</v>
      </c>
      <c r="R64" s="4"/>
      <c r="S64" s="4">
        <f>R64</f>
        <v>0</v>
      </c>
      <c r="T64" s="22"/>
      <c r="U64" s="9">
        <f t="shared" si="8"/>
        <v>22.004749249083957</v>
      </c>
      <c r="V64" s="9">
        <f t="shared" si="12"/>
        <v>22.004749249083957</v>
      </c>
      <c r="W64" s="9">
        <v>28.949200000000001</v>
      </c>
      <c r="X64" s="9">
        <v>19.037400000000002</v>
      </c>
      <c r="Y64" s="9">
        <v>20.474399999999999</v>
      </c>
      <c r="Z64" s="9">
        <v>10.922000000000001</v>
      </c>
      <c r="AA64" s="9">
        <v>10.8414</v>
      </c>
      <c r="AB64" s="9">
        <v>9.9244000000000003</v>
      </c>
      <c r="AC64" s="9">
        <v>8.3956</v>
      </c>
      <c r="AD64" s="9">
        <v>9.6593999999999998</v>
      </c>
      <c r="AE64" s="9">
        <v>9.9038000000000004</v>
      </c>
      <c r="AF64" s="9">
        <v>9.5695999999999994</v>
      </c>
      <c r="AG64" s="9" t="s">
        <v>164</v>
      </c>
      <c r="AH64" s="9">
        <f t="shared" si="13"/>
        <v>0</v>
      </c>
      <c r="AI64" t="s">
        <v>165</v>
      </c>
    </row>
    <row r="65" spans="1:35" x14ac:dyDescent="0.25">
      <c r="A65" s="9" t="s">
        <v>166</v>
      </c>
      <c r="B65" s="9" t="s">
        <v>38</v>
      </c>
      <c r="C65" s="9">
        <v>8.0570000000000004</v>
      </c>
      <c r="D65" s="9">
        <v>570.59100000000001</v>
      </c>
      <c r="E65" s="9">
        <v>115.395</v>
      </c>
      <c r="F65" s="9">
        <v>463.25299999999999</v>
      </c>
      <c r="G65" s="6">
        <v>1</v>
      </c>
      <c r="H65" s="9">
        <v>40</v>
      </c>
      <c r="I65" s="9" t="s">
        <v>39</v>
      </c>
      <c r="J65" s="9"/>
      <c r="K65" s="9">
        <v>175.8</v>
      </c>
      <c r="L65" s="9">
        <f t="shared" si="10"/>
        <v>-60.405000000000015</v>
      </c>
      <c r="M65" s="9"/>
      <c r="N65" s="9"/>
      <c r="O65" s="9">
        <v>80</v>
      </c>
      <c r="P65" s="9"/>
      <c r="Q65" s="9">
        <f t="shared" si="11"/>
        <v>23.079000000000001</v>
      </c>
      <c r="R65" s="4"/>
      <c r="S65" s="4">
        <f>R65</f>
        <v>0</v>
      </c>
      <c r="T65" s="22"/>
      <c r="U65" s="9">
        <f t="shared" si="8"/>
        <v>23.538844837297972</v>
      </c>
      <c r="V65" s="9">
        <f t="shared" si="12"/>
        <v>23.538844837297972</v>
      </c>
      <c r="W65" s="9">
        <v>22.816600000000001</v>
      </c>
      <c r="X65" s="9">
        <v>0</v>
      </c>
      <c r="Y65" s="9">
        <v>0</v>
      </c>
      <c r="Z65" s="9">
        <v>0.27239999999999998</v>
      </c>
      <c r="AA65" s="9">
        <v>0.27239999999999998</v>
      </c>
      <c r="AB65" s="9">
        <v>0</v>
      </c>
      <c r="AC65" s="9">
        <v>0</v>
      </c>
      <c r="AD65" s="9">
        <v>0</v>
      </c>
      <c r="AE65" s="9">
        <v>0</v>
      </c>
      <c r="AF65" s="9">
        <v>0.27100000000000002</v>
      </c>
      <c r="AG65" s="9" t="s">
        <v>164</v>
      </c>
      <c r="AH65" s="9">
        <f t="shared" si="13"/>
        <v>0</v>
      </c>
      <c r="AI65" t="s">
        <v>167</v>
      </c>
    </row>
    <row r="66" spans="1:35" x14ac:dyDescent="0.25">
      <c r="A66" s="9" t="s">
        <v>168</v>
      </c>
      <c r="B66" s="9" t="s">
        <v>46</v>
      </c>
      <c r="C66" s="9">
        <v>832</v>
      </c>
      <c r="D66" s="9">
        <v>1601</v>
      </c>
      <c r="E66" s="9">
        <v>898</v>
      </c>
      <c r="F66" s="9">
        <v>1414</v>
      </c>
      <c r="G66" s="6">
        <v>0.4</v>
      </c>
      <c r="H66" s="9">
        <v>40</v>
      </c>
      <c r="I66" s="9" t="s">
        <v>39</v>
      </c>
      <c r="J66" s="9"/>
      <c r="K66" s="9">
        <v>916</v>
      </c>
      <c r="L66" s="9">
        <f t="shared" si="10"/>
        <v>-18</v>
      </c>
      <c r="M66" s="9"/>
      <c r="N66" s="9"/>
      <c r="O66" s="9">
        <v>192.47200000000001</v>
      </c>
      <c r="P66" s="9"/>
      <c r="Q66" s="9">
        <f t="shared" si="11"/>
        <v>179.6</v>
      </c>
      <c r="R66" s="4">
        <f>12*Q66-O66-F66</f>
        <v>548.72799999999984</v>
      </c>
      <c r="S66" s="4">
        <f>R66+$S$1*Q66</f>
        <v>479.58199999999982</v>
      </c>
      <c r="T66" s="22"/>
      <c r="U66" s="9">
        <f t="shared" si="8"/>
        <v>11.614999999999998</v>
      </c>
      <c r="V66" s="9">
        <f t="shared" si="12"/>
        <v>8.9447216035634742</v>
      </c>
      <c r="W66" s="9">
        <v>181.2</v>
      </c>
      <c r="X66" s="9">
        <v>180.6</v>
      </c>
      <c r="Y66" s="9">
        <v>186.2</v>
      </c>
      <c r="Z66" s="9">
        <v>159.19999999999999</v>
      </c>
      <c r="AA66" s="9">
        <v>162.80000000000001</v>
      </c>
      <c r="AB66" s="9">
        <v>187.4</v>
      </c>
      <c r="AC66" s="9">
        <v>170.2</v>
      </c>
      <c r="AD66" s="9">
        <v>152.4</v>
      </c>
      <c r="AE66" s="9">
        <v>164.8</v>
      </c>
      <c r="AF66" s="9">
        <v>173.8</v>
      </c>
      <c r="AG66" s="9"/>
      <c r="AH66" s="9">
        <f t="shared" si="13"/>
        <v>192</v>
      </c>
      <c r="AI66" t="s">
        <v>169</v>
      </c>
    </row>
    <row r="67" spans="1:35" x14ac:dyDescent="0.25">
      <c r="A67" s="9" t="s">
        <v>170</v>
      </c>
      <c r="B67" s="9" t="s">
        <v>46</v>
      </c>
      <c r="C67" s="9">
        <v>4</v>
      </c>
      <c r="D67" s="9">
        <v>911</v>
      </c>
      <c r="E67" s="9">
        <v>482</v>
      </c>
      <c r="F67" s="9">
        <v>344</v>
      </c>
      <c r="G67" s="6">
        <v>0.4</v>
      </c>
      <c r="H67" s="9">
        <v>40</v>
      </c>
      <c r="I67" s="8" t="s">
        <v>82</v>
      </c>
      <c r="J67" s="9"/>
      <c r="K67" s="9">
        <v>650</v>
      </c>
      <c r="L67" s="9">
        <f t="shared" si="10"/>
        <v>-168</v>
      </c>
      <c r="M67" s="9"/>
      <c r="N67" s="9"/>
      <c r="O67" s="9">
        <v>50.799999999999947</v>
      </c>
      <c r="P67" s="9"/>
      <c r="Q67" s="9">
        <f t="shared" si="11"/>
        <v>96.4</v>
      </c>
      <c r="R67" s="4">
        <v>250</v>
      </c>
      <c r="S67" s="4">
        <f>R67</f>
        <v>250</v>
      </c>
      <c r="T67" s="22"/>
      <c r="U67" s="9">
        <f t="shared" si="8"/>
        <v>6.6887966804979246</v>
      </c>
      <c r="V67" s="9">
        <f t="shared" si="12"/>
        <v>4.0954356846473026</v>
      </c>
      <c r="W67" s="9">
        <v>59.8</v>
      </c>
      <c r="X67" s="9">
        <v>2.2000000000000002</v>
      </c>
      <c r="Y67" s="9">
        <v>1</v>
      </c>
      <c r="Z67" s="9">
        <v>50.2</v>
      </c>
      <c r="AA67" s="9">
        <v>102</v>
      </c>
      <c r="AB67" s="9">
        <v>140.80000000000001</v>
      </c>
      <c r="AC67" s="9">
        <v>123.2</v>
      </c>
      <c r="AD67" s="9">
        <v>116.8</v>
      </c>
      <c r="AE67" s="9">
        <v>135.4</v>
      </c>
      <c r="AF67" s="9">
        <v>128.80000000000001</v>
      </c>
      <c r="AG67" s="9"/>
      <c r="AH67" s="9">
        <f t="shared" si="13"/>
        <v>100</v>
      </c>
      <c r="AI67" t="s">
        <v>171</v>
      </c>
    </row>
    <row r="68" spans="1:35" x14ac:dyDescent="0.25">
      <c r="A68" s="9" t="s">
        <v>172</v>
      </c>
      <c r="B68" s="9" t="s">
        <v>38</v>
      </c>
      <c r="C68" s="9">
        <v>281.71699999999998</v>
      </c>
      <c r="D68" s="9">
        <v>220.154</v>
      </c>
      <c r="E68" s="9">
        <v>282.79700000000003</v>
      </c>
      <c r="F68" s="9">
        <v>165.88300000000001</v>
      </c>
      <c r="G68" s="6">
        <v>1</v>
      </c>
      <c r="H68" s="9">
        <v>40</v>
      </c>
      <c r="I68" s="8" t="s">
        <v>82</v>
      </c>
      <c r="J68" s="9"/>
      <c r="K68" s="9">
        <v>282.95</v>
      </c>
      <c r="L68" s="9">
        <f t="shared" si="10"/>
        <v>-0.15299999999996317</v>
      </c>
      <c r="M68" s="9"/>
      <c r="N68" s="9"/>
      <c r="O68" s="9">
        <v>240.91407600000019</v>
      </c>
      <c r="P68" s="9"/>
      <c r="Q68" s="9">
        <f t="shared" si="11"/>
        <v>56.559400000000004</v>
      </c>
      <c r="R68" s="4">
        <f>12*Q68-O68-F68</f>
        <v>271.91572399999984</v>
      </c>
      <c r="S68" s="4">
        <f>R68</f>
        <v>271.91572399999984</v>
      </c>
      <c r="T68" s="22"/>
      <c r="U68" s="9">
        <f t="shared" si="8"/>
        <v>12</v>
      </c>
      <c r="V68" s="9">
        <f t="shared" si="12"/>
        <v>7.1923866943425878</v>
      </c>
      <c r="W68" s="9">
        <v>55.1158</v>
      </c>
      <c r="X68" s="9">
        <v>57.833799999999997</v>
      </c>
      <c r="Y68" s="9">
        <v>55.1432</v>
      </c>
      <c r="Z68" s="9">
        <v>54.483400000000003</v>
      </c>
      <c r="AA68" s="9">
        <v>59.456200000000003</v>
      </c>
      <c r="AB68" s="9">
        <v>60.828000000000003</v>
      </c>
      <c r="AC68" s="9">
        <v>57.925600000000003</v>
      </c>
      <c r="AD68" s="9">
        <v>62.245600000000003</v>
      </c>
      <c r="AE68" s="9">
        <v>58.9818</v>
      </c>
      <c r="AF68" s="9">
        <v>54.386400000000002</v>
      </c>
      <c r="AG68" s="9"/>
      <c r="AH68" s="9">
        <f t="shared" si="13"/>
        <v>272</v>
      </c>
      <c r="AI68" t="s">
        <v>173</v>
      </c>
    </row>
    <row r="69" spans="1:35" x14ac:dyDescent="0.25">
      <c r="A69" s="9" t="s">
        <v>174</v>
      </c>
      <c r="B69" s="9" t="s">
        <v>38</v>
      </c>
      <c r="C69" s="9">
        <v>299.12</v>
      </c>
      <c r="D69" s="9">
        <v>570.35799999999995</v>
      </c>
      <c r="E69" s="9">
        <v>374.60300000000001</v>
      </c>
      <c r="F69" s="9">
        <v>456.90100000000001</v>
      </c>
      <c r="G69" s="6">
        <v>1</v>
      </c>
      <c r="H69" s="9">
        <v>40</v>
      </c>
      <c r="I69" s="8" t="s">
        <v>82</v>
      </c>
      <c r="J69" s="9"/>
      <c r="K69" s="9">
        <v>372</v>
      </c>
      <c r="L69" s="9">
        <f t="shared" si="10"/>
        <v>2.6030000000000086</v>
      </c>
      <c r="M69" s="9"/>
      <c r="N69" s="9"/>
      <c r="O69" s="9">
        <v>117.7938019999998</v>
      </c>
      <c r="P69" s="9"/>
      <c r="Q69" s="9">
        <f t="shared" si="11"/>
        <v>74.920600000000007</v>
      </c>
      <c r="R69" s="4">
        <v>250</v>
      </c>
      <c r="S69" s="4">
        <f>R69</f>
        <v>250</v>
      </c>
      <c r="T69" s="22"/>
      <c r="U69" s="9">
        <f t="shared" si="8"/>
        <v>11.007584055653581</v>
      </c>
      <c r="V69" s="9">
        <f t="shared" si="12"/>
        <v>7.6707180935550392</v>
      </c>
      <c r="W69" s="9">
        <v>70.786599999999993</v>
      </c>
      <c r="X69" s="9">
        <v>88.879800000000003</v>
      </c>
      <c r="Y69" s="9">
        <v>87.743600000000001</v>
      </c>
      <c r="Z69" s="9">
        <v>69.691200000000009</v>
      </c>
      <c r="AA69" s="9">
        <v>74.162400000000005</v>
      </c>
      <c r="AB69" s="9">
        <v>74.625</v>
      </c>
      <c r="AC69" s="9">
        <v>66.962000000000003</v>
      </c>
      <c r="AD69" s="9">
        <v>73.197400000000002</v>
      </c>
      <c r="AE69" s="9">
        <v>65.809600000000003</v>
      </c>
      <c r="AF69" s="9">
        <v>65.876199999999997</v>
      </c>
      <c r="AG69" s="9"/>
      <c r="AH69" s="9">
        <f t="shared" si="13"/>
        <v>250</v>
      </c>
      <c r="AI69" t="s">
        <v>175</v>
      </c>
    </row>
    <row r="70" spans="1:35" x14ac:dyDescent="0.25">
      <c r="A70" s="9" t="s">
        <v>176</v>
      </c>
      <c r="B70" s="9" t="s">
        <v>38</v>
      </c>
      <c r="C70" s="9">
        <v>1301.3309999999999</v>
      </c>
      <c r="D70" s="9">
        <v>605.63199999999995</v>
      </c>
      <c r="E70" s="9">
        <v>728.76900000000001</v>
      </c>
      <c r="F70" s="9">
        <v>1099.5540000000001</v>
      </c>
      <c r="G70" s="6">
        <v>1</v>
      </c>
      <c r="H70" s="9">
        <v>40</v>
      </c>
      <c r="I70" s="9" t="s">
        <v>39</v>
      </c>
      <c r="J70" s="9"/>
      <c r="K70" s="9">
        <v>721.85</v>
      </c>
      <c r="L70" s="9">
        <f t="shared" ref="L70:L101" si="15">E70-K70</f>
        <v>6.9189999999999827</v>
      </c>
      <c r="M70" s="9"/>
      <c r="N70" s="9"/>
      <c r="O70" s="9">
        <v>175.1861999999999</v>
      </c>
      <c r="P70" s="9"/>
      <c r="Q70" s="9">
        <f t="shared" ref="Q70:Q101" si="16">E70/5</f>
        <v>145.75380000000001</v>
      </c>
      <c r="R70" s="4">
        <f t="shared" ref="R70:R80" si="17">12*Q70-O70-F70</f>
        <v>474.30540000000019</v>
      </c>
      <c r="S70" s="4">
        <f>R70+$S$1*Q70</f>
        <v>418.19018700000021</v>
      </c>
      <c r="T70" s="22"/>
      <c r="U70" s="9">
        <f t="shared" si="8"/>
        <v>11.615</v>
      </c>
      <c r="V70" s="9">
        <f t="shared" ref="V70:V101" si="18">(F70+O70)/Q70</f>
        <v>8.7458453913379941</v>
      </c>
      <c r="W70" s="9">
        <v>144.0752</v>
      </c>
      <c r="X70" s="9">
        <v>137.29580000000001</v>
      </c>
      <c r="Y70" s="9">
        <v>137.2748</v>
      </c>
      <c r="Z70" s="9">
        <v>175.5292</v>
      </c>
      <c r="AA70" s="9">
        <v>172.87260000000001</v>
      </c>
      <c r="AB70" s="9">
        <v>159.3614</v>
      </c>
      <c r="AC70" s="9">
        <v>169.21940000000001</v>
      </c>
      <c r="AD70" s="9">
        <v>161.20079999999999</v>
      </c>
      <c r="AE70" s="9">
        <v>159.1652</v>
      </c>
      <c r="AF70" s="9">
        <v>160.1902</v>
      </c>
      <c r="AG70" s="9"/>
      <c r="AH70" s="9">
        <f t="shared" ref="AH70:AH101" si="19">ROUND(G70*S70,0)</f>
        <v>418</v>
      </c>
      <c r="AI70" t="s">
        <v>177</v>
      </c>
    </row>
    <row r="71" spans="1:35" x14ac:dyDescent="0.25">
      <c r="A71" s="9" t="s">
        <v>178</v>
      </c>
      <c r="B71" s="9" t="s">
        <v>38</v>
      </c>
      <c r="C71" s="9">
        <v>273.11399999999998</v>
      </c>
      <c r="D71" s="9">
        <v>263.11</v>
      </c>
      <c r="E71" s="9">
        <v>223.67699999999999</v>
      </c>
      <c r="F71" s="9">
        <v>253.73099999999999</v>
      </c>
      <c r="G71" s="6">
        <v>1</v>
      </c>
      <c r="H71" s="9">
        <v>40</v>
      </c>
      <c r="I71" s="9" t="s">
        <v>39</v>
      </c>
      <c r="J71" s="9"/>
      <c r="K71" s="9">
        <v>246.9</v>
      </c>
      <c r="L71" s="9">
        <f t="shared" si="15"/>
        <v>-23.223000000000013</v>
      </c>
      <c r="M71" s="9"/>
      <c r="N71" s="9"/>
      <c r="O71" s="9">
        <v>53.89570000000009</v>
      </c>
      <c r="P71" s="9"/>
      <c r="Q71" s="9">
        <f t="shared" si="16"/>
        <v>44.735399999999998</v>
      </c>
      <c r="R71" s="4">
        <f t="shared" si="17"/>
        <v>229.1980999999999</v>
      </c>
      <c r="S71" s="4">
        <f>R71+$S$1*Q71</f>
        <v>211.9749709999999</v>
      </c>
      <c r="T71" s="22"/>
      <c r="U71" s="9">
        <f t="shared" ref="U71:U134" si="20">(F71+O71+S71+T71)/Q71</f>
        <v>11.615</v>
      </c>
      <c r="V71" s="9">
        <f t="shared" si="18"/>
        <v>6.876583198093682</v>
      </c>
      <c r="W71" s="9">
        <v>40.375599999999999</v>
      </c>
      <c r="X71" s="9">
        <v>45.681600000000003</v>
      </c>
      <c r="Y71" s="9">
        <v>44.385399999999997</v>
      </c>
      <c r="Z71" s="9">
        <v>47.916400000000003</v>
      </c>
      <c r="AA71" s="9">
        <v>52.795399999999987</v>
      </c>
      <c r="AB71" s="9">
        <v>48.722799999999999</v>
      </c>
      <c r="AC71" s="9">
        <v>50.617800000000003</v>
      </c>
      <c r="AD71" s="9">
        <v>59.919400000000003</v>
      </c>
      <c r="AE71" s="9">
        <v>55.928999999999988</v>
      </c>
      <c r="AF71" s="9">
        <v>43.223999999999997</v>
      </c>
      <c r="AG71" s="9"/>
      <c r="AH71" s="9">
        <f t="shared" si="19"/>
        <v>212</v>
      </c>
      <c r="AI71" t="s">
        <v>179</v>
      </c>
    </row>
    <row r="72" spans="1:35" x14ac:dyDescent="0.25">
      <c r="A72" s="9" t="s">
        <v>180</v>
      </c>
      <c r="B72" s="9" t="s">
        <v>46</v>
      </c>
      <c r="C72" s="9">
        <v>18</v>
      </c>
      <c r="D72" s="9"/>
      <c r="E72" s="9">
        <v>10</v>
      </c>
      <c r="F72" s="9">
        <v>8</v>
      </c>
      <c r="G72" s="6">
        <v>0.6</v>
      </c>
      <c r="H72" s="9">
        <v>70</v>
      </c>
      <c r="I72" s="9" t="s">
        <v>39</v>
      </c>
      <c r="J72" s="9"/>
      <c r="K72" s="9">
        <v>10</v>
      </c>
      <c r="L72" s="9">
        <f t="shared" si="15"/>
        <v>0</v>
      </c>
      <c r="M72" s="9"/>
      <c r="N72" s="9"/>
      <c r="O72" s="9">
        <v>8</v>
      </c>
      <c r="P72" s="9"/>
      <c r="Q72" s="9">
        <f t="shared" si="16"/>
        <v>2</v>
      </c>
      <c r="R72" s="4">
        <f t="shared" si="17"/>
        <v>8</v>
      </c>
      <c r="S72" s="4">
        <f t="shared" ref="S72:S78" si="21">R72</f>
        <v>8</v>
      </c>
      <c r="T72" s="22"/>
      <c r="U72" s="9">
        <f t="shared" si="20"/>
        <v>12</v>
      </c>
      <c r="V72" s="9">
        <f t="shared" si="18"/>
        <v>8</v>
      </c>
      <c r="W72" s="9">
        <v>2</v>
      </c>
      <c r="X72" s="9">
        <v>1.2</v>
      </c>
      <c r="Y72" s="9">
        <v>0.4</v>
      </c>
      <c r="Z72" s="9">
        <v>1.2</v>
      </c>
      <c r="AA72" s="9">
        <v>2</v>
      </c>
      <c r="AB72" s="9">
        <v>2</v>
      </c>
      <c r="AC72" s="9">
        <v>0.8</v>
      </c>
      <c r="AD72" s="9">
        <v>0.8</v>
      </c>
      <c r="AE72" s="9">
        <v>1</v>
      </c>
      <c r="AF72" s="9">
        <v>0.8</v>
      </c>
      <c r="AG72" s="9"/>
      <c r="AH72" s="9">
        <f t="shared" si="19"/>
        <v>5</v>
      </c>
      <c r="AI72" t="s">
        <v>181</v>
      </c>
    </row>
    <row r="73" spans="1:35" x14ac:dyDescent="0.25">
      <c r="A73" s="9" t="s">
        <v>182</v>
      </c>
      <c r="B73" s="9" t="s">
        <v>38</v>
      </c>
      <c r="C73" s="9">
        <v>129.59</v>
      </c>
      <c r="D73" s="9">
        <v>725.48</v>
      </c>
      <c r="E73" s="9">
        <v>243.67099999999999</v>
      </c>
      <c r="F73" s="9">
        <v>546.15800000000002</v>
      </c>
      <c r="G73" s="6">
        <v>1</v>
      </c>
      <c r="H73" s="9">
        <v>30</v>
      </c>
      <c r="I73" s="9" t="s">
        <v>39</v>
      </c>
      <c r="J73" s="9"/>
      <c r="K73" s="9">
        <v>301.82</v>
      </c>
      <c r="L73" s="9">
        <f t="shared" si="15"/>
        <v>-58.149000000000001</v>
      </c>
      <c r="M73" s="9"/>
      <c r="N73" s="9"/>
      <c r="O73" s="9">
        <v>0</v>
      </c>
      <c r="P73" s="9"/>
      <c r="Q73" s="9">
        <f t="shared" si="16"/>
        <v>48.734200000000001</v>
      </c>
      <c r="R73" s="4">
        <f t="shared" si="17"/>
        <v>38.652400000000057</v>
      </c>
      <c r="S73" s="4">
        <f t="shared" si="21"/>
        <v>38.652400000000057</v>
      </c>
      <c r="T73" s="22"/>
      <c r="U73" s="9">
        <f t="shared" si="20"/>
        <v>12.000000000000002</v>
      </c>
      <c r="V73" s="9">
        <f t="shared" si="18"/>
        <v>11.20687320198136</v>
      </c>
      <c r="W73" s="9">
        <v>49.574399999999997</v>
      </c>
      <c r="X73" s="9">
        <v>57.8048</v>
      </c>
      <c r="Y73" s="9">
        <v>60.2044</v>
      </c>
      <c r="Z73" s="9">
        <v>77.722000000000008</v>
      </c>
      <c r="AA73" s="9">
        <v>80.553599999999989</v>
      </c>
      <c r="AB73" s="9">
        <v>64.354600000000005</v>
      </c>
      <c r="AC73" s="9">
        <v>60.799799999999998</v>
      </c>
      <c r="AD73" s="9">
        <v>58.539200000000008</v>
      </c>
      <c r="AE73" s="9">
        <v>62.701199999999993</v>
      </c>
      <c r="AF73" s="9">
        <v>68.597200000000001</v>
      </c>
      <c r="AG73" s="9"/>
      <c r="AH73" s="9">
        <f t="shared" si="19"/>
        <v>39</v>
      </c>
      <c r="AI73" t="s">
        <v>183</v>
      </c>
    </row>
    <row r="74" spans="1:35" x14ac:dyDescent="0.25">
      <c r="A74" s="9" t="s">
        <v>184</v>
      </c>
      <c r="B74" s="9" t="s">
        <v>46</v>
      </c>
      <c r="C74" s="9">
        <v>212</v>
      </c>
      <c r="D74" s="9">
        <v>72</v>
      </c>
      <c r="E74" s="9">
        <v>114</v>
      </c>
      <c r="F74" s="9">
        <v>163</v>
      </c>
      <c r="G74" s="6">
        <v>0.6</v>
      </c>
      <c r="H74" s="9">
        <v>60</v>
      </c>
      <c r="I74" s="9" t="s">
        <v>39</v>
      </c>
      <c r="J74" s="9"/>
      <c r="K74" s="9">
        <v>121</v>
      </c>
      <c r="L74" s="9">
        <f t="shared" si="15"/>
        <v>-7</v>
      </c>
      <c r="M74" s="9"/>
      <c r="N74" s="9"/>
      <c r="O74" s="9">
        <v>8.5</v>
      </c>
      <c r="P74" s="9"/>
      <c r="Q74" s="9">
        <f t="shared" si="16"/>
        <v>22.8</v>
      </c>
      <c r="R74" s="4">
        <f t="shared" si="17"/>
        <v>102.10000000000002</v>
      </c>
      <c r="S74" s="4">
        <f t="shared" si="21"/>
        <v>102.10000000000002</v>
      </c>
      <c r="T74" s="22"/>
      <c r="U74" s="9">
        <f t="shared" si="20"/>
        <v>12</v>
      </c>
      <c r="V74" s="9">
        <f t="shared" si="18"/>
        <v>7.5219298245614032</v>
      </c>
      <c r="W74" s="9">
        <v>19.2</v>
      </c>
      <c r="X74" s="9">
        <v>23.4</v>
      </c>
      <c r="Y74" s="9">
        <v>25.4</v>
      </c>
      <c r="Z74" s="9">
        <v>18.600000000000001</v>
      </c>
      <c r="AA74" s="9">
        <v>32.6</v>
      </c>
      <c r="AB74" s="9">
        <v>24.6</v>
      </c>
      <c r="AC74" s="9">
        <v>15</v>
      </c>
      <c r="AD74" s="9">
        <v>22.8</v>
      </c>
      <c r="AE74" s="9">
        <v>22.4</v>
      </c>
      <c r="AF74" s="9">
        <v>20.6</v>
      </c>
      <c r="AG74" s="9"/>
      <c r="AH74" s="9">
        <f t="shared" si="19"/>
        <v>61</v>
      </c>
      <c r="AI74" t="s">
        <v>185</v>
      </c>
    </row>
    <row r="75" spans="1:35" x14ac:dyDescent="0.25">
      <c r="A75" s="9" t="s">
        <v>186</v>
      </c>
      <c r="B75" s="9" t="s">
        <v>46</v>
      </c>
      <c r="C75" s="9">
        <v>56</v>
      </c>
      <c r="D75" s="9">
        <v>8</v>
      </c>
      <c r="E75" s="9">
        <v>29</v>
      </c>
      <c r="F75" s="9">
        <v>35</v>
      </c>
      <c r="G75" s="6">
        <v>0.6</v>
      </c>
      <c r="H75" s="9">
        <v>60</v>
      </c>
      <c r="I75" s="9" t="s">
        <v>39</v>
      </c>
      <c r="J75" s="9"/>
      <c r="K75" s="9">
        <v>30</v>
      </c>
      <c r="L75" s="9">
        <f t="shared" si="15"/>
        <v>-1</v>
      </c>
      <c r="M75" s="9"/>
      <c r="N75" s="9"/>
      <c r="O75" s="9">
        <v>0</v>
      </c>
      <c r="P75" s="9"/>
      <c r="Q75" s="9">
        <f t="shared" si="16"/>
        <v>5.8</v>
      </c>
      <c r="R75" s="4">
        <f t="shared" si="17"/>
        <v>34.599999999999994</v>
      </c>
      <c r="S75" s="4">
        <f t="shared" si="21"/>
        <v>34.599999999999994</v>
      </c>
      <c r="T75" s="22"/>
      <c r="U75" s="9">
        <f t="shared" si="20"/>
        <v>12</v>
      </c>
      <c r="V75" s="9">
        <f t="shared" si="18"/>
        <v>6.0344827586206895</v>
      </c>
      <c r="W75" s="9">
        <v>4</v>
      </c>
      <c r="X75" s="9">
        <v>5.4</v>
      </c>
      <c r="Y75" s="9">
        <v>4.4000000000000004</v>
      </c>
      <c r="Z75" s="9">
        <v>4</v>
      </c>
      <c r="AA75" s="9">
        <v>5.4</v>
      </c>
      <c r="AB75" s="9">
        <v>5.8</v>
      </c>
      <c r="AC75" s="9">
        <v>4.2</v>
      </c>
      <c r="AD75" s="9">
        <v>4.4000000000000004</v>
      </c>
      <c r="AE75" s="9">
        <v>7.2</v>
      </c>
      <c r="AF75" s="9">
        <v>6.4</v>
      </c>
      <c r="AG75" s="9"/>
      <c r="AH75" s="9">
        <f t="shared" si="19"/>
        <v>21</v>
      </c>
      <c r="AI75" t="s">
        <v>187</v>
      </c>
    </row>
    <row r="76" spans="1:35" x14ac:dyDescent="0.25">
      <c r="A76" s="9" t="s">
        <v>188</v>
      </c>
      <c r="B76" s="9" t="s">
        <v>46</v>
      </c>
      <c r="C76" s="9">
        <v>88</v>
      </c>
      <c r="D76" s="9">
        <v>152</v>
      </c>
      <c r="E76" s="9">
        <v>114</v>
      </c>
      <c r="F76" s="9">
        <v>116</v>
      </c>
      <c r="G76" s="6">
        <v>0.4</v>
      </c>
      <c r="H76" s="9">
        <v>90</v>
      </c>
      <c r="I76" s="9" t="s">
        <v>39</v>
      </c>
      <c r="J76" s="9"/>
      <c r="K76" s="9">
        <v>115</v>
      </c>
      <c r="L76" s="9">
        <f t="shared" si="15"/>
        <v>-1</v>
      </c>
      <c r="M76" s="9"/>
      <c r="N76" s="9"/>
      <c r="O76" s="9">
        <v>120.09999999999989</v>
      </c>
      <c r="P76" s="9"/>
      <c r="Q76" s="9">
        <f t="shared" si="16"/>
        <v>22.8</v>
      </c>
      <c r="R76" s="4">
        <f t="shared" si="17"/>
        <v>37.500000000000114</v>
      </c>
      <c r="S76" s="4">
        <f t="shared" si="21"/>
        <v>37.500000000000114</v>
      </c>
      <c r="T76" s="22"/>
      <c r="U76" s="9">
        <f t="shared" si="20"/>
        <v>12</v>
      </c>
      <c r="V76" s="9">
        <f t="shared" si="18"/>
        <v>10.355263157894733</v>
      </c>
      <c r="W76" s="9">
        <v>25.2</v>
      </c>
      <c r="X76" s="9">
        <v>20.6</v>
      </c>
      <c r="Y76" s="9">
        <v>22.2</v>
      </c>
      <c r="Z76" s="9">
        <v>19.8</v>
      </c>
      <c r="AA76" s="9">
        <v>15.6</v>
      </c>
      <c r="AB76" s="9">
        <v>17.8</v>
      </c>
      <c r="AC76" s="9">
        <v>17.2</v>
      </c>
      <c r="AD76" s="9">
        <v>22.6</v>
      </c>
      <c r="AE76" s="9">
        <v>24.6</v>
      </c>
      <c r="AF76" s="9">
        <v>23.8</v>
      </c>
      <c r="AG76" s="9"/>
      <c r="AH76" s="9">
        <f t="shared" si="19"/>
        <v>15</v>
      </c>
      <c r="AI76" t="s">
        <v>189</v>
      </c>
    </row>
    <row r="77" spans="1:35" x14ac:dyDescent="0.25">
      <c r="A77" s="9" t="s">
        <v>190</v>
      </c>
      <c r="B77" s="9" t="s">
        <v>46</v>
      </c>
      <c r="C77" s="9">
        <v>69</v>
      </c>
      <c r="D77" s="9">
        <v>280</v>
      </c>
      <c r="E77" s="9">
        <v>149</v>
      </c>
      <c r="F77" s="9">
        <v>189</v>
      </c>
      <c r="G77" s="6">
        <v>0.33</v>
      </c>
      <c r="H77" s="9">
        <v>60</v>
      </c>
      <c r="I77" s="9" t="s">
        <v>39</v>
      </c>
      <c r="J77" s="9"/>
      <c r="K77" s="9">
        <v>151</v>
      </c>
      <c r="L77" s="9">
        <f t="shared" si="15"/>
        <v>-2</v>
      </c>
      <c r="M77" s="9"/>
      <c r="N77" s="9"/>
      <c r="O77" s="9">
        <v>104.9</v>
      </c>
      <c r="P77" s="9"/>
      <c r="Q77" s="9">
        <f t="shared" si="16"/>
        <v>29.8</v>
      </c>
      <c r="R77" s="4">
        <f t="shared" si="17"/>
        <v>63.700000000000017</v>
      </c>
      <c r="S77" s="4">
        <f t="shared" si="21"/>
        <v>63.700000000000017</v>
      </c>
      <c r="T77" s="22"/>
      <c r="U77" s="9">
        <f t="shared" si="20"/>
        <v>12</v>
      </c>
      <c r="V77" s="9">
        <f t="shared" si="18"/>
        <v>9.8624161073825487</v>
      </c>
      <c r="W77" s="9">
        <v>31.6</v>
      </c>
      <c r="X77" s="9">
        <v>29</v>
      </c>
      <c r="Y77" s="9">
        <v>28.6</v>
      </c>
      <c r="Z77" s="9">
        <v>23</v>
      </c>
      <c r="AA77" s="9">
        <v>19.2</v>
      </c>
      <c r="AB77" s="9">
        <v>26</v>
      </c>
      <c r="AC77" s="9">
        <v>23.8</v>
      </c>
      <c r="AD77" s="9">
        <v>24.6</v>
      </c>
      <c r="AE77" s="9">
        <v>25.2</v>
      </c>
      <c r="AF77" s="9">
        <v>29</v>
      </c>
      <c r="AG77" s="9"/>
      <c r="AH77" s="9">
        <f t="shared" si="19"/>
        <v>21</v>
      </c>
      <c r="AI77" t="s">
        <v>191</v>
      </c>
    </row>
    <row r="78" spans="1:35" x14ac:dyDescent="0.25">
      <c r="A78" s="9" t="s">
        <v>192</v>
      </c>
      <c r="B78" s="9" t="s">
        <v>46</v>
      </c>
      <c r="C78" s="9">
        <v>78</v>
      </c>
      <c r="D78" s="9">
        <v>160</v>
      </c>
      <c r="E78" s="9">
        <v>110</v>
      </c>
      <c r="F78" s="9">
        <v>124</v>
      </c>
      <c r="G78" s="6">
        <v>0.35</v>
      </c>
      <c r="H78" s="9">
        <v>90</v>
      </c>
      <c r="I78" s="9" t="s">
        <v>39</v>
      </c>
      <c r="J78" s="9"/>
      <c r="K78" s="9">
        <v>110</v>
      </c>
      <c r="L78" s="9">
        <f t="shared" si="15"/>
        <v>0</v>
      </c>
      <c r="M78" s="9"/>
      <c r="N78" s="9"/>
      <c r="O78" s="9">
        <v>70.300000000000011</v>
      </c>
      <c r="P78" s="9"/>
      <c r="Q78" s="9">
        <f t="shared" si="16"/>
        <v>22</v>
      </c>
      <c r="R78" s="4">
        <f t="shared" si="17"/>
        <v>69.699999999999989</v>
      </c>
      <c r="S78" s="4">
        <f t="shared" si="21"/>
        <v>69.699999999999989</v>
      </c>
      <c r="T78" s="22"/>
      <c r="U78" s="9">
        <f t="shared" si="20"/>
        <v>12</v>
      </c>
      <c r="V78" s="9">
        <f t="shared" si="18"/>
        <v>8.831818181818182</v>
      </c>
      <c r="W78" s="9">
        <v>21.8</v>
      </c>
      <c r="X78" s="9">
        <v>20</v>
      </c>
      <c r="Y78" s="9">
        <v>23</v>
      </c>
      <c r="Z78" s="9">
        <v>19</v>
      </c>
      <c r="AA78" s="9">
        <v>19.2</v>
      </c>
      <c r="AB78" s="9">
        <v>20.6</v>
      </c>
      <c r="AC78" s="9">
        <v>15.6</v>
      </c>
      <c r="AD78" s="9">
        <v>13.6</v>
      </c>
      <c r="AE78" s="9">
        <v>12.6</v>
      </c>
      <c r="AF78" s="9">
        <v>8.6</v>
      </c>
      <c r="AG78" s="9"/>
      <c r="AH78" s="9">
        <f t="shared" si="19"/>
        <v>24</v>
      </c>
      <c r="AI78" t="s">
        <v>193</v>
      </c>
    </row>
    <row r="79" spans="1:35" x14ac:dyDescent="0.25">
      <c r="A79" s="9" t="s">
        <v>194</v>
      </c>
      <c r="B79" s="9" t="s">
        <v>46</v>
      </c>
      <c r="C79" s="9">
        <v>519</v>
      </c>
      <c r="D79" s="9">
        <v>680</v>
      </c>
      <c r="E79" s="9">
        <v>565</v>
      </c>
      <c r="F79" s="9">
        <v>610</v>
      </c>
      <c r="G79" s="6">
        <v>0.37</v>
      </c>
      <c r="H79" s="9">
        <v>50</v>
      </c>
      <c r="I79" s="9" t="s">
        <v>39</v>
      </c>
      <c r="J79" s="9"/>
      <c r="K79" s="9">
        <v>566</v>
      </c>
      <c r="L79" s="9">
        <f t="shared" si="15"/>
        <v>-1</v>
      </c>
      <c r="M79" s="9"/>
      <c r="N79" s="9"/>
      <c r="O79" s="9">
        <v>146.04</v>
      </c>
      <c r="P79" s="9"/>
      <c r="Q79" s="9">
        <f t="shared" si="16"/>
        <v>113</v>
      </c>
      <c r="R79" s="4">
        <f t="shared" si="17"/>
        <v>599.96</v>
      </c>
      <c r="S79" s="4">
        <f>R79+$S$1*Q79</f>
        <v>556.45500000000004</v>
      </c>
      <c r="T79" s="22"/>
      <c r="U79" s="9">
        <f t="shared" si="20"/>
        <v>11.614999999999998</v>
      </c>
      <c r="V79" s="9">
        <f t="shared" si="18"/>
        <v>6.6906194690265481</v>
      </c>
      <c r="W79" s="9">
        <v>100</v>
      </c>
      <c r="X79" s="9">
        <v>88.2</v>
      </c>
      <c r="Y79" s="9">
        <v>79.2</v>
      </c>
      <c r="Z79" s="9">
        <v>78.2</v>
      </c>
      <c r="AA79" s="9">
        <v>97.8</v>
      </c>
      <c r="AB79" s="9">
        <v>89.2</v>
      </c>
      <c r="AC79" s="9">
        <v>84.6</v>
      </c>
      <c r="AD79" s="9">
        <v>103.8</v>
      </c>
      <c r="AE79" s="9">
        <v>109.6</v>
      </c>
      <c r="AF79" s="9">
        <v>106.2</v>
      </c>
      <c r="AG79" s="9"/>
      <c r="AH79" s="9">
        <f t="shared" si="19"/>
        <v>206</v>
      </c>
      <c r="AI79" t="s">
        <v>195</v>
      </c>
    </row>
    <row r="80" spans="1:35" x14ac:dyDescent="0.25">
      <c r="A80" s="9" t="s">
        <v>196</v>
      </c>
      <c r="B80" s="9" t="s">
        <v>46</v>
      </c>
      <c r="C80" s="9">
        <v>166</v>
      </c>
      <c r="D80" s="9">
        <v>40</v>
      </c>
      <c r="E80" s="9">
        <v>98</v>
      </c>
      <c r="F80" s="9">
        <v>95</v>
      </c>
      <c r="G80" s="6">
        <v>0.6</v>
      </c>
      <c r="H80" s="9">
        <v>70</v>
      </c>
      <c r="I80" s="9" t="s">
        <v>39</v>
      </c>
      <c r="J80" s="9"/>
      <c r="K80" s="9">
        <v>98</v>
      </c>
      <c r="L80" s="9">
        <f t="shared" si="15"/>
        <v>0</v>
      </c>
      <c r="M80" s="9"/>
      <c r="N80" s="9"/>
      <c r="O80" s="9">
        <v>127</v>
      </c>
      <c r="P80" s="9"/>
      <c r="Q80" s="9">
        <f t="shared" si="16"/>
        <v>19.600000000000001</v>
      </c>
      <c r="R80" s="4">
        <f t="shared" si="17"/>
        <v>13.200000000000017</v>
      </c>
      <c r="S80" s="4">
        <f>R80</f>
        <v>13.200000000000017</v>
      </c>
      <c r="T80" s="22"/>
      <c r="U80" s="9">
        <f t="shared" si="20"/>
        <v>12</v>
      </c>
      <c r="V80" s="9">
        <f t="shared" si="18"/>
        <v>11.326530612244897</v>
      </c>
      <c r="W80" s="9">
        <v>22.8</v>
      </c>
      <c r="X80" s="9">
        <v>16.8</v>
      </c>
      <c r="Y80" s="9">
        <v>15.2</v>
      </c>
      <c r="Z80" s="9">
        <v>20.8</v>
      </c>
      <c r="AA80" s="9">
        <v>25.2</v>
      </c>
      <c r="AB80" s="9">
        <v>23</v>
      </c>
      <c r="AC80" s="9">
        <v>22.2</v>
      </c>
      <c r="AD80" s="9">
        <v>20</v>
      </c>
      <c r="AE80" s="9">
        <v>24.4</v>
      </c>
      <c r="AF80" s="9">
        <v>23.6</v>
      </c>
      <c r="AG80" s="9"/>
      <c r="AH80" s="9">
        <f t="shared" si="19"/>
        <v>8</v>
      </c>
      <c r="AI80" t="s">
        <v>197</v>
      </c>
    </row>
    <row r="81" spans="1:35" x14ac:dyDescent="0.25">
      <c r="A81" s="9" t="s">
        <v>198</v>
      </c>
      <c r="B81" s="9" t="s">
        <v>46</v>
      </c>
      <c r="C81" s="9">
        <v>40</v>
      </c>
      <c r="D81" s="9">
        <v>84</v>
      </c>
      <c r="E81" s="9">
        <v>28</v>
      </c>
      <c r="F81" s="9">
        <v>93</v>
      </c>
      <c r="G81" s="6">
        <v>0.33</v>
      </c>
      <c r="H81" s="9">
        <v>40</v>
      </c>
      <c r="I81" s="9" t="s">
        <v>39</v>
      </c>
      <c r="J81" s="9"/>
      <c r="K81" s="9">
        <v>46</v>
      </c>
      <c r="L81" s="9">
        <f t="shared" si="15"/>
        <v>-18</v>
      </c>
      <c r="M81" s="9"/>
      <c r="N81" s="9"/>
      <c r="O81" s="9">
        <v>0</v>
      </c>
      <c r="P81" s="9"/>
      <c r="Q81" s="9">
        <f t="shared" si="16"/>
        <v>5.6</v>
      </c>
      <c r="R81" s="4"/>
      <c r="S81" s="4">
        <f>R81</f>
        <v>0</v>
      </c>
      <c r="T81" s="22"/>
      <c r="U81" s="9">
        <f t="shared" si="20"/>
        <v>16.607142857142858</v>
      </c>
      <c r="V81" s="9">
        <f t="shared" si="18"/>
        <v>16.607142857142858</v>
      </c>
      <c r="W81" s="9">
        <v>8.8000000000000007</v>
      </c>
      <c r="X81" s="9">
        <v>10.6</v>
      </c>
      <c r="Y81" s="9">
        <v>10.6</v>
      </c>
      <c r="Z81" s="9">
        <v>10.4</v>
      </c>
      <c r="AA81" s="9">
        <v>9</v>
      </c>
      <c r="AB81" s="9">
        <v>8.6</v>
      </c>
      <c r="AC81" s="9">
        <v>6</v>
      </c>
      <c r="AD81" s="9">
        <v>5.6</v>
      </c>
      <c r="AE81" s="9">
        <v>8.4</v>
      </c>
      <c r="AF81" s="9">
        <v>9.8000000000000007</v>
      </c>
      <c r="AG81" s="9"/>
      <c r="AH81" s="9">
        <f t="shared" si="19"/>
        <v>0</v>
      </c>
      <c r="AI81" t="s">
        <v>199</v>
      </c>
    </row>
    <row r="82" spans="1:35" x14ac:dyDescent="0.25">
      <c r="A82" s="9" t="s">
        <v>200</v>
      </c>
      <c r="B82" s="9" t="s">
        <v>46</v>
      </c>
      <c r="C82" s="9">
        <v>341</v>
      </c>
      <c r="D82" s="9">
        <v>90</v>
      </c>
      <c r="E82" s="9">
        <v>279</v>
      </c>
      <c r="F82" s="9">
        <v>143</v>
      </c>
      <c r="G82" s="6">
        <v>0.4</v>
      </c>
      <c r="H82" s="9">
        <v>55</v>
      </c>
      <c r="I82" s="9" t="s">
        <v>39</v>
      </c>
      <c r="J82" s="9"/>
      <c r="K82" s="9">
        <v>280</v>
      </c>
      <c r="L82" s="9">
        <f t="shared" si="15"/>
        <v>-1</v>
      </c>
      <c r="M82" s="9"/>
      <c r="N82" s="9"/>
      <c r="O82" s="9">
        <v>271.30999999999989</v>
      </c>
      <c r="P82" s="9"/>
      <c r="Q82" s="9">
        <f t="shared" si="16"/>
        <v>55.8</v>
      </c>
      <c r="R82" s="4">
        <f>12*Q82-O82-F82</f>
        <v>255.29000000000002</v>
      </c>
      <c r="S82" s="4">
        <f>R82+$S$1*Q82</f>
        <v>233.80700000000002</v>
      </c>
      <c r="T82" s="22"/>
      <c r="U82" s="9">
        <f t="shared" si="20"/>
        <v>11.615</v>
      </c>
      <c r="V82" s="9">
        <f t="shared" si="18"/>
        <v>7.4249103942652317</v>
      </c>
      <c r="W82" s="9">
        <v>49.8</v>
      </c>
      <c r="X82" s="9">
        <v>36.200000000000003</v>
      </c>
      <c r="Y82" s="9">
        <v>42</v>
      </c>
      <c r="Z82" s="9">
        <v>46</v>
      </c>
      <c r="AA82" s="9">
        <v>56.4</v>
      </c>
      <c r="AB82" s="9">
        <v>55.4</v>
      </c>
      <c r="AC82" s="9">
        <v>44.8</v>
      </c>
      <c r="AD82" s="9">
        <v>44.8</v>
      </c>
      <c r="AE82" s="9">
        <v>57.4</v>
      </c>
      <c r="AF82" s="9">
        <v>54</v>
      </c>
      <c r="AG82" s="9"/>
      <c r="AH82" s="9">
        <f t="shared" si="19"/>
        <v>94</v>
      </c>
      <c r="AI82" t="s">
        <v>201</v>
      </c>
    </row>
    <row r="83" spans="1:35" x14ac:dyDescent="0.25">
      <c r="A83" s="9" t="s">
        <v>202</v>
      </c>
      <c r="B83" s="9" t="s">
        <v>46</v>
      </c>
      <c r="C83" s="9">
        <v>83</v>
      </c>
      <c r="D83" s="9"/>
      <c r="E83" s="9">
        <v>75</v>
      </c>
      <c r="F83" s="9">
        <v>8</v>
      </c>
      <c r="G83" s="6">
        <v>0.35</v>
      </c>
      <c r="H83" s="9">
        <v>40</v>
      </c>
      <c r="I83" s="8" t="s">
        <v>82</v>
      </c>
      <c r="J83" s="9"/>
      <c r="K83" s="9">
        <v>185</v>
      </c>
      <c r="L83" s="9">
        <f t="shared" si="15"/>
        <v>-110</v>
      </c>
      <c r="M83" s="9"/>
      <c r="N83" s="9"/>
      <c r="O83" s="9">
        <v>150</v>
      </c>
      <c r="P83" s="9"/>
      <c r="Q83" s="9">
        <f t="shared" si="16"/>
        <v>15</v>
      </c>
      <c r="R83" s="4">
        <v>50</v>
      </c>
      <c r="S83" s="4">
        <f t="shared" ref="S83:S91" si="22">R83</f>
        <v>50</v>
      </c>
      <c r="T83" s="22"/>
      <c r="U83" s="9">
        <f t="shared" si="20"/>
        <v>13.866666666666667</v>
      </c>
      <c r="V83" s="9">
        <f t="shared" si="18"/>
        <v>10.533333333333333</v>
      </c>
      <c r="W83" s="9">
        <v>25.4</v>
      </c>
      <c r="X83" s="9">
        <v>10.199999999999999</v>
      </c>
      <c r="Y83" s="9">
        <v>7.2</v>
      </c>
      <c r="Z83" s="9">
        <v>14.6</v>
      </c>
      <c r="AA83" s="9">
        <v>29</v>
      </c>
      <c r="AB83" s="9">
        <v>24.2</v>
      </c>
      <c r="AC83" s="9">
        <v>2.6</v>
      </c>
      <c r="AD83" s="9">
        <v>3.6</v>
      </c>
      <c r="AE83" s="9">
        <v>22.4</v>
      </c>
      <c r="AF83" s="9">
        <v>27</v>
      </c>
      <c r="AG83" s="9"/>
      <c r="AH83" s="9">
        <f t="shared" si="19"/>
        <v>18</v>
      </c>
      <c r="AI83" t="s">
        <v>203</v>
      </c>
    </row>
    <row r="84" spans="1:35" x14ac:dyDescent="0.25">
      <c r="A84" s="9" t="s">
        <v>204</v>
      </c>
      <c r="B84" s="9" t="s">
        <v>46</v>
      </c>
      <c r="C84" s="9">
        <v>5</v>
      </c>
      <c r="D84" s="9">
        <v>354</v>
      </c>
      <c r="E84" s="9">
        <v>18</v>
      </c>
      <c r="F84" s="9">
        <v>341</v>
      </c>
      <c r="G84" s="6">
        <v>0.35</v>
      </c>
      <c r="H84" s="9">
        <v>45</v>
      </c>
      <c r="I84" s="9" t="s">
        <v>39</v>
      </c>
      <c r="J84" s="9"/>
      <c r="K84" s="9">
        <v>174</v>
      </c>
      <c r="L84" s="9">
        <f t="shared" si="15"/>
        <v>-156</v>
      </c>
      <c r="M84" s="9"/>
      <c r="N84" s="9"/>
      <c r="O84" s="9">
        <v>100</v>
      </c>
      <c r="P84" s="9"/>
      <c r="Q84" s="9">
        <f t="shared" si="16"/>
        <v>3.6</v>
      </c>
      <c r="R84" s="4"/>
      <c r="S84" s="4">
        <f t="shared" si="22"/>
        <v>0</v>
      </c>
      <c r="T84" s="22"/>
      <c r="U84" s="9">
        <f t="shared" si="20"/>
        <v>122.5</v>
      </c>
      <c r="V84" s="9">
        <f t="shared" si="18"/>
        <v>122.5</v>
      </c>
      <c r="W84" s="9">
        <v>9.6</v>
      </c>
      <c r="X84" s="9">
        <v>50.6</v>
      </c>
      <c r="Y84" s="9">
        <v>53.4</v>
      </c>
      <c r="Z84" s="9">
        <v>61.6</v>
      </c>
      <c r="AA84" s="9">
        <v>61.2</v>
      </c>
      <c r="AB84" s="9">
        <v>44</v>
      </c>
      <c r="AC84" s="9">
        <v>49</v>
      </c>
      <c r="AD84" s="9">
        <v>44.4</v>
      </c>
      <c r="AE84" s="9">
        <v>34.4</v>
      </c>
      <c r="AF84" s="9">
        <v>61.8</v>
      </c>
      <c r="AG84" s="9"/>
      <c r="AH84" s="9">
        <f t="shared" si="19"/>
        <v>0</v>
      </c>
      <c r="AI84" t="s">
        <v>205</v>
      </c>
    </row>
    <row r="85" spans="1:35" x14ac:dyDescent="0.25">
      <c r="A85" s="9" t="s">
        <v>206</v>
      </c>
      <c r="B85" s="9" t="s">
        <v>46</v>
      </c>
      <c r="C85" s="9">
        <v>88</v>
      </c>
      <c r="D85" s="9">
        <v>320</v>
      </c>
      <c r="E85" s="9">
        <v>63</v>
      </c>
      <c r="F85" s="9">
        <v>345</v>
      </c>
      <c r="G85" s="6">
        <v>0.4</v>
      </c>
      <c r="H85" s="9">
        <v>55</v>
      </c>
      <c r="I85" s="9" t="s">
        <v>39</v>
      </c>
      <c r="J85" s="9"/>
      <c r="K85" s="9">
        <v>240</v>
      </c>
      <c r="L85" s="9">
        <f t="shared" si="15"/>
        <v>-177</v>
      </c>
      <c r="M85" s="9"/>
      <c r="N85" s="9"/>
      <c r="O85" s="9">
        <v>0</v>
      </c>
      <c r="P85" s="9"/>
      <c r="Q85" s="9">
        <f t="shared" si="16"/>
        <v>12.6</v>
      </c>
      <c r="R85" s="4"/>
      <c r="S85" s="4">
        <f t="shared" si="22"/>
        <v>0</v>
      </c>
      <c r="T85" s="22"/>
      <c r="U85" s="9">
        <f t="shared" si="20"/>
        <v>27.380952380952383</v>
      </c>
      <c r="V85" s="9">
        <f t="shared" si="18"/>
        <v>27.380952380952383</v>
      </c>
      <c r="W85" s="9">
        <v>11.8</v>
      </c>
      <c r="X85" s="9">
        <v>36.200000000000003</v>
      </c>
      <c r="Y85" s="9">
        <v>39.799999999999997</v>
      </c>
      <c r="Z85" s="9">
        <v>15</v>
      </c>
      <c r="AA85" s="9">
        <v>16</v>
      </c>
      <c r="AB85" s="9">
        <v>28</v>
      </c>
      <c r="AC85" s="9">
        <v>29.8</v>
      </c>
      <c r="AD85" s="9">
        <v>24.2</v>
      </c>
      <c r="AE85" s="9">
        <v>24.2</v>
      </c>
      <c r="AF85" s="9">
        <v>23.4</v>
      </c>
      <c r="AG85" s="15" t="s">
        <v>127</v>
      </c>
      <c r="AH85" s="9">
        <f t="shared" si="19"/>
        <v>0</v>
      </c>
      <c r="AI85" t="s">
        <v>207</v>
      </c>
    </row>
    <row r="86" spans="1:35" x14ac:dyDescent="0.25">
      <c r="A86" s="9" t="s">
        <v>208</v>
      </c>
      <c r="B86" s="9" t="s">
        <v>38</v>
      </c>
      <c r="C86" s="9">
        <v>33.045999999999999</v>
      </c>
      <c r="D86" s="9">
        <v>58.189</v>
      </c>
      <c r="E86" s="9">
        <v>9.8849999999999998</v>
      </c>
      <c r="F86" s="9">
        <v>81.349999999999994</v>
      </c>
      <c r="G86" s="6">
        <v>1</v>
      </c>
      <c r="H86" s="9">
        <v>55</v>
      </c>
      <c r="I86" s="9" t="s">
        <v>39</v>
      </c>
      <c r="J86" s="9"/>
      <c r="K86" s="9">
        <v>9.35</v>
      </c>
      <c r="L86" s="9">
        <f t="shared" si="15"/>
        <v>0.53500000000000014</v>
      </c>
      <c r="M86" s="9"/>
      <c r="N86" s="9"/>
      <c r="O86" s="9">
        <v>0</v>
      </c>
      <c r="P86" s="9"/>
      <c r="Q86" s="9">
        <f t="shared" si="16"/>
        <v>1.9769999999999999</v>
      </c>
      <c r="R86" s="4"/>
      <c r="S86" s="4">
        <f t="shared" si="22"/>
        <v>0</v>
      </c>
      <c r="T86" s="22"/>
      <c r="U86" s="9">
        <f t="shared" si="20"/>
        <v>41.148204350025289</v>
      </c>
      <c r="V86" s="9">
        <f t="shared" si="18"/>
        <v>41.148204350025289</v>
      </c>
      <c r="W86" s="9">
        <v>1.7008000000000001</v>
      </c>
      <c r="X86" s="9">
        <v>1.6816</v>
      </c>
      <c r="Y86" s="9">
        <v>6.2156000000000002</v>
      </c>
      <c r="Z86" s="9">
        <v>7.9986000000000006</v>
      </c>
      <c r="AA86" s="9">
        <v>3.4681999999999999</v>
      </c>
      <c r="AB86" s="9">
        <v>1.6208</v>
      </c>
      <c r="AC86" s="9">
        <v>-1.0531999999999999</v>
      </c>
      <c r="AD86" s="9">
        <v>0.1918</v>
      </c>
      <c r="AE86" s="9">
        <v>6.4581999999999997</v>
      </c>
      <c r="AF86" s="9">
        <v>25.799199999999999</v>
      </c>
      <c r="AG86" s="15" t="s">
        <v>127</v>
      </c>
      <c r="AH86" s="9">
        <f t="shared" si="19"/>
        <v>0</v>
      </c>
      <c r="AI86" t="s">
        <v>209</v>
      </c>
    </row>
    <row r="87" spans="1:35" x14ac:dyDescent="0.25">
      <c r="A87" s="10" t="s">
        <v>210</v>
      </c>
      <c r="B87" s="10" t="s">
        <v>46</v>
      </c>
      <c r="C87" s="10">
        <v>7</v>
      </c>
      <c r="D87" s="10"/>
      <c r="E87" s="10">
        <v>3</v>
      </c>
      <c r="F87" s="10">
        <v>4</v>
      </c>
      <c r="G87" s="11">
        <v>0</v>
      </c>
      <c r="H87" s="10">
        <v>55</v>
      </c>
      <c r="I87" s="10" t="s">
        <v>60</v>
      </c>
      <c r="J87" s="10"/>
      <c r="K87" s="10">
        <v>23</v>
      </c>
      <c r="L87" s="10">
        <f t="shared" si="15"/>
        <v>-20</v>
      </c>
      <c r="M87" s="10"/>
      <c r="N87" s="10"/>
      <c r="O87" s="10">
        <v>0</v>
      </c>
      <c r="P87" s="10"/>
      <c r="Q87" s="10">
        <f t="shared" si="16"/>
        <v>0.6</v>
      </c>
      <c r="R87" s="12"/>
      <c r="S87" s="4">
        <f t="shared" si="22"/>
        <v>0</v>
      </c>
      <c r="T87" s="22"/>
      <c r="U87" s="9">
        <f t="shared" si="20"/>
        <v>6.666666666666667</v>
      </c>
      <c r="V87" s="10">
        <f t="shared" si="18"/>
        <v>6.666666666666667</v>
      </c>
      <c r="W87" s="10">
        <v>0.6</v>
      </c>
      <c r="X87" s="10">
        <v>2</v>
      </c>
      <c r="Y87" s="10">
        <v>4</v>
      </c>
      <c r="Z87" s="10">
        <v>4</v>
      </c>
      <c r="AA87" s="10">
        <v>6</v>
      </c>
      <c r="AB87" s="10">
        <v>4</v>
      </c>
      <c r="AC87" s="10">
        <v>1.2</v>
      </c>
      <c r="AD87" s="10">
        <v>2</v>
      </c>
      <c r="AE87" s="10">
        <v>2.6</v>
      </c>
      <c r="AF87" s="10">
        <v>4.4000000000000004</v>
      </c>
      <c r="AG87" s="10"/>
      <c r="AH87" s="9">
        <f t="shared" si="19"/>
        <v>0</v>
      </c>
      <c r="AI87" t="s">
        <v>211</v>
      </c>
    </row>
    <row r="88" spans="1:35" x14ac:dyDescent="0.25">
      <c r="A88" s="9" t="s">
        <v>212</v>
      </c>
      <c r="B88" s="9" t="s">
        <v>38</v>
      </c>
      <c r="C88" s="9">
        <v>186.005</v>
      </c>
      <c r="D88" s="9">
        <v>269.51900000000001</v>
      </c>
      <c r="E88" s="9">
        <v>222.88300000000001</v>
      </c>
      <c r="F88" s="9">
        <v>205.268</v>
      </c>
      <c r="G88" s="6">
        <v>1</v>
      </c>
      <c r="H88" s="9">
        <v>55</v>
      </c>
      <c r="I88" s="9" t="s">
        <v>39</v>
      </c>
      <c r="J88" s="9"/>
      <c r="K88" s="9">
        <v>247.4</v>
      </c>
      <c r="L88" s="9">
        <f t="shared" si="15"/>
        <v>-24.516999999999996</v>
      </c>
      <c r="M88" s="9"/>
      <c r="N88" s="9"/>
      <c r="O88" s="9">
        <v>167.97050999999999</v>
      </c>
      <c r="P88" s="9"/>
      <c r="Q88" s="9">
        <f t="shared" si="16"/>
        <v>44.576599999999999</v>
      </c>
      <c r="R88" s="4">
        <f>12*Q88-O88-F88</f>
        <v>161.68069000000006</v>
      </c>
      <c r="S88" s="4">
        <f t="shared" si="22"/>
        <v>161.68069000000006</v>
      </c>
      <c r="T88" s="22"/>
      <c r="U88" s="9">
        <f t="shared" si="20"/>
        <v>12.000000000000002</v>
      </c>
      <c r="V88" s="9">
        <f t="shared" si="18"/>
        <v>8.3729694503394168</v>
      </c>
      <c r="W88" s="9">
        <v>42.3018</v>
      </c>
      <c r="X88" s="9">
        <v>32.957999999999998</v>
      </c>
      <c r="Y88" s="9">
        <v>40.682000000000002</v>
      </c>
      <c r="Z88" s="9">
        <v>27.418199999999999</v>
      </c>
      <c r="AA88" s="9">
        <v>33.930599999999998</v>
      </c>
      <c r="AB88" s="9">
        <v>31.181999999999999</v>
      </c>
      <c r="AC88" s="9">
        <v>37.124600000000001</v>
      </c>
      <c r="AD88" s="9">
        <v>49.651200000000003</v>
      </c>
      <c r="AE88" s="9">
        <v>45.2958</v>
      </c>
      <c r="AF88" s="9">
        <v>39.439800000000012</v>
      </c>
      <c r="AG88" s="9"/>
      <c r="AH88" s="9">
        <f t="shared" si="19"/>
        <v>162</v>
      </c>
      <c r="AI88" t="s">
        <v>213</v>
      </c>
    </row>
    <row r="89" spans="1:35" x14ac:dyDescent="0.25">
      <c r="A89" s="9" t="s">
        <v>214</v>
      </c>
      <c r="B89" s="9" t="s">
        <v>38</v>
      </c>
      <c r="C89" s="9">
        <v>1195.2260000000001</v>
      </c>
      <c r="D89" s="9">
        <v>1210.32</v>
      </c>
      <c r="E89" s="9">
        <v>733.09699999999998</v>
      </c>
      <c r="F89" s="9">
        <v>1599.385</v>
      </c>
      <c r="G89" s="6">
        <v>1</v>
      </c>
      <c r="H89" s="9">
        <v>60</v>
      </c>
      <c r="I89" s="9" t="s">
        <v>39</v>
      </c>
      <c r="J89" s="9"/>
      <c r="K89" s="9">
        <v>750.72</v>
      </c>
      <c r="L89" s="9">
        <f t="shared" si="15"/>
        <v>-17.623000000000047</v>
      </c>
      <c r="M89" s="9"/>
      <c r="N89" s="9"/>
      <c r="O89" s="9">
        <v>0</v>
      </c>
      <c r="P89" s="18">
        <v>150</v>
      </c>
      <c r="Q89" s="9">
        <f t="shared" si="16"/>
        <v>146.61939999999998</v>
      </c>
      <c r="R89" s="4">
        <f>12*Q89-O89-F89</f>
        <v>160.04779999999982</v>
      </c>
      <c r="S89" s="4">
        <f t="shared" si="22"/>
        <v>160.04779999999982</v>
      </c>
      <c r="T89" s="22"/>
      <c r="U89" s="9">
        <f t="shared" si="20"/>
        <v>12</v>
      </c>
      <c r="V89" s="9">
        <f t="shared" si="18"/>
        <v>10.908413211348568</v>
      </c>
      <c r="W89" s="9">
        <v>153.85120000000001</v>
      </c>
      <c r="X89" s="9">
        <v>151.1354</v>
      </c>
      <c r="Y89" s="9">
        <v>164.34880000000001</v>
      </c>
      <c r="Z89" s="9">
        <v>171.851</v>
      </c>
      <c r="AA89" s="9">
        <v>176.95820000000001</v>
      </c>
      <c r="AB89" s="9">
        <v>182.36699999999999</v>
      </c>
      <c r="AC89" s="9">
        <v>171.1482</v>
      </c>
      <c r="AD89" s="9">
        <v>171.82579999999999</v>
      </c>
      <c r="AE89" s="9">
        <v>171.11279999999999</v>
      </c>
      <c r="AF89" s="9">
        <v>160.2638</v>
      </c>
      <c r="AG89" s="9"/>
      <c r="AH89" s="9">
        <f t="shared" si="19"/>
        <v>160</v>
      </c>
      <c r="AI89" t="s">
        <v>215</v>
      </c>
    </row>
    <row r="90" spans="1:35" x14ac:dyDescent="0.25">
      <c r="A90" s="10" t="s">
        <v>216</v>
      </c>
      <c r="B90" s="10" t="s">
        <v>46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5"/>
        <v>0</v>
      </c>
      <c r="M90" s="10"/>
      <c r="N90" s="10"/>
      <c r="O90" s="10">
        <v>0</v>
      </c>
      <c r="P90" s="10"/>
      <c r="Q90" s="10">
        <f t="shared" si="16"/>
        <v>0</v>
      </c>
      <c r="R90" s="12"/>
      <c r="S90" s="4">
        <f t="shared" si="22"/>
        <v>0</v>
      </c>
      <c r="T90" s="22"/>
      <c r="U90" s="9" t="e">
        <f t="shared" si="20"/>
        <v>#DIV/0!</v>
      </c>
      <c r="V90" s="10" t="e">
        <f t="shared" si="18"/>
        <v>#DIV/0!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 t="s">
        <v>47</v>
      </c>
      <c r="AH90" s="9">
        <f t="shared" si="19"/>
        <v>0</v>
      </c>
      <c r="AI90" t="s">
        <v>217</v>
      </c>
    </row>
    <row r="91" spans="1:35" x14ac:dyDescent="0.25">
      <c r="A91" s="24" t="s">
        <v>218</v>
      </c>
      <c r="B91" s="9" t="s">
        <v>38</v>
      </c>
      <c r="C91" s="9">
        <v>4110.0619999999999</v>
      </c>
      <c r="D91" s="9">
        <v>3189.92</v>
      </c>
      <c r="E91" s="9">
        <v>2140.3649999999998</v>
      </c>
      <c r="F91" s="9">
        <v>5029.7460000000001</v>
      </c>
      <c r="G91" s="6">
        <v>1</v>
      </c>
      <c r="H91" s="9">
        <v>60</v>
      </c>
      <c r="I91" s="9" t="s">
        <v>39</v>
      </c>
      <c r="J91" s="9"/>
      <c r="K91" s="9">
        <v>2134.1</v>
      </c>
      <c r="L91" s="9">
        <f t="shared" si="15"/>
        <v>6.2649999999998727</v>
      </c>
      <c r="M91" s="9"/>
      <c r="N91" s="9"/>
      <c r="O91" s="9">
        <v>0</v>
      </c>
      <c r="P91" s="18">
        <v>250</v>
      </c>
      <c r="Q91" s="9">
        <f t="shared" si="16"/>
        <v>428.07299999999998</v>
      </c>
      <c r="R91" s="4">
        <f>12*Q91-O91-F91</f>
        <v>107.13000000000011</v>
      </c>
      <c r="S91" s="4">
        <f t="shared" si="22"/>
        <v>107.13000000000011</v>
      </c>
      <c r="T91" s="22">
        <v>600</v>
      </c>
      <c r="U91" s="9">
        <f t="shared" si="20"/>
        <v>13.401630095801417</v>
      </c>
      <c r="V91" s="9">
        <f t="shared" si="18"/>
        <v>11.749738946394658</v>
      </c>
      <c r="W91" s="9">
        <v>430.87459999999999</v>
      </c>
      <c r="X91" s="9">
        <v>398.44540000000001</v>
      </c>
      <c r="Y91" s="9">
        <v>391.17919999999998</v>
      </c>
      <c r="Z91" s="9">
        <v>446.94080000000002</v>
      </c>
      <c r="AA91" s="9">
        <v>458.49939999999998</v>
      </c>
      <c r="AB91" s="9">
        <v>436.01319999999998</v>
      </c>
      <c r="AC91" s="9">
        <v>426.09260000000012</v>
      </c>
      <c r="AD91" s="9">
        <v>436.69299999999998</v>
      </c>
      <c r="AE91" s="9">
        <v>425.26580000000001</v>
      </c>
      <c r="AF91" s="9">
        <v>383.94839999999999</v>
      </c>
      <c r="AG91" s="9"/>
      <c r="AH91" s="9">
        <f t="shared" si="19"/>
        <v>107</v>
      </c>
      <c r="AI91" t="s">
        <v>219</v>
      </c>
    </row>
    <row r="92" spans="1:35" x14ac:dyDescent="0.25">
      <c r="A92" s="9" t="s">
        <v>220</v>
      </c>
      <c r="B92" s="9" t="s">
        <v>38</v>
      </c>
      <c r="C92" s="9">
        <v>6361.7470000000003</v>
      </c>
      <c r="D92" s="9">
        <v>820.00400000000002</v>
      </c>
      <c r="E92" s="9">
        <v>2150.4830000000002</v>
      </c>
      <c r="F92" s="9">
        <v>4855.6850000000004</v>
      </c>
      <c r="G92" s="6">
        <v>1</v>
      </c>
      <c r="H92" s="9">
        <v>60</v>
      </c>
      <c r="I92" s="9" t="s">
        <v>39</v>
      </c>
      <c r="J92" s="9"/>
      <c r="K92" s="9">
        <v>2187</v>
      </c>
      <c r="L92" s="9">
        <f t="shared" si="15"/>
        <v>-36.516999999999825</v>
      </c>
      <c r="M92" s="9"/>
      <c r="N92" s="9"/>
      <c r="O92" s="9">
        <v>0</v>
      </c>
      <c r="P92" s="9"/>
      <c r="Q92" s="9">
        <f t="shared" si="16"/>
        <v>430.09660000000002</v>
      </c>
      <c r="R92" s="4">
        <f>12*Q92-O92-F92</f>
        <v>305.47419999999966</v>
      </c>
      <c r="S92" s="4">
        <f>R92+$S$1*Q92</f>
        <v>139.88700899999964</v>
      </c>
      <c r="T92" s="22"/>
      <c r="U92" s="9">
        <f t="shared" si="20"/>
        <v>11.615</v>
      </c>
      <c r="V92" s="9">
        <f t="shared" si="18"/>
        <v>11.28975444121158</v>
      </c>
      <c r="W92" s="9">
        <v>430.392</v>
      </c>
      <c r="X92" s="9">
        <v>397.80779999999999</v>
      </c>
      <c r="Y92" s="9">
        <v>401.32119999999998</v>
      </c>
      <c r="Z92" s="9">
        <v>409.54320000000001</v>
      </c>
      <c r="AA92" s="9">
        <v>447.65519999999998</v>
      </c>
      <c r="AB92" s="9">
        <v>530.02260000000001</v>
      </c>
      <c r="AC92" s="9">
        <v>493.26420000000002</v>
      </c>
      <c r="AD92" s="9">
        <v>455.58280000000002</v>
      </c>
      <c r="AE92" s="9">
        <v>513.62299999999993</v>
      </c>
      <c r="AF92" s="9">
        <v>557.21199999999999</v>
      </c>
      <c r="AG92" s="9"/>
      <c r="AH92" s="9">
        <f t="shared" si="19"/>
        <v>140</v>
      </c>
      <c r="AI92" t="s">
        <v>221</v>
      </c>
    </row>
    <row r="93" spans="1:35" x14ac:dyDescent="0.25">
      <c r="A93" s="24" t="s">
        <v>222</v>
      </c>
      <c r="B93" s="9" t="s">
        <v>38</v>
      </c>
      <c r="C93" s="9">
        <v>8906.6479999999992</v>
      </c>
      <c r="D93" s="9">
        <v>1204.19</v>
      </c>
      <c r="E93" s="9">
        <v>2853.261</v>
      </c>
      <c r="F93" s="9">
        <v>7065.326</v>
      </c>
      <c r="G93" s="6">
        <v>1</v>
      </c>
      <c r="H93" s="9">
        <v>60</v>
      </c>
      <c r="I93" s="9" t="s">
        <v>39</v>
      </c>
      <c r="J93" s="9"/>
      <c r="K93" s="9">
        <v>2879.6</v>
      </c>
      <c r="L93" s="9">
        <f t="shared" si="15"/>
        <v>-26.338999999999942</v>
      </c>
      <c r="M93" s="9"/>
      <c r="N93" s="9"/>
      <c r="O93" s="9">
        <v>0</v>
      </c>
      <c r="P93" s="18">
        <v>400</v>
      </c>
      <c r="Q93" s="9">
        <f t="shared" si="16"/>
        <v>570.65219999999999</v>
      </c>
      <c r="R93" s="4"/>
      <c r="S93" s="4">
        <f t="shared" ref="S93:S109" si="23">R93</f>
        <v>0</v>
      </c>
      <c r="T93" s="22">
        <v>700</v>
      </c>
      <c r="U93" s="9">
        <f t="shared" si="20"/>
        <v>13.607808749357314</v>
      </c>
      <c r="V93" s="9">
        <f t="shared" si="18"/>
        <v>12.381142138766835</v>
      </c>
      <c r="W93" s="9">
        <v>530.8288</v>
      </c>
      <c r="X93" s="9">
        <v>571.27639999999997</v>
      </c>
      <c r="Y93" s="9">
        <v>585.21899999999994</v>
      </c>
      <c r="Z93" s="9">
        <v>581.18280000000004</v>
      </c>
      <c r="AA93" s="9">
        <v>622.20299999999997</v>
      </c>
      <c r="AB93" s="9">
        <v>586.15959999999995</v>
      </c>
      <c r="AC93" s="9">
        <v>578.34320000000002</v>
      </c>
      <c r="AD93" s="9">
        <v>607.92340000000002</v>
      </c>
      <c r="AE93" s="9">
        <v>613.33459999999991</v>
      </c>
      <c r="AF93" s="9">
        <v>604.15620000000001</v>
      </c>
      <c r="AG93" s="9"/>
      <c r="AH93" s="9">
        <f t="shared" si="19"/>
        <v>0</v>
      </c>
      <c r="AI93" t="s">
        <v>223</v>
      </c>
    </row>
    <row r="94" spans="1:35" x14ac:dyDescent="0.25">
      <c r="A94" s="9" t="s">
        <v>224</v>
      </c>
      <c r="B94" s="9" t="s">
        <v>38</v>
      </c>
      <c r="C94" s="9">
        <v>84.28</v>
      </c>
      <c r="D94" s="9">
        <v>21.443999999999999</v>
      </c>
      <c r="E94" s="9">
        <v>39.241999999999997</v>
      </c>
      <c r="F94" s="9">
        <v>66.481999999999999</v>
      </c>
      <c r="G94" s="6">
        <v>1</v>
      </c>
      <c r="H94" s="9">
        <v>55</v>
      </c>
      <c r="I94" s="9" t="s">
        <v>39</v>
      </c>
      <c r="J94" s="9"/>
      <c r="K94" s="9">
        <v>38.15</v>
      </c>
      <c r="L94" s="9">
        <f t="shared" si="15"/>
        <v>1.0919999999999987</v>
      </c>
      <c r="M94" s="9"/>
      <c r="N94" s="9"/>
      <c r="O94" s="9">
        <v>6.9981999999999971</v>
      </c>
      <c r="P94" s="9"/>
      <c r="Q94" s="9">
        <f t="shared" si="16"/>
        <v>7.8483999999999998</v>
      </c>
      <c r="R94" s="4">
        <f>12*Q94-O94-F94</f>
        <v>20.700600000000009</v>
      </c>
      <c r="S94" s="4">
        <f t="shared" si="23"/>
        <v>20.700600000000009</v>
      </c>
      <c r="T94" s="22"/>
      <c r="U94" s="9">
        <f t="shared" si="20"/>
        <v>12.000000000000002</v>
      </c>
      <c r="V94" s="9">
        <f t="shared" si="18"/>
        <v>9.3624433005453334</v>
      </c>
      <c r="W94" s="9">
        <v>7.0462000000000007</v>
      </c>
      <c r="X94" s="9">
        <v>8.6546000000000003</v>
      </c>
      <c r="Y94" s="9">
        <v>8.9195999999999991</v>
      </c>
      <c r="Z94" s="9">
        <v>9.2284000000000006</v>
      </c>
      <c r="AA94" s="9">
        <v>8.9586000000000006</v>
      </c>
      <c r="AB94" s="9">
        <v>7.3046000000000006</v>
      </c>
      <c r="AC94" s="9">
        <v>6.6986000000000008</v>
      </c>
      <c r="AD94" s="9">
        <v>4.5375999999999994</v>
      </c>
      <c r="AE94" s="9">
        <v>4.6059999999999999</v>
      </c>
      <c r="AF94" s="9">
        <v>19.7072</v>
      </c>
      <c r="AG94" s="9"/>
      <c r="AH94" s="9">
        <f t="shared" si="19"/>
        <v>21</v>
      </c>
      <c r="AI94" t="s">
        <v>225</v>
      </c>
    </row>
    <row r="95" spans="1:35" x14ac:dyDescent="0.25">
      <c r="A95" s="10" t="s">
        <v>226</v>
      </c>
      <c r="B95" s="10" t="s">
        <v>38</v>
      </c>
      <c r="C95" s="10">
        <v>21.571999999999999</v>
      </c>
      <c r="D95" s="10"/>
      <c r="E95" s="10">
        <v>17.446999999999999</v>
      </c>
      <c r="F95" s="10">
        <v>4.125</v>
      </c>
      <c r="G95" s="11">
        <v>0</v>
      </c>
      <c r="H95" s="10">
        <v>55</v>
      </c>
      <c r="I95" s="10" t="s">
        <v>60</v>
      </c>
      <c r="J95" s="10"/>
      <c r="K95" s="10">
        <v>17.3</v>
      </c>
      <c r="L95" s="10">
        <f t="shared" si="15"/>
        <v>0.14699999999999847</v>
      </c>
      <c r="M95" s="10"/>
      <c r="N95" s="10"/>
      <c r="O95" s="10">
        <v>0</v>
      </c>
      <c r="P95" s="10"/>
      <c r="Q95" s="10">
        <f t="shared" si="16"/>
        <v>3.4893999999999998</v>
      </c>
      <c r="R95" s="12"/>
      <c r="S95" s="4">
        <f t="shared" si="23"/>
        <v>0</v>
      </c>
      <c r="T95" s="22"/>
      <c r="U95" s="9">
        <f t="shared" si="20"/>
        <v>1.1821516593110564</v>
      </c>
      <c r="V95" s="10">
        <f t="shared" si="18"/>
        <v>1.1821516593110564</v>
      </c>
      <c r="W95" s="10">
        <v>4.0462000000000007</v>
      </c>
      <c r="X95" s="10">
        <v>4.3285999999999998</v>
      </c>
      <c r="Y95" s="10">
        <v>3.7852000000000001</v>
      </c>
      <c r="Z95" s="10">
        <v>3.2425999999999999</v>
      </c>
      <c r="AA95" s="10">
        <v>3.4236</v>
      </c>
      <c r="AB95" s="10">
        <v>2.371</v>
      </c>
      <c r="AC95" s="10">
        <v>2.0373999999999999</v>
      </c>
      <c r="AD95" s="10">
        <v>2.5638000000000001</v>
      </c>
      <c r="AE95" s="10">
        <v>4.1109999999999998</v>
      </c>
      <c r="AF95" s="10">
        <v>5.1212</v>
      </c>
      <c r="AG95" s="10"/>
      <c r="AH95" s="9">
        <f t="shared" si="19"/>
        <v>0</v>
      </c>
      <c r="AI95" t="s">
        <v>227</v>
      </c>
    </row>
    <row r="96" spans="1:35" x14ac:dyDescent="0.25">
      <c r="A96" s="10" t="s">
        <v>228</v>
      </c>
      <c r="B96" s="10" t="s">
        <v>38</v>
      </c>
      <c r="C96" s="10"/>
      <c r="D96" s="10">
        <v>4.0449999999999999</v>
      </c>
      <c r="E96" s="10">
        <v>4.0449999999999999</v>
      </c>
      <c r="F96" s="10"/>
      <c r="G96" s="11">
        <v>0</v>
      </c>
      <c r="H96" s="10"/>
      <c r="I96" s="10" t="s">
        <v>60</v>
      </c>
      <c r="J96" s="10"/>
      <c r="K96" s="10">
        <v>3.9</v>
      </c>
      <c r="L96" s="10">
        <f t="shared" si="15"/>
        <v>0.14500000000000002</v>
      </c>
      <c r="M96" s="10"/>
      <c r="N96" s="10"/>
      <c r="O96" s="10">
        <v>0</v>
      </c>
      <c r="P96" s="10"/>
      <c r="Q96" s="10">
        <f t="shared" si="16"/>
        <v>0.80899999999999994</v>
      </c>
      <c r="R96" s="12"/>
      <c r="S96" s="4">
        <f t="shared" si="23"/>
        <v>0</v>
      </c>
      <c r="T96" s="22"/>
      <c r="U96" s="9">
        <f t="shared" si="20"/>
        <v>0</v>
      </c>
      <c r="V96" s="10">
        <f t="shared" si="18"/>
        <v>0</v>
      </c>
      <c r="W96" s="10">
        <v>0.74099999999999999</v>
      </c>
      <c r="X96" s="10">
        <v>2.0242</v>
      </c>
      <c r="Y96" s="10">
        <v>2.0922000000000001</v>
      </c>
      <c r="Z96" s="10">
        <v>1.0766</v>
      </c>
      <c r="AA96" s="10">
        <v>1.0766</v>
      </c>
      <c r="AB96" s="10">
        <v>1.8908</v>
      </c>
      <c r="AC96" s="10">
        <v>4.3494000000000002</v>
      </c>
      <c r="AD96" s="10">
        <v>2.9916</v>
      </c>
      <c r="AE96" s="10">
        <v>1.0693999999999999</v>
      </c>
      <c r="AF96" s="10">
        <v>0</v>
      </c>
      <c r="AG96" s="10"/>
      <c r="AH96" s="9">
        <f t="shared" si="19"/>
        <v>0</v>
      </c>
    </row>
    <row r="97" spans="1:35" x14ac:dyDescent="0.25">
      <c r="A97" s="9" t="s">
        <v>229</v>
      </c>
      <c r="B97" s="9" t="s">
        <v>46</v>
      </c>
      <c r="C97" s="9">
        <v>231</v>
      </c>
      <c r="D97" s="9">
        <v>2</v>
      </c>
      <c r="E97" s="9">
        <v>205</v>
      </c>
      <c r="F97" s="9">
        <v>-7</v>
      </c>
      <c r="G97" s="6">
        <v>0.3</v>
      </c>
      <c r="H97" s="9">
        <v>40</v>
      </c>
      <c r="I97" s="8" t="s">
        <v>82</v>
      </c>
      <c r="J97" s="9"/>
      <c r="K97" s="9">
        <v>292</v>
      </c>
      <c r="L97" s="9">
        <f t="shared" si="15"/>
        <v>-87</v>
      </c>
      <c r="M97" s="9"/>
      <c r="N97" s="9"/>
      <c r="O97" s="9">
        <v>150</v>
      </c>
      <c r="P97" s="9"/>
      <c r="Q97" s="9">
        <f t="shared" si="16"/>
        <v>41</v>
      </c>
      <c r="R97" s="4">
        <v>150</v>
      </c>
      <c r="S97" s="4">
        <f t="shared" si="23"/>
        <v>150</v>
      </c>
      <c r="T97" s="22"/>
      <c r="U97" s="9">
        <f t="shared" si="20"/>
        <v>7.1463414634146343</v>
      </c>
      <c r="V97" s="9">
        <f t="shared" si="18"/>
        <v>3.4878048780487805</v>
      </c>
      <c r="W97" s="9">
        <v>73</v>
      </c>
      <c r="X97" s="9">
        <v>35.200000000000003</v>
      </c>
      <c r="Y97" s="9">
        <v>4.8</v>
      </c>
      <c r="Z97" s="9">
        <v>28.8</v>
      </c>
      <c r="AA97" s="9">
        <v>65.400000000000006</v>
      </c>
      <c r="AB97" s="9">
        <v>70.8</v>
      </c>
      <c r="AC97" s="9">
        <v>52.8</v>
      </c>
      <c r="AD97" s="9">
        <v>41.2</v>
      </c>
      <c r="AE97" s="9">
        <v>41.8</v>
      </c>
      <c r="AF97" s="9">
        <v>41.6</v>
      </c>
      <c r="AG97" s="9"/>
      <c r="AH97" s="9">
        <f t="shared" si="19"/>
        <v>45</v>
      </c>
      <c r="AI97" t="s">
        <v>230</v>
      </c>
    </row>
    <row r="98" spans="1:35" x14ac:dyDescent="0.25">
      <c r="A98" s="9" t="s">
        <v>231</v>
      </c>
      <c r="B98" s="9" t="s">
        <v>46</v>
      </c>
      <c r="C98" s="9">
        <v>120</v>
      </c>
      <c r="D98" s="9">
        <v>432</v>
      </c>
      <c r="E98" s="9">
        <v>146</v>
      </c>
      <c r="F98" s="9">
        <v>405</v>
      </c>
      <c r="G98" s="6">
        <v>0.3</v>
      </c>
      <c r="H98" s="9">
        <v>40</v>
      </c>
      <c r="I98" s="9" t="s">
        <v>39</v>
      </c>
      <c r="J98" s="9"/>
      <c r="K98" s="9">
        <v>235</v>
      </c>
      <c r="L98" s="9">
        <f t="shared" si="15"/>
        <v>-89</v>
      </c>
      <c r="M98" s="9"/>
      <c r="N98" s="9"/>
      <c r="O98" s="9">
        <v>0</v>
      </c>
      <c r="P98" s="9"/>
      <c r="Q98" s="9">
        <f t="shared" si="16"/>
        <v>29.2</v>
      </c>
      <c r="R98" s="4"/>
      <c r="S98" s="4">
        <f t="shared" si="23"/>
        <v>0</v>
      </c>
      <c r="T98" s="22"/>
      <c r="U98" s="9">
        <f t="shared" si="20"/>
        <v>13.86986301369863</v>
      </c>
      <c r="V98" s="9">
        <f t="shared" si="18"/>
        <v>13.86986301369863</v>
      </c>
      <c r="W98" s="9">
        <v>25</v>
      </c>
      <c r="X98" s="9">
        <v>42.4</v>
      </c>
      <c r="Y98" s="9">
        <v>77.2</v>
      </c>
      <c r="Z98" s="9">
        <v>35.6</v>
      </c>
      <c r="AA98" s="9">
        <v>32.200000000000003</v>
      </c>
      <c r="AB98" s="9">
        <v>46.4</v>
      </c>
      <c r="AC98" s="9">
        <v>46.4</v>
      </c>
      <c r="AD98" s="9">
        <v>33.799999999999997</v>
      </c>
      <c r="AE98" s="9">
        <v>35</v>
      </c>
      <c r="AF98" s="9">
        <v>38.799999999999997</v>
      </c>
      <c r="AG98" s="9"/>
      <c r="AH98" s="9">
        <f t="shared" si="19"/>
        <v>0</v>
      </c>
      <c r="AI98" t="s">
        <v>232</v>
      </c>
    </row>
    <row r="99" spans="1:35" x14ac:dyDescent="0.25">
      <c r="A99" s="10" t="s">
        <v>233</v>
      </c>
      <c r="B99" s="10" t="s">
        <v>46</v>
      </c>
      <c r="C99" s="10"/>
      <c r="D99" s="10"/>
      <c r="E99" s="10"/>
      <c r="F99" s="10"/>
      <c r="G99" s="11">
        <v>0</v>
      </c>
      <c r="H99" s="10"/>
      <c r="I99" s="10" t="s">
        <v>39</v>
      </c>
      <c r="J99" s="10"/>
      <c r="K99" s="10"/>
      <c r="L99" s="10">
        <f t="shared" si="15"/>
        <v>0</v>
      </c>
      <c r="M99" s="10"/>
      <c r="N99" s="10"/>
      <c r="O99" s="10">
        <v>0</v>
      </c>
      <c r="P99" s="10"/>
      <c r="Q99" s="10">
        <f t="shared" si="16"/>
        <v>0</v>
      </c>
      <c r="R99" s="12"/>
      <c r="S99" s="4">
        <f t="shared" si="23"/>
        <v>0</v>
      </c>
      <c r="T99" s="22"/>
      <c r="U99" s="9" t="e">
        <f t="shared" si="20"/>
        <v>#DIV/0!</v>
      </c>
      <c r="V99" s="10" t="e">
        <f t="shared" si="18"/>
        <v>#DIV/0!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 t="s">
        <v>47</v>
      </c>
      <c r="AH99" s="9">
        <f t="shared" si="19"/>
        <v>0</v>
      </c>
      <c r="AI99" t="s">
        <v>234</v>
      </c>
    </row>
    <row r="100" spans="1:35" x14ac:dyDescent="0.25">
      <c r="A100" s="9" t="s">
        <v>235</v>
      </c>
      <c r="B100" s="9" t="s">
        <v>46</v>
      </c>
      <c r="C100" s="9">
        <v>3</v>
      </c>
      <c r="D100" s="9">
        <v>216</v>
      </c>
      <c r="E100" s="9">
        <v>52</v>
      </c>
      <c r="F100" s="9">
        <v>150</v>
      </c>
      <c r="G100" s="6">
        <v>7.0000000000000007E-2</v>
      </c>
      <c r="H100" s="9">
        <v>90</v>
      </c>
      <c r="I100" s="8" t="s">
        <v>82</v>
      </c>
      <c r="J100" s="9"/>
      <c r="K100" s="9">
        <v>109</v>
      </c>
      <c r="L100" s="9">
        <f t="shared" si="15"/>
        <v>-57</v>
      </c>
      <c r="M100" s="9"/>
      <c r="N100" s="9"/>
      <c r="O100" s="9">
        <v>0</v>
      </c>
      <c r="P100" s="9"/>
      <c r="Q100" s="9">
        <f t="shared" si="16"/>
        <v>10.4</v>
      </c>
      <c r="R100" s="4">
        <v>40</v>
      </c>
      <c r="S100" s="4">
        <f t="shared" si="23"/>
        <v>40</v>
      </c>
      <c r="T100" s="22"/>
      <c r="U100" s="9">
        <f t="shared" si="20"/>
        <v>18.26923076923077</v>
      </c>
      <c r="V100" s="9">
        <f t="shared" si="18"/>
        <v>14.423076923076923</v>
      </c>
      <c r="W100" s="9">
        <v>7.4</v>
      </c>
      <c r="X100" s="9">
        <v>34.200000000000003</v>
      </c>
      <c r="Y100" s="9">
        <v>44</v>
      </c>
      <c r="Z100" s="9">
        <v>36.6</v>
      </c>
      <c r="AA100" s="9">
        <v>20</v>
      </c>
      <c r="AB100" s="9">
        <v>18.399999999999999</v>
      </c>
      <c r="AC100" s="9">
        <v>31.6</v>
      </c>
      <c r="AD100" s="9">
        <v>34.799999999999997</v>
      </c>
      <c r="AE100" s="9">
        <v>37.4</v>
      </c>
      <c r="AF100" s="9">
        <v>44.8</v>
      </c>
      <c r="AG100" s="9"/>
      <c r="AH100" s="9">
        <f t="shared" si="19"/>
        <v>3</v>
      </c>
      <c r="AI100" t="s">
        <v>236</v>
      </c>
    </row>
    <row r="101" spans="1:35" x14ac:dyDescent="0.25">
      <c r="A101" s="9" t="s">
        <v>237</v>
      </c>
      <c r="B101" s="9" t="s">
        <v>46</v>
      </c>
      <c r="C101" s="9">
        <v>78</v>
      </c>
      <c r="D101" s="9">
        <v>342</v>
      </c>
      <c r="E101" s="9">
        <v>136</v>
      </c>
      <c r="F101" s="9">
        <v>271</v>
      </c>
      <c r="G101" s="6">
        <v>7.0000000000000007E-2</v>
      </c>
      <c r="H101" s="9">
        <v>90</v>
      </c>
      <c r="I101" s="9" t="s">
        <v>39</v>
      </c>
      <c r="J101" s="9"/>
      <c r="K101" s="9">
        <v>137</v>
      </c>
      <c r="L101" s="9">
        <f t="shared" si="15"/>
        <v>-1</v>
      </c>
      <c r="M101" s="9"/>
      <c r="N101" s="9"/>
      <c r="O101" s="9">
        <v>48.488000000000063</v>
      </c>
      <c r="P101" s="9"/>
      <c r="Q101" s="9">
        <f t="shared" si="16"/>
        <v>27.2</v>
      </c>
      <c r="R101" s="4">
        <f>12*Q101-O101-F101</f>
        <v>6.9119999999999209</v>
      </c>
      <c r="S101" s="4">
        <f t="shared" si="23"/>
        <v>6.9119999999999209</v>
      </c>
      <c r="T101" s="22"/>
      <c r="U101" s="9">
        <f t="shared" si="20"/>
        <v>12</v>
      </c>
      <c r="V101" s="9">
        <f t="shared" si="18"/>
        <v>11.745882352941178</v>
      </c>
      <c r="W101" s="9">
        <v>32.200000000000003</v>
      </c>
      <c r="X101" s="9">
        <v>35.6</v>
      </c>
      <c r="Y101" s="9">
        <v>33.4</v>
      </c>
      <c r="Z101" s="9">
        <v>25.8</v>
      </c>
      <c r="AA101" s="9">
        <v>27.4</v>
      </c>
      <c r="AB101" s="9">
        <v>26.6</v>
      </c>
      <c r="AC101" s="9">
        <v>23.6</v>
      </c>
      <c r="AD101" s="9">
        <v>23.2</v>
      </c>
      <c r="AE101" s="9">
        <v>24.4</v>
      </c>
      <c r="AF101" s="9">
        <v>26.8</v>
      </c>
      <c r="AG101" s="9"/>
      <c r="AH101" s="9">
        <f t="shared" si="19"/>
        <v>0</v>
      </c>
      <c r="AI101" t="s">
        <v>238</v>
      </c>
    </row>
    <row r="102" spans="1:35" x14ac:dyDescent="0.25">
      <c r="A102" s="10" t="s">
        <v>239</v>
      </c>
      <c r="B102" s="10" t="s">
        <v>46</v>
      </c>
      <c r="C102" s="10">
        <v>4</v>
      </c>
      <c r="D102" s="10"/>
      <c r="E102" s="10">
        <v>2</v>
      </c>
      <c r="F102" s="10">
        <v>2</v>
      </c>
      <c r="G102" s="11">
        <v>0</v>
      </c>
      <c r="H102" s="10">
        <v>90</v>
      </c>
      <c r="I102" s="10" t="s">
        <v>60</v>
      </c>
      <c r="J102" s="10"/>
      <c r="K102" s="10">
        <v>55</v>
      </c>
      <c r="L102" s="10">
        <f t="shared" ref="L102:L133" si="24">E102-K102</f>
        <v>-53</v>
      </c>
      <c r="M102" s="10"/>
      <c r="N102" s="10"/>
      <c r="O102" s="10">
        <v>0</v>
      </c>
      <c r="P102" s="10"/>
      <c r="Q102" s="10">
        <f t="shared" ref="Q102:Q136" si="25">E102/5</f>
        <v>0.4</v>
      </c>
      <c r="R102" s="12"/>
      <c r="S102" s="4">
        <f t="shared" si="23"/>
        <v>0</v>
      </c>
      <c r="T102" s="22"/>
      <c r="U102" s="9">
        <f t="shared" si="20"/>
        <v>5</v>
      </c>
      <c r="V102" s="10">
        <f t="shared" ref="V102:V136" si="26">(F102+O102)/Q102</f>
        <v>5</v>
      </c>
      <c r="W102" s="10">
        <v>1.6</v>
      </c>
      <c r="X102" s="10">
        <v>15.4</v>
      </c>
      <c r="Y102" s="10">
        <v>25</v>
      </c>
      <c r="Z102" s="10">
        <v>18.2</v>
      </c>
      <c r="AA102" s="10">
        <v>13.4</v>
      </c>
      <c r="AB102" s="10">
        <v>16.8</v>
      </c>
      <c r="AC102" s="10">
        <v>20</v>
      </c>
      <c r="AD102" s="10">
        <v>19.2</v>
      </c>
      <c r="AE102" s="10">
        <v>18.399999999999999</v>
      </c>
      <c r="AF102" s="10">
        <v>18.2</v>
      </c>
      <c r="AG102" s="10"/>
      <c r="AH102" s="9">
        <f t="shared" ref="AH102:AH136" si="27">ROUND(G102*S102,0)</f>
        <v>0</v>
      </c>
      <c r="AI102" t="s">
        <v>240</v>
      </c>
    </row>
    <row r="103" spans="1:35" x14ac:dyDescent="0.25">
      <c r="A103" s="9" t="s">
        <v>241</v>
      </c>
      <c r="B103" s="9" t="s">
        <v>46</v>
      </c>
      <c r="C103" s="9">
        <v>120</v>
      </c>
      <c r="D103" s="9"/>
      <c r="E103" s="9">
        <v>105</v>
      </c>
      <c r="F103" s="9">
        <v>8</v>
      </c>
      <c r="G103" s="6">
        <v>0.3</v>
      </c>
      <c r="H103" s="9">
        <v>40</v>
      </c>
      <c r="I103" s="9" t="s">
        <v>39</v>
      </c>
      <c r="J103" s="9"/>
      <c r="K103" s="9">
        <v>118</v>
      </c>
      <c r="L103" s="9">
        <f t="shared" si="24"/>
        <v>-13</v>
      </c>
      <c r="M103" s="9"/>
      <c r="N103" s="9"/>
      <c r="O103" s="9">
        <v>111.8</v>
      </c>
      <c r="P103" s="9"/>
      <c r="Q103" s="9">
        <f t="shared" si="25"/>
        <v>21</v>
      </c>
      <c r="R103" s="4">
        <f>12*Q103-O103-F103</f>
        <v>132.19999999999999</v>
      </c>
      <c r="S103" s="4">
        <f t="shared" si="23"/>
        <v>132.19999999999999</v>
      </c>
      <c r="T103" s="22"/>
      <c r="U103" s="9">
        <f t="shared" si="20"/>
        <v>12</v>
      </c>
      <c r="V103" s="9">
        <f t="shared" si="26"/>
        <v>5.7047619047619049</v>
      </c>
      <c r="W103" s="9">
        <v>17.2</v>
      </c>
      <c r="X103" s="9">
        <v>1.8</v>
      </c>
      <c r="Y103" s="9">
        <v>0</v>
      </c>
      <c r="Z103" s="9">
        <v>35.200000000000003</v>
      </c>
      <c r="AA103" s="9">
        <v>41.4</v>
      </c>
      <c r="AB103" s="9">
        <v>45.4</v>
      </c>
      <c r="AC103" s="9">
        <v>42</v>
      </c>
      <c r="AD103" s="9">
        <v>32.799999999999997</v>
      </c>
      <c r="AE103" s="9">
        <v>34.200000000000003</v>
      </c>
      <c r="AF103" s="9">
        <v>48.4</v>
      </c>
      <c r="AG103" s="9"/>
      <c r="AH103" s="9">
        <f t="shared" si="27"/>
        <v>40</v>
      </c>
      <c r="AI103" t="s">
        <v>242</v>
      </c>
    </row>
    <row r="104" spans="1:35" x14ac:dyDescent="0.25">
      <c r="A104" s="9" t="s">
        <v>243</v>
      </c>
      <c r="B104" s="9" t="s">
        <v>38</v>
      </c>
      <c r="C104" s="9">
        <v>174.65299999999999</v>
      </c>
      <c r="D104" s="9">
        <v>36.420999999999999</v>
      </c>
      <c r="E104" s="9">
        <v>110.352</v>
      </c>
      <c r="F104" s="9">
        <v>89.055000000000007</v>
      </c>
      <c r="G104" s="6">
        <v>1</v>
      </c>
      <c r="H104" s="9">
        <v>55</v>
      </c>
      <c r="I104" s="9" t="s">
        <v>39</v>
      </c>
      <c r="J104" s="9"/>
      <c r="K104" s="9">
        <v>94.8</v>
      </c>
      <c r="L104" s="9">
        <f t="shared" si="24"/>
        <v>15.552000000000007</v>
      </c>
      <c r="M104" s="9"/>
      <c r="N104" s="9"/>
      <c r="O104" s="9">
        <v>78.630600000000044</v>
      </c>
      <c r="P104" s="9"/>
      <c r="Q104" s="9">
        <f t="shared" si="25"/>
        <v>22.070399999999999</v>
      </c>
      <c r="R104" s="4">
        <f>12*Q104-O104-F104</f>
        <v>97.159199999999913</v>
      </c>
      <c r="S104" s="4">
        <f t="shared" si="23"/>
        <v>97.159199999999913</v>
      </c>
      <c r="T104" s="22"/>
      <c r="U104" s="9">
        <f t="shared" si="20"/>
        <v>11.999999999999998</v>
      </c>
      <c r="V104" s="9">
        <f t="shared" si="26"/>
        <v>7.5977598956067878</v>
      </c>
      <c r="W104" s="9">
        <v>19.931000000000001</v>
      </c>
      <c r="X104" s="9">
        <v>16.528400000000001</v>
      </c>
      <c r="Y104" s="9">
        <v>14.6228</v>
      </c>
      <c r="Z104" s="9">
        <v>16.844999999999999</v>
      </c>
      <c r="AA104" s="9">
        <v>18.491800000000001</v>
      </c>
      <c r="AB104" s="9">
        <v>20.605</v>
      </c>
      <c r="AC104" s="9">
        <v>20.893799999999999</v>
      </c>
      <c r="AD104" s="9">
        <v>18.738800000000001</v>
      </c>
      <c r="AE104" s="9">
        <v>20.331600000000002</v>
      </c>
      <c r="AF104" s="9">
        <v>17.024799999999999</v>
      </c>
      <c r="AG104" s="9"/>
      <c r="AH104" s="9">
        <f t="shared" si="27"/>
        <v>97</v>
      </c>
      <c r="AI104" t="s">
        <v>244</v>
      </c>
    </row>
    <row r="105" spans="1:35" x14ac:dyDescent="0.25">
      <c r="A105" s="10" t="s">
        <v>245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4"/>
        <v>0</v>
      </c>
      <c r="M105" s="10"/>
      <c r="N105" s="10"/>
      <c r="O105" s="10">
        <v>0</v>
      </c>
      <c r="P105" s="10"/>
      <c r="Q105" s="10">
        <f t="shared" si="25"/>
        <v>0</v>
      </c>
      <c r="R105" s="12"/>
      <c r="S105" s="4">
        <f t="shared" si="23"/>
        <v>0</v>
      </c>
      <c r="T105" s="22"/>
      <c r="U105" s="9" t="e">
        <f t="shared" si="20"/>
        <v>#DIV/0!</v>
      </c>
      <c r="V105" s="10" t="e">
        <f t="shared" si="26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47</v>
      </c>
      <c r="AH105" s="9">
        <f t="shared" si="27"/>
        <v>0</v>
      </c>
      <c r="AI105" t="s">
        <v>246</v>
      </c>
    </row>
    <row r="106" spans="1:35" x14ac:dyDescent="0.25">
      <c r="A106" s="9" t="s">
        <v>247</v>
      </c>
      <c r="B106" s="9" t="s">
        <v>46</v>
      </c>
      <c r="C106" s="9"/>
      <c r="D106" s="9">
        <v>40</v>
      </c>
      <c r="E106" s="9">
        <v>7</v>
      </c>
      <c r="F106" s="9">
        <v>32</v>
      </c>
      <c r="G106" s="6">
        <v>0.1</v>
      </c>
      <c r="H106" s="9">
        <v>30</v>
      </c>
      <c r="I106" s="9" t="s">
        <v>39</v>
      </c>
      <c r="J106" s="9"/>
      <c r="K106" s="9">
        <v>7</v>
      </c>
      <c r="L106" s="9">
        <f t="shared" si="24"/>
        <v>0</v>
      </c>
      <c r="M106" s="9"/>
      <c r="N106" s="9"/>
      <c r="O106" s="9">
        <v>0</v>
      </c>
      <c r="P106" s="9"/>
      <c r="Q106" s="9">
        <f t="shared" si="25"/>
        <v>1.4</v>
      </c>
      <c r="R106" s="4"/>
      <c r="S106" s="4">
        <f t="shared" si="23"/>
        <v>0</v>
      </c>
      <c r="T106" s="22"/>
      <c r="U106" s="9">
        <f t="shared" si="20"/>
        <v>22.857142857142858</v>
      </c>
      <c r="V106" s="9">
        <f t="shared" si="26"/>
        <v>22.857142857142858</v>
      </c>
      <c r="W106" s="9">
        <v>-0.4</v>
      </c>
      <c r="X106" s="9">
        <v>3</v>
      </c>
      <c r="Y106" s="9">
        <v>2.8</v>
      </c>
      <c r="Z106" s="9">
        <v>0.2</v>
      </c>
      <c r="AA106" s="9">
        <v>1.6</v>
      </c>
      <c r="AB106" s="9">
        <v>1.8</v>
      </c>
      <c r="AC106" s="9">
        <v>2</v>
      </c>
      <c r="AD106" s="9">
        <v>1.4</v>
      </c>
      <c r="AE106" s="9">
        <v>1.6</v>
      </c>
      <c r="AF106" s="9">
        <v>1.4</v>
      </c>
      <c r="AG106" s="9"/>
      <c r="AH106" s="9">
        <f t="shared" si="27"/>
        <v>0</v>
      </c>
      <c r="AI106" t="s">
        <v>248</v>
      </c>
    </row>
    <row r="107" spans="1:35" x14ac:dyDescent="0.25">
      <c r="A107" s="9" t="s">
        <v>249</v>
      </c>
      <c r="B107" s="9" t="s">
        <v>46</v>
      </c>
      <c r="C107" s="9">
        <v>131</v>
      </c>
      <c r="D107" s="9">
        <v>470</v>
      </c>
      <c r="E107" s="9">
        <v>229</v>
      </c>
      <c r="F107" s="9">
        <v>356</v>
      </c>
      <c r="G107" s="6">
        <v>0.08</v>
      </c>
      <c r="H107" s="9">
        <v>45</v>
      </c>
      <c r="I107" s="9" t="s">
        <v>39</v>
      </c>
      <c r="J107" s="9"/>
      <c r="K107" s="9">
        <v>232</v>
      </c>
      <c r="L107" s="9">
        <f t="shared" si="24"/>
        <v>-3</v>
      </c>
      <c r="M107" s="9"/>
      <c r="N107" s="9"/>
      <c r="O107" s="9">
        <v>66.932000000000187</v>
      </c>
      <c r="P107" s="9"/>
      <c r="Q107" s="9">
        <f t="shared" si="25"/>
        <v>45.8</v>
      </c>
      <c r="R107" s="4">
        <f>12*Q107-O107-F107</f>
        <v>126.66799999999972</v>
      </c>
      <c r="S107" s="4">
        <f t="shared" si="23"/>
        <v>126.66799999999972</v>
      </c>
      <c r="T107" s="22"/>
      <c r="U107" s="9">
        <f t="shared" si="20"/>
        <v>11.999999999999998</v>
      </c>
      <c r="V107" s="9">
        <f t="shared" si="26"/>
        <v>9.2343231441048079</v>
      </c>
      <c r="W107" s="9">
        <v>48.4</v>
      </c>
      <c r="X107" s="9">
        <v>52.4</v>
      </c>
      <c r="Y107" s="9">
        <v>43.2</v>
      </c>
      <c r="Z107" s="9">
        <v>38.799999999999997</v>
      </c>
      <c r="AA107" s="9">
        <v>42.2</v>
      </c>
      <c r="AB107" s="9">
        <v>43.2</v>
      </c>
      <c r="AC107" s="9">
        <v>37.6</v>
      </c>
      <c r="AD107" s="9">
        <v>41.6</v>
      </c>
      <c r="AE107" s="9">
        <v>50.8</v>
      </c>
      <c r="AF107" s="9">
        <v>54</v>
      </c>
      <c r="AG107" s="9"/>
      <c r="AH107" s="9">
        <f t="shared" si="27"/>
        <v>10</v>
      </c>
      <c r="AI107" t="s">
        <v>250</v>
      </c>
    </row>
    <row r="108" spans="1:35" x14ac:dyDescent="0.25">
      <c r="A108" s="9" t="s">
        <v>251</v>
      </c>
      <c r="B108" s="9" t="s">
        <v>46</v>
      </c>
      <c r="C108" s="9">
        <v>24</v>
      </c>
      <c r="D108" s="9">
        <v>500</v>
      </c>
      <c r="E108" s="9">
        <v>160</v>
      </c>
      <c r="F108" s="9">
        <v>344</v>
      </c>
      <c r="G108" s="6">
        <v>0.08</v>
      </c>
      <c r="H108" s="9">
        <v>45</v>
      </c>
      <c r="I108" s="9" t="s">
        <v>39</v>
      </c>
      <c r="J108" s="9"/>
      <c r="K108" s="9">
        <v>160</v>
      </c>
      <c r="L108" s="9">
        <f t="shared" si="24"/>
        <v>0</v>
      </c>
      <c r="M108" s="9"/>
      <c r="N108" s="9"/>
      <c r="O108" s="9">
        <v>0</v>
      </c>
      <c r="P108" s="9"/>
      <c r="Q108" s="9">
        <f t="shared" si="25"/>
        <v>32</v>
      </c>
      <c r="R108" s="4">
        <f>12*Q108-O108-F108</f>
        <v>40</v>
      </c>
      <c r="S108" s="4">
        <f t="shared" si="23"/>
        <v>40</v>
      </c>
      <c r="T108" s="22"/>
      <c r="U108" s="9">
        <f t="shared" si="20"/>
        <v>12</v>
      </c>
      <c r="V108" s="9">
        <f t="shared" si="26"/>
        <v>10.75</v>
      </c>
      <c r="W108" s="9">
        <v>31.4</v>
      </c>
      <c r="X108" s="9">
        <v>45</v>
      </c>
      <c r="Y108" s="9">
        <v>48.6</v>
      </c>
      <c r="Z108" s="9">
        <v>29</v>
      </c>
      <c r="AA108" s="9">
        <v>23</v>
      </c>
      <c r="AB108" s="9">
        <v>33.200000000000003</v>
      </c>
      <c r="AC108" s="9">
        <v>35</v>
      </c>
      <c r="AD108" s="9">
        <v>35.6</v>
      </c>
      <c r="AE108" s="9">
        <v>38.6</v>
      </c>
      <c r="AF108" s="9">
        <v>40.6</v>
      </c>
      <c r="AG108" s="9"/>
      <c r="AH108" s="9">
        <f t="shared" si="27"/>
        <v>3</v>
      </c>
      <c r="AI108" t="s">
        <v>252</v>
      </c>
    </row>
    <row r="109" spans="1:35" x14ac:dyDescent="0.25">
      <c r="A109" s="9" t="s">
        <v>253</v>
      </c>
      <c r="B109" s="9" t="s">
        <v>46</v>
      </c>
      <c r="C109" s="9">
        <v>4</v>
      </c>
      <c r="D109" s="9">
        <v>30</v>
      </c>
      <c r="E109" s="9"/>
      <c r="F109" s="9">
        <v>33</v>
      </c>
      <c r="G109" s="6">
        <v>0.17</v>
      </c>
      <c r="H109" s="9">
        <v>30</v>
      </c>
      <c r="I109" s="9" t="s">
        <v>39</v>
      </c>
      <c r="J109" s="9"/>
      <c r="K109" s="9"/>
      <c r="L109" s="9">
        <f t="shared" si="24"/>
        <v>0</v>
      </c>
      <c r="M109" s="9"/>
      <c r="N109" s="9"/>
      <c r="O109" s="9">
        <v>0</v>
      </c>
      <c r="P109" s="9"/>
      <c r="Q109" s="9">
        <f t="shared" si="25"/>
        <v>0</v>
      </c>
      <c r="R109" s="4"/>
      <c r="S109" s="4">
        <f t="shared" si="23"/>
        <v>0</v>
      </c>
      <c r="T109" s="22"/>
      <c r="U109" s="9" t="e">
        <f t="shared" si="20"/>
        <v>#DIV/0!</v>
      </c>
      <c r="V109" s="9" t="e">
        <f t="shared" si="26"/>
        <v>#DIV/0!</v>
      </c>
      <c r="W109" s="9">
        <v>-0.2</v>
      </c>
      <c r="X109" s="9">
        <v>2</v>
      </c>
      <c r="Y109" s="9">
        <v>4.2</v>
      </c>
      <c r="Z109" s="9">
        <v>1.6</v>
      </c>
      <c r="AA109" s="9">
        <v>0.4</v>
      </c>
      <c r="AB109" s="9">
        <v>0.4</v>
      </c>
      <c r="AC109" s="9">
        <v>1.8</v>
      </c>
      <c r="AD109" s="9">
        <v>1.4</v>
      </c>
      <c r="AE109" s="9">
        <v>0.6</v>
      </c>
      <c r="AF109" s="9">
        <v>0.2</v>
      </c>
      <c r="AG109" s="14" t="s">
        <v>254</v>
      </c>
      <c r="AH109" s="9">
        <f t="shared" si="27"/>
        <v>0</v>
      </c>
      <c r="AI109" t="s">
        <v>255</v>
      </c>
    </row>
    <row r="110" spans="1:35" x14ac:dyDescent="0.25">
      <c r="A110" s="9" t="s">
        <v>256</v>
      </c>
      <c r="B110" s="9" t="s">
        <v>38</v>
      </c>
      <c r="C110" s="9">
        <v>374.505</v>
      </c>
      <c r="D110" s="9">
        <v>792.30399999999997</v>
      </c>
      <c r="E110" s="9">
        <v>443.76100000000002</v>
      </c>
      <c r="F110" s="9">
        <v>684.65099999999995</v>
      </c>
      <c r="G110" s="6">
        <v>1</v>
      </c>
      <c r="H110" s="9">
        <v>40</v>
      </c>
      <c r="I110" s="9" t="s">
        <v>39</v>
      </c>
      <c r="J110" s="9"/>
      <c r="K110" s="9">
        <v>464.3</v>
      </c>
      <c r="L110" s="9">
        <f t="shared" si="24"/>
        <v>-20.538999999999987</v>
      </c>
      <c r="M110" s="9"/>
      <c r="N110" s="9"/>
      <c r="O110" s="9">
        <v>62.28563999999983</v>
      </c>
      <c r="P110" s="9"/>
      <c r="Q110" s="9">
        <f t="shared" si="25"/>
        <v>88.752200000000002</v>
      </c>
      <c r="R110" s="4">
        <f>12*Q110-O110-F110</f>
        <v>318.08976000000018</v>
      </c>
      <c r="S110" s="4">
        <f>R110+$S$1*Q110</f>
        <v>283.92016300000017</v>
      </c>
      <c r="T110" s="22"/>
      <c r="U110" s="9">
        <f t="shared" si="20"/>
        <v>11.614999999999998</v>
      </c>
      <c r="V110" s="9">
        <f t="shared" si="26"/>
        <v>8.4159788715096617</v>
      </c>
      <c r="W110" s="9">
        <v>85.401199999999989</v>
      </c>
      <c r="X110" s="9">
        <v>87.400199999999998</v>
      </c>
      <c r="Y110" s="9">
        <v>80.573400000000007</v>
      </c>
      <c r="Z110" s="9">
        <v>83.3596</v>
      </c>
      <c r="AA110" s="9">
        <v>84.740200000000002</v>
      </c>
      <c r="AB110" s="9">
        <v>85.5518</v>
      </c>
      <c r="AC110" s="9">
        <v>88.798400000000001</v>
      </c>
      <c r="AD110" s="9">
        <v>81.619799999999998</v>
      </c>
      <c r="AE110" s="9">
        <v>70.697800000000001</v>
      </c>
      <c r="AF110" s="9">
        <v>58.890599999999992</v>
      </c>
      <c r="AG110" s="9"/>
      <c r="AH110" s="9">
        <f t="shared" si="27"/>
        <v>284</v>
      </c>
      <c r="AI110" t="s">
        <v>257</v>
      </c>
    </row>
    <row r="111" spans="1:35" x14ac:dyDescent="0.25">
      <c r="A111" s="9" t="s">
        <v>258</v>
      </c>
      <c r="B111" s="9" t="s">
        <v>38</v>
      </c>
      <c r="C111" s="9">
        <v>313.69600000000003</v>
      </c>
      <c r="D111" s="9">
        <v>393.77</v>
      </c>
      <c r="E111" s="9">
        <v>305.21199999999999</v>
      </c>
      <c r="F111" s="9">
        <v>354.37799999999999</v>
      </c>
      <c r="G111" s="6">
        <v>1</v>
      </c>
      <c r="H111" s="9">
        <v>40</v>
      </c>
      <c r="I111" s="9" t="s">
        <v>39</v>
      </c>
      <c r="J111" s="9"/>
      <c r="K111" s="9">
        <v>334.7</v>
      </c>
      <c r="L111" s="9">
        <f t="shared" si="24"/>
        <v>-29.488</v>
      </c>
      <c r="M111" s="9"/>
      <c r="N111" s="9"/>
      <c r="O111" s="9">
        <v>89.289579999999944</v>
      </c>
      <c r="P111" s="9"/>
      <c r="Q111" s="9">
        <f t="shared" si="25"/>
        <v>61.042400000000001</v>
      </c>
      <c r="R111" s="4">
        <f>12*Q111-O111-F111</f>
        <v>288.84122000000019</v>
      </c>
      <c r="S111" s="4">
        <f>R111+$S$1*Q111</f>
        <v>265.33989600000018</v>
      </c>
      <c r="T111" s="22"/>
      <c r="U111" s="9">
        <f t="shared" si="20"/>
        <v>11.615000000000002</v>
      </c>
      <c r="V111" s="9">
        <f t="shared" si="26"/>
        <v>7.2681870306541017</v>
      </c>
      <c r="W111" s="9">
        <v>57.488399999999999</v>
      </c>
      <c r="X111" s="9">
        <v>60.191400000000002</v>
      </c>
      <c r="Y111" s="9">
        <v>58.831200000000003</v>
      </c>
      <c r="Z111" s="9">
        <v>66.663600000000002</v>
      </c>
      <c r="AA111" s="9">
        <v>64.051199999999994</v>
      </c>
      <c r="AB111" s="9">
        <v>58.3504</v>
      </c>
      <c r="AC111" s="9">
        <v>61.6798</v>
      </c>
      <c r="AD111" s="9">
        <v>49.1038</v>
      </c>
      <c r="AE111" s="9">
        <v>43.895600000000002</v>
      </c>
      <c r="AF111" s="9">
        <v>38.950400000000002</v>
      </c>
      <c r="AG111" s="9"/>
      <c r="AH111" s="9">
        <f t="shared" si="27"/>
        <v>265</v>
      </c>
      <c r="AI111" t="s">
        <v>259</v>
      </c>
    </row>
    <row r="112" spans="1:35" x14ac:dyDescent="0.25">
      <c r="A112" s="9" t="s">
        <v>151</v>
      </c>
      <c r="B112" s="9" t="s">
        <v>38</v>
      </c>
      <c r="C112" s="9">
        <v>631.55600000000004</v>
      </c>
      <c r="D112" s="9">
        <v>80.671999999999997</v>
      </c>
      <c r="E112" s="9">
        <v>454.06299999999999</v>
      </c>
      <c r="F112" s="13">
        <f>190.344+F58</f>
        <v>290.887</v>
      </c>
      <c r="G112" s="6">
        <v>1</v>
      </c>
      <c r="H112" s="9">
        <v>40</v>
      </c>
      <c r="I112" s="8" t="s">
        <v>82</v>
      </c>
      <c r="J112" s="9"/>
      <c r="K112" s="9">
        <v>501.25</v>
      </c>
      <c r="L112" s="9">
        <f t="shared" si="24"/>
        <v>-47.187000000000012</v>
      </c>
      <c r="M112" s="9"/>
      <c r="N112" s="9"/>
      <c r="O112" s="9">
        <v>158.06157999999999</v>
      </c>
      <c r="P112" s="9"/>
      <c r="Q112" s="9">
        <f t="shared" si="25"/>
        <v>90.812600000000003</v>
      </c>
      <c r="R112" s="4">
        <f>12*Q112-O112-F112</f>
        <v>640.80262000000016</v>
      </c>
      <c r="S112" s="4">
        <f>R112</f>
        <v>640.80262000000016</v>
      </c>
      <c r="T112" s="22"/>
      <c r="U112" s="9">
        <f t="shared" si="20"/>
        <v>12.000000000000002</v>
      </c>
      <c r="V112" s="9">
        <f t="shared" si="26"/>
        <v>4.9436816036541185</v>
      </c>
      <c r="W112" s="9">
        <v>87.560400000000001</v>
      </c>
      <c r="X112" s="9">
        <v>101.8978</v>
      </c>
      <c r="Y112" s="9">
        <v>89.504600000000011</v>
      </c>
      <c r="Z112" s="9">
        <v>76.044000000000011</v>
      </c>
      <c r="AA112" s="9">
        <v>82.587199999999996</v>
      </c>
      <c r="AB112" s="9">
        <v>93.196200000000005</v>
      </c>
      <c r="AC112" s="9">
        <v>104.8322</v>
      </c>
      <c r="AD112" s="9">
        <v>101.123</v>
      </c>
      <c r="AE112" s="9">
        <v>92.513999999999996</v>
      </c>
      <c r="AF112" s="9">
        <v>78.795199999999994</v>
      </c>
      <c r="AG112" s="9"/>
      <c r="AH112" s="9">
        <f t="shared" si="27"/>
        <v>641</v>
      </c>
      <c r="AI112" t="s">
        <v>260</v>
      </c>
    </row>
    <row r="113" spans="1:35" x14ac:dyDescent="0.25">
      <c r="A113" s="10" t="s">
        <v>261</v>
      </c>
      <c r="B113" s="10" t="s">
        <v>46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24"/>
        <v>0</v>
      </c>
      <c r="M113" s="10"/>
      <c r="N113" s="10"/>
      <c r="O113" s="10">
        <v>0</v>
      </c>
      <c r="P113" s="10"/>
      <c r="Q113" s="10">
        <f t="shared" si="25"/>
        <v>0</v>
      </c>
      <c r="R113" s="12"/>
      <c r="S113" s="4">
        <f>R113</f>
        <v>0</v>
      </c>
      <c r="T113" s="22"/>
      <c r="U113" s="9" t="e">
        <f t="shared" si="20"/>
        <v>#DIV/0!</v>
      </c>
      <c r="V113" s="10" t="e">
        <f t="shared" si="26"/>
        <v>#DIV/0!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 t="s">
        <v>47</v>
      </c>
      <c r="AH113" s="9">
        <f t="shared" si="27"/>
        <v>0</v>
      </c>
      <c r="AI113" t="s">
        <v>262</v>
      </c>
    </row>
    <row r="114" spans="1:35" x14ac:dyDescent="0.25">
      <c r="A114" s="9" t="s">
        <v>263</v>
      </c>
      <c r="B114" s="9" t="s">
        <v>38</v>
      </c>
      <c r="C114" s="9">
        <v>17.245000000000001</v>
      </c>
      <c r="D114" s="9"/>
      <c r="E114" s="9">
        <v>2.7090000000000001</v>
      </c>
      <c r="F114" s="9">
        <v>14.536</v>
      </c>
      <c r="G114" s="6">
        <v>1</v>
      </c>
      <c r="H114" s="9">
        <v>55</v>
      </c>
      <c r="I114" s="9" t="s">
        <v>39</v>
      </c>
      <c r="J114" s="9"/>
      <c r="K114" s="9">
        <v>2.7</v>
      </c>
      <c r="L114" s="9">
        <f t="shared" si="24"/>
        <v>8.999999999999897E-3</v>
      </c>
      <c r="M114" s="9"/>
      <c r="N114" s="9"/>
      <c r="O114" s="9">
        <v>0</v>
      </c>
      <c r="P114" s="9"/>
      <c r="Q114" s="9">
        <f t="shared" si="25"/>
        <v>0.54180000000000006</v>
      </c>
      <c r="R114" s="4"/>
      <c r="S114" s="4">
        <f>R114</f>
        <v>0</v>
      </c>
      <c r="T114" s="22"/>
      <c r="U114" s="9">
        <f t="shared" si="20"/>
        <v>26.829088224437058</v>
      </c>
      <c r="V114" s="9">
        <f t="shared" si="26"/>
        <v>26.829088224437058</v>
      </c>
      <c r="W114" s="9">
        <v>0.54720000000000002</v>
      </c>
      <c r="X114" s="9">
        <v>1.615</v>
      </c>
      <c r="Y114" s="9">
        <v>1.3408</v>
      </c>
      <c r="Z114" s="9">
        <v>1</v>
      </c>
      <c r="AA114" s="9">
        <v>1.2816000000000001</v>
      </c>
      <c r="AB114" s="9">
        <v>0.28160000000000002</v>
      </c>
      <c r="AC114" s="9">
        <v>0</v>
      </c>
      <c r="AD114" s="9">
        <v>0.29120000000000001</v>
      </c>
      <c r="AE114" s="9">
        <v>0.29120000000000001</v>
      </c>
      <c r="AF114" s="9">
        <v>3.2582</v>
      </c>
      <c r="AG114" s="16" t="s">
        <v>264</v>
      </c>
      <c r="AH114" s="9">
        <f t="shared" si="27"/>
        <v>0</v>
      </c>
      <c r="AI114" t="s">
        <v>265</v>
      </c>
    </row>
    <row r="115" spans="1:35" x14ac:dyDescent="0.25">
      <c r="A115" s="9" t="s">
        <v>266</v>
      </c>
      <c r="B115" s="9" t="s">
        <v>46</v>
      </c>
      <c r="C115" s="9">
        <v>144</v>
      </c>
      <c r="D115" s="9">
        <v>588</v>
      </c>
      <c r="E115" s="9">
        <v>195</v>
      </c>
      <c r="F115" s="9">
        <v>485</v>
      </c>
      <c r="G115" s="6">
        <v>0.28000000000000003</v>
      </c>
      <c r="H115" s="9">
        <v>40</v>
      </c>
      <c r="I115" s="9" t="s">
        <v>39</v>
      </c>
      <c r="J115" s="9"/>
      <c r="K115" s="9">
        <v>368</v>
      </c>
      <c r="L115" s="9">
        <f t="shared" si="24"/>
        <v>-173</v>
      </c>
      <c r="M115" s="9"/>
      <c r="N115" s="9"/>
      <c r="O115" s="9">
        <v>0</v>
      </c>
      <c r="P115" s="9"/>
      <c r="Q115" s="9">
        <f t="shared" si="25"/>
        <v>39</v>
      </c>
      <c r="R115" s="4"/>
      <c r="S115" s="4">
        <f>R115</f>
        <v>0</v>
      </c>
      <c r="T115" s="22"/>
      <c r="U115" s="9">
        <f t="shared" si="20"/>
        <v>12.435897435897436</v>
      </c>
      <c r="V115" s="9">
        <f t="shared" si="26"/>
        <v>12.435897435897436</v>
      </c>
      <c r="W115" s="9">
        <v>37.4</v>
      </c>
      <c r="X115" s="9">
        <v>79.400000000000006</v>
      </c>
      <c r="Y115" s="9">
        <v>86.4</v>
      </c>
      <c r="Z115" s="9">
        <v>61.8</v>
      </c>
      <c r="AA115" s="9">
        <v>64.599999999999994</v>
      </c>
      <c r="AB115" s="9">
        <v>68.400000000000006</v>
      </c>
      <c r="AC115" s="9">
        <v>56</v>
      </c>
      <c r="AD115" s="9">
        <v>64.599999999999994</v>
      </c>
      <c r="AE115" s="9">
        <v>67.400000000000006</v>
      </c>
      <c r="AF115" s="9">
        <v>57.4</v>
      </c>
      <c r="AG115" s="9"/>
      <c r="AH115" s="9">
        <f t="shared" si="27"/>
        <v>0</v>
      </c>
      <c r="AI115" t="s">
        <v>267</v>
      </c>
    </row>
    <row r="116" spans="1:35" x14ac:dyDescent="0.25">
      <c r="A116" s="10" t="s">
        <v>268</v>
      </c>
      <c r="B116" s="10" t="s">
        <v>46</v>
      </c>
      <c r="C116" s="10"/>
      <c r="D116" s="10"/>
      <c r="E116" s="10"/>
      <c r="F116" s="10"/>
      <c r="G116" s="11">
        <v>0</v>
      </c>
      <c r="H116" s="10"/>
      <c r="I116" s="10" t="s">
        <v>39</v>
      </c>
      <c r="J116" s="10"/>
      <c r="K116" s="10"/>
      <c r="L116" s="10">
        <f t="shared" si="24"/>
        <v>0</v>
      </c>
      <c r="M116" s="10"/>
      <c r="N116" s="10"/>
      <c r="O116" s="10">
        <v>0</v>
      </c>
      <c r="P116" s="10"/>
      <c r="Q116" s="10">
        <f t="shared" si="25"/>
        <v>0</v>
      </c>
      <c r="R116" s="12"/>
      <c r="S116" s="4">
        <f>R116</f>
        <v>0</v>
      </c>
      <c r="T116" s="22"/>
      <c r="U116" s="9" t="e">
        <f t="shared" si="20"/>
        <v>#DIV/0!</v>
      </c>
      <c r="V116" s="10" t="e">
        <f t="shared" si="26"/>
        <v>#DIV/0!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 t="s">
        <v>47</v>
      </c>
      <c r="AH116" s="9">
        <f t="shared" si="27"/>
        <v>0</v>
      </c>
      <c r="AI116" t="s">
        <v>269</v>
      </c>
    </row>
    <row r="117" spans="1:35" x14ac:dyDescent="0.25">
      <c r="A117" s="9" t="s">
        <v>270</v>
      </c>
      <c r="B117" s="9" t="s">
        <v>46</v>
      </c>
      <c r="C117" s="9">
        <v>237</v>
      </c>
      <c r="D117" s="9">
        <v>537</v>
      </c>
      <c r="E117" s="9">
        <v>335</v>
      </c>
      <c r="F117" s="9">
        <v>401</v>
      </c>
      <c r="G117" s="6">
        <v>0.28000000000000003</v>
      </c>
      <c r="H117" s="9">
        <v>40</v>
      </c>
      <c r="I117" s="9" t="s">
        <v>39</v>
      </c>
      <c r="J117" s="9"/>
      <c r="K117" s="9">
        <v>364</v>
      </c>
      <c r="L117" s="9">
        <f t="shared" si="24"/>
        <v>-29</v>
      </c>
      <c r="M117" s="9"/>
      <c r="N117" s="9"/>
      <c r="O117" s="9">
        <v>118.4</v>
      </c>
      <c r="P117" s="9"/>
      <c r="Q117" s="9">
        <f t="shared" si="25"/>
        <v>67</v>
      </c>
      <c r="R117" s="4">
        <f>12*Q117-O117-F117</f>
        <v>284.60000000000002</v>
      </c>
      <c r="S117" s="4">
        <f>R117+$S$1*Q117</f>
        <v>258.80500000000001</v>
      </c>
      <c r="T117" s="22"/>
      <c r="U117" s="9">
        <f t="shared" si="20"/>
        <v>11.614999999999998</v>
      </c>
      <c r="V117" s="9">
        <f t="shared" si="26"/>
        <v>7.7522388059701486</v>
      </c>
      <c r="W117" s="9">
        <v>62.4</v>
      </c>
      <c r="X117" s="9">
        <v>67</v>
      </c>
      <c r="Y117" s="9">
        <v>69</v>
      </c>
      <c r="Z117" s="9">
        <v>63</v>
      </c>
      <c r="AA117" s="9">
        <v>66.8</v>
      </c>
      <c r="AB117" s="9">
        <v>66.400000000000006</v>
      </c>
      <c r="AC117" s="9">
        <v>53</v>
      </c>
      <c r="AD117" s="9">
        <v>66.400000000000006</v>
      </c>
      <c r="AE117" s="9">
        <v>72.8</v>
      </c>
      <c r="AF117" s="9">
        <v>61.4</v>
      </c>
      <c r="AG117" s="9"/>
      <c r="AH117" s="9">
        <f t="shared" si="27"/>
        <v>72</v>
      </c>
      <c r="AI117" t="s">
        <v>271</v>
      </c>
    </row>
    <row r="118" spans="1:35" x14ac:dyDescent="0.25">
      <c r="A118" s="9" t="s">
        <v>272</v>
      </c>
      <c r="B118" s="9" t="s">
        <v>46</v>
      </c>
      <c r="C118" s="9"/>
      <c r="D118" s="9">
        <v>40</v>
      </c>
      <c r="E118" s="9">
        <v>40</v>
      </c>
      <c r="F118" s="9"/>
      <c r="G118" s="6">
        <v>0.09</v>
      </c>
      <c r="H118" s="9"/>
      <c r="I118" s="9" t="s">
        <v>39</v>
      </c>
      <c r="J118" s="9"/>
      <c r="K118" s="9">
        <v>76</v>
      </c>
      <c r="L118" s="9">
        <f t="shared" si="24"/>
        <v>-36</v>
      </c>
      <c r="M118" s="9"/>
      <c r="N118" s="9"/>
      <c r="O118" s="9">
        <v>0</v>
      </c>
      <c r="P118" s="9"/>
      <c r="Q118" s="9">
        <f t="shared" si="25"/>
        <v>8</v>
      </c>
      <c r="R118" s="4">
        <f>7*Q118-O118-F118</f>
        <v>56</v>
      </c>
      <c r="S118" s="4">
        <f>R118</f>
        <v>56</v>
      </c>
      <c r="T118" s="22"/>
      <c r="U118" s="9">
        <f t="shared" si="20"/>
        <v>7</v>
      </c>
      <c r="V118" s="9">
        <f t="shared" si="26"/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 t="s">
        <v>273</v>
      </c>
      <c r="AH118" s="9">
        <f t="shared" si="27"/>
        <v>5</v>
      </c>
      <c r="AI118" t="s">
        <v>274</v>
      </c>
    </row>
    <row r="119" spans="1:35" x14ac:dyDescent="0.25">
      <c r="A119" s="9" t="s">
        <v>275</v>
      </c>
      <c r="B119" s="9" t="s">
        <v>38</v>
      </c>
      <c r="C119" s="9">
        <v>212.291</v>
      </c>
      <c r="D119" s="9">
        <v>105.384</v>
      </c>
      <c r="E119" s="9">
        <v>121.60299999999999</v>
      </c>
      <c r="F119" s="9">
        <v>185.77</v>
      </c>
      <c r="G119" s="6">
        <v>1</v>
      </c>
      <c r="H119" s="9">
        <v>60</v>
      </c>
      <c r="I119" s="9" t="s">
        <v>39</v>
      </c>
      <c r="J119" s="9"/>
      <c r="K119" s="9">
        <v>317</v>
      </c>
      <c r="L119" s="9">
        <f t="shared" si="24"/>
        <v>-195.39699999999999</v>
      </c>
      <c r="M119" s="9"/>
      <c r="N119" s="9"/>
      <c r="O119" s="9">
        <v>191.19980000000001</v>
      </c>
      <c r="P119" s="9"/>
      <c r="Q119" s="9">
        <f t="shared" si="25"/>
        <v>24.320599999999999</v>
      </c>
      <c r="R119" s="4"/>
      <c r="S119" s="4">
        <f>R119</f>
        <v>0</v>
      </c>
      <c r="T119" s="22"/>
      <c r="U119" s="9">
        <f t="shared" si="20"/>
        <v>15.500020558703323</v>
      </c>
      <c r="V119" s="9">
        <f t="shared" si="26"/>
        <v>15.500020558703323</v>
      </c>
      <c r="W119" s="9">
        <v>34.040199999999999</v>
      </c>
      <c r="X119" s="9">
        <v>26.383400000000002</v>
      </c>
      <c r="Y119" s="9">
        <v>17.169599999999999</v>
      </c>
      <c r="Z119" s="9">
        <v>17.895399999999999</v>
      </c>
      <c r="AA119" s="9">
        <v>29.697600000000001</v>
      </c>
      <c r="AB119" s="9">
        <v>35.659999999999997</v>
      </c>
      <c r="AC119" s="9">
        <v>26.834399999999999</v>
      </c>
      <c r="AD119" s="9">
        <v>32.64</v>
      </c>
      <c r="AE119" s="9">
        <v>39.406399999999998</v>
      </c>
      <c r="AF119" s="9">
        <v>36.651000000000003</v>
      </c>
      <c r="AG119" s="9"/>
      <c r="AH119" s="9">
        <f t="shared" si="27"/>
        <v>0</v>
      </c>
      <c r="AI119" t="s">
        <v>276</v>
      </c>
    </row>
    <row r="120" spans="1:35" x14ac:dyDescent="0.25">
      <c r="A120" s="9" t="s">
        <v>277</v>
      </c>
      <c r="B120" s="9" t="s">
        <v>38</v>
      </c>
      <c r="C120" s="9">
        <v>82.09</v>
      </c>
      <c r="D120" s="9"/>
      <c r="E120" s="9">
        <v>-0.873</v>
      </c>
      <c r="F120" s="9">
        <v>82.09</v>
      </c>
      <c r="G120" s="6">
        <v>1</v>
      </c>
      <c r="H120" s="9">
        <v>50</v>
      </c>
      <c r="I120" s="9" t="s">
        <v>39</v>
      </c>
      <c r="J120" s="9"/>
      <c r="K120" s="9">
        <v>107</v>
      </c>
      <c r="L120" s="9">
        <f t="shared" si="24"/>
        <v>-107.873</v>
      </c>
      <c r="M120" s="9"/>
      <c r="N120" s="9"/>
      <c r="O120" s="9">
        <v>0</v>
      </c>
      <c r="P120" s="9"/>
      <c r="Q120" s="9">
        <f t="shared" si="25"/>
        <v>-0.17460000000000001</v>
      </c>
      <c r="R120" s="4"/>
      <c r="S120" s="4">
        <f>R120</f>
        <v>0</v>
      </c>
      <c r="T120" s="22"/>
      <c r="U120" s="9">
        <f t="shared" si="20"/>
        <v>-470.16036655211911</v>
      </c>
      <c r="V120" s="9">
        <f t="shared" si="26"/>
        <v>-470.16036655211911</v>
      </c>
      <c r="W120" s="9">
        <v>-0.35780000000000001</v>
      </c>
      <c r="X120" s="9">
        <v>-0.1832</v>
      </c>
      <c r="Y120" s="9">
        <v>0.36159999999999998</v>
      </c>
      <c r="Z120" s="9">
        <v>4.1176000000000004</v>
      </c>
      <c r="AA120" s="9">
        <v>5.7633999999999999</v>
      </c>
      <c r="AB120" s="9">
        <v>15.0108</v>
      </c>
      <c r="AC120" s="9">
        <v>18.382400000000001</v>
      </c>
      <c r="AD120" s="9">
        <v>18.812799999999999</v>
      </c>
      <c r="AE120" s="9">
        <v>18.2974</v>
      </c>
      <c r="AF120" s="9">
        <v>13.1578</v>
      </c>
      <c r="AG120" s="15" t="s">
        <v>127</v>
      </c>
      <c r="AH120" s="9">
        <f t="shared" si="27"/>
        <v>0</v>
      </c>
      <c r="AI120" t="s">
        <v>278</v>
      </c>
    </row>
    <row r="121" spans="1:35" x14ac:dyDescent="0.25">
      <c r="A121" s="9" t="s">
        <v>279</v>
      </c>
      <c r="B121" s="9" t="s">
        <v>46</v>
      </c>
      <c r="C121" s="9"/>
      <c r="D121" s="9">
        <v>40</v>
      </c>
      <c r="E121" s="9">
        <v>41</v>
      </c>
      <c r="F121" s="9">
        <v>-1</v>
      </c>
      <c r="G121" s="6">
        <v>0.09</v>
      </c>
      <c r="H121" s="9"/>
      <c r="I121" s="9" t="s">
        <v>39</v>
      </c>
      <c r="J121" s="9"/>
      <c r="K121" s="9">
        <v>65</v>
      </c>
      <c r="L121" s="9">
        <f t="shared" si="24"/>
        <v>-24</v>
      </c>
      <c r="M121" s="9"/>
      <c r="N121" s="9"/>
      <c r="O121" s="9">
        <v>0</v>
      </c>
      <c r="P121" s="9"/>
      <c r="Q121" s="9">
        <f t="shared" si="25"/>
        <v>8.1999999999999993</v>
      </c>
      <c r="R121" s="4">
        <v>70</v>
      </c>
      <c r="S121" s="4">
        <f>R121</f>
        <v>70</v>
      </c>
      <c r="T121" s="22"/>
      <c r="U121" s="9">
        <f t="shared" si="20"/>
        <v>8.4146341463414647</v>
      </c>
      <c r="V121" s="9">
        <f t="shared" si="26"/>
        <v>-0.12195121951219513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 t="s">
        <v>273</v>
      </c>
      <c r="AH121" s="9">
        <f t="shared" si="27"/>
        <v>6</v>
      </c>
      <c r="AI121" t="s">
        <v>280</v>
      </c>
    </row>
    <row r="122" spans="1:35" x14ac:dyDescent="0.25">
      <c r="A122" s="10" t="s">
        <v>281</v>
      </c>
      <c r="B122" s="10" t="s">
        <v>46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24"/>
        <v>0</v>
      </c>
      <c r="M122" s="10"/>
      <c r="N122" s="10"/>
      <c r="O122" s="10">
        <v>0</v>
      </c>
      <c r="P122" s="10"/>
      <c r="Q122" s="10">
        <f t="shared" si="25"/>
        <v>0</v>
      </c>
      <c r="R122" s="12"/>
      <c r="S122" s="4">
        <f>R122</f>
        <v>0</v>
      </c>
      <c r="T122" s="22"/>
      <c r="U122" s="9" t="e">
        <f t="shared" si="20"/>
        <v>#DIV/0!</v>
      </c>
      <c r="V122" s="10" t="e">
        <f t="shared" si="26"/>
        <v>#DIV/0!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 t="s">
        <v>47</v>
      </c>
      <c r="AH122" s="9">
        <f t="shared" si="27"/>
        <v>0</v>
      </c>
      <c r="AI122" t="s">
        <v>282</v>
      </c>
    </row>
    <row r="123" spans="1:35" x14ac:dyDescent="0.25">
      <c r="A123" s="9" t="s">
        <v>283</v>
      </c>
      <c r="B123" s="9" t="s">
        <v>38</v>
      </c>
      <c r="C123" s="9">
        <v>384.91800000000001</v>
      </c>
      <c r="D123" s="9">
        <v>329.55799999999999</v>
      </c>
      <c r="E123" s="9">
        <v>326.72500000000002</v>
      </c>
      <c r="F123" s="9">
        <v>359.91699999999997</v>
      </c>
      <c r="G123" s="6">
        <v>1</v>
      </c>
      <c r="H123" s="9">
        <v>60</v>
      </c>
      <c r="I123" s="9" t="s">
        <v>39</v>
      </c>
      <c r="J123" s="9"/>
      <c r="K123" s="9">
        <v>318.60000000000002</v>
      </c>
      <c r="L123" s="9">
        <f t="shared" si="24"/>
        <v>8.125</v>
      </c>
      <c r="M123" s="9"/>
      <c r="N123" s="9"/>
      <c r="O123" s="9">
        <v>94.923999999999978</v>
      </c>
      <c r="P123" s="9"/>
      <c r="Q123" s="9">
        <f t="shared" si="25"/>
        <v>65.344999999999999</v>
      </c>
      <c r="R123" s="4">
        <f>12*Q123-O123-F123</f>
        <v>329.29900000000004</v>
      </c>
      <c r="S123" s="4">
        <f>R123+$S$1*Q123</f>
        <v>304.14117500000003</v>
      </c>
      <c r="T123" s="22"/>
      <c r="U123" s="9">
        <f t="shared" si="20"/>
        <v>11.615</v>
      </c>
      <c r="V123" s="9">
        <f t="shared" si="26"/>
        <v>6.9606090749100922</v>
      </c>
      <c r="W123" s="9">
        <v>56.364999999999988</v>
      </c>
      <c r="X123" s="9">
        <v>56.581600000000002</v>
      </c>
      <c r="Y123" s="9">
        <v>54.922800000000002</v>
      </c>
      <c r="Z123" s="9">
        <v>66.630399999999995</v>
      </c>
      <c r="AA123" s="9">
        <v>70.855999999999995</v>
      </c>
      <c r="AB123" s="9">
        <v>76.245800000000003</v>
      </c>
      <c r="AC123" s="9">
        <v>71.3352</v>
      </c>
      <c r="AD123" s="9">
        <v>56.040999999999997</v>
      </c>
      <c r="AE123" s="9">
        <v>58.951800000000013</v>
      </c>
      <c r="AF123" s="9">
        <v>56.642000000000003</v>
      </c>
      <c r="AG123" s="9"/>
      <c r="AH123" s="9">
        <f t="shared" si="27"/>
        <v>304</v>
      </c>
      <c r="AI123" t="s">
        <v>284</v>
      </c>
    </row>
    <row r="124" spans="1:35" x14ac:dyDescent="0.25">
      <c r="A124" s="9" t="s">
        <v>285</v>
      </c>
      <c r="B124" s="9" t="s">
        <v>38</v>
      </c>
      <c r="C124" s="9">
        <v>443.88200000000001</v>
      </c>
      <c r="D124" s="9">
        <v>522.36699999999996</v>
      </c>
      <c r="E124" s="9">
        <v>462.11799999999999</v>
      </c>
      <c r="F124" s="9">
        <v>449.476</v>
      </c>
      <c r="G124" s="6">
        <v>1</v>
      </c>
      <c r="H124" s="9">
        <v>60</v>
      </c>
      <c r="I124" s="9" t="s">
        <v>39</v>
      </c>
      <c r="J124" s="9"/>
      <c r="K124" s="9">
        <v>452.12099999999998</v>
      </c>
      <c r="L124" s="9">
        <f t="shared" si="24"/>
        <v>9.9970000000000141</v>
      </c>
      <c r="M124" s="9"/>
      <c r="N124" s="9"/>
      <c r="O124" s="9">
        <v>169.89252999999991</v>
      </c>
      <c r="P124" s="9"/>
      <c r="Q124" s="9">
        <f t="shared" si="25"/>
        <v>92.423599999999993</v>
      </c>
      <c r="R124" s="4">
        <f>12*Q124-O124-F124</f>
        <v>489.71467000000018</v>
      </c>
      <c r="S124" s="4">
        <f>R124+$S$1*Q124</f>
        <v>454.1315840000002</v>
      </c>
      <c r="T124" s="22"/>
      <c r="U124" s="9">
        <f t="shared" si="20"/>
        <v>11.615000000000002</v>
      </c>
      <c r="V124" s="9">
        <f t="shared" si="26"/>
        <v>6.7014110032502519</v>
      </c>
      <c r="W124" s="9">
        <v>83.889399999999995</v>
      </c>
      <c r="X124" s="9">
        <v>75.759</v>
      </c>
      <c r="Y124" s="9">
        <v>77.756200000000007</v>
      </c>
      <c r="Z124" s="9">
        <v>88.792600000000007</v>
      </c>
      <c r="AA124" s="9">
        <v>87.907200000000003</v>
      </c>
      <c r="AB124" s="9">
        <v>90.133600000000001</v>
      </c>
      <c r="AC124" s="9">
        <v>88.307600000000008</v>
      </c>
      <c r="AD124" s="9">
        <v>81.408000000000001</v>
      </c>
      <c r="AE124" s="9">
        <v>81.493200000000002</v>
      </c>
      <c r="AF124" s="9">
        <v>70.010400000000004</v>
      </c>
      <c r="AG124" s="9"/>
      <c r="AH124" s="9">
        <f t="shared" si="27"/>
        <v>454</v>
      </c>
      <c r="AI124" t="s">
        <v>286</v>
      </c>
    </row>
    <row r="125" spans="1:35" x14ac:dyDescent="0.25">
      <c r="A125" s="9" t="s">
        <v>287</v>
      </c>
      <c r="B125" s="9" t="s">
        <v>38</v>
      </c>
      <c r="C125" s="9">
        <v>127.971</v>
      </c>
      <c r="D125" s="9">
        <v>232.952</v>
      </c>
      <c r="E125" s="9">
        <v>171.006</v>
      </c>
      <c r="F125" s="9">
        <v>176.91900000000001</v>
      </c>
      <c r="G125" s="6">
        <v>1</v>
      </c>
      <c r="H125" s="9">
        <v>60</v>
      </c>
      <c r="I125" s="9" t="s">
        <v>39</v>
      </c>
      <c r="J125" s="9"/>
      <c r="K125" s="9">
        <v>174.85</v>
      </c>
      <c r="L125" s="9">
        <f t="shared" si="24"/>
        <v>-3.8439999999999941</v>
      </c>
      <c r="M125" s="9"/>
      <c r="N125" s="9"/>
      <c r="O125" s="9">
        <v>76.391199999999969</v>
      </c>
      <c r="P125" s="9"/>
      <c r="Q125" s="9">
        <f t="shared" si="25"/>
        <v>34.2012</v>
      </c>
      <c r="R125" s="4">
        <f>12*Q125-O125-F125</f>
        <v>157.10420000000002</v>
      </c>
      <c r="S125" s="4">
        <f>R125</f>
        <v>157.10420000000002</v>
      </c>
      <c r="T125" s="22"/>
      <c r="U125" s="9">
        <f t="shared" si="20"/>
        <v>12</v>
      </c>
      <c r="V125" s="9">
        <f t="shared" si="26"/>
        <v>7.406471117972468</v>
      </c>
      <c r="W125" s="9">
        <v>29.3096</v>
      </c>
      <c r="X125" s="9">
        <v>30.529399999999999</v>
      </c>
      <c r="Y125" s="9">
        <v>31.781199999999998</v>
      </c>
      <c r="Z125" s="9">
        <v>32.8658</v>
      </c>
      <c r="AA125" s="9">
        <v>29.383600000000001</v>
      </c>
      <c r="AB125" s="9">
        <v>24.572399999999998</v>
      </c>
      <c r="AC125" s="9">
        <v>27.509399999999999</v>
      </c>
      <c r="AD125" s="9">
        <v>31.500800000000002</v>
      </c>
      <c r="AE125" s="9">
        <v>33.397000000000013</v>
      </c>
      <c r="AF125" s="9">
        <v>28.143799999999999</v>
      </c>
      <c r="AG125" s="9"/>
      <c r="AH125" s="9">
        <f t="shared" si="27"/>
        <v>157</v>
      </c>
      <c r="AI125" t="s">
        <v>288</v>
      </c>
    </row>
    <row r="126" spans="1:35" x14ac:dyDescent="0.25">
      <c r="A126" s="9" t="s">
        <v>289</v>
      </c>
      <c r="B126" s="9" t="s">
        <v>38</v>
      </c>
      <c r="C126" s="9">
        <v>4303.4129999999996</v>
      </c>
      <c r="D126" s="9">
        <v>912.34</v>
      </c>
      <c r="E126" s="9">
        <v>1485.251</v>
      </c>
      <c r="F126" s="9">
        <v>3590.4810000000002</v>
      </c>
      <c r="G126" s="6">
        <v>1</v>
      </c>
      <c r="H126" s="9">
        <v>60</v>
      </c>
      <c r="I126" s="9" t="s">
        <v>39</v>
      </c>
      <c r="J126" s="9"/>
      <c r="K126" s="9">
        <v>1510</v>
      </c>
      <c r="L126" s="9">
        <f t="shared" si="24"/>
        <v>-24.749000000000024</v>
      </c>
      <c r="M126" s="9"/>
      <c r="N126" s="9"/>
      <c r="O126" s="9">
        <v>0</v>
      </c>
      <c r="P126" s="9"/>
      <c r="Q126" s="9">
        <f t="shared" si="25"/>
        <v>297.05020000000002</v>
      </c>
      <c r="R126" s="4"/>
      <c r="S126" s="4">
        <f>R126</f>
        <v>0</v>
      </c>
      <c r="T126" s="22"/>
      <c r="U126" s="9">
        <f t="shared" si="20"/>
        <v>12.08711860823524</v>
      </c>
      <c r="V126" s="9">
        <f t="shared" si="26"/>
        <v>12.08711860823524</v>
      </c>
      <c r="W126" s="9">
        <v>289.678</v>
      </c>
      <c r="X126" s="9">
        <v>290.18599999999998</v>
      </c>
      <c r="Y126" s="9">
        <v>287.87099999999998</v>
      </c>
      <c r="Z126" s="9">
        <v>292.56079999999997</v>
      </c>
      <c r="AA126" s="9">
        <v>311.30119999999999</v>
      </c>
      <c r="AB126" s="9">
        <v>194.2492</v>
      </c>
      <c r="AC126" s="9">
        <v>172.9366</v>
      </c>
      <c r="AD126" s="9">
        <v>248.2234</v>
      </c>
      <c r="AE126" s="9">
        <v>192.77199999999999</v>
      </c>
      <c r="AF126" s="9">
        <v>106.2038</v>
      </c>
      <c r="AG126" s="9"/>
      <c r="AH126" s="9">
        <f t="shared" si="27"/>
        <v>0</v>
      </c>
      <c r="AI126" t="s">
        <v>290</v>
      </c>
    </row>
    <row r="127" spans="1:35" x14ac:dyDescent="0.25">
      <c r="A127" s="9" t="s">
        <v>291</v>
      </c>
      <c r="B127" s="9" t="s">
        <v>46</v>
      </c>
      <c r="C127" s="9">
        <v>2</v>
      </c>
      <c r="D127" s="9"/>
      <c r="E127" s="9"/>
      <c r="F127" s="9">
        <v>2</v>
      </c>
      <c r="G127" s="6">
        <v>0.25</v>
      </c>
      <c r="H127" s="9"/>
      <c r="I127" s="8" t="s">
        <v>82</v>
      </c>
      <c r="J127" s="9"/>
      <c r="K127" s="9">
        <v>10</v>
      </c>
      <c r="L127" s="9">
        <f t="shared" si="24"/>
        <v>-10</v>
      </c>
      <c r="M127" s="9"/>
      <c r="N127" s="9"/>
      <c r="O127" s="9">
        <v>200</v>
      </c>
      <c r="P127" s="9"/>
      <c r="Q127" s="9">
        <f t="shared" si="25"/>
        <v>0</v>
      </c>
      <c r="R127" s="4">
        <v>200</v>
      </c>
      <c r="S127" s="4">
        <f>R127</f>
        <v>200</v>
      </c>
      <c r="T127" s="22"/>
      <c r="U127" s="9" t="e">
        <f t="shared" si="20"/>
        <v>#DIV/0!</v>
      </c>
      <c r="V127" s="9" t="e">
        <f t="shared" si="26"/>
        <v>#DIV/0!</v>
      </c>
      <c r="W127" s="9">
        <v>0</v>
      </c>
      <c r="X127" s="9">
        <v>23.2</v>
      </c>
      <c r="Y127" s="9">
        <v>40.4</v>
      </c>
      <c r="Z127" s="9">
        <v>17.2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 t="s">
        <v>292</v>
      </c>
      <c r="AH127" s="9">
        <f t="shared" si="27"/>
        <v>50</v>
      </c>
      <c r="AI127" t="s">
        <v>293</v>
      </c>
    </row>
    <row r="128" spans="1:35" x14ac:dyDescent="0.25">
      <c r="A128" s="9" t="s">
        <v>294</v>
      </c>
      <c r="B128" s="9" t="s">
        <v>46</v>
      </c>
      <c r="C128" s="9">
        <v>-11</v>
      </c>
      <c r="D128" s="9">
        <v>15</v>
      </c>
      <c r="E128" s="9">
        <v>2</v>
      </c>
      <c r="F128" s="9">
        <v>2</v>
      </c>
      <c r="G128" s="6">
        <v>0.32500000000000001</v>
      </c>
      <c r="H128" s="9"/>
      <c r="I128" s="8" t="s">
        <v>82</v>
      </c>
      <c r="J128" s="9"/>
      <c r="K128" s="9">
        <v>4</v>
      </c>
      <c r="L128" s="9">
        <f t="shared" si="24"/>
        <v>-2</v>
      </c>
      <c r="M128" s="9"/>
      <c r="N128" s="9"/>
      <c r="O128" s="9">
        <v>200</v>
      </c>
      <c r="P128" s="9"/>
      <c r="Q128" s="9">
        <f t="shared" si="25"/>
        <v>0.4</v>
      </c>
      <c r="R128" s="4">
        <v>200</v>
      </c>
      <c r="S128" s="4">
        <f>R128</f>
        <v>200</v>
      </c>
      <c r="T128" s="22"/>
      <c r="U128" s="9">
        <f t="shared" si="20"/>
        <v>1005</v>
      </c>
      <c r="V128" s="9">
        <f t="shared" si="26"/>
        <v>505</v>
      </c>
      <c r="W128" s="9">
        <v>3.6</v>
      </c>
      <c r="X128" s="9">
        <v>24</v>
      </c>
      <c r="Y128" s="9">
        <v>36.799999999999997</v>
      </c>
      <c r="Z128" s="9">
        <v>16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 t="s">
        <v>292</v>
      </c>
      <c r="AH128" s="9">
        <f t="shared" si="27"/>
        <v>65</v>
      </c>
      <c r="AI128" t="s">
        <v>295</v>
      </c>
    </row>
    <row r="129" spans="1:35" x14ac:dyDescent="0.25">
      <c r="A129" s="9" t="s">
        <v>296</v>
      </c>
      <c r="B129" s="9" t="s">
        <v>46</v>
      </c>
      <c r="C129" s="9">
        <v>8</v>
      </c>
      <c r="D129" s="9">
        <v>156</v>
      </c>
      <c r="E129" s="9">
        <v>2</v>
      </c>
      <c r="F129" s="9">
        <v>162</v>
      </c>
      <c r="G129" s="6">
        <v>0.25</v>
      </c>
      <c r="H129" s="9"/>
      <c r="I129" s="9" t="s">
        <v>39</v>
      </c>
      <c r="J129" s="9"/>
      <c r="K129" s="9">
        <v>9</v>
      </c>
      <c r="L129" s="9">
        <f t="shared" si="24"/>
        <v>-7</v>
      </c>
      <c r="M129" s="9"/>
      <c r="N129" s="9"/>
      <c r="O129" s="9">
        <v>0</v>
      </c>
      <c r="P129" s="9"/>
      <c r="Q129" s="9">
        <f t="shared" si="25"/>
        <v>0.4</v>
      </c>
      <c r="R129" s="4"/>
      <c r="S129" s="4">
        <f>R129</f>
        <v>0</v>
      </c>
      <c r="T129" s="22"/>
      <c r="U129" s="9">
        <f t="shared" si="20"/>
        <v>405</v>
      </c>
      <c r="V129" s="9">
        <f t="shared" si="26"/>
        <v>405</v>
      </c>
      <c r="W129" s="9">
        <v>9.4</v>
      </c>
      <c r="X129" s="9">
        <v>29.8</v>
      </c>
      <c r="Y129" s="9">
        <v>30.2</v>
      </c>
      <c r="Z129" s="9">
        <v>9.4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16" t="s">
        <v>297</v>
      </c>
      <c r="AH129" s="9">
        <f t="shared" si="27"/>
        <v>0</v>
      </c>
      <c r="AI129" t="s">
        <v>298</v>
      </c>
    </row>
    <row r="130" spans="1:35" x14ac:dyDescent="0.25">
      <c r="A130" s="9" t="s">
        <v>299</v>
      </c>
      <c r="B130" s="9" t="s">
        <v>46</v>
      </c>
      <c r="C130" s="9">
        <v>334</v>
      </c>
      <c r="D130" s="9">
        <v>614</v>
      </c>
      <c r="E130" s="9">
        <v>546</v>
      </c>
      <c r="F130" s="9">
        <v>334</v>
      </c>
      <c r="G130" s="6">
        <v>0.3</v>
      </c>
      <c r="H130" s="9">
        <v>40</v>
      </c>
      <c r="I130" s="9" t="s">
        <v>39</v>
      </c>
      <c r="J130" s="9"/>
      <c r="K130" s="9">
        <v>570</v>
      </c>
      <c r="L130" s="9">
        <f t="shared" si="24"/>
        <v>-24</v>
      </c>
      <c r="M130" s="9"/>
      <c r="N130" s="9"/>
      <c r="O130" s="9">
        <v>563.4</v>
      </c>
      <c r="P130" s="9"/>
      <c r="Q130" s="9">
        <f t="shared" si="25"/>
        <v>109.2</v>
      </c>
      <c r="R130" s="4">
        <f>12*Q130-O130-F130</f>
        <v>413.00000000000011</v>
      </c>
      <c r="S130" s="4">
        <f>R130+$S$1*Q130</f>
        <v>370.95800000000008</v>
      </c>
      <c r="T130" s="22"/>
      <c r="U130" s="9">
        <f t="shared" si="20"/>
        <v>11.615000000000002</v>
      </c>
      <c r="V130" s="9">
        <f t="shared" si="26"/>
        <v>8.2179487179487172</v>
      </c>
      <c r="W130" s="9">
        <v>112</v>
      </c>
      <c r="X130" s="9">
        <v>42.2</v>
      </c>
      <c r="Y130" s="9">
        <v>25.4</v>
      </c>
      <c r="Z130" s="9">
        <v>82.8</v>
      </c>
      <c r="AA130" s="9">
        <v>98.6</v>
      </c>
      <c r="AB130" s="9">
        <v>83.8</v>
      </c>
      <c r="AC130" s="9">
        <v>69</v>
      </c>
      <c r="AD130" s="9">
        <v>67.8</v>
      </c>
      <c r="AE130" s="9">
        <v>71.400000000000006</v>
      </c>
      <c r="AF130" s="9">
        <v>66.400000000000006</v>
      </c>
      <c r="AG130" s="9"/>
      <c r="AH130" s="9">
        <f t="shared" si="27"/>
        <v>111</v>
      </c>
      <c r="AI130" t="s">
        <v>300</v>
      </c>
    </row>
    <row r="131" spans="1:35" x14ac:dyDescent="0.25">
      <c r="A131" s="9" t="s">
        <v>301</v>
      </c>
      <c r="B131" s="9" t="s">
        <v>46</v>
      </c>
      <c r="C131" s="9">
        <v>138</v>
      </c>
      <c r="D131" s="9">
        <v>2</v>
      </c>
      <c r="E131" s="9">
        <v>122</v>
      </c>
      <c r="F131" s="9">
        <v>-1</v>
      </c>
      <c r="G131" s="6">
        <v>0.3</v>
      </c>
      <c r="H131" s="9">
        <v>40</v>
      </c>
      <c r="I131" s="8" t="s">
        <v>82</v>
      </c>
      <c r="J131" s="9"/>
      <c r="K131" s="9">
        <v>184</v>
      </c>
      <c r="L131" s="9">
        <f t="shared" si="24"/>
        <v>-62</v>
      </c>
      <c r="M131" s="9"/>
      <c r="N131" s="9"/>
      <c r="O131" s="9">
        <v>150</v>
      </c>
      <c r="P131" s="9"/>
      <c r="Q131" s="9">
        <f t="shared" si="25"/>
        <v>24.4</v>
      </c>
      <c r="R131" s="4">
        <f>12*Q131-O131-F131</f>
        <v>143.79999999999995</v>
      </c>
      <c r="S131" s="4">
        <f t="shared" ref="S131:S136" si="28">R131</f>
        <v>143.79999999999995</v>
      </c>
      <c r="T131" s="22"/>
      <c r="U131" s="9">
        <f t="shared" si="20"/>
        <v>11.999999999999998</v>
      </c>
      <c r="V131" s="9">
        <f t="shared" si="26"/>
        <v>6.1065573770491808</v>
      </c>
      <c r="W131" s="9">
        <v>53.6</v>
      </c>
      <c r="X131" s="9">
        <v>89.4</v>
      </c>
      <c r="Y131" s="9">
        <v>93</v>
      </c>
      <c r="Z131" s="9">
        <v>65.8</v>
      </c>
      <c r="AA131" s="9">
        <v>68.400000000000006</v>
      </c>
      <c r="AB131" s="9">
        <v>71</v>
      </c>
      <c r="AC131" s="9">
        <v>56</v>
      </c>
      <c r="AD131" s="9">
        <v>55.2</v>
      </c>
      <c r="AE131" s="9">
        <v>59.2</v>
      </c>
      <c r="AF131" s="9">
        <v>57</v>
      </c>
      <c r="AG131" s="9"/>
      <c r="AH131" s="9">
        <f t="shared" si="27"/>
        <v>43</v>
      </c>
      <c r="AI131" t="s">
        <v>302</v>
      </c>
    </row>
    <row r="132" spans="1:35" x14ac:dyDescent="0.25">
      <c r="A132" s="9" t="s">
        <v>303</v>
      </c>
      <c r="B132" s="9" t="s">
        <v>38</v>
      </c>
      <c r="C132" s="9">
        <v>403.97699999999998</v>
      </c>
      <c r="D132" s="9">
        <v>216.17400000000001</v>
      </c>
      <c r="E132" s="9">
        <v>244.126</v>
      </c>
      <c r="F132" s="9">
        <v>351.53399999999999</v>
      </c>
      <c r="G132" s="6">
        <v>1</v>
      </c>
      <c r="H132" s="9">
        <v>50</v>
      </c>
      <c r="I132" s="9" t="s">
        <v>39</v>
      </c>
      <c r="J132" s="9"/>
      <c r="K132" s="9">
        <v>243</v>
      </c>
      <c r="L132" s="9">
        <f t="shared" si="24"/>
        <v>1.1260000000000048</v>
      </c>
      <c r="M132" s="9"/>
      <c r="N132" s="9"/>
      <c r="O132" s="9">
        <v>40.620000000000118</v>
      </c>
      <c r="P132" s="9"/>
      <c r="Q132" s="9">
        <f t="shared" si="25"/>
        <v>48.825200000000002</v>
      </c>
      <c r="R132" s="4">
        <f>12*Q132-O132-F132</f>
        <v>193.74839999999995</v>
      </c>
      <c r="S132" s="4">
        <f t="shared" si="28"/>
        <v>193.74839999999995</v>
      </c>
      <c r="T132" s="22"/>
      <c r="U132" s="9">
        <f t="shared" si="20"/>
        <v>12</v>
      </c>
      <c r="V132" s="9">
        <f t="shared" si="26"/>
        <v>8.0317950566510756</v>
      </c>
      <c r="W132" s="9">
        <v>45.4114</v>
      </c>
      <c r="X132" s="9">
        <v>53.256399999999999</v>
      </c>
      <c r="Y132" s="9">
        <v>58.144799999999996</v>
      </c>
      <c r="Z132" s="9">
        <v>62.955399999999997</v>
      </c>
      <c r="AA132" s="9">
        <v>66.096400000000003</v>
      </c>
      <c r="AB132" s="9">
        <v>58.156999999999996</v>
      </c>
      <c r="AC132" s="9">
        <v>49.684600000000003</v>
      </c>
      <c r="AD132" s="9">
        <v>52.064</v>
      </c>
      <c r="AE132" s="9">
        <v>54.797600000000003</v>
      </c>
      <c r="AF132" s="9">
        <v>47.229799999999997</v>
      </c>
      <c r="AG132" s="9"/>
      <c r="AH132" s="9">
        <f t="shared" si="27"/>
        <v>194</v>
      </c>
      <c r="AI132" t="s">
        <v>304</v>
      </c>
    </row>
    <row r="133" spans="1:35" x14ac:dyDescent="0.25">
      <c r="A133" s="9" t="s">
        <v>305</v>
      </c>
      <c r="B133" s="9" t="s">
        <v>46</v>
      </c>
      <c r="C133" s="9">
        <v>143</v>
      </c>
      <c r="D133" s="9">
        <v>204</v>
      </c>
      <c r="E133" s="9">
        <v>129</v>
      </c>
      <c r="F133" s="9">
        <v>180</v>
      </c>
      <c r="G133" s="6">
        <v>0.3</v>
      </c>
      <c r="H133" s="9">
        <v>40</v>
      </c>
      <c r="I133" s="8" t="s">
        <v>82</v>
      </c>
      <c r="J133" s="9"/>
      <c r="K133" s="9">
        <v>252</v>
      </c>
      <c r="L133" s="9">
        <f t="shared" si="24"/>
        <v>-123</v>
      </c>
      <c r="M133" s="9"/>
      <c r="N133" s="9"/>
      <c r="O133" s="9">
        <v>200</v>
      </c>
      <c r="P133" s="9"/>
      <c r="Q133" s="9">
        <f t="shared" si="25"/>
        <v>25.8</v>
      </c>
      <c r="R133" s="4">
        <v>50</v>
      </c>
      <c r="S133" s="4">
        <f t="shared" si="28"/>
        <v>50</v>
      </c>
      <c r="T133" s="22"/>
      <c r="U133" s="9">
        <f t="shared" si="20"/>
        <v>16.666666666666668</v>
      </c>
      <c r="V133" s="9">
        <f t="shared" si="26"/>
        <v>14.728682170542635</v>
      </c>
      <c r="W133" s="9">
        <v>48.8</v>
      </c>
      <c r="X133" s="9">
        <v>63.2</v>
      </c>
      <c r="Y133" s="9">
        <v>63.4</v>
      </c>
      <c r="Z133" s="9">
        <v>55</v>
      </c>
      <c r="AA133" s="9">
        <v>46.8</v>
      </c>
      <c r="AB133" s="9">
        <v>58.4</v>
      </c>
      <c r="AC133" s="9">
        <v>57.6</v>
      </c>
      <c r="AD133" s="9">
        <v>44.2</v>
      </c>
      <c r="AE133" s="9">
        <v>51.6</v>
      </c>
      <c r="AF133" s="9">
        <v>59.6</v>
      </c>
      <c r="AG133" s="9"/>
      <c r="AH133" s="9">
        <f t="shared" si="27"/>
        <v>15</v>
      </c>
      <c r="AI133" t="s">
        <v>306</v>
      </c>
    </row>
    <row r="134" spans="1:35" x14ac:dyDescent="0.25">
      <c r="A134" s="9" t="s">
        <v>307</v>
      </c>
      <c r="B134" s="9" t="s">
        <v>46</v>
      </c>
      <c r="C134" s="9">
        <v>23</v>
      </c>
      <c r="D134" s="9">
        <v>90</v>
      </c>
      <c r="E134" s="9">
        <v>58</v>
      </c>
      <c r="F134" s="9">
        <v>53</v>
      </c>
      <c r="G134" s="6">
        <v>0.12</v>
      </c>
      <c r="H134" s="9">
        <v>45</v>
      </c>
      <c r="I134" s="8" t="s">
        <v>82</v>
      </c>
      <c r="J134" s="9"/>
      <c r="K134" s="9">
        <v>70</v>
      </c>
      <c r="L134" s="9">
        <f t="shared" ref="L134:L136" si="29">E134-K134</f>
        <v>-12</v>
      </c>
      <c r="M134" s="9"/>
      <c r="N134" s="9"/>
      <c r="O134" s="9">
        <v>80.100000000000023</v>
      </c>
      <c r="P134" s="9"/>
      <c r="Q134" s="9">
        <f t="shared" si="25"/>
        <v>11.6</v>
      </c>
      <c r="R134" s="4">
        <v>20</v>
      </c>
      <c r="S134" s="4">
        <f t="shared" si="28"/>
        <v>20</v>
      </c>
      <c r="T134" s="22"/>
      <c r="U134" s="9">
        <f t="shared" si="20"/>
        <v>13.198275862068968</v>
      </c>
      <c r="V134" s="9">
        <f t="shared" si="26"/>
        <v>11.474137931034486</v>
      </c>
      <c r="W134" s="9">
        <v>13.4</v>
      </c>
      <c r="X134" s="9">
        <v>14.2</v>
      </c>
      <c r="Y134" s="9">
        <v>11.8</v>
      </c>
      <c r="Z134" s="9">
        <v>8</v>
      </c>
      <c r="AA134" s="9">
        <v>6.8</v>
      </c>
      <c r="AB134" s="9">
        <v>10.199999999999999</v>
      </c>
      <c r="AC134" s="9">
        <v>11.4</v>
      </c>
      <c r="AD134" s="9">
        <v>5.6</v>
      </c>
      <c r="AE134" s="9">
        <v>5.6</v>
      </c>
      <c r="AF134" s="9">
        <v>9.8000000000000007</v>
      </c>
      <c r="AG134" s="9"/>
      <c r="AH134" s="9">
        <f t="shared" si="27"/>
        <v>2</v>
      </c>
      <c r="AI134" t="s">
        <v>308</v>
      </c>
    </row>
    <row r="135" spans="1:35" x14ac:dyDescent="0.25">
      <c r="A135" s="10" t="s">
        <v>309</v>
      </c>
      <c r="B135" s="10" t="s">
        <v>38</v>
      </c>
      <c r="C135" s="10"/>
      <c r="D135" s="10">
        <v>1.37</v>
      </c>
      <c r="E135" s="10">
        <v>1.37</v>
      </c>
      <c r="F135" s="10"/>
      <c r="G135" s="11">
        <v>0</v>
      </c>
      <c r="H135" s="10"/>
      <c r="I135" s="10" t="s">
        <v>310</v>
      </c>
      <c r="J135" s="10"/>
      <c r="K135" s="10">
        <v>1.3</v>
      </c>
      <c r="L135" s="10">
        <f t="shared" si="29"/>
        <v>7.0000000000000062E-2</v>
      </c>
      <c r="M135" s="10"/>
      <c r="N135" s="10"/>
      <c r="O135" s="10">
        <v>0</v>
      </c>
      <c r="P135" s="10"/>
      <c r="Q135" s="10">
        <f t="shared" si="25"/>
        <v>0.27400000000000002</v>
      </c>
      <c r="R135" s="12"/>
      <c r="S135" s="4">
        <f t="shared" si="28"/>
        <v>0</v>
      </c>
      <c r="T135" s="22"/>
      <c r="U135" s="9">
        <f t="shared" ref="U135:U136" si="30">(F135+O135+S135+T135)/Q135</f>
        <v>0</v>
      </c>
      <c r="V135" s="10">
        <f t="shared" si="26"/>
        <v>0</v>
      </c>
      <c r="W135" s="10">
        <v>0.27400000000000002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/>
      <c r="AH135" s="9">
        <f t="shared" si="27"/>
        <v>0</v>
      </c>
    </row>
    <row r="136" spans="1:35" x14ac:dyDescent="0.25">
      <c r="A136" s="10" t="s">
        <v>311</v>
      </c>
      <c r="B136" s="10" t="s">
        <v>46</v>
      </c>
      <c r="C136" s="10">
        <v>15</v>
      </c>
      <c r="D136" s="10">
        <v>4</v>
      </c>
      <c r="E136" s="10"/>
      <c r="F136" s="10"/>
      <c r="G136" s="11">
        <v>0</v>
      </c>
      <c r="H136" s="10"/>
      <c r="I136" s="10" t="s">
        <v>312</v>
      </c>
      <c r="J136" s="10" t="s">
        <v>294</v>
      </c>
      <c r="K136" s="10">
        <v>1</v>
      </c>
      <c r="L136" s="10">
        <f t="shared" si="29"/>
        <v>-1</v>
      </c>
      <c r="M136" s="10"/>
      <c r="N136" s="10"/>
      <c r="O136" s="10">
        <v>0</v>
      </c>
      <c r="P136" s="10"/>
      <c r="Q136" s="10">
        <f t="shared" si="25"/>
        <v>0</v>
      </c>
      <c r="R136" s="12"/>
      <c r="S136" s="4">
        <f t="shared" si="28"/>
        <v>0</v>
      </c>
      <c r="T136" s="22"/>
      <c r="U136" s="9" t="e">
        <f t="shared" si="30"/>
        <v>#DIV/0!</v>
      </c>
      <c r="V136" s="10" t="e">
        <f t="shared" si="26"/>
        <v>#DIV/0!</v>
      </c>
      <c r="W136" s="10">
        <v>0</v>
      </c>
      <c r="X136" s="10">
        <v>1</v>
      </c>
      <c r="Y136" s="10">
        <v>1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/>
      <c r="AH136" s="9">
        <f t="shared" si="27"/>
        <v>0</v>
      </c>
    </row>
    <row r="137" spans="1:35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18"/>
      <c r="Q137" s="9"/>
      <c r="R137" s="9"/>
      <c r="S137" s="9"/>
      <c r="T137" s="18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5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18"/>
      <c r="Q138" s="9"/>
      <c r="R138" s="9"/>
      <c r="S138" s="9"/>
      <c r="T138" s="18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5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18"/>
      <c r="Q139" s="9"/>
      <c r="R139" s="9"/>
      <c r="S139" s="9"/>
      <c r="T139" s="18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5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18"/>
      <c r="Q140" s="9"/>
      <c r="R140" s="9"/>
      <c r="S140" s="9"/>
      <c r="T140" s="18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5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18"/>
      <c r="Q141" s="9"/>
      <c r="R141" s="9"/>
      <c r="S141" s="9"/>
      <c r="T141" s="18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5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18"/>
      <c r="Q142" s="9"/>
      <c r="R142" s="9"/>
      <c r="S142" s="9"/>
      <c r="T142" s="18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5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18"/>
      <c r="Q143" s="9"/>
      <c r="R143" s="9"/>
      <c r="S143" s="9"/>
      <c r="T143" s="18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5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18"/>
      <c r="Q144" s="9"/>
      <c r="R144" s="9"/>
      <c r="S144" s="9"/>
      <c r="T144" s="18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18"/>
      <c r="Q145" s="9"/>
      <c r="R145" s="9"/>
      <c r="S145" s="9"/>
      <c r="T145" s="18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18"/>
      <c r="Q146" s="9"/>
      <c r="R146" s="9"/>
      <c r="S146" s="9"/>
      <c r="T146" s="18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18"/>
      <c r="Q147" s="9"/>
      <c r="R147" s="9"/>
      <c r="S147" s="9"/>
      <c r="T147" s="18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18"/>
      <c r="Q148" s="9"/>
      <c r="R148" s="9"/>
      <c r="S148" s="9"/>
      <c r="T148" s="18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18"/>
      <c r="Q149" s="9"/>
      <c r="R149" s="9"/>
      <c r="S149" s="9"/>
      <c r="T149" s="18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18"/>
      <c r="Q150" s="9"/>
      <c r="R150" s="9"/>
      <c r="S150" s="9"/>
      <c r="T150" s="18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18"/>
      <c r="Q151" s="9"/>
      <c r="R151" s="9"/>
      <c r="S151" s="9"/>
      <c r="T151" s="18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18"/>
      <c r="Q152" s="9"/>
      <c r="R152" s="9"/>
      <c r="S152" s="9"/>
      <c r="T152" s="18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18"/>
      <c r="Q153" s="9"/>
      <c r="R153" s="9"/>
      <c r="S153" s="9"/>
      <c r="T153" s="18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18"/>
      <c r="Q154" s="9"/>
      <c r="R154" s="9"/>
      <c r="S154" s="9"/>
      <c r="T154" s="18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18"/>
      <c r="Q155" s="9"/>
      <c r="R155" s="9"/>
      <c r="S155" s="9"/>
      <c r="T155" s="18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18"/>
      <c r="Q156" s="9"/>
      <c r="R156" s="9"/>
      <c r="S156" s="9"/>
      <c r="T156" s="18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18"/>
      <c r="Q157" s="9"/>
      <c r="R157" s="9"/>
      <c r="S157" s="9"/>
      <c r="T157" s="18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18"/>
      <c r="Q158" s="9"/>
      <c r="R158" s="9"/>
      <c r="S158" s="9"/>
      <c r="T158" s="18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18"/>
      <c r="Q159" s="9"/>
      <c r="R159" s="9"/>
      <c r="S159" s="9"/>
      <c r="T159" s="18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18"/>
      <c r="Q160" s="9"/>
      <c r="R160" s="9"/>
      <c r="S160" s="9"/>
      <c r="T160" s="18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18"/>
      <c r="Q161" s="9"/>
      <c r="R161" s="9"/>
      <c r="S161" s="9"/>
      <c r="T161" s="18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18"/>
      <c r="Q162" s="9"/>
      <c r="R162" s="9"/>
      <c r="S162" s="9"/>
      <c r="T162" s="18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18"/>
      <c r="Q163" s="9"/>
      <c r="R163" s="9"/>
      <c r="S163" s="9"/>
      <c r="T163" s="18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18"/>
      <c r="Q164" s="9"/>
      <c r="R164" s="9"/>
      <c r="S164" s="9"/>
      <c r="T164" s="18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18"/>
      <c r="Q165" s="9"/>
      <c r="R165" s="9"/>
      <c r="S165" s="9"/>
      <c r="T165" s="18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18"/>
      <c r="Q166" s="9"/>
      <c r="R166" s="9"/>
      <c r="S166" s="9"/>
      <c r="T166" s="18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18"/>
      <c r="Q167" s="9"/>
      <c r="R167" s="9"/>
      <c r="S167" s="9"/>
      <c r="T167" s="18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18"/>
      <c r="Q168" s="9"/>
      <c r="R168" s="9"/>
      <c r="S168" s="9"/>
      <c r="T168" s="18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18"/>
      <c r="Q169" s="9"/>
      <c r="R169" s="9"/>
      <c r="S169" s="9"/>
      <c r="T169" s="18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18"/>
      <c r="Q170" s="9"/>
      <c r="R170" s="9"/>
      <c r="S170" s="9"/>
      <c r="T170" s="18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18"/>
      <c r="Q171" s="9"/>
      <c r="R171" s="9"/>
      <c r="S171" s="9"/>
      <c r="T171" s="18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18"/>
      <c r="Q172" s="9"/>
      <c r="R172" s="9"/>
      <c r="S172" s="9"/>
      <c r="T172" s="18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18"/>
      <c r="Q173" s="9"/>
      <c r="R173" s="9"/>
      <c r="S173" s="9"/>
      <c r="T173" s="18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18"/>
      <c r="Q174" s="9"/>
      <c r="R174" s="9"/>
      <c r="S174" s="9"/>
      <c r="T174" s="18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18"/>
      <c r="Q175" s="9"/>
      <c r="R175" s="9"/>
      <c r="S175" s="9"/>
      <c r="T175" s="18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18"/>
      <c r="Q176" s="9"/>
      <c r="R176" s="9"/>
      <c r="S176" s="9"/>
      <c r="T176" s="18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18"/>
      <c r="Q177" s="9"/>
      <c r="R177" s="9"/>
      <c r="S177" s="9"/>
      <c r="T177" s="18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18"/>
      <c r="Q178" s="9"/>
      <c r="R178" s="9"/>
      <c r="S178" s="9"/>
      <c r="T178" s="18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18"/>
      <c r="Q179" s="9"/>
      <c r="R179" s="9"/>
      <c r="S179" s="9"/>
      <c r="T179" s="18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18"/>
      <c r="Q180" s="9"/>
      <c r="R180" s="9"/>
      <c r="S180" s="9"/>
      <c r="T180" s="18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18"/>
      <c r="Q181" s="9"/>
      <c r="R181" s="9"/>
      <c r="S181" s="9"/>
      <c r="T181" s="18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18"/>
      <c r="Q182" s="9"/>
      <c r="R182" s="9"/>
      <c r="S182" s="9"/>
      <c r="T182" s="18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18"/>
      <c r="Q183" s="9"/>
      <c r="R183" s="9"/>
      <c r="S183" s="9"/>
      <c r="T183" s="18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18"/>
      <c r="Q184" s="9"/>
      <c r="R184" s="9"/>
      <c r="S184" s="9"/>
      <c r="T184" s="18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18"/>
      <c r="Q185" s="9"/>
      <c r="R185" s="9"/>
      <c r="S185" s="9"/>
      <c r="T185" s="18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 spans="1:34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18"/>
      <c r="Q186" s="9"/>
      <c r="R186" s="9"/>
      <c r="S186" s="9"/>
      <c r="T186" s="18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 spans="1:34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18"/>
      <c r="Q187" s="9"/>
      <c r="R187" s="9"/>
      <c r="S187" s="9"/>
      <c r="T187" s="18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 spans="1:34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18"/>
      <c r="Q188" s="9"/>
      <c r="R188" s="9"/>
      <c r="S188" s="9"/>
      <c r="T188" s="18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 spans="1:34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18"/>
      <c r="Q189" s="9"/>
      <c r="R189" s="9"/>
      <c r="S189" s="9"/>
      <c r="T189" s="18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 spans="1:34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18"/>
      <c r="Q190" s="9"/>
      <c r="R190" s="9"/>
      <c r="S190" s="9"/>
      <c r="T190" s="18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 spans="1:34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18"/>
      <c r="Q191" s="9"/>
      <c r="R191" s="9"/>
      <c r="S191" s="9"/>
      <c r="T191" s="18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 spans="1:34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18"/>
      <c r="Q192" s="9"/>
      <c r="R192" s="9"/>
      <c r="S192" s="9"/>
      <c r="T192" s="18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 spans="1:34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18"/>
      <c r="Q193" s="9"/>
      <c r="R193" s="9"/>
      <c r="S193" s="9"/>
      <c r="T193" s="18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 spans="1:34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18"/>
      <c r="Q194" s="9"/>
      <c r="R194" s="9"/>
      <c r="S194" s="9"/>
      <c r="T194" s="18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 spans="1:34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18"/>
      <c r="Q195" s="9"/>
      <c r="R195" s="9"/>
      <c r="S195" s="9"/>
      <c r="T195" s="18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 spans="1:34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18"/>
      <c r="Q196" s="9"/>
      <c r="R196" s="9"/>
      <c r="S196" s="9"/>
      <c r="T196" s="18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 spans="1:34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18"/>
      <c r="Q197" s="9"/>
      <c r="R197" s="9"/>
      <c r="S197" s="9"/>
      <c r="T197" s="18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 spans="1:34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18"/>
      <c r="Q198" s="9"/>
      <c r="R198" s="9"/>
      <c r="S198" s="9"/>
      <c r="T198" s="18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 spans="1:34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18"/>
      <c r="Q199" s="9"/>
      <c r="R199" s="9"/>
      <c r="S199" s="9"/>
      <c r="T199" s="18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 spans="1:34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18"/>
      <c r="Q200" s="9"/>
      <c r="R200" s="9"/>
      <c r="S200" s="9"/>
      <c r="T200" s="18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 spans="1:34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18"/>
      <c r="Q201" s="9"/>
      <c r="R201" s="9"/>
      <c r="S201" s="9"/>
      <c r="T201" s="18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18"/>
      <c r="Q202" s="9"/>
      <c r="R202" s="9"/>
      <c r="S202" s="9"/>
      <c r="T202" s="18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18"/>
      <c r="Q203" s="9"/>
      <c r="R203" s="9"/>
      <c r="S203" s="9"/>
      <c r="T203" s="18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 spans="1:34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18"/>
      <c r="Q204" s="9"/>
      <c r="R204" s="9"/>
      <c r="S204" s="9"/>
      <c r="T204" s="18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 spans="1:34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18"/>
      <c r="Q205" s="9"/>
      <c r="R205" s="9"/>
      <c r="S205" s="9"/>
      <c r="T205" s="18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 spans="1:34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18"/>
      <c r="Q206" s="9"/>
      <c r="R206" s="9"/>
      <c r="S206" s="9"/>
      <c r="T206" s="18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 spans="1:34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18"/>
      <c r="Q207" s="9"/>
      <c r="R207" s="9"/>
      <c r="S207" s="9"/>
      <c r="T207" s="18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 spans="1:34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18"/>
      <c r="Q208" s="9"/>
      <c r="R208" s="9"/>
      <c r="S208" s="9"/>
      <c r="T208" s="18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 spans="1:34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18"/>
      <c r="Q209" s="9"/>
      <c r="R209" s="9"/>
      <c r="S209" s="9"/>
      <c r="T209" s="18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 spans="1:34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18"/>
      <c r="Q210" s="9"/>
      <c r="R210" s="9"/>
      <c r="S210" s="9"/>
      <c r="T210" s="18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 spans="1:34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18"/>
      <c r="Q211" s="9"/>
      <c r="R211" s="9"/>
      <c r="S211" s="9"/>
      <c r="T211" s="18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 spans="1:34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18"/>
      <c r="Q212" s="9"/>
      <c r="R212" s="9"/>
      <c r="S212" s="9"/>
      <c r="T212" s="18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 spans="1:34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18"/>
      <c r="Q213" s="9"/>
      <c r="R213" s="9"/>
      <c r="S213" s="9"/>
      <c r="T213" s="18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 spans="1:34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18"/>
      <c r="Q214" s="9"/>
      <c r="R214" s="9"/>
      <c r="S214" s="9"/>
      <c r="T214" s="18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 spans="1:34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18"/>
      <c r="Q215" s="9"/>
      <c r="R215" s="9"/>
      <c r="S215" s="9"/>
      <c r="T215" s="18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 spans="1:34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18"/>
      <c r="Q216" s="9"/>
      <c r="R216" s="9"/>
      <c r="S216" s="9"/>
      <c r="T216" s="18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spans="1:34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18"/>
      <c r="Q217" s="9"/>
      <c r="R217" s="9"/>
      <c r="S217" s="9"/>
      <c r="T217" s="18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spans="1:34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18"/>
      <c r="Q218" s="9"/>
      <c r="R218" s="9"/>
      <c r="S218" s="9"/>
      <c r="T218" s="18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spans="1:34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18"/>
      <c r="Q219" s="9"/>
      <c r="R219" s="9"/>
      <c r="S219" s="9"/>
      <c r="T219" s="18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spans="1:34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18"/>
      <c r="Q220" s="9"/>
      <c r="R220" s="9"/>
      <c r="S220" s="9"/>
      <c r="T220" s="18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spans="1:34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18"/>
      <c r="Q221" s="9"/>
      <c r="R221" s="9"/>
      <c r="S221" s="9"/>
      <c r="T221" s="18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spans="1:34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18"/>
      <c r="Q222" s="9"/>
      <c r="R222" s="9"/>
      <c r="S222" s="9"/>
      <c r="T222" s="18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spans="1:34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18"/>
      <c r="Q223" s="9"/>
      <c r="R223" s="9"/>
      <c r="S223" s="9"/>
      <c r="T223" s="18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spans="1:34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18"/>
      <c r="Q224" s="9"/>
      <c r="R224" s="9"/>
      <c r="S224" s="9"/>
      <c r="T224" s="18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spans="1:34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18"/>
      <c r="Q225" s="9"/>
      <c r="R225" s="9"/>
      <c r="S225" s="9"/>
      <c r="T225" s="18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spans="1:34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18"/>
      <c r="Q226" s="9"/>
      <c r="R226" s="9"/>
      <c r="S226" s="9"/>
      <c r="T226" s="18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spans="1:34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18"/>
      <c r="Q227" s="9"/>
      <c r="R227" s="9"/>
      <c r="S227" s="9"/>
      <c r="T227" s="18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spans="1:34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18"/>
      <c r="Q228" s="9"/>
      <c r="R228" s="9"/>
      <c r="S228" s="9"/>
      <c r="T228" s="18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spans="1:34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18"/>
      <c r="Q229" s="9"/>
      <c r="R229" s="9"/>
      <c r="S229" s="9"/>
      <c r="T229" s="18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spans="1:34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18"/>
      <c r="Q230" s="9"/>
      <c r="R230" s="9"/>
      <c r="S230" s="9"/>
      <c r="T230" s="18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spans="1:34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18"/>
      <c r="Q231" s="9"/>
      <c r="R231" s="9"/>
      <c r="S231" s="9"/>
      <c r="T231" s="18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spans="1:34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18"/>
      <c r="Q232" s="9"/>
      <c r="R232" s="9"/>
      <c r="S232" s="9"/>
      <c r="T232" s="18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spans="1:34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18"/>
      <c r="Q233" s="9"/>
      <c r="R233" s="9"/>
      <c r="S233" s="9"/>
      <c r="T233" s="18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 spans="1:34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18"/>
      <c r="Q234" s="9"/>
      <c r="R234" s="9"/>
      <c r="S234" s="9"/>
      <c r="T234" s="18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spans="1:34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18"/>
      <c r="Q235" s="9"/>
      <c r="R235" s="9"/>
      <c r="S235" s="9"/>
      <c r="T235" s="18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 spans="1:34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18"/>
      <c r="Q236" s="9"/>
      <c r="R236" s="9"/>
      <c r="S236" s="9"/>
      <c r="T236" s="18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 spans="1:34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18"/>
      <c r="Q237" s="9"/>
      <c r="R237" s="9"/>
      <c r="S237" s="9"/>
      <c r="T237" s="18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 spans="1:34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18"/>
      <c r="Q238" s="9"/>
      <c r="R238" s="9"/>
      <c r="S238" s="9"/>
      <c r="T238" s="18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 spans="1:34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18"/>
      <c r="Q239" s="9"/>
      <c r="R239" s="9"/>
      <c r="S239" s="9"/>
      <c r="T239" s="18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 spans="1:34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18"/>
      <c r="Q240" s="9"/>
      <c r="R240" s="9"/>
      <c r="S240" s="9"/>
      <c r="T240" s="18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 spans="1:34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18"/>
      <c r="Q241" s="9"/>
      <c r="R241" s="9"/>
      <c r="S241" s="9"/>
      <c r="T241" s="18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 spans="1:34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18"/>
      <c r="Q242" s="9"/>
      <c r="R242" s="9"/>
      <c r="S242" s="9"/>
      <c r="T242" s="18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 spans="1:34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18"/>
      <c r="Q243" s="9"/>
      <c r="R243" s="9"/>
      <c r="S243" s="9"/>
      <c r="T243" s="18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 spans="1:34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18"/>
      <c r="Q244" s="9"/>
      <c r="R244" s="9"/>
      <c r="S244" s="9"/>
      <c r="T244" s="18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 spans="1:34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18"/>
      <c r="Q245" s="9"/>
      <c r="R245" s="9"/>
      <c r="S245" s="9"/>
      <c r="T245" s="18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 spans="1:34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18"/>
      <c r="Q246" s="9"/>
      <c r="R246" s="9"/>
      <c r="S246" s="9"/>
      <c r="T246" s="18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 spans="1:34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18"/>
      <c r="Q247" s="9"/>
      <c r="R247" s="9"/>
      <c r="S247" s="9"/>
      <c r="T247" s="18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spans="1:34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18"/>
      <c r="Q248" s="9"/>
      <c r="R248" s="9"/>
      <c r="S248" s="9"/>
      <c r="T248" s="18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spans="1:34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18"/>
      <c r="Q249" s="9"/>
      <c r="R249" s="9"/>
      <c r="S249" s="9"/>
      <c r="T249" s="18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spans="1:34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18"/>
      <c r="Q250" s="9"/>
      <c r="R250" s="9"/>
      <c r="S250" s="9"/>
      <c r="T250" s="18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spans="1:34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18"/>
      <c r="Q251" s="9"/>
      <c r="R251" s="9"/>
      <c r="S251" s="9"/>
      <c r="T251" s="18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spans="1:34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18"/>
      <c r="Q252" s="9"/>
      <c r="R252" s="9"/>
      <c r="S252" s="9"/>
      <c r="T252" s="18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spans="1:34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18"/>
      <c r="Q253" s="9"/>
      <c r="R253" s="9"/>
      <c r="S253" s="9"/>
      <c r="T253" s="18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spans="1:34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18"/>
      <c r="Q254" s="9"/>
      <c r="R254" s="9"/>
      <c r="S254" s="9"/>
      <c r="T254" s="18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spans="1:34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18"/>
      <c r="Q255" s="9"/>
      <c r="R255" s="9"/>
      <c r="S255" s="9"/>
      <c r="T255" s="18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spans="1:34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18"/>
      <c r="Q256" s="9"/>
      <c r="R256" s="9"/>
      <c r="S256" s="9"/>
      <c r="T256" s="18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spans="1:34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18"/>
      <c r="Q257" s="9"/>
      <c r="R257" s="9"/>
      <c r="S257" s="9"/>
      <c r="T257" s="18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spans="1:34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18"/>
      <c r="Q258" s="9"/>
      <c r="R258" s="9"/>
      <c r="S258" s="9"/>
      <c r="T258" s="18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spans="1:34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18"/>
      <c r="Q259" s="9"/>
      <c r="R259" s="9"/>
      <c r="S259" s="9"/>
      <c r="T259" s="18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spans="1:34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18"/>
      <c r="Q260" s="9"/>
      <c r="R260" s="9"/>
      <c r="S260" s="9"/>
      <c r="T260" s="18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 spans="1:34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18"/>
      <c r="Q261" s="9"/>
      <c r="R261" s="9"/>
      <c r="S261" s="9"/>
      <c r="T261" s="18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 spans="1:34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18"/>
      <c r="Q262" s="9"/>
      <c r="R262" s="9"/>
      <c r="S262" s="9"/>
      <c r="T262" s="18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 spans="1:34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18"/>
      <c r="Q263" s="9"/>
      <c r="R263" s="9"/>
      <c r="S263" s="9"/>
      <c r="T263" s="18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 spans="1:34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18"/>
      <c r="Q264" s="9"/>
      <c r="R264" s="9"/>
      <c r="S264" s="9"/>
      <c r="T264" s="18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 spans="1:34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18"/>
      <c r="Q265" s="9"/>
      <c r="R265" s="9"/>
      <c r="S265" s="9"/>
      <c r="T265" s="18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 spans="1:34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18"/>
      <c r="Q266" s="9"/>
      <c r="R266" s="9"/>
      <c r="S266" s="9"/>
      <c r="T266" s="18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 spans="1:34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18"/>
      <c r="Q267" s="9"/>
      <c r="R267" s="9"/>
      <c r="S267" s="9"/>
      <c r="T267" s="18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 spans="1:34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18"/>
      <c r="Q268" s="9"/>
      <c r="R268" s="9"/>
      <c r="S268" s="9"/>
      <c r="T268" s="18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spans="1:34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18"/>
      <c r="Q269" s="9"/>
      <c r="R269" s="9"/>
      <c r="S269" s="9"/>
      <c r="T269" s="18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 spans="1:34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18"/>
      <c r="Q270" s="9"/>
      <c r="R270" s="9"/>
      <c r="S270" s="9"/>
      <c r="T270" s="18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spans="1:34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18"/>
      <c r="Q271" s="9"/>
      <c r="R271" s="9"/>
      <c r="S271" s="9"/>
      <c r="T271" s="18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 spans="1:34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18"/>
      <c r="Q272" s="9"/>
      <c r="R272" s="9"/>
      <c r="S272" s="9"/>
      <c r="T272" s="18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 spans="1:34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18"/>
      <c r="Q273" s="9"/>
      <c r="R273" s="9"/>
      <c r="S273" s="9"/>
      <c r="T273" s="18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 spans="1:34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18"/>
      <c r="Q274" s="9"/>
      <c r="R274" s="9"/>
      <c r="S274" s="9"/>
      <c r="T274" s="18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 spans="1:34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18"/>
      <c r="Q275" s="9"/>
      <c r="R275" s="9"/>
      <c r="S275" s="9"/>
      <c r="T275" s="18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 spans="1:34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18"/>
      <c r="Q276" s="9"/>
      <c r="R276" s="9"/>
      <c r="S276" s="9"/>
      <c r="T276" s="18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 spans="1:34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18"/>
      <c r="Q277" s="9"/>
      <c r="R277" s="9"/>
      <c r="S277" s="9"/>
      <c r="T277" s="18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 spans="1:34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18"/>
      <c r="Q278" s="9"/>
      <c r="R278" s="9"/>
      <c r="S278" s="9"/>
      <c r="T278" s="18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 spans="1:34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18"/>
      <c r="Q279" s="9"/>
      <c r="R279" s="9"/>
      <c r="S279" s="9"/>
      <c r="T279" s="18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 spans="1:34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18"/>
      <c r="Q280" s="9"/>
      <c r="R280" s="9"/>
      <c r="S280" s="9"/>
      <c r="T280" s="18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 spans="1:34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18"/>
      <c r="Q281" s="9"/>
      <c r="R281" s="9"/>
      <c r="S281" s="9"/>
      <c r="T281" s="18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 spans="1:34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18"/>
      <c r="Q282" s="9"/>
      <c r="R282" s="9"/>
      <c r="S282" s="9"/>
      <c r="T282" s="18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 spans="1:34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18"/>
      <c r="Q283" s="9"/>
      <c r="R283" s="9"/>
      <c r="S283" s="9"/>
      <c r="T283" s="18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 spans="1:34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18"/>
      <c r="Q284" s="9"/>
      <c r="R284" s="9"/>
      <c r="S284" s="9"/>
      <c r="T284" s="18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 spans="1:34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18"/>
      <c r="Q285" s="9"/>
      <c r="R285" s="9"/>
      <c r="S285" s="9"/>
      <c r="T285" s="18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 spans="1:34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18"/>
      <c r="Q286" s="9"/>
      <c r="R286" s="9"/>
      <c r="S286" s="9"/>
      <c r="T286" s="18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 spans="1:34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18"/>
      <c r="Q287" s="9"/>
      <c r="R287" s="9"/>
      <c r="S287" s="9"/>
      <c r="T287" s="18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 spans="1:34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18"/>
      <c r="Q288" s="9"/>
      <c r="R288" s="9"/>
      <c r="S288" s="9"/>
      <c r="T288" s="18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 spans="1:34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18"/>
      <c r="Q289" s="9"/>
      <c r="R289" s="9"/>
      <c r="S289" s="9"/>
      <c r="T289" s="18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 spans="1:34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18"/>
      <c r="Q290" s="9"/>
      <c r="R290" s="9"/>
      <c r="S290" s="9"/>
      <c r="T290" s="18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 spans="1:34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18"/>
      <c r="Q291" s="9"/>
      <c r="R291" s="9"/>
      <c r="S291" s="9"/>
      <c r="T291" s="18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18"/>
      <c r="Q292" s="9"/>
      <c r="R292" s="9"/>
      <c r="S292" s="9"/>
      <c r="T292" s="18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spans="1:34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18"/>
      <c r="Q293" s="9"/>
      <c r="R293" s="9"/>
      <c r="S293" s="9"/>
      <c r="T293" s="18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18"/>
      <c r="Q294" s="9"/>
      <c r="R294" s="9"/>
      <c r="S294" s="9"/>
      <c r="T294" s="18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spans="1:34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18"/>
      <c r="Q295" s="9"/>
      <c r="R295" s="9"/>
      <c r="S295" s="9"/>
      <c r="T295" s="18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18"/>
      <c r="Q296" s="9"/>
      <c r="R296" s="9"/>
      <c r="S296" s="9"/>
      <c r="T296" s="18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spans="1:34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18"/>
      <c r="Q297" s="9"/>
      <c r="R297" s="9"/>
      <c r="S297" s="9"/>
      <c r="T297" s="18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18"/>
      <c r="Q298" s="9"/>
      <c r="R298" s="9"/>
      <c r="S298" s="9"/>
      <c r="T298" s="18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spans="1:34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18"/>
      <c r="Q299" s="9"/>
      <c r="R299" s="9"/>
      <c r="S299" s="9"/>
      <c r="T299" s="18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18"/>
      <c r="Q300" s="9"/>
      <c r="R300" s="9"/>
      <c r="S300" s="9"/>
      <c r="T300" s="18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 spans="1:34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18"/>
      <c r="Q301" s="9"/>
      <c r="R301" s="9"/>
      <c r="S301" s="9"/>
      <c r="T301" s="18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 spans="1:34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18"/>
      <c r="Q302" s="9"/>
      <c r="R302" s="9"/>
      <c r="S302" s="9"/>
      <c r="T302" s="18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 spans="1:34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18"/>
      <c r="Q303" s="9"/>
      <c r="R303" s="9"/>
      <c r="S303" s="9"/>
      <c r="T303" s="18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 spans="1:34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18"/>
      <c r="Q304" s="9"/>
      <c r="R304" s="9"/>
      <c r="S304" s="9"/>
      <c r="T304" s="18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 spans="1:34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18"/>
      <c r="Q305" s="9"/>
      <c r="R305" s="9"/>
      <c r="S305" s="9"/>
      <c r="T305" s="18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 spans="1:34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18"/>
      <c r="Q306" s="9"/>
      <c r="R306" s="9"/>
      <c r="S306" s="9"/>
      <c r="T306" s="18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 spans="1:34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18"/>
      <c r="Q307" s="9"/>
      <c r="R307" s="9"/>
      <c r="S307" s="9"/>
      <c r="T307" s="18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 spans="1:34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18"/>
      <c r="Q308" s="9"/>
      <c r="R308" s="9"/>
      <c r="S308" s="9"/>
      <c r="T308" s="18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 spans="1:34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18"/>
      <c r="Q309" s="9"/>
      <c r="R309" s="9"/>
      <c r="S309" s="9"/>
      <c r="T309" s="18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 spans="1:34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18"/>
      <c r="Q310" s="9"/>
      <c r="R310" s="9"/>
      <c r="S310" s="9"/>
      <c r="T310" s="18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 spans="1:34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18"/>
      <c r="Q311" s="9"/>
      <c r="R311" s="9"/>
      <c r="S311" s="9"/>
      <c r="T311" s="18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 spans="1:34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18"/>
      <c r="Q312" s="9"/>
      <c r="R312" s="9"/>
      <c r="S312" s="9"/>
      <c r="T312" s="18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 spans="1:34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18"/>
      <c r="Q313" s="9"/>
      <c r="R313" s="9"/>
      <c r="S313" s="9"/>
      <c r="T313" s="18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 spans="1:34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18"/>
      <c r="Q314" s="9"/>
      <c r="R314" s="9"/>
      <c r="S314" s="9"/>
      <c r="T314" s="18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 spans="1:34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18"/>
      <c r="Q315" s="9"/>
      <c r="R315" s="9"/>
      <c r="S315" s="9"/>
      <c r="T315" s="18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 spans="1:34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18"/>
      <c r="Q316" s="9"/>
      <c r="R316" s="9"/>
      <c r="S316" s="9"/>
      <c r="T316" s="18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 spans="1:34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18"/>
      <c r="Q317" s="9"/>
      <c r="R317" s="9"/>
      <c r="S317" s="9"/>
      <c r="T317" s="18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 spans="1:34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18"/>
      <c r="Q318" s="9"/>
      <c r="R318" s="9"/>
      <c r="S318" s="9"/>
      <c r="T318" s="18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 spans="1:34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18"/>
      <c r="Q319" s="9"/>
      <c r="R319" s="9"/>
      <c r="S319" s="9"/>
      <c r="T319" s="18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 spans="1:34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18"/>
      <c r="Q320" s="9"/>
      <c r="R320" s="9"/>
      <c r="S320" s="9"/>
      <c r="T320" s="18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 spans="1:34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18"/>
      <c r="Q321" s="9"/>
      <c r="R321" s="9"/>
      <c r="S321" s="9"/>
      <c r="T321" s="18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 spans="1:34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18"/>
      <c r="Q322" s="9"/>
      <c r="R322" s="9"/>
      <c r="S322" s="9"/>
      <c r="T322" s="18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 spans="1:34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18"/>
      <c r="Q323" s="9"/>
      <c r="R323" s="9"/>
      <c r="S323" s="9"/>
      <c r="T323" s="18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 spans="1:34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18"/>
      <c r="Q324" s="9"/>
      <c r="R324" s="9"/>
      <c r="S324" s="9"/>
      <c r="T324" s="18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 spans="1:34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18"/>
      <c r="Q325" s="9"/>
      <c r="R325" s="9"/>
      <c r="S325" s="9"/>
      <c r="T325" s="18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 spans="1:34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18"/>
      <c r="Q326" s="9"/>
      <c r="R326" s="9"/>
      <c r="S326" s="9"/>
      <c r="T326" s="18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 spans="1:34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18"/>
      <c r="Q327" s="9"/>
      <c r="R327" s="9"/>
      <c r="S327" s="9"/>
      <c r="T327" s="18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 spans="1:34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18"/>
      <c r="Q328" s="9"/>
      <c r="R328" s="9"/>
      <c r="S328" s="9"/>
      <c r="T328" s="18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 spans="1:34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18"/>
      <c r="Q329" s="9"/>
      <c r="R329" s="9"/>
      <c r="S329" s="9"/>
      <c r="T329" s="18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 spans="1:34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18"/>
      <c r="Q330" s="9"/>
      <c r="R330" s="9"/>
      <c r="S330" s="9"/>
      <c r="T330" s="18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 spans="1:34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18"/>
      <c r="Q331" s="9"/>
      <c r="R331" s="9"/>
      <c r="S331" s="9"/>
      <c r="T331" s="18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 spans="1:34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18"/>
      <c r="Q332" s="9"/>
      <c r="R332" s="9"/>
      <c r="S332" s="9"/>
      <c r="T332" s="18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 spans="1:34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18"/>
      <c r="Q333" s="9"/>
      <c r="R333" s="9"/>
      <c r="S333" s="9"/>
      <c r="T333" s="18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 spans="1:34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18"/>
      <c r="Q334" s="9"/>
      <c r="R334" s="9"/>
      <c r="S334" s="9"/>
      <c r="T334" s="18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 spans="1:34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18"/>
      <c r="Q335" s="9"/>
      <c r="R335" s="9"/>
      <c r="S335" s="9"/>
      <c r="T335" s="18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 spans="1:34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18"/>
      <c r="Q336" s="9"/>
      <c r="R336" s="9"/>
      <c r="S336" s="9"/>
      <c r="T336" s="18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 spans="1:34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18"/>
      <c r="Q337" s="9"/>
      <c r="R337" s="9"/>
      <c r="S337" s="9"/>
      <c r="T337" s="18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 spans="1:34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18"/>
      <c r="Q338" s="9"/>
      <c r="R338" s="9"/>
      <c r="S338" s="9"/>
      <c r="T338" s="18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 spans="1:34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18"/>
      <c r="Q339" s="9"/>
      <c r="R339" s="9"/>
      <c r="S339" s="9"/>
      <c r="T339" s="18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 spans="1:34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18"/>
      <c r="Q340" s="9"/>
      <c r="R340" s="9"/>
      <c r="S340" s="9"/>
      <c r="T340" s="18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 spans="1:34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18"/>
      <c r="Q341" s="9"/>
      <c r="R341" s="9"/>
      <c r="S341" s="9"/>
      <c r="T341" s="18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 spans="1:34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18"/>
      <c r="Q342" s="9"/>
      <c r="R342" s="9"/>
      <c r="S342" s="9"/>
      <c r="T342" s="18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 spans="1:34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18"/>
      <c r="Q343" s="9"/>
      <c r="R343" s="9"/>
      <c r="S343" s="9"/>
      <c r="T343" s="18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 spans="1:34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18"/>
      <c r="Q344" s="9"/>
      <c r="R344" s="9"/>
      <c r="S344" s="9"/>
      <c r="T344" s="18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 spans="1:34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18"/>
      <c r="Q345" s="9"/>
      <c r="R345" s="9"/>
      <c r="S345" s="9"/>
      <c r="T345" s="18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 spans="1:34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18"/>
      <c r="Q346" s="9"/>
      <c r="R346" s="9"/>
      <c r="S346" s="9"/>
      <c r="T346" s="18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 spans="1:34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18"/>
      <c r="Q347" s="9"/>
      <c r="R347" s="9"/>
      <c r="S347" s="9"/>
      <c r="T347" s="18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 spans="1:34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18"/>
      <c r="Q348" s="9"/>
      <c r="R348" s="9"/>
      <c r="S348" s="9"/>
      <c r="T348" s="18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 spans="1:34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18"/>
      <c r="Q349" s="9"/>
      <c r="R349" s="9"/>
      <c r="S349" s="9"/>
      <c r="T349" s="18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 spans="1:34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18"/>
      <c r="Q350" s="9"/>
      <c r="R350" s="9"/>
      <c r="S350" s="9"/>
      <c r="T350" s="18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 spans="1:34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18"/>
      <c r="Q351" s="9"/>
      <c r="R351" s="9"/>
      <c r="S351" s="9"/>
      <c r="T351" s="18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 spans="1:34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18"/>
      <c r="Q352" s="9"/>
      <c r="R352" s="9"/>
      <c r="S352" s="9"/>
      <c r="T352" s="18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 spans="1:34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18"/>
      <c r="Q353" s="9"/>
      <c r="R353" s="9"/>
      <c r="S353" s="9"/>
      <c r="T353" s="18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 spans="1:34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18"/>
      <c r="Q354" s="9"/>
      <c r="R354" s="9"/>
      <c r="S354" s="9"/>
      <c r="T354" s="18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 spans="1:34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18"/>
      <c r="Q355" s="9"/>
      <c r="R355" s="9"/>
      <c r="S355" s="9"/>
      <c r="T355" s="18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 spans="1:34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18"/>
      <c r="Q356" s="9"/>
      <c r="R356" s="9"/>
      <c r="S356" s="9"/>
      <c r="T356" s="18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 spans="1:34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18"/>
      <c r="Q357" s="9"/>
      <c r="R357" s="9"/>
      <c r="S357" s="9"/>
      <c r="T357" s="18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 spans="1:34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18"/>
      <c r="Q358" s="9"/>
      <c r="R358" s="9"/>
      <c r="S358" s="9"/>
      <c r="T358" s="18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 spans="1:34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18"/>
      <c r="Q359" s="9"/>
      <c r="R359" s="9"/>
      <c r="S359" s="9"/>
      <c r="T359" s="18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 spans="1:34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18"/>
      <c r="Q360" s="9"/>
      <c r="R360" s="9"/>
      <c r="S360" s="9"/>
      <c r="T360" s="18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 spans="1:34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18"/>
      <c r="Q361" s="9"/>
      <c r="R361" s="9"/>
      <c r="S361" s="9"/>
      <c r="T361" s="18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 spans="1:34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18"/>
      <c r="Q362" s="9"/>
      <c r="R362" s="9"/>
      <c r="S362" s="9"/>
      <c r="T362" s="18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 spans="1:34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18"/>
      <c r="Q363" s="9"/>
      <c r="R363" s="9"/>
      <c r="S363" s="9"/>
      <c r="T363" s="18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 spans="1:34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18"/>
      <c r="Q364" s="9"/>
      <c r="R364" s="9"/>
      <c r="S364" s="9"/>
      <c r="T364" s="18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 spans="1:34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18"/>
      <c r="Q365" s="9"/>
      <c r="R365" s="9"/>
      <c r="S365" s="9"/>
      <c r="T365" s="18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 spans="1:34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18"/>
      <c r="Q366" s="9"/>
      <c r="R366" s="9"/>
      <c r="S366" s="9"/>
      <c r="T366" s="18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 spans="1:34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18"/>
      <c r="Q367" s="9"/>
      <c r="R367" s="9"/>
      <c r="S367" s="9"/>
      <c r="T367" s="18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 spans="1:34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18"/>
      <c r="Q368" s="9"/>
      <c r="R368" s="9"/>
      <c r="S368" s="9"/>
      <c r="T368" s="18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 spans="1:34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18"/>
      <c r="Q369" s="9"/>
      <c r="R369" s="9"/>
      <c r="S369" s="9"/>
      <c r="T369" s="18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 spans="1:34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18"/>
      <c r="Q370" s="9"/>
      <c r="R370" s="9"/>
      <c r="S370" s="9"/>
      <c r="T370" s="18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 spans="1:34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18"/>
      <c r="Q371" s="9"/>
      <c r="R371" s="9"/>
      <c r="S371" s="9"/>
      <c r="T371" s="18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 spans="1:34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18"/>
      <c r="Q372" s="9"/>
      <c r="R372" s="9"/>
      <c r="S372" s="9"/>
      <c r="T372" s="18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 spans="1:34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18"/>
      <c r="Q373" s="9"/>
      <c r="R373" s="9"/>
      <c r="S373" s="9"/>
      <c r="T373" s="18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 spans="1:34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18"/>
      <c r="Q374" s="9"/>
      <c r="R374" s="9"/>
      <c r="S374" s="9"/>
      <c r="T374" s="18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 spans="1:34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18"/>
      <c r="Q375" s="9"/>
      <c r="R375" s="9"/>
      <c r="S375" s="9"/>
      <c r="T375" s="18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 spans="1:34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18"/>
      <c r="Q376" s="9"/>
      <c r="R376" s="9"/>
      <c r="S376" s="9"/>
      <c r="T376" s="18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 spans="1:34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18"/>
      <c r="Q377" s="9"/>
      <c r="R377" s="9"/>
      <c r="S377" s="9"/>
      <c r="T377" s="18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 spans="1:34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18"/>
      <c r="Q378" s="9"/>
      <c r="R378" s="9"/>
      <c r="S378" s="9"/>
      <c r="T378" s="18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 spans="1:34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18"/>
      <c r="Q379" s="9"/>
      <c r="R379" s="9"/>
      <c r="S379" s="9"/>
      <c r="T379" s="18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 spans="1:34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18"/>
      <c r="Q380" s="9"/>
      <c r="R380" s="9"/>
      <c r="S380" s="9"/>
      <c r="T380" s="18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 spans="1:34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18"/>
      <c r="Q381" s="9"/>
      <c r="R381" s="9"/>
      <c r="S381" s="9"/>
      <c r="T381" s="18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 spans="1:34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18"/>
      <c r="Q382" s="9"/>
      <c r="R382" s="9"/>
      <c r="S382" s="9"/>
      <c r="T382" s="18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 spans="1:34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18"/>
      <c r="Q383" s="9"/>
      <c r="R383" s="9"/>
      <c r="S383" s="9"/>
      <c r="T383" s="18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 spans="1:34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18"/>
      <c r="Q384" s="9"/>
      <c r="R384" s="9"/>
      <c r="S384" s="9"/>
      <c r="T384" s="18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 spans="1:34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18"/>
      <c r="Q385" s="9"/>
      <c r="R385" s="9"/>
      <c r="S385" s="9"/>
      <c r="T385" s="18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 spans="1:34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18"/>
      <c r="Q386" s="9"/>
      <c r="R386" s="9"/>
      <c r="S386" s="9"/>
      <c r="T386" s="18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 spans="1:34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18"/>
      <c r="Q387" s="9"/>
      <c r="R387" s="9"/>
      <c r="S387" s="9"/>
      <c r="T387" s="18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 spans="1:34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18"/>
      <c r="Q388" s="9"/>
      <c r="R388" s="9"/>
      <c r="S388" s="9"/>
      <c r="T388" s="18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 spans="1:34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18"/>
      <c r="Q389" s="9"/>
      <c r="R389" s="9"/>
      <c r="S389" s="9"/>
      <c r="T389" s="18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 spans="1:34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18"/>
      <c r="Q390" s="9"/>
      <c r="R390" s="9"/>
      <c r="S390" s="9"/>
      <c r="T390" s="18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 spans="1:34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18"/>
      <c r="Q391" s="9"/>
      <c r="R391" s="9"/>
      <c r="S391" s="9"/>
      <c r="T391" s="18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 spans="1:34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18"/>
      <c r="Q392" s="9"/>
      <c r="R392" s="9"/>
      <c r="S392" s="9"/>
      <c r="T392" s="18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 spans="1:34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18"/>
      <c r="Q393" s="9"/>
      <c r="R393" s="9"/>
      <c r="S393" s="9"/>
      <c r="T393" s="18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 spans="1:34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18"/>
      <c r="Q394" s="9"/>
      <c r="R394" s="9"/>
      <c r="S394" s="9"/>
      <c r="T394" s="18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 spans="1:34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18"/>
      <c r="Q395" s="9"/>
      <c r="R395" s="9"/>
      <c r="S395" s="9"/>
      <c r="T395" s="18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 spans="1:34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18"/>
      <c r="Q396" s="9"/>
      <c r="R396" s="9"/>
      <c r="S396" s="9"/>
      <c r="T396" s="18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 spans="1:34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18"/>
      <c r="Q397" s="9"/>
      <c r="R397" s="9"/>
      <c r="S397" s="9"/>
      <c r="T397" s="18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 spans="1:34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18"/>
      <c r="Q398" s="9"/>
      <c r="R398" s="9"/>
      <c r="S398" s="9"/>
      <c r="T398" s="18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 spans="1:34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18"/>
      <c r="Q399" s="9"/>
      <c r="R399" s="9"/>
      <c r="S399" s="9"/>
      <c r="T399" s="18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 spans="1:34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18"/>
      <c r="Q400" s="9"/>
      <c r="R400" s="9"/>
      <c r="S400" s="9"/>
      <c r="T400" s="18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 spans="1:34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18"/>
      <c r="Q401" s="9"/>
      <c r="R401" s="9"/>
      <c r="S401" s="9"/>
      <c r="T401" s="18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 spans="1:34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18"/>
      <c r="Q402" s="9"/>
      <c r="R402" s="9"/>
      <c r="S402" s="9"/>
      <c r="T402" s="18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 spans="1:34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18"/>
      <c r="Q403" s="9"/>
      <c r="R403" s="9"/>
      <c r="S403" s="9"/>
      <c r="T403" s="18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 spans="1:34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18"/>
      <c r="Q404" s="9"/>
      <c r="R404" s="9"/>
      <c r="S404" s="9"/>
      <c r="T404" s="18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 spans="1:34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18"/>
      <c r="Q405" s="9"/>
      <c r="R405" s="9"/>
      <c r="S405" s="9"/>
      <c r="T405" s="18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 spans="1:34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18"/>
      <c r="Q406" s="9"/>
      <c r="R406" s="9"/>
      <c r="S406" s="9"/>
      <c r="T406" s="18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 spans="1:34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18"/>
      <c r="Q407" s="9"/>
      <c r="R407" s="9"/>
      <c r="S407" s="9"/>
      <c r="T407" s="18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 spans="1:34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18"/>
      <c r="Q408" s="9"/>
      <c r="R408" s="9"/>
      <c r="S408" s="9"/>
      <c r="T408" s="18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 spans="1:34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18"/>
      <c r="Q409" s="9"/>
      <c r="R409" s="9"/>
      <c r="S409" s="9"/>
      <c r="T409" s="18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 spans="1:34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18"/>
      <c r="Q410" s="9"/>
      <c r="R410" s="9"/>
      <c r="S410" s="9"/>
      <c r="T410" s="18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 spans="1:34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18"/>
      <c r="Q411" s="9"/>
      <c r="R411" s="9"/>
      <c r="S411" s="9"/>
      <c r="T411" s="18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 spans="1:34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18"/>
      <c r="Q412" s="9"/>
      <c r="R412" s="9"/>
      <c r="S412" s="9"/>
      <c r="T412" s="18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 spans="1:34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18"/>
      <c r="Q413" s="9"/>
      <c r="R413" s="9"/>
      <c r="S413" s="9"/>
      <c r="T413" s="18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 spans="1:34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18"/>
      <c r="Q414" s="9"/>
      <c r="R414" s="9"/>
      <c r="S414" s="9"/>
      <c r="T414" s="18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 spans="1:34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18"/>
      <c r="Q415" s="9"/>
      <c r="R415" s="9"/>
      <c r="S415" s="9"/>
      <c r="T415" s="18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 spans="1:34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18"/>
      <c r="Q416" s="9"/>
      <c r="R416" s="9"/>
      <c r="S416" s="9"/>
      <c r="T416" s="18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 spans="1:34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18"/>
      <c r="Q417" s="9"/>
      <c r="R417" s="9"/>
      <c r="S417" s="9"/>
      <c r="T417" s="18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 spans="1:34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18"/>
      <c r="Q418" s="9"/>
      <c r="R418" s="9"/>
      <c r="S418" s="9"/>
      <c r="T418" s="18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 spans="1:34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18"/>
      <c r="Q419" s="9"/>
      <c r="R419" s="9"/>
      <c r="S419" s="9"/>
      <c r="T419" s="18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 spans="1:34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18"/>
      <c r="Q420" s="9"/>
      <c r="R420" s="9"/>
      <c r="S420" s="9"/>
      <c r="T420" s="18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 spans="1:34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18"/>
      <c r="Q421" s="9"/>
      <c r="R421" s="9"/>
      <c r="S421" s="9"/>
      <c r="T421" s="18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 spans="1:34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18"/>
      <c r="Q422" s="9"/>
      <c r="R422" s="9"/>
      <c r="S422" s="9"/>
      <c r="T422" s="18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 spans="1:34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18"/>
      <c r="Q423" s="9"/>
      <c r="R423" s="9"/>
      <c r="S423" s="9"/>
      <c r="T423" s="18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 spans="1:34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18"/>
      <c r="Q424" s="9"/>
      <c r="R424" s="9"/>
      <c r="S424" s="9"/>
      <c r="T424" s="18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 spans="1:34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18"/>
      <c r="Q425" s="9"/>
      <c r="R425" s="9"/>
      <c r="S425" s="9"/>
      <c r="T425" s="18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 spans="1:34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18"/>
      <c r="Q426" s="9"/>
      <c r="R426" s="9"/>
      <c r="S426" s="9"/>
      <c r="T426" s="18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 spans="1:34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18"/>
      <c r="Q427" s="9"/>
      <c r="R427" s="9"/>
      <c r="S427" s="9"/>
      <c r="T427" s="18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 spans="1:34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18"/>
      <c r="Q428" s="9"/>
      <c r="R428" s="9"/>
      <c r="S428" s="9"/>
      <c r="T428" s="18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 spans="1:34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18"/>
      <c r="Q429" s="9"/>
      <c r="R429" s="9"/>
      <c r="S429" s="9"/>
      <c r="T429" s="18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 spans="1:34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18"/>
      <c r="Q430" s="9"/>
      <c r="R430" s="9"/>
      <c r="S430" s="9"/>
      <c r="T430" s="18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 spans="1:34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18"/>
      <c r="Q431" s="9"/>
      <c r="R431" s="9"/>
      <c r="S431" s="9"/>
      <c r="T431" s="18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 spans="1:34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18"/>
      <c r="Q432" s="9"/>
      <c r="R432" s="9"/>
      <c r="S432" s="9"/>
      <c r="T432" s="18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 spans="1:34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18"/>
      <c r="Q433" s="9"/>
      <c r="R433" s="9"/>
      <c r="S433" s="9"/>
      <c r="T433" s="18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 spans="1:34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18"/>
      <c r="Q434" s="9"/>
      <c r="R434" s="9"/>
      <c r="S434" s="9"/>
      <c r="T434" s="18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 spans="1:34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18"/>
      <c r="Q435" s="9"/>
      <c r="R435" s="9"/>
      <c r="S435" s="9"/>
      <c r="T435" s="18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 spans="1:34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18"/>
      <c r="Q436" s="9"/>
      <c r="R436" s="9"/>
      <c r="S436" s="9"/>
      <c r="T436" s="18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 spans="1:34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18"/>
      <c r="Q437" s="9"/>
      <c r="R437" s="9"/>
      <c r="S437" s="9"/>
      <c r="T437" s="18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 spans="1:34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18"/>
      <c r="Q438" s="9"/>
      <c r="R438" s="9"/>
      <c r="S438" s="9"/>
      <c r="T438" s="18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 spans="1:34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18"/>
      <c r="Q439" s="9"/>
      <c r="R439" s="9"/>
      <c r="S439" s="9"/>
      <c r="T439" s="18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 spans="1:34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18"/>
      <c r="Q440" s="9"/>
      <c r="R440" s="9"/>
      <c r="S440" s="9"/>
      <c r="T440" s="18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 spans="1:34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18"/>
      <c r="Q441" s="9"/>
      <c r="R441" s="9"/>
      <c r="S441" s="9"/>
      <c r="T441" s="18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 spans="1:34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18"/>
      <c r="Q442" s="9"/>
      <c r="R442" s="9"/>
      <c r="S442" s="9"/>
      <c r="T442" s="18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 spans="1:34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18"/>
      <c r="Q443" s="9"/>
      <c r="R443" s="9"/>
      <c r="S443" s="9"/>
      <c r="T443" s="18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 spans="1:34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18"/>
      <c r="Q444" s="9"/>
      <c r="R444" s="9"/>
      <c r="S444" s="9"/>
      <c r="T444" s="18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 spans="1:34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18"/>
      <c r="Q445" s="9"/>
      <c r="R445" s="9"/>
      <c r="S445" s="9"/>
      <c r="T445" s="18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 spans="1:34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18"/>
      <c r="Q446" s="9"/>
      <c r="R446" s="9"/>
      <c r="S446" s="9"/>
      <c r="T446" s="18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 spans="1:34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18"/>
      <c r="Q447" s="9"/>
      <c r="R447" s="9"/>
      <c r="S447" s="9"/>
      <c r="T447" s="18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 spans="1:34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18"/>
      <c r="Q448" s="9"/>
      <c r="R448" s="9"/>
      <c r="S448" s="9"/>
      <c r="T448" s="18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 spans="1:34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18"/>
      <c r="Q449" s="9"/>
      <c r="R449" s="9"/>
      <c r="S449" s="9"/>
      <c r="T449" s="18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 spans="1:34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18"/>
      <c r="Q450" s="9"/>
      <c r="R450" s="9"/>
      <c r="S450" s="9"/>
      <c r="T450" s="18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 spans="1:34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18"/>
      <c r="Q451" s="9"/>
      <c r="R451" s="9"/>
      <c r="S451" s="9"/>
      <c r="T451" s="18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 spans="1:34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18"/>
      <c r="Q452" s="9"/>
      <c r="R452" s="9"/>
      <c r="S452" s="9"/>
      <c r="T452" s="18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 spans="1:34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18"/>
      <c r="Q453" s="9"/>
      <c r="R453" s="9"/>
      <c r="S453" s="9"/>
      <c r="T453" s="18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 spans="1:34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18"/>
      <c r="Q454" s="9"/>
      <c r="R454" s="9"/>
      <c r="S454" s="9"/>
      <c r="T454" s="18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 spans="1:34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18"/>
      <c r="Q455" s="9"/>
      <c r="R455" s="9"/>
      <c r="S455" s="9"/>
      <c r="T455" s="18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 spans="1:34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18"/>
      <c r="Q456" s="9"/>
      <c r="R456" s="9"/>
      <c r="S456" s="9"/>
      <c r="T456" s="18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 spans="1:34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18"/>
      <c r="Q457" s="9"/>
      <c r="R457" s="9"/>
      <c r="S457" s="9"/>
      <c r="T457" s="18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 spans="1:34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18"/>
      <c r="Q458" s="9"/>
      <c r="R458" s="9"/>
      <c r="S458" s="9"/>
      <c r="T458" s="18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 spans="1:34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18"/>
      <c r="Q459" s="9"/>
      <c r="R459" s="9"/>
      <c r="S459" s="9"/>
      <c r="T459" s="18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 spans="1:34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18"/>
      <c r="Q460" s="9"/>
      <c r="R460" s="9"/>
      <c r="S460" s="9"/>
      <c r="T460" s="18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 spans="1:34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18"/>
      <c r="Q461" s="9"/>
      <c r="R461" s="9"/>
      <c r="S461" s="9"/>
      <c r="T461" s="18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 spans="1:34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18"/>
      <c r="Q462" s="9"/>
      <c r="R462" s="9"/>
      <c r="S462" s="9"/>
      <c r="T462" s="18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 spans="1:34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18"/>
      <c r="Q463" s="9"/>
      <c r="R463" s="9"/>
      <c r="S463" s="9"/>
      <c r="T463" s="18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 spans="1:34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18"/>
      <c r="Q464" s="9"/>
      <c r="R464" s="9"/>
      <c r="S464" s="9"/>
      <c r="T464" s="18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 spans="1:34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18"/>
      <c r="Q465" s="9"/>
      <c r="R465" s="9"/>
      <c r="S465" s="9"/>
      <c r="T465" s="18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 spans="1:34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18"/>
      <c r="Q466" s="9"/>
      <c r="R466" s="9"/>
      <c r="S466" s="9"/>
      <c r="T466" s="18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 spans="1:34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18"/>
      <c r="Q467" s="9"/>
      <c r="R467" s="9"/>
      <c r="S467" s="9"/>
      <c r="T467" s="18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 spans="1:34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18"/>
      <c r="Q468" s="9"/>
      <c r="R468" s="9"/>
      <c r="S468" s="9"/>
      <c r="T468" s="18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 spans="1:34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18"/>
      <c r="Q469" s="9"/>
      <c r="R469" s="9"/>
      <c r="S469" s="9"/>
      <c r="T469" s="18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 spans="1:34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18"/>
      <c r="Q470" s="9"/>
      <c r="R470" s="9"/>
      <c r="S470" s="9"/>
      <c r="T470" s="18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 spans="1:34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18"/>
      <c r="Q471" s="9"/>
      <c r="R471" s="9"/>
      <c r="S471" s="9"/>
      <c r="T471" s="18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 spans="1:34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18"/>
      <c r="Q472" s="9"/>
      <c r="R472" s="9"/>
      <c r="S472" s="9"/>
      <c r="T472" s="18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 spans="1:34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18"/>
      <c r="Q473" s="9"/>
      <c r="R473" s="9"/>
      <c r="S473" s="9"/>
      <c r="T473" s="18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 spans="1:34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18"/>
      <c r="Q474" s="9"/>
      <c r="R474" s="9"/>
      <c r="S474" s="9"/>
      <c r="T474" s="18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 spans="1:34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18"/>
      <c r="Q475" s="9"/>
      <c r="R475" s="9"/>
      <c r="S475" s="9"/>
      <c r="T475" s="18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 spans="1:34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18"/>
      <c r="Q476" s="9"/>
      <c r="R476" s="9"/>
      <c r="S476" s="9"/>
      <c r="T476" s="18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 spans="1:34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18"/>
      <c r="Q477" s="9"/>
      <c r="R477" s="9"/>
      <c r="S477" s="9"/>
      <c r="T477" s="18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 spans="1:34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18"/>
      <c r="Q478" s="9"/>
      <c r="R478" s="9"/>
      <c r="S478" s="9"/>
      <c r="T478" s="18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 spans="1:34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18"/>
      <c r="Q479" s="9"/>
      <c r="R479" s="9"/>
      <c r="S479" s="9"/>
      <c r="T479" s="18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 spans="1:34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18"/>
      <c r="Q480" s="9"/>
      <c r="R480" s="9"/>
      <c r="S480" s="9"/>
      <c r="T480" s="18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 spans="1:34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18"/>
      <c r="Q481" s="9"/>
      <c r="R481" s="9"/>
      <c r="S481" s="9"/>
      <c r="T481" s="18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 spans="1:34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18"/>
      <c r="Q482" s="9"/>
      <c r="R482" s="9"/>
      <c r="S482" s="9"/>
      <c r="T482" s="18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 spans="1:34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18"/>
      <c r="Q483" s="9"/>
      <c r="R483" s="9"/>
      <c r="S483" s="9"/>
      <c r="T483" s="18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 spans="1:34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18"/>
      <c r="Q484" s="9"/>
      <c r="R484" s="9"/>
      <c r="S484" s="9"/>
      <c r="T484" s="18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 spans="1:34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18"/>
      <c r="Q485" s="9"/>
      <c r="R485" s="9"/>
      <c r="S485" s="9"/>
      <c r="T485" s="18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 spans="1:34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18"/>
      <c r="Q486" s="9"/>
      <c r="R486" s="9"/>
      <c r="S486" s="9"/>
      <c r="T486" s="18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 spans="1:34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18"/>
      <c r="Q487" s="9"/>
      <c r="R487" s="9"/>
      <c r="S487" s="9"/>
      <c r="T487" s="18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 spans="1:34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18"/>
      <c r="Q488" s="9"/>
      <c r="R488" s="9"/>
      <c r="S488" s="9"/>
      <c r="T488" s="18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 spans="1:34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18"/>
      <c r="Q489" s="9"/>
      <c r="R489" s="9"/>
      <c r="S489" s="9"/>
      <c r="T489" s="18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 spans="1:34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18"/>
      <c r="Q490" s="9"/>
      <c r="R490" s="9"/>
      <c r="S490" s="9"/>
      <c r="T490" s="18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 spans="1:34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18"/>
      <c r="Q491" s="9"/>
      <c r="R491" s="9"/>
      <c r="S491" s="9"/>
      <c r="T491" s="18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 spans="1:34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18"/>
      <c r="Q492" s="9"/>
      <c r="R492" s="9"/>
      <c r="S492" s="9"/>
      <c r="T492" s="18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 spans="1:34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18"/>
      <c r="Q493" s="9"/>
      <c r="R493" s="9"/>
      <c r="S493" s="9"/>
      <c r="T493" s="18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 spans="1:34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18"/>
      <c r="Q494" s="9"/>
      <c r="R494" s="9"/>
      <c r="S494" s="9"/>
      <c r="T494" s="18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 spans="1:34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18"/>
      <c r="Q495" s="9"/>
      <c r="R495" s="9"/>
      <c r="S495" s="9"/>
      <c r="T495" s="18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 spans="1:34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18"/>
      <c r="Q496" s="9"/>
      <c r="R496" s="9"/>
      <c r="S496" s="9"/>
      <c r="T496" s="18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 spans="1:34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18"/>
      <c r="Q497" s="9"/>
      <c r="R497" s="9"/>
      <c r="S497" s="9"/>
      <c r="T497" s="18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 spans="1:34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18"/>
      <c r="Q498" s="9"/>
      <c r="R498" s="9"/>
      <c r="S498" s="9"/>
      <c r="T498" s="18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 spans="1:34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18"/>
      <c r="Q499" s="9"/>
      <c r="R499" s="9"/>
      <c r="S499" s="9"/>
      <c r="T499" s="18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 spans="1:34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18"/>
      <c r="Q500" s="9"/>
      <c r="R500" s="9"/>
      <c r="S500" s="9"/>
      <c r="T500" s="18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</sheetData>
  <autoFilter ref="A3:AH13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2026-08-13T12:18:01Z</dcterms:created>
  <dcterms:modified xsi:type="dcterms:W3CDTF">2026-08-17T10:37:05Z</dcterms:modified>
</cp:coreProperties>
</file>