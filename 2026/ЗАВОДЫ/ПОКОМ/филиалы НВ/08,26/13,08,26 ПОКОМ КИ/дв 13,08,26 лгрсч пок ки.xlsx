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2026\ЗАВОДЫ\ПОКОМ\филиалы НВ\08,26\13,08,26 ПОКОМ КИ\"/>
    </mc:Choice>
  </mc:AlternateContent>
  <xr:revisionPtr revIDLastSave="0" documentId="13_ncr:1_{0D43BEE2-3069-4ADE-BF0A-9F2608F91C1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Sheet!$A$3:$AG$136</definedName>
  </definedNames>
  <calcPr calcId="191029"/>
</workbook>
</file>

<file path=xl/calcChain.xml><?xml version="1.0" encoding="utf-8"?>
<calcChain xmlns="http://schemas.openxmlformats.org/spreadsheetml/2006/main">
  <c r="AJ93" i="1" l="1"/>
  <c r="AJ91" i="1"/>
  <c r="AJ89" i="1"/>
  <c r="AJ25" i="1"/>
  <c r="AJ17" i="1"/>
  <c r="AJ16" i="1"/>
  <c r="AJ8" i="1"/>
  <c r="AJ7" i="1"/>
  <c r="AJ6" i="1"/>
  <c r="P5" i="1" l="1"/>
  <c r="P2" i="1" s="1"/>
  <c r="AI9" i="1"/>
  <c r="AI10" i="1"/>
  <c r="AI11" i="1"/>
  <c r="AI12" i="1"/>
  <c r="AI13" i="1"/>
  <c r="AI14" i="1"/>
  <c r="AI15" i="1"/>
  <c r="AI18" i="1"/>
  <c r="AI19" i="1"/>
  <c r="AI20" i="1"/>
  <c r="AI21" i="1"/>
  <c r="AI22" i="1"/>
  <c r="AI23" i="1"/>
  <c r="AI24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90" i="1"/>
  <c r="AI92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S136" i="1"/>
  <c r="AG136" i="1" s="1"/>
  <c r="Q136" i="1"/>
  <c r="U136" i="1" s="1"/>
  <c r="L136" i="1"/>
  <c r="U135" i="1"/>
  <c r="S135" i="1"/>
  <c r="AG135" i="1" s="1"/>
  <c r="Q135" i="1"/>
  <c r="T135" i="1" s="1"/>
  <c r="L135" i="1"/>
  <c r="S134" i="1"/>
  <c r="AG134" i="1" s="1"/>
  <c r="Q134" i="1"/>
  <c r="U134" i="1" s="1"/>
  <c r="L134" i="1"/>
  <c r="S133" i="1"/>
  <c r="AG133" i="1" s="1"/>
  <c r="Q133" i="1"/>
  <c r="T133" i="1" s="1"/>
  <c r="L133" i="1"/>
  <c r="Q132" i="1"/>
  <c r="U132" i="1" s="1"/>
  <c r="L132" i="1"/>
  <c r="Q131" i="1"/>
  <c r="R131" i="1" s="1"/>
  <c r="L131" i="1"/>
  <c r="Q130" i="1"/>
  <c r="L130" i="1"/>
  <c r="S129" i="1"/>
  <c r="AG129" i="1" s="1"/>
  <c r="Q129" i="1"/>
  <c r="U129" i="1" s="1"/>
  <c r="L129" i="1"/>
  <c r="S128" i="1"/>
  <c r="AG128" i="1" s="1"/>
  <c r="Q128" i="1"/>
  <c r="U128" i="1" s="1"/>
  <c r="L128" i="1"/>
  <c r="S127" i="1"/>
  <c r="AG127" i="1" s="1"/>
  <c r="Q127" i="1"/>
  <c r="U127" i="1" s="1"/>
  <c r="L127" i="1"/>
  <c r="S126" i="1"/>
  <c r="AG126" i="1" s="1"/>
  <c r="Q126" i="1"/>
  <c r="T126" i="1" s="1"/>
  <c r="L126" i="1"/>
  <c r="Q125" i="1"/>
  <c r="U125" i="1" s="1"/>
  <c r="L125" i="1"/>
  <c r="Q124" i="1"/>
  <c r="L124" i="1"/>
  <c r="U123" i="1"/>
  <c r="Q123" i="1"/>
  <c r="R123" i="1" s="1"/>
  <c r="L123" i="1"/>
  <c r="S122" i="1"/>
  <c r="AG122" i="1" s="1"/>
  <c r="Q122" i="1"/>
  <c r="T122" i="1" s="1"/>
  <c r="L122" i="1"/>
  <c r="S121" i="1"/>
  <c r="AG121" i="1" s="1"/>
  <c r="Q121" i="1"/>
  <c r="T121" i="1" s="1"/>
  <c r="L121" i="1"/>
  <c r="S120" i="1"/>
  <c r="AG120" i="1" s="1"/>
  <c r="Q120" i="1"/>
  <c r="U120" i="1" s="1"/>
  <c r="L120" i="1"/>
  <c r="S119" i="1"/>
  <c r="AG119" i="1" s="1"/>
  <c r="Q119" i="1"/>
  <c r="L119" i="1"/>
  <c r="Q118" i="1"/>
  <c r="R118" i="1" s="1"/>
  <c r="S118" i="1" s="1"/>
  <c r="AG118" i="1" s="1"/>
  <c r="L118" i="1"/>
  <c r="Q117" i="1"/>
  <c r="R117" i="1" s="1"/>
  <c r="T117" i="1" s="1"/>
  <c r="L117" i="1"/>
  <c r="S116" i="1"/>
  <c r="AG116" i="1" s="1"/>
  <c r="Q116" i="1"/>
  <c r="L116" i="1"/>
  <c r="S115" i="1"/>
  <c r="AG115" i="1" s="1"/>
  <c r="Q115" i="1"/>
  <c r="U115" i="1" s="1"/>
  <c r="L115" i="1"/>
  <c r="S114" i="1"/>
  <c r="AG114" i="1" s="1"/>
  <c r="Q114" i="1"/>
  <c r="U114" i="1" s="1"/>
  <c r="L114" i="1"/>
  <c r="S113" i="1"/>
  <c r="AG113" i="1" s="1"/>
  <c r="Q113" i="1"/>
  <c r="T113" i="1" s="1"/>
  <c r="L113" i="1"/>
  <c r="Q112" i="1"/>
  <c r="R112" i="1" s="1"/>
  <c r="T112" i="1" s="1"/>
  <c r="L112" i="1"/>
  <c r="F112" i="1"/>
  <c r="F5" i="1" s="1"/>
  <c r="Q111" i="1"/>
  <c r="R111" i="1" s="1"/>
  <c r="T111" i="1" s="1"/>
  <c r="L111" i="1"/>
  <c r="Q110" i="1"/>
  <c r="U110" i="1" s="1"/>
  <c r="L110" i="1"/>
  <c r="S109" i="1"/>
  <c r="AG109" i="1" s="1"/>
  <c r="Q109" i="1"/>
  <c r="U109" i="1" s="1"/>
  <c r="L109" i="1"/>
  <c r="Q108" i="1"/>
  <c r="U108" i="1" s="1"/>
  <c r="L108" i="1"/>
  <c r="Q107" i="1"/>
  <c r="U107" i="1" s="1"/>
  <c r="L107" i="1"/>
  <c r="S106" i="1"/>
  <c r="AG106" i="1" s="1"/>
  <c r="Q106" i="1"/>
  <c r="T106" i="1" s="1"/>
  <c r="L106" i="1"/>
  <c r="S105" i="1"/>
  <c r="AG105" i="1" s="1"/>
  <c r="Q105" i="1"/>
  <c r="U105" i="1" s="1"/>
  <c r="L105" i="1"/>
  <c r="Q104" i="1"/>
  <c r="R104" i="1" s="1"/>
  <c r="L104" i="1"/>
  <c r="Q103" i="1"/>
  <c r="R103" i="1" s="1"/>
  <c r="T103" i="1" s="1"/>
  <c r="L103" i="1"/>
  <c r="S102" i="1"/>
  <c r="AG102" i="1" s="1"/>
  <c r="Q102" i="1"/>
  <c r="U102" i="1" s="1"/>
  <c r="L102" i="1"/>
  <c r="Q101" i="1"/>
  <c r="R101" i="1" s="1"/>
  <c r="L101" i="1"/>
  <c r="AG100" i="1"/>
  <c r="S100" i="1"/>
  <c r="Q100" i="1"/>
  <c r="U100" i="1" s="1"/>
  <c r="L100" i="1"/>
  <c r="S99" i="1"/>
  <c r="AG99" i="1" s="1"/>
  <c r="Q99" i="1"/>
  <c r="U99" i="1" s="1"/>
  <c r="L99" i="1"/>
  <c r="S98" i="1"/>
  <c r="AG98" i="1" s="1"/>
  <c r="Q98" i="1"/>
  <c r="T98" i="1" s="1"/>
  <c r="L98" i="1"/>
  <c r="S97" i="1"/>
  <c r="AG97" i="1" s="1"/>
  <c r="Q97" i="1"/>
  <c r="U97" i="1" s="1"/>
  <c r="L97" i="1"/>
  <c r="S96" i="1"/>
  <c r="AG96" i="1" s="1"/>
  <c r="Q96" i="1"/>
  <c r="L96" i="1"/>
  <c r="S95" i="1"/>
  <c r="AG95" i="1" s="1"/>
  <c r="Q95" i="1"/>
  <c r="T95" i="1" s="1"/>
  <c r="L95" i="1"/>
  <c r="Q94" i="1"/>
  <c r="U94" i="1" s="1"/>
  <c r="L94" i="1"/>
  <c r="S93" i="1"/>
  <c r="AG93" i="1" s="1"/>
  <c r="Q93" i="1"/>
  <c r="L93" i="1"/>
  <c r="Q92" i="1"/>
  <c r="R92" i="1" s="1"/>
  <c r="S92" i="1" s="1"/>
  <c r="AG92" i="1" s="1"/>
  <c r="L92" i="1"/>
  <c r="Q91" i="1"/>
  <c r="U91" i="1" s="1"/>
  <c r="L91" i="1"/>
  <c r="S90" i="1"/>
  <c r="AG90" i="1" s="1"/>
  <c r="Q90" i="1"/>
  <c r="L90" i="1"/>
  <c r="Q89" i="1"/>
  <c r="R89" i="1" s="1"/>
  <c r="S89" i="1" s="1"/>
  <c r="AG89" i="1" s="1"/>
  <c r="L89" i="1"/>
  <c r="Q88" i="1"/>
  <c r="U88" i="1" s="1"/>
  <c r="L88" i="1"/>
  <c r="S87" i="1"/>
  <c r="AG87" i="1" s="1"/>
  <c r="Q87" i="1"/>
  <c r="L87" i="1"/>
  <c r="S86" i="1"/>
  <c r="AG86" i="1" s="1"/>
  <c r="Q86" i="1"/>
  <c r="U86" i="1" s="1"/>
  <c r="L86" i="1"/>
  <c r="S85" i="1"/>
  <c r="AG85" i="1" s="1"/>
  <c r="Q85" i="1"/>
  <c r="L85" i="1"/>
  <c r="S84" i="1"/>
  <c r="AG84" i="1" s="1"/>
  <c r="Q84" i="1"/>
  <c r="T84" i="1" s="1"/>
  <c r="L84" i="1"/>
  <c r="S83" i="1"/>
  <c r="AG83" i="1" s="1"/>
  <c r="Q83" i="1"/>
  <c r="U83" i="1" s="1"/>
  <c r="L83" i="1"/>
  <c r="Q82" i="1"/>
  <c r="R82" i="1" s="1"/>
  <c r="L82" i="1"/>
  <c r="S81" i="1"/>
  <c r="AG81" i="1" s="1"/>
  <c r="Q81" i="1"/>
  <c r="U81" i="1" s="1"/>
  <c r="L81" i="1"/>
  <c r="Q80" i="1"/>
  <c r="R80" i="1" s="1"/>
  <c r="L80" i="1"/>
  <c r="Q79" i="1"/>
  <c r="R79" i="1" s="1"/>
  <c r="L79" i="1"/>
  <c r="Q78" i="1"/>
  <c r="R78" i="1" s="1"/>
  <c r="S78" i="1" s="1"/>
  <c r="AG78" i="1" s="1"/>
  <c r="L78" i="1"/>
  <c r="Q77" i="1"/>
  <c r="U77" i="1" s="1"/>
  <c r="L77" i="1"/>
  <c r="Q76" i="1"/>
  <c r="U76" i="1" s="1"/>
  <c r="L76" i="1"/>
  <c r="Q75" i="1"/>
  <c r="R75" i="1" s="1"/>
  <c r="S75" i="1" s="1"/>
  <c r="AG75" i="1" s="1"/>
  <c r="L75" i="1"/>
  <c r="Q74" i="1"/>
  <c r="R74" i="1" s="1"/>
  <c r="S74" i="1" s="1"/>
  <c r="AG74" i="1" s="1"/>
  <c r="L74" i="1"/>
  <c r="Q73" i="1"/>
  <c r="U73" i="1" s="1"/>
  <c r="L73" i="1"/>
  <c r="Q72" i="1"/>
  <c r="R72" i="1" s="1"/>
  <c r="L72" i="1"/>
  <c r="Q71" i="1"/>
  <c r="R71" i="1" s="1"/>
  <c r="S71" i="1" s="1"/>
  <c r="AG71" i="1" s="1"/>
  <c r="L71" i="1"/>
  <c r="Q70" i="1"/>
  <c r="R70" i="1" s="1"/>
  <c r="L70" i="1"/>
  <c r="S69" i="1"/>
  <c r="AG69" i="1" s="1"/>
  <c r="Q69" i="1"/>
  <c r="L69" i="1"/>
  <c r="Q68" i="1"/>
  <c r="R68" i="1" s="1"/>
  <c r="S68" i="1" s="1"/>
  <c r="AG68" i="1" s="1"/>
  <c r="L68" i="1"/>
  <c r="S67" i="1"/>
  <c r="AG67" i="1" s="1"/>
  <c r="Q67" i="1"/>
  <c r="U67" i="1" s="1"/>
  <c r="L67" i="1"/>
  <c r="Q66" i="1"/>
  <c r="R66" i="1" s="1"/>
  <c r="L66" i="1"/>
  <c r="S65" i="1"/>
  <c r="AG65" i="1" s="1"/>
  <c r="Q65" i="1"/>
  <c r="U65" i="1" s="1"/>
  <c r="L65" i="1"/>
  <c r="S64" i="1"/>
  <c r="AG64" i="1" s="1"/>
  <c r="Q64" i="1"/>
  <c r="L64" i="1"/>
  <c r="Q63" i="1"/>
  <c r="R63" i="1" s="1"/>
  <c r="S63" i="1" s="1"/>
  <c r="AG63" i="1" s="1"/>
  <c r="L63" i="1"/>
  <c r="Q62" i="1"/>
  <c r="R62" i="1" s="1"/>
  <c r="T62" i="1" s="1"/>
  <c r="L62" i="1"/>
  <c r="Q61" i="1"/>
  <c r="U61" i="1" s="1"/>
  <c r="L61" i="1"/>
  <c r="Q60" i="1"/>
  <c r="R60" i="1" s="1"/>
  <c r="L60" i="1"/>
  <c r="Q59" i="1"/>
  <c r="R59" i="1" s="1"/>
  <c r="S59" i="1" s="1"/>
  <c r="AG59" i="1" s="1"/>
  <c r="L59" i="1"/>
  <c r="S58" i="1"/>
  <c r="AG58" i="1" s="1"/>
  <c r="Q58" i="1"/>
  <c r="U58" i="1" s="1"/>
  <c r="L58" i="1"/>
  <c r="Q57" i="1"/>
  <c r="R57" i="1" s="1"/>
  <c r="L57" i="1"/>
  <c r="U56" i="1"/>
  <c r="T56" i="1"/>
  <c r="S56" i="1"/>
  <c r="AG56" i="1" s="1"/>
  <c r="Q56" i="1"/>
  <c r="L56" i="1"/>
  <c r="Q55" i="1"/>
  <c r="U55" i="1" s="1"/>
  <c r="L55" i="1"/>
  <c r="Q54" i="1"/>
  <c r="R54" i="1" s="1"/>
  <c r="L54" i="1"/>
  <c r="Q53" i="1"/>
  <c r="R53" i="1" s="1"/>
  <c r="S53" i="1" s="1"/>
  <c r="AG53" i="1" s="1"/>
  <c r="L53" i="1"/>
  <c r="S52" i="1"/>
  <c r="AG52" i="1" s="1"/>
  <c r="Q52" i="1"/>
  <c r="U52" i="1" s="1"/>
  <c r="L52" i="1"/>
  <c r="Q51" i="1"/>
  <c r="R51" i="1" s="1"/>
  <c r="L51" i="1"/>
  <c r="AG50" i="1"/>
  <c r="Q50" i="1"/>
  <c r="R50" i="1" s="1"/>
  <c r="S50" i="1" s="1"/>
  <c r="L50" i="1"/>
  <c r="Q49" i="1"/>
  <c r="U49" i="1" s="1"/>
  <c r="L49" i="1"/>
  <c r="Q48" i="1"/>
  <c r="U48" i="1" s="1"/>
  <c r="L48" i="1"/>
  <c r="S47" i="1"/>
  <c r="AG47" i="1" s="1"/>
  <c r="Q47" i="1"/>
  <c r="T47" i="1" s="1"/>
  <c r="L47" i="1"/>
  <c r="S46" i="1"/>
  <c r="AG46" i="1" s="1"/>
  <c r="Q46" i="1"/>
  <c r="U46" i="1" s="1"/>
  <c r="L46" i="1"/>
  <c r="S45" i="1"/>
  <c r="AG45" i="1" s="1"/>
  <c r="Q45" i="1"/>
  <c r="T45" i="1" s="1"/>
  <c r="L45" i="1"/>
  <c r="Q44" i="1"/>
  <c r="R44" i="1" s="1"/>
  <c r="T44" i="1" s="1"/>
  <c r="L44" i="1"/>
  <c r="S43" i="1"/>
  <c r="AG43" i="1" s="1"/>
  <c r="Q43" i="1"/>
  <c r="L43" i="1"/>
  <c r="S42" i="1"/>
  <c r="AG42" i="1" s="1"/>
  <c r="Q42" i="1"/>
  <c r="U42" i="1" s="1"/>
  <c r="L42" i="1"/>
  <c r="S41" i="1"/>
  <c r="AG41" i="1" s="1"/>
  <c r="Q41" i="1"/>
  <c r="U41" i="1" s="1"/>
  <c r="L41" i="1"/>
  <c r="Q40" i="1"/>
  <c r="R40" i="1" s="1"/>
  <c r="L40" i="1"/>
  <c r="S39" i="1"/>
  <c r="AG39" i="1" s="1"/>
  <c r="Q39" i="1"/>
  <c r="U39" i="1" s="1"/>
  <c r="L39" i="1"/>
  <c r="U38" i="1"/>
  <c r="Q38" i="1"/>
  <c r="R38" i="1" s="1"/>
  <c r="S38" i="1" s="1"/>
  <c r="AG38" i="1" s="1"/>
  <c r="L38" i="1"/>
  <c r="S37" i="1"/>
  <c r="AG37" i="1" s="1"/>
  <c r="Q37" i="1"/>
  <c r="T37" i="1" s="1"/>
  <c r="L37" i="1"/>
  <c r="S36" i="1"/>
  <c r="AG36" i="1" s="1"/>
  <c r="Q36" i="1"/>
  <c r="T36" i="1" s="1"/>
  <c r="L36" i="1"/>
  <c r="S35" i="1"/>
  <c r="AG35" i="1" s="1"/>
  <c r="Q35" i="1"/>
  <c r="U35" i="1" s="1"/>
  <c r="L35" i="1"/>
  <c r="Q34" i="1"/>
  <c r="U34" i="1" s="1"/>
  <c r="L34" i="1"/>
  <c r="S33" i="1"/>
  <c r="AG33" i="1" s="1"/>
  <c r="Q33" i="1"/>
  <c r="T33" i="1" s="1"/>
  <c r="L33" i="1"/>
  <c r="S32" i="1"/>
  <c r="AG32" i="1" s="1"/>
  <c r="Q32" i="1"/>
  <c r="U32" i="1" s="1"/>
  <c r="L32" i="1"/>
  <c r="S31" i="1"/>
  <c r="AG31" i="1" s="1"/>
  <c r="Q31" i="1"/>
  <c r="T31" i="1" s="1"/>
  <c r="L31" i="1"/>
  <c r="S30" i="1"/>
  <c r="AG30" i="1" s="1"/>
  <c r="Q30" i="1"/>
  <c r="U30" i="1" s="1"/>
  <c r="L30" i="1"/>
  <c r="S29" i="1"/>
  <c r="AG29" i="1" s="1"/>
  <c r="Q29" i="1"/>
  <c r="T29" i="1" s="1"/>
  <c r="L29" i="1"/>
  <c r="S28" i="1"/>
  <c r="AG28" i="1" s="1"/>
  <c r="Q28" i="1"/>
  <c r="U28" i="1" s="1"/>
  <c r="L28" i="1"/>
  <c r="R27" i="1"/>
  <c r="T27" i="1" s="1"/>
  <c r="Q27" i="1"/>
  <c r="U27" i="1" s="1"/>
  <c r="L27" i="1"/>
  <c r="Q26" i="1"/>
  <c r="R26" i="1" s="1"/>
  <c r="S26" i="1" s="1"/>
  <c r="AG26" i="1" s="1"/>
  <c r="L26" i="1"/>
  <c r="Q25" i="1"/>
  <c r="R25" i="1" s="1"/>
  <c r="S25" i="1" s="1"/>
  <c r="AG25" i="1" s="1"/>
  <c r="L25" i="1"/>
  <c r="S24" i="1"/>
  <c r="AG24" i="1" s="1"/>
  <c r="Q24" i="1"/>
  <c r="U24" i="1" s="1"/>
  <c r="L24" i="1"/>
  <c r="Q23" i="1"/>
  <c r="R23" i="1" s="1"/>
  <c r="S23" i="1" s="1"/>
  <c r="AG23" i="1" s="1"/>
  <c r="L23" i="1"/>
  <c r="Q22" i="1"/>
  <c r="R22" i="1" s="1"/>
  <c r="S22" i="1" s="1"/>
  <c r="AG22" i="1" s="1"/>
  <c r="L22" i="1"/>
  <c r="Q21" i="1"/>
  <c r="U21" i="1" s="1"/>
  <c r="L21" i="1"/>
  <c r="S20" i="1"/>
  <c r="AG20" i="1" s="1"/>
  <c r="Q20" i="1"/>
  <c r="T20" i="1" s="1"/>
  <c r="L20" i="1"/>
  <c r="S19" i="1"/>
  <c r="AG19" i="1" s="1"/>
  <c r="Q19" i="1"/>
  <c r="R19" i="1" s="1"/>
  <c r="T19" i="1" s="1"/>
  <c r="L19" i="1"/>
  <c r="Q18" i="1"/>
  <c r="U18" i="1" s="1"/>
  <c r="L18" i="1"/>
  <c r="U17" i="1"/>
  <c r="Q17" i="1"/>
  <c r="R17" i="1" s="1"/>
  <c r="L17" i="1"/>
  <c r="Q16" i="1"/>
  <c r="R16" i="1" s="1"/>
  <c r="S16" i="1" s="1"/>
  <c r="AG16" i="1" s="1"/>
  <c r="L16" i="1"/>
  <c r="U15" i="1"/>
  <c r="S15" i="1"/>
  <c r="AG15" i="1" s="1"/>
  <c r="Q15" i="1"/>
  <c r="T15" i="1" s="1"/>
  <c r="L15" i="1"/>
  <c r="Q14" i="1"/>
  <c r="U14" i="1" s="1"/>
  <c r="L14" i="1"/>
  <c r="S13" i="1"/>
  <c r="AG13" i="1" s="1"/>
  <c r="Q13" i="1"/>
  <c r="U13" i="1" s="1"/>
  <c r="L13" i="1"/>
  <c r="Q12" i="1"/>
  <c r="U12" i="1" s="1"/>
  <c r="L12" i="1"/>
  <c r="Q11" i="1"/>
  <c r="R11" i="1" s="1"/>
  <c r="L11" i="1"/>
  <c r="Q10" i="1"/>
  <c r="R10" i="1" s="1"/>
  <c r="S10" i="1" s="1"/>
  <c r="AG10" i="1" s="1"/>
  <c r="L10" i="1"/>
  <c r="S9" i="1"/>
  <c r="AG9" i="1" s="1"/>
  <c r="Q9" i="1"/>
  <c r="T9" i="1" s="1"/>
  <c r="L9" i="1"/>
  <c r="Q8" i="1"/>
  <c r="R8" i="1" s="1"/>
  <c r="L8" i="1"/>
  <c r="Q7" i="1"/>
  <c r="R7" i="1" s="1"/>
  <c r="S7" i="1" s="1"/>
  <c r="AG7" i="1" s="1"/>
  <c r="L7" i="1"/>
  <c r="Q6" i="1"/>
  <c r="R6" i="1" s="1"/>
  <c r="T6" i="1" s="1"/>
  <c r="L6" i="1"/>
  <c r="AE5" i="1"/>
  <c r="AD5" i="1"/>
  <c r="AC5" i="1"/>
  <c r="AB5" i="1"/>
  <c r="AA5" i="1"/>
  <c r="Z5" i="1"/>
  <c r="Y5" i="1"/>
  <c r="X5" i="1"/>
  <c r="W5" i="1"/>
  <c r="V5" i="1"/>
  <c r="O5" i="1"/>
  <c r="N5" i="1"/>
  <c r="M5" i="1"/>
  <c r="K5" i="1"/>
  <c r="E5" i="1"/>
  <c r="U75" i="1" l="1"/>
  <c r="U22" i="1"/>
  <c r="R94" i="1"/>
  <c r="S94" i="1" s="1"/>
  <c r="AG94" i="1" s="1"/>
  <c r="R108" i="1"/>
  <c r="T108" i="1" s="1"/>
  <c r="T102" i="1"/>
  <c r="U63" i="1"/>
  <c r="U62" i="1"/>
  <c r="U106" i="1"/>
  <c r="T28" i="1"/>
  <c r="R55" i="1"/>
  <c r="T55" i="1" s="1"/>
  <c r="U7" i="1"/>
  <c r="S44" i="1"/>
  <c r="AG44" i="1" s="1"/>
  <c r="R125" i="1"/>
  <c r="T125" i="1" s="1"/>
  <c r="U84" i="1"/>
  <c r="U92" i="1"/>
  <c r="U98" i="1"/>
  <c r="U54" i="1"/>
  <c r="U36" i="1"/>
  <c r="T115" i="1"/>
  <c r="S62" i="1"/>
  <c r="AG62" i="1" s="1"/>
  <c r="R110" i="1"/>
  <c r="R49" i="1"/>
  <c r="T49" i="1" s="1"/>
  <c r="U78" i="1"/>
  <c r="U112" i="1"/>
  <c r="U122" i="1"/>
  <c r="T50" i="1"/>
  <c r="U50" i="1"/>
  <c r="U72" i="1"/>
  <c r="U80" i="1"/>
  <c r="T39" i="1"/>
  <c r="T13" i="1"/>
  <c r="U33" i="1"/>
  <c r="U45" i="1"/>
  <c r="U113" i="1"/>
  <c r="T52" i="1"/>
  <c r="T74" i="1"/>
  <c r="T120" i="1"/>
  <c r="S80" i="1"/>
  <c r="AG80" i="1" s="1"/>
  <c r="T80" i="1"/>
  <c r="T70" i="1"/>
  <c r="S70" i="1"/>
  <c r="AG70" i="1" s="1"/>
  <c r="T23" i="1"/>
  <c r="T53" i="1"/>
  <c r="T59" i="1"/>
  <c r="T65" i="1"/>
  <c r="R91" i="1"/>
  <c r="T91" i="1" s="1"/>
  <c r="U111" i="1"/>
  <c r="U6" i="1"/>
  <c r="R18" i="1"/>
  <c r="S18" i="1" s="1"/>
  <c r="AG18" i="1" s="1"/>
  <c r="U23" i="1"/>
  <c r="R48" i="1"/>
  <c r="S48" i="1" s="1"/>
  <c r="AG48" i="1" s="1"/>
  <c r="U59" i="1"/>
  <c r="R76" i="1"/>
  <c r="T76" i="1" s="1"/>
  <c r="T81" i="1"/>
  <c r="T86" i="1"/>
  <c r="U131" i="1"/>
  <c r="U70" i="1"/>
  <c r="U121" i="1"/>
  <c r="T38" i="1"/>
  <c r="R77" i="1"/>
  <c r="T77" i="1" s="1"/>
  <c r="U44" i="1"/>
  <c r="S49" i="1"/>
  <c r="AG49" i="1" s="1"/>
  <c r="U82" i="1"/>
  <c r="U19" i="1"/>
  <c r="T35" i="1"/>
  <c r="T25" i="1"/>
  <c r="U117" i="1"/>
  <c r="R14" i="1"/>
  <c r="U25" i="1"/>
  <c r="T78" i="1"/>
  <c r="U103" i="1"/>
  <c r="T68" i="1"/>
  <c r="R88" i="1"/>
  <c r="T88" i="1" s="1"/>
  <c r="U118" i="1"/>
  <c r="U31" i="1"/>
  <c r="U68" i="1"/>
  <c r="T109" i="1"/>
  <c r="U9" i="1"/>
  <c r="U79" i="1"/>
  <c r="T94" i="1"/>
  <c r="U10" i="1"/>
  <c r="R21" i="1"/>
  <c r="T21" i="1" s="1"/>
  <c r="S27" i="1"/>
  <c r="AG27" i="1" s="1"/>
  <c r="U37" i="1"/>
  <c r="T46" i="1"/>
  <c r="U74" i="1"/>
  <c r="T105" i="1"/>
  <c r="T114" i="1"/>
  <c r="T42" i="1"/>
  <c r="T129" i="1"/>
  <c r="T100" i="1"/>
  <c r="L5" i="1"/>
  <c r="U11" i="1"/>
  <c r="S131" i="1"/>
  <c r="AG131" i="1" s="1"/>
  <c r="T131" i="1"/>
  <c r="T8" i="1"/>
  <c r="S8" i="1"/>
  <c r="AG8" i="1" s="1"/>
  <c r="T11" i="1"/>
  <c r="S11" i="1"/>
  <c r="AG11" i="1" s="1"/>
  <c r="T17" i="1"/>
  <c r="S17" i="1"/>
  <c r="AG17" i="1" s="1"/>
  <c r="S103" i="1"/>
  <c r="AG103" i="1" s="1"/>
  <c r="R107" i="1"/>
  <c r="U40" i="1"/>
  <c r="U57" i="1"/>
  <c r="U66" i="1"/>
  <c r="S111" i="1"/>
  <c r="AG111" i="1" s="1"/>
  <c r="U119" i="1"/>
  <c r="T119" i="1"/>
  <c r="T123" i="1"/>
  <c r="S123" i="1"/>
  <c r="AG123" i="1" s="1"/>
  <c r="T32" i="1"/>
  <c r="U87" i="1"/>
  <c r="T87" i="1"/>
  <c r="U20" i="1"/>
  <c r="T24" i="1"/>
  <c r="U53" i="1"/>
  <c r="T75" i="1"/>
  <c r="T79" i="1"/>
  <c r="S79" i="1"/>
  <c r="AG79" i="1" s="1"/>
  <c r="T83" i="1"/>
  <c r="T99" i="1"/>
  <c r="R12" i="1"/>
  <c r="T71" i="1"/>
  <c r="U95" i="1"/>
  <c r="U8" i="1"/>
  <c r="T16" i="1"/>
  <c r="U16" i="1"/>
  <c r="T41" i="1"/>
  <c r="U71" i="1"/>
  <c r="T104" i="1"/>
  <c r="S104" i="1"/>
  <c r="AG104" i="1" s="1"/>
  <c r="S108" i="1"/>
  <c r="AG108" i="1" s="1"/>
  <c r="R124" i="1"/>
  <c r="U124" i="1"/>
  <c r="T128" i="1"/>
  <c r="T54" i="1"/>
  <c r="S54" i="1"/>
  <c r="AG54" i="1" s="1"/>
  <c r="T58" i="1"/>
  <c r="T67" i="1"/>
  <c r="U104" i="1"/>
  <c r="T40" i="1"/>
  <c r="S40" i="1"/>
  <c r="AG40" i="1" s="1"/>
  <c r="U96" i="1"/>
  <c r="T96" i="1"/>
  <c r="Q5" i="1"/>
  <c r="U29" i="1"/>
  <c r="T63" i="1"/>
  <c r="T72" i="1"/>
  <c r="S72" i="1"/>
  <c r="AG72" i="1" s="1"/>
  <c r="S88" i="1"/>
  <c r="AG88" i="1" s="1"/>
  <c r="T92" i="1"/>
  <c r="S112" i="1"/>
  <c r="AG112" i="1" s="1"/>
  <c r="U116" i="1"/>
  <c r="T116" i="1"/>
  <c r="S6" i="1"/>
  <c r="T10" i="1"/>
  <c r="S125" i="1"/>
  <c r="AG125" i="1" s="1"/>
  <c r="U64" i="1"/>
  <c r="T64" i="1"/>
  <c r="T101" i="1"/>
  <c r="S101" i="1"/>
  <c r="AG101" i="1" s="1"/>
  <c r="U93" i="1"/>
  <c r="T93" i="1"/>
  <c r="T97" i="1"/>
  <c r="U101" i="1"/>
  <c r="S117" i="1"/>
  <c r="AG117" i="1" s="1"/>
  <c r="T18" i="1"/>
  <c r="T22" i="1"/>
  <c r="U26" i="1"/>
  <c r="T30" i="1"/>
  <c r="T51" i="1"/>
  <c r="S51" i="1"/>
  <c r="AG51" i="1" s="1"/>
  <c r="T60" i="1"/>
  <c r="S60" i="1"/>
  <c r="AG60" i="1" s="1"/>
  <c r="U69" i="1"/>
  <c r="T69" i="1"/>
  <c r="R73" i="1"/>
  <c r="U85" i="1"/>
  <c r="T85" i="1"/>
  <c r="T89" i="1"/>
  <c r="T14" i="1"/>
  <c r="S14" i="1"/>
  <c r="AG14" i="1" s="1"/>
  <c r="T26" i="1"/>
  <c r="U51" i="1"/>
  <c r="U60" i="1"/>
  <c r="U89" i="1"/>
  <c r="R130" i="1"/>
  <c r="U130" i="1"/>
  <c r="T57" i="1"/>
  <c r="S57" i="1"/>
  <c r="AG57" i="1" s="1"/>
  <c r="T7" i="1"/>
  <c r="U43" i="1"/>
  <c r="T43" i="1"/>
  <c r="U47" i="1"/>
  <c r="T66" i="1"/>
  <c r="S66" i="1"/>
  <c r="AG66" i="1" s="1"/>
  <c r="T110" i="1"/>
  <c r="S110" i="1"/>
  <c r="AG110" i="1" s="1"/>
  <c r="U126" i="1"/>
  <c r="U90" i="1"/>
  <c r="T90" i="1"/>
  <c r="R61" i="1"/>
  <c r="T82" i="1"/>
  <c r="S82" i="1"/>
  <c r="AG82" i="1" s="1"/>
  <c r="T118" i="1"/>
  <c r="T127" i="1"/>
  <c r="U133" i="1"/>
  <c r="T134" i="1"/>
  <c r="R34" i="1"/>
  <c r="R132" i="1"/>
  <c r="T136" i="1"/>
  <c r="S77" i="1" l="1"/>
  <c r="AG77" i="1" s="1"/>
  <c r="S55" i="1"/>
  <c r="AG55" i="1" s="1"/>
  <c r="S91" i="1"/>
  <c r="AG91" i="1" s="1"/>
  <c r="S21" i="1"/>
  <c r="AG21" i="1" s="1"/>
  <c r="S76" i="1"/>
  <c r="AG76" i="1" s="1"/>
  <c r="R5" i="1"/>
  <c r="T48" i="1"/>
  <c r="T73" i="1"/>
  <c r="S73" i="1"/>
  <c r="AG73" i="1" s="1"/>
  <c r="T12" i="1"/>
  <c r="S12" i="1"/>
  <c r="AG12" i="1" s="1"/>
  <c r="T107" i="1"/>
  <c r="S107" i="1"/>
  <c r="AG107" i="1" s="1"/>
  <c r="AG6" i="1"/>
  <c r="T34" i="1"/>
  <c r="S34" i="1"/>
  <c r="AG34" i="1" s="1"/>
  <c r="T124" i="1"/>
  <c r="S124" i="1"/>
  <c r="AG124" i="1" s="1"/>
  <c r="T61" i="1"/>
  <c r="S61" i="1"/>
  <c r="AG61" i="1" s="1"/>
  <c r="T132" i="1"/>
  <c r="S132" i="1"/>
  <c r="AG132" i="1" s="1"/>
  <c r="T130" i="1"/>
  <c r="S130" i="1"/>
  <c r="AG130" i="1" s="1"/>
  <c r="S5" i="1" l="1"/>
  <c r="AG5" i="1"/>
  <c r="AG1" i="1" s="1"/>
  <c r="AI93" i="1" l="1"/>
  <c r="AI91" i="1"/>
  <c r="AI89" i="1"/>
  <c r="AI25" i="1"/>
  <c r="AI17" i="1"/>
  <c r="AI16" i="1"/>
  <c r="AI8" i="1"/>
  <c r="AI7" i="1"/>
  <c r="AI6" i="1"/>
</calcChain>
</file>

<file path=xl/sharedStrings.xml><?xml version="1.0" encoding="utf-8"?>
<sst xmlns="http://schemas.openxmlformats.org/spreadsheetml/2006/main" count="596" uniqueCount="314">
  <si>
    <t>дн</t>
  </si>
  <si>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</si>
  <si>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</si>
  <si>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</si>
  <si>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</si>
  <si>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</si>
  <si>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</si>
  <si>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</si>
  <si>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</si>
  <si>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</si>
  <si>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</si>
  <si>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</si>
  <si>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</si>
  <si>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</si>
  <si>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</si>
  <si>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</si>
  <si>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</si>
  <si>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</si>
  <si>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заказ</t>
  </si>
  <si>
    <t>кон ост</t>
  </si>
  <si>
    <t>факт</t>
  </si>
  <si>
    <t>ср</t>
  </si>
  <si>
    <t>комментарии</t>
  </si>
  <si>
    <t>вес</t>
  </si>
  <si>
    <t>15,08,</t>
  </si>
  <si>
    <t>13,08,</t>
  </si>
  <si>
    <t>17,08,</t>
  </si>
  <si>
    <t>11,08,</t>
  </si>
  <si>
    <t>06,08,</t>
  </si>
  <si>
    <t>04,08,</t>
  </si>
  <si>
    <t>30,07,</t>
  </si>
  <si>
    <t>28,07,</t>
  </si>
  <si>
    <t>23,07,</t>
  </si>
  <si>
    <t>21,07,</t>
  </si>
  <si>
    <t>16,07,</t>
  </si>
  <si>
    <t>14,07,</t>
  </si>
  <si>
    <t>09,07,</t>
  </si>
  <si>
    <t xml:space="preserve"> 005  Колбаса Докторская ГОСТ, Вязанка вектор,ВЕС. ПОКОМ</t>
  </si>
  <si>
    <t>кг</t>
  </si>
  <si>
    <t>матрица</t>
  </si>
  <si>
    <t>SU000722</t>
  </si>
  <si>
    <t xml:space="preserve"> 016  Сосиски Вязанка Молочные, Вязанка вискофан  ВЕС.ПОКОМ</t>
  </si>
  <si>
    <t>SU001523</t>
  </si>
  <si>
    <t xml:space="preserve"> 017  Сосиски Вязанка Сливочные, Вязанка амицел ВЕС.ПОКОМ</t>
  </si>
  <si>
    <t>SU001721</t>
  </si>
  <si>
    <t xml:space="preserve"> 023  Колбаса Докторская ГОСТ, Вязанка вектор, 0,4 кг, ПОКОМ</t>
  </si>
  <si>
    <t>шт</t>
  </si>
  <si>
    <t>нет потребности</t>
  </si>
  <si>
    <t>SU001485</t>
  </si>
  <si>
    <t xml:space="preserve"> 030  Сосиски Вязанка Молочные, Вязанка вискофан МГС, 0.45кг, ПОКОМ</t>
  </si>
  <si>
    <t>SU001718</t>
  </si>
  <si>
    <t xml:space="preserve"> 032  Сосиски Вязанка Сливочные, Вязанка амицел МГС, 0.45кг, ПОКОМ</t>
  </si>
  <si>
    <t>SU001720</t>
  </si>
  <si>
    <t xml:space="preserve"> 047  Кол Баварская, белков.обол. в термоусад. пакете 0.17 кг, ТМ Стародворье  ПОКОМ</t>
  </si>
  <si>
    <t>SU002092</t>
  </si>
  <si>
    <t xml:space="preserve"> 062  Колбаса Кракушка пряная с сальцем, 0.3кг в/у п/к, БАВАРУШКА ПОКОМ</t>
  </si>
  <si>
    <t>SU002252</t>
  </si>
  <si>
    <t xml:space="preserve"> 083  Колбаса Швейцарская 0,17 кг., ШТ., сырокопченая   ПОКОМ</t>
  </si>
  <si>
    <t>SU001869</t>
  </si>
  <si>
    <t xml:space="preserve"> 104  Сосиски Молочные по-стародворски, амицел МГС 0.45кг, ТМ Стародворье    ПОКОМ</t>
  </si>
  <si>
    <t>не в матрице</t>
  </si>
  <si>
    <t>SU001763</t>
  </si>
  <si>
    <t xml:space="preserve"> 200  Ветчина Дугушка ТМ Стародворье, вектор в/у    ПОКОМ</t>
  </si>
  <si>
    <t>SU002035</t>
  </si>
  <si>
    <t xml:space="preserve"> 201  Ветчина Нежная ТМ Особый рецепт, (2,5кг), ПОКОМ</t>
  </si>
  <si>
    <t>SU000126</t>
  </si>
  <si>
    <t xml:space="preserve"> 215  Колбаса Докторская ГОСТ Дугушка, ВЕС, ТМ Стародворье ПОКОМ</t>
  </si>
  <si>
    <t>SU002011</t>
  </si>
  <si>
    <t xml:space="preserve"> 225  Колбаса Дугушка со шпиком, ВЕС, ТМ Стародворье   ПОКОМ</t>
  </si>
  <si>
    <t>SU002182</t>
  </si>
  <si>
    <t xml:space="preserve"> 226  Колбаса Княжеская, с/к белков.обол в термоусад. пакете, ВЕС, ТМ Стародворье ПОКОМ</t>
  </si>
  <si>
    <t>нужно увеличить продажи</t>
  </si>
  <si>
    <t>SU001920</t>
  </si>
  <si>
    <t xml:space="preserve"> 229  Колбаса Молочная Дугушка, в/у, ВЕС, ТМ Стародворье   ПОКОМ</t>
  </si>
  <si>
    <t>SU002010</t>
  </si>
  <si>
    <t xml:space="preserve"> 236  Колбаса Рубленая ЗАПЕЧ. Дугушка ТМ Стародворье, вектор, в/к    ПОКОМ</t>
  </si>
  <si>
    <t>SU002150</t>
  </si>
  <si>
    <t xml:space="preserve"> 239  Колбаса Салями запеч Дугушка, оболочка вектор, ВЕС, ТМ Стародворье  ПОКОМ</t>
  </si>
  <si>
    <t>SU002158</t>
  </si>
  <si>
    <t xml:space="preserve"> 240  Колбаса Салями охотничья, ВЕС. ПОКОМ</t>
  </si>
  <si>
    <t>SU001921</t>
  </si>
  <si>
    <t xml:space="preserve"> 242  Колбаса Сервелат ЗАПЕЧ.Дугушка ТМ Стародворье, вектор, в/к     ПОКОМ</t>
  </si>
  <si>
    <t>НЕДОГРУЗ / матрица</t>
  </si>
  <si>
    <t>SU002151</t>
  </si>
  <si>
    <t xml:space="preserve"> 244  Колбаса Сервелат Кремлевский, ВЕС. ПОКОМ</t>
  </si>
  <si>
    <t>SU001822</t>
  </si>
  <si>
    <t xml:space="preserve"> 247  Сардельки Нежные, ВЕС.  ПОКОМ</t>
  </si>
  <si>
    <t>SU001051</t>
  </si>
  <si>
    <t xml:space="preserve"> 248  Сардельки Сочные ТМ Особый рецепт,   ПОКОМ</t>
  </si>
  <si>
    <t>SU002287</t>
  </si>
  <si>
    <t xml:space="preserve"> 250  Сардельки стародворские с говядиной в обол. NDX, ВЕС. ПОКОМ</t>
  </si>
  <si>
    <t>SU000227</t>
  </si>
  <si>
    <t xml:space="preserve"> 251  Сосиски Баварские, ВЕС.  ПОКОМ</t>
  </si>
  <si>
    <t>SU001835</t>
  </si>
  <si>
    <t xml:space="preserve"> 253  Сосиски Ганноверские   ПОКОМ</t>
  </si>
  <si>
    <t>SU001340</t>
  </si>
  <si>
    <t xml:space="preserve"> 255  Сосиски Молочные для завтрака ТМ Особый рецепт, п/а МГС, ВЕС, ТМ Стародворье  ПОКОМ</t>
  </si>
  <si>
    <t>SU002074</t>
  </si>
  <si>
    <t xml:space="preserve"> 257  Сосиски Молочные оригинальные ТМ Особый рецепт, ВЕС.   ПОКОМ</t>
  </si>
  <si>
    <t>SU000246</t>
  </si>
  <si>
    <t xml:space="preserve"> 263  Шпикачки Стародворские, ВЕС.  ПОКОМ</t>
  </si>
  <si>
    <t>SU001430</t>
  </si>
  <si>
    <t xml:space="preserve"> 265  Колбаса Балыкбургская, ВЕС, ТМ Баварушка  ПОКОМ</t>
  </si>
  <si>
    <t>SU002612</t>
  </si>
  <si>
    <t xml:space="preserve"> 267  Колбаса Салями Филейбургская зернистая, оболочка фиброуз, ВЕС, ТМ Баварушка  ПОКОМ</t>
  </si>
  <si>
    <t>SU002614</t>
  </si>
  <si>
    <t xml:space="preserve"> 273  Сосиски Сочинки с сочной грудинкой, МГС 0.4кг,   ПОКОМ</t>
  </si>
  <si>
    <t>SU002618</t>
  </si>
  <si>
    <t xml:space="preserve"> 276  Колбаса Сливушка ТМ Вязанка в оболочке полиамид 0,45 кг  ПОКОМ</t>
  </si>
  <si>
    <t>SU002734</t>
  </si>
  <si>
    <t xml:space="preserve"> 278  Сосиски Сочинки с сочным окороком, МГС 0.4кг,   ПОКОМ</t>
  </si>
  <si>
    <t>SU002621</t>
  </si>
  <si>
    <t xml:space="preserve"> 281  Сосиски Молочные для завтрака ТМ Особый рецепт, 0,4кг  ПОКОМ</t>
  </si>
  <si>
    <t>SU002205</t>
  </si>
  <si>
    <t xml:space="preserve"> 283  Сосиски Сочинки, ВЕС, ТМ Стародворье ПОКОМ</t>
  </si>
  <si>
    <t>SU002725</t>
  </si>
  <si>
    <t xml:space="preserve"> 285  Паштет печеночный со слив.маслом ТМ Стародворье ламистер 0,1 кг  ПОКОМ</t>
  </si>
  <si>
    <t>SU002368</t>
  </si>
  <si>
    <t xml:space="preserve"> 296  Колбаса Мясорубская с рубленой грудинкой 0,35кг срез ТМ Стародворье  ПОКОМ</t>
  </si>
  <si>
    <t>SU002660</t>
  </si>
  <si>
    <t xml:space="preserve"> 297  Колбаса Мясорубская с рубленой грудинкой ВЕС ТМ Стародворье  ПОКОМ</t>
  </si>
  <si>
    <t>SU002756</t>
  </si>
  <si>
    <t xml:space="preserve"> 301  Сосиски Сочинки по-баварски с сыром,  0.4кг, ТМ Стародворье  ПОКОМ</t>
  </si>
  <si>
    <t>SU002801</t>
  </si>
  <si>
    <t xml:space="preserve"> 302  Сосиски Сочинки по-баварски,  0.4кг, ТМ Стародворье  ПОКОМ</t>
  </si>
  <si>
    <t>SU002799</t>
  </si>
  <si>
    <t xml:space="preserve"> 305  Колбаса Сервелат Мясорубский с мелкорубленным окороком в/у  ТМ Стародворье ВЕС   ПОКОМ</t>
  </si>
  <si>
    <t>нужно увеличить продажи!!!</t>
  </si>
  <si>
    <t>SU002847</t>
  </si>
  <si>
    <t xml:space="preserve"> 307  Колбаса Сервелат Мясорубский с мелкорубленным окороком 0,35 кг срез ТМ Стародворье   Поком</t>
  </si>
  <si>
    <t>SU002848</t>
  </si>
  <si>
    <t xml:space="preserve"> 309  Сосиски Сочинки с сыром 0,4 кг ТМ Стародворье  ПОКОМ</t>
  </si>
  <si>
    <t>SU002686</t>
  </si>
  <si>
    <t xml:space="preserve"> 312  Ветчина Филейская ВЕС ТМ  Вязанка ТС Столичная  ПОКОМ</t>
  </si>
  <si>
    <t>SU002828</t>
  </si>
  <si>
    <t xml:space="preserve"> 315  Колбаса вареная Молокуша ТМ Вязанка ВЕС, ПОКОМ</t>
  </si>
  <si>
    <t>SU002830</t>
  </si>
  <si>
    <t xml:space="preserve"> 318  Сосиски Датские ТМ Зареченские, ВЕС  ПОКОМ</t>
  </si>
  <si>
    <t>SU002655</t>
  </si>
  <si>
    <t xml:space="preserve"> 319  Колбаса вареная Филейская ТМ Вязанка ТС Классическая, 0,45 кг. ПОКОМ</t>
  </si>
  <si>
    <t>SU002815</t>
  </si>
  <si>
    <t xml:space="preserve"> 322  Колбаса вареная Молокуша 0,45кг ТМ Вязанка  ПОКОМ</t>
  </si>
  <si>
    <t>SU002816</t>
  </si>
  <si>
    <t xml:space="preserve"> 328  Сардельки Сочинки Стародворье ТМ  0,4 кг ПОКОМ</t>
  </si>
  <si>
    <t>SU002758</t>
  </si>
  <si>
    <t xml:space="preserve"> 329  Сардельки Сочинки с сыром Стародворье ТМ, 0,4 кг. ПОКОМ</t>
  </si>
  <si>
    <t>SU002759</t>
  </si>
  <si>
    <t xml:space="preserve"> 330  Колбаса вареная Филейская ТМ Вязанка ТС Классическая ВЕС  ПОКОМ</t>
  </si>
  <si>
    <t>SU002829</t>
  </si>
  <si>
    <t xml:space="preserve"> 333  Колбаса Балыковая, Вязанка фиброуз в/у, ВЕС ПОКОМ</t>
  </si>
  <si>
    <t>дубль</t>
  </si>
  <si>
    <t xml:space="preserve"> 558  Колбаса Балыковая НОВАЯ ВЕС Вязанка фиброуз в/у ПОКОМ</t>
  </si>
  <si>
    <t>SU000064</t>
  </si>
  <si>
    <t xml:space="preserve"> 334  Паштет Любительский ТМ Стародворье ламистер 0,1 кг  ПОКОМ</t>
  </si>
  <si>
    <t>SU002841</t>
  </si>
  <si>
    <t xml:space="preserve"> 335  Колбаса Сливушка ТМ Вязанка. ВЕС.  ПОКОМ </t>
  </si>
  <si>
    <t>SU002928</t>
  </si>
  <si>
    <t xml:space="preserve"> 336  Ветчина Сливушка с индейкой ТМ Вязанка. ВЕС  ПОКОМ</t>
  </si>
  <si>
    <t>SU002833</t>
  </si>
  <si>
    <t xml:space="preserve"> 338  Паштет печеночный с морковью ТМ Стародворье ламистер 0,1 кг.  ПОКОМ</t>
  </si>
  <si>
    <t>SU002840</t>
  </si>
  <si>
    <t xml:space="preserve"> 339  Колбаса вареная Филейская ТМ Вязанка ТС Классическая, 0,40 кг.  ПОКОМ</t>
  </si>
  <si>
    <t>SU002831</t>
  </si>
  <si>
    <t xml:space="preserve"> 340  Сосиски Сочинки Молочные ТМ Стародворье, ВЕС ПОКОМ</t>
  </si>
  <si>
    <t>120кг под задачи ТК (31,07,26)</t>
  </si>
  <si>
    <t>SU002843</t>
  </si>
  <si>
    <t xml:space="preserve"> 341 Сосиски Сочинки Сливочные ТМ Стародворье ВЕС ПОКОМ</t>
  </si>
  <si>
    <t>SU002845</t>
  </si>
  <si>
    <t xml:space="preserve"> 342 Сосиски Сочинки Молочные ТМ Стародворье 0,4 кг ПОКОМ</t>
  </si>
  <si>
    <t>SU002842</t>
  </si>
  <si>
    <t xml:space="preserve"> 343 Сосиски Сочинки Сливочные ТМ Стародворье  0,4 кг ПОКОМ</t>
  </si>
  <si>
    <t>SU002844</t>
  </si>
  <si>
    <t xml:space="preserve"> 344  Колбаса Сочинка по-европейски с сочной грудинкой ТМ Стародворье, ВЕС ПОКОМ</t>
  </si>
  <si>
    <t>SU002941</t>
  </si>
  <si>
    <t xml:space="preserve"> 345  Колбаса Сочинка по-фински с сочным окроком ТМ Стародворье ВЕС ПОКОМ</t>
  </si>
  <si>
    <t>SU002943</t>
  </si>
  <si>
    <t xml:space="preserve"> 346  Колбаса Сочинка зернистая с сочной грудинкой ТМ Стародворье.ВЕС ПОКОМ</t>
  </si>
  <si>
    <t>SU002945</t>
  </si>
  <si>
    <t xml:space="preserve"> 347  Колбаса Сочинка рубленая с сочным окороком ТМ Стародворье ВЕС ПОКОМ</t>
  </si>
  <si>
    <t>SU002947</t>
  </si>
  <si>
    <t xml:space="preserve"> 355  Колбаса Сервелат запеченный ТМ Стародворье ТС Дугушка. 0,6 кг. ПОКОМ</t>
  </si>
  <si>
    <t>SU002918</t>
  </si>
  <si>
    <t xml:space="preserve"> 364  Сардельки Филейские Вязанка ВЕС NDX ТМ Вязанка  ПОКОМ</t>
  </si>
  <si>
    <t>SU002835</t>
  </si>
  <si>
    <t xml:space="preserve"> 376  Колбаса Докторская Дугушка 0,6кг ГОСТ ТМ Стародворье  ПОКОМ </t>
  </si>
  <si>
    <t>SU002632</t>
  </si>
  <si>
    <t xml:space="preserve"> 377  Колбаса Молочная Дугушка 0,6кг ТМ Стародворье  ПОКОМ</t>
  </si>
  <si>
    <t>SU002631</t>
  </si>
  <si>
    <t xml:space="preserve"> 387  Колбаса вареная Мусульманская Халяль ТМ Вязанка, 0,4 кг ПОКОМ</t>
  </si>
  <si>
    <t>SU002983</t>
  </si>
  <si>
    <t xml:space="preserve"> 388  Сосиски Восточные Халяль ТМ Вязанка 0,33 кг АК. ПОКОМ</t>
  </si>
  <si>
    <t>SU002984</t>
  </si>
  <si>
    <t xml:space="preserve"> 394 Колбаса полукопченая Аль-Ислами халяль ТМ Вязанка оболочка фиброуз в в/у 0,35 кг  ПОКОМ</t>
  </si>
  <si>
    <t>SU002985</t>
  </si>
  <si>
    <t xml:space="preserve"> 395  Колбаса Докторская ГОСТ ТМ Вязанка в оболочке полиамид 0,37 кг. ПОКОМ</t>
  </si>
  <si>
    <t>SU002986</t>
  </si>
  <si>
    <t xml:space="preserve"> 397  Ветчина Дугушка ТМ Стародворье ТС Дугушка в полиамидной оболочке 0,6 кг. ПОКОМ</t>
  </si>
  <si>
    <t>SU002643</t>
  </si>
  <si>
    <t xml:space="preserve"> 405  Сардельки Сливушки ТМ Вязанка в оболочке айпил 0,33 кг. ПОКОМ</t>
  </si>
  <si>
    <t>SU002367</t>
  </si>
  <si>
    <t xml:space="preserve"> 408  Ветчина Сливушка с индейкой ТМ Вязанка, 0,4кг  ПОКОМ</t>
  </si>
  <si>
    <t>SU002735</t>
  </si>
  <si>
    <t xml:space="preserve"> 410  Сосиски Баварские с сыром ТМ Стародворье 0,35 кг. ПОКОМ</t>
  </si>
  <si>
    <t>SU003168</t>
  </si>
  <si>
    <t xml:space="preserve"> 412  Сосиски Баварские ТМ Стародворье 0,35 кг ПОКОМ</t>
  </si>
  <si>
    <t>SU003167</t>
  </si>
  <si>
    <t xml:space="preserve"> 430  Колбаса Стародворская с окороком 0,4 кг. ТМ Стародворье в оболочке полиамид  ПОКОМ</t>
  </si>
  <si>
    <t>SU003272</t>
  </si>
  <si>
    <t xml:space="preserve"> 433 Колбаса Стародворская со шпиком  в оболочке полиамид. ТМ Стародворье ВЕС ПОКОМ</t>
  </si>
  <si>
    <t>SU003275</t>
  </si>
  <si>
    <t xml:space="preserve"> 435  Колбаса Молочная Стародворская  с молоком в оболочке полиамид 0,4 кг.ТМ Стародворье ПОКОМ</t>
  </si>
  <si>
    <t>SU003274</t>
  </si>
  <si>
    <t xml:space="preserve"> 436  Колбаса Молочная стародворская с молоком, ВЕС, ТМ Стародворье  ПОКОМ</t>
  </si>
  <si>
    <t>SU003273</t>
  </si>
  <si>
    <t xml:space="preserve"> 449  Колбаса Дугушка Стародворская ВЕС ТС Дугушка ПОКОМ</t>
  </si>
  <si>
    <t>SU002634</t>
  </si>
  <si>
    <t xml:space="preserve"> 451 Сосиски Филейские ТМ Вязанка в оболочке целлофан 0,3 кг. ПОКОМ</t>
  </si>
  <si>
    <t>SU002825</t>
  </si>
  <si>
    <t xml:space="preserve"> 452  Колбаса Со шпиком ВЕС большой батон ТМ Особый рецепт  ПОКОМ</t>
  </si>
  <si>
    <t>SU003423</t>
  </si>
  <si>
    <t xml:space="preserve"> 456  Колбаса Филейная ТМ Особый рецепт ВЕС большой батон  ПОКОМ</t>
  </si>
  <si>
    <t>SU003420</t>
  </si>
  <si>
    <t xml:space="preserve"> 457  Колбаса Молочная ТМ Особый рецепт ВЕС большой батон  ПОКОМ</t>
  </si>
  <si>
    <t>SU003422</t>
  </si>
  <si>
    <t xml:space="preserve"> 460  Колбаса Стародворская Традиционная ВЕС ТМ Стародворье в оболочке полиамид. ПОКОМ</t>
  </si>
  <si>
    <t>SU003392</t>
  </si>
  <si>
    <t xml:space="preserve"> 469  Колбаса Филедворская по-стародворски ТМ Стародворье в оболочке полиамид.ВЕС  ПОКОМ </t>
  </si>
  <si>
    <t>SU003387</t>
  </si>
  <si>
    <t xml:space="preserve"> 485  Колбаса Молочная по-стародворски ТМ Стародворье в оболочке полиамид. ВЕС ПОКОМ </t>
  </si>
  <si>
    <t xml:space="preserve"> 498  Колбаса Сочинка рубленая с сочным окороком 0,3кг ТМ Стародворье  ПОКОМ</t>
  </si>
  <si>
    <t>SU002948</t>
  </si>
  <si>
    <t xml:space="preserve"> 517  Сосиски С сыром ТМ Ядрена копоть 0,3кг  ПОКОМ</t>
  </si>
  <si>
    <t>SU003665</t>
  </si>
  <si>
    <t xml:space="preserve"> 523  Колбаса Сальчичон нарезка 0,07кг ТМ Стародворье  ПОКОМ </t>
  </si>
  <si>
    <t>SU003893</t>
  </si>
  <si>
    <t xml:space="preserve"> 524  Колбаса Сервелат Ореховый нарезка 0,07кг ТМ Стародворье  ПОКОМ</t>
  </si>
  <si>
    <t>SU003894</t>
  </si>
  <si>
    <t xml:space="preserve"> 525  Колбаса Фуэт нарезка 0,07кг ТМ Стародворье  ПОКОМ</t>
  </si>
  <si>
    <t>SU003896</t>
  </si>
  <si>
    <t xml:space="preserve"> 526  Корейка вяленая выдержанная нарезка 0,05кг ТМ Стародворье  ПОКОМ</t>
  </si>
  <si>
    <t>SU003925</t>
  </si>
  <si>
    <t xml:space="preserve"> 544  Сосиски Мясные для гриля ТС Ядрена копоть 0,3 кг  ПОКОМ</t>
  </si>
  <si>
    <t>SU004016</t>
  </si>
  <si>
    <t xml:space="preserve"> 547  Колбаса Мясная Классическая ТМ Вязанка в оболочке полиамид. ВЕС  ПОКОМ</t>
  </si>
  <si>
    <t>SU004157</t>
  </si>
  <si>
    <t xml:space="preserve"> 551  Колбаса Сливушка ТМ Вязанка в модифицированной газовой среде 0,11 кг нарезка  ПОКОМ</t>
  </si>
  <si>
    <t>SU003745</t>
  </si>
  <si>
    <t xml:space="preserve"> 552  Ветчина Сливушка с индейкой ТМ Вязанка в модифицированной газовой среде 0,1 кг нарезка  ПОКОМ</t>
  </si>
  <si>
    <t>SU002356</t>
  </si>
  <si>
    <t xml:space="preserve"> 553  Ассорти колбас Мясорубская коллекция: Сервелат Делюкс, С балыком 0,08 кг нарезка  ПОКОМ</t>
  </si>
  <si>
    <t>SU004026</t>
  </si>
  <si>
    <t xml:space="preserve"> 554  Колбаса Сервелат Мясорубский ТМ Стародворье в упаковке скин 0,08 кг нарезка  ПОКОМ</t>
  </si>
  <si>
    <t>SU003178</t>
  </si>
  <si>
    <t xml:space="preserve"> 555  Колбаса Молокуша ТМ Вязанка в модифицированной газовой среде 0,17 кг нарезка  ПОКОМ</t>
  </si>
  <si>
    <t>нужно увеличить продажи / 21 шт в уценку 30,06,26</t>
  </si>
  <si>
    <t>SU002354</t>
  </si>
  <si>
    <t xml:space="preserve"> 556  Колбаса Сервелат Ореховый ТМ Вязанка в оболочке фиброуз в вакуумной упаковке, ВЕС  ПОКОМ</t>
  </si>
  <si>
    <t>SU004044</t>
  </si>
  <si>
    <t xml:space="preserve"> 557  Колбаса Сервелат Финский ТМ Вязанка в оболочке фиброуз в вакуумной упаковке, ВЕС  ПОКОМ</t>
  </si>
  <si>
    <t>SU004047</t>
  </si>
  <si>
    <t>SU004041</t>
  </si>
  <si>
    <t xml:space="preserve"> 564  Сосиски Сочные 0,3 кг ТМ Вязанка  ПОКОМ</t>
  </si>
  <si>
    <t>SU004053</t>
  </si>
  <si>
    <t xml:space="preserve"> 567 Колбаса Со шпиком Стародворская ТМ Стародворье в оболочке полиамид ВЕС  ПОКОМ</t>
  </si>
  <si>
    <t>нужно увеличить продажи!!! / 57кг в уценку (30,06,26)</t>
  </si>
  <si>
    <t>SU004007</t>
  </si>
  <si>
    <t xml:space="preserve"> 569  Колбаса Балыковая ТМ Вязанка в оболочке фиброуз в вакуумной упаковке 0,28 кг срез.  ПОКОМ</t>
  </si>
  <si>
    <t>SU004039</t>
  </si>
  <si>
    <t xml:space="preserve"> 570  Колбаса Сервелат Финский ТМ Вязанка в оболочке фиброуз в вак. упаковке 0,28 кг срез  ПОКОМ</t>
  </si>
  <si>
    <t>SU004045</t>
  </si>
  <si>
    <t xml:space="preserve"> 571  Колбаса Сервелат Ореховый ТМ Вязанка в оболочке фиброуз в вак. упаковке 0,28 кг срез  ПОКОМ</t>
  </si>
  <si>
    <t>SU004042</t>
  </si>
  <si>
    <t xml:space="preserve"> 574  Колбаса Сервелат Финский ТМ Вязанка в упаковке скин 0,09 кг нарезка  ПОКОМ</t>
  </si>
  <si>
    <t>30шт под сеть Молоко (05,08,26) / заказываем с 05,08,26</t>
  </si>
  <si>
    <t>SU003751</t>
  </si>
  <si>
    <t xml:space="preserve"> 579  Колбаса Ветчинно-рубленая ТМ Особый рецепт в оболочке полиамид.ВЕС  ПОКОМ</t>
  </si>
  <si>
    <t>SU004131</t>
  </si>
  <si>
    <t xml:space="preserve"> 580  Ветчина Нежная с индейкой ТМ Особый рецепт в оболочке полиамид.ВЕС  ПОКОМ</t>
  </si>
  <si>
    <t>SU003686</t>
  </si>
  <si>
    <t xml:space="preserve"> 583  Колбаса Балыковая ТМ Вязанка в упаковке скин 0,09 кг нарезка  ПОКОМ</t>
  </si>
  <si>
    <t>SU003753</t>
  </si>
  <si>
    <t xml:space="preserve"> 584  Колбаса Сервелат Ореховый ТМ Вязанка в упаковке скин 0,09 кг нарезка  ПОКОМ</t>
  </si>
  <si>
    <t>SU003988</t>
  </si>
  <si>
    <t xml:space="preserve"> 585  Колбаса Молочная ТМ Стародворье в оболочке вектор НД ВЕС.  ПОКОМ</t>
  </si>
  <si>
    <t>SU004103</t>
  </si>
  <si>
    <t xml:space="preserve"> 586  Колбаса Мясная ТМ Стародворье в оболочке вектор НД ВЕС.  ПОКОМ</t>
  </si>
  <si>
    <t>SU004104</t>
  </si>
  <si>
    <t xml:space="preserve"> 588 Колбаса Со шпиком ТМ Стародворье в оболочке вектор ВЕС  ПОКОМ</t>
  </si>
  <si>
    <t>SU004106</t>
  </si>
  <si>
    <t xml:space="preserve"> 597  Колбаса Классическая ТМ Особый рецепт в оболочке полиамид ВЕС. ПОКОМ</t>
  </si>
  <si>
    <t>SU004238</t>
  </si>
  <si>
    <t xml:space="preserve"> 614  Буженина в пряном маринаде 0,25 кг консервы из мяса индейки ТМ Стародворье  ПОКОМ</t>
  </si>
  <si>
    <t>новинка</t>
  </si>
  <si>
    <t>SU004146</t>
  </si>
  <si>
    <t xml:space="preserve"> 615  Гречка по-купечески с говядиной и овощами 0,325кг ТМ Стародворье  ПОКОМ</t>
  </si>
  <si>
    <t>SU004144</t>
  </si>
  <si>
    <t xml:space="preserve"> 616  Индейка томлёная в собственном соку 0,25кг ТМ Стародлворье Консервый из мяс.птицы  ПОКОМ</t>
  </si>
  <si>
    <t>нужно увеличить продажи!!! / новинка</t>
  </si>
  <si>
    <t>SU004145</t>
  </si>
  <si>
    <t>495  Колбаса Сочинка по-европейски с сочной грудинкой 0,3кг ТМ Стародворье  ПОКОМ</t>
  </si>
  <si>
    <t>SU002944</t>
  </si>
  <si>
    <t>496  Колбаса Сочинка по-фински с сочным окроком 0,3кг ТМ Стародворье  ПОКОМ</t>
  </si>
  <si>
    <t>SU002942</t>
  </si>
  <si>
    <t>503 Колбаса Филейская со шпиком ТМ Вязанка в оболочке полиамид.ПОКОМ</t>
  </si>
  <si>
    <t>SU003642</t>
  </si>
  <si>
    <t>515  Колбаса Сервелат Мясорубский Делюкс 0,3кг ТМ Стародворье  ПОКОМ</t>
  </si>
  <si>
    <t>SU003829</t>
  </si>
  <si>
    <t>519  Грудинка 0,12 кг нарезка ТМ Стародворье  ПОКОМ</t>
  </si>
  <si>
    <t>SU003921</t>
  </si>
  <si>
    <t>А_ 485  Колбаса Молочная по-стародворски ТМ Стародворье в оболочке полиамид. ВЕС ПОКОМ</t>
  </si>
  <si>
    <t>акция</t>
  </si>
  <si>
    <t>БОНУС_615  Гречка по-купечески с говядиной и овощами 0,325кг ТМ Стародворье  ПОКОМ</t>
  </si>
  <si>
    <t>бонус</t>
  </si>
  <si>
    <t>15,08,доз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</si>
</sst>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9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6" fillId="0" borderId="1"/>
  </cellStyleXfs>
  <cellXfs count="22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ont="1" applyFill="1"/>
    <xf numFmtId="164" fontId="1" fillId="0" borderId="2" xfId="1" applyNumberFormat="1" applyFont="1" applyBorder="1"/>
    <xf numFmtId="2" fontId="0" fillId="0" borderId="0" xfId="0" applyNumberFormat="1" applyBorder="1"/>
    <xf numFmtId="2" fontId="1" fillId="0" borderId="1" xfId="1" applyNumberFormat="1" applyFont="1"/>
    <xf numFmtId="2" fontId="2" fillId="2" borderId="1" xfId="1" applyNumberFormat="1" applyFont="1" applyFill="1"/>
    <xf numFmtId="164" fontId="1" fillId="4" borderId="1" xfId="1" applyNumberFormat="1" applyFont="1" applyFill="1"/>
    <xf numFmtId="164" fontId="1" fillId="0" borderId="1" xfId="1" applyNumberFormat="1" applyFont="1"/>
    <xf numFmtId="164" fontId="1" fillId="5" borderId="1" xfId="1" applyNumberFormat="1" applyFont="1" applyFill="1"/>
    <xf numFmtId="2" fontId="1" fillId="5" borderId="1" xfId="1" applyNumberFormat="1" applyFont="1" applyFill="1"/>
    <xf numFmtId="164" fontId="1" fillId="5" borderId="2" xfId="1" applyNumberFormat="1" applyFont="1" applyFill="1" applyBorder="1"/>
    <xf numFmtId="164" fontId="4" fillId="6" borderId="1" xfId="1" applyNumberFormat="1" applyFont="1" applyFill="1"/>
    <xf numFmtId="164" fontId="1" fillId="7" borderId="1" xfId="1" applyNumberFormat="1" applyFont="1" applyFill="1"/>
    <xf numFmtId="164" fontId="5" fillId="7" borderId="1" xfId="1" applyNumberFormat="1" applyFont="1" applyFill="1"/>
    <xf numFmtId="164" fontId="6" fillId="7" borderId="1" xfId="1" applyNumberFormat="1" applyFill="1"/>
    <xf numFmtId="165" fontId="1" fillId="0" borderId="1" xfId="1" applyNumberFormat="1" applyFont="1"/>
    <xf numFmtId="164" fontId="8" fillId="0" borderId="1" xfId="1" applyNumberFormat="1" applyFont="1"/>
    <xf numFmtId="164" fontId="8" fillId="3" borderId="1" xfId="1" applyNumberFormat="1" applyFont="1" applyFill="1"/>
    <xf numFmtId="0" fontId="7" fillId="0" borderId="1" xfId="0" applyFont="1" applyBorder="1"/>
    <xf numFmtId="164" fontId="0" fillId="0" borderId="0" xfId="0" applyNumberFormat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Father\Work\2025_05\2026\&#1047;&#1040;&#1042;&#1054;&#1044;&#1067;\&#1055;&#1054;&#1050;&#1054;&#1052;\&#1092;&#1080;&#1083;&#1080;&#1072;&#1083;&#1099;%20&#1053;&#1042;\08,26\13,08,26%20&#1055;&#1054;&#1050;&#1054;&#1052;%20&#1050;&#1048;\&#1076;&#1074;%2013,08,26%20&#1073;&#1088;&#1088;&#1089;&#1095;%20&#1087;&#1086;&#1082;%20&#1082;&#1080;.xlsx" TargetMode="External"/><Relationship Id="rId1" Type="http://schemas.openxmlformats.org/officeDocument/2006/relationships/externalLinkPath" Target="&#1076;&#1074;%2013,08,26%20&#1073;&#1088;&#1088;&#1089;&#1095;%20&#1087;&#1086;&#1082;%20&#1082;&#108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"/>
    </sheetNames>
    <sheetDataSet>
      <sheetData sheetId="0">
        <row r="1">
          <cell r="S1">
            <v>0</v>
          </cell>
        </row>
        <row r="6">
          <cell r="AK6" t="str">
            <v>SU000722</v>
          </cell>
          <cell r="AL6" t="str">
            <v>Не ограничено</v>
          </cell>
          <cell r="AM6" t="str">
            <v>Не ограничено</v>
          </cell>
        </row>
        <row r="8">
          <cell r="AK8" t="str">
            <v>SU001523</v>
          </cell>
          <cell r="AL8" t="str">
            <v>2 т</v>
          </cell>
          <cell r="AM8" t="str">
            <v>2 т</v>
          </cell>
        </row>
        <row r="9">
          <cell r="AK9" t="str">
            <v>SU001721</v>
          </cell>
          <cell r="AL9" t="str">
            <v>2 т</v>
          </cell>
          <cell r="AM9" t="str">
            <v>2 т</v>
          </cell>
        </row>
        <row r="10">
          <cell r="AK10" t="str">
            <v>SU001485</v>
          </cell>
        </row>
        <row r="11">
          <cell r="AK11" t="str">
            <v>SU001718</v>
          </cell>
          <cell r="AL11" t="e">
            <v>#N/A</v>
          </cell>
        </row>
        <row r="12">
          <cell r="AK12" t="str">
            <v>SU001720</v>
          </cell>
          <cell r="AL12" t="e">
            <v>#N/A</v>
          </cell>
        </row>
        <row r="13">
          <cell r="AK13" t="str">
            <v>SU002092</v>
          </cell>
          <cell r="AL13" t="e">
            <v>#N/A</v>
          </cell>
        </row>
        <row r="14">
          <cell r="AK14" t="str">
            <v>SU002252</v>
          </cell>
          <cell r="AL14" t="e">
            <v>#N/A</v>
          </cell>
        </row>
        <row r="15">
          <cell r="AK15" t="str">
            <v>SU001869</v>
          </cell>
          <cell r="AL15" t="e">
            <v>#N/A</v>
          </cell>
        </row>
        <row r="16">
          <cell r="AK16" t="str">
            <v>SU002035</v>
          </cell>
          <cell r="AL16" t="str">
            <v>10 т</v>
          </cell>
          <cell r="AM16" t="str">
            <v>10 т</v>
          </cell>
        </row>
        <row r="17">
          <cell r="AK17" t="str">
            <v>SU000126</v>
          </cell>
          <cell r="AL17" t="str">
            <v>1000 кг</v>
          </cell>
          <cell r="AM17" t="str">
            <v>1000 кг</v>
          </cell>
        </row>
        <row r="18">
          <cell r="AK18" t="str">
            <v>SU002011</v>
          </cell>
          <cell r="AL18" t="e">
            <v>#N/A</v>
          </cell>
        </row>
        <row r="19">
          <cell r="AK19" t="str">
            <v>SU002182</v>
          </cell>
          <cell r="AL19" t="e">
            <v>#N/A</v>
          </cell>
        </row>
        <row r="20">
          <cell r="AK20" t="str">
            <v>SU001920</v>
          </cell>
          <cell r="AL20" t="e">
            <v>#N/A</v>
          </cell>
        </row>
        <row r="21">
          <cell r="AK21" t="str">
            <v>SU002010</v>
          </cell>
          <cell r="AL21" t="e">
            <v>#N/A</v>
          </cell>
        </row>
        <row r="22">
          <cell r="AK22" t="str">
            <v>SU002150</v>
          </cell>
          <cell r="AL22" t="e">
            <v>#N/A</v>
          </cell>
        </row>
        <row r="23">
          <cell r="AK23" t="str">
            <v>SU002158</v>
          </cell>
          <cell r="AL23" t="e">
            <v>#N/A</v>
          </cell>
        </row>
        <row r="24">
          <cell r="AK24" t="str">
            <v>SU001921</v>
          </cell>
          <cell r="AL24" t="e">
            <v>#N/A</v>
          </cell>
        </row>
        <row r="25">
          <cell r="AK25" t="str">
            <v>SU002151</v>
          </cell>
          <cell r="AL25" t="str">
            <v>300 кг</v>
          </cell>
          <cell r="AM25" t="str">
            <v>300 кг</v>
          </cell>
        </row>
        <row r="26">
          <cell r="AK26" t="str">
            <v>SU001822</v>
          </cell>
        </row>
        <row r="27">
          <cell r="AK27" t="str">
            <v>SU001051</v>
          </cell>
          <cell r="AL27" t="e">
            <v>#N/A</v>
          </cell>
        </row>
        <row r="28">
          <cell r="AK28" t="str">
            <v>SU002287</v>
          </cell>
          <cell r="AL28" t="e">
            <v>#N/A</v>
          </cell>
        </row>
        <row r="29">
          <cell r="AK29" t="str">
            <v>SU000227</v>
          </cell>
          <cell r="AL29">
            <v>0</v>
          </cell>
        </row>
        <row r="30">
          <cell r="AK30" t="str">
            <v>SU002074</v>
          </cell>
          <cell r="AL30">
            <v>0</v>
          </cell>
        </row>
        <row r="31">
          <cell r="AK31" t="str">
            <v>SU000246</v>
          </cell>
          <cell r="AL31" t="e">
            <v>#N/A</v>
          </cell>
        </row>
        <row r="32">
          <cell r="AK32" t="str">
            <v>SU001430</v>
          </cell>
          <cell r="AL32" t="e">
            <v>#N/A</v>
          </cell>
        </row>
        <row r="33">
          <cell r="AK33" t="str">
            <v>SU002612</v>
          </cell>
          <cell r="AL33" t="e">
            <v>#N/A</v>
          </cell>
        </row>
        <row r="34">
          <cell r="AK34" t="str">
            <v>SU002614</v>
          </cell>
          <cell r="AL34" t="e">
            <v>#N/A</v>
          </cell>
        </row>
        <row r="35">
          <cell r="AK35" t="str">
            <v>SU002618</v>
          </cell>
          <cell r="AL35">
            <v>0</v>
          </cell>
        </row>
        <row r="36">
          <cell r="AK36" t="str">
            <v>SU002734</v>
          </cell>
          <cell r="AL36" t="e">
            <v>#N/A</v>
          </cell>
        </row>
        <row r="37">
          <cell r="AK37" t="str">
            <v>SU002621</v>
          </cell>
          <cell r="AL37" t="e">
            <v>#N/A</v>
          </cell>
        </row>
        <row r="38">
          <cell r="AK38" t="str">
            <v>SU002205</v>
          </cell>
          <cell r="AL38" t="e">
            <v>#N/A</v>
          </cell>
        </row>
        <row r="39">
          <cell r="AK39" t="str">
            <v>SU002725</v>
          </cell>
          <cell r="AL39" t="e">
            <v>#N/A</v>
          </cell>
        </row>
        <row r="40">
          <cell r="AK40" t="str">
            <v>SU002368</v>
          </cell>
          <cell r="AL40" t="e">
            <v>#N/A</v>
          </cell>
        </row>
        <row r="41">
          <cell r="AK41" t="str">
            <v>SU002660</v>
          </cell>
          <cell r="AL41" t="e">
            <v>#N/A</v>
          </cell>
        </row>
        <row r="42">
          <cell r="AK42" t="str">
            <v>SU002756</v>
          </cell>
          <cell r="AL42" t="e">
            <v>#N/A</v>
          </cell>
        </row>
        <row r="43">
          <cell r="AK43" t="str">
            <v>SU002733</v>
          </cell>
        </row>
        <row r="44">
          <cell r="AK44" t="str">
            <v>SU002801</v>
          </cell>
          <cell r="AL44" t="e">
            <v>#N/A</v>
          </cell>
        </row>
        <row r="45">
          <cell r="AK45" t="str">
            <v>SU002799</v>
          </cell>
          <cell r="AL45" t="e">
            <v>#N/A</v>
          </cell>
        </row>
        <row r="46">
          <cell r="AK46" t="str">
            <v>SU002847</v>
          </cell>
          <cell r="AL46" t="e">
            <v>#N/A</v>
          </cell>
        </row>
        <row r="47">
          <cell r="AK47" t="str">
            <v>SU002848</v>
          </cell>
          <cell r="AL47" t="e">
            <v>#N/A</v>
          </cell>
        </row>
        <row r="48">
          <cell r="AK48" t="str">
            <v>SU002686</v>
          </cell>
          <cell r="AL48" t="e">
            <v>#N/A</v>
          </cell>
        </row>
        <row r="49">
          <cell r="AK49" t="str">
            <v>SU002828</v>
          </cell>
          <cell r="AL49" t="e">
            <v>#N/A</v>
          </cell>
        </row>
        <row r="50">
          <cell r="AK50" t="str">
            <v>SU002830</v>
          </cell>
          <cell r="AL50" t="e">
            <v>#N/A</v>
          </cell>
        </row>
        <row r="51">
          <cell r="AK51" t="str">
            <v>SU002655</v>
          </cell>
          <cell r="AL51" t="e">
            <v>#N/A</v>
          </cell>
        </row>
        <row r="52">
          <cell r="AK52" t="str">
            <v>SU002815</v>
          </cell>
          <cell r="AL52" t="e">
            <v>#N/A</v>
          </cell>
        </row>
        <row r="53">
          <cell r="AK53" t="str">
            <v>SU002816</v>
          </cell>
          <cell r="AL53" t="e">
            <v>#N/A</v>
          </cell>
        </row>
        <row r="54">
          <cell r="AK54" t="str">
            <v>SU002758</v>
          </cell>
          <cell r="AL54" t="e">
            <v>#N/A</v>
          </cell>
        </row>
        <row r="55">
          <cell r="AK55" t="str">
            <v>SU002759</v>
          </cell>
          <cell r="AL55" t="e">
            <v>#N/A</v>
          </cell>
        </row>
        <row r="56">
          <cell r="AK56" t="str">
            <v>SU002829</v>
          </cell>
          <cell r="AL56" t="e">
            <v>#N/A</v>
          </cell>
        </row>
        <row r="57">
          <cell r="AK57" t="str">
            <v>SU002841</v>
          </cell>
          <cell r="AL57" t="e">
            <v>#N/A</v>
          </cell>
        </row>
        <row r="58">
          <cell r="AK58" t="str">
            <v>SU002928</v>
          </cell>
          <cell r="AL58" t="e">
            <v>#N/A</v>
          </cell>
        </row>
        <row r="59">
          <cell r="AK59" t="str">
            <v>SU002833</v>
          </cell>
          <cell r="AL59" t="e">
            <v>#N/A</v>
          </cell>
        </row>
        <row r="60">
          <cell r="AK60" t="str">
            <v>SU002840</v>
          </cell>
          <cell r="AL60" t="e">
            <v>#N/A</v>
          </cell>
        </row>
        <row r="61">
          <cell r="AK61" t="str">
            <v>SU002831</v>
          </cell>
          <cell r="AL61" t="e">
            <v>#N/A</v>
          </cell>
        </row>
        <row r="62">
          <cell r="AK62" t="str">
            <v>SU002843</v>
          </cell>
          <cell r="AL62">
            <v>0</v>
          </cell>
        </row>
        <row r="63">
          <cell r="AK63" t="str">
            <v>SU002845</v>
          </cell>
          <cell r="AL63">
            <v>0</v>
          </cell>
        </row>
        <row r="64">
          <cell r="AK64" t="str">
            <v>SU002842</v>
          </cell>
          <cell r="AL64" t="e">
            <v>#N/A</v>
          </cell>
        </row>
        <row r="65">
          <cell r="AK65" t="str">
            <v>SU002844</v>
          </cell>
          <cell r="AL65" t="e">
            <v>#N/A</v>
          </cell>
        </row>
        <row r="66">
          <cell r="AK66" t="str">
            <v>SU002941</v>
          </cell>
          <cell r="AL66" t="e">
            <v>#N/A</v>
          </cell>
        </row>
        <row r="67">
          <cell r="AK67" t="str">
            <v>SU002943</v>
          </cell>
          <cell r="AL67" t="e">
            <v>#N/A</v>
          </cell>
        </row>
        <row r="68">
          <cell r="AK68" t="str">
            <v>SU002945</v>
          </cell>
          <cell r="AL68" t="e">
            <v>#N/A</v>
          </cell>
        </row>
        <row r="69">
          <cell r="AK69" t="str">
            <v>SU002947</v>
          </cell>
          <cell r="AL69" t="e">
            <v>#N/A</v>
          </cell>
        </row>
        <row r="70">
          <cell r="AK70" t="str">
            <v>SU002918</v>
          </cell>
        </row>
        <row r="71">
          <cell r="AK71" t="str">
            <v>SU002835</v>
          </cell>
          <cell r="AL71" t="e">
            <v>#N/A</v>
          </cell>
        </row>
        <row r="72">
          <cell r="AK72" t="str">
            <v>SU002632</v>
          </cell>
          <cell r="AL72" t="e">
            <v>#N/A</v>
          </cell>
        </row>
        <row r="73">
          <cell r="AK73" t="str">
            <v>SU002631</v>
          </cell>
          <cell r="AL73" t="e">
            <v>#N/A</v>
          </cell>
        </row>
        <row r="74">
          <cell r="AK74" t="str">
            <v>SU002983</v>
          </cell>
          <cell r="AL74" t="e">
            <v>#N/A</v>
          </cell>
        </row>
        <row r="75">
          <cell r="AK75" t="str">
            <v>SU002984</v>
          </cell>
          <cell r="AL75" t="e">
            <v>#N/A</v>
          </cell>
        </row>
        <row r="76">
          <cell r="AK76" t="str">
            <v>SU002985</v>
          </cell>
          <cell r="AL76" t="e">
            <v>#N/A</v>
          </cell>
        </row>
        <row r="77">
          <cell r="AK77" t="str">
            <v>SU002986</v>
          </cell>
        </row>
        <row r="78">
          <cell r="AK78" t="str">
            <v>SU002643</v>
          </cell>
          <cell r="AL78" t="e">
            <v>#N/A</v>
          </cell>
        </row>
        <row r="79">
          <cell r="AK79" t="str">
            <v>SU002367</v>
          </cell>
          <cell r="AL79" t="e">
            <v>#N/A</v>
          </cell>
        </row>
        <row r="80">
          <cell r="AK80" t="str">
            <v>SU002735</v>
          </cell>
          <cell r="AL80" t="e">
            <v>#N/A</v>
          </cell>
        </row>
        <row r="81">
          <cell r="AK81" t="str">
            <v>SU003168</v>
          </cell>
          <cell r="AL81" t="e">
            <v>#N/A</v>
          </cell>
        </row>
        <row r="82">
          <cell r="AK82" t="str">
            <v>SU003167</v>
          </cell>
          <cell r="AL82" t="e">
            <v>#N/A</v>
          </cell>
        </row>
        <row r="83">
          <cell r="AK83" t="str">
            <v>SU003272</v>
          </cell>
        </row>
        <row r="84">
          <cell r="AK84" t="str">
            <v>SU003275</v>
          </cell>
        </row>
        <row r="85">
          <cell r="AK85" t="str">
            <v>SU003273</v>
          </cell>
        </row>
        <row r="86">
          <cell r="AK86" t="str">
            <v>SU002634</v>
          </cell>
          <cell r="AL86" t="str">
            <v>3 т</v>
          </cell>
          <cell r="AM86" t="str">
            <v>3 т</v>
          </cell>
        </row>
        <row r="87">
          <cell r="AK87" t="str">
            <v>SU002825</v>
          </cell>
        </row>
        <row r="88">
          <cell r="AK88" t="str">
            <v>SU003423</v>
          </cell>
          <cell r="AL88" t="str">
            <v>Не ограничено</v>
          </cell>
          <cell r="AM88" t="str">
            <v>Не ограничено</v>
          </cell>
        </row>
        <row r="89">
          <cell r="AK89" t="str">
            <v>SU003420</v>
          </cell>
          <cell r="AL89" t="e">
            <v>#N/A</v>
          </cell>
        </row>
        <row r="90">
          <cell r="AK90" t="str">
            <v>SU003422</v>
          </cell>
          <cell r="AL90" t="str">
            <v>Не ограничено</v>
          </cell>
          <cell r="AM90" t="str">
            <v>Не ограничено</v>
          </cell>
        </row>
        <row r="91">
          <cell r="AK91" t="str">
            <v>SU003392</v>
          </cell>
        </row>
        <row r="92">
          <cell r="AK92" t="str">
            <v>SU002948</v>
          </cell>
          <cell r="AL92" t="e">
            <v>#N/A</v>
          </cell>
        </row>
        <row r="93">
          <cell r="AK93" t="str">
            <v>SU003665</v>
          </cell>
        </row>
        <row r="94">
          <cell r="AK94" t="str">
            <v>SU003893</v>
          </cell>
          <cell r="AL94" t="e">
            <v>#N/A</v>
          </cell>
        </row>
        <row r="95">
          <cell r="AK95" t="str">
            <v>SU003894</v>
          </cell>
          <cell r="AL95" t="e">
            <v>#N/A</v>
          </cell>
        </row>
        <row r="96">
          <cell r="AK96" t="str">
            <v>SU003896</v>
          </cell>
          <cell r="AL96" t="e">
            <v>#N/A</v>
          </cell>
        </row>
        <row r="97">
          <cell r="AK97" t="str">
            <v>SU003925</v>
          </cell>
        </row>
        <row r="98">
          <cell r="AK98" t="str">
            <v>SU004016</v>
          </cell>
        </row>
        <row r="99">
          <cell r="AK99" t="str">
            <v>SU004157</v>
          </cell>
          <cell r="AL99" t="e">
            <v>#N/A</v>
          </cell>
        </row>
        <row r="100">
          <cell r="AK100" t="str">
            <v>SU003745</v>
          </cell>
          <cell r="AL100" t="e">
            <v>#N/A</v>
          </cell>
        </row>
        <row r="101">
          <cell r="AK101" t="str">
            <v>SU002356</v>
          </cell>
        </row>
        <row r="102">
          <cell r="AK102" t="str">
            <v>SU004026</v>
          </cell>
          <cell r="AL102" t="e">
            <v>#N/A</v>
          </cell>
        </row>
        <row r="103">
          <cell r="AK103" t="str">
            <v>SU003178</v>
          </cell>
          <cell r="AL103" t="e">
            <v>#N/A</v>
          </cell>
        </row>
        <row r="104">
          <cell r="AK104" t="str">
            <v>SU002354</v>
          </cell>
          <cell r="AL104" t="e">
            <v>#N/A</v>
          </cell>
        </row>
        <row r="105">
          <cell r="AK105" t="str">
            <v>SU004044</v>
          </cell>
          <cell r="AL105" t="e">
            <v>#N/A</v>
          </cell>
        </row>
        <row r="106">
          <cell r="AK106" t="str">
            <v>SU004047</v>
          </cell>
          <cell r="AL106" t="e">
            <v>#N/A</v>
          </cell>
        </row>
        <row r="107">
          <cell r="AK107" t="str">
            <v>SU004041</v>
          </cell>
          <cell r="AL107" t="e">
            <v>#N/A</v>
          </cell>
        </row>
        <row r="108">
          <cell r="AK108" t="str">
            <v>SU004053</v>
          </cell>
        </row>
        <row r="109">
          <cell r="AK109" t="str">
            <v>SU004007</v>
          </cell>
        </row>
        <row r="110">
          <cell r="AK110" t="str">
            <v>SU004039</v>
          </cell>
          <cell r="AL110" t="e">
            <v>#N/A</v>
          </cell>
        </row>
        <row r="111">
          <cell r="AK111" t="str">
            <v>SU004045</v>
          </cell>
          <cell r="AL111" t="e">
            <v>#N/A</v>
          </cell>
        </row>
        <row r="112">
          <cell r="AK112" t="str">
            <v>SU004042</v>
          </cell>
          <cell r="AL112" t="e">
            <v>#N/A</v>
          </cell>
        </row>
        <row r="113">
          <cell r="AK113" t="str">
            <v>SU003751</v>
          </cell>
          <cell r="AL113" t="e">
            <v>#N/A</v>
          </cell>
        </row>
        <row r="114">
          <cell r="AK114" t="str">
            <v>SU004131</v>
          </cell>
          <cell r="AL114" t="e">
            <v>#N/A</v>
          </cell>
        </row>
        <row r="115">
          <cell r="AK115" t="str">
            <v>SU003686</v>
          </cell>
          <cell r="AL115" t="e">
            <v>#N/A</v>
          </cell>
        </row>
        <row r="116">
          <cell r="AK116" t="str">
            <v>SU003753</v>
          </cell>
          <cell r="AL116" t="e">
            <v>#N/A</v>
          </cell>
        </row>
        <row r="117">
          <cell r="AK117" t="str">
            <v>SU003988</v>
          </cell>
          <cell r="AL117" t="e">
            <v>#N/A</v>
          </cell>
        </row>
        <row r="118">
          <cell r="AK118" t="str">
            <v>SU004103</v>
          </cell>
          <cell r="AL118" t="e">
            <v>#N/A</v>
          </cell>
        </row>
        <row r="119">
          <cell r="AK119" t="str">
            <v>SU004104</v>
          </cell>
          <cell r="AL119" t="e">
            <v>#N/A</v>
          </cell>
        </row>
        <row r="120">
          <cell r="AK120" t="str">
            <v>SU004106</v>
          </cell>
          <cell r="AL120" t="e">
            <v>#N/A</v>
          </cell>
        </row>
        <row r="121">
          <cell r="AK121" t="str">
            <v>SU004238</v>
          </cell>
          <cell r="AL121" t="e">
            <v>#N/A</v>
          </cell>
        </row>
        <row r="122">
          <cell r="AK122" t="str">
            <v>SU004146</v>
          </cell>
          <cell r="AL122" t="e">
            <v>#N/A</v>
          </cell>
        </row>
        <row r="123">
          <cell r="AK123" t="str">
            <v>SU004144</v>
          </cell>
          <cell r="AL123" t="e">
            <v>#N/A</v>
          </cell>
        </row>
        <row r="124">
          <cell r="AK124" t="str">
            <v>SU004145</v>
          </cell>
          <cell r="AL124" t="e">
            <v>#N/A</v>
          </cell>
        </row>
        <row r="125">
          <cell r="AK125" t="str">
            <v>SU002944</v>
          </cell>
          <cell r="AL125" t="e">
            <v>#N/A</v>
          </cell>
        </row>
        <row r="126">
          <cell r="AK126" t="str">
            <v>SU002942</v>
          </cell>
          <cell r="AL126" t="e">
            <v>#N/A</v>
          </cell>
        </row>
        <row r="127">
          <cell r="AK127" t="str">
            <v>SU003642</v>
          </cell>
          <cell r="AL127" t="e">
            <v>#N/A</v>
          </cell>
        </row>
        <row r="128">
          <cell r="AK128" t="str">
            <v>SU003829</v>
          </cell>
          <cell r="AL128" t="e">
            <v>#N/A</v>
          </cell>
        </row>
        <row r="129">
          <cell r="AK129" t="str">
            <v>SU003921</v>
          </cell>
          <cell r="AL129" t="e">
            <v>#N/A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J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V146" sqref="V146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5" customWidth="1"/>
    <col min="8" max="8" width="5" customWidth="1"/>
    <col min="9" max="9" width="12" customWidth="1"/>
    <col min="10" max="10" width="1" customWidth="1"/>
    <col min="11" max="12" width="7" customWidth="1"/>
    <col min="13" max="14" width="0.42578125" customWidth="1"/>
    <col min="15" max="15" width="7" customWidth="1"/>
    <col min="16" max="16" width="7" style="20" customWidth="1"/>
    <col min="17" max="19" width="7" customWidth="1"/>
    <col min="20" max="21" width="5" customWidth="1"/>
    <col min="22" max="31" width="6.7109375" customWidth="1"/>
    <col min="32" max="32" width="34.85546875" customWidth="1"/>
    <col min="33" max="33" width="7" customWidth="1"/>
  </cols>
  <sheetData>
    <row r="1" spans="1:36" x14ac:dyDescent="0.25">
      <c r="A1" s="9"/>
      <c r="B1" s="9"/>
      <c r="C1" s="9"/>
      <c r="D1" s="9"/>
      <c r="E1" s="9"/>
      <c r="F1" s="9"/>
      <c r="G1" s="6"/>
      <c r="H1" s="9"/>
      <c r="I1" s="9"/>
      <c r="J1" s="9"/>
      <c r="K1" s="9"/>
      <c r="L1" s="9"/>
      <c r="M1" s="9"/>
      <c r="N1" s="9"/>
      <c r="O1" s="9"/>
      <c r="P1" s="18">
        <v>2850</v>
      </c>
      <c r="Q1" s="9"/>
      <c r="R1" s="9"/>
      <c r="S1" s="17">
        <v>-0.38500000000000001</v>
      </c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>
        <f>AG2-AG5</f>
        <v>-2</v>
      </c>
    </row>
    <row r="2" spans="1:36" x14ac:dyDescent="0.25">
      <c r="A2" s="9"/>
      <c r="B2" s="9"/>
      <c r="C2" s="9"/>
      <c r="D2" s="9"/>
      <c r="E2" s="9"/>
      <c r="F2" s="9"/>
      <c r="G2" s="6"/>
      <c r="H2" s="9"/>
      <c r="I2" s="9"/>
      <c r="J2" s="9"/>
      <c r="K2" s="9"/>
      <c r="L2" s="9"/>
      <c r="M2" s="9"/>
      <c r="N2" s="9"/>
      <c r="O2" s="9"/>
      <c r="P2" s="18">
        <f>P1-P5</f>
        <v>0</v>
      </c>
      <c r="Q2" s="9"/>
      <c r="R2" s="9"/>
      <c r="S2" s="9" t="s">
        <v>0</v>
      </c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>
        <v>17600</v>
      </c>
    </row>
    <row r="3" spans="1:36" x14ac:dyDescent="0.2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7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  <c r="M3" s="1" t="s">
        <v>13</v>
      </c>
      <c r="N3" s="1" t="s">
        <v>14</v>
      </c>
      <c r="O3" s="1" t="s">
        <v>15</v>
      </c>
      <c r="P3" s="1" t="s">
        <v>15</v>
      </c>
      <c r="Q3" s="1" t="s">
        <v>16</v>
      </c>
      <c r="R3" s="2" t="s">
        <v>17</v>
      </c>
      <c r="S3" s="2" t="s">
        <v>18</v>
      </c>
      <c r="T3" s="1" t="s">
        <v>19</v>
      </c>
      <c r="U3" s="1" t="s">
        <v>20</v>
      </c>
      <c r="V3" s="1" t="s">
        <v>21</v>
      </c>
      <c r="W3" s="1" t="s">
        <v>21</v>
      </c>
      <c r="X3" s="1" t="s">
        <v>21</v>
      </c>
      <c r="Y3" s="1" t="s">
        <v>21</v>
      </c>
      <c r="Z3" s="1" t="s">
        <v>21</v>
      </c>
      <c r="AA3" s="1" t="s">
        <v>21</v>
      </c>
      <c r="AB3" s="1" t="s">
        <v>21</v>
      </c>
      <c r="AC3" s="1" t="s">
        <v>21</v>
      </c>
      <c r="AD3" s="1" t="s">
        <v>21</v>
      </c>
      <c r="AE3" s="1" t="s">
        <v>21</v>
      </c>
      <c r="AF3" s="1" t="s">
        <v>22</v>
      </c>
      <c r="AG3" s="1" t="s">
        <v>23</v>
      </c>
    </row>
    <row r="4" spans="1:36" x14ac:dyDescent="0.25">
      <c r="A4" s="9"/>
      <c r="B4" s="9"/>
      <c r="C4" s="9"/>
      <c r="D4" s="9"/>
      <c r="E4" s="9"/>
      <c r="F4" s="9"/>
      <c r="G4" s="6"/>
      <c r="H4" s="9"/>
      <c r="I4" s="9"/>
      <c r="J4" s="9"/>
      <c r="K4" s="9"/>
      <c r="L4" s="9"/>
      <c r="M4" s="9"/>
      <c r="N4" s="9"/>
      <c r="O4" s="9" t="s">
        <v>24</v>
      </c>
      <c r="P4" s="18" t="s">
        <v>313</v>
      </c>
      <c r="Q4" s="9" t="s">
        <v>25</v>
      </c>
      <c r="R4" s="9"/>
      <c r="S4" s="9" t="s">
        <v>26</v>
      </c>
      <c r="T4" s="9"/>
      <c r="U4" s="9"/>
      <c r="V4" s="9" t="s">
        <v>27</v>
      </c>
      <c r="W4" s="9" t="s">
        <v>28</v>
      </c>
      <c r="X4" s="9" t="s">
        <v>29</v>
      </c>
      <c r="Y4" s="9" t="s">
        <v>30</v>
      </c>
      <c r="Z4" s="9" t="s">
        <v>31</v>
      </c>
      <c r="AA4" s="9" t="s">
        <v>32</v>
      </c>
      <c r="AB4" s="9" t="s">
        <v>33</v>
      </c>
      <c r="AC4" s="9" t="s">
        <v>34</v>
      </c>
      <c r="AD4" s="9" t="s">
        <v>35</v>
      </c>
      <c r="AE4" s="9" t="s">
        <v>36</v>
      </c>
      <c r="AF4" s="9"/>
      <c r="AG4" s="9"/>
    </row>
    <row r="5" spans="1:36" x14ac:dyDescent="0.25">
      <c r="A5" s="9"/>
      <c r="B5" s="9"/>
      <c r="C5" s="9"/>
      <c r="D5" s="9"/>
      <c r="E5" s="3">
        <f>SUM(E6:E500)</f>
        <v>50222.6</v>
      </c>
      <c r="F5" s="3">
        <f>SUM(F6:F500)</f>
        <v>76729.617999999959</v>
      </c>
      <c r="G5" s="6"/>
      <c r="H5" s="9"/>
      <c r="I5" s="9"/>
      <c r="J5" s="9"/>
      <c r="K5" s="3">
        <f t="shared" ref="K5:S5" si="0">SUM(K6:K500)</f>
        <v>54312.307999999997</v>
      </c>
      <c r="L5" s="3">
        <f t="shared" si="0"/>
        <v>-4089.7079999999992</v>
      </c>
      <c r="M5" s="3">
        <f t="shared" si="0"/>
        <v>0</v>
      </c>
      <c r="N5" s="3">
        <f t="shared" si="0"/>
        <v>0</v>
      </c>
      <c r="O5" s="3">
        <f t="shared" si="0"/>
        <v>13882.862948</v>
      </c>
      <c r="P5" s="19">
        <f t="shared" ref="P5" si="1">SUM(P6:P500)</f>
        <v>2850</v>
      </c>
      <c r="Q5" s="3">
        <f t="shared" si="0"/>
        <v>10044.52</v>
      </c>
      <c r="R5" s="3">
        <f t="shared" si="0"/>
        <v>26882.633414</v>
      </c>
      <c r="S5" s="3">
        <f t="shared" si="0"/>
        <v>24908.216354000004</v>
      </c>
      <c r="T5" s="9"/>
      <c r="U5" s="9"/>
      <c r="V5" s="3">
        <f t="shared" ref="V5:AE5" si="2">SUM(V6:V500)</f>
        <v>9949.1036000000058</v>
      </c>
      <c r="W5" s="3">
        <f t="shared" si="2"/>
        <v>10811.337600000001</v>
      </c>
      <c r="X5" s="3">
        <f t="shared" si="2"/>
        <v>10814.749599999994</v>
      </c>
      <c r="Y5" s="3">
        <f t="shared" si="2"/>
        <v>9814.5397999999986</v>
      </c>
      <c r="Z5" s="3">
        <f t="shared" si="2"/>
        <v>10673.229199999996</v>
      </c>
      <c r="AA5" s="3">
        <f t="shared" si="2"/>
        <v>11337.38639999999</v>
      </c>
      <c r="AB5" s="3">
        <f t="shared" si="2"/>
        <v>10928.520799999995</v>
      </c>
      <c r="AC5" s="3">
        <f t="shared" si="2"/>
        <v>11001.886399999999</v>
      </c>
      <c r="AD5" s="3">
        <f t="shared" si="2"/>
        <v>11305.235399999998</v>
      </c>
      <c r="AE5" s="3">
        <f t="shared" si="2"/>
        <v>10846.147799999995</v>
      </c>
      <c r="AF5" s="9"/>
      <c r="AG5" s="3">
        <f>SUM(AG6:AG500)</f>
        <v>17602</v>
      </c>
    </row>
    <row r="6" spans="1:36" x14ac:dyDescent="0.25">
      <c r="A6" s="9" t="s">
        <v>37</v>
      </c>
      <c r="B6" s="9" t="s">
        <v>38</v>
      </c>
      <c r="C6" s="9">
        <v>3952.413</v>
      </c>
      <c r="D6" s="9">
        <v>3963.9650000000001</v>
      </c>
      <c r="E6" s="9">
        <v>2362.2049999999999</v>
      </c>
      <c r="F6" s="9">
        <v>5382.2089999999998</v>
      </c>
      <c r="G6" s="6">
        <v>1</v>
      </c>
      <c r="H6" s="9">
        <v>50</v>
      </c>
      <c r="I6" s="9" t="s">
        <v>39</v>
      </c>
      <c r="J6" s="9"/>
      <c r="K6" s="9">
        <v>2318.4499999999998</v>
      </c>
      <c r="L6" s="9">
        <f t="shared" ref="L6:L37" si="3">E6-K6</f>
        <v>43.755000000000109</v>
      </c>
      <c r="M6" s="9"/>
      <c r="N6" s="9"/>
      <c r="O6" s="9">
        <v>0</v>
      </c>
      <c r="P6" s="18">
        <v>1000</v>
      </c>
      <c r="Q6" s="9">
        <f t="shared" ref="Q6:Q37" si="4">E6/5</f>
        <v>472.44099999999997</v>
      </c>
      <c r="R6" s="4">
        <f>12*Q6-O6-F6</f>
        <v>287.08299999999963</v>
      </c>
      <c r="S6" s="4">
        <f>R6+$S$1*Q6</f>
        <v>105.19321499999964</v>
      </c>
      <c r="T6" s="9">
        <f t="shared" ref="T6:T37" si="5">(F6+O6+R6)/Q6</f>
        <v>12</v>
      </c>
      <c r="U6" s="9">
        <f t="shared" ref="U6:U37" si="6">(F6+O6)/Q6</f>
        <v>11.392341054226877</v>
      </c>
      <c r="V6" s="9">
        <v>450.1</v>
      </c>
      <c r="W6" s="9">
        <v>477.90280000000001</v>
      </c>
      <c r="X6" s="9">
        <v>497.21940000000012</v>
      </c>
      <c r="Y6" s="9">
        <v>462.68740000000003</v>
      </c>
      <c r="Z6" s="9">
        <v>504.16359999999997</v>
      </c>
      <c r="AA6" s="9">
        <v>475.59160000000003</v>
      </c>
      <c r="AB6" s="9">
        <v>485.4896</v>
      </c>
      <c r="AC6" s="9">
        <v>548.13580000000002</v>
      </c>
      <c r="AD6" s="9">
        <v>531.78219999999999</v>
      </c>
      <c r="AE6" s="9">
        <v>520.48940000000005</v>
      </c>
      <c r="AF6" s="9"/>
      <c r="AG6" s="9">
        <f t="shared" ref="AG6:AG37" si="7">ROUND(G6*S6,0)</f>
        <v>105</v>
      </c>
      <c r="AH6" t="s">
        <v>40</v>
      </c>
      <c r="AI6" t="str">
        <f>VLOOKUP(AH6,[1]Sheet!$AK:$AM,3,0)</f>
        <v>Не ограничено</v>
      </c>
      <c r="AJ6" s="21">
        <f>P6</f>
        <v>1000</v>
      </c>
    </row>
    <row r="7" spans="1:36" x14ac:dyDescent="0.25">
      <c r="A7" s="9" t="s">
        <v>41</v>
      </c>
      <c r="B7" s="9" t="s">
        <v>38</v>
      </c>
      <c r="C7" s="9">
        <v>2278.634</v>
      </c>
      <c r="D7" s="9">
        <v>1225.049</v>
      </c>
      <c r="E7" s="9">
        <v>1500.5329999999999</v>
      </c>
      <c r="F7" s="9">
        <v>1896.2329999999999</v>
      </c>
      <c r="G7" s="6">
        <v>1</v>
      </c>
      <c r="H7" s="9">
        <v>45</v>
      </c>
      <c r="I7" s="9" t="s">
        <v>39</v>
      </c>
      <c r="J7" s="9"/>
      <c r="K7" s="9">
        <v>1442.3</v>
      </c>
      <c r="L7" s="9">
        <f t="shared" si="3"/>
        <v>58.232999999999947</v>
      </c>
      <c r="M7" s="9"/>
      <c r="N7" s="9"/>
      <c r="O7" s="9">
        <v>61.654140000000211</v>
      </c>
      <c r="P7" s="18">
        <v>300</v>
      </c>
      <c r="Q7" s="9">
        <f t="shared" si="4"/>
        <v>300.10659999999996</v>
      </c>
      <c r="R7" s="4">
        <f>12*Q7-O7-F7</f>
        <v>1643.3920599999994</v>
      </c>
      <c r="S7" s="4">
        <f>R7+$S$1*Q7</f>
        <v>1527.8510189999995</v>
      </c>
      <c r="T7" s="9">
        <f t="shared" si="5"/>
        <v>12.000000000000002</v>
      </c>
      <c r="U7" s="9">
        <f t="shared" si="6"/>
        <v>6.5239722818491845</v>
      </c>
      <c r="V7" s="9">
        <v>262.36520000000002</v>
      </c>
      <c r="W7" s="9">
        <v>266.33199999999999</v>
      </c>
      <c r="X7" s="9">
        <v>285.43920000000003</v>
      </c>
      <c r="Y7" s="9">
        <v>272.41820000000001</v>
      </c>
      <c r="Z7" s="9">
        <v>253.45859999999999</v>
      </c>
      <c r="AA7" s="9">
        <v>242.8768</v>
      </c>
      <c r="AB7" s="9">
        <v>235.5034</v>
      </c>
      <c r="AC7" s="9">
        <v>220.28479999999999</v>
      </c>
      <c r="AD7" s="9">
        <v>230.947</v>
      </c>
      <c r="AE7" s="9">
        <v>231.88659999999999</v>
      </c>
      <c r="AF7" s="9"/>
      <c r="AG7" s="9">
        <f t="shared" si="7"/>
        <v>1528</v>
      </c>
      <c r="AH7" t="s">
        <v>42</v>
      </c>
      <c r="AI7" t="str">
        <f>VLOOKUP(AH7,[1]Sheet!$AK:$AM,3,0)</f>
        <v>2 т</v>
      </c>
      <c r="AJ7" s="21">
        <f t="shared" ref="AJ7:AJ8" si="8">P7</f>
        <v>300</v>
      </c>
    </row>
    <row r="8" spans="1:36" x14ac:dyDescent="0.25">
      <c r="A8" s="9" t="s">
        <v>43</v>
      </c>
      <c r="B8" s="9" t="s">
        <v>38</v>
      </c>
      <c r="C8" s="9">
        <v>2154.9389999999999</v>
      </c>
      <c r="D8" s="9">
        <v>1179.6079999999999</v>
      </c>
      <c r="E8" s="9">
        <v>1236.2260000000001</v>
      </c>
      <c r="F8" s="9">
        <v>2010.606</v>
      </c>
      <c r="G8" s="6">
        <v>1</v>
      </c>
      <c r="H8" s="9">
        <v>45</v>
      </c>
      <c r="I8" s="9" t="s">
        <v>39</v>
      </c>
      <c r="J8" s="9"/>
      <c r="K8" s="9">
        <v>1247.5999999999999</v>
      </c>
      <c r="L8" s="9">
        <f t="shared" si="3"/>
        <v>-11.373999999999796</v>
      </c>
      <c r="M8" s="9"/>
      <c r="N8" s="9"/>
      <c r="O8" s="9">
        <v>0</v>
      </c>
      <c r="P8" s="18">
        <v>250</v>
      </c>
      <c r="Q8" s="9">
        <f t="shared" si="4"/>
        <v>247.24520000000001</v>
      </c>
      <c r="R8" s="4">
        <f>12*Q8-O8-F8</f>
        <v>956.33639999999991</v>
      </c>
      <c r="S8" s="4">
        <f>R8+$S$1*Q8</f>
        <v>861.14699799999994</v>
      </c>
      <c r="T8" s="9">
        <f t="shared" si="5"/>
        <v>11.999999999999998</v>
      </c>
      <c r="U8" s="9">
        <f t="shared" si="6"/>
        <v>8.1320324924407021</v>
      </c>
      <c r="V8" s="9">
        <v>223.76159999999999</v>
      </c>
      <c r="W8" s="9">
        <v>249.89080000000001</v>
      </c>
      <c r="X8" s="9">
        <v>251.58420000000001</v>
      </c>
      <c r="Y8" s="9">
        <v>216.3372</v>
      </c>
      <c r="Z8" s="9">
        <v>214.10339999999999</v>
      </c>
      <c r="AA8" s="9">
        <v>227.751</v>
      </c>
      <c r="AB8" s="9">
        <v>235.30099999999999</v>
      </c>
      <c r="AC8" s="9">
        <v>231.13040000000001</v>
      </c>
      <c r="AD8" s="9">
        <v>232.49080000000001</v>
      </c>
      <c r="AE8" s="9">
        <v>229.34979999999999</v>
      </c>
      <c r="AF8" s="9"/>
      <c r="AG8" s="9">
        <f t="shared" si="7"/>
        <v>861</v>
      </c>
      <c r="AH8" t="s">
        <v>44</v>
      </c>
      <c r="AI8" t="str">
        <f>VLOOKUP(AH8,[1]Sheet!$AK:$AM,3,0)</f>
        <v>2 т</v>
      </c>
      <c r="AJ8" s="21">
        <f t="shared" si="8"/>
        <v>250</v>
      </c>
    </row>
    <row r="9" spans="1:36" hidden="1" x14ac:dyDescent="0.25">
      <c r="A9" s="10" t="s">
        <v>45</v>
      </c>
      <c r="B9" s="10" t="s">
        <v>46</v>
      </c>
      <c r="C9" s="10"/>
      <c r="D9" s="10"/>
      <c r="E9" s="10"/>
      <c r="F9" s="10"/>
      <c r="G9" s="11">
        <v>0</v>
      </c>
      <c r="H9" s="10"/>
      <c r="I9" s="10" t="s">
        <v>39</v>
      </c>
      <c r="J9" s="10"/>
      <c r="K9" s="10"/>
      <c r="L9" s="10">
        <f t="shared" si="3"/>
        <v>0</v>
      </c>
      <c r="M9" s="10"/>
      <c r="N9" s="10"/>
      <c r="O9" s="10">
        <v>0</v>
      </c>
      <c r="P9" s="10"/>
      <c r="Q9" s="10">
        <f t="shared" si="4"/>
        <v>0</v>
      </c>
      <c r="R9" s="12"/>
      <c r="S9" s="4">
        <f>R9</f>
        <v>0</v>
      </c>
      <c r="T9" s="10" t="e">
        <f t="shared" si="5"/>
        <v>#DIV/0!</v>
      </c>
      <c r="U9" s="10" t="e">
        <f t="shared" si="6"/>
        <v>#DIV/0!</v>
      </c>
      <c r="V9" s="10">
        <v>0</v>
      </c>
      <c r="W9" s="10">
        <v>0</v>
      </c>
      <c r="X9" s="10">
        <v>0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 t="s">
        <v>47</v>
      </c>
      <c r="AG9" s="9">
        <f t="shared" si="7"/>
        <v>0</v>
      </c>
      <c r="AH9" t="s">
        <v>48</v>
      </c>
      <c r="AI9">
        <f>VLOOKUP(AH9,[1]Sheet!$AK:$AM,3,0)</f>
        <v>0</v>
      </c>
    </row>
    <row r="10" spans="1:36" hidden="1" x14ac:dyDescent="0.25">
      <c r="A10" s="9" t="s">
        <v>49</v>
      </c>
      <c r="B10" s="9" t="s">
        <v>46</v>
      </c>
      <c r="C10" s="9">
        <v>819</v>
      </c>
      <c r="D10" s="9">
        <v>823</v>
      </c>
      <c r="E10" s="9">
        <v>713</v>
      </c>
      <c r="F10" s="9">
        <v>881</v>
      </c>
      <c r="G10" s="6">
        <v>0.45</v>
      </c>
      <c r="H10" s="9">
        <v>45</v>
      </c>
      <c r="I10" s="9" t="s">
        <v>39</v>
      </c>
      <c r="J10" s="9"/>
      <c r="K10" s="9">
        <v>746</v>
      </c>
      <c r="L10" s="9">
        <f t="shared" si="3"/>
        <v>-33</v>
      </c>
      <c r="M10" s="9"/>
      <c r="N10" s="9"/>
      <c r="O10" s="9">
        <v>188.11</v>
      </c>
      <c r="P10" s="9"/>
      <c r="Q10" s="9">
        <f t="shared" si="4"/>
        <v>142.6</v>
      </c>
      <c r="R10" s="4">
        <f>12*Q10-O10-F10</f>
        <v>642.08999999999969</v>
      </c>
      <c r="S10" s="4">
        <f>R10+$S$1*Q10</f>
        <v>587.18899999999974</v>
      </c>
      <c r="T10" s="9">
        <f t="shared" si="5"/>
        <v>12</v>
      </c>
      <c r="U10" s="9">
        <f t="shared" si="6"/>
        <v>7.4972650771388514</v>
      </c>
      <c r="V10" s="9">
        <v>135.4</v>
      </c>
      <c r="W10" s="9">
        <v>120.4</v>
      </c>
      <c r="X10" s="9">
        <v>117.2</v>
      </c>
      <c r="Y10" s="9">
        <v>118.2</v>
      </c>
      <c r="Z10" s="9">
        <v>139</v>
      </c>
      <c r="AA10" s="9">
        <v>136.80000000000001</v>
      </c>
      <c r="AB10" s="9">
        <v>124.8</v>
      </c>
      <c r="AC10" s="9">
        <v>110.6</v>
      </c>
      <c r="AD10" s="9">
        <v>109</v>
      </c>
      <c r="AE10" s="9">
        <v>123.6</v>
      </c>
      <c r="AF10" s="9"/>
      <c r="AG10" s="9">
        <f t="shared" si="7"/>
        <v>264</v>
      </c>
      <c r="AH10" t="s">
        <v>50</v>
      </c>
      <c r="AI10">
        <f>VLOOKUP(AH10,[1]Sheet!$AK:$AM,3,0)</f>
        <v>0</v>
      </c>
    </row>
    <row r="11" spans="1:36" hidden="1" x14ac:dyDescent="0.25">
      <c r="A11" s="9" t="s">
        <v>51</v>
      </c>
      <c r="B11" s="9" t="s">
        <v>46</v>
      </c>
      <c r="C11" s="9">
        <v>1667.76</v>
      </c>
      <c r="D11" s="9">
        <v>1383</v>
      </c>
      <c r="E11" s="9">
        <v>1176</v>
      </c>
      <c r="F11" s="9">
        <v>1768.76</v>
      </c>
      <c r="G11" s="6">
        <v>0.45</v>
      </c>
      <c r="H11" s="9">
        <v>45</v>
      </c>
      <c r="I11" s="9" t="s">
        <v>39</v>
      </c>
      <c r="J11" s="9"/>
      <c r="K11" s="9">
        <v>1260</v>
      </c>
      <c r="L11" s="9">
        <f t="shared" si="3"/>
        <v>-84</v>
      </c>
      <c r="M11" s="9"/>
      <c r="N11" s="9"/>
      <c r="O11" s="9">
        <v>156.86560000000031</v>
      </c>
      <c r="P11" s="9"/>
      <c r="Q11" s="9">
        <f t="shared" si="4"/>
        <v>235.2</v>
      </c>
      <c r="R11" s="4">
        <f>12*Q11-O11-F11</f>
        <v>896.77439999999956</v>
      </c>
      <c r="S11" s="4">
        <f>R11+$S$1*Q11</f>
        <v>806.22239999999954</v>
      </c>
      <c r="T11" s="9">
        <f t="shared" si="5"/>
        <v>11.999999999999998</v>
      </c>
      <c r="U11" s="9">
        <f t="shared" si="6"/>
        <v>8.1871836734693897</v>
      </c>
      <c r="V11" s="9">
        <v>216.8</v>
      </c>
      <c r="W11" s="9">
        <v>224.44800000000001</v>
      </c>
      <c r="X11" s="9">
        <v>225.648</v>
      </c>
      <c r="Y11" s="9">
        <v>230.6</v>
      </c>
      <c r="Z11" s="9">
        <v>273.39999999999998</v>
      </c>
      <c r="AA11" s="9">
        <v>246.4</v>
      </c>
      <c r="AB11" s="9">
        <v>230.2</v>
      </c>
      <c r="AC11" s="9">
        <v>217</v>
      </c>
      <c r="AD11" s="9">
        <v>207.6</v>
      </c>
      <c r="AE11" s="9">
        <v>228.4</v>
      </c>
      <c r="AF11" s="9"/>
      <c r="AG11" s="9">
        <f t="shared" si="7"/>
        <v>363</v>
      </c>
      <c r="AH11" t="s">
        <v>52</v>
      </c>
      <c r="AI11">
        <f>VLOOKUP(AH11,[1]Sheet!$AK:$AM,3,0)</f>
        <v>0</v>
      </c>
    </row>
    <row r="12" spans="1:36" hidden="1" x14ac:dyDescent="0.25">
      <c r="A12" s="9" t="s">
        <v>53</v>
      </c>
      <c r="B12" s="9" t="s">
        <v>46</v>
      </c>
      <c r="C12" s="9">
        <v>123</v>
      </c>
      <c r="D12" s="9">
        <v>105</v>
      </c>
      <c r="E12" s="9">
        <v>78</v>
      </c>
      <c r="F12" s="9">
        <v>132</v>
      </c>
      <c r="G12" s="6">
        <v>0.17</v>
      </c>
      <c r="H12" s="9">
        <v>180</v>
      </c>
      <c r="I12" s="9" t="s">
        <v>39</v>
      </c>
      <c r="J12" s="9"/>
      <c r="K12" s="9">
        <v>85</v>
      </c>
      <c r="L12" s="9">
        <f t="shared" si="3"/>
        <v>-7</v>
      </c>
      <c r="M12" s="9"/>
      <c r="N12" s="9"/>
      <c r="O12" s="9">
        <v>7.4000000000000057</v>
      </c>
      <c r="P12" s="9"/>
      <c r="Q12" s="9">
        <f t="shared" si="4"/>
        <v>15.6</v>
      </c>
      <c r="R12" s="4">
        <f>12*Q12-O12-F12</f>
        <v>47.799999999999983</v>
      </c>
      <c r="S12" s="4">
        <f>R12</f>
        <v>47.799999999999983</v>
      </c>
      <c r="T12" s="9">
        <f t="shared" si="5"/>
        <v>12</v>
      </c>
      <c r="U12" s="9">
        <f t="shared" si="6"/>
        <v>8.9358974358974361</v>
      </c>
      <c r="V12" s="9">
        <v>15</v>
      </c>
      <c r="W12" s="9">
        <v>18.2</v>
      </c>
      <c r="X12" s="9">
        <v>17.2</v>
      </c>
      <c r="Y12" s="9">
        <v>10.199999999999999</v>
      </c>
      <c r="Z12" s="9">
        <v>14.6</v>
      </c>
      <c r="AA12" s="9">
        <v>20.2</v>
      </c>
      <c r="AB12" s="9">
        <v>15.2</v>
      </c>
      <c r="AC12" s="9">
        <v>11.8</v>
      </c>
      <c r="AD12" s="9">
        <v>12.8</v>
      </c>
      <c r="AE12" s="9">
        <v>7.4</v>
      </c>
      <c r="AF12" s="9"/>
      <c r="AG12" s="9">
        <f t="shared" si="7"/>
        <v>8</v>
      </c>
      <c r="AH12" t="s">
        <v>54</v>
      </c>
      <c r="AI12">
        <f>VLOOKUP(AH12,[1]Sheet!$AK:$AM,3,0)</f>
        <v>0</v>
      </c>
    </row>
    <row r="13" spans="1:36" hidden="1" x14ac:dyDescent="0.25">
      <c r="A13" s="9" t="s">
        <v>55</v>
      </c>
      <c r="B13" s="9" t="s">
        <v>46</v>
      </c>
      <c r="C13" s="9">
        <v>129</v>
      </c>
      <c r="D13" s="9">
        <v>102</v>
      </c>
      <c r="E13" s="9">
        <v>53</v>
      </c>
      <c r="F13" s="9">
        <v>169</v>
      </c>
      <c r="G13" s="6">
        <v>0.3</v>
      </c>
      <c r="H13" s="9">
        <v>40</v>
      </c>
      <c r="I13" s="9" t="s">
        <v>39</v>
      </c>
      <c r="J13" s="9"/>
      <c r="K13" s="9">
        <v>64</v>
      </c>
      <c r="L13" s="9">
        <f t="shared" si="3"/>
        <v>-11</v>
      </c>
      <c r="M13" s="9"/>
      <c r="N13" s="9"/>
      <c r="O13" s="9">
        <v>0</v>
      </c>
      <c r="P13" s="9"/>
      <c r="Q13" s="9">
        <f t="shared" si="4"/>
        <v>10.6</v>
      </c>
      <c r="R13" s="4"/>
      <c r="S13" s="4">
        <f>R13</f>
        <v>0</v>
      </c>
      <c r="T13" s="9">
        <f t="shared" si="5"/>
        <v>15.943396226415095</v>
      </c>
      <c r="U13" s="9">
        <f t="shared" si="6"/>
        <v>15.943396226415095</v>
      </c>
      <c r="V13" s="9">
        <v>10</v>
      </c>
      <c r="W13" s="9">
        <v>19</v>
      </c>
      <c r="X13" s="9">
        <v>21</v>
      </c>
      <c r="Y13" s="9">
        <v>22.2</v>
      </c>
      <c r="Z13" s="9">
        <v>22.8</v>
      </c>
      <c r="AA13" s="9">
        <v>17.600000000000001</v>
      </c>
      <c r="AB13" s="9">
        <v>17.8</v>
      </c>
      <c r="AC13" s="9">
        <v>9.1999999999999993</v>
      </c>
      <c r="AD13" s="9">
        <v>19.399999999999999</v>
      </c>
      <c r="AE13" s="9">
        <v>23</v>
      </c>
      <c r="AF13" s="9"/>
      <c r="AG13" s="9">
        <f t="shared" si="7"/>
        <v>0</v>
      </c>
      <c r="AH13" t="s">
        <v>56</v>
      </c>
      <c r="AI13">
        <f>VLOOKUP(AH13,[1]Sheet!$AK:$AM,3,0)</f>
        <v>0</v>
      </c>
    </row>
    <row r="14" spans="1:36" hidden="1" x14ac:dyDescent="0.25">
      <c r="A14" s="9" t="s">
        <v>57</v>
      </c>
      <c r="B14" s="9" t="s">
        <v>46</v>
      </c>
      <c r="C14" s="9">
        <v>262</v>
      </c>
      <c r="D14" s="9">
        <v>405</v>
      </c>
      <c r="E14" s="9">
        <v>238</v>
      </c>
      <c r="F14" s="9">
        <v>403</v>
      </c>
      <c r="G14" s="6">
        <v>0.17</v>
      </c>
      <c r="H14" s="9">
        <v>180</v>
      </c>
      <c r="I14" s="9" t="s">
        <v>39</v>
      </c>
      <c r="J14" s="9"/>
      <c r="K14" s="9">
        <v>242</v>
      </c>
      <c r="L14" s="9">
        <f t="shared" si="3"/>
        <v>-4</v>
      </c>
      <c r="M14" s="9"/>
      <c r="N14" s="9"/>
      <c r="O14" s="9">
        <v>0</v>
      </c>
      <c r="P14" s="9"/>
      <c r="Q14" s="9">
        <f t="shared" si="4"/>
        <v>47.6</v>
      </c>
      <c r="R14" s="4">
        <f>12*Q14-O14-F14</f>
        <v>168.20000000000005</v>
      </c>
      <c r="S14" s="4">
        <f>R14</f>
        <v>168.20000000000005</v>
      </c>
      <c r="T14" s="9">
        <f t="shared" si="5"/>
        <v>12</v>
      </c>
      <c r="U14" s="9">
        <f t="shared" si="6"/>
        <v>8.4663865546218489</v>
      </c>
      <c r="V14" s="9">
        <v>44.8</v>
      </c>
      <c r="W14" s="9">
        <v>57.2</v>
      </c>
      <c r="X14" s="9">
        <v>52.8</v>
      </c>
      <c r="Y14" s="9">
        <v>33.6</v>
      </c>
      <c r="Z14" s="9">
        <v>38.4</v>
      </c>
      <c r="AA14" s="9">
        <v>56</v>
      </c>
      <c r="AB14" s="9">
        <v>56.2</v>
      </c>
      <c r="AC14" s="9">
        <v>45</v>
      </c>
      <c r="AD14" s="9">
        <v>39.4</v>
      </c>
      <c r="AE14" s="9">
        <v>40.6</v>
      </c>
      <c r="AF14" s="9"/>
      <c r="AG14" s="9">
        <f t="shared" si="7"/>
        <v>29</v>
      </c>
      <c r="AH14" t="s">
        <v>58</v>
      </c>
      <c r="AI14">
        <f>VLOOKUP(AH14,[1]Sheet!$AK:$AM,3,0)</f>
        <v>0</v>
      </c>
    </row>
    <row r="15" spans="1:36" hidden="1" x14ac:dyDescent="0.25">
      <c r="A15" s="10" t="s">
        <v>59</v>
      </c>
      <c r="B15" s="10" t="s">
        <v>46</v>
      </c>
      <c r="C15" s="10">
        <v>-1</v>
      </c>
      <c r="D15" s="10"/>
      <c r="E15" s="10"/>
      <c r="F15" s="10">
        <v>-1</v>
      </c>
      <c r="G15" s="11">
        <v>0</v>
      </c>
      <c r="H15" s="10"/>
      <c r="I15" s="10" t="s">
        <v>60</v>
      </c>
      <c r="J15" s="10"/>
      <c r="K15" s="10"/>
      <c r="L15" s="10">
        <f t="shared" si="3"/>
        <v>0</v>
      </c>
      <c r="M15" s="10"/>
      <c r="N15" s="10"/>
      <c r="O15" s="10">
        <v>0</v>
      </c>
      <c r="P15" s="10"/>
      <c r="Q15" s="10">
        <f t="shared" si="4"/>
        <v>0</v>
      </c>
      <c r="R15" s="12"/>
      <c r="S15" s="4">
        <f>R15</f>
        <v>0</v>
      </c>
      <c r="T15" s="10" t="e">
        <f t="shared" si="5"/>
        <v>#DIV/0!</v>
      </c>
      <c r="U15" s="10" t="e">
        <f t="shared" si="6"/>
        <v>#DIV/0!</v>
      </c>
      <c r="V15" s="10">
        <v>0</v>
      </c>
      <c r="W15" s="10">
        <v>0</v>
      </c>
      <c r="X15" s="10">
        <v>0.2</v>
      </c>
      <c r="Y15" s="10">
        <v>0.2</v>
      </c>
      <c r="Z15" s="10">
        <v>0</v>
      </c>
      <c r="AA15" s="10">
        <v>0</v>
      </c>
      <c r="AB15" s="10">
        <v>0</v>
      </c>
      <c r="AC15" s="10">
        <v>0</v>
      </c>
      <c r="AD15" s="10">
        <v>0</v>
      </c>
      <c r="AE15" s="10">
        <v>0</v>
      </c>
      <c r="AF15" s="10"/>
      <c r="AG15" s="9">
        <f t="shared" si="7"/>
        <v>0</v>
      </c>
      <c r="AH15" t="s">
        <v>61</v>
      </c>
      <c r="AI15" t="e">
        <f>VLOOKUP(AH15,[1]Sheet!$AK:$AM,3,0)</f>
        <v>#N/A</v>
      </c>
    </row>
    <row r="16" spans="1:36" x14ac:dyDescent="0.25">
      <c r="A16" s="9" t="s">
        <v>62</v>
      </c>
      <c r="B16" s="9" t="s">
        <v>38</v>
      </c>
      <c r="C16" s="9">
        <v>1366.8440000000001</v>
      </c>
      <c r="D16" s="9">
        <v>1979.5609999999999</v>
      </c>
      <c r="E16" s="9">
        <v>1165.9179999999999</v>
      </c>
      <c r="F16" s="9">
        <v>2083.0819999999999</v>
      </c>
      <c r="G16" s="6">
        <v>1</v>
      </c>
      <c r="H16" s="9">
        <v>70</v>
      </c>
      <c r="I16" s="9" t="s">
        <v>39</v>
      </c>
      <c r="J16" s="9"/>
      <c r="K16" s="9">
        <v>1160.4449999999999</v>
      </c>
      <c r="L16" s="9">
        <f t="shared" si="3"/>
        <v>5.4729999999999563</v>
      </c>
      <c r="M16" s="9"/>
      <c r="N16" s="9"/>
      <c r="O16" s="9">
        <v>140.91615999999979</v>
      </c>
      <c r="P16" s="18">
        <v>500</v>
      </c>
      <c r="Q16" s="9">
        <f t="shared" si="4"/>
        <v>233.18359999999998</v>
      </c>
      <c r="R16" s="4">
        <f>12*Q16-O16-F16</f>
        <v>574.20504000000028</v>
      </c>
      <c r="S16" s="4">
        <f>R16+$S$1*Q16</f>
        <v>484.42935400000027</v>
      </c>
      <c r="T16" s="9">
        <f t="shared" si="5"/>
        <v>12</v>
      </c>
      <c r="U16" s="9">
        <f t="shared" si="6"/>
        <v>9.537541062064399</v>
      </c>
      <c r="V16" s="9">
        <v>242.98320000000001</v>
      </c>
      <c r="W16" s="9">
        <v>239.7028</v>
      </c>
      <c r="X16" s="9">
        <v>236.7696</v>
      </c>
      <c r="Y16" s="9">
        <v>224.553</v>
      </c>
      <c r="Z16" s="9">
        <v>226.56899999999999</v>
      </c>
      <c r="AA16" s="9">
        <v>227.60939999999999</v>
      </c>
      <c r="AB16" s="9">
        <v>217.93199999999999</v>
      </c>
      <c r="AC16" s="9">
        <v>228.4726</v>
      </c>
      <c r="AD16" s="9">
        <v>235.23580000000001</v>
      </c>
      <c r="AE16" s="9">
        <v>236.49680000000001</v>
      </c>
      <c r="AF16" s="9"/>
      <c r="AG16" s="9">
        <f t="shared" si="7"/>
        <v>484</v>
      </c>
      <c r="AH16" t="s">
        <v>63</v>
      </c>
      <c r="AI16" t="str">
        <f>VLOOKUP(AH16,[1]Sheet!$AK:$AM,3,0)</f>
        <v>10 т</v>
      </c>
      <c r="AJ16" s="21">
        <f t="shared" ref="AJ16:AJ17" si="9">P16</f>
        <v>500</v>
      </c>
    </row>
    <row r="17" spans="1:36" x14ac:dyDescent="0.25">
      <c r="A17" s="9" t="s">
        <v>64</v>
      </c>
      <c r="B17" s="9" t="s">
        <v>38</v>
      </c>
      <c r="C17" s="9">
        <v>7502.4260000000004</v>
      </c>
      <c r="D17" s="9">
        <v>2934.674</v>
      </c>
      <c r="E17" s="9">
        <v>3303.058</v>
      </c>
      <c r="F17" s="9">
        <v>6954.8130000000001</v>
      </c>
      <c r="G17" s="6">
        <v>1</v>
      </c>
      <c r="H17" s="9">
        <v>50</v>
      </c>
      <c r="I17" s="9" t="s">
        <v>39</v>
      </c>
      <c r="J17" s="9"/>
      <c r="K17" s="9">
        <v>3320.5</v>
      </c>
      <c r="L17" s="9">
        <f t="shared" si="3"/>
        <v>-17.442000000000007</v>
      </c>
      <c r="M17" s="9"/>
      <c r="N17" s="9"/>
      <c r="O17" s="9">
        <v>0</v>
      </c>
      <c r="P17" s="18">
        <v>0</v>
      </c>
      <c r="Q17" s="9">
        <f t="shared" si="4"/>
        <v>660.61159999999995</v>
      </c>
      <c r="R17" s="4">
        <f>12*Q17-O17-F17</f>
        <v>972.52619999999933</v>
      </c>
      <c r="S17" s="4">
        <f>R17+$S$1*Q17</f>
        <v>718.19073399999934</v>
      </c>
      <c r="T17" s="9">
        <f t="shared" si="5"/>
        <v>12</v>
      </c>
      <c r="U17" s="9">
        <f t="shared" si="6"/>
        <v>10.527839656463799</v>
      </c>
      <c r="V17" s="9">
        <v>636.86320000000001</v>
      </c>
      <c r="W17" s="9">
        <v>674.43259999999998</v>
      </c>
      <c r="X17" s="9">
        <v>703.17060000000004</v>
      </c>
      <c r="Y17" s="9">
        <v>753.43720000000008</v>
      </c>
      <c r="Z17" s="9">
        <v>789.19159999999999</v>
      </c>
      <c r="AA17" s="9">
        <v>779.79539999999997</v>
      </c>
      <c r="AB17" s="9">
        <v>746.61940000000004</v>
      </c>
      <c r="AC17" s="9">
        <v>740.76059999999995</v>
      </c>
      <c r="AD17" s="9">
        <v>725.36279999999999</v>
      </c>
      <c r="AE17" s="9">
        <v>627.70680000000004</v>
      </c>
      <c r="AF17" s="9"/>
      <c r="AG17" s="9">
        <f t="shared" si="7"/>
        <v>718</v>
      </c>
      <c r="AH17" t="s">
        <v>65</v>
      </c>
      <c r="AI17" t="str">
        <f>VLOOKUP(AH17,[1]Sheet!$AK:$AM,3,0)</f>
        <v>1000 кг</v>
      </c>
      <c r="AJ17" s="21">
        <f t="shared" si="9"/>
        <v>0</v>
      </c>
    </row>
    <row r="18" spans="1:36" hidden="1" x14ac:dyDescent="0.25">
      <c r="A18" s="9" t="s">
        <v>66</v>
      </c>
      <c r="B18" s="9" t="s">
        <v>38</v>
      </c>
      <c r="C18" s="9">
        <v>79.995999999999995</v>
      </c>
      <c r="D18" s="9">
        <v>206.828</v>
      </c>
      <c r="E18" s="9">
        <v>127.441</v>
      </c>
      <c r="F18" s="9">
        <v>155.01</v>
      </c>
      <c r="G18" s="6">
        <v>1</v>
      </c>
      <c r="H18" s="9">
        <v>60</v>
      </c>
      <c r="I18" s="9" t="s">
        <v>39</v>
      </c>
      <c r="J18" s="9"/>
      <c r="K18" s="9">
        <v>125.8</v>
      </c>
      <c r="L18" s="9">
        <f t="shared" si="3"/>
        <v>1.6410000000000053</v>
      </c>
      <c r="M18" s="9"/>
      <c r="N18" s="9"/>
      <c r="O18" s="9">
        <v>59.531000000000027</v>
      </c>
      <c r="P18" s="9"/>
      <c r="Q18" s="9">
        <f t="shared" si="4"/>
        <v>25.488199999999999</v>
      </c>
      <c r="R18" s="4">
        <f>12*Q18-O18-F18</f>
        <v>91.317399999999935</v>
      </c>
      <c r="S18" s="4">
        <f>R18</f>
        <v>91.317399999999935</v>
      </c>
      <c r="T18" s="9">
        <f t="shared" si="5"/>
        <v>11.999999999999998</v>
      </c>
      <c r="U18" s="9">
        <f t="shared" si="6"/>
        <v>8.4172675983396257</v>
      </c>
      <c r="V18" s="9">
        <v>23.536200000000001</v>
      </c>
      <c r="W18" s="9">
        <v>24.895399999999999</v>
      </c>
      <c r="X18" s="9">
        <v>24.598400000000002</v>
      </c>
      <c r="Y18" s="9">
        <v>18.6858</v>
      </c>
      <c r="Z18" s="9">
        <v>21.406600000000001</v>
      </c>
      <c r="AA18" s="9">
        <v>20.923999999999999</v>
      </c>
      <c r="AB18" s="9">
        <v>19.589400000000001</v>
      </c>
      <c r="AC18" s="9">
        <v>22.287800000000001</v>
      </c>
      <c r="AD18" s="9">
        <v>21.7728</v>
      </c>
      <c r="AE18" s="9">
        <v>17.471399999999999</v>
      </c>
      <c r="AF18" s="9"/>
      <c r="AG18" s="9">
        <f t="shared" si="7"/>
        <v>91</v>
      </c>
      <c r="AH18" t="s">
        <v>67</v>
      </c>
      <c r="AI18">
        <f>VLOOKUP(AH18,[1]Sheet!$AK:$AM,3,0)</f>
        <v>0</v>
      </c>
    </row>
    <row r="19" spans="1:36" hidden="1" x14ac:dyDescent="0.25">
      <c r="A19" s="9" t="s">
        <v>68</v>
      </c>
      <c r="B19" s="9" t="s">
        <v>38</v>
      </c>
      <c r="C19" s="9">
        <v>37.19</v>
      </c>
      <c r="D19" s="9">
        <v>142.93600000000001</v>
      </c>
      <c r="E19" s="9">
        <v>84.331000000000003</v>
      </c>
      <c r="F19" s="9">
        <v>87.832999999999998</v>
      </c>
      <c r="G19" s="6">
        <v>1</v>
      </c>
      <c r="H19" s="9">
        <v>60</v>
      </c>
      <c r="I19" s="9" t="s">
        <v>39</v>
      </c>
      <c r="J19" s="9"/>
      <c r="K19" s="9">
        <v>85.21</v>
      </c>
      <c r="L19" s="9">
        <f t="shared" si="3"/>
        <v>-0.87899999999999068</v>
      </c>
      <c r="M19" s="9"/>
      <c r="N19" s="9"/>
      <c r="O19" s="9">
        <v>75.626199999999997</v>
      </c>
      <c r="P19" s="9"/>
      <c r="Q19" s="9">
        <f t="shared" si="4"/>
        <v>16.866199999999999</v>
      </c>
      <c r="R19" s="4">
        <f>12*Q19-O19-F19</f>
        <v>38.935199999999995</v>
      </c>
      <c r="S19" s="4">
        <f>R19</f>
        <v>38.935199999999995</v>
      </c>
      <c r="T19" s="9">
        <f t="shared" si="5"/>
        <v>12.000000000000002</v>
      </c>
      <c r="U19" s="9">
        <f t="shared" si="6"/>
        <v>9.6915250619582363</v>
      </c>
      <c r="V19" s="9">
        <v>17.227399999999999</v>
      </c>
      <c r="W19" s="9">
        <v>14.844200000000001</v>
      </c>
      <c r="X19" s="9">
        <v>17.3218</v>
      </c>
      <c r="Y19" s="9">
        <v>17.478400000000001</v>
      </c>
      <c r="Z19" s="9">
        <v>13.7256</v>
      </c>
      <c r="AA19" s="9">
        <v>14.416600000000001</v>
      </c>
      <c r="AB19" s="9">
        <v>16.773</v>
      </c>
      <c r="AC19" s="9">
        <v>16.835999999999999</v>
      </c>
      <c r="AD19" s="9">
        <v>15.0814</v>
      </c>
      <c r="AE19" s="9">
        <v>11.555400000000001</v>
      </c>
      <c r="AF19" s="9"/>
      <c r="AG19" s="9">
        <f t="shared" si="7"/>
        <v>39</v>
      </c>
      <c r="AH19" t="s">
        <v>69</v>
      </c>
      <c r="AI19">
        <f>VLOOKUP(AH19,[1]Sheet!$AK:$AM,3,0)</f>
        <v>0</v>
      </c>
    </row>
    <row r="20" spans="1:36" hidden="1" x14ac:dyDescent="0.25">
      <c r="A20" s="9" t="s">
        <v>70</v>
      </c>
      <c r="B20" s="9" t="s">
        <v>38</v>
      </c>
      <c r="C20" s="9">
        <v>5.0999999999999996</v>
      </c>
      <c r="D20" s="9">
        <v>25.597000000000001</v>
      </c>
      <c r="E20" s="9">
        <v>3.149</v>
      </c>
      <c r="F20" s="9">
        <v>27.547999999999998</v>
      </c>
      <c r="G20" s="6">
        <v>1</v>
      </c>
      <c r="H20" s="9">
        <v>180</v>
      </c>
      <c r="I20" s="9" t="s">
        <v>39</v>
      </c>
      <c r="J20" s="9"/>
      <c r="K20" s="9">
        <v>3.44</v>
      </c>
      <c r="L20" s="9">
        <f t="shared" si="3"/>
        <v>-0.29099999999999993</v>
      </c>
      <c r="M20" s="9"/>
      <c r="N20" s="9"/>
      <c r="O20" s="9">
        <v>0</v>
      </c>
      <c r="P20" s="9"/>
      <c r="Q20" s="9">
        <f t="shared" si="4"/>
        <v>0.62980000000000003</v>
      </c>
      <c r="R20" s="4"/>
      <c r="S20" s="4">
        <f>R20</f>
        <v>0</v>
      </c>
      <c r="T20" s="9">
        <f t="shared" si="5"/>
        <v>43.740870117497614</v>
      </c>
      <c r="U20" s="9">
        <f t="shared" si="6"/>
        <v>43.740870117497614</v>
      </c>
      <c r="V20" s="9">
        <v>1.0427999999999999</v>
      </c>
      <c r="W20" s="9">
        <v>2.0901999999999998</v>
      </c>
      <c r="X20" s="9">
        <v>2.1625999999999999</v>
      </c>
      <c r="Y20" s="9">
        <v>1.7310000000000001</v>
      </c>
      <c r="Z20" s="9">
        <v>1.6870000000000001</v>
      </c>
      <c r="AA20" s="9">
        <v>1.4314</v>
      </c>
      <c r="AB20" s="9">
        <v>1.4481999999999999</v>
      </c>
      <c r="AC20" s="9">
        <v>1.9716</v>
      </c>
      <c r="AD20" s="9">
        <v>1.2405999999999999</v>
      </c>
      <c r="AE20" s="9">
        <v>0.79459999999999997</v>
      </c>
      <c r="AF20" s="14" t="s">
        <v>71</v>
      </c>
      <c r="AG20" s="9">
        <f t="shared" si="7"/>
        <v>0</v>
      </c>
      <c r="AH20" t="s">
        <v>72</v>
      </c>
      <c r="AI20">
        <f>VLOOKUP(AH20,[1]Sheet!$AK:$AM,3,0)</f>
        <v>0</v>
      </c>
    </row>
    <row r="21" spans="1:36" hidden="1" x14ac:dyDescent="0.25">
      <c r="A21" s="9" t="s">
        <v>73</v>
      </c>
      <c r="B21" s="9" t="s">
        <v>38</v>
      </c>
      <c r="C21" s="9">
        <v>1848.683</v>
      </c>
      <c r="D21" s="9">
        <v>2742.982</v>
      </c>
      <c r="E21" s="9">
        <v>1415.7760000000001</v>
      </c>
      <c r="F21" s="9">
        <v>3056.4349999999999</v>
      </c>
      <c r="G21" s="6">
        <v>1</v>
      </c>
      <c r="H21" s="9">
        <v>60</v>
      </c>
      <c r="I21" s="9" t="s">
        <v>39</v>
      </c>
      <c r="J21" s="9"/>
      <c r="K21" s="9">
        <v>1396.88</v>
      </c>
      <c r="L21" s="9">
        <f t="shared" si="3"/>
        <v>18.895999999999958</v>
      </c>
      <c r="M21" s="9"/>
      <c r="N21" s="9"/>
      <c r="O21" s="9">
        <v>0</v>
      </c>
      <c r="P21" s="9"/>
      <c r="Q21" s="9">
        <f t="shared" si="4"/>
        <v>283.15520000000004</v>
      </c>
      <c r="R21" s="4">
        <f>12*Q21-O21-F21</f>
        <v>341.42740000000049</v>
      </c>
      <c r="S21" s="4">
        <f>R21+$S$1*Q21</f>
        <v>232.41264800000047</v>
      </c>
      <c r="T21" s="9">
        <f t="shared" si="5"/>
        <v>12</v>
      </c>
      <c r="U21" s="9">
        <f t="shared" si="6"/>
        <v>10.79420402662568</v>
      </c>
      <c r="V21" s="9">
        <v>289.96379999999999</v>
      </c>
      <c r="W21" s="9">
        <v>276.86619999999999</v>
      </c>
      <c r="X21" s="9">
        <v>268.45139999999998</v>
      </c>
      <c r="Y21" s="9">
        <v>275.91120000000001</v>
      </c>
      <c r="Z21" s="9">
        <v>284.72680000000003</v>
      </c>
      <c r="AA21" s="9">
        <v>282.6728</v>
      </c>
      <c r="AB21" s="9">
        <v>268.63920000000002</v>
      </c>
      <c r="AC21" s="9">
        <v>285.46140000000003</v>
      </c>
      <c r="AD21" s="9">
        <v>300.20659999999998</v>
      </c>
      <c r="AE21" s="9">
        <v>291.22340000000003</v>
      </c>
      <c r="AF21" s="9"/>
      <c r="AG21" s="9">
        <f t="shared" si="7"/>
        <v>232</v>
      </c>
      <c r="AH21" t="s">
        <v>74</v>
      </c>
      <c r="AI21">
        <f>VLOOKUP(AH21,[1]Sheet!$AK:$AM,3,0)</f>
        <v>0</v>
      </c>
    </row>
    <row r="22" spans="1:36" hidden="1" x14ac:dyDescent="0.25">
      <c r="A22" s="9" t="s">
        <v>75</v>
      </c>
      <c r="B22" s="9" t="s">
        <v>38</v>
      </c>
      <c r="C22" s="9">
        <v>266.45</v>
      </c>
      <c r="D22" s="9">
        <v>148.01499999999999</v>
      </c>
      <c r="E22" s="9">
        <v>188.62</v>
      </c>
      <c r="F22" s="9">
        <v>212.697</v>
      </c>
      <c r="G22" s="6">
        <v>1</v>
      </c>
      <c r="H22" s="9">
        <v>70</v>
      </c>
      <c r="I22" s="9" t="s">
        <v>39</v>
      </c>
      <c r="J22" s="9"/>
      <c r="K22" s="9">
        <v>195.09</v>
      </c>
      <c r="L22" s="9">
        <f t="shared" si="3"/>
        <v>-6.4699999999999989</v>
      </c>
      <c r="M22" s="9"/>
      <c r="N22" s="9"/>
      <c r="O22" s="9">
        <v>119.1379</v>
      </c>
      <c r="P22" s="9"/>
      <c r="Q22" s="9">
        <f t="shared" si="4"/>
        <v>37.724000000000004</v>
      </c>
      <c r="R22" s="4">
        <f>12*Q22-O22-F22</f>
        <v>120.85310000000004</v>
      </c>
      <c r="S22" s="4">
        <f>R22</f>
        <v>120.85310000000004</v>
      </c>
      <c r="T22" s="9">
        <f t="shared" si="5"/>
        <v>12</v>
      </c>
      <c r="U22" s="9">
        <f t="shared" si="6"/>
        <v>8.796386915491464</v>
      </c>
      <c r="V22" s="9">
        <v>35.753</v>
      </c>
      <c r="W22" s="9">
        <v>35.983400000000003</v>
      </c>
      <c r="X22" s="9">
        <v>37.6586</v>
      </c>
      <c r="Y22" s="9">
        <v>29.225200000000001</v>
      </c>
      <c r="Z22" s="9">
        <v>30.331199999999999</v>
      </c>
      <c r="AA22" s="9">
        <v>41.240400000000001</v>
      </c>
      <c r="AB22" s="9">
        <v>40.357600000000012</v>
      </c>
      <c r="AC22" s="9">
        <v>31.3566</v>
      </c>
      <c r="AD22" s="9">
        <v>32.416400000000003</v>
      </c>
      <c r="AE22" s="9">
        <v>50.782600000000002</v>
      </c>
      <c r="AF22" s="9"/>
      <c r="AG22" s="9">
        <f t="shared" si="7"/>
        <v>121</v>
      </c>
      <c r="AH22" t="s">
        <v>76</v>
      </c>
      <c r="AI22">
        <f>VLOOKUP(AH22,[1]Sheet!$AK:$AM,3,0)</f>
        <v>0</v>
      </c>
    </row>
    <row r="23" spans="1:36" hidden="1" x14ac:dyDescent="0.25">
      <c r="A23" s="9" t="s">
        <v>77</v>
      </c>
      <c r="B23" s="9" t="s">
        <v>38</v>
      </c>
      <c r="C23" s="9">
        <v>400.46600000000001</v>
      </c>
      <c r="D23" s="9">
        <v>732.25900000000001</v>
      </c>
      <c r="E23" s="9">
        <v>399.87799999999999</v>
      </c>
      <c r="F23" s="9">
        <v>689.09100000000001</v>
      </c>
      <c r="G23" s="6">
        <v>1</v>
      </c>
      <c r="H23" s="9">
        <v>70</v>
      </c>
      <c r="I23" s="9" t="s">
        <v>39</v>
      </c>
      <c r="J23" s="9"/>
      <c r="K23" s="9">
        <v>397.29</v>
      </c>
      <c r="L23" s="9">
        <f t="shared" si="3"/>
        <v>2.5879999999999654</v>
      </c>
      <c r="M23" s="9"/>
      <c r="N23" s="9"/>
      <c r="O23" s="9">
        <v>6.4433199999998578</v>
      </c>
      <c r="P23" s="9"/>
      <c r="Q23" s="9">
        <f t="shared" si="4"/>
        <v>79.9756</v>
      </c>
      <c r="R23" s="4">
        <f>12*Q23-O23-F23</f>
        <v>264.17288000000019</v>
      </c>
      <c r="S23" s="4">
        <f>R23+$S$1*Q23</f>
        <v>233.38227400000019</v>
      </c>
      <c r="T23" s="9">
        <f t="shared" si="5"/>
        <v>12</v>
      </c>
      <c r="U23" s="9">
        <f t="shared" si="6"/>
        <v>8.6968315336177522</v>
      </c>
      <c r="V23" s="9">
        <v>79.880200000000002</v>
      </c>
      <c r="W23" s="9">
        <v>85.579599999999999</v>
      </c>
      <c r="X23" s="9">
        <v>89.1798</v>
      </c>
      <c r="Y23" s="9">
        <v>90.862200000000001</v>
      </c>
      <c r="Z23" s="9">
        <v>89.53540000000001</v>
      </c>
      <c r="AA23" s="9">
        <v>90.167400000000001</v>
      </c>
      <c r="AB23" s="9">
        <v>90.783199999999994</v>
      </c>
      <c r="AC23" s="9">
        <v>90.342600000000004</v>
      </c>
      <c r="AD23" s="9">
        <v>100.7072</v>
      </c>
      <c r="AE23" s="9">
        <v>100.1114</v>
      </c>
      <c r="AF23" s="9"/>
      <c r="AG23" s="9">
        <f t="shared" si="7"/>
        <v>233</v>
      </c>
      <c r="AH23" t="s">
        <v>78</v>
      </c>
      <c r="AI23">
        <f>VLOOKUP(AH23,[1]Sheet!$AK:$AM,3,0)</f>
        <v>0</v>
      </c>
    </row>
    <row r="24" spans="1:36" hidden="1" x14ac:dyDescent="0.25">
      <c r="A24" s="10" t="s">
        <v>79</v>
      </c>
      <c r="B24" s="10" t="s">
        <v>38</v>
      </c>
      <c r="C24" s="10"/>
      <c r="D24" s="10"/>
      <c r="E24" s="10"/>
      <c r="F24" s="10"/>
      <c r="G24" s="11">
        <v>0</v>
      </c>
      <c r="H24" s="10"/>
      <c r="I24" s="10" t="s">
        <v>39</v>
      </c>
      <c r="J24" s="10"/>
      <c r="K24" s="10"/>
      <c r="L24" s="10">
        <f t="shared" si="3"/>
        <v>0</v>
      </c>
      <c r="M24" s="10"/>
      <c r="N24" s="10"/>
      <c r="O24" s="10">
        <v>0</v>
      </c>
      <c r="P24" s="10"/>
      <c r="Q24" s="10">
        <f t="shared" si="4"/>
        <v>0</v>
      </c>
      <c r="R24" s="12"/>
      <c r="S24" s="4">
        <f>R24</f>
        <v>0</v>
      </c>
      <c r="T24" s="10" t="e">
        <f t="shared" si="5"/>
        <v>#DIV/0!</v>
      </c>
      <c r="U24" s="10" t="e">
        <f t="shared" si="6"/>
        <v>#DIV/0!</v>
      </c>
      <c r="V24" s="10">
        <v>0</v>
      </c>
      <c r="W24" s="10">
        <v>0</v>
      </c>
      <c r="X24" s="10">
        <v>0</v>
      </c>
      <c r="Y24" s="10">
        <v>0</v>
      </c>
      <c r="Z24" s="10">
        <v>0</v>
      </c>
      <c r="AA24" s="10">
        <v>0</v>
      </c>
      <c r="AB24" s="10">
        <v>0</v>
      </c>
      <c r="AC24" s="10">
        <v>0</v>
      </c>
      <c r="AD24" s="10">
        <v>0</v>
      </c>
      <c r="AE24" s="10">
        <v>0</v>
      </c>
      <c r="AF24" s="10" t="s">
        <v>47</v>
      </c>
      <c r="AG24" s="9">
        <f t="shared" si="7"/>
        <v>0</v>
      </c>
      <c r="AH24" t="s">
        <v>80</v>
      </c>
      <c r="AI24">
        <f>VLOOKUP(AH24,[1]Sheet!$AK:$AM,3,0)</f>
        <v>0</v>
      </c>
    </row>
    <row r="25" spans="1:36" x14ac:dyDescent="0.25">
      <c r="A25" s="9" t="s">
        <v>81</v>
      </c>
      <c r="B25" s="9" t="s">
        <v>38</v>
      </c>
      <c r="C25" s="9">
        <v>831.48</v>
      </c>
      <c r="D25" s="9">
        <v>311.94200000000001</v>
      </c>
      <c r="E25" s="9">
        <v>617.15200000000004</v>
      </c>
      <c r="F25" s="9">
        <v>467.16500000000002</v>
      </c>
      <c r="G25" s="6">
        <v>1</v>
      </c>
      <c r="H25" s="9">
        <v>70</v>
      </c>
      <c r="I25" s="8" t="s">
        <v>82</v>
      </c>
      <c r="J25" s="9"/>
      <c r="K25" s="9">
        <v>610.91</v>
      </c>
      <c r="L25" s="9">
        <f t="shared" si="3"/>
        <v>6.2420000000000755</v>
      </c>
      <c r="M25" s="9"/>
      <c r="N25" s="9"/>
      <c r="O25" s="9">
        <v>451.70625999999959</v>
      </c>
      <c r="P25" s="18">
        <v>0</v>
      </c>
      <c r="Q25" s="9">
        <f t="shared" si="4"/>
        <v>123.43040000000001</v>
      </c>
      <c r="R25" s="4">
        <f>12*Q25-O25-F25</f>
        <v>562.29354000000058</v>
      </c>
      <c r="S25" s="4">
        <f>R25</f>
        <v>562.29354000000058</v>
      </c>
      <c r="T25" s="9">
        <f t="shared" si="5"/>
        <v>12.000000000000002</v>
      </c>
      <c r="U25" s="9">
        <f t="shared" si="6"/>
        <v>7.4444485313180513</v>
      </c>
      <c r="V25" s="9">
        <v>120.05240000000001</v>
      </c>
      <c r="W25" s="9">
        <v>127.38039999999999</v>
      </c>
      <c r="X25" s="9">
        <v>123.4118</v>
      </c>
      <c r="Y25" s="9">
        <v>117.6122</v>
      </c>
      <c r="Z25" s="9">
        <v>125.7372</v>
      </c>
      <c r="AA25" s="9">
        <v>138.38999999999999</v>
      </c>
      <c r="AB25" s="9">
        <v>139.70419999999999</v>
      </c>
      <c r="AC25" s="9">
        <v>135.19220000000001</v>
      </c>
      <c r="AD25" s="9">
        <v>130.17939999999999</v>
      </c>
      <c r="AE25" s="9">
        <v>121.59180000000001</v>
      </c>
      <c r="AF25" s="9"/>
      <c r="AG25" s="9">
        <f t="shared" si="7"/>
        <v>562</v>
      </c>
      <c r="AH25" t="s">
        <v>83</v>
      </c>
      <c r="AI25" t="str">
        <f>VLOOKUP(AH25,[1]Sheet!$AK:$AM,3,0)</f>
        <v>300 кг</v>
      </c>
      <c r="AJ25" s="21">
        <f>P25</f>
        <v>0</v>
      </c>
    </row>
    <row r="26" spans="1:36" hidden="1" x14ac:dyDescent="0.25">
      <c r="A26" s="9" t="s">
        <v>84</v>
      </c>
      <c r="B26" s="9" t="s">
        <v>38</v>
      </c>
      <c r="C26" s="9">
        <v>196.523</v>
      </c>
      <c r="D26" s="9">
        <v>134.51499999999999</v>
      </c>
      <c r="E26" s="9">
        <v>126.72799999999999</v>
      </c>
      <c r="F26" s="9">
        <v>204.31</v>
      </c>
      <c r="G26" s="6">
        <v>1</v>
      </c>
      <c r="H26" s="9">
        <v>40</v>
      </c>
      <c r="I26" s="9" t="s">
        <v>39</v>
      </c>
      <c r="J26" s="9"/>
      <c r="K26" s="9">
        <v>121.1</v>
      </c>
      <c r="L26" s="9">
        <f t="shared" si="3"/>
        <v>5.6280000000000001</v>
      </c>
      <c r="M26" s="9"/>
      <c r="N26" s="9"/>
      <c r="O26" s="9">
        <v>78.560999999999922</v>
      </c>
      <c r="P26" s="9"/>
      <c r="Q26" s="9">
        <f t="shared" si="4"/>
        <v>25.345599999999997</v>
      </c>
      <c r="R26" s="4">
        <f>12*Q26-O26-F26</f>
        <v>21.276200000000074</v>
      </c>
      <c r="S26" s="4">
        <f>R26</f>
        <v>21.276200000000074</v>
      </c>
      <c r="T26" s="9">
        <f t="shared" si="5"/>
        <v>12.000000000000002</v>
      </c>
      <c r="U26" s="9">
        <f t="shared" si="6"/>
        <v>11.160556467394734</v>
      </c>
      <c r="V26" s="9">
        <v>25.345600000000001</v>
      </c>
      <c r="W26" s="9">
        <v>29.334199999999999</v>
      </c>
      <c r="X26" s="9">
        <v>30.359200000000001</v>
      </c>
      <c r="Y26" s="9">
        <v>1.6180000000000001</v>
      </c>
      <c r="Z26" s="9">
        <v>0.88819999999999999</v>
      </c>
      <c r="AA26" s="9">
        <v>28.8462</v>
      </c>
      <c r="AB26" s="9">
        <v>28.550999999999998</v>
      </c>
      <c r="AC26" s="9">
        <v>16.459599999999998</v>
      </c>
      <c r="AD26" s="9">
        <v>16.6052</v>
      </c>
      <c r="AE26" s="9">
        <v>15.1754</v>
      </c>
      <c r="AF26" s="9"/>
      <c r="AG26" s="9">
        <f t="shared" si="7"/>
        <v>21</v>
      </c>
      <c r="AH26" t="s">
        <v>85</v>
      </c>
      <c r="AI26">
        <f>VLOOKUP(AH26,[1]Sheet!$AK:$AM,3,0)</f>
        <v>0</v>
      </c>
    </row>
    <row r="27" spans="1:36" hidden="1" x14ac:dyDescent="0.25">
      <c r="A27" s="9" t="s">
        <v>86</v>
      </c>
      <c r="B27" s="9" t="s">
        <v>38</v>
      </c>
      <c r="C27" s="9">
        <v>219.49799999999999</v>
      </c>
      <c r="D27" s="9">
        <v>440.79899999999998</v>
      </c>
      <c r="E27" s="9">
        <v>267.68200000000002</v>
      </c>
      <c r="F27" s="9">
        <v>362.87599999999998</v>
      </c>
      <c r="G27" s="6">
        <v>1</v>
      </c>
      <c r="H27" s="9">
        <v>30</v>
      </c>
      <c r="I27" s="9" t="s">
        <v>39</v>
      </c>
      <c r="J27" s="9"/>
      <c r="K27" s="9">
        <v>273.60000000000002</v>
      </c>
      <c r="L27" s="9">
        <f t="shared" si="3"/>
        <v>-5.9180000000000064</v>
      </c>
      <c r="M27" s="9"/>
      <c r="N27" s="9"/>
      <c r="O27" s="9">
        <v>28.620400000000071</v>
      </c>
      <c r="P27" s="9"/>
      <c r="Q27" s="9">
        <f t="shared" si="4"/>
        <v>53.5364</v>
      </c>
      <c r="R27" s="4">
        <f>12*Q27-O27-F27</f>
        <v>250.94039999999995</v>
      </c>
      <c r="S27" s="4">
        <f>R27+$S$1*Q27</f>
        <v>230.32888599999995</v>
      </c>
      <c r="T27" s="9">
        <f t="shared" si="5"/>
        <v>11.999999999999998</v>
      </c>
      <c r="U27" s="9">
        <f t="shared" si="6"/>
        <v>7.3127143401498804</v>
      </c>
      <c r="V27" s="9">
        <v>46.989400000000003</v>
      </c>
      <c r="W27" s="9">
        <v>50.754199999999997</v>
      </c>
      <c r="X27" s="9">
        <v>52.681199999999997</v>
      </c>
      <c r="Y27" s="9">
        <v>61.315399999999997</v>
      </c>
      <c r="Z27" s="9">
        <v>65.999600000000001</v>
      </c>
      <c r="AA27" s="9">
        <v>56.640599999999992</v>
      </c>
      <c r="AB27" s="9">
        <v>57.695599999999999</v>
      </c>
      <c r="AC27" s="9">
        <v>53.313800000000001</v>
      </c>
      <c r="AD27" s="9">
        <v>47.676200000000001</v>
      </c>
      <c r="AE27" s="9">
        <v>38.641599999999997</v>
      </c>
      <c r="AF27" s="9"/>
      <c r="AG27" s="9">
        <f t="shared" si="7"/>
        <v>230</v>
      </c>
      <c r="AH27" t="s">
        <v>87</v>
      </c>
      <c r="AI27">
        <f>VLOOKUP(AH27,[1]Sheet!$AK:$AM,3,0)</f>
        <v>0</v>
      </c>
    </row>
    <row r="28" spans="1:36" hidden="1" x14ac:dyDescent="0.25">
      <c r="A28" s="9" t="s">
        <v>88</v>
      </c>
      <c r="B28" s="9" t="s">
        <v>38</v>
      </c>
      <c r="C28" s="9">
        <v>10.457000000000001</v>
      </c>
      <c r="D28" s="9"/>
      <c r="E28" s="9">
        <v>3.1349999999999998</v>
      </c>
      <c r="F28" s="9">
        <v>0.23499999999999999</v>
      </c>
      <c r="G28" s="6">
        <v>1</v>
      </c>
      <c r="H28" s="9">
        <v>40</v>
      </c>
      <c r="I28" s="8" t="s">
        <v>82</v>
      </c>
      <c r="J28" s="9"/>
      <c r="K28" s="9">
        <v>98.7</v>
      </c>
      <c r="L28" s="9">
        <f t="shared" si="3"/>
        <v>-95.564999999999998</v>
      </c>
      <c r="M28" s="9"/>
      <c r="N28" s="9"/>
      <c r="O28" s="9">
        <v>100</v>
      </c>
      <c r="P28" s="9"/>
      <c r="Q28" s="9">
        <f t="shared" si="4"/>
        <v>0.627</v>
      </c>
      <c r="R28" s="4">
        <v>100</v>
      </c>
      <c r="S28" s="4">
        <f t="shared" ref="S28:S33" si="10">R28</f>
        <v>100</v>
      </c>
      <c r="T28" s="9">
        <f t="shared" si="5"/>
        <v>319.35406698564594</v>
      </c>
      <c r="U28" s="9">
        <f t="shared" si="6"/>
        <v>159.86443381180223</v>
      </c>
      <c r="V28" s="9">
        <v>13.4148</v>
      </c>
      <c r="W28" s="9">
        <v>42.743000000000002</v>
      </c>
      <c r="X28" s="9">
        <v>41.494799999999998</v>
      </c>
      <c r="Y28" s="9">
        <v>42.447800000000001</v>
      </c>
      <c r="Z28" s="9">
        <v>46.859200000000001</v>
      </c>
      <c r="AA28" s="9">
        <v>44.1312</v>
      </c>
      <c r="AB28" s="9">
        <v>43.206599999999987</v>
      </c>
      <c r="AC28" s="9">
        <v>39.3598</v>
      </c>
      <c r="AD28" s="9">
        <v>38.984400000000001</v>
      </c>
      <c r="AE28" s="9">
        <v>38.6952</v>
      </c>
      <c r="AF28" s="9"/>
      <c r="AG28" s="9">
        <f t="shared" si="7"/>
        <v>100</v>
      </c>
      <c r="AH28" t="s">
        <v>89</v>
      </c>
      <c r="AI28">
        <f>VLOOKUP(AH28,[1]Sheet!$AK:$AM,3,0)</f>
        <v>0</v>
      </c>
    </row>
    <row r="29" spans="1:36" hidden="1" x14ac:dyDescent="0.25">
      <c r="A29" s="9" t="s">
        <v>90</v>
      </c>
      <c r="B29" s="9" t="s">
        <v>38</v>
      </c>
      <c r="C29" s="9">
        <v>1831.5609999999999</v>
      </c>
      <c r="D29" s="9">
        <v>1119.5640000000001</v>
      </c>
      <c r="E29" s="9">
        <v>2045.9169999999999</v>
      </c>
      <c r="F29" s="9">
        <v>705.82799999999997</v>
      </c>
      <c r="G29" s="6">
        <v>1</v>
      </c>
      <c r="H29" s="9">
        <v>30</v>
      </c>
      <c r="I29" s="8" t="s">
        <v>82</v>
      </c>
      <c r="J29" s="9"/>
      <c r="K29" s="9">
        <v>2059.5320000000002</v>
      </c>
      <c r="L29" s="9">
        <f t="shared" si="3"/>
        <v>-13.615000000000236</v>
      </c>
      <c r="M29" s="9"/>
      <c r="N29" s="9"/>
      <c r="O29" s="9">
        <v>1073.02296</v>
      </c>
      <c r="P29" s="9"/>
      <c r="Q29" s="9">
        <f t="shared" si="4"/>
        <v>409.18340000000001</v>
      </c>
      <c r="R29" s="4">
        <v>900</v>
      </c>
      <c r="S29" s="4">
        <f t="shared" si="10"/>
        <v>900</v>
      </c>
      <c r="T29" s="9">
        <f t="shared" si="5"/>
        <v>6.5468221829135782</v>
      </c>
      <c r="U29" s="9">
        <f t="shared" si="6"/>
        <v>4.3473194660389449</v>
      </c>
      <c r="V29" s="9">
        <v>406.64479999999998</v>
      </c>
      <c r="W29" s="9">
        <v>471.33839999999998</v>
      </c>
      <c r="X29" s="9">
        <v>480.87979999999999</v>
      </c>
      <c r="Y29" s="9">
        <v>213.43700000000001</v>
      </c>
      <c r="Z29" s="9">
        <v>215.16399999999999</v>
      </c>
      <c r="AA29" s="9">
        <v>450.7</v>
      </c>
      <c r="AB29" s="9">
        <v>450.23039999999997</v>
      </c>
      <c r="AC29" s="9">
        <v>427.48280000000011</v>
      </c>
      <c r="AD29" s="9">
        <v>418.57639999999998</v>
      </c>
      <c r="AE29" s="9">
        <v>396.39859999999999</v>
      </c>
      <c r="AF29" s="9"/>
      <c r="AG29" s="9">
        <f t="shared" si="7"/>
        <v>900</v>
      </c>
      <c r="AH29" t="s">
        <v>91</v>
      </c>
      <c r="AI29">
        <f>VLOOKUP(AH29,[1]Sheet!$AK:$AM,3,0)</f>
        <v>0</v>
      </c>
    </row>
    <row r="30" spans="1:36" hidden="1" x14ac:dyDescent="0.25">
      <c r="A30" s="10" t="s">
        <v>92</v>
      </c>
      <c r="B30" s="10" t="s">
        <v>38</v>
      </c>
      <c r="C30" s="10">
        <v>0.437</v>
      </c>
      <c r="D30" s="10"/>
      <c r="E30" s="10"/>
      <c r="F30" s="10">
        <v>0.437</v>
      </c>
      <c r="G30" s="11">
        <v>0</v>
      </c>
      <c r="H30" s="10">
        <v>45</v>
      </c>
      <c r="I30" s="10" t="s">
        <v>60</v>
      </c>
      <c r="J30" s="10"/>
      <c r="K30" s="10">
        <v>2.6</v>
      </c>
      <c r="L30" s="10">
        <f t="shared" si="3"/>
        <v>-2.6</v>
      </c>
      <c r="M30" s="10"/>
      <c r="N30" s="10"/>
      <c r="O30" s="10">
        <v>0</v>
      </c>
      <c r="P30" s="10"/>
      <c r="Q30" s="10">
        <f t="shared" si="4"/>
        <v>0</v>
      </c>
      <c r="R30" s="12"/>
      <c r="S30" s="4">
        <f t="shared" si="10"/>
        <v>0</v>
      </c>
      <c r="T30" s="10" t="e">
        <f t="shared" si="5"/>
        <v>#DIV/0!</v>
      </c>
      <c r="U30" s="10" t="e">
        <f t="shared" si="6"/>
        <v>#DIV/0!</v>
      </c>
      <c r="V30" s="10">
        <v>0.26</v>
      </c>
      <c r="W30" s="10">
        <v>1.5546</v>
      </c>
      <c r="X30" s="10">
        <v>4.6036000000000001</v>
      </c>
      <c r="Y30" s="10">
        <v>4.6284000000000001</v>
      </c>
      <c r="Z30" s="10">
        <v>3.6878000000000002</v>
      </c>
      <c r="AA30" s="10">
        <v>5.8213999999999997</v>
      </c>
      <c r="AB30" s="10">
        <v>3.9933999999999998</v>
      </c>
      <c r="AC30" s="10">
        <v>2.5615999999999999</v>
      </c>
      <c r="AD30" s="10">
        <v>5.5739999999999998</v>
      </c>
      <c r="AE30" s="10">
        <v>5.3944000000000001</v>
      </c>
      <c r="AF30" s="10"/>
      <c r="AG30" s="9">
        <f t="shared" si="7"/>
        <v>0</v>
      </c>
      <c r="AH30" t="s">
        <v>93</v>
      </c>
      <c r="AI30" t="e">
        <f>VLOOKUP(AH30,[1]Sheet!$AK:$AM,3,0)</f>
        <v>#N/A</v>
      </c>
    </row>
    <row r="31" spans="1:36" hidden="1" x14ac:dyDescent="0.25">
      <c r="A31" s="10" t="s">
        <v>94</v>
      </c>
      <c r="B31" s="10" t="s">
        <v>38</v>
      </c>
      <c r="C31" s="10">
        <v>-0.25700000000000001</v>
      </c>
      <c r="D31" s="10"/>
      <c r="E31" s="10"/>
      <c r="F31" s="10">
        <v>-0.25700000000000001</v>
      </c>
      <c r="G31" s="11">
        <v>0</v>
      </c>
      <c r="H31" s="10">
        <v>40</v>
      </c>
      <c r="I31" s="10" t="s">
        <v>60</v>
      </c>
      <c r="J31" s="10"/>
      <c r="K31" s="10">
        <v>36.4</v>
      </c>
      <c r="L31" s="10">
        <f t="shared" si="3"/>
        <v>-36.4</v>
      </c>
      <c r="M31" s="10"/>
      <c r="N31" s="10"/>
      <c r="O31" s="10">
        <v>0</v>
      </c>
      <c r="P31" s="10"/>
      <c r="Q31" s="10">
        <f t="shared" si="4"/>
        <v>0</v>
      </c>
      <c r="R31" s="12"/>
      <c r="S31" s="4">
        <f t="shared" si="10"/>
        <v>0</v>
      </c>
      <c r="T31" s="10" t="e">
        <f t="shared" si="5"/>
        <v>#DIV/0!</v>
      </c>
      <c r="U31" s="10" t="e">
        <f t="shared" si="6"/>
        <v>#DIV/0!</v>
      </c>
      <c r="V31" s="10">
        <v>0</v>
      </c>
      <c r="W31" s="10">
        <v>0.73980000000000001</v>
      </c>
      <c r="X31" s="10">
        <v>1.2958000000000001</v>
      </c>
      <c r="Y31" s="10">
        <v>12.6168</v>
      </c>
      <c r="Z31" s="10">
        <v>11.9848</v>
      </c>
      <c r="AA31" s="10">
        <v>17.542200000000001</v>
      </c>
      <c r="AB31" s="10">
        <v>20.3004</v>
      </c>
      <c r="AC31" s="10">
        <v>11.212</v>
      </c>
      <c r="AD31" s="10">
        <v>8.2512000000000008</v>
      </c>
      <c r="AE31" s="10">
        <v>7.6128</v>
      </c>
      <c r="AF31" s="10"/>
      <c r="AG31" s="9">
        <f t="shared" si="7"/>
        <v>0</v>
      </c>
      <c r="AH31" t="s">
        <v>95</v>
      </c>
      <c r="AI31" t="e">
        <f>VLOOKUP(AH31,[1]Sheet!$AK:$AM,3,0)</f>
        <v>#N/A</v>
      </c>
    </row>
    <row r="32" spans="1:36" hidden="1" x14ac:dyDescent="0.25">
      <c r="A32" s="9" t="s">
        <v>96</v>
      </c>
      <c r="B32" s="9" t="s">
        <v>38</v>
      </c>
      <c r="C32" s="9">
        <v>3.7480000000000002</v>
      </c>
      <c r="D32" s="9"/>
      <c r="E32" s="9">
        <v>-1.012</v>
      </c>
      <c r="F32" s="9">
        <v>3.7480000000000002</v>
      </c>
      <c r="G32" s="6">
        <v>1</v>
      </c>
      <c r="H32" s="9">
        <v>40</v>
      </c>
      <c r="I32" s="8" t="s">
        <v>82</v>
      </c>
      <c r="J32" s="9"/>
      <c r="K32" s="9">
        <v>673.6</v>
      </c>
      <c r="L32" s="9">
        <f t="shared" si="3"/>
        <v>-674.61199999999997</v>
      </c>
      <c r="M32" s="9"/>
      <c r="N32" s="9"/>
      <c r="O32" s="9">
        <v>1000</v>
      </c>
      <c r="P32" s="9"/>
      <c r="Q32" s="9">
        <f t="shared" si="4"/>
        <v>-0.2024</v>
      </c>
      <c r="R32" s="4">
        <v>1000</v>
      </c>
      <c r="S32" s="4">
        <f t="shared" si="10"/>
        <v>1000</v>
      </c>
      <c r="T32" s="9">
        <f t="shared" si="5"/>
        <v>-9899.9407114624519</v>
      </c>
      <c r="U32" s="9">
        <f t="shared" si="6"/>
        <v>-4959.229249011858</v>
      </c>
      <c r="V32" s="9">
        <v>-0.22040000000000001</v>
      </c>
      <c r="W32" s="9">
        <v>466.95479999999998</v>
      </c>
      <c r="X32" s="9">
        <v>466.65679999999998</v>
      </c>
      <c r="Y32" s="9">
        <v>-1.0442</v>
      </c>
      <c r="Z32" s="9">
        <v>170.2936</v>
      </c>
      <c r="AA32" s="9">
        <v>540.2518</v>
      </c>
      <c r="AB32" s="9">
        <v>543.82479999999998</v>
      </c>
      <c r="AC32" s="9">
        <v>632.09960000000001</v>
      </c>
      <c r="AD32" s="9">
        <v>771.26760000000002</v>
      </c>
      <c r="AE32" s="9">
        <v>511.33100000000002</v>
      </c>
      <c r="AF32" s="9"/>
      <c r="AG32" s="9">
        <f t="shared" si="7"/>
        <v>1000</v>
      </c>
      <c r="AH32" t="s">
        <v>97</v>
      </c>
      <c r="AI32">
        <f>VLOOKUP(AH32,[1]Sheet!$AK:$AM,3,0)</f>
        <v>0</v>
      </c>
    </row>
    <row r="33" spans="1:35" hidden="1" x14ac:dyDescent="0.25">
      <c r="A33" s="10" t="s">
        <v>98</v>
      </c>
      <c r="B33" s="10" t="s">
        <v>38</v>
      </c>
      <c r="C33" s="10"/>
      <c r="D33" s="10"/>
      <c r="E33" s="10"/>
      <c r="F33" s="10"/>
      <c r="G33" s="11">
        <v>0</v>
      </c>
      <c r="H33" s="10"/>
      <c r="I33" s="10" t="s">
        <v>39</v>
      </c>
      <c r="J33" s="10"/>
      <c r="K33" s="10"/>
      <c r="L33" s="10">
        <f t="shared" si="3"/>
        <v>0</v>
      </c>
      <c r="M33" s="10"/>
      <c r="N33" s="10"/>
      <c r="O33" s="10">
        <v>0</v>
      </c>
      <c r="P33" s="10"/>
      <c r="Q33" s="10">
        <f t="shared" si="4"/>
        <v>0</v>
      </c>
      <c r="R33" s="12"/>
      <c r="S33" s="4">
        <f t="shared" si="10"/>
        <v>0</v>
      </c>
      <c r="T33" s="10" t="e">
        <f t="shared" si="5"/>
        <v>#DIV/0!</v>
      </c>
      <c r="U33" s="10" t="e">
        <f t="shared" si="6"/>
        <v>#DIV/0!</v>
      </c>
      <c r="V33" s="10">
        <v>0</v>
      </c>
      <c r="W33" s="10">
        <v>0</v>
      </c>
      <c r="X33" s="10">
        <v>0</v>
      </c>
      <c r="Y33" s="10">
        <v>0</v>
      </c>
      <c r="Z33" s="10">
        <v>0</v>
      </c>
      <c r="AA33" s="10">
        <v>0</v>
      </c>
      <c r="AB33" s="10">
        <v>0</v>
      </c>
      <c r="AC33" s="10">
        <v>0</v>
      </c>
      <c r="AD33" s="10">
        <v>0</v>
      </c>
      <c r="AE33" s="10">
        <v>0</v>
      </c>
      <c r="AF33" s="10" t="s">
        <v>47</v>
      </c>
      <c r="AG33" s="9">
        <f t="shared" si="7"/>
        <v>0</v>
      </c>
      <c r="AH33" t="s">
        <v>99</v>
      </c>
      <c r="AI33">
        <f>VLOOKUP(AH33,[1]Sheet!$AK:$AM,3,0)</f>
        <v>0</v>
      </c>
    </row>
    <row r="34" spans="1:35" hidden="1" x14ac:dyDescent="0.25">
      <c r="A34" s="9" t="s">
        <v>100</v>
      </c>
      <c r="B34" s="9" t="s">
        <v>38</v>
      </c>
      <c r="C34" s="9">
        <v>101.932</v>
      </c>
      <c r="D34" s="9">
        <v>446.892</v>
      </c>
      <c r="E34" s="9">
        <v>237.10900000000001</v>
      </c>
      <c r="F34" s="9">
        <v>284.95699999999999</v>
      </c>
      <c r="G34" s="6">
        <v>1</v>
      </c>
      <c r="H34" s="9">
        <v>30</v>
      </c>
      <c r="I34" s="9" t="s">
        <v>39</v>
      </c>
      <c r="J34" s="9"/>
      <c r="K34" s="9">
        <v>240.5</v>
      </c>
      <c r="L34" s="9">
        <f t="shared" si="3"/>
        <v>-3.3909999999999911</v>
      </c>
      <c r="M34" s="9"/>
      <c r="N34" s="9"/>
      <c r="O34" s="9">
        <v>50.253300000000138</v>
      </c>
      <c r="P34" s="9"/>
      <c r="Q34" s="9">
        <f t="shared" si="4"/>
        <v>47.421800000000005</v>
      </c>
      <c r="R34" s="4">
        <f>12*Q34-O34-F34</f>
        <v>233.85129999999992</v>
      </c>
      <c r="S34" s="4">
        <f>R34+$S$1*Q34</f>
        <v>215.59390699999992</v>
      </c>
      <c r="T34" s="9">
        <f t="shared" si="5"/>
        <v>11.999999999999998</v>
      </c>
      <c r="U34" s="9">
        <f t="shared" si="6"/>
        <v>7.0686962536217539</v>
      </c>
      <c r="V34" s="9">
        <v>41.256</v>
      </c>
      <c r="W34" s="9">
        <v>46.957599999999999</v>
      </c>
      <c r="X34" s="9">
        <v>52.282200000000003</v>
      </c>
      <c r="Y34" s="9">
        <v>40.8566</v>
      </c>
      <c r="Z34" s="9">
        <v>32.737400000000001</v>
      </c>
      <c r="AA34" s="9">
        <v>46.584200000000003</v>
      </c>
      <c r="AB34" s="9">
        <v>55.434800000000003</v>
      </c>
      <c r="AC34" s="9">
        <v>52.496000000000002</v>
      </c>
      <c r="AD34" s="9">
        <v>46.775199999999998</v>
      </c>
      <c r="AE34" s="9">
        <v>42.855600000000003</v>
      </c>
      <c r="AF34" s="9"/>
      <c r="AG34" s="9">
        <f t="shared" si="7"/>
        <v>216</v>
      </c>
      <c r="AH34" t="s">
        <v>101</v>
      </c>
      <c r="AI34">
        <f>VLOOKUP(AH34,[1]Sheet!$AK:$AM,3,0)</f>
        <v>0</v>
      </c>
    </row>
    <row r="35" spans="1:35" hidden="1" x14ac:dyDescent="0.25">
      <c r="A35" s="10" t="s">
        <v>102</v>
      </c>
      <c r="B35" s="10" t="s">
        <v>38</v>
      </c>
      <c r="C35" s="10"/>
      <c r="D35" s="10"/>
      <c r="E35" s="10"/>
      <c r="F35" s="10"/>
      <c r="G35" s="11">
        <v>0</v>
      </c>
      <c r="H35" s="10"/>
      <c r="I35" s="10" t="s">
        <v>39</v>
      </c>
      <c r="J35" s="10"/>
      <c r="K35" s="10"/>
      <c r="L35" s="10">
        <f t="shared" si="3"/>
        <v>0</v>
      </c>
      <c r="M35" s="10"/>
      <c r="N35" s="10"/>
      <c r="O35" s="10">
        <v>0</v>
      </c>
      <c r="P35" s="10"/>
      <c r="Q35" s="10">
        <f t="shared" si="4"/>
        <v>0</v>
      </c>
      <c r="R35" s="12"/>
      <c r="S35" s="4">
        <f>R35</f>
        <v>0</v>
      </c>
      <c r="T35" s="10" t="e">
        <f t="shared" si="5"/>
        <v>#DIV/0!</v>
      </c>
      <c r="U35" s="10" t="e">
        <f t="shared" si="6"/>
        <v>#DIV/0!</v>
      </c>
      <c r="V35" s="10">
        <v>0</v>
      </c>
      <c r="W35" s="10">
        <v>0</v>
      </c>
      <c r="X35" s="10">
        <v>0</v>
      </c>
      <c r="Y35" s="10">
        <v>0</v>
      </c>
      <c r="Z35" s="10">
        <v>0</v>
      </c>
      <c r="AA35" s="10">
        <v>0</v>
      </c>
      <c r="AB35" s="10">
        <v>0</v>
      </c>
      <c r="AC35" s="10">
        <v>0</v>
      </c>
      <c r="AD35" s="10">
        <v>0</v>
      </c>
      <c r="AE35" s="10">
        <v>0</v>
      </c>
      <c r="AF35" s="10" t="s">
        <v>47</v>
      </c>
      <c r="AG35" s="9">
        <f t="shared" si="7"/>
        <v>0</v>
      </c>
      <c r="AH35" t="s">
        <v>103</v>
      </c>
      <c r="AI35">
        <f>VLOOKUP(AH35,[1]Sheet!$AK:$AM,3,0)</f>
        <v>0</v>
      </c>
    </row>
    <row r="36" spans="1:35" hidden="1" x14ac:dyDescent="0.25">
      <c r="A36" s="10" t="s">
        <v>104</v>
      </c>
      <c r="B36" s="10" t="s">
        <v>38</v>
      </c>
      <c r="C36" s="10"/>
      <c r="D36" s="10"/>
      <c r="E36" s="10"/>
      <c r="F36" s="10"/>
      <c r="G36" s="11">
        <v>0</v>
      </c>
      <c r="H36" s="10"/>
      <c r="I36" s="10" t="s">
        <v>39</v>
      </c>
      <c r="J36" s="10"/>
      <c r="K36" s="10"/>
      <c r="L36" s="10">
        <f t="shared" si="3"/>
        <v>0</v>
      </c>
      <c r="M36" s="10"/>
      <c r="N36" s="10"/>
      <c r="O36" s="10">
        <v>0</v>
      </c>
      <c r="P36" s="10"/>
      <c r="Q36" s="10">
        <f t="shared" si="4"/>
        <v>0</v>
      </c>
      <c r="R36" s="12"/>
      <c r="S36" s="4">
        <f>R36</f>
        <v>0</v>
      </c>
      <c r="T36" s="10" t="e">
        <f t="shared" si="5"/>
        <v>#DIV/0!</v>
      </c>
      <c r="U36" s="10" t="e">
        <f t="shared" si="6"/>
        <v>#DIV/0!</v>
      </c>
      <c r="V36" s="10">
        <v>0</v>
      </c>
      <c r="W36" s="10">
        <v>0</v>
      </c>
      <c r="X36" s="10">
        <v>0</v>
      </c>
      <c r="Y36" s="10">
        <v>0</v>
      </c>
      <c r="Z36" s="10">
        <v>0</v>
      </c>
      <c r="AA36" s="10">
        <v>0</v>
      </c>
      <c r="AB36" s="10">
        <v>0</v>
      </c>
      <c r="AC36" s="10">
        <v>0</v>
      </c>
      <c r="AD36" s="10">
        <v>0</v>
      </c>
      <c r="AE36" s="10">
        <v>0</v>
      </c>
      <c r="AF36" s="10" t="s">
        <v>47</v>
      </c>
      <c r="AG36" s="9">
        <f t="shared" si="7"/>
        <v>0</v>
      </c>
      <c r="AH36" t="s">
        <v>105</v>
      </c>
      <c r="AI36">
        <f>VLOOKUP(AH36,[1]Sheet!$AK:$AM,3,0)</f>
        <v>0</v>
      </c>
    </row>
    <row r="37" spans="1:35" hidden="1" x14ac:dyDescent="0.25">
      <c r="A37" s="9" t="s">
        <v>106</v>
      </c>
      <c r="B37" s="9" t="s">
        <v>46</v>
      </c>
      <c r="C37" s="9">
        <v>2183.94</v>
      </c>
      <c r="D37" s="9">
        <v>3810</v>
      </c>
      <c r="E37" s="9">
        <v>4787</v>
      </c>
      <c r="F37" s="9">
        <v>1143.94</v>
      </c>
      <c r="G37" s="6">
        <v>0.4</v>
      </c>
      <c r="H37" s="9">
        <v>45</v>
      </c>
      <c r="I37" s="8" t="s">
        <v>82</v>
      </c>
      <c r="J37" s="9"/>
      <c r="K37" s="9">
        <v>4857</v>
      </c>
      <c r="L37" s="9">
        <f t="shared" si="3"/>
        <v>-70</v>
      </c>
      <c r="M37" s="9"/>
      <c r="N37" s="9"/>
      <c r="O37" s="9">
        <v>1918.46</v>
      </c>
      <c r="P37" s="9"/>
      <c r="Q37" s="9">
        <f t="shared" si="4"/>
        <v>957.4</v>
      </c>
      <c r="R37" s="4">
        <v>3000</v>
      </c>
      <c r="S37" s="4">
        <f>R37</f>
        <v>3000</v>
      </c>
      <c r="T37" s="9">
        <f t="shared" si="5"/>
        <v>6.3321495717568412</v>
      </c>
      <c r="U37" s="9">
        <f t="shared" si="6"/>
        <v>3.1986630457489036</v>
      </c>
      <c r="V37" s="9">
        <v>972</v>
      </c>
      <c r="W37" s="9">
        <v>989.81200000000013</v>
      </c>
      <c r="X37" s="9">
        <v>974.61200000000008</v>
      </c>
      <c r="Y37" s="9">
        <v>922.4</v>
      </c>
      <c r="Z37" s="9">
        <v>935.8</v>
      </c>
      <c r="AA37" s="9">
        <v>879.4</v>
      </c>
      <c r="AB37" s="9">
        <v>846.35859999999991</v>
      </c>
      <c r="AC37" s="9">
        <v>867.75859999999989</v>
      </c>
      <c r="AD37" s="9">
        <v>893.8</v>
      </c>
      <c r="AE37" s="9">
        <v>890.8</v>
      </c>
      <c r="AF37" s="9"/>
      <c r="AG37" s="9">
        <f t="shared" si="7"/>
        <v>1200</v>
      </c>
      <c r="AH37" t="s">
        <v>107</v>
      </c>
      <c r="AI37">
        <f>VLOOKUP(AH37,[1]Sheet!$AK:$AM,3,0)</f>
        <v>0</v>
      </c>
    </row>
    <row r="38" spans="1:35" hidden="1" x14ac:dyDescent="0.25">
      <c r="A38" s="9" t="s">
        <v>108</v>
      </c>
      <c r="B38" s="9" t="s">
        <v>46</v>
      </c>
      <c r="C38" s="9">
        <v>719</v>
      </c>
      <c r="D38" s="9">
        <v>200</v>
      </c>
      <c r="E38" s="9">
        <v>527</v>
      </c>
      <c r="F38" s="9">
        <v>382</v>
      </c>
      <c r="G38" s="6">
        <v>0.45</v>
      </c>
      <c r="H38" s="9">
        <v>50</v>
      </c>
      <c r="I38" s="9" t="s">
        <v>39</v>
      </c>
      <c r="J38" s="9"/>
      <c r="K38" s="9">
        <v>529</v>
      </c>
      <c r="L38" s="9">
        <f t="shared" ref="L38:L69" si="11">E38-K38</f>
        <v>-2</v>
      </c>
      <c r="M38" s="9"/>
      <c r="N38" s="9"/>
      <c r="O38" s="9">
        <v>509.06</v>
      </c>
      <c r="P38" s="9"/>
      <c r="Q38" s="9">
        <f t="shared" ref="Q38:Q69" si="12">E38/5</f>
        <v>105.4</v>
      </c>
      <c r="R38" s="4">
        <f>12*Q38-O38-F38</f>
        <v>373.74000000000024</v>
      </c>
      <c r="S38" s="4">
        <f>R38+$S$1*Q38</f>
        <v>333.16100000000023</v>
      </c>
      <c r="T38" s="9">
        <f t="shared" ref="T38:T69" si="13">(F38+O38+R38)/Q38</f>
        <v>12.000000000000002</v>
      </c>
      <c r="U38" s="9">
        <f t="shared" ref="U38:U69" si="14">(F38+O38)/Q38</f>
        <v>8.454079696394686</v>
      </c>
      <c r="V38" s="9">
        <v>102.8</v>
      </c>
      <c r="W38" s="9">
        <v>77.8</v>
      </c>
      <c r="X38" s="9">
        <v>75</v>
      </c>
      <c r="Y38" s="9">
        <v>65</v>
      </c>
      <c r="Z38" s="9">
        <v>95.6</v>
      </c>
      <c r="AA38" s="9">
        <v>101.8</v>
      </c>
      <c r="AB38" s="9">
        <v>92.4</v>
      </c>
      <c r="AC38" s="9">
        <v>96.2</v>
      </c>
      <c r="AD38" s="9">
        <v>96</v>
      </c>
      <c r="AE38" s="9">
        <v>109.6</v>
      </c>
      <c r="AF38" s="9"/>
      <c r="AG38" s="9">
        <f t="shared" ref="AG38:AG69" si="15">ROUND(G38*S38,0)</f>
        <v>150</v>
      </c>
      <c r="AH38" t="s">
        <v>109</v>
      </c>
      <c r="AI38">
        <f>VLOOKUP(AH38,[1]Sheet!$AK:$AM,3,0)</f>
        <v>0</v>
      </c>
    </row>
    <row r="39" spans="1:35" hidden="1" x14ac:dyDescent="0.25">
      <c r="A39" s="9" t="s">
        <v>110</v>
      </c>
      <c r="B39" s="9" t="s">
        <v>46</v>
      </c>
      <c r="C39" s="9">
        <v>354</v>
      </c>
      <c r="D39" s="9">
        <v>1013</v>
      </c>
      <c r="E39" s="9">
        <v>1084</v>
      </c>
      <c r="F39" s="9">
        <v>240</v>
      </c>
      <c r="G39" s="6">
        <v>0.4</v>
      </c>
      <c r="H39" s="9">
        <v>45</v>
      </c>
      <c r="I39" s="8" t="s">
        <v>82</v>
      </c>
      <c r="J39" s="9"/>
      <c r="K39" s="9">
        <v>1236</v>
      </c>
      <c r="L39" s="9">
        <f t="shared" si="11"/>
        <v>-152</v>
      </c>
      <c r="M39" s="9"/>
      <c r="N39" s="9"/>
      <c r="O39" s="9">
        <v>478.05</v>
      </c>
      <c r="P39" s="9"/>
      <c r="Q39" s="9">
        <f t="shared" si="12"/>
        <v>216.8</v>
      </c>
      <c r="R39" s="4">
        <v>500</v>
      </c>
      <c r="S39" s="4">
        <f t="shared" ref="S39:S47" si="16">R39</f>
        <v>500</v>
      </c>
      <c r="T39" s="9">
        <f t="shared" si="13"/>
        <v>5.6183118081180803</v>
      </c>
      <c r="U39" s="9">
        <f t="shared" si="14"/>
        <v>3.3120387453874534</v>
      </c>
      <c r="V39" s="9">
        <v>259</v>
      </c>
      <c r="W39" s="9">
        <v>245.2</v>
      </c>
      <c r="X39" s="9">
        <v>165.6</v>
      </c>
      <c r="Y39" s="9">
        <v>105.6</v>
      </c>
      <c r="Z39" s="9">
        <v>196.2</v>
      </c>
      <c r="AA39" s="9">
        <v>218.8</v>
      </c>
      <c r="AB39" s="9">
        <v>207.2</v>
      </c>
      <c r="AC39" s="9">
        <v>223</v>
      </c>
      <c r="AD39" s="9">
        <v>237.2</v>
      </c>
      <c r="AE39" s="9">
        <v>222</v>
      </c>
      <c r="AF39" s="9"/>
      <c r="AG39" s="9">
        <f t="shared" si="15"/>
        <v>200</v>
      </c>
      <c r="AH39" t="s">
        <v>111</v>
      </c>
      <c r="AI39">
        <f>VLOOKUP(AH39,[1]Sheet!$AK:$AM,3,0)</f>
        <v>0</v>
      </c>
    </row>
    <row r="40" spans="1:35" hidden="1" x14ac:dyDescent="0.25">
      <c r="A40" s="9" t="s">
        <v>112</v>
      </c>
      <c r="B40" s="9" t="s">
        <v>46</v>
      </c>
      <c r="C40" s="9">
        <v>42</v>
      </c>
      <c r="D40" s="9"/>
      <c r="E40" s="9">
        <v>19</v>
      </c>
      <c r="F40" s="9">
        <v>20</v>
      </c>
      <c r="G40" s="6">
        <v>0.4</v>
      </c>
      <c r="H40" s="9">
        <v>40</v>
      </c>
      <c r="I40" s="8" t="s">
        <v>82</v>
      </c>
      <c r="J40" s="9"/>
      <c r="K40" s="9">
        <v>20</v>
      </c>
      <c r="L40" s="9">
        <f t="shared" si="11"/>
        <v>-1</v>
      </c>
      <c r="M40" s="9"/>
      <c r="N40" s="9"/>
      <c r="O40" s="9">
        <v>0</v>
      </c>
      <c r="P40" s="9"/>
      <c r="Q40" s="9">
        <f t="shared" si="12"/>
        <v>3.8</v>
      </c>
      <c r="R40" s="4">
        <f>12*Q40-O40-F40</f>
        <v>25.599999999999994</v>
      </c>
      <c r="S40" s="4">
        <f t="shared" si="16"/>
        <v>25.599999999999994</v>
      </c>
      <c r="T40" s="9">
        <f t="shared" si="13"/>
        <v>11.999999999999998</v>
      </c>
      <c r="U40" s="9">
        <f t="shared" si="14"/>
        <v>5.2631578947368425</v>
      </c>
      <c r="V40" s="9">
        <v>2.6</v>
      </c>
      <c r="W40" s="9">
        <v>3.6</v>
      </c>
      <c r="X40" s="9">
        <v>2.2000000000000002</v>
      </c>
      <c r="Y40" s="9">
        <v>2.6</v>
      </c>
      <c r="Z40" s="9">
        <v>5.4</v>
      </c>
      <c r="AA40" s="9">
        <v>4</v>
      </c>
      <c r="AB40" s="9">
        <v>1.4</v>
      </c>
      <c r="AC40" s="9">
        <v>2.8</v>
      </c>
      <c r="AD40" s="9">
        <v>2.6</v>
      </c>
      <c r="AE40" s="9">
        <v>0.2</v>
      </c>
      <c r="AF40" s="9"/>
      <c r="AG40" s="9">
        <f t="shared" si="15"/>
        <v>10</v>
      </c>
      <c r="AH40" t="s">
        <v>113</v>
      </c>
      <c r="AI40">
        <f>VLOOKUP(AH40,[1]Sheet!$AK:$AM,3,0)</f>
        <v>0</v>
      </c>
    </row>
    <row r="41" spans="1:35" hidden="1" x14ac:dyDescent="0.25">
      <c r="A41" s="9" t="s">
        <v>114</v>
      </c>
      <c r="B41" s="9" t="s">
        <v>38</v>
      </c>
      <c r="C41" s="9">
        <v>0.64700000000000002</v>
      </c>
      <c r="D41" s="9">
        <v>256.16899999999998</v>
      </c>
      <c r="E41" s="9">
        <v>-7.5049999999999999</v>
      </c>
      <c r="F41" s="9">
        <v>256.81599999999997</v>
      </c>
      <c r="G41" s="6">
        <v>1</v>
      </c>
      <c r="H41" s="9">
        <v>45</v>
      </c>
      <c r="I41" s="9" t="s">
        <v>39</v>
      </c>
      <c r="J41" s="9"/>
      <c r="K41" s="9">
        <v>105</v>
      </c>
      <c r="L41" s="9">
        <f t="shared" si="11"/>
        <v>-112.505</v>
      </c>
      <c r="M41" s="9"/>
      <c r="N41" s="9"/>
      <c r="O41" s="9">
        <v>150</v>
      </c>
      <c r="P41" s="9"/>
      <c r="Q41" s="9">
        <f t="shared" si="12"/>
        <v>-1.5009999999999999</v>
      </c>
      <c r="R41" s="4">
        <v>100</v>
      </c>
      <c r="S41" s="4">
        <f t="shared" si="16"/>
        <v>100</v>
      </c>
      <c r="T41" s="9">
        <f t="shared" si="13"/>
        <v>-337.6522318454364</v>
      </c>
      <c r="U41" s="9">
        <f t="shared" si="14"/>
        <v>-271.02998001332446</v>
      </c>
      <c r="V41" s="9">
        <v>-2.0733999999999999</v>
      </c>
      <c r="W41" s="9">
        <v>9.1658000000000008</v>
      </c>
      <c r="X41" s="9">
        <v>37.942599999999999</v>
      </c>
      <c r="Y41" s="9">
        <v>58.043199999999999</v>
      </c>
      <c r="Z41" s="9">
        <v>60.015799999999999</v>
      </c>
      <c r="AA41" s="9">
        <v>55.129399999999997</v>
      </c>
      <c r="AB41" s="9">
        <v>48.190600000000003</v>
      </c>
      <c r="AC41" s="9">
        <v>52.069800000000001</v>
      </c>
      <c r="AD41" s="9">
        <v>54.658799999999999</v>
      </c>
      <c r="AE41" s="9">
        <v>61.988999999999997</v>
      </c>
      <c r="AF41" s="9"/>
      <c r="AG41" s="9">
        <f t="shared" si="15"/>
        <v>100</v>
      </c>
      <c r="AH41" t="s">
        <v>115</v>
      </c>
      <c r="AI41">
        <f>VLOOKUP(AH41,[1]Sheet!$AK:$AM,3,0)</f>
        <v>0</v>
      </c>
    </row>
    <row r="42" spans="1:35" hidden="1" x14ac:dyDescent="0.25">
      <c r="A42" s="9" t="s">
        <v>116</v>
      </c>
      <c r="B42" s="9" t="s">
        <v>46</v>
      </c>
      <c r="C42" s="9">
        <v>487</v>
      </c>
      <c r="D42" s="9">
        <v>700</v>
      </c>
      <c r="E42" s="9">
        <v>320</v>
      </c>
      <c r="F42" s="9">
        <v>833</v>
      </c>
      <c r="G42" s="6">
        <v>0.1</v>
      </c>
      <c r="H42" s="9">
        <v>731</v>
      </c>
      <c r="I42" s="9" t="s">
        <v>39</v>
      </c>
      <c r="J42" s="9"/>
      <c r="K42" s="9">
        <v>324</v>
      </c>
      <c r="L42" s="9">
        <f t="shared" si="11"/>
        <v>-4</v>
      </c>
      <c r="M42" s="9"/>
      <c r="N42" s="9"/>
      <c r="O42" s="9">
        <v>0</v>
      </c>
      <c r="P42" s="9"/>
      <c r="Q42" s="9">
        <f t="shared" si="12"/>
        <v>64</v>
      </c>
      <c r="R42" s="4"/>
      <c r="S42" s="4">
        <f t="shared" si="16"/>
        <v>0</v>
      </c>
      <c r="T42" s="9">
        <f t="shared" si="13"/>
        <v>13.015625</v>
      </c>
      <c r="U42" s="9">
        <f t="shared" si="14"/>
        <v>13.015625</v>
      </c>
      <c r="V42" s="9">
        <v>69.2</v>
      </c>
      <c r="W42" s="9">
        <v>86.4</v>
      </c>
      <c r="X42" s="9">
        <v>78.599999999999994</v>
      </c>
      <c r="Y42" s="9">
        <v>70.599999999999994</v>
      </c>
      <c r="Z42" s="9">
        <v>80.599999999999994</v>
      </c>
      <c r="AA42" s="9">
        <v>60.2</v>
      </c>
      <c r="AB42" s="9">
        <v>46.4</v>
      </c>
      <c r="AC42" s="9">
        <v>46.8</v>
      </c>
      <c r="AD42" s="9">
        <v>53.2</v>
      </c>
      <c r="AE42" s="9">
        <v>56.4</v>
      </c>
      <c r="AF42" s="9"/>
      <c r="AG42" s="9">
        <f t="shared" si="15"/>
        <v>0</v>
      </c>
      <c r="AH42" t="s">
        <v>117</v>
      </c>
      <c r="AI42">
        <f>VLOOKUP(AH42,[1]Sheet!$AK:$AM,3,0)</f>
        <v>0</v>
      </c>
    </row>
    <row r="43" spans="1:35" hidden="1" x14ac:dyDescent="0.25">
      <c r="A43" s="9" t="s">
        <v>118</v>
      </c>
      <c r="B43" s="9" t="s">
        <v>46</v>
      </c>
      <c r="C43" s="9"/>
      <c r="D43" s="9"/>
      <c r="E43" s="9">
        <v>-14</v>
      </c>
      <c r="F43" s="9"/>
      <c r="G43" s="6">
        <v>0.35</v>
      </c>
      <c r="H43" s="9">
        <v>40</v>
      </c>
      <c r="I43" s="8" t="s">
        <v>82</v>
      </c>
      <c r="J43" s="9"/>
      <c r="K43" s="9">
        <v>100</v>
      </c>
      <c r="L43" s="9">
        <f t="shared" si="11"/>
        <v>-114</v>
      </c>
      <c r="M43" s="9"/>
      <c r="N43" s="9"/>
      <c r="O43" s="9">
        <v>100</v>
      </c>
      <c r="P43" s="9"/>
      <c r="Q43" s="9">
        <f t="shared" si="12"/>
        <v>-2.8</v>
      </c>
      <c r="R43" s="4">
        <v>100</v>
      </c>
      <c r="S43" s="4">
        <f t="shared" si="16"/>
        <v>100</v>
      </c>
      <c r="T43" s="9">
        <f t="shared" si="13"/>
        <v>-71.428571428571431</v>
      </c>
      <c r="U43" s="9">
        <f t="shared" si="14"/>
        <v>-35.714285714285715</v>
      </c>
      <c r="V43" s="9">
        <v>-3</v>
      </c>
      <c r="W43" s="9">
        <v>6.8</v>
      </c>
      <c r="X43" s="9">
        <v>28.4</v>
      </c>
      <c r="Y43" s="9">
        <v>45</v>
      </c>
      <c r="Z43" s="9">
        <v>43.6</v>
      </c>
      <c r="AA43" s="9">
        <v>47.6</v>
      </c>
      <c r="AB43" s="9">
        <v>44.6</v>
      </c>
      <c r="AC43" s="9">
        <v>46.4</v>
      </c>
      <c r="AD43" s="9">
        <v>55.6</v>
      </c>
      <c r="AE43" s="9">
        <v>56.6</v>
      </c>
      <c r="AF43" s="9"/>
      <c r="AG43" s="9">
        <f t="shared" si="15"/>
        <v>35</v>
      </c>
      <c r="AH43" t="s">
        <v>119</v>
      </c>
      <c r="AI43">
        <f>VLOOKUP(AH43,[1]Sheet!$AK:$AM,3,0)</f>
        <v>0</v>
      </c>
    </row>
    <row r="44" spans="1:35" hidden="1" x14ac:dyDescent="0.25">
      <c r="A44" s="9" t="s">
        <v>120</v>
      </c>
      <c r="B44" s="9" t="s">
        <v>38</v>
      </c>
      <c r="C44" s="9">
        <v>38.927999999999997</v>
      </c>
      <c r="D44" s="9">
        <v>57.284999999999997</v>
      </c>
      <c r="E44" s="9">
        <v>44.469000000000001</v>
      </c>
      <c r="F44" s="9">
        <v>43.866999999999997</v>
      </c>
      <c r="G44" s="6">
        <v>1</v>
      </c>
      <c r="H44" s="9">
        <v>40</v>
      </c>
      <c r="I44" s="9" t="s">
        <v>39</v>
      </c>
      <c r="J44" s="9"/>
      <c r="K44" s="9">
        <v>51.65</v>
      </c>
      <c r="L44" s="9">
        <f t="shared" si="11"/>
        <v>-7.1809999999999974</v>
      </c>
      <c r="M44" s="9"/>
      <c r="N44" s="9"/>
      <c r="O44" s="9">
        <v>26.23439999999999</v>
      </c>
      <c r="P44" s="9"/>
      <c r="Q44" s="9">
        <f t="shared" si="12"/>
        <v>8.8938000000000006</v>
      </c>
      <c r="R44" s="4">
        <f>12*Q44-O44-F44</f>
        <v>36.624200000000023</v>
      </c>
      <c r="S44" s="4">
        <f t="shared" si="16"/>
        <v>36.624200000000023</v>
      </c>
      <c r="T44" s="9">
        <f t="shared" si="13"/>
        <v>12</v>
      </c>
      <c r="U44" s="9">
        <f t="shared" si="14"/>
        <v>7.8820526659020871</v>
      </c>
      <c r="V44" s="9">
        <v>8.7584</v>
      </c>
      <c r="W44" s="9">
        <v>7.7378</v>
      </c>
      <c r="X44" s="9">
        <v>8.1522000000000006</v>
      </c>
      <c r="Y44" s="9">
        <v>10.566599999999999</v>
      </c>
      <c r="Z44" s="9">
        <v>9.1028000000000002</v>
      </c>
      <c r="AA44" s="9">
        <v>7.556</v>
      </c>
      <c r="AB44" s="9">
        <v>7.9702000000000002</v>
      </c>
      <c r="AC44" s="9">
        <v>9.6010000000000009</v>
      </c>
      <c r="AD44" s="9">
        <v>10.6218</v>
      </c>
      <c r="AE44" s="9">
        <v>8.5141999999999989</v>
      </c>
      <c r="AF44" s="9"/>
      <c r="AG44" s="9">
        <f t="shared" si="15"/>
        <v>37</v>
      </c>
      <c r="AH44" t="s">
        <v>121</v>
      </c>
      <c r="AI44">
        <f>VLOOKUP(AH44,[1]Sheet!$AK:$AM,3,0)</f>
        <v>0</v>
      </c>
    </row>
    <row r="45" spans="1:35" hidden="1" x14ac:dyDescent="0.25">
      <c r="A45" s="9" t="s">
        <v>122</v>
      </c>
      <c r="B45" s="9" t="s">
        <v>46</v>
      </c>
      <c r="C45" s="9"/>
      <c r="D45" s="9">
        <v>156</v>
      </c>
      <c r="E45" s="9">
        <v>35</v>
      </c>
      <c r="F45" s="9">
        <v>104</v>
      </c>
      <c r="G45" s="6">
        <v>0.4</v>
      </c>
      <c r="H45" s="9">
        <v>40</v>
      </c>
      <c r="I45" s="8" t="s">
        <v>82</v>
      </c>
      <c r="J45" s="9"/>
      <c r="K45" s="9">
        <v>46</v>
      </c>
      <c r="L45" s="9">
        <f t="shared" si="11"/>
        <v>-11</v>
      </c>
      <c r="M45" s="9"/>
      <c r="N45" s="9"/>
      <c r="O45" s="9">
        <v>100</v>
      </c>
      <c r="P45" s="9"/>
      <c r="Q45" s="9">
        <f t="shared" si="12"/>
        <v>7</v>
      </c>
      <c r="R45" s="4">
        <v>80</v>
      </c>
      <c r="S45" s="4">
        <f t="shared" si="16"/>
        <v>80</v>
      </c>
      <c r="T45" s="9">
        <f t="shared" si="13"/>
        <v>40.571428571428569</v>
      </c>
      <c r="U45" s="9">
        <f t="shared" si="14"/>
        <v>29.142857142857142</v>
      </c>
      <c r="V45" s="9">
        <v>3</v>
      </c>
      <c r="W45" s="9">
        <v>44.6</v>
      </c>
      <c r="X45" s="9">
        <v>42.4</v>
      </c>
      <c r="Y45" s="9">
        <v>-0.8</v>
      </c>
      <c r="Z45" s="9">
        <v>17.2</v>
      </c>
      <c r="AA45" s="9">
        <v>30.2</v>
      </c>
      <c r="AB45" s="9">
        <v>32.799999999999997</v>
      </c>
      <c r="AC45" s="9">
        <v>44.6</v>
      </c>
      <c r="AD45" s="9">
        <v>38.6</v>
      </c>
      <c r="AE45" s="9">
        <v>36.200000000000003</v>
      </c>
      <c r="AF45" s="9"/>
      <c r="AG45" s="9">
        <f t="shared" si="15"/>
        <v>32</v>
      </c>
      <c r="AH45" t="s">
        <v>123</v>
      </c>
      <c r="AI45">
        <f>VLOOKUP(AH45,[1]Sheet!$AK:$AM,3,0)</f>
        <v>0</v>
      </c>
    </row>
    <row r="46" spans="1:35" hidden="1" x14ac:dyDescent="0.25">
      <c r="A46" s="9" t="s">
        <v>124</v>
      </c>
      <c r="B46" s="9" t="s">
        <v>46</v>
      </c>
      <c r="C46" s="9">
        <v>12</v>
      </c>
      <c r="D46" s="9">
        <v>102</v>
      </c>
      <c r="E46" s="9">
        <v>-4</v>
      </c>
      <c r="F46" s="9">
        <v>112</v>
      </c>
      <c r="G46" s="6">
        <v>0.4</v>
      </c>
      <c r="H46" s="9">
        <v>45</v>
      </c>
      <c r="I46" s="8" t="s">
        <v>82</v>
      </c>
      <c r="J46" s="9"/>
      <c r="K46" s="9">
        <v>308</v>
      </c>
      <c r="L46" s="9">
        <f t="shared" si="11"/>
        <v>-312</v>
      </c>
      <c r="M46" s="9"/>
      <c r="N46" s="9"/>
      <c r="O46" s="9">
        <v>147.6</v>
      </c>
      <c r="P46" s="9"/>
      <c r="Q46" s="9">
        <f t="shared" si="12"/>
        <v>-0.8</v>
      </c>
      <c r="R46" s="4">
        <v>150</v>
      </c>
      <c r="S46" s="4">
        <f t="shared" si="16"/>
        <v>150</v>
      </c>
      <c r="T46" s="9">
        <f t="shared" si="13"/>
        <v>-512</v>
      </c>
      <c r="U46" s="9">
        <f t="shared" si="14"/>
        <v>-324.5</v>
      </c>
      <c r="V46" s="9">
        <v>23.6</v>
      </c>
      <c r="W46" s="9">
        <v>52.4</v>
      </c>
      <c r="X46" s="9">
        <v>27.8</v>
      </c>
      <c r="Y46" s="9">
        <v>-0.8</v>
      </c>
      <c r="Z46" s="9">
        <v>6.6</v>
      </c>
      <c r="AA46" s="9">
        <v>42.6</v>
      </c>
      <c r="AB46" s="9">
        <v>57.4</v>
      </c>
      <c r="AC46" s="9">
        <v>39.6</v>
      </c>
      <c r="AD46" s="9">
        <v>35.4</v>
      </c>
      <c r="AE46" s="9">
        <v>36</v>
      </c>
      <c r="AF46" s="9"/>
      <c r="AG46" s="9">
        <f t="shared" si="15"/>
        <v>60</v>
      </c>
      <c r="AH46" t="s">
        <v>125</v>
      </c>
      <c r="AI46">
        <f>VLOOKUP(AH46,[1]Sheet!$AK:$AM,3,0)</f>
        <v>0</v>
      </c>
    </row>
    <row r="47" spans="1:35" hidden="1" x14ac:dyDescent="0.25">
      <c r="A47" s="9" t="s">
        <v>126</v>
      </c>
      <c r="B47" s="9" t="s">
        <v>38</v>
      </c>
      <c r="C47" s="9">
        <v>327.53800000000001</v>
      </c>
      <c r="D47" s="9"/>
      <c r="E47" s="9">
        <v>91.944999999999993</v>
      </c>
      <c r="F47" s="9">
        <v>224.113</v>
      </c>
      <c r="G47" s="6">
        <v>1</v>
      </c>
      <c r="H47" s="9">
        <v>40</v>
      </c>
      <c r="I47" s="9" t="s">
        <v>39</v>
      </c>
      <c r="J47" s="9"/>
      <c r="K47" s="9">
        <v>98.5</v>
      </c>
      <c r="L47" s="9">
        <f t="shared" si="11"/>
        <v>-6.5550000000000068</v>
      </c>
      <c r="M47" s="9"/>
      <c r="N47" s="9"/>
      <c r="O47" s="9">
        <v>0</v>
      </c>
      <c r="P47" s="9"/>
      <c r="Q47" s="9">
        <f t="shared" si="12"/>
        <v>18.388999999999999</v>
      </c>
      <c r="R47" s="4"/>
      <c r="S47" s="4">
        <f t="shared" si="16"/>
        <v>0</v>
      </c>
      <c r="T47" s="9">
        <f t="shared" si="13"/>
        <v>12.187340257762793</v>
      </c>
      <c r="U47" s="9">
        <f t="shared" si="14"/>
        <v>12.187340257762793</v>
      </c>
      <c r="V47" s="9">
        <v>21.290800000000001</v>
      </c>
      <c r="W47" s="9">
        <v>17.810400000000001</v>
      </c>
      <c r="X47" s="9">
        <v>16.632000000000001</v>
      </c>
      <c r="Y47" s="9">
        <v>22.530799999999999</v>
      </c>
      <c r="Z47" s="9">
        <v>20.517600000000002</v>
      </c>
      <c r="AA47" s="9">
        <v>24.51</v>
      </c>
      <c r="AB47" s="9">
        <v>25.950800000000001</v>
      </c>
      <c r="AC47" s="9">
        <v>25.9468</v>
      </c>
      <c r="AD47" s="9">
        <v>25.837199999999999</v>
      </c>
      <c r="AE47" s="9">
        <v>21.918800000000001</v>
      </c>
      <c r="AF47" s="15" t="s">
        <v>127</v>
      </c>
      <c r="AG47" s="9">
        <f t="shared" si="15"/>
        <v>0</v>
      </c>
      <c r="AH47" t="s">
        <v>128</v>
      </c>
      <c r="AI47">
        <f>VLOOKUP(AH47,[1]Sheet!$AK:$AM,3,0)</f>
        <v>0</v>
      </c>
    </row>
    <row r="48" spans="1:35" hidden="1" x14ac:dyDescent="0.25">
      <c r="A48" s="9" t="s">
        <v>129</v>
      </c>
      <c r="B48" s="9" t="s">
        <v>46</v>
      </c>
      <c r="C48" s="9">
        <v>2509</v>
      </c>
      <c r="D48" s="9">
        <v>866</v>
      </c>
      <c r="E48" s="9">
        <v>1155</v>
      </c>
      <c r="F48" s="9">
        <v>2109</v>
      </c>
      <c r="G48" s="6">
        <v>0.35</v>
      </c>
      <c r="H48" s="9">
        <v>40</v>
      </c>
      <c r="I48" s="9" t="s">
        <v>39</v>
      </c>
      <c r="J48" s="9"/>
      <c r="K48" s="9">
        <v>1184</v>
      </c>
      <c r="L48" s="9">
        <f t="shared" si="11"/>
        <v>-29</v>
      </c>
      <c r="M48" s="9"/>
      <c r="N48" s="9"/>
      <c r="O48" s="9">
        <v>0</v>
      </c>
      <c r="P48" s="9"/>
      <c r="Q48" s="9">
        <f t="shared" si="12"/>
        <v>231</v>
      </c>
      <c r="R48" s="4">
        <f>12*Q48-O48-F48</f>
        <v>663</v>
      </c>
      <c r="S48" s="4">
        <f>R48+$S$1*Q48</f>
        <v>574.06500000000005</v>
      </c>
      <c r="T48" s="9">
        <f t="shared" si="13"/>
        <v>12</v>
      </c>
      <c r="U48" s="9">
        <f t="shared" si="14"/>
        <v>9.1298701298701292</v>
      </c>
      <c r="V48" s="9">
        <v>229.8</v>
      </c>
      <c r="W48" s="9">
        <v>254</v>
      </c>
      <c r="X48" s="9">
        <v>261.39999999999998</v>
      </c>
      <c r="Y48" s="9">
        <v>234</v>
      </c>
      <c r="Z48" s="9">
        <v>230.6</v>
      </c>
      <c r="AA48" s="9">
        <v>272.2</v>
      </c>
      <c r="AB48" s="9">
        <v>290.39999999999998</v>
      </c>
      <c r="AC48" s="9">
        <v>282.2</v>
      </c>
      <c r="AD48" s="9">
        <v>295</v>
      </c>
      <c r="AE48" s="9">
        <v>315.2</v>
      </c>
      <c r="AF48" s="9"/>
      <c r="AG48" s="9">
        <f t="shared" si="15"/>
        <v>201</v>
      </c>
      <c r="AH48" t="s">
        <v>130</v>
      </c>
      <c r="AI48">
        <f>VLOOKUP(AH48,[1]Sheet!$AK:$AM,3,0)</f>
        <v>0</v>
      </c>
    </row>
    <row r="49" spans="1:35" hidden="1" x14ac:dyDescent="0.25">
      <c r="A49" s="9" t="s">
        <v>131</v>
      </c>
      <c r="B49" s="9" t="s">
        <v>46</v>
      </c>
      <c r="C49" s="9">
        <v>971</v>
      </c>
      <c r="D49" s="9">
        <v>208</v>
      </c>
      <c r="E49" s="9">
        <v>698</v>
      </c>
      <c r="F49" s="9">
        <v>417</v>
      </c>
      <c r="G49" s="6">
        <v>0.4</v>
      </c>
      <c r="H49" s="9">
        <v>40</v>
      </c>
      <c r="I49" s="8" t="s">
        <v>82</v>
      </c>
      <c r="J49" s="9"/>
      <c r="K49" s="9">
        <v>714</v>
      </c>
      <c r="L49" s="9">
        <f t="shared" si="11"/>
        <v>-16</v>
      </c>
      <c r="M49" s="9"/>
      <c r="N49" s="9"/>
      <c r="O49" s="9">
        <v>782.55</v>
      </c>
      <c r="P49" s="9"/>
      <c r="Q49" s="9">
        <f t="shared" si="12"/>
        <v>139.6</v>
      </c>
      <c r="R49" s="4">
        <f>12*Q49-O49-F49</f>
        <v>475.64999999999986</v>
      </c>
      <c r="S49" s="4">
        <f>R49</f>
        <v>475.64999999999986</v>
      </c>
      <c r="T49" s="9">
        <f t="shared" si="13"/>
        <v>12</v>
      </c>
      <c r="U49" s="9">
        <f t="shared" si="14"/>
        <v>8.5927650429799431</v>
      </c>
      <c r="V49" s="9">
        <v>149</v>
      </c>
      <c r="W49" s="9">
        <v>103</v>
      </c>
      <c r="X49" s="9">
        <v>49.8</v>
      </c>
      <c r="Y49" s="9">
        <v>86</v>
      </c>
      <c r="Z49" s="9">
        <v>134.4</v>
      </c>
      <c r="AA49" s="9">
        <v>143.4</v>
      </c>
      <c r="AB49" s="9">
        <v>127.4</v>
      </c>
      <c r="AC49" s="9">
        <v>113.8</v>
      </c>
      <c r="AD49" s="9">
        <v>119.2</v>
      </c>
      <c r="AE49" s="9">
        <v>124</v>
      </c>
      <c r="AF49" s="9"/>
      <c r="AG49" s="9">
        <f t="shared" si="15"/>
        <v>190</v>
      </c>
      <c r="AH49" t="s">
        <v>132</v>
      </c>
      <c r="AI49">
        <f>VLOOKUP(AH49,[1]Sheet!$AK:$AM,3,0)</f>
        <v>0</v>
      </c>
    </row>
    <row r="50" spans="1:35" hidden="1" x14ac:dyDescent="0.25">
      <c r="A50" s="9" t="s">
        <v>133</v>
      </c>
      <c r="B50" s="9" t="s">
        <v>38</v>
      </c>
      <c r="C50" s="9">
        <v>606.31899999999996</v>
      </c>
      <c r="D50" s="9">
        <v>649.97699999999998</v>
      </c>
      <c r="E50" s="9">
        <v>372.8</v>
      </c>
      <c r="F50" s="9">
        <v>846.87099999999998</v>
      </c>
      <c r="G50" s="6">
        <v>1</v>
      </c>
      <c r="H50" s="9">
        <v>50</v>
      </c>
      <c r="I50" s="9" t="s">
        <v>39</v>
      </c>
      <c r="J50" s="9"/>
      <c r="K50" s="9">
        <v>387.85</v>
      </c>
      <c r="L50" s="9">
        <f t="shared" si="11"/>
        <v>-15.050000000000011</v>
      </c>
      <c r="M50" s="9"/>
      <c r="N50" s="9"/>
      <c r="O50" s="9">
        <v>0</v>
      </c>
      <c r="P50" s="9"/>
      <c r="Q50" s="9">
        <f t="shared" si="12"/>
        <v>74.56</v>
      </c>
      <c r="R50" s="4">
        <f>12*Q50-O50-F50</f>
        <v>47.849000000000046</v>
      </c>
      <c r="S50" s="4">
        <f>R50</f>
        <v>47.849000000000046</v>
      </c>
      <c r="T50" s="9">
        <f t="shared" si="13"/>
        <v>12</v>
      </c>
      <c r="U50" s="9">
        <f t="shared" si="14"/>
        <v>11.358248390557939</v>
      </c>
      <c r="V50" s="9">
        <v>74.037400000000005</v>
      </c>
      <c r="W50" s="9">
        <v>94.643200000000007</v>
      </c>
      <c r="X50" s="9">
        <v>101.782</v>
      </c>
      <c r="Y50" s="9">
        <v>92.1952</v>
      </c>
      <c r="Z50" s="9">
        <v>85.624400000000009</v>
      </c>
      <c r="AA50" s="9">
        <v>98.405999999999992</v>
      </c>
      <c r="AB50" s="9">
        <v>105.60339999999999</v>
      </c>
      <c r="AC50" s="9">
        <v>102.15940000000001</v>
      </c>
      <c r="AD50" s="9">
        <v>104.79640000000001</v>
      </c>
      <c r="AE50" s="9">
        <v>96.198999999999998</v>
      </c>
      <c r="AF50" s="9"/>
      <c r="AG50" s="9">
        <f t="shared" si="15"/>
        <v>48</v>
      </c>
      <c r="AH50" t="s">
        <v>134</v>
      </c>
      <c r="AI50">
        <f>VLOOKUP(AH50,[1]Sheet!$AK:$AM,3,0)</f>
        <v>0</v>
      </c>
    </row>
    <row r="51" spans="1:35" hidden="1" x14ac:dyDescent="0.25">
      <c r="A51" s="9" t="s">
        <v>135</v>
      </c>
      <c r="B51" s="9" t="s">
        <v>38</v>
      </c>
      <c r="C51" s="9">
        <v>786.68899999999996</v>
      </c>
      <c r="D51" s="9">
        <v>622.11800000000005</v>
      </c>
      <c r="E51" s="9">
        <v>529.04499999999996</v>
      </c>
      <c r="F51" s="9">
        <v>832.24</v>
      </c>
      <c r="G51" s="6">
        <v>1</v>
      </c>
      <c r="H51" s="9">
        <v>50</v>
      </c>
      <c r="I51" s="9" t="s">
        <v>39</v>
      </c>
      <c r="J51" s="9"/>
      <c r="K51" s="9">
        <v>527.9</v>
      </c>
      <c r="L51" s="9">
        <f t="shared" si="11"/>
        <v>1.1449999999999818</v>
      </c>
      <c r="M51" s="9"/>
      <c r="N51" s="9"/>
      <c r="O51" s="9">
        <v>26.255919999999719</v>
      </c>
      <c r="P51" s="9"/>
      <c r="Q51" s="9">
        <f t="shared" si="12"/>
        <v>105.809</v>
      </c>
      <c r="R51" s="4">
        <f>12*Q51-O51-F51</f>
        <v>411.21208000000047</v>
      </c>
      <c r="S51" s="4">
        <f>R51+$S$1*Q51</f>
        <v>370.47561500000046</v>
      </c>
      <c r="T51" s="9">
        <f t="shared" si="13"/>
        <v>12.000000000000002</v>
      </c>
      <c r="U51" s="9">
        <f t="shared" si="14"/>
        <v>8.1136379703049819</v>
      </c>
      <c r="V51" s="9">
        <v>99.316400000000002</v>
      </c>
      <c r="W51" s="9">
        <v>104.8566</v>
      </c>
      <c r="X51" s="9">
        <v>106.93259999999999</v>
      </c>
      <c r="Y51" s="9">
        <v>107.8848</v>
      </c>
      <c r="Z51" s="9">
        <v>115.07080000000001</v>
      </c>
      <c r="AA51" s="9">
        <v>121.9318</v>
      </c>
      <c r="AB51" s="9">
        <v>115.127</v>
      </c>
      <c r="AC51" s="9">
        <v>112.86660000000001</v>
      </c>
      <c r="AD51" s="9">
        <v>117.1014</v>
      </c>
      <c r="AE51" s="9">
        <v>120.026</v>
      </c>
      <c r="AF51" s="9"/>
      <c r="AG51" s="9">
        <f t="shared" si="15"/>
        <v>370</v>
      </c>
      <c r="AH51" t="s">
        <v>136</v>
      </c>
      <c r="AI51">
        <f>VLOOKUP(AH51,[1]Sheet!$AK:$AM,3,0)</f>
        <v>0</v>
      </c>
    </row>
    <row r="52" spans="1:35" hidden="1" x14ac:dyDescent="0.25">
      <c r="A52" s="9" t="s">
        <v>137</v>
      </c>
      <c r="B52" s="9" t="s">
        <v>38</v>
      </c>
      <c r="C52" s="9">
        <v>35.496000000000002</v>
      </c>
      <c r="D52" s="9"/>
      <c r="E52" s="9">
        <v>2.92</v>
      </c>
      <c r="F52" s="9">
        <v>32.576000000000001</v>
      </c>
      <c r="G52" s="6">
        <v>1</v>
      </c>
      <c r="H52" s="9">
        <v>45</v>
      </c>
      <c r="I52" s="8" t="s">
        <v>82</v>
      </c>
      <c r="J52" s="9"/>
      <c r="K52" s="9">
        <v>113.1</v>
      </c>
      <c r="L52" s="9">
        <f t="shared" si="11"/>
        <v>-110.17999999999999</v>
      </c>
      <c r="M52" s="9"/>
      <c r="N52" s="9"/>
      <c r="O52" s="9">
        <v>50</v>
      </c>
      <c r="P52" s="9"/>
      <c r="Q52" s="9">
        <f t="shared" si="12"/>
        <v>0.58399999999999996</v>
      </c>
      <c r="R52" s="4">
        <v>50</v>
      </c>
      <c r="S52" s="4">
        <f>R52</f>
        <v>50</v>
      </c>
      <c r="T52" s="9">
        <f t="shared" si="13"/>
        <v>227.01369863013699</v>
      </c>
      <c r="U52" s="9">
        <f t="shared" si="14"/>
        <v>141.39726027397259</v>
      </c>
      <c r="V52" s="9">
        <v>9.094199999999999</v>
      </c>
      <c r="W52" s="9">
        <v>17.8614</v>
      </c>
      <c r="X52" s="9">
        <v>19.946200000000001</v>
      </c>
      <c r="Y52" s="9">
        <v>17.854199999999999</v>
      </c>
      <c r="Z52" s="9">
        <v>15.411</v>
      </c>
      <c r="AA52" s="9">
        <v>11.0654</v>
      </c>
      <c r="AB52" s="9">
        <v>9.3583999999999996</v>
      </c>
      <c r="AC52" s="9">
        <v>8.730599999999999</v>
      </c>
      <c r="AD52" s="9">
        <v>4.0386000000000006</v>
      </c>
      <c r="AE52" s="9">
        <v>8.4756</v>
      </c>
      <c r="AF52" s="9"/>
      <c r="AG52" s="9">
        <f t="shared" si="15"/>
        <v>50</v>
      </c>
      <c r="AH52" t="s">
        <v>138</v>
      </c>
      <c r="AI52">
        <f>VLOOKUP(AH52,[1]Sheet!$AK:$AM,3,0)</f>
        <v>0</v>
      </c>
    </row>
    <row r="53" spans="1:35" hidden="1" x14ac:dyDescent="0.25">
      <c r="A53" s="9" t="s">
        <v>139</v>
      </c>
      <c r="B53" s="9" t="s">
        <v>46</v>
      </c>
      <c r="C53" s="9">
        <v>381</v>
      </c>
      <c r="D53" s="9">
        <v>30</v>
      </c>
      <c r="E53" s="9">
        <v>212</v>
      </c>
      <c r="F53" s="9">
        <v>185</v>
      </c>
      <c r="G53" s="6">
        <v>0.45</v>
      </c>
      <c r="H53" s="9">
        <v>50</v>
      </c>
      <c r="I53" s="9" t="s">
        <v>39</v>
      </c>
      <c r="J53" s="9"/>
      <c r="K53" s="9">
        <v>218</v>
      </c>
      <c r="L53" s="9">
        <f t="shared" si="11"/>
        <v>-6</v>
      </c>
      <c r="M53" s="9"/>
      <c r="N53" s="9"/>
      <c r="O53" s="9">
        <v>161.67999999999989</v>
      </c>
      <c r="P53" s="9"/>
      <c r="Q53" s="9">
        <f t="shared" si="12"/>
        <v>42.4</v>
      </c>
      <c r="R53" s="4">
        <f>12*Q53-O53-F53</f>
        <v>162.12000000000006</v>
      </c>
      <c r="S53" s="4">
        <f>R53</f>
        <v>162.12000000000006</v>
      </c>
      <c r="T53" s="9">
        <f t="shared" si="13"/>
        <v>12</v>
      </c>
      <c r="U53" s="9">
        <f t="shared" si="14"/>
        <v>8.176415094339621</v>
      </c>
      <c r="V53" s="9">
        <v>40.4</v>
      </c>
      <c r="W53" s="9">
        <v>35</v>
      </c>
      <c r="X53" s="9">
        <v>41.4</v>
      </c>
      <c r="Y53" s="9">
        <v>38.799999999999997</v>
      </c>
      <c r="Z53" s="9">
        <v>36.6</v>
      </c>
      <c r="AA53" s="9">
        <v>46.2</v>
      </c>
      <c r="AB53" s="9">
        <v>56</v>
      </c>
      <c r="AC53" s="9">
        <v>66.599999999999994</v>
      </c>
      <c r="AD53" s="9">
        <v>68</v>
      </c>
      <c r="AE53" s="9">
        <v>62</v>
      </c>
      <c r="AF53" s="9"/>
      <c r="AG53" s="9">
        <f t="shared" si="15"/>
        <v>73</v>
      </c>
      <c r="AH53" t="s">
        <v>140</v>
      </c>
      <c r="AI53">
        <f>VLOOKUP(AH53,[1]Sheet!$AK:$AM,3,0)</f>
        <v>0</v>
      </c>
    </row>
    <row r="54" spans="1:35" hidden="1" x14ac:dyDescent="0.25">
      <c r="A54" s="9" t="s">
        <v>141</v>
      </c>
      <c r="B54" s="9" t="s">
        <v>46</v>
      </c>
      <c r="C54" s="9">
        <v>908</v>
      </c>
      <c r="D54" s="9">
        <v>370</v>
      </c>
      <c r="E54" s="9">
        <v>484</v>
      </c>
      <c r="F54" s="9">
        <v>771</v>
      </c>
      <c r="G54" s="6">
        <v>0.45</v>
      </c>
      <c r="H54" s="9">
        <v>50</v>
      </c>
      <c r="I54" s="9" t="s">
        <v>39</v>
      </c>
      <c r="J54" s="9"/>
      <c r="K54" s="9">
        <v>529</v>
      </c>
      <c r="L54" s="9">
        <f t="shared" si="11"/>
        <v>-45</v>
      </c>
      <c r="M54" s="9"/>
      <c r="N54" s="9"/>
      <c r="O54" s="9">
        <v>75.960000000000036</v>
      </c>
      <c r="P54" s="9"/>
      <c r="Q54" s="9">
        <f t="shared" si="12"/>
        <v>96.8</v>
      </c>
      <c r="R54" s="4">
        <f>12*Q54-O54-F54</f>
        <v>314.63999999999987</v>
      </c>
      <c r="S54" s="4">
        <f>R54+$S$1*Q54</f>
        <v>277.37199999999984</v>
      </c>
      <c r="T54" s="9">
        <f t="shared" si="13"/>
        <v>12</v>
      </c>
      <c r="U54" s="9">
        <f t="shared" si="14"/>
        <v>8.7495867768595055</v>
      </c>
      <c r="V54" s="9">
        <v>93.2</v>
      </c>
      <c r="W54" s="9">
        <v>95.8</v>
      </c>
      <c r="X54" s="9">
        <v>91.6</v>
      </c>
      <c r="Y54" s="9">
        <v>94.4</v>
      </c>
      <c r="Z54" s="9">
        <v>114.6</v>
      </c>
      <c r="AA54" s="9">
        <v>103.4</v>
      </c>
      <c r="AB54" s="9">
        <v>94</v>
      </c>
      <c r="AC54" s="9">
        <v>111.2</v>
      </c>
      <c r="AD54" s="9">
        <v>109</v>
      </c>
      <c r="AE54" s="9">
        <v>109</v>
      </c>
      <c r="AF54" s="9"/>
      <c r="AG54" s="9">
        <f t="shared" si="15"/>
        <v>125</v>
      </c>
      <c r="AH54" t="s">
        <v>142</v>
      </c>
      <c r="AI54">
        <f>VLOOKUP(AH54,[1]Sheet!$AK:$AM,3,0)</f>
        <v>0</v>
      </c>
    </row>
    <row r="55" spans="1:35" hidden="1" x14ac:dyDescent="0.25">
      <c r="A55" s="9" t="s">
        <v>143</v>
      </c>
      <c r="B55" s="9" t="s">
        <v>46</v>
      </c>
      <c r="C55" s="9">
        <v>129</v>
      </c>
      <c r="D55" s="9">
        <v>156</v>
      </c>
      <c r="E55" s="9">
        <v>95</v>
      </c>
      <c r="F55" s="9">
        <v>181</v>
      </c>
      <c r="G55" s="6">
        <v>0.4</v>
      </c>
      <c r="H55" s="9">
        <v>40</v>
      </c>
      <c r="I55" s="9" t="s">
        <v>39</v>
      </c>
      <c r="J55" s="9"/>
      <c r="K55" s="9">
        <v>103</v>
      </c>
      <c r="L55" s="9">
        <f t="shared" si="11"/>
        <v>-8</v>
      </c>
      <c r="M55" s="9"/>
      <c r="N55" s="9"/>
      <c r="O55" s="9">
        <v>0</v>
      </c>
      <c r="P55" s="9"/>
      <c r="Q55" s="9">
        <f t="shared" si="12"/>
        <v>19</v>
      </c>
      <c r="R55" s="4">
        <f>12*Q55-O55-F55</f>
        <v>47</v>
      </c>
      <c r="S55" s="4">
        <f>R55</f>
        <v>47</v>
      </c>
      <c r="T55" s="9">
        <f t="shared" si="13"/>
        <v>12</v>
      </c>
      <c r="U55" s="9">
        <f t="shared" si="14"/>
        <v>9.526315789473685</v>
      </c>
      <c r="V55" s="9">
        <v>19.8</v>
      </c>
      <c r="W55" s="9">
        <v>25.6</v>
      </c>
      <c r="X55" s="9">
        <v>30.8</v>
      </c>
      <c r="Y55" s="9">
        <v>30.8</v>
      </c>
      <c r="Z55" s="9">
        <v>25.8</v>
      </c>
      <c r="AA55" s="9">
        <v>27.4</v>
      </c>
      <c r="AB55" s="9">
        <v>37.200000000000003</v>
      </c>
      <c r="AC55" s="9">
        <v>33.6</v>
      </c>
      <c r="AD55" s="9">
        <v>27.6</v>
      </c>
      <c r="AE55" s="9">
        <v>19.600000000000001</v>
      </c>
      <c r="AF55" s="9"/>
      <c r="AG55" s="9">
        <f t="shared" si="15"/>
        <v>19</v>
      </c>
      <c r="AH55" t="s">
        <v>144</v>
      </c>
      <c r="AI55">
        <f>VLOOKUP(AH55,[1]Sheet!$AK:$AM,3,0)</f>
        <v>0</v>
      </c>
    </row>
    <row r="56" spans="1:35" hidden="1" x14ac:dyDescent="0.25">
      <c r="A56" s="9" t="s">
        <v>145</v>
      </c>
      <c r="B56" s="9" t="s">
        <v>46</v>
      </c>
      <c r="C56" s="9">
        <v>64</v>
      </c>
      <c r="D56" s="9">
        <v>126</v>
      </c>
      <c r="E56" s="9">
        <v>44</v>
      </c>
      <c r="F56" s="9">
        <v>137</v>
      </c>
      <c r="G56" s="6">
        <v>0.4</v>
      </c>
      <c r="H56" s="9">
        <v>40</v>
      </c>
      <c r="I56" s="8" t="s">
        <v>82</v>
      </c>
      <c r="J56" s="9"/>
      <c r="K56" s="9">
        <v>52</v>
      </c>
      <c r="L56" s="9">
        <f t="shared" si="11"/>
        <v>-8</v>
      </c>
      <c r="M56" s="9"/>
      <c r="N56" s="9"/>
      <c r="O56" s="9">
        <v>10</v>
      </c>
      <c r="P56" s="9"/>
      <c r="Q56" s="9">
        <f t="shared" si="12"/>
        <v>8.8000000000000007</v>
      </c>
      <c r="R56" s="4">
        <v>20</v>
      </c>
      <c r="S56" s="4">
        <f>R56</f>
        <v>20</v>
      </c>
      <c r="T56" s="9">
        <f t="shared" si="13"/>
        <v>18.977272727272727</v>
      </c>
      <c r="U56" s="9">
        <f t="shared" si="14"/>
        <v>16.704545454545453</v>
      </c>
      <c r="V56" s="9">
        <v>14.6</v>
      </c>
      <c r="W56" s="9">
        <v>20</v>
      </c>
      <c r="X56" s="9">
        <v>17.2</v>
      </c>
      <c r="Y56" s="9">
        <v>12.4</v>
      </c>
      <c r="Z56" s="9">
        <v>13</v>
      </c>
      <c r="AA56" s="9">
        <v>17.2</v>
      </c>
      <c r="AB56" s="9">
        <v>11.2</v>
      </c>
      <c r="AC56" s="9">
        <v>7.8</v>
      </c>
      <c r="AD56" s="9">
        <v>11.2</v>
      </c>
      <c r="AE56" s="9">
        <v>12.4</v>
      </c>
      <c r="AF56" s="9"/>
      <c r="AG56" s="9">
        <f t="shared" si="15"/>
        <v>8</v>
      </c>
      <c r="AH56" t="s">
        <v>146</v>
      </c>
      <c r="AI56">
        <f>VLOOKUP(AH56,[1]Sheet!$AK:$AM,3,0)</f>
        <v>0</v>
      </c>
    </row>
    <row r="57" spans="1:35" hidden="1" x14ac:dyDescent="0.25">
      <c r="A57" s="9" t="s">
        <v>147</v>
      </c>
      <c r="B57" s="9" t="s">
        <v>38</v>
      </c>
      <c r="C57" s="9">
        <v>1014.6</v>
      </c>
      <c r="D57" s="9">
        <v>861.31600000000003</v>
      </c>
      <c r="E57" s="9">
        <v>626.68299999999999</v>
      </c>
      <c r="F57" s="9">
        <v>1188.097</v>
      </c>
      <c r="G57" s="6">
        <v>1</v>
      </c>
      <c r="H57" s="9">
        <v>50</v>
      </c>
      <c r="I57" s="9" t="s">
        <v>39</v>
      </c>
      <c r="J57" s="9"/>
      <c r="K57" s="9">
        <v>622.75</v>
      </c>
      <c r="L57" s="9">
        <f t="shared" si="11"/>
        <v>3.9329999999999927</v>
      </c>
      <c r="M57" s="9"/>
      <c r="N57" s="9"/>
      <c r="O57" s="9">
        <v>0</v>
      </c>
      <c r="P57" s="9"/>
      <c r="Q57" s="9">
        <f t="shared" si="12"/>
        <v>125.3366</v>
      </c>
      <c r="R57" s="4">
        <f>12*Q57-O57-F57</f>
        <v>315.94220000000018</v>
      </c>
      <c r="S57" s="4">
        <f>R57+$S$1*Q57</f>
        <v>267.68760900000018</v>
      </c>
      <c r="T57" s="9">
        <f t="shared" si="13"/>
        <v>12.000000000000002</v>
      </c>
      <c r="U57" s="9">
        <f t="shared" si="14"/>
        <v>9.4792502748598562</v>
      </c>
      <c r="V57" s="9">
        <v>121.60299999999999</v>
      </c>
      <c r="W57" s="9">
        <v>139.44720000000001</v>
      </c>
      <c r="X57" s="9">
        <v>142.02119999999999</v>
      </c>
      <c r="Y57" s="9">
        <v>148.81020000000001</v>
      </c>
      <c r="Z57" s="9">
        <v>151.5138</v>
      </c>
      <c r="AA57" s="9">
        <v>152.57759999999999</v>
      </c>
      <c r="AB57" s="9">
        <v>151.32759999999999</v>
      </c>
      <c r="AC57" s="9">
        <v>138.55520000000001</v>
      </c>
      <c r="AD57" s="9">
        <v>142.07140000000001</v>
      </c>
      <c r="AE57" s="9">
        <v>139.2654</v>
      </c>
      <c r="AF57" s="9"/>
      <c r="AG57" s="9">
        <f t="shared" si="15"/>
        <v>268</v>
      </c>
      <c r="AH57" t="s">
        <v>148</v>
      </c>
      <c r="AI57">
        <f>VLOOKUP(AH57,[1]Sheet!$AK:$AM,3,0)</f>
        <v>0</v>
      </c>
    </row>
    <row r="58" spans="1:35" hidden="1" x14ac:dyDescent="0.25">
      <c r="A58" s="10" t="s">
        <v>149</v>
      </c>
      <c r="B58" s="10" t="s">
        <v>38</v>
      </c>
      <c r="C58" s="10">
        <v>100.54300000000001</v>
      </c>
      <c r="D58" s="10"/>
      <c r="E58" s="10"/>
      <c r="F58" s="13">
        <v>100.54300000000001</v>
      </c>
      <c r="G58" s="11">
        <v>0</v>
      </c>
      <c r="H58" s="10"/>
      <c r="I58" s="10" t="s">
        <v>150</v>
      </c>
      <c r="J58" s="10" t="s">
        <v>151</v>
      </c>
      <c r="K58" s="10"/>
      <c r="L58" s="10">
        <f t="shared" si="11"/>
        <v>0</v>
      </c>
      <c r="M58" s="10"/>
      <c r="N58" s="10"/>
      <c r="O58" s="10">
        <v>0</v>
      </c>
      <c r="P58" s="10"/>
      <c r="Q58" s="10">
        <f t="shared" si="12"/>
        <v>0</v>
      </c>
      <c r="R58" s="12"/>
      <c r="S58" s="4">
        <f>R58</f>
        <v>0</v>
      </c>
      <c r="T58" s="10" t="e">
        <f t="shared" si="13"/>
        <v>#DIV/0!</v>
      </c>
      <c r="U58" s="10" t="e">
        <f t="shared" si="14"/>
        <v>#DIV/0!</v>
      </c>
      <c r="V58" s="10">
        <v>0</v>
      </c>
      <c r="W58" s="10">
        <v>0</v>
      </c>
      <c r="X58" s="10">
        <v>0</v>
      </c>
      <c r="Y58" s="10">
        <v>0</v>
      </c>
      <c r="Z58" s="10">
        <v>0</v>
      </c>
      <c r="AA58" s="10">
        <v>0</v>
      </c>
      <c r="AB58" s="10">
        <v>0</v>
      </c>
      <c r="AC58" s="10">
        <v>0</v>
      </c>
      <c r="AD58" s="10">
        <v>0</v>
      </c>
      <c r="AE58" s="10">
        <v>0</v>
      </c>
      <c r="AF58" s="10"/>
      <c r="AG58" s="9">
        <f t="shared" si="15"/>
        <v>0</v>
      </c>
      <c r="AH58" t="s">
        <v>152</v>
      </c>
      <c r="AI58" t="e">
        <f>VLOOKUP(AH58,[1]Sheet!$AK:$AM,3,0)</f>
        <v>#N/A</v>
      </c>
    </row>
    <row r="59" spans="1:35" hidden="1" x14ac:dyDescent="0.25">
      <c r="A59" s="9" t="s">
        <v>153</v>
      </c>
      <c r="B59" s="9" t="s">
        <v>46</v>
      </c>
      <c r="C59" s="9">
        <v>133</v>
      </c>
      <c r="D59" s="9">
        <v>580</v>
      </c>
      <c r="E59" s="9">
        <v>248</v>
      </c>
      <c r="F59" s="9">
        <v>441</v>
      </c>
      <c r="G59" s="6">
        <v>0.1</v>
      </c>
      <c r="H59" s="9">
        <v>731</v>
      </c>
      <c r="I59" s="9" t="s">
        <v>39</v>
      </c>
      <c r="J59" s="9"/>
      <c r="K59" s="9">
        <v>256</v>
      </c>
      <c r="L59" s="9">
        <f t="shared" si="11"/>
        <v>-8</v>
      </c>
      <c r="M59" s="9"/>
      <c r="N59" s="9"/>
      <c r="O59" s="9">
        <v>55.399999999999977</v>
      </c>
      <c r="P59" s="9"/>
      <c r="Q59" s="9">
        <f t="shared" si="12"/>
        <v>49.6</v>
      </c>
      <c r="R59" s="4">
        <f>12*Q59-O59-F59</f>
        <v>98.800000000000068</v>
      </c>
      <c r="S59" s="4">
        <f>R59</f>
        <v>98.800000000000068</v>
      </c>
      <c r="T59" s="9">
        <f t="shared" si="13"/>
        <v>12</v>
      </c>
      <c r="U59" s="9">
        <f t="shared" si="14"/>
        <v>10.008064516129032</v>
      </c>
      <c r="V59" s="9">
        <v>52.8</v>
      </c>
      <c r="W59" s="9">
        <v>58</v>
      </c>
      <c r="X59" s="9">
        <v>56.4</v>
      </c>
      <c r="Y59" s="9">
        <v>43.8</v>
      </c>
      <c r="Z59" s="9">
        <v>46</v>
      </c>
      <c r="AA59" s="9">
        <v>43</v>
      </c>
      <c r="AB59" s="9">
        <v>32</v>
      </c>
      <c r="AC59" s="9">
        <v>24.4</v>
      </c>
      <c r="AD59" s="9">
        <v>32.4</v>
      </c>
      <c r="AE59" s="9">
        <v>36.4</v>
      </c>
      <c r="AF59" s="9"/>
      <c r="AG59" s="9">
        <f t="shared" si="15"/>
        <v>10</v>
      </c>
      <c r="AH59" t="s">
        <v>154</v>
      </c>
      <c r="AI59">
        <f>VLOOKUP(AH59,[1]Sheet!$AK:$AM,3,0)</f>
        <v>0</v>
      </c>
    </row>
    <row r="60" spans="1:35" hidden="1" x14ac:dyDescent="0.25">
      <c r="A60" s="9" t="s">
        <v>155</v>
      </c>
      <c r="B60" s="9" t="s">
        <v>38</v>
      </c>
      <c r="C60" s="9">
        <v>1296.18</v>
      </c>
      <c r="D60" s="9">
        <v>959.32299999999998</v>
      </c>
      <c r="E60" s="9">
        <v>933.92200000000003</v>
      </c>
      <c r="F60" s="9">
        <v>1253.683</v>
      </c>
      <c r="G60" s="6">
        <v>1</v>
      </c>
      <c r="H60" s="9">
        <v>50</v>
      </c>
      <c r="I60" s="9" t="s">
        <v>39</v>
      </c>
      <c r="J60" s="9"/>
      <c r="K60" s="9">
        <v>908.8</v>
      </c>
      <c r="L60" s="9">
        <f t="shared" si="11"/>
        <v>25.122000000000071</v>
      </c>
      <c r="M60" s="9"/>
      <c r="N60" s="9"/>
      <c r="O60" s="9">
        <v>238.66956999999991</v>
      </c>
      <c r="P60" s="9"/>
      <c r="Q60" s="9">
        <f t="shared" si="12"/>
        <v>186.78440000000001</v>
      </c>
      <c r="R60" s="4">
        <f>12*Q60-O60-F60</f>
        <v>749.06023000000005</v>
      </c>
      <c r="S60" s="4">
        <f>R60+$S$1*Q60</f>
        <v>677.148236</v>
      </c>
      <c r="T60" s="9">
        <f t="shared" si="13"/>
        <v>12</v>
      </c>
      <c r="U60" s="9">
        <f t="shared" si="14"/>
        <v>7.9897066885671393</v>
      </c>
      <c r="V60" s="9">
        <v>179.19659999999999</v>
      </c>
      <c r="W60" s="9">
        <v>169.71199999999999</v>
      </c>
      <c r="X60" s="9">
        <v>165.36500000000001</v>
      </c>
      <c r="Y60" s="9">
        <v>160.84059999999999</v>
      </c>
      <c r="Z60" s="9">
        <v>178.38939999999999</v>
      </c>
      <c r="AA60" s="9">
        <v>198.24420000000001</v>
      </c>
      <c r="AB60" s="9">
        <v>186.80680000000001</v>
      </c>
      <c r="AC60" s="9">
        <v>175.28739999999999</v>
      </c>
      <c r="AD60" s="9">
        <v>181.8802</v>
      </c>
      <c r="AE60" s="9">
        <v>201.43039999999999</v>
      </c>
      <c r="AF60" s="9"/>
      <c r="AG60" s="9">
        <f t="shared" si="15"/>
        <v>677</v>
      </c>
      <c r="AH60" t="s">
        <v>156</v>
      </c>
      <c r="AI60">
        <f>VLOOKUP(AH60,[1]Sheet!$AK:$AM,3,0)</f>
        <v>0</v>
      </c>
    </row>
    <row r="61" spans="1:35" hidden="1" x14ac:dyDescent="0.25">
      <c r="A61" s="9" t="s">
        <v>157</v>
      </c>
      <c r="B61" s="9" t="s">
        <v>38</v>
      </c>
      <c r="C61" s="9">
        <v>131.404</v>
      </c>
      <c r="D61" s="9">
        <v>77.123000000000005</v>
      </c>
      <c r="E61" s="9">
        <v>91.254000000000005</v>
      </c>
      <c r="F61" s="9">
        <v>107.011</v>
      </c>
      <c r="G61" s="6">
        <v>1</v>
      </c>
      <c r="H61" s="9">
        <v>55</v>
      </c>
      <c r="I61" s="9" t="s">
        <v>39</v>
      </c>
      <c r="J61" s="9"/>
      <c r="K61" s="9">
        <v>92.45</v>
      </c>
      <c r="L61" s="9">
        <f t="shared" si="11"/>
        <v>-1.195999999999998</v>
      </c>
      <c r="M61" s="9"/>
      <c r="N61" s="9"/>
      <c r="O61" s="9">
        <v>17.399399999999989</v>
      </c>
      <c r="P61" s="9"/>
      <c r="Q61" s="9">
        <f t="shared" si="12"/>
        <v>18.250800000000002</v>
      </c>
      <c r="R61" s="4">
        <f>12*Q61-O61-F61</f>
        <v>94.599200000000053</v>
      </c>
      <c r="S61" s="4">
        <f>R61</f>
        <v>94.599200000000053</v>
      </c>
      <c r="T61" s="9">
        <f t="shared" si="13"/>
        <v>12</v>
      </c>
      <c r="U61" s="9">
        <f t="shared" si="14"/>
        <v>6.8167094045192522</v>
      </c>
      <c r="V61" s="9">
        <v>15.446999999999999</v>
      </c>
      <c r="W61" s="9">
        <v>17.9756</v>
      </c>
      <c r="X61" s="9">
        <v>16.6264</v>
      </c>
      <c r="Y61" s="9">
        <v>20.0504</v>
      </c>
      <c r="Z61" s="9">
        <v>20.848199999999999</v>
      </c>
      <c r="AA61" s="9">
        <v>17.22</v>
      </c>
      <c r="AB61" s="9">
        <v>18.130600000000001</v>
      </c>
      <c r="AC61" s="9">
        <v>18.803999999999998</v>
      </c>
      <c r="AD61" s="9">
        <v>19.883600000000001</v>
      </c>
      <c r="AE61" s="9">
        <v>22.8446</v>
      </c>
      <c r="AF61" s="9"/>
      <c r="AG61" s="9">
        <f t="shared" si="15"/>
        <v>95</v>
      </c>
      <c r="AH61" t="s">
        <v>158</v>
      </c>
      <c r="AI61">
        <f>VLOOKUP(AH61,[1]Sheet!$AK:$AM,3,0)</f>
        <v>0</v>
      </c>
    </row>
    <row r="62" spans="1:35" hidden="1" x14ac:dyDescent="0.25">
      <c r="A62" s="9" t="s">
        <v>159</v>
      </c>
      <c r="B62" s="9" t="s">
        <v>46</v>
      </c>
      <c r="C62" s="9">
        <v>249</v>
      </c>
      <c r="D62" s="9">
        <v>260</v>
      </c>
      <c r="E62" s="9">
        <v>219</v>
      </c>
      <c r="F62" s="9">
        <v>269</v>
      </c>
      <c r="G62" s="6">
        <v>0.1</v>
      </c>
      <c r="H62" s="9">
        <v>731</v>
      </c>
      <c r="I62" s="9" t="s">
        <v>39</v>
      </c>
      <c r="J62" s="9"/>
      <c r="K62" s="9">
        <v>223</v>
      </c>
      <c r="L62" s="9">
        <f t="shared" si="11"/>
        <v>-4</v>
      </c>
      <c r="M62" s="9"/>
      <c r="N62" s="9"/>
      <c r="O62" s="9">
        <v>109.6</v>
      </c>
      <c r="P62" s="9"/>
      <c r="Q62" s="9">
        <f t="shared" si="12"/>
        <v>43.8</v>
      </c>
      <c r="R62" s="4">
        <f>12*Q62-O62-F62</f>
        <v>146.99999999999989</v>
      </c>
      <c r="S62" s="4">
        <f>R62</f>
        <v>146.99999999999989</v>
      </c>
      <c r="T62" s="9">
        <f t="shared" si="13"/>
        <v>11.999999999999998</v>
      </c>
      <c r="U62" s="9">
        <f t="shared" si="14"/>
        <v>8.6438356164383574</v>
      </c>
      <c r="V62" s="9">
        <v>41.8</v>
      </c>
      <c r="W62" s="9">
        <v>40.6</v>
      </c>
      <c r="X62" s="9">
        <v>37.6</v>
      </c>
      <c r="Y62" s="9">
        <v>34</v>
      </c>
      <c r="Z62" s="9">
        <v>46</v>
      </c>
      <c r="AA62" s="9">
        <v>42.2</v>
      </c>
      <c r="AB62" s="9">
        <v>26</v>
      </c>
      <c r="AC62" s="9">
        <v>19</v>
      </c>
      <c r="AD62" s="9">
        <v>26.4</v>
      </c>
      <c r="AE62" s="9">
        <v>35</v>
      </c>
      <c r="AF62" s="9"/>
      <c r="AG62" s="9">
        <f t="shared" si="15"/>
        <v>15</v>
      </c>
      <c r="AH62" t="s">
        <v>160</v>
      </c>
      <c r="AI62">
        <f>VLOOKUP(AH62,[1]Sheet!$AK:$AM,3,0)</f>
        <v>0</v>
      </c>
    </row>
    <row r="63" spans="1:35" hidden="1" x14ac:dyDescent="0.25">
      <c r="A63" s="9" t="s">
        <v>161</v>
      </c>
      <c r="B63" s="9" t="s">
        <v>46</v>
      </c>
      <c r="C63" s="9">
        <v>322</v>
      </c>
      <c r="D63" s="9">
        <v>381</v>
      </c>
      <c r="E63" s="9">
        <v>345</v>
      </c>
      <c r="F63" s="9">
        <v>336</v>
      </c>
      <c r="G63" s="6">
        <v>0.4</v>
      </c>
      <c r="H63" s="9">
        <v>50</v>
      </c>
      <c r="I63" s="9" t="s">
        <v>39</v>
      </c>
      <c r="J63" s="9"/>
      <c r="K63" s="9">
        <v>347</v>
      </c>
      <c r="L63" s="9">
        <f t="shared" si="11"/>
        <v>-2</v>
      </c>
      <c r="M63" s="9"/>
      <c r="N63" s="9"/>
      <c r="O63" s="9">
        <v>185.49999999999989</v>
      </c>
      <c r="P63" s="9"/>
      <c r="Q63" s="9">
        <f t="shared" si="12"/>
        <v>69</v>
      </c>
      <c r="R63" s="4">
        <f>12*Q63-O63-F63</f>
        <v>306.50000000000011</v>
      </c>
      <c r="S63" s="4">
        <f>R63+$S$1*Q63</f>
        <v>279.93500000000012</v>
      </c>
      <c r="T63" s="9">
        <f t="shared" si="13"/>
        <v>12</v>
      </c>
      <c r="U63" s="9">
        <f t="shared" si="14"/>
        <v>7.5579710144927521</v>
      </c>
      <c r="V63" s="9">
        <v>59.8</v>
      </c>
      <c r="W63" s="9">
        <v>59.4</v>
      </c>
      <c r="X63" s="9">
        <v>52.2</v>
      </c>
      <c r="Y63" s="9">
        <v>41</v>
      </c>
      <c r="Z63" s="9">
        <v>60.6</v>
      </c>
      <c r="AA63" s="9">
        <v>49.4</v>
      </c>
      <c r="AB63" s="9">
        <v>42.6</v>
      </c>
      <c r="AC63" s="9">
        <v>47.8</v>
      </c>
      <c r="AD63" s="9">
        <v>52.2</v>
      </c>
      <c r="AE63" s="9">
        <v>44.4</v>
      </c>
      <c r="AF63" s="9"/>
      <c r="AG63" s="9">
        <f t="shared" si="15"/>
        <v>112</v>
      </c>
      <c r="AH63" t="s">
        <v>162</v>
      </c>
      <c r="AI63">
        <f>VLOOKUP(AH63,[1]Sheet!$AK:$AM,3,0)</f>
        <v>0</v>
      </c>
    </row>
    <row r="64" spans="1:35" hidden="1" x14ac:dyDescent="0.25">
      <c r="A64" s="9" t="s">
        <v>163</v>
      </c>
      <c r="B64" s="9" t="s">
        <v>38</v>
      </c>
      <c r="C64" s="9">
        <v>6.2949999999999999</v>
      </c>
      <c r="D64" s="9">
        <v>581.38300000000004</v>
      </c>
      <c r="E64" s="9">
        <v>127.178</v>
      </c>
      <c r="F64" s="9">
        <v>459.70400000000001</v>
      </c>
      <c r="G64" s="6">
        <v>1</v>
      </c>
      <c r="H64" s="9">
        <v>40</v>
      </c>
      <c r="I64" s="9" t="s">
        <v>39</v>
      </c>
      <c r="J64" s="9"/>
      <c r="K64" s="9">
        <v>227.9</v>
      </c>
      <c r="L64" s="9">
        <f t="shared" si="11"/>
        <v>-100.72200000000001</v>
      </c>
      <c r="M64" s="9"/>
      <c r="N64" s="9"/>
      <c r="O64" s="9">
        <v>100</v>
      </c>
      <c r="P64" s="9"/>
      <c r="Q64" s="9">
        <f t="shared" si="12"/>
        <v>25.435600000000001</v>
      </c>
      <c r="R64" s="4"/>
      <c r="S64" s="4">
        <f>R64</f>
        <v>0</v>
      </c>
      <c r="T64" s="9">
        <f t="shared" si="13"/>
        <v>22.004749249083957</v>
      </c>
      <c r="U64" s="9">
        <f t="shared" si="14"/>
        <v>22.004749249083957</v>
      </c>
      <c r="V64" s="9">
        <v>28.949200000000001</v>
      </c>
      <c r="W64" s="9">
        <v>19.037400000000002</v>
      </c>
      <c r="X64" s="9">
        <v>20.474399999999999</v>
      </c>
      <c r="Y64" s="9">
        <v>10.922000000000001</v>
      </c>
      <c r="Z64" s="9">
        <v>10.8414</v>
      </c>
      <c r="AA64" s="9">
        <v>9.9244000000000003</v>
      </c>
      <c r="AB64" s="9">
        <v>8.3956</v>
      </c>
      <c r="AC64" s="9">
        <v>9.6593999999999998</v>
      </c>
      <c r="AD64" s="9">
        <v>9.9038000000000004</v>
      </c>
      <c r="AE64" s="9">
        <v>9.5695999999999994</v>
      </c>
      <c r="AF64" s="9" t="s">
        <v>164</v>
      </c>
      <c r="AG64" s="9">
        <f t="shared" si="15"/>
        <v>0</v>
      </c>
      <c r="AH64" t="s">
        <v>165</v>
      </c>
      <c r="AI64">
        <f>VLOOKUP(AH64,[1]Sheet!$AK:$AM,3,0)</f>
        <v>0</v>
      </c>
    </row>
    <row r="65" spans="1:35" hidden="1" x14ac:dyDescent="0.25">
      <c r="A65" s="9" t="s">
        <v>166</v>
      </c>
      <c r="B65" s="9" t="s">
        <v>38</v>
      </c>
      <c r="C65" s="9">
        <v>8.0570000000000004</v>
      </c>
      <c r="D65" s="9">
        <v>570.59100000000001</v>
      </c>
      <c r="E65" s="9">
        <v>115.395</v>
      </c>
      <c r="F65" s="9">
        <v>463.25299999999999</v>
      </c>
      <c r="G65" s="6">
        <v>1</v>
      </c>
      <c r="H65" s="9">
        <v>40</v>
      </c>
      <c r="I65" s="9" t="s">
        <v>39</v>
      </c>
      <c r="J65" s="9"/>
      <c r="K65" s="9">
        <v>175.8</v>
      </c>
      <c r="L65" s="9">
        <f t="shared" si="11"/>
        <v>-60.405000000000015</v>
      </c>
      <c r="M65" s="9"/>
      <c r="N65" s="9"/>
      <c r="O65" s="9">
        <v>80</v>
      </c>
      <c r="P65" s="9"/>
      <c r="Q65" s="9">
        <f t="shared" si="12"/>
        <v>23.079000000000001</v>
      </c>
      <c r="R65" s="4"/>
      <c r="S65" s="4">
        <f>R65</f>
        <v>0</v>
      </c>
      <c r="T65" s="9">
        <f t="shared" si="13"/>
        <v>23.538844837297972</v>
      </c>
      <c r="U65" s="9">
        <f t="shared" si="14"/>
        <v>23.538844837297972</v>
      </c>
      <c r="V65" s="9">
        <v>22.816600000000001</v>
      </c>
      <c r="W65" s="9">
        <v>0</v>
      </c>
      <c r="X65" s="9">
        <v>0</v>
      </c>
      <c r="Y65" s="9">
        <v>0.27239999999999998</v>
      </c>
      <c r="Z65" s="9">
        <v>0.27239999999999998</v>
      </c>
      <c r="AA65" s="9">
        <v>0</v>
      </c>
      <c r="AB65" s="9">
        <v>0</v>
      </c>
      <c r="AC65" s="9">
        <v>0</v>
      </c>
      <c r="AD65" s="9">
        <v>0</v>
      </c>
      <c r="AE65" s="9">
        <v>0.27100000000000002</v>
      </c>
      <c r="AF65" s="9" t="s">
        <v>164</v>
      </c>
      <c r="AG65" s="9">
        <f t="shared" si="15"/>
        <v>0</v>
      </c>
      <c r="AH65" t="s">
        <v>167</v>
      </c>
      <c r="AI65">
        <f>VLOOKUP(AH65,[1]Sheet!$AK:$AM,3,0)</f>
        <v>0</v>
      </c>
    </row>
    <row r="66" spans="1:35" hidden="1" x14ac:dyDescent="0.25">
      <c r="A66" s="9" t="s">
        <v>168</v>
      </c>
      <c r="B66" s="9" t="s">
        <v>46</v>
      </c>
      <c r="C66" s="9">
        <v>832</v>
      </c>
      <c r="D66" s="9">
        <v>1601</v>
      </c>
      <c r="E66" s="9">
        <v>898</v>
      </c>
      <c r="F66" s="9">
        <v>1414</v>
      </c>
      <c r="G66" s="6">
        <v>0.4</v>
      </c>
      <c r="H66" s="9">
        <v>40</v>
      </c>
      <c r="I66" s="9" t="s">
        <v>39</v>
      </c>
      <c r="J66" s="9"/>
      <c r="K66" s="9">
        <v>916</v>
      </c>
      <c r="L66" s="9">
        <f t="shared" si="11"/>
        <v>-18</v>
      </c>
      <c r="M66" s="9"/>
      <c r="N66" s="9"/>
      <c r="O66" s="9">
        <v>192.47200000000001</v>
      </c>
      <c r="P66" s="9"/>
      <c r="Q66" s="9">
        <f t="shared" si="12"/>
        <v>179.6</v>
      </c>
      <c r="R66" s="4">
        <f>12*Q66-O66-F66</f>
        <v>548.72799999999984</v>
      </c>
      <c r="S66" s="4">
        <f>R66+$S$1*Q66</f>
        <v>479.58199999999982</v>
      </c>
      <c r="T66" s="9">
        <f t="shared" si="13"/>
        <v>12</v>
      </c>
      <c r="U66" s="9">
        <f t="shared" si="14"/>
        <v>8.9447216035634742</v>
      </c>
      <c r="V66" s="9">
        <v>181.2</v>
      </c>
      <c r="W66" s="9">
        <v>180.6</v>
      </c>
      <c r="X66" s="9">
        <v>186.2</v>
      </c>
      <c r="Y66" s="9">
        <v>159.19999999999999</v>
      </c>
      <c r="Z66" s="9">
        <v>162.80000000000001</v>
      </c>
      <c r="AA66" s="9">
        <v>187.4</v>
      </c>
      <c r="AB66" s="9">
        <v>170.2</v>
      </c>
      <c r="AC66" s="9">
        <v>152.4</v>
      </c>
      <c r="AD66" s="9">
        <v>164.8</v>
      </c>
      <c r="AE66" s="9">
        <v>173.8</v>
      </c>
      <c r="AF66" s="9"/>
      <c r="AG66" s="9">
        <f t="shared" si="15"/>
        <v>192</v>
      </c>
      <c r="AH66" t="s">
        <v>169</v>
      </c>
      <c r="AI66">
        <f>VLOOKUP(AH66,[1]Sheet!$AK:$AM,3,0)</f>
        <v>0</v>
      </c>
    </row>
    <row r="67" spans="1:35" hidden="1" x14ac:dyDescent="0.25">
      <c r="A67" s="9" t="s">
        <v>170</v>
      </c>
      <c r="B67" s="9" t="s">
        <v>46</v>
      </c>
      <c r="C67" s="9">
        <v>4</v>
      </c>
      <c r="D67" s="9">
        <v>911</v>
      </c>
      <c r="E67" s="9">
        <v>482</v>
      </c>
      <c r="F67" s="9">
        <v>344</v>
      </c>
      <c r="G67" s="6">
        <v>0.4</v>
      </c>
      <c r="H67" s="9">
        <v>40</v>
      </c>
      <c r="I67" s="8" t="s">
        <v>82</v>
      </c>
      <c r="J67" s="9"/>
      <c r="K67" s="9">
        <v>650</v>
      </c>
      <c r="L67" s="9">
        <f t="shared" si="11"/>
        <v>-168</v>
      </c>
      <c r="M67" s="9"/>
      <c r="N67" s="9"/>
      <c r="O67" s="9">
        <v>50.799999999999947</v>
      </c>
      <c r="P67" s="9"/>
      <c r="Q67" s="9">
        <f t="shared" si="12"/>
        <v>96.4</v>
      </c>
      <c r="R67" s="4">
        <v>250</v>
      </c>
      <c r="S67" s="4">
        <f>R67</f>
        <v>250</v>
      </c>
      <c r="T67" s="9">
        <f t="shared" si="13"/>
        <v>6.6887966804979246</v>
      </c>
      <c r="U67" s="9">
        <f t="shared" si="14"/>
        <v>4.0954356846473026</v>
      </c>
      <c r="V67" s="9">
        <v>59.8</v>
      </c>
      <c r="W67" s="9">
        <v>2.2000000000000002</v>
      </c>
      <c r="X67" s="9">
        <v>1</v>
      </c>
      <c r="Y67" s="9">
        <v>50.2</v>
      </c>
      <c r="Z67" s="9">
        <v>102</v>
      </c>
      <c r="AA67" s="9">
        <v>140.80000000000001</v>
      </c>
      <c r="AB67" s="9">
        <v>123.2</v>
      </c>
      <c r="AC67" s="9">
        <v>116.8</v>
      </c>
      <c r="AD67" s="9">
        <v>135.4</v>
      </c>
      <c r="AE67" s="9">
        <v>128.80000000000001</v>
      </c>
      <c r="AF67" s="9"/>
      <c r="AG67" s="9">
        <f t="shared" si="15"/>
        <v>100</v>
      </c>
      <c r="AH67" t="s">
        <v>171</v>
      </c>
      <c r="AI67">
        <f>VLOOKUP(AH67,[1]Sheet!$AK:$AM,3,0)</f>
        <v>0</v>
      </c>
    </row>
    <row r="68" spans="1:35" hidden="1" x14ac:dyDescent="0.25">
      <c r="A68" s="9" t="s">
        <v>172</v>
      </c>
      <c r="B68" s="9" t="s">
        <v>38</v>
      </c>
      <c r="C68" s="9">
        <v>281.71699999999998</v>
      </c>
      <c r="D68" s="9">
        <v>220.154</v>
      </c>
      <c r="E68" s="9">
        <v>282.79700000000003</v>
      </c>
      <c r="F68" s="9">
        <v>165.88300000000001</v>
      </c>
      <c r="G68" s="6">
        <v>1</v>
      </c>
      <c r="H68" s="9">
        <v>40</v>
      </c>
      <c r="I68" s="8" t="s">
        <v>82</v>
      </c>
      <c r="J68" s="9"/>
      <c r="K68" s="9">
        <v>282.95</v>
      </c>
      <c r="L68" s="9">
        <f t="shared" si="11"/>
        <v>-0.15299999999996317</v>
      </c>
      <c r="M68" s="9"/>
      <c r="N68" s="9"/>
      <c r="O68" s="9">
        <v>240.91407600000019</v>
      </c>
      <c r="P68" s="9"/>
      <c r="Q68" s="9">
        <f t="shared" si="12"/>
        <v>56.559400000000004</v>
      </c>
      <c r="R68" s="4">
        <f>12*Q68-O68-F68</f>
        <v>271.91572399999984</v>
      </c>
      <c r="S68" s="4">
        <f>R68</f>
        <v>271.91572399999984</v>
      </c>
      <c r="T68" s="9">
        <f t="shared" si="13"/>
        <v>12</v>
      </c>
      <c r="U68" s="9">
        <f t="shared" si="14"/>
        <v>7.1923866943425878</v>
      </c>
      <c r="V68" s="9">
        <v>55.1158</v>
      </c>
      <c r="W68" s="9">
        <v>57.833799999999997</v>
      </c>
      <c r="X68" s="9">
        <v>55.1432</v>
      </c>
      <c r="Y68" s="9">
        <v>54.483400000000003</v>
      </c>
      <c r="Z68" s="9">
        <v>59.456200000000003</v>
      </c>
      <c r="AA68" s="9">
        <v>60.828000000000003</v>
      </c>
      <c r="AB68" s="9">
        <v>57.925600000000003</v>
      </c>
      <c r="AC68" s="9">
        <v>62.245600000000003</v>
      </c>
      <c r="AD68" s="9">
        <v>58.9818</v>
      </c>
      <c r="AE68" s="9">
        <v>54.386400000000002</v>
      </c>
      <c r="AF68" s="9"/>
      <c r="AG68" s="9">
        <f t="shared" si="15"/>
        <v>272</v>
      </c>
      <c r="AH68" t="s">
        <v>173</v>
      </c>
      <c r="AI68">
        <f>VLOOKUP(AH68,[1]Sheet!$AK:$AM,3,0)</f>
        <v>0</v>
      </c>
    </row>
    <row r="69" spans="1:35" hidden="1" x14ac:dyDescent="0.25">
      <c r="A69" s="9" t="s">
        <v>174</v>
      </c>
      <c r="B69" s="9" t="s">
        <v>38</v>
      </c>
      <c r="C69" s="9">
        <v>299.12</v>
      </c>
      <c r="D69" s="9">
        <v>570.35799999999995</v>
      </c>
      <c r="E69" s="9">
        <v>374.60300000000001</v>
      </c>
      <c r="F69" s="9">
        <v>456.90100000000001</v>
      </c>
      <c r="G69" s="6">
        <v>1</v>
      </c>
      <c r="H69" s="9">
        <v>40</v>
      </c>
      <c r="I69" s="8" t="s">
        <v>82</v>
      </c>
      <c r="J69" s="9"/>
      <c r="K69" s="9">
        <v>372</v>
      </c>
      <c r="L69" s="9">
        <f t="shared" si="11"/>
        <v>2.6030000000000086</v>
      </c>
      <c r="M69" s="9"/>
      <c r="N69" s="9"/>
      <c r="O69" s="9">
        <v>117.7938019999998</v>
      </c>
      <c r="P69" s="9"/>
      <c r="Q69" s="9">
        <f t="shared" si="12"/>
        <v>74.920600000000007</v>
      </c>
      <c r="R69" s="4">
        <v>250</v>
      </c>
      <c r="S69" s="4">
        <f>R69</f>
        <v>250</v>
      </c>
      <c r="T69" s="9">
        <f t="shared" si="13"/>
        <v>11.007584055653581</v>
      </c>
      <c r="U69" s="9">
        <f t="shared" si="14"/>
        <v>7.6707180935550392</v>
      </c>
      <c r="V69" s="9">
        <v>70.786599999999993</v>
      </c>
      <c r="W69" s="9">
        <v>88.879800000000003</v>
      </c>
      <c r="X69" s="9">
        <v>87.743600000000001</v>
      </c>
      <c r="Y69" s="9">
        <v>69.691200000000009</v>
      </c>
      <c r="Z69" s="9">
        <v>74.162400000000005</v>
      </c>
      <c r="AA69" s="9">
        <v>74.625</v>
      </c>
      <c r="AB69" s="9">
        <v>66.962000000000003</v>
      </c>
      <c r="AC69" s="9">
        <v>73.197400000000002</v>
      </c>
      <c r="AD69" s="9">
        <v>65.809600000000003</v>
      </c>
      <c r="AE69" s="9">
        <v>65.876199999999997</v>
      </c>
      <c r="AF69" s="9"/>
      <c r="AG69" s="9">
        <f t="shared" si="15"/>
        <v>250</v>
      </c>
      <c r="AH69" t="s">
        <v>175</v>
      </c>
      <c r="AI69">
        <f>VLOOKUP(AH69,[1]Sheet!$AK:$AM,3,0)</f>
        <v>0</v>
      </c>
    </row>
    <row r="70" spans="1:35" hidden="1" x14ac:dyDescent="0.25">
      <c r="A70" s="9" t="s">
        <v>176</v>
      </c>
      <c r="B70" s="9" t="s">
        <v>38</v>
      </c>
      <c r="C70" s="9">
        <v>1301.3309999999999</v>
      </c>
      <c r="D70" s="9">
        <v>605.63199999999995</v>
      </c>
      <c r="E70" s="9">
        <v>728.76900000000001</v>
      </c>
      <c r="F70" s="9">
        <v>1099.5540000000001</v>
      </c>
      <c r="G70" s="6">
        <v>1</v>
      </c>
      <c r="H70" s="9">
        <v>40</v>
      </c>
      <c r="I70" s="9" t="s">
        <v>39</v>
      </c>
      <c r="J70" s="9"/>
      <c r="K70" s="9">
        <v>721.85</v>
      </c>
      <c r="L70" s="9">
        <f t="shared" ref="L70:L101" si="17">E70-K70</f>
        <v>6.9189999999999827</v>
      </c>
      <c r="M70" s="9"/>
      <c r="N70" s="9"/>
      <c r="O70" s="9">
        <v>175.1861999999999</v>
      </c>
      <c r="P70" s="9"/>
      <c r="Q70" s="9">
        <f t="shared" ref="Q70:Q101" si="18">E70/5</f>
        <v>145.75380000000001</v>
      </c>
      <c r="R70" s="4">
        <f t="shared" ref="R70:R80" si="19">12*Q70-O70-F70</f>
        <v>474.30540000000019</v>
      </c>
      <c r="S70" s="4">
        <f>R70+$S$1*Q70</f>
        <v>418.19018700000021</v>
      </c>
      <c r="T70" s="9">
        <f t="shared" ref="T70:T101" si="20">(F70+O70+R70)/Q70</f>
        <v>12</v>
      </c>
      <c r="U70" s="9">
        <f t="shared" ref="U70:U101" si="21">(F70+O70)/Q70</f>
        <v>8.7458453913379941</v>
      </c>
      <c r="V70" s="9">
        <v>144.0752</v>
      </c>
      <c r="W70" s="9">
        <v>137.29580000000001</v>
      </c>
      <c r="X70" s="9">
        <v>137.2748</v>
      </c>
      <c r="Y70" s="9">
        <v>175.5292</v>
      </c>
      <c r="Z70" s="9">
        <v>172.87260000000001</v>
      </c>
      <c r="AA70" s="9">
        <v>159.3614</v>
      </c>
      <c r="AB70" s="9">
        <v>169.21940000000001</v>
      </c>
      <c r="AC70" s="9">
        <v>161.20079999999999</v>
      </c>
      <c r="AD70" s="9">
        <v>159.1652</v>
      </c>
      <c r="AE70" s="9">
        <v>160.1902</v>
      </c>
      <c r="AF70" s="9"/>
      <c r="AG70" s="9">
        <f t="shared" ref="AG70:AG101" si="22">ROUND(G70*S70,0)</f>
        <v>418</v>
      </c>
      <c r="AH70" t="s">
        <v>177</v>
      </c>
      <c r="AI70">
        <f>VLOOKUP(AH70,[1]Sheet!$AK:$AM,3,0)</f>
        <v>0</v>
      </c>
    </row>
    <row r="71" spans="1:35" hidden="1" x14ac:dyDescent="0.25">
      <c r="A71" s="9" t="s">
        <v>178</v>
      </c>
      <c r="B71" s="9" t="s">
        <v>38</v>
      </c>
      <c r="C71" s="9">
        <v>273.11399999999998</v>
      </c>
      <c r="D71" s="9">
        <v>263.11</v>
      </c>
      <c r="E71" s="9">
        <v>223.67699999999999</v>
      </c>
      <c r="F71" s="9">
        <v>253.73099999999999</v>
      </c>
      <c r="G71" s="6">
        <v>1</v>
      </c>
      <c r="H71" s="9">
        <v>40</v>
      </c>
      <c r="I71" s="9" t="s">
        <v>39</v>
      </c>
      <c r="J71" s="9"/>
      <c r="K71" s="9">
        <v>246.9</v>
      </c>
      <c r="L71" s="9">
        <f t="shared" si="17"/>
        <v>-23.223000000000013</v>
      </c>
      <c r="M71" s="9"/>
      <c r="N71" s="9"/>
      <c r="O71" s="9">
        <v>53.89570000000009</v>
      </c>
      <c r="P71" s="9"/>
      <c r="Q71" s="9">
        <f t="shared" si="18"/>
        <v>44.735399999999998</v>
      </c>
      <c r="R71" s="4">
        <f t="shared" si="19"/>
        <v>229.1980999999999</v>
      </c>
      <c r="S71" s="4">
        <f>R71+$S$1*Q71</f>
        <v>211.9749709999999</v>
      </c>
      <c r="T71" s="9">
        <f t="shared" si="20"/>
        <v>12</v>
      </c>
      <c r="U71" s="9">
        <f t="shared" si="21"/>
        <v>6.876583198093682</v>
      </c>
      <c r="V71" s="9">
        <v>40.375599999999999</v>
      </c>
      <c r="W71" s="9">
        <v>45.681600000000003</v>
      </c>
      <c r="X71" s="9">
        <v>44.385399999999997</v>
      </c>
      <c r="Y71" s="9">
        <v>47.916400000000003</v>
      </c>
      <c r="Z71" s="9">
        <v>52.795399999999987</v>
      </c>
      <c r="AA71" s="9">
        <v>48.722799999999999</v>
      </c>
      <c r="AB71" s="9">
        <v>50.617800000000003</v>
      </c>
      <c r="AC71" s="9">
        <v>59.919400000000003</v>
      </c>
      <c r="AD71" s="9">
        <v>55.928999999999988</v>
      </c>
      <c r="AE71" s="9">
        <v>43.223999999999997</v>
      </c>
      <c r="AF71" s="9"/>
      <c r="AG71" s="9">
        <f t="shared" si="22"/>
        <v>212</v>
      </c>
      <c r="AH71" t="s">
        <v>179</v>
      </c>
      <c r="AI71">
        <f>VLOOKUP(AH71,[1]Sheet!$AK:$AM,3,0)</f>
        <v>0</v>
      </c>
    </row>
    <row r="72" spans="1:35" hidden="1" x14ac:dyDescent="0.25">
      <c r="A72" s="9" t="s">
        <v>180</v>
      </c>
      <c r="B72" s="9" t="s">
        <v>46</v>
      </c>
      <c r="C72" s="9">
        <v>18</v>
      </c>
      <c r="D72" s="9"/>
      <c r="E72" s="9">
        <v>10</v>
      </c>
      <c r="F72" s="9">
        <v>8</v>
      </c>
      <c r="G72" s="6">
        <v>0.6</v>
      </c>
      <c r="H72" s="9">
        <v>70</v>
      </c>
      <c r="I72" s="9" t="s">
        <v>39</v>
      </c>
      <c r="J72" s="9"/>
      <c r="K72" s="9">
        <v>10</v>
      </c>
      <c r="L72" s="9">
        <f t="shared" si="17"/>
        <v>0</v>
      </c>
      <c r="M72" s="9"/>
      <c r="N72" s="9"/>
      <c r="O72" s="9">
        <v>8</v>
      </c>
      <c r="P72" s="9"/>
      <c r="Q72" s="9">
        <f t="shared" si="18"/>
        <v>2</v>
      </c>
      <c r="R72" s="4">
        <f t="shared" si="19"/>
        <v>8</v>
      </c>
      <c r="S72" s="4">
        <f t="shared" ref="S72:S78" si="23">R72</f>
        <v>8</v>
      </c>
      <c r="T72" s="9">
        <f t="shared" si="20"/>
        <v>12</v>
      </c>
      <c r="U72" s="9">
        <f t="shared" si="21"/>
        <v>8</v>
      </c>
      <c r="V72" s="9">
        <v>2</v>
      </c>
      <c r="W72" s="9">
        <v>1.2</v>
      </c>
      <c r="X72" s="9">
        <v>0.4</v>
      </c>
      <c r="Y72" s="9">
        <v>1.2</v>
      </c>
      <c r="Z72" s="9">
        <v>2</v>
      </c>
      <c r="AA72" s="9">
        <v>2</v>
      </c>
      <c r="AB72" s="9">
        <v>0.8</v>
      </c>
      <c r="AC72" s="9">
        <v>0.8</v>
      </c>
      <c r="AD72" s="9">
        <v>1</v>
      </c>
      <c r="AE72" s="9">
        <v>0.8</v>
      </c>
      <c r="AF72" s="9"/>
      <c r="AG72" s="9">
        <f t="shared" si="22"/>
        <v>5</v>
      </c>
      <c r="AH72" t="s">
        <v>181</v>
      </c>
      <c r="AI72">
        <f>VLOOKUP(AH72,[1]Sheet!$AK:$AM,3,0)</f>
        <v>0</v>
      </c>
    </row>
    <row r="73" spans="1:35" hidden="1" x14ac:dyDescent="0.25">
      <c r="A73" s="9" t="s">
        <v>182</v>
      </c>
      <c r="B73" s="9" t="s">
        <v>38</v>
      </c>
      <c r="C73" s="9">
        <v>129.59</v>
      </c>
      <c r="D73" s="9">
        <v>725.48</v>
      </c>
      <c r="E73" s="9">
        <v>243.67099999999999</v>
      </c>
      <c r="F73" s="9">
        <v>546.15800000000002</v>
      </c>
      <c r="G73" s="6">
        <v>1</v>
      </c>
      <c r="H73" s="9">
        <v>30</v>
      </c>
      <c r="I73" s="9" t="s">
        <v>39</v>
      </c>
      <c r="J73" s="9"/>
      <c r="K73" s="9">
        <v>301.82</v>
      </c>
      <c r="L73" s="9">
        <f t="shared" si="17"/>
        <v>-58.149000000000001</v>
      </c>
      <c r="M73" s="9"/>
      <c r="N73" s="9"/>
      <c r="O73" s="9">
        <v>0</v>
      </c>
      <c r="P73" s="9"/>
      <c r="Q73" s="9">
        <f t="shared" si="18"/>
        <v>48.734200000000001</v>
      </c>
      <c r="R73" s="4">
        <f t="shared" si="19"/>
        <v>38.652400000000057</v>
      </c>
      <c r="S73" s="4">
        <f t="shared" si="23"/>
        <v>38.652400000000057</v>
      </c>
      <c r="T73" s="9">
        <f t="shared" si="20"/>
        <v>12.000000000000002</v>
      </c>
      <c r="U73" s="9">
        <f t="shared" si="21"/>
        <v>11.20687320198136</v>
      </c>
      <c r="V73" s="9">
        <v>49.574399999999997</v>
      </c>
      <c r="W73" s="9">
        <v>57.8048</v>
      </c>
      <c r="X73" s="9">
        <v>60.2044</v>
      </c>
      <c r="Y73" s="9">
        <v>77.722000000000008</v>
      </c>
      <c r="Z73" s="9">
        <v>80.553599999999989</v>
      </c>
      <c r="AA73" s="9">
        <v>64.354600000000005</v>
      </c>
      <c r="AB73" s="9">
        <v>60.799799999999998</v>
      </c>
      <c r="AC73" s="9">
        <v>58.539200000000008</v>
      </c>
      <c r="AD73" s="9">
        <v>62.701199999999993</v>
      </c>
      <c r="AE73" s="9">
        <v>68.597200000000001</v>
      </c>
      <c r="AF73" s="9"/>
      <c r="AG73" s="9">
        <f t="shared" si="22"/>
        <v>39</v>
      </c>
      <c r="AH73" t="s">
        <v>183</v>
      </c>
      <c r="AI73">
        <f>VLOOKUP(AH73,[1]Sheet!$AK:$AM,3,0)</f>
        <v>0</v>
      </c>
    </row>
    <row r="74" spans="1:35" hidden="1" x14ac:dyDescent="0.25">
      <c r="A74" s="9" t="s">
        <v>184</v>
      </c>
      <c r="B74" s="9" t="s">
        <v>46</v>
      </c>
      <c r="C74" s="9">
        <v>212</v>
      </c>
      <c r="D74" s="9">
        <v>72</v>
      </c>
      <c r="E74" s="9">
        <v>114</v>
      </c>
      <c r="F74" s="9">
        <v>163</v>
      </c>
      <c r="G74" s="6">
        <v>0.6</v>
      </c>
      <c r="H74" s="9">
        <v>60</v>
      </c>
      <c r="I74" s="9" t="s">
        <v>39</v>
      </c>
      <c r="J74" s="9"/>
      <c r="K74" s="9">
        <v>121</v>
      </c>
      <c r="L74" s="9">
        <f t="shared" si="17"/>
        <v>-7</v>
      </c>
      <c r="M74" s="9"/>
      <c r="N74" s="9"/>
      <c r="O74" s="9">
        <v>8.5</v>
      </c>
      <c r="P74" s="9"/>
      <c r="Q74" s="9">
        <f t="shared" si="18"/>
        <v>22.8</v>
      </c>
      <c r="R74" s="4">
        <f t="shared" si="19"/>
        <v>102.10000000000002</v>
      </c>
      <c r="S74" s="4">
        <f t="shared" si="23"/>
        <v>102.10000000000002</v>
      </c>
      <c r="T74" s="9">
        <f t="shared" si="20"/>
        <v>12</v>
      </c>
      <c r="U74" s="9">
        <f t="shared" si="21"/>
        <v>7.5219298245614032</v>
      </c>
      <c r="V74" s="9">
        <v>19.2</v>
      </c>
      <c r="W74" s="9">
        <v>23.4</v>
      </c>
      <c r="X74" s="9">
        <v>25.4</v>
      </c>
      <c r="Y74" s="9">
        <v>18.600000000000001</v>
      </c>
      <c r="Z74" s="9">
        <v>32.6</v>
      </c>
      <c r="AA74" s="9">
        <v>24.6</v>
      </c>
      <c r="AB74" s="9">
        <v>15</v>
      </c>
      <c r="AC74" s="9">
        <v>22.8</v>
      </c>
      <c r="AD74" s="9">
        <v>22.4</v>
      </c>
      <c r="AE74" s="9">
        <v>20.6</v>
      </c>
      <c r="AF74" s="9"/>
      <c r="AG74" s="9">
        <f t="shared" si="22"/>
        <v>61</v>
      </c>
      <c r="AH74" t="s">
        <v>185</v>
      </c>
      <c r="AI74">
        <f>VLOOKUP(AH74,[1]Sheet!$AK:$AM,3,0)</f>
        <v>0</v>
      </c>
    </row>
    <row r="75" spans="1:35" hidden="1" x14ac:dyDescent="0.25">
      <c r="A75" s="9" t="s">
        <v>186</v>
      </c>
      <c r="B75" s="9" t="s">
        <v>46</v>
      </c>
      <c r="C75" s="9">
        <v>56</v>
      </c>
      <c r="D75" s="9">
        <v>8</v>
      </c>
      <c r="E75" s="9">
        <v>29</v>
      </c>
      <c r="F75" s="9">
        <v>35</v>
      </c>
      <c r="G75" s="6">
        <v>0.6</v>
      </c>
      <c r="H75" s="9">
        <v>60</v>
      </c>
      <c r="I75" s="9" t="s">
        <v>39</v>
      </c>
      <c r="J75" s="9"/>
      <c r="K75" s="9">
        <v>30</v>
      </c>
      <c r="L75" s="9">
        <f t="shared" si="17"/>
        <v>-1</v>
      </c>
      <c r="M75" s="9"/>
      <c r="N75" s="9"/>
      <c r="O75" s="9">
        <v>0</v>
      </c>
      <c r="P75" s="9"/>
      <c r="Q75" s="9">
        <f t="shared" si="18"/>
        <v>5.8</v>
      </c>
      <c r="R75" s="4">
        <f t="shared" si="19"/>
        <v>34.599999999999994</v>
      </c>
      <c r="S75" s="4">
        <f t="shared" si="23"/>
        <v>34.599999999999994</v>
      </c>
      <c r="T75" s="9">
        <f t="shared" si="20"/>
        <v>12</v>
      </c>
      <c r="U75" s="9">
        <f t="shared" si="21"/>
        <v>6.0344827586206895</v>
      </c>
      <c r="V75" s="9">
        <v>4</v>
      </c>
      <c r="W75" s="9">
        <v>5.4</v>
      </c>
      <c r="X75" s="9">
        <v>4.4000000000000004</v>
      </c>
      <c r="Y75" s="9">
        <v>4</v>
      </c>
      <c r="Z75" s="9">
        <v>5.4</v>
      </c>
      <c r="AA75" s="9">
        <v>5.8</v>
      </c>
      <c r="AB75" s="9">
        <v>4.2</v>
      </c>
      <c r="AC75" s="9">
        <v>4.4000000000000004</v>
      </c>
      <c r="AD75" s="9">
        <v>7.2</v>
      </c>
      <c r="AE75" s="9">
        <v>6.4</v>
      </c>
      <c r="AF75" s="9"/>
      <c r="AG75" s="9">
        <f t="shared" si="22"/>
        <v>21</v>
      </c>
      <c r="AH75" t="s">
        <v>187</v>
      </c>
      <c r="AI75">
        <f>VLOOKUP(AH75,[1]Sheet!$AK:$AM,3,0)</f>
        <v>0</v>
      </c>
    </row>
    <row r="76" spans="1:35" hidden="1" x14ac:dyDescent="0.25">
      <c r="A76" s="9" t="s">
        <v>188</v>
      </c>
      <c r="B76" s="9" t="s">
        <v>46</v>
      </c>
      <c r="C76" s="9">
        <v>88</v>
      </c>
      <c r="D76" s="9">
        <v>152</v>
      </c>
      <c r="E76" s="9">
        <v>114</v>
      </c>
      <c r="F76" s="9">
        <v>116</v>
      </c>
      <c r="G76" s="6">
        <v>0.4</v>
      </c>
      <c r="H76" s="9">
        <v>90</v>
      </c>
      <c r="I76" s="9" t="s">
        <v>39</v>
      </c>
      <c r="J76" s="9"/>
      <c r="K76" s="9">
        <v>115</v>
      </c>
      <c r="L76" s="9">
        <f t="shared" si="17"/>
        <v>-1</v>
      </c>
      <c r="M76" s="9"/>
      <c r="N76" s="9"/>
      <c r="O76" s="9">
        <v>120.09999999999989</v>
      </c>
      <c r="P76" s="9"/>
      <c r="Q76" s="9">
        <f t="shared" si="18"/>
        <v>22.8</v>
      </c>
      <c r="R76" s="4">
        <f t="shared" si="19"/>
        <v>37.500000000000114</v>
      </c>
      <c r="S76" s="4">
        <f t="shared" si="23"/>
        <v>37.500000000000114</v>
      </c>
      <c r="T76" s="9">
        <f t="shared" si="20"/>
        <v>12</v>
      </c>
      <c r="U76" s="9">
        <f t="shared" si="21"/>
        <v>10.355263157894733</v>
      </c>
      <c r="V76" s="9">
        <v>25.2</v>
      </c>
      <c r="W76" s="9">
        <v>20.6</v>
      </c>
      <c r="X76" s="9">
        <v>22.2</v>
      </c>
      <c r="Y76" s="9">
        <v>19.8</v>
      </c>
      <c r="Z76" s="9">
        <v>15.6</v>
      </c>
      <c r="AA76" s="9">
        <v>17.8</v>
      </c>
      <c r="AB76" s="9">
        <v>17.2</v>
      </c>
      <c r="AC76" s="9">
        <v>22.6</v>
      </c>
      <c r="AD76" s="9">
        <v>24.6</v>
      </c>
      <c r="AE76" s="9">
        <v>23.8</v>
      </c>
      <c r="AF76" s="9"/>
      <c r="AG76" s="9">
        <f t="shared" si="22"/>
        <v>15</v>
      </c>
      <c r="AH76" t="s">
        <v>189</v>
      </c>
      <c r="AI76">
        <f>VLOOKUP(AH76,[1]Sheet!$AK:$AM,3,0)</f>
        <v>0</v>
      </c>
    </row>
    <row r="77" spans="1:35" hidden="1" x14ac:dyDescent="0.25">
      <c r="A77" s="9" t="s">
        <v>190</v>
      </c>
      <c r="B77" s="9" t="s">
        <v>46</v>
      </c>
      <c r="C77" s="9">
        <v>69</v>
      </c>
      <c r="D77" s="9">
        <v>280</v>
      </c>
      <c r="E77" s="9">
        <v>149</v>
      </c>
      <c r="F77" s="9">
        <v>189</v>
      </c>
      <c r="G77" s="6">
        <v>0.33</v>
      </c>
      <c r="H77" s="9">
        <v>60</v>
      </c>
      <c r="I77" s="9" t="s">
        <v>39</v>
      </c>
      <c r="J77" s="9"/>
      <c r="K77" s="9">
        <v>151</v>
      </c>
      <c r="L77" s="9">
        <f t="shared" si="17"/>
        <v>-2</v>
      </c>
      <c r="M77" s="9"/>
      <c r="N77" s="9"/>
      <c r="O77" s="9">
        <v>104.9</v>
      </c>
      <c r="P77" s="9"/>
      <c r="Q77" s="9">
        <f t="shared" si="18"/>
        <v>29.8</v>
      </c>
      <c r="R77" s="4">
        <f t="shared" si="19"/>
        <v>63.700000000000017</v>
      </c>
      <c r="S77" s="4">
        <f t="shared" si="23"/>
        <v>63.700000000000017</v>
      </c>
      <c r="T77" s="9">
        <f t="shared" si="20"/>
        <v>12</v>
      </c>
      <c r="U77" s="9">
        <f t="shared" si="21"/>
        <v>9.8624161073825487</v>
      </c>
      <c r="V77" s="9">
        <v>31.6</v>
      </c>
      <c r="W77" s="9">
        <v>29</v>
      </c>
      <c r="X77" s="9">
        <v>28.6</v>
      </c>
      <c r="Y77" s="9">
        <v>23</v>
      </c>
      <c r="Z77" s="9">
        <v>19.2</v>
      </c>
      <c r="AA77" s="9">
        <v>26</v>
      </c>
      <c r="AB77" s="9">
        <v>23.8</v>
      </c>
      <c r="AC77" s="9">
        <v>24.6</v>
      </c>
      <c r="AD77" s="9">
        <v>25.2</v>
      </c>
      <c r="AE77" s="9">
        <v>29</v>
      </c>
      <c r="AF77" s="9"/>
      <c r="AG77" s="9">
        <f t="shared" si="22"/>
        <v>21</v>
      </c>
      <c r="AH77" t="s">
        <v>191</v>
      </c>
      <c r="AI77">
        <f>VLOOKUP(AH77,[1]Sheet!$AK:$AM,3,0)</f>
        <v>0</v>
      </c>
    </row>
    <row r="78" spans="1:35" hidden="1" x14ac:dyDescent="0.25">
      <c r="A78" s="9" t="s">
        <v>192</v>
      </c>
      <c r="B78" s="9" t="s">
        <v>46</v>
      </c>
      <c r="C78" s="9">
        <v>78</v>
      </c>
      <c r="D78" s="9">
        <v>160</v>
      </c>
      <c r="E78" s="9">
        <v>110</v>
      </c>
      <c r="F78" s="9">
        <v>124</v>
      </c>
      <c r="G78" s="6">
        <v>0.35</v>
      </c>
      <c r="H78" s="9">
        <v>90</v>
      </c>
      <c r="I78" s="9" t="s">
        <v>39</v>
      </c>
      <c r="J78" s="9"/>
      <c r="K78" s="9">
        <v>110</v>
      </c>
      <c r="L78" s="9">
        <f t="shared" si="17"/>
        <v>0</v>
      </c>
      <c r="M78" s="9"/>
      <c r="N78" s="9"/>
      <c r="O78" s="9">
        <v>70.300000000000011</v>
      </c>
      <c r="P78" s="9"/>
      <c r="Q78" s="9">
        <f t="shared" si="18"/>
        <v>22</v>
      </c>
      <c r="R78" s="4">
        <f t="shared" si="19"/>
        <v>69.699999999999989</v>
      </c>
      <c r="S78" s="4">
        <f t="shared" si="23"/>
        <v>69.699999999999989</v>
      </c>
      <c r="T78" s="9">
        <f t="shared" si="20"/>
        <v>12</v>
      </c>
      <c r="U78" s="9">
        <f t="shared" si="21"/>
        <v>8.831818181818182</v>
      </c>
      <c r="V78" s="9">
        <v>21.8</v>
      </c>
      <c r="W78" s="9">
        <v>20</v>
      </c>
      <c r="X78" s="9">
        <v>23</v>
      </c>
      <c r="Y78" s="9">
        <v>19</v>
      </c>
      <c r="Z78" s="9">
        <v>19.2</v>
      </c>
      <c r="AA78" s="9">
        <v>20.6</v>
      </c>
      <c r="AB78" s="9">
        <v>15.6</v>
      </c>
      <c r="AC78" s="9">
        <v>13.6</v>
      </c>
      <c r="AD78" s="9">
        <v>12.6</v>
      </c>
      <c r="AE78" s="9">
        <v>8.6</v>
      </c>
      <c r="AF78" s="9"/>
      <c r="AG78" s="9">
        <f t="shared" si="22"/>
        <v>24</v>
      </c>
      <c r="AH78" t="s">
        <v>193</v>
      </c>
      <c r="AI78">
        <f>VLOOKUP(AH78,[1]Sheet!$AK:$AM,3,0)</f>
        <v>0</v>
      </c>
    </row>
    <row r="79" spans="1:35" hidden="1" x14ac:dyDescent="0.25">
      <c r="A79" s="9" t="s">
        <v>194</v>
      </c>
      <c r="B79" s="9" t="s">
        <v>46</v>
      </c>
      <c r="C79" s="9">
        <v>519</v>
      </c>
      <c r="D79" s="9">
        <v>680</v>
      </c>
      <c r="E79" s="9">
        <v>565</v>
      </c>
      <c r="F79" s="9">
        <v>610</v>
      </c>
      <c r="G79" s="6">
        <v>0.37</v>
      </c>
      <c r="H79" s="9">
        <v>50</v>
      </c>
      <c r="I79" s="9" t="s">
        <v>39</v>
      </c>
      <c r="J79" s="9"/>
      <c r="K79" s="9">
        <v>566</v>
      </c>
      <c r="L79" s="9">
        <f t="shared" si="17"/>
        <v>-1</v>
      </c>
      <c r="M79" s="9"/>
      <c r="N79" s="9"/>
      <c r="O79" s="9">
        <v>146.04</v>
      </c>
      <c r="P79" s="9"/>
      <c r="Q79" s="9">
        <f t="shared" si="18"/>
        <v>113</v>
      </c>
      <c r="R79" s="4">
        <f t="shared" si="19"/>
        <v>599.96</v>
      </c>
      <c r="S79" s="4">
        <f>R79+$S$1*Q79</f>
        <v>556.45500000000004</v>
      </c>
      <c r="T79" s="9">
        <f t="shared" si="20"/>
        <v>12</v>
      </c>
      <c r="U79" s="9">
        <f t="shared" si="21"/>
        <v>6.6906194690265481</v>
      </c>
      <c r="V79" s="9">
        <v>100</v>
      </c>
      <c r="W79" s="9">
        <v>88.2</v>
      </c>
      <c r="X79" s="9">
        <v>79.2</v>
      </c>
      <c r="Y79" s="9">
        <v>78.2</v>
      </c>
      <c r="Z79" s="9">
        <v>97.8</v>
      </c>
      <c r="AA79" s="9">
        <v>89.2</v>
      </c>
      <c r="AB79" s="9">
        <v>84.6</v>
      </c>
      <c r="AC79" s="9">
        <v>103.8</v>
      </c>
      <c r="AD79" s="9">
        <v>109.6</v>
      </c>
      <c r="AE79" s="9">
        <v>106.2</v>
      </c>
      <c r="AF79" s="9"/>
      <c r="AG79" s="9">
        <f t="shared" si="22"/>
        <v>206</v>
      </c>
      <c r="AH79" t="s">
        <v>195</v>
      </c>
      <c r="AI79">
        <f>VLOOKUP(AH79,[1]Sheet!$AK:$AM,3,0)</f>
        <v>0</v>
      </c>
    </row>
    <row r="80" spans="1:35" hidden="1" x14ac:dyDescent="0.25">
      <c r="A80" s="9" t="s">
        <v>196</v>
      </c>
      <c r="B80" s="9" t="s">
        <v>46</v>
      </c>
      <c r="C80" s="9">
        <v>166</v>
      </c>
      <c r="D80" s="9">
        <v>40</v>
      </c>
      <c r="E80" s="9">
        <v>98</v>
      </c>
      <c r="F80" s="9">
        <v>95</v>
      </c>
      <c r="G80" s="6">
        <v>0.6</v>
      </c>
      <c r="H80" s="9">
        <v>70</v>
      </c>
      <c r="I80" s="9" t="s">
        <v>39</v>
      </c>
      <c r="J80" s="9"/>
      <c r="K80" s="9">
        <v>98</v>
      </c>
      <c r="L80" s="9">
        <f t="shared" si="17"/>
        <v>0</v>
      </c>
      <c r="M80" s="9"/>
      <c r="N80" s="9"/>
      <c r="O80" s="9">
        <v>127</v>
      </c>
      <c r="P80" s="9"/>
      <c r="Q80" s="9">
        <f t="shared" si="18"/>
        <v>19.600000000000001</v>
      </c>
      <c r="R80" s="4">
        <f t="shared" si="19"/>
        <v>13.200000000000017</v>
      </c>
      <c r="S80" s="4">
        <f>R80</f>
        <v>13.200000000000017</v>
      </c>
      <c r="T80" s="9">
        <f t="shared" si="20"/>
        <v>12</v>
      </c>
      <c r="U80" s="9">
        <f t="shared" si="21"/>
        <v>11.326530612244897</v>
      </c>
      <c r="V80" s="9">
        <v>22.8</v>
      </c>
      <c r="W80" s="9">
        <v>16.8</v>
      </c>
      <c r="X80" s="9">
        <v>15.2</v>
      </c>
      <c r="Y80" s="9">
        <v>20.8</v>
      </c>
      <c r="Z80" s="9">
        <v>25.2</v>
      </c>
      <c r="AA80" s="9">
        <v>23</v>
      </c>
      <c r="AB80" s="9">
        <v>22.2</v>
      </c>
      <c r="AC80" s="9">
        <v>20</v>
      </c>
      <c r="AD80" s="9">
        <v>24.4</v>
      </c>
      <c r="AE80" s="9">
        <v>23.6</v>
      </c>
      <c r="AF80" s="9"/>
      <c r="AG80" s="9">
        <f t="shared" si="22"/>
        <v>8</v>
      </c>
      <c r="AH80" t="s">
        <v>197</v>
      </c>
      <c r="AI80">
        <f>VLOOKUP(AH80,[1]Sheet!$AK:$AM,3,0)</f>
        <v>0</v>
      </c>
    </row>
    <row r="81" spans="1:36" hidden="1" x14ac:dyDescent="0.25">
      <c r="A81" s="9" t="s">
        <v>198</v>
      </c>
      <c r="B81" s="9" t="s">
        <v>46</v>
      </c>
      <c r="C81" s="9">
        <v>40</v>
      </c>
      <c r="D81" s="9">
        <v>84</v>
      </c>
      <c r="E81" s="9">
        <v>28</v>
      </c>
      <c r="F81" s="9">
        <v>93</v>
      </c>
      <c r="G81" s="6">
        <v>0.33</v>
      </c>
      <c r="H81" s="9">
        <v>40</v>
      </c>
      <c r="I81" s="9" t="s">
        <v>39</v>
      </c>
      <c r="J81" s="9"/>
      <c r="K81" s="9">
        <v>46</v>
      </c>
      <c r="L81" s="9">
        <f t="shared" si="17"/>
        <v>-18</v>
      </c>
      <c r="M81" s="9"/>
      <c r="N81" s="9"/>
      <c r="O81" s="9">
        <v>0</v>
      </c>
      <c r="P81" s="9"/>
      <c r="Q81" s="9">
        <f t="shared" si="18"/>
        <v>5.6</v>
      </c>
      <c r="R81" s="4"/>
      <c r="S81" s="4">
        <f>R81</f>
        <v>0</v>
      </c>
      <c r="T81" s="9">
        <f t="shared" si="20"/>
        <v>16.607142857142858</v>
      </c>
      <c r="U81" s="9">
        <f t="shared" si="21"/>
        <v>16.607142857142858</v>
      </c>
      <c r="V81" s="9">
        <v>8.8000000000000007</v>
      </c>
      <c r="W81" s="9">
        <v>10.6</v>
      </c>
      <c r="X81" s="9">
        <v>10.6</v>
      </c>
      <c r="Y81" s="9">
        <v>10.4</v>
      </c>
      <c r="Z81" s="9">
        <v>9</v>
      </c>
      <c r="AA81" s="9">
        <v>8.6</v>
      </c>
      <c r="AB81" s="9">
        <v>6</v>
      </c>
      <c r="AC81" s="9">
        <v>5.6</v>
      </c>
      <c r="AD81" s="9">
        <v>8.4</v>
      </c>
      <c r="AE81" s="9">
        <v>9.8000000000000007</v>
      </c>
      <c r="AF81" s="9"/>
      <c r="AG81" s="9">
        <f t="shared" si="22"/>
        <v>0</v>
      </c>
      <c r="AH81" t="s">
        <v>199</v>
      </c>
      <c r="AI81">
        <f>VLOOKUP(AH81,[1]Sheet!$AK:$AM,3,0)</f>
        <v>0</v>
      </c>
    </row>
    <row r="82" spans="1:36" hidden="1" x14ac:dyDescent="0.25">
      <c r="A82" s="9" t="s">
        <v>200</v>
      </c>
      <c r="B82" s="9" t="s">
        <v>46</v>
      </c>
      <c r="C82" s="9">
        <v>341</v>
      </c>
      <c r="D82" s="9">
        <v>90</v>
      </c>
      <c r="E82" s="9">
        <v>279</v>
      </c>
      <c r="F82" s="9">
        <v>143</v>
      </c>
      <c r="G82" s="6">
        <v>0.4</v>
      </c>
      <c r="H82" s="9">
        <v>55</v>
      </c>
      <c r="I82" s="9" t="s">
        <v>39</v>
      </c>
      <c r="J82" s="9"/>
      <c r="K82" s="9">
        <v>280</v>
      </c>
      <c r="L82" s="9">
        <f t="shared" si="17"/>
        <v>-1</v>
      </c>
      <c r="M82" s="9"/>
      <c r="N82" s="9"/>
      <c r="O82" s="9">
        <v>271.30999999999989</v>
      </c>
      <c r="P82" s="9"/>
      <c r="Q82" s="9">
        <f t="shared" si="18"/>
        <v>55.8</v>
      </c>
      <c r="R82" s="4">
        <f>12*Q82-O82-F82</f>
        <v>255.29000000000002</v>
      </c>
      <c r="S82" s="4">
        <f>R82+$S$1*Q82</f>
        <v>233.80700000000002</v>
      </c>
      <c r="T82" s="9">
        <f t="shared" si="20"/>
        <v>11.999999999999998</v>
      </c>
      <c r="U82" s="9">
        <f t="shared" si="21"/>
        <v>7.4249103942652317</v>
      </c>
      <c r="V82" s="9">
        <v>49.8</v>
      </c>
      <c r="W82" s="9">
        <v>36.200000000000003</v>
      </c>
      <c r="X82" s="9">
        <v>42</v>
      </c>
      <c r="Y82" s="9">
        <v>46</v>
      </c>
      <c r="Z82" s="9">
        <v>56.4</v>
      </c>
      <c r="AA82" s="9">
        <v>55.4</v>
      </c>
      <c r="AB82" s="9">
        <v>44.8</v>
      </c>
      <c r="AC82" s="9">
        <v>44.8</v>
      </c>
      <c r="AD82" s="9">
        <v>57.4</v>
      </c>
      <c r="AE82" s="9">
        <v>54</v>
      </c>
      <c r="AF82" s="9"/>
      <c r="AG82" s="9">
        <f t="shared" si="22"/>
        <v>94</v>
      </c>
      <c r="AH82" t="s">
        <v>201</v>
      </c>
      <c r="AI82">
        <f>VLOOKUP(AH82,[1]Sheet!$AK:$AM,3,0)</f>
        <v>0</v>
      </c>
    </row>
    <row r="83" spans="1:36" hidden="1" x14ac:dyDescent="0.25">
      <c r="A83" s="9" t="s">
        <v>202</v>
      </c>
      <c r="B83" s="9" t="s">
        <v>46</v>
      </c>
      <c r="C83" s="9">
        <v>83</v>
      </c>
      <c r="D83" s="9"/>
      <c r="E83" s="9">
        <v>75</v>
      </c>
      <c r="F83" s="9">
        <v>8</v>
      </c>
      <c r="G83" s="6">
        <v>0.35</v>
      </c>
      <c r="H83" s="9">
        <v>40</v>
      </c>
      <c r="I83" s="8" t="s">
        <v>82</v>
      </c>
      <c r="J83" s="9"/>
      <c r="K83" s="9">
        <v>185</v>
      </c>
      <c r="L83" s="9">
        <f t="shared" si="17"/>
        <v>-110</v>
      </c>
      <c r="M83" s="9"/>
      <c r="N83" s="9"/>
      <c r="O83" s="9">
        <v>150</v>
      </c>
      <c r="P83" s="9"/>
      <c r="Q83" s="9">
        <f t="shared" si="18"/>
        <v>15</v>
      </c>
      <c r="R83" s="4">
        <v>50</v>
      </c>
      <c r="S83" s="4">
        <f t="shared" ref="S83:S91" si="24">R83</f>
        <v>50</v>
      </c>
      <c r="T83" s="9">
        <f t="shared" si="20"/>
        <v>13.866666666666667</v>
      </c>
      <c r="U83" s="9">
        <f t="shared" si="21"/>
        <v>10.533333333333333</v>
      </c>
      <c r="V83" s="9">
        <v>25.4</v>
      </c>
      <c r="W83" s="9">
        <v>10.199999999999999</v>
      </c>
      <c r="X83" s="9">
        <v>7.2</v>
      </c>
      <c r="Y83" s="9">
        <v>14.6</v>
      </c>
      <c r="Z83" s="9">
        <v>29</v>
      </c>
      <c r="AA83" s="9">
        <v>24.2</v>
      </c>
      <c r="AB83" s="9">
        <v>2.6</v>
      </c>
      <c r="AC83" s="9">
        <v>3.6</v>
      </c>
      <c r="AD83" s="9">
        <v>22.4</v>
      </c>
      <c r="AE83" s="9">
        <v>27</v>
      </c>
      <c r="AF83" s="9"/>
      <c r="AG83" s="9">
        <f t="shared" si="22"/>
        <v>18</v>
      </c>
      <c r="AH83" t="s">
        <v>203</v>
      </c>
      <c r="AI83">
        <f>VLOOKUP(AH83,[1]Sheet!$AK:$AM,3,0)</f>
        <v>0</v>
      </c>
    </row>
    <row r="84" spans="1:36" hidden="1" x14ac:dyDescent="0.25">
      <c r="A84" s="9" t="s">
        <v>204</v>
      </c>
      <c r="B84" s="9" t="s">
        <v>46</v>
      </c>
      <c r="C84" s="9">
        <v>5</v>
      </c>
      <c r="D84" s="9">
        <v>354</v>
      </c>
      <c r="E84" s="9">
        <v>18</v>
      </c>
      <c r="F84" s="9">
        <v>341</v>
      </c>
      <c r="G84" s="6">
        <v>0.35</v>
      </c>
      <c r="H84" s="9">
        <v>45</v>
      </c>
      <c r="I84" s="9" t="s">
        <v>39</v>
      </c>
      <c r="J84" s="9"/>
      <c r="K84" s="9">
        <v>174</v>
      </c>
      <c r="L84" s="9">
        <f t="shared" si="17"/>
        <v>-156</v>
      </c>
      <c r="M84" s="9"/>
      <c r="N84" s="9"/>
      <c r="O84" s="9">
        <v>100</v>
      </c>
      <c r="P84" s="9"/>
      <c r="Q84" s="9">
        <f t="shared" si="18"/>
        <v>3.6</v>
      </c>
      <c r="R84" s="4"/>
      <c r="S84" s="4">
        <f t="shared" si="24"/>
        <v>0</v>
      </c>
      <c r="T84" s="9">
        <f t="shared" si="20"/>
        <v>122.5</v>
      </c>
      <c r="U84" s="9">
        <f t="shared" si="21"/>
        <v>122.5</v>
      </c>
      <c r="V84" s="9">
        <v>9.6</v>
      </c>
      <c r="W84" s="9">
        <v>50.6</v>
      </c>
      <c r="X84" s="9">
        <v>53.4</v>
      </c>
      <c r="Y84" s="9">
        <v>61.6</v>
      </c>
      <c r="Z84" s="9">
        <v>61.2</v>
      </c>
      <c r="AA84" s="9">
        <v>44</v>
      </c>
      <c r="AB84" s="9">
        <v>49</v>
      </c>
      <c r="AC84" s="9">
        <v>44.4</v>
      </c>
      <c r="AD84" s="9">
        <v>34.4</v>
      </c>
      <c r="AE84" s="9">
        <v>61.8</v>
      </c>
      <c r="AF84" s="9"/>
      <c r="AG84" s="9">
        <f t="shared" si="22"/>
        <v>0</v>
      </c>
      <c r="AH84" t="s">
        <v>205</v>
      </c>
      <c r="AI84">
        <f>VLOOKUP(AH84,[1]Sheet!$AK:$AM,3,0)</f>
        <v>0</v>
      </c>
    </row>
    <row r="85" spans="1:36" hidden="1" x14ac:dyDescent="0.25">
      <c r="A85" s="9" t="s">
        <v>206</v>
      </c>
      <c r="B85" s="9" t="s">
        <v>46</v>
      </c>
      <c r="C85" s="9">
        <v>88</v>
      </c>
      <c r="D85" s="9">
        <v>320</v>
      </c>
      <c r="E85" s="9">
        <v>63</v>
      </c>
      <c r="F85" s="9">
        <v>345</v>
      </c>
      <c r="G85" s="6">
        <v>0.4</v>
      </c>
      <c r="H85" s="9">
        <v>55</v>
      </c>
      <c r="I85" s="9" t="s">
        <v>39</v>
      </c>
      <c r="J85" s="9"/>
      <c r="K85" s="9">
        <v>240</v>
      </c>
      <c r="L85" s="9">
        <f t="shared" si="17"/>
        <v>-177</v>
      </c>
      <c r="M85" s="9"/>
      <c r="N85" s="9"/>
      <c r="O85" s="9">
        <v>0</v>
      </c>
      <c r="P85" s="9"/>
      <c r="Q85" s="9">
        <f t="shared" si="18"/>
        <v>12.6</v>
      </c>
      <c r="R85" s="4"/>
      <c r="S85" s="4">
        <f t="shared" si="24"/>
        <v>0</v>
      </c>
      <c r="T85" s="9">
        <f t="shared" si="20"/>
        <v>27.380952380952383</v>
      </c>
      <c r="U85" s="9">
        <f t="shared" si="21"/>
        <v>27.380952380952383</v>
      </c>
      <c r="V85" s="9">
        <v>11.8</v>
      </c>
      <c r="W85" s="9">
        <v>36.200000000000003</v>
      </c>
      <c r="X85" s="9">
        <v>39.799999999999997</v>
      </c>
      <c r="Y85" s="9">
        <v>15</v>
      </c>
      <c r="Z85" s="9">
        <v>16</v>
      </c>
      <c r="AA85" s="9">
        <v>28</v>
      </c>
      <c r="AB85" s="9">
        <v>29.8</v>
      </c>
      <c r="AC85" s="9">
        <v>24.2</v>
      </c>
      <c r="AD85" s="9">
        <v>24.2</v>
      </c>
      <c r="AE85" s="9">
        <v>23.4</v>
      </c>
      <c r="AF85" s="15" t="s">
        <v>127</v>
      </c>
      <c r="AG85" s="9">
        <f t="shared" si="22"/>
        <v>0</v>
      </c>
      <c r="AH85" t="s">
        <v>207</v>
      </c>
      <c r="AI85">
        <f>VLOOKUP(AH85,[1]Sheet!$AK:$AM,3,0)</f>
        <v>0</v>
      </c>
    </row>
    <row r="86" spans="1:36" hidden="1" x14ac:dyDescent="0.25">
      <c r="A86" s="9" t="s">
        <v>208</v>
      </c>
      <c r="B86" s="9" t="s">
        <v>38</v>
      </c>
      <c r="C86" s="9">
        <v>33.045999999999999</v>
      </c>
      <c r="D86" s="9">
        <v>58.189</v>
      </c>
      <c r="E86" s="9">
        <v>9.8849999999999998</v>
      </c>
      <c r="F86" s="9">
        <v>81.349999999999994</v>
      </c>
      <c r="G86" s="6">
        <v>1</v>
      </c>
      <c r="H86" s="9">
        <v>55</v>
      </c>
      <c r="I86" s="9" t="s">
        <v>39</v>
      </c>
      <c r="J86" s="9"/>
      <c r="K86" s="9">
        <v>9.35</v>
      </c>
      <c r="L86" s="9">
        <f t="shared" si="17"/>
        <v>0.53500000000000014</v>
      </c>
      <c r="M86" s="9"/>
      <c r="N86" s="9"/>
      <c r="O86" s="9">
        <v>0</v>
      </c>
      <c r="P86" s="9"/>
      <c r="Q86" s="9">
        <f t="shared" si="18"/>
        <v>1.9769999999999999</v>
      </c>
      <c r="R86" s="4"/>
      <c r="S86" s="4">
        <f t="shared" si="24"/>
        <v>0</v>
      </c>
      <c r="T86" s="9">
        <f t="shared" si="20"/>
        <v>41.148204350025289</v>
      </c>
      <c r="U86" s="9">
        <f t="shared" si="21"/>
        <v>41.148204350025289</v>
      </c>
      <c r="V86" s="9">
        <v>1.7008000000000001</v>
      </c>
      <c r="W86" s="9">
        <v>1.6816</v>
      </c>
      <c r="X86" s="9">
        <v>6.2156000000000002</v>
      </c>
      <c r="Y86" s="9">
        <v>7.9986000000000006</v>
      </c>
      <c r="Z86" s="9">
        <v>3.4681999999999999</v>
      </c>
      <c r="AA86" s="9">
        <v>1.6208</v>
      </c>
      <c r="AB86" s="9">
        <v>-1.0531999999999999</v>
      </c>
      <c r="AC86" s="9">
        <v>0.1918</v>
      </c>
      <c r="AD86" s="9">
        <v>6.4581999999999997</v>
      </c>
      <c r="AE86" s="9">
        <v>25.799199999999999</v>
      </c>
      <c r="AF86" s="15" t="s">
        <v>127</v>
      </c>
      <c r="AG86" s="9">
        <f t="shared" si="22"/>
        <v>0</v>
      </c>
      <c r="AH86" t="s">
        <v>209</v>
      </c>
      <c r="AI86">
        <f>VLOOKUP(AH86,[1]Sheet!$AK:$AM,3,0)</f>
        <v>0</v>
      </c>
    </row>
    <row r="87" spans="1:36" hidden="1" x14ac:dyDescent="0.25">
      <c r="A87" s="10" t="s">
        <v>210</v>
      </c>
      <c r="B87" s="10" t="s">
        <v>46</v>
      </c>
      <c r="C87" s="10">
        <v>7</v>
      </c>
      <c r="D87" s="10"/>
      <c r="E87" s="10">
        <v>3</v>
      </c>
      <c r="F87" s="10">
        <v>4</v>
      </c>
      <c r="G87" s="11">
        <v>0</v>
      </c>
      <c r="H87" s="10">
        <v>55</v>
      </c>
      <c r="I87" s="10" t="s">
        <v>60</v>
      </c>
      <c r="J87" s="10"/>
      <c r="K87" s="10">
        <v>23</v>
      </c>
      <c r="L87" s="10">
        <f t="shared" si="17"/>
        <v>-20</v>
      </c>
      <c r="M87" s="10"/>
      <c r="N87" s="10"/>
      <c r="O87" s="10">
        <v>0</v>
      </c>
      <c r="P87" s="10"/>
      <c r="Q87" s="10">
        <f t="shared" si="18"/>
        <v>0.6</v>
      </c>
      <c r="R87" s="12"/>
      <c r="S87" s="4">
        <f t="shared" si="24"/>
        <v>0</v>
      </c>
      <c r="T87" s="10">
        <f t="shared" si="20"/>
        <v>6.666666666666667</v>
      </c>
      <c r="U87" s="10">
        <f t="shared" si="21"/>
        <v>6.666666666666667</v>
      </c>
      <c r="V87" s="10">
        <v>0.6</v>
      </c>
      <c r="W87" s="10">
        <v>2</v>
      </c>
      <c r="X87" s="10">
        <v>4</v>
      </c>
      <c r="Y87" s="10">
        <v>4</v>
      </c>
      <c r="Z87" s="10">
        <v>6</v>
      </c>
      <c r="AA87" s="10">
        <v>4</v>
      </c>
      <c r="AB87" s="10">
        <v>1.2</v>
      </c>
      <c r="AC87" s="10">
        <v>2</v>
      </c>
      <c r="AD87" s="10">
        <v>2.6</v>
      </c>
      <c r="AE87" s="10">
        <v>4.4000000000000004</v>
      </c>
      <c r="AF87" s="10"/>
      <c r="AG87" s="9">
        <f t="shared" si="22"/>
        <v>0</v>
      </c>
      <c r="AH87" t="s">
        <v>211</v>
      </c>
      <c r="AI87" t="e">
        <f>VLOOKUP(AH87,[1]Sheet!$AK:$AM,3,0)</f>
        <v>#N/A</v>
      </c>
    </row>
    <row r="88" spans="1:36" hidden="1" x14ac:dyDescent="0.25">
      <c r="A88" s="9" t="s">
        <v>212</v>
      </c>
      <c r="B88" s="9" t="s">
        <v>38</v>
      </c>
      <c r="C88" s="9">
        <v>186.005</v>
      </c>
      <c r="D88" s="9">
        <v>269.51900000000001</v>
      </c>
      <c r="E88" s="9">
        <v>222.88300000000001</v>
      </c>
      <c r="F88" s="9">
        <v>205.268</v>
      </c>
      <c r="G88" s="6">
        <v>1</v>
      </c>
      <c r="H88" s="9">
        <v>55</v>
      </c>
      <c r="I88" s="9" t="s">
        <v>39</v>
      </c>
      <c r="J88" s="9"/>
      <c r="K88" s="9">
        <v>247.4</v>
      </c>
      <c r="L88" s="9">
        <f t="shared" si="17"/>
        <v>-24.516999999999996</v>
      </c>
      <c r="M88" s="9"/>
      <c r="N88" s="9"/>
      <c r="O88" s="9">
        <v>167.97050999999999</v>
      </c>
      <c r="P88" s="9"/>
      <c r="Q88" s="9">
        <f t="shared" si="18"/>
        <v>44.576599999999999</v>
      </c>
      <c r="R88" s="4">
        <f>12*Q88-O88-F88</f>
        <v>161.68069000000006</v>
      </c>
      <c r="S88" s="4">
        <f t="shared" si="24"/>
        <v>161.68069000000006</v>
      </c>
      <c r="T88" s="9">
        <f t="shared" si="20"/>
        <v>12.000000000000002</v>
      </c>
      <c r="U88" s="9">
        <f t="shared" si="21"/>
        <v>8.3729694503394168</v>
      </c>
      <c r="V88" s="9">
        <v>42.3018</v>
      </c>
      <c r="W88" s="9">
        <v>32.957999999999998</v>
      </c>
      <c r="X88" s="9">
        <v>40.682000000000002</v>
      </c>
      <c r="Y88" s="9">
        <v>27.418199999999999</v>
      </c>
      <c r="Z88" s="9">
        <v>33.930599999999998</v>
      </c>
      <c r="AA88" s="9">
        <v>31.181999999999999</v>
      </c>
      <c r="AB88" s="9">
        <v>37.124600000000001</v>
      </c>
      <c r="AC88" s="9">
        <v>49.651200000000003</v>
      </c>
      <c r="AD88" s="9">
        <v>45.2958</v>
      </c>
      <c r="AE88" s="9">
        <v>39.439800000000012</v>
      </c>
      <c r="AF88" s="9"/>
      <c r="AG88" s="9">
        <f t="shared" si="22"/>
        <v>162</v>
      </c>
      <c r="AH88" t="s">
        <v>213</v>
      </c>
      <c r="AI88">
        <f>VLOOKUP(AH88,[1]Sheet!$AK:$AM,3,0)</f>
        <v>0</v>
      </c>
    </row>
    <row r="89" spans="1:36" x14ac:dyDescent="0.25">
      <c r="A89" s="9" t="s">
        <v>214</v>
      </c>
      <c r="B89" s="9" t="s">
        <v>38</v>
      </c>
      <c r="C89" s="9">
        <v>1195.2260000000001</v>
      </c>
      <c r="D89" s="9">
        <v>1210.32</v>
      </c>
      <c r="E89" s="9">
        <v>733.09699999999998</v>
      </c>
      <c r="F89" s="9">
        <v>1599.385</v>
      </c>
      <c r="G89" s="6">
        <v>1</v>
      </c>
      <c r="H89" s="9">
        <v>60</v>
      </c>
      <c r="I89" s="9" t="s">
        <v>39</v>
      </c>
      <c r="J89" s="9"/>
      <c r="K89" s="9">
        <v>750.72</v>
      </c>
      <c r="L89" s="9">
        <f t="shared" si="17"/>
        <v>-17.623000000000047</v>
      </c>
      <c r="M89" s="9"/>
      <c r="N89" s="9"/>
      <c r="O89" s="9">
        <v>0</v>
      </c>
      <c r="P89" s="18">
        <v>150</v>
      </c>
      <c r="Q89" s="9">
        <f t="shared" si="18"/>
        <v>146.61939999999998</v>
      </c>
      <c r="R89" s="4">
        <f>12*Q89-O89-F89</f>
        <v>160.04779999999982</v>
      </c>
      <c r="S89" s="4">
        <f t="shared" si="24"/>
        <v>160.04779999999982</v>
      </c>
      <c r="T89" s="9">
        <f t="shared" si="20"/>
        <v>12</v>
      </c>
      <c r="U89" s="9">
        <f t="shared" si="21"/>
        <v>10.908413211348568</v>
      </c>
      <c r="V89" s="9">
        <v>153.85120000000001</v>
      </c>
      <c r="W89" s="9">
        <v>151.1354</v>
      </c>
      <c r="X89" s="9">
        <v>164.34880000000001</v>
      </c>
      <c r="Y89" s="9">
        <v>171.851</v>
      </c>
      <c r="Z89" s="9">
        <v>176.95820000000001</v>
      </c>
      <c r="AA89" s="9">
        <v>182.36699999999999</v>
      </c>
      <c r="AB89" s="9">
        <v>171.1482</v>
      </c>
      <c r="AC89" s="9">
        <v>171.82579999999999</v>
      </c>
      <c r="AD89" s="9">
        <v>171.11279999999999</v>
      </c>
      <c r="AE89" s="9">
        <v>160.2638</v>
      </c>
      <c r="AF89" s="9"/>
      <c r="AG89" s="9">
        <f t="shared" si="22"/>
        <v>160</v>
      </c>
      <c r="AH89" t="s">
        <v>215</v>
      </c>
      <c r="AI89" t="str">
        <f>VLOOKUP(AH89,[1]Sheet!$AK:$AM,3,0)</f>
        <v>3 т</v>
      </c>
      <c r="AJ89" s="21">
        <f>P89</f>
        <v>150</v>
      </c>
    </row>
    <row r="90" spans="1:36" hidden="1" x14ac:dyDescent="0.25">
      <c r="A90" s="10" t="s">
        <v>216</v>
      </c>
      <c r="B90" s="10" t="s">
        <v>46</v>
      </c>
      <c r="C90" s="10"/>
      <c r="D90" s="10"/>
      <c r="E90" s="10"/>
      <c r="F90" s="10"/>
      <c r="G90" s="11">
        <v>0</v>
      </c>
      <c r="H90" s="10"/>
      <c r="I90" s="10" t="s">
        <v>39</v>
      </c>
      <c r="J90" s="10"/>
      <c r="K90" s="10"/>
      <c r="L90" s="10">
        <f t="shared" si="17"/>
        <v>0</v>
      </c>
      <c r="M90" s="10"/>
      <c r="N90" s="10"/>
      <c r="O90" s="10">
        <v>0</v>
      </c>
      <c r="P90" s="10"/>
      <c r="Q90" s="10">
        <f t="shared" si="18"/>
        <v>0</v>
      </c>
      <c r="R90" s="12"/>
      <c r="S90" s="4">
        <f t="shared" si="24"/>
        <v>0</v>
      </c>
      <c r="T90" s="10" t="e">
        <f t="shared" si="20"/>
        <v>#DIV/0!</v>
      </c>
      <c r="U90" s="10" t="e">
        <f t="shared" si="21"/>
        <v>#DIV/0!</v>
      </c>
      <c r="V90" s="10">
        <v>0</v>
      </c>
      <c r="W90" s="10">
        <v>0</v>
      </c>
      <c r="X90" s="10">
        <v>0</v>
      </c>
      <c r="Y90" s="10">
        <v>0</v>
      </c>
      <c r="Z90" s="10">
        <v>0</v>
      </c>
      <c r="AA90" s="10">
        <v>0</v>
      </c>
      <c r="AB90" s="10">
        <v>0</v>
      </c>
      <c r="AC90" s="10">
        <v>0</v>
      </c>
      <c r="AD90" s="10">
        <v>0</v>
      </c>
      <c r="AE90" s="10">
        <v>0</v>
      </c>
      <c r="AF90" s="10" t="s">
        <v>47</v>
      </c>
      <c r="AG90" s="9">
        <f t="shared" si="22"/>
        <v>0</v>
      </c>
      <c r="AH90" t="s">
        <v>217</v>
      </c>
      <c r="AI90">
        <f>VLOOKUP(AH90,[1]Sheet!$AK:$AM,3,0)</f>
        <v>0</v>
      </c>
    </row>
    <row r="91" spans="1:36" x14ac:dyDescent="0.25">
      <c r="A91" s="9" t="s">
        <v>218</v>
      </c>
      <c r="B91" s="9" t="s">
        <v>38</v>
      </c>
      <c r="C91" s="9">
        <v>4110.0619999999999</v>
      </c>
      <c r="D91" s="9">
        <v>3189.92</v>
      </c>
      <c r="E91" s="9">
        <v>2140.3649999999998</v>
      </c>
      <c r="F91" s="9">
        <v>5029.7460000000001</v>
      </c>
      <c r="G91" s="6">
        <v>1</v>
      </c>
      <c r="H91" s="9">
        <v>60</v>
      </c>
      <c r="I91" s="9" t="s">
        <v>39</v>
      </c>
      <c r="J91" s="9"/>
      <c r="K91" s="9">
        <v>2134.1</v>
      </c>
      <c r="L91" s="9">
        <f t="shared" si="17"/>
        <v>6.2649999999998727</v>
      </c>
      <c r="M91" s="9"/>
      <c r="N91" s="9"/>
      <c r="O91" s="9">
        <v>0</v>
      </c>
      <c r="P91" s="18">
        <v>250</v>
      </c>
      <c r="Q91" s="9">
        <f t="shared" si="18"/>
        <v>428.07299999999998</v>
      </c>
      <c r="R91" s="4">
        <f>12*Q91-O91-F91</f>
        <v>107.13000000000011</v>
      </c>
      <c r="S91" s="4">
        <f t="shared" si="24"/>
        <v>107.13000000000011</v>
      </c>
      <c r="T91" s="9">
        <f t="shared" si="20"/>
        <v>12.000000000000002</v>
      </c>
      <c r="U91" s="9">
        <f t="shared" si="21"/>
        <v>11.749738946394658</v>
      </c>
      <c r="V91" s="9">
        <v>430.87459999999999</v>
      </c>
      <c r="W91" s="9">
        <v>398.44540000000001</v>
      </c>
      <c r="X91" s="9">
        <v>391.17919999999998</v>
      </c>
      <c r="Y91" s="9">
        <v>446.94080000000002</v>
      </c>
      <c r="Z91" s="9">
        <v>458.49939999999998</v>
      </c>
      <c r="AA91" s="9">
        <v>436.01319999999998</v>
      </c>
      <c r="AB91" s="9">
        <v>426.09260000000012</v>
      </c>
      <c r="AC91" s="9">
        <v>436.69299999999998</v>
      </c>
      <c r="AD91" s="9">
        <v>425.26580000000001</v>
      </c>
      <c r="AE91" s="9">
        <v>383.94839999999999</v>
      </c>
      <c r="AF91" s="9"/>
      <c r="AG91" s="9">
        <f t="shared" si="22"/>
        <v>107</v>
      </c>
      <c r="AH91" t="s">
        <v>219</v>
      </c>
      <c r="AI91" t="str">
        <f>VLOOKUP(AH91,[1]Sheet!$AK:$AM,3,0)</f>
        <v>Не ограничено</v>
      </c>
      <c r="AJ91" s="21">
        <f>P91</f>
        <v>250</v>
      </c>
    </row>
    <row r="92" spans="1:36" hidden="1" x14ac:dyDescent="0.25">
      <c r="A92" s="9" t="s">
        <v>220</v>
      </c>
      <c r="B92" s="9" t="s">
        <v>38</v>
      </c>
      <c r="C92" s="9">
        <v>6361.7470000000003</v>
      </c>
      <c r="D92" s="9">
        <v>820.00400000000002</v>
      </c>
      <c r="E92" s="9">
        <v>2150.4830000000002</v>
      </c>
      <c r="F92" s="9">
        <v>4855.6850000000004</v>
      </c>
      <c r="G92" s="6">
        <v>1</v>
      </c>
      <c r="H92" s="9">
        <v>60</v>
      </c>
      <c r="I92" s="9" t="s">
        <v>39</v>
      </c>
      <c r="J92" s="9"/>
      <c r="K92" s="9">
        <v>2187</v>
      </c>
      <c r="L92" s="9">
        <f t="shared" si="17"/>
        <v>-36.516999999999825</v>
      </c>
      <c r="M92" s="9"/>
      <c r="N92" s="9"/>
      <c r="O92" s="9">
        <v>0</v>
      </c>
      <c r="P92" s="9"/>
      <c r="Q92" s="9">
        <f t="shared" si="18"/>
        <v>430.09660000000002</v>
      </c>
      <c r="R92" s="4">
        <f>12*Q92-O92-F92</f>
        <v>305.47419999999966</v>
      </c>
      <c r="S92" s="4">
        <f>R92+$S$1*Q92</f>
        <v>139.88700899999964</v>
      </c>
      <c r="T92" s="9">
        <f t="shared" si="20"/>
        <v>12</v>
      </c>
      <c r="U92" s="9">
        <f t="shared" si="21"/>
        <v>11.28975444121158</v>
      </c>
      <c r="V92" s="9">
        <v>430.392</v>
      </c>
      <c r="W92" s="9">
        <v>397.80779999999999</v>
      </c>
      <c r="X92" s="9">
        <v>401.32119999999998</v>
      </c>
      <c r="Y92" s="9">
        <v>409.54320000000001</v>
      </c>
      <c r="Z92" s="9">
        <v>447.65519999999998</v>
      </c>
      <c r="AA92" s="9">
        <v>530.02260000000001</v>
      </c>
      <c r="AB92" s="9">
        <v>493.26420000000002</v>
      </c>
      <c r="AC92" s="9">
        <v>455.58280000000002</v>
      </c>
      <c r="AD92" s="9">
        <v>513.62299999999993</v>
      </c>
      <c r="AE92" s="9">
        <v>557.21199999999999</v>
      </c>
      <c r="AF92" s="9"/>
      <c r="AG92" s="9">
        <f t="shared" si="22"/>
        <v>140</v>
      </c>
      <c r="AH92" t="s">
        <v>221</v>
      </c>
      <c r="AI92">
        <f>VLOOKUP(AH92,[1]Sheet!$AK:$AM,3,0)</f>
        <v>0</v>
      </c>
    </row>
    <row r="93" spans="1:36" x14ac:dyDescent="0.25">
      <c r="A93" s="9" t="s">
        <v>222</v>
      </c>
      <c r="B93" s="9" t="s">
        <v>38</v>
      </c>
      <c r="C93" s="9">
        <v>8906.6479999999992</v>
      </c>
      <c r="D93" s="9">
        <v>1204.19</v>
      </c>
      <c r="E93" s="9">
        <v>2853.261</v>
      </c>
      <c r="F93" s="9">
        <v>7065.326</v>
      </c>
      <c r="G93" s="6">
        <v>1</v>
      </c>
      <c r="H93" s="9">
        <v>60</v>
      </c>
      <c r="I93" s="9" t="s">
        <v>39</v>
      </c>
      <c r="J93" s="9"/>
      <c r="K93" s="9">
        <v>2879.6</v>
      </c>
      <c r="L93" s="9">
        <f t="shared" si="17"/>
        <v>-26.338999999999942</v>
      </c>
      <c r="M93" s="9"/>
      <c r="N93" s="9"/>
      <c r="O93" s="9">
        <v>0</v>
      </c>
      <c r="P93" s="18">
        <v>400</v>
      </c>
      <c r="Q93" s="9">
        <f t="shared" si="18"/>
        <v>570.65219999999999</v>
      </c>
      <c r="R93" s="4"/>
      <c r="S93" s="4">
        <f t="shared" ref="S93:S109" si="25">R93</f>
        <v>0</v>
      </c>
      <c r="T93" s="9">
        <f t="shared" si="20"/>
        <v>12.381142138766835</v>
      </c>
      <c r="U93" s="9">
        <f t="shared" si="21"/>
        <v>12.381142138766835</v>
      </c>
      <c r="V93" s="9">
        <v>530.8288</v>
      </c>
      <c r="W93" s="9">
        <v>571.27639999999997</v>
      </c>
      <c r="X93" s="9">
        <v>585.21899999999994</v>
      </c>
      <c r="Y93" s="9">
        <v>581.18280000000004</v>
      </c>
      <c r="Z93" s="9">
        <v>622.20299999999997</v>
      </c>
      <c r="AA93" s="9">
        <v>586.15959999999995</v>
      </c>
      <c r="AB93" s="9">
        <v>578.34320000000002</v>
      </c>
      <c r="AC93" s="9">
        <v>607.92340000000002</v>
      </c>
      <c r="AD93" s="9">
        <v>613.33459999999991</v>
      </c>
      <c r="AE93" s="9">
        <v>604.15620000000001</v>
      </c>
      <c r="AF93" s="9"/>
      <c r="AG93" s="9">
        <f t="shared" si="22"/>
        <v>0</v>
      </c>
      <c r="AH93" t="s">
        <v>223</v>
      </c>
      <c r="AI93" t="str">
        <f>VLOOKUP(AH93,[1]Sheet!$AK:$AM,3,0)</f>
        <v>Не ограничено</v>
      </c>
      <c r="AJ93" s="21">
        <f>P93</f>
        <v>400</v>
      </c>
    </row>
    <row r="94" spans="1:36" hidden="1" x14ac:dyDescent="0.25">
      <c r="A94" s="9" t="s">
        <v>224</v>
      </c>
      <c r="B94" s="9" t="s">
        <v>38</v>
      </c>
      <c r="C94" s="9">
        <v>84.28</v>
      </c>
      <c r="D94" s="9">
        <v>21.443999999999999</v>
      </c>
      <c r="E94" s="9">
        <v>39.241999999999997</v>
      </c>
      <c r="F94" s="9">
        <v>66.481999999999999</v>
      </c>
      <c r="G94" s="6">
        <v>1</v>
      </c>
      <c r="H94" s="9">
        <v>55</v>
      </c>
      <c r="I94" s="9" t="s">
        <v>39</v>
      </c>
      <c r="J94" s="9"/>
      <c r="K94" s="9">
        <v>38.15</v>
      </c>
      <c r="L94" s="9">
        <f t="shared" si="17"/>
        <v>1.0919999999999987</v>
      </c>
      <c r="M94" s="9"/>
      <c r="N94" s="9"/>
      <c r="O94" s="9">
        <v>6.9981999999999971</v>
      </c>
      <c r="P94" s="9"/>
      <c r="Q94" s="9">
        <f t="shared" si="18"/>
        <v>7.8483999999999998</v>
      </c>
      <c r="R94" s="4">
        <f>12*Q94-O94-F94</f>
        <v>20.700600000000009</v>
      </c>
      <c r="S94" s="4">
        <f t="shared" si="25"/>
        <v>20.700600000000009</v>
      </c>
      <c r="T94" s="9">
        <f t="shared" si="20"/>
        <v>12.000000000000002</v>
      </c>
      <c r="U94" s="9">
        <f t="shared" si="21"/>
        <v>9.3624433005453334</v>
      </c>
      <c r="V94" s="9">
        <v>7.0462000000000007</v>
      </c>
      <c r="W94" s="9">
        <v>8.6546000000000003</v>
      </c>
      <c r="X94" s="9">
        <v>8.9195999999999991</v>
      </c>
      <c r="Y94" s="9">
        <v>9.2284000000000006</v>
      </c>
      <c r="Z94" s="9">
        <v>8.9586000000000006</v>
      </c>
      <c r="AA94" s="9">
        <v>7.3046000000000006</v>
      </c>
      <c r="AB94" s="9">
        <v>6.6986000000000008</v>
      </c>
      <c r="AC94" s="9">
        <v>4.5375999999999994</v>
      </c>
      <c r="AD94" s="9">
        <v>4.6059999999999999</v>
      </c>
      <c r="AE94" s="9">
        <v>19.7072</v>
      </c>
      <c r="AF94" s="9"/>
      <c r="AG94" s="9">
        <f t="shared" si="22"/>
        <v>21</v>
      </c>
      <c r="AH94" t="s">
        <v>225</v>
      </c>
      <c r="AI94">
        <f>VLOOKUP(AH94,[1]Sheet!$AK:$AM,3,0)</f>
        <v>0</v>
      </c>
    </row>
    <row r="95" spans="1:36" hidden="1" x14ac:dyDescent="0.25">
      <c r="A95" s="10" t="s">
        <v>226</v>
      </c>
      <c r="B95" s="10" t="s">
        <v>38</v>
      </c>
      <c r="C95" s="10">
        <v>21.571999999999999</v>
      </c>
      <c r="D95" s="10"/>
      <c r="E95" s="10">
        <v>17.446999999999999</v>
      </c>
      <c r="F95" s="10">
        <v>4.125</v>
      </c>
      <c r="G95" s="11">
        <v>0</v>
      </c>
      <c r="H95" s="10">
        <v>55</v>
      </c>
      <c r="I95" s="10" t="s">
        <v>60</v>
      </c>
      <c r="J95" s="10"/>
      <c r="K95" s="10">
        <v>17.3</v>
      </c>
      <c r="L95" s="10">
        <f t="shared" si="17"/>
        <v>0.14699999999999847</v>
      </c>
      <c r="M95" s="10"/>
      <c r="N95" s="10"/>
      <c r="O95" s="10">
        <v>0</v>
      </c>
      <c r="P95" s="10"/>
      <c r="Q95" s="10">
        <f t="shared" si="18"/>
        <v>3.4893999999999998</v>
      </c>
      <c r="R95" s="12"/>
      <c r="S95" s="4">
        <f t="shared" si="25"/>
        <v>0</v>
      </c>
      <c r="T95" s="10">
        <f t="shared" si="20"/>
        <v>1.1821516593110564</v>
      </c>
      <c r="U95" s="10">
        <f t="shared" si="21"/>
        <v>1.1821516593110564</v>
      </c>
      <c r="V95" s="10">
        <v>4.0462000000000007</v>
      </c>
      <c r="W95" s="10">
        <v>4.3285999999999998</v>
      </c>
      <c r="X95" s="10">
        <v>3.7852000000000001</v>
      </c>
      <c r="Y95" s="10">
        <v>3.2425999999999999</v>
      </c>
      <c r="Z95" s="10">
        <v>3.4236</v>
      </c>
      <c r="AA95" s="10">
        <v>2.371</v>
      </c>
      <c r="AB95" s="10">
        <v>2.0373999999999999</v>
      </c>
      <c r="AC95" s="10">
        <v>2.5638000000000001</v>
      </c>
      <c r="AD95" s="10">
        <v>4.1109999999999998</v>
      </c>
      <c r="AE95" s="10">
        <v>5.1212</v>
      </c>
      <c r="AF95" s="10"/>
      <c r="AG95" s="9">
        <f t="shared" si="22"/>
        <v>0</v>
      </c>
      <c r="AH95" t="s">
        <v>227</v>
      </c>
      <c r="AI95" t="e">
        <f>VLOOKUP(AH95,[1]Sheet!$AK:$AM,3,0)</f>
        <v>#N/A</v>
      </c>
    </row>
    <row r="96" spans="1:36" hidden="1" x14ac:dyDescent="0.25">
      <c r="A96" s="10" t="s">
        <v>228</v>
      </c>
      <c r="B96" s="10" t="s">
        <v>38</v>
      </c>
      <c r="C96" s="10"/>
      <c r="D96" s="10">
        <v>4.0449999999999999</v>
      </c>
      <c r="E96" s="10">
        <v>4.0449999999999999</v>
      </c>
      <c r="F96" s="10"/>
      <c r="G96" s="11">
        <v>0</v>
      </c>
      <c r="H96" s="10"/>
      <c r="I96" s="10" t="s">
        <v>60</v>
      </c>
      <c r="J96" s="10"/>
      <c r="K96" s="10">
        <v>3.9</v>
      </c>
      <c r="L96" s="10">
        <f t="shared" si="17"/>
        <v>0.14500000000000002</v>
      </c>
      <c r="M96" s="10"/>
      <c r="N96" s="10"/>
      <c r="O96" s="10">
        <v>0</v>
      </c>
      <c r="P96" s="10"/>
      <c r="Q96" s="10">
        <f t="shared" si="18"/>
        <v>0.80899999999999994</v>
      </c>
      <c r="R96" s="12"/>
      <c r="S96" s="4">
        <f t="shared" si="25"/>
        <v>0</v>
      </c>
      <c r="T96" s="10">
        <f t="shared" si="20"/>
        <v>0</v>
      </c>
      <c r="U96" s="10">
        <f t="shared" si="21"/>
        <v>0</v>
      </c>
      <c r="V96" s="10">
        <v>0.74099999999999999</v>
      </c>
      <c r="W96" s="10">
        <v>2.0242</v>
      </c>
      <c r="X96" s="10">
        <v>2.0922000000000001</v>
      </c>
      <c r="Y96" s="10">
        <v>1.0766</v>
      </c>
      <c r="Z96" s="10">
        <v>1.0766</v>
      </c>
      <c r="AA96" s="10">
        <v>1.8908</v>
      </c>
      <c r="AB96" s="10">
        <v>4.3494000000000002</v>
      </c>
      <c r="AC96" s="10">
        <v>2.9916</v>
      </c>
      <c r="AD96" s="10">
        <v>1.0693999999999999</v>
      </c>
      <c r="AE96" s="10">
        <v>0</v>
      </c>
      <c r="AF96" s="10"/>
      <c r="AG96" s="9">
        <f t="shared" si="22"/>
        <v>0</v>
      </c>
      <c r="AI96" t="e">
        <f>VLOOKUP(AH96,[1]Sheet!$AK:$AM,3,0)</f>
        <v>#N/A</v>
      </c>
    </row>
    <row r="97" spans="1:35" hidden="1" x14ac:dyDescent="0.25">
      <c r="A97" s="9" t="s">
        <v>229</v>
      </c>
      <c r="B97" s="9" t="s">
        <v>46</v>
      </c>
      <c r="C97" s="9">
        <v>231</v>
      </c>
      <c r="D97" s="9">
        <v>2</v>
      </c>
      <c r="E97" s="9">
        <v>205</v>
      </c>
      <c r="F97" s="9">
        <v>-7</v>
      </c>
      <c r="G97" s="6">
        <v>0.3</v>
      </c>
      <c r="H97" s="9">
        <v>40</v>
      </c>
      <c r="I97" s="8" t="s">
        <v>82</v>
      </c>
      <c r="J97" s="9"/>
      <c r="K97" s="9">
        <v>292</v>
      </c>
      <c r="L97" s="9">
        <f t="shared" si="17"/>
        <v>-87</v>
      </c>
      <c r="M97" s="9"/>
      <c r="N97" s="9"/>
      <c r="O97" s="9">
        <v>150</v>
      </c>
      <c r="P97" s="9"/>
      <c r="Q97" s="9">
        <f t="shared" si="18"/>
        <v>41</v>
      </c>
      <c r="R97" s="4">
        <v>150</v>
      </c>
      <c r="S97" s="4">
        <f t="shared" si="25"/>
        <v>150</v>
      </c>
      <c r="T97" s="9">
        <f t="shared" si="20"/>
        <v>7.1463414634146343</v>
      </c>
      <c r="U97" s="9">
        <f t="shared" si="21"/>
        <v>3.4878048780487805</v>
      </c>
      <c r="V97" s="9">
        <v>73</v>
      </c>
      <c r="W97" s="9">
        <v>35.200000000000003</v>
      </c>
      <c r="X97" s="9">
        <v>4.8</v>
      </c>
      <c r="Y97" s="9">
        <v>28.8</v>
      </c>
      <c r="Z97" s="9">
        <v>65.400000000000006</v>
      </c>
      <c r="AA97" s="9">
        <v>70.8</v>
      </c>
      <c r="AB97" s="9">
        <v>52.8</v>
      </c>
      <c r="AC97" s="9">
        <v>41.2</v>
      </c>
      <c r="AD97" s="9">
        <v>41.8</v>
      </c>
      <c r="AE97" s="9">
        <v>41.6</v>
      </c>
      <c r="AF97" s="9"/>
      <c r="AG97" s="9">
        <f t="shared" si="22"/>
        <v>45</v>
      </c>
      <c r="AH97" t="s">
        <v>230</v>
      </c>
      <c r="AI97">
        <f>VLOOKUP(AH97,[1]Sheet!$AK:$AM,3,0)</f>
        <v>0</v>
      </c>
    </row>
    <row r="98" spans="1:35" hidden="1" x14ac:dyDescent="0.25">
      <c r="A98" s="9" t="s">
        <v>231</v>
      </c>
      <c r="B98" s="9" t="s">
        <v>46</v>
      </c>
      <c r="C98" s="9">
        <v>120</v>
      </c>
      <c r="D98" s="9">
        <v>432</v>
      </c>
      <c r="E98" s="9">
        <v>146</v>
      </c>
      <c r="F98" s="9">
        <v>405</v>
      </c>
      <c r="G98" s="6">
        <v>0.3</v>
      </c>
      <c r="H98" s="9">
        <v>40</v>
      </c>
      <c r="I98" s="9" t="s">
        <v>39</v>
      </c>
      <c r="J98" s="9"/>
      <c r="K98" s="9">
        <v>235</v>
      </c>
      <c r="L98" s="9">
        <f t="shared" si="17"/>
        <v>-89</v>
      </c>
      <c r="M98" s="9"/>
      <c r="N98" s="9"/>
      <c r="O98" s="9">
        <v>0</v>
      </c>
      <c r="P98" s="9"/>
      <c r="Q98" s="9">
        <f t="shared" si="18"/>
        <v>29.2</v>
      </c>
      <c r="R98" s="4"/>
      <c r="S98" s="4">
        <f t="shared" si="25"/>
        <v>0</v>
      </c>
      <c r="T98" s="9">
        <f t="shared" si="20"/>
        <v>13.86986301369863</v>
      </c>
      <c r="U98" s="9">
        <f t="shared" si="21"/>
        <v>13.86986301369863</v>
      </c>
      <c r="V98" s="9">
        <v>25</v>
      </c>
      <c r="W98" s="9">
        <v>42.4</v>
      </c>
      <c r="X98" s="9">
        <v>77.2</v>
      </c>
      <c r="Y98" s="9">
        <v>35.6</v>
      </c>
      <c r="Z98" s="9">
        <v>32.200000000000003</v>
      </c>
      <c r="AA98" s="9">
        <v>46.4</v>
      </c>
      <c r="AB98" s="9">
        <v>46.4</v>
      </c>
      <c r="AC98" s="9">
        <v>33.799999999999997</v>
      </c>
      <c r="AD98" s="9">
        <v>35</v>
      </c>
      <c r="AE98" s="9">
        <v>38.799999999999997</v>
      </c>
      <c r="AF98" s="9"/>
      <c r="AG98" s="9">
        <f t="shared" si="22"/>
        <v>0</v>
      </c>
      <c r="AH98" t="s">
        <v>232</v>
      </c>
      <c r="AI98">
        <f>VLOOKUP(AH98,[1]Sheet!$AK:$AM,3,0)</f>
        <v>0</v>
      </c>
    </row>
    <row r="99" spans="1:35" hidden="1" x14ac:dyDescent="0.25">
      <c r="A99" s="10" t="s">
        <v>233</v>
      </c>
      <c r="B99" s="10" t="s">
        <v>46</v>
      </c>
      <c r="C99" s="10"/>
      <c r="D99" s="10"/>
      <c r="E99" s="10"/>
      <c r="F99" s="10"/>
      <c r="G99" s="11">
        <v>0</v>
      </c>
      <c r="H99" s="10"/>
      <c r="I99" s="10" t="s">
        <v>39</v>
      </c>
      <c r="J99" s="10"/>
      <c r="K99" s="10"/>
      <c r="L99" s="10">
        <f t="shared" si="17"/>
        <v>0</v>
      </c>
      <c r="M99" s="10"/>
      <c r="N99" s="10"/>
      <c r="O99" s="10">
        <v>0</v>
      </c>
      <c r="P99" s="10"/>
      <c r="Q99" s="10">
        <f t="shared" si="18"/>
        <v>0</v>
      </c>
      <c r="R99" s="12"/>
      <c r="S99" s="4">
        <f t="shared" si="25"/>
        <v>0</v>
      </c>
      <c r="T99" s="10" t="e">
        <f t="shared" si="20"/>
        <v>#DIV/0!</v>
      </c>
      <c r="U99" s="10" t="e">
        <f t="shared" si="21"/>
        <v>#DIV/0!</v>
      </c>
      <c r="V99" s="10">
        <v>0</v>
      </c>
      <c r="W99" s="10">
        <v>0</v>
      </c>
      <c r="X99" s="10">
        <v>0</v>
      </c>
      <c r="Y99" s="10">
        <v>0</v>
      </c>
      <c r="Z99" s="10">
        <v>0</v>
      </c>
      <c r="AA99" s="10">
        <v>0</v>
      </c>
      <c r="AB99" s="10">
        <v>0</v>
      </c>
      <c r="AC99" s="10">
        <v>0</v>
      </c>
      <c r="AD99" s="10">
        <v>0</v>
      </c>
      <c r="AE99" s="10">
        <v>0</v>
      </c>
      <c r="AF99" s="10" t="s">
        <v>47</v>
      </c>
      <c r="AG99" s="9">
        <f t="shared" si="22"/>
        <v>0</v>
      </c>
      <c r="AH99" t="s">
        <v>234</v>
      </c>
      <c r="AI99">
        <f>VLOOKUP(AH99,[1]Sheet!$AK:$AM,3,0)</f>
        <v>0</v>
      </c>
    </row>
    <row r="100" spans="1:35" hidden="1" x14ac:dyDescent="0.25">
      <c r="A100" s="9" t="s">
        <v>235</v>
      </c>
      <c r="B100" s="9" t="s">
        <v>46</v>
      </c>
      <c r="C100" s="9">
        <v>3</v>
      </c>
      <c r="D100" s="9">
        <v>216</v>
      </c>
      <c r="E100" s="9">
        <v>52</v>
      </c>
      <c r="F100" s="9">
        <v>150</v>
      </c>
      <c r="G100" s="6">
        <v>7.0000000000000007E-2</v>
      </c>
      <c r="H100" s="9">
        <v>90</v>
      </c>
      <c r="I100" s="8" t="s">
        <v>82</v>
      </c>
      <c r="J100" s="9"/>
      <c r="K100" s="9">
        <v>109</v>
      </c>
      <c r="L100" s="9">
        <f t="shared" si="17"/>
        <v>-57</v>
      </c>
      <c r="M100" s="9"/>
      <c r="N100" s="9"/>
      <c r="O100" s="9">
        <v>0</v>
      </c>
      <c r="P100" s="9"/>
      <c r="Q100" s="9">
        <f t="shared" si="18"/>
        <v>10.4</v>
      </c>
      <c r="R100" s="4">
        <v>40</v>
      </c>
      <c r="S100" s="4">
        <f t="shared" si="25"/>
        <v>40</v>
      </c>
      <c r="T100" s="9">
        <f t="shared" si="20"/>
        <v>18.26923076923077</v>
      </c>
      <c r="U100" s="9">
        <f t="shared" si="21"/>
        <v>14.423076923076923</v>
      </c>
      <c r="V100" s="9">
        <v>7.4</v>
      </c>
      <c r="W100" s="9">
        <v>34.200000000000003</v>
      </c>
      <c r="X100" s="9">
        <v>44</v>
      </c>
      <c r="Y100" s="9">
        <v>36.6</v>
      </c>
      <c r="Z100" s="9">
        <v>20</v>
      </c>
      <c r="AA100" s="9">
        <v>18.399999999999999</v>
      </c>
      <c r="AB100" s="9">
        <v>31.6</v>
      </c>
      <c r="AC100" s="9">
        <v>34.799999999999997</v>
      </c>
      <c r="AD100" s="9">
        <v>37.4</v>
      </c>
      <c r="AE100" s="9">
        <v>44.8</v>
      </c>
      <c r="AF100" s="9"/>
      <c r="AG100" s="9">
        <f t="shared" si="22"/>
        <v>3</v>
      </c>
      <c r="AH100" t="s">
        <v>236</v>
      </c>
      <c r="AI100">
        <f>VLOOKUP(AH100,[1]Sheet!$AK:$AM,3,0)</f>
        <v>0</v>
      </c>
    </row>
    <row r="101" spans="1:35" hidden="1" x14ac:dyDescent="0.25">
      <c r="A101" s="9" t="s">
        <v>237</v>
      </c>
      <c r="B101" s="9" t="s">
        <v>46</v>
      </c>
      <c r="C101" s="9">
        <v>78</v>
      </c>
      <c r="D101" s="9">
        <v>342</v>
      </c>
      <c r="E101" s="9">
        <v>136</v>
      </c>
      <c r="F101" s="9">
        <v>271</v>
      </c>
      <c r="G101" s="6">
        <v>7.0000000000000007E-2</v>
      </c>
      <c r="H101" s="9">
        <v>90</v>
      </c>
      <c r="I101" s="9" t="s">
        <v>39</v>
      </c>
      <c r="J101" s="9"/>
      <c r="K101" s="9">
        <v>137</v>
      </c>
      <c r="L101" s="9">
        <f t="shared" si="17"/>
        <v>-1</v>
      </c>
      <c r="M101" s="9"/>
      <c r="N101" s="9"/>
      <c r="O101" s="9">
        <v>48.488000000000063</v>
      </c>
      <c r="P101" s="9"/>
      <c r="Q101" s="9">
        <f t="shared" si="18"/>
        <v>27.2</v>
      </c>
      <c r="R101" s="4">
        <f>12*Q101-O101-F101</f>
        <v>6.9119999999999209</v>
      </c>
      <c r="S101" s="4">
        <f t="shared" si="25"/>
        <v>6.9119999999999209</v>
      </c>
      <c r="T101" s="9">
        <f t="shared" si="20"/>
        <v>12</v>
      </c>
      <c r="U101" s="9">
        <f t="shared" si="21"/>
        <v>11.745882352941178</v>
      </c>
      <c r="V101" s="9">
        <v>32.200000000000003</v>
      </c>
      <c r="W101" s="9">
        <v>35.6</v>
      </c>
      <c r="X101" s="9">
        <v>33.4</v>
      </c>
      <c r="Y101" s="9">
        <v>25.8</v>
      </c>
      <c r="Z101" s="9">
        <v>27.4</v>
      </c>
      <c r="AA101" s="9">
        <v>26.6</v>
      </c>
      <c r="AB101" s="9">
        <v>23.6</v>
      </c>
      <c r="AC101" s="9">
        <v>23.2</v>
      </c>
      <c r="AD101" s="9">
        <v>24.4</v>
      </c>
      <c r="AE101" s="9">
        <v>26.8</v>
      </c>
      <c r="AF101" s="9"/>
      <c r="AG101" s="9">
        <f t="shared" si="22"/>
        <v>0</v>
      </c>
      <c r="AH101" t="s">
        <v>238</v>
      </c>
      <c r="AI101">
        <f>VLOOKUP(AH101,[1]Sheet!$AK:$AM,3,0)</f>
        <v>0</v>
      </c>
    </row>
    <row r="102" spans="1:35" hidden="1" x14ac:dyDescent="0.25">
      <c r="A102" s="10" t="s">
        <v>239</v>
      </c>
      <c r="B102" s="10" t="s">
        <v>46</v>
      </c>
      <c r="C102" s="10">
        <v>4</v>
      </c>
      <c r="D102" s="10"/>
      <c r="E102" s="10">
        <v>2</v>
      </c>
      <c r="F102" s="10">
        <v>2</v>
      </c>
      <c r="G102" s="11">
        <v>0</v>
      </c>
      <c r="H102" s="10">
        <v>90</v>
      </c>
      <c r="I102" s="10" t="s">
        <v>60</v>
      </c>
      <c r="J102" s="10"/>
      <c r="K102" s="10">
        <v>55</v>
      </c>
      <c r="L102" s="10">
        <f t="shared" ref="L102:L133" si="26">E102-K102</f>
        <v>-53</v>
      </c>
      <c r="M102" s="10"/>
      <c r="N102" s="10"/>
      <c r="O102" s="10">
        <v>0</v>
      </c>
      <c r="P102" s="10"/>
      <c r="Q102" s="10">
        <f t="shared" ref="Q102:Q136" si="27">E102/5</f>
        <v>0.4</v>
      </c>
      <c r="R102" s="12"/>
      <c r="S102" s="4">
        <f t="shared" si="25"/>
        <v>0</v>
      </c>
      <c r="T102" s="10">
        <f t="shared" ref="T102:T136" si="28">(F102+O102+R102)/Q102</f>
        <v>5</v>
      </c>
      <c r="U102" s="10">
        <f t="shared" ref="U102:U136" si="29">(F102+O102)/Q102</f>
        <v>5</v>
      </c>
      <c r="V102" s="10">
        <v>1.6</v>
      </c>
      <c r="W102" s="10">
        <v>15.4</v>
      </c>
      <c r="X102" s="10">
        <v>25</v>
      </c>
      <c r="Y102" s="10">
        <v>18.2</v>
      </c>
      <c r="Z102" s="10">
        <v>13.4</v>
      </c>
      <c r="AA102" s="10">
        <v>16.8</v>
      </c>
      <c r="AB102" s="10">
        <v>20</v>
      </c>
      <c r="AC102" s="10">
        <v>19.2</v>
      </c>
      <c r="AD102" s="10">
        <v>18.399999999999999</v>
      </c>
      <c r="AE102" s="10">
        <v>18.2</v>
      </c>
      <c r="AF102" s="10"/>
      <c r="AG102" s="9">
        <f t="shared" ref="AG102:AG136" si="30">ROUND(G102*S102,0)</f>
        <v>0</v>
      </c>
      <c r="AH102" t="s">
        <v>240</v>
      </c>
      <c r="AI102">
        <f>VLOOKUP(AH102,[1]Sheet!$AK:$AM,3,0)</f>
        <v>0</v>
      </c>
    </row>
    <row r="103" spans="1:35" hidden="1" x14ac:dyDescent="0.25">
      <c r="A103" s="9" t="s">
        <v>241</v>
      </c>
      <c r="B103" s="9" t="s">
        <v>46</v>
      </c>
      <c r="C103" s="9">
        <v>120</v>
      </c>
      <c r="D103" s="9"/>
      <c r="E103" s="9">
        <v>105</v>
      </c>
      <c r="F103" s="9">
        <v>8</v>
      </c>
      <c r="G103" s="6">
        <v>0.3</v>
      </c>
      <c r="H103" s="9">
        <v>40</v>
      </c>
      <c r="I103" s="9" t="s">
        <v>39</v>
      </c>
      <c r="J103" s="9"/>
      <c r="K103" s="9">
        <v>118</v>
      </c>
      <c r="L103" s="9">
        <f t="shared" si="26"/>
        <v>-13</v>
      </c>
      <c r="M103" s="9"/>
      <c r="N103" s="9"/>
      <c r="O103" s="9">
        <v>111.8</v>
      </c>
      <c r="P103" s="9"/>
      <c r="Q103" s="9">
        <f t="shared" si="27"/>
        <v>21</v>
      </c>
      <c r="R103" s="4">
        <f>12*Q103-O103-F103</f>
        <v>132.19999999999999</v>
      </c>
      <c r="S103" s="4">
        <f t="shared" si="25"/>
        <v>132.19999999999999</v>
      </c>
      <c r="T103" s="9">
        <f t="shared" si="28"/>
        <v>12</v>
      </c>
      <c r="U103" s="9">
        <f t="shared" si="29"/>
        <v>5.7047619047619049</v>
      </c>
      <c r="V103" s="9">
        <v>17.2</v>
      </c>
      <c r="W103" s="9">
        <v>1.8</v>
      </c>
      <c r="X103" s="9">
        <v>0</v>
      </c>
      <c r="Y103" s="9">
        <v>35.200000000000003</v>
      </c>
      <c r="Z103" s="9">
        <v>41.4</v>
      </c>
      <c r="AA103" s="9">
        <v>45.4</v>
      </c>
      <c r="AB103" s="9">
        <v>42</v>
      </c>
      <c r="AC103" s="9">
        <v>32.799999999999997</v>
      </c>
      <c r="AD103" s="9">
        <v>34.200000000000003</v>
      </c>
      <c r="AE103" s="9">
        <v>48.4</v>
      </c>
      <c r="AF103" s="9"/>
      <c r="AG103" s="9">
        <f t="shared" si="30"/>
        <v>40</v>
      </c>
      <c r="AH103" t="s">
        <v>242</v>
      </c>
      <c r="AI103">
        <f>VLOOKUP(AH103,[1]Sheet!$AK:$AM,3,0)</f>
        <v>0</v>
      </c>
    </row>
    <row r="104" spans="1:35" hidden="1" x14ac:dyDescent="0.25">
      <c r="A104" s="9" t="s">
        <v>243</v>
      </c>
      <c r="B104" s="9" t="s">
        <v>38</v>
      </c>
      <c r="C104" s="9">
        <v>174.65299999999999</v>
      </c>
      <c r="D104" s="9">
        <v>36.420999999999999</v>
      </c>
      <c r="E104" s="9">
        <v>110.352</v>
      </c>
      <c r="F104" s="9">
        <v>89.055000000000007</v>
      </c>
      <c r="G104" s="6">
        <v>1</v>
      </c>
      <c r="H104" s="9">
        <v>55</v>
      </c>
      <c r="I104" s="9" t="s">
        <v>39</v>
      </c>
      <c r="J104" s="9"/>
      <c r="K104" s="9">
        <v>94.8</v>
      </c>
      <c r="L104" s="9">
        <f t="shared" si="26"/>
        <v>15.552000000000007</v>
      </c>
      <c r="M104" s="9"/>
      <c r="N104" s="9"/>
      <c r="O104" s="9">
        <v>78.630600000000044</v>
      </c>
      <c r="P104" s="9"/>
      <c r="Q104" s="9">
        <f t="shared" si="27"/>
        <v>22.070399999999999</v>
      </c>
      <c r="R104" s="4">
        <f>12*Q104-O104-F104</f>
        <v>97.159199999999913</v>
      </c>
      <c r="S104" s="4">
        <f t="shared" si="25"/>
        <v>97.159199999999913</v>
      </c>
      <c r="T104" s="9">
        <f t="shared" si="28"/>
        <v>11.999999999999998</v>
      </c>
      <c r="U104" s="9">
        <f t="shared" si="29"/>
        <v>7.5977598956067878</v>
      </c>
      <c r="V104" s="9">
        <v>19.931000000000001</v>
      </c>
      <c r="W104" s="9">
        <v>16.528400000000001</v>
      </c>
      <c r="X104" s="9">
        <v>14.6228</v>
      </c>
      <c r="Y104" s="9">
        <v>16.844999999999999</v>
      </c>
      <c r="Z104" s="9">
        <v>18.491800000000001</v>
      </c>
      <c r="AA104" s="9">
        <v>20.605</v>
      </c>
      <c r="AB104" s="9">
        <v>20.893799999999999</v>
      </c>
      <c r="AC104" s="9">
        <v>18.738800000000001</v>
      </c>
      <c r="AD104" s="9">
        <v>20.331600000000002</v>
      </c>
      <c r="AE104" s="9">
        <v>17.024799999999999</v>
      </c>
      <c r="AF104" s="9"/>
      <c r="AG104" s="9">
        <f t="shared" si="30"/>
        <v>97</v>
      </c>
      <c r="AH104" t="s">
        <v>244</v>
      </c>
      <c r="AI104">
        <f>VLOOKUP(AH104,[1]Sheet!$AK:$AM,3,0)</f>
        <v>0</v>
      </c>
    </row>
    <row r="105" spans="1:35" hidden="1" x14ac:dyDescent="0.25">
      <c r="A105" s="10" t="s">
        <v>245</v>
      </c>
      <c r="B105" s="10" t="s">
        <v>46</v>
      </c>
      <c r="C105" s="10"/>
      <c r="D105" s="10"/>
      <c r="E105" s="10"/>
      <c r="F105" s="10"/>
      <c r="G105" s="11">
        <v>0</v>
      </c>
      <c r="H105" s="10"/>
      <c r="I105" s="10" t="s">
        <v>39</v>
      </c>
      <c r="J105" s="10"/>
      <c r="K105" s="10"/>
      <c r="L105" s="10">
        <f t="shared" si="26"/>
        <v>0</v>
      </c>
      <c r="M105" s="10"/>
      <c r="N105" s="10"/>
      <c r="O105" s="10">
        <v>0</v>
      </c>
      <c r="P105" s="10"/>
      <c r="Q105" s="10">
        <f t="shared" si="27"/>
        <v>0</v>
      </c>
      <c r="R105" s="12"/>
      <c r="S105" s="4">
        <f t="shared" si="25"/>
        <v>0</v>
      </c>
      <c r="T105" s="10" t="e">
        <f t="shared" si="28"/>
        <v>#DIV/0!</v>
      </c>
      <c r="U105" s="10" t="e">
        <f t="shared" si="29"/>
        <v>#DIV/0!</v>
      </c>
      <c r="V105" s="10">
        <v>0</v>
      </c>
      <c r="W105" s="10">
        <v>0</v>
      </c>
      <c r="X105" s="10">
        <v>0</v>
      </c>
      <c r="Y105" s="10">
        <v>0</v>
      </c>
      <c r="Z105" s="10">
        <v>0</v>
      </c>
      <c r="AA105" s="10">
        <v>0</v>
      </c>
      <c r="AB105" s="10">
        <v>0</v>
      </c>
      <c r="AC105" s="10">
        <v>0</v>
      </c>
      <c r="AD105" s="10">
        <v>0</v>
      </c>
      <c r="AE105" s="10">
        <v>0</v>
      </c>
      <c r="AF105" s="10" t="s">
        <v>47</v>
      </c>
      <c r="AG105" s="9">
        <f t="shared" si="30"/>
        <v>0</v>
      </c>
      <c r="AH105" t="s">
        <v>246</v>
      </c>
      <c r="AI105">
        <f>VLOOKUP(AH105,[1]Sheet!$AK:$AM,3,0)</f>
        <v>0</v>
      </c>
    </row>
    <row r="106" spans="1:35" hidden="1" x14ac:dyDescent="0.25">
      <c r="A106" s="9" t="s">
        <v>247</v>
      </c>
      <c r="B106" s="9" t="s">
        <v>46</v>
      </c>
      <c r="C106" s="9"/>
      <c r="D106" s="9">
        <v>40</v>
      </c>
      <c r="E106" s="9">
        <v>7</v>
      </c>
      <c r="F106" s="9">
        <v>32</v>
      </c>
      <c r="G106" s="6">
        <v>0.1</v>
      </c>
      <c r="H106" s="9">
        <v>30</v>
      </c>
      <c r="I106" s="9" t="s">
        <v>39</v>
      </c>
      <c r="J106" s="9"/>
      <c r="K106" s="9">
        <v>7</v>
      </c>
      <c r="L106" s="9">
        <f t="shared" si="26"/>
        <v>0</v>
      </c>
      <c r="M106" s="9"/>
      <c r="N106" s="9"/>
      <c r="O106" s="9">
        <v>0</v>
      </c>
      <c r="P106" s="9"/>
      <c r="Q106" s="9">
        <f t="shared" si="27"/>
        <v>1.4</v>
      </c>
      <c r="R106" s="4"/>
      <c r="S106" s="4">
        <f t="shared" si="25"/>
        <v>0</v>
      </c>
      <c r="T106" s="9">
        <f t="shared" si="28"/>
        <v>22.857142857142858</v>
      </c>
      <c r="U106" s="9">
        <f t="shared" si="29"/>
        <v>22.857142857142858</v>
      </c>
      <c r="V106" s="9">
        <v>-0.4</v>
      </c>
      <c r="W106" s="9">
        <v>3</v>
      </c>
      <c r="X106" s="9">
        <v>2.8</v>
      </c>
      <c r="Y106" s="9">
        <v>0.2</v>
      </c>
      <c r="Z106" s="9">
        <v>1.6</v>
      </c>
      <c r="AA106" s="9">
        <v>1.8</v>
      </c>
      <c r="AB106" s="9">
        <v>2</v>
      </c>
      <c r="AC106" s="9">
        <v>1.4</v>
      </c>
      <c r="AD106" s="9">
        <v>1.6</v>
      </c>
      <c r="AE106" s="9">
        <v>1.4</v>
      </c>
      <c r="AF106" s="9"/>
      <c r="AG106" s="9">
        <f t="shared" si="30"/>
        <v>0</v>
      </c>
      <c r="AH106" t="s">
        <v>248</v>
      </c>
      <c r="AI106">
        <f>VLOOKUP(AH106,[1]Sheet!$AK:$AM,3,0)</f>
        <v>0</v>
      </c>
    </row>
    <row r="107" spans="1:35" hidden="1" x14ac:dyDescent="0.25">
      <c r="A107" s="9" t="s">
        <v>249</v>
      </c>
      <c r="B107" s="9" t="s">
        <v>46</v>
      </c>
      <c r="C107" s="9">
        <v>131</v>
      </c>
      <c r="D107" s="9">
        <v>470</v>
      </c>
      <c r="E107" s="9">
        <v>229</v>
      </c>
      <c r="F107" s="9">
        <v>356</v>
      </c>
      <c r="G107" s="6">
        <v>0.08</v>
      </c>
      <c r="H107" s="9">
        <v>45</v>
      </c>
      <c r="I107" s="9" t="s">
        <v>39</v>
      </c>
      <c r="J107" s="9"/>
      <c r="K107" s="9">
        <v>232</v>
      </c>
      <c r="L107" s="9">
        <f t="shared" si="26"/>
        <v>-3</v>
      </c>
      <c r="M107" s="9"/>
      <c r="N107" s="9"/>
      <c r="O107" s="9">
        <v>66.932000000000187</v>
      </c>
      <c r="P107" s="9"/>
      <c r="Q107" s="9">
        <f t="shared" si="27"/>
        <v>45.8</v>
      </c>
      <c r="R107" s="4">
        <f>12*Q107-O107-F107</f>
        <v>126.66799999999972</v>
      </c>
      <c r="S107" s="4">
        <f t="shared" si="25"/>
        <v>126.66799999999972</v>
      </c>
      <c r="T107" s="9">
        <f t="shared" si="28"/>
        <v>11.999999999999998</v>
      </c>
      <c r="U107" s="9">
        <f t="shared" si="29"/>
        <v>9.2343231441048079</v>
      </c>
      <c r="V107" s="9">
        <v>48.4</v>
      </c>
      <c r="W107" s="9">
        <v>52.4</v>
      </c>
      <c r="X107" s="9">
        <v>43.2</v>
      </c>
      <c r="Y107" s="9">
        <v>38.799999999999997</v>
      </c>
      <c r="Z107" s="9">
        <v>42.2</v>
      </c>
      <c r="AA107" s="9">
        <v>43.2</v>
      </c>
      <c r="AB107" s="9">
        <v>37.6</v>
      </c>
      <c r="AC107" s="9">
        <v>41.6</v>
      </c>
      <c r="AD107" s="9">
        <v>50.8</v>
      </c>
      <c r="AE107" s="9">
        <v>54</v>
      </c>
      <c r="AF107" s="9"/>
      <c r="AG107" s="9">
        <f t="shared" si="30"/>
        <v>10</v>
      </c>
      <c r="AH107" t="s">
        <v>250</v>
      </c>
      <c r="AI107">
        <f>VLOOKUP(AH107,[1]Sheet!$AK:$AM,3,0)</f>
        <v>0</v>
      </c>
    </row>
    <row r="108" spans="1:35" hidden="1" x14ac:dyDescent="0.25">
      <c r="A108" s="9" t="s">
        <v>251</v>
      </c>
      <c r="B108" s="9" t="s">
        <v>46</v>
      </c>
      <c r="C108" s="9">
        <v>24</v>
      </c>
      <c r="D108" s="9">
        <v>500</v>
      </c>
      <c r="E108" s="9">
        <v>160</v>
      </c>
      <c r="F108" s="9">
        <v>344</v>
      </c>
      <c r="G108" s="6">
        <v>0.08</v>
      </c>
      <c r="H108" s="9">
        <v>45</v>
      </c>
      <c r="I108" s="9" t="s">
        <v>39</v>
      </c>
      <c r="J108" s="9"/>
      <c r="K108" s="9">
        <v>160</v>
      </c>
      <c r="L108" s="9">
        <f t="shared" si="26"/>
        <v>0</v>
      </c>
      <c r="M108" s="9"/>
      <c r="N108" s="9"/>
      <c r="O108" s="9">
        <v>0</v>
      </c>
      <c r="P108" s="9"/>
      <c r="Q108" s="9">
        <f t="shared" si="27"/>
        <v>32</v>
      </c>
      <c r="R108" s="4">
        <f>12*Q108-O108-F108</f>
        <v>40</v>
      </c>
      <c r="S108" s="4">
        <f t="shared" si="25"/>
        <v>40</v>
      </c>
      <c r="T108" s="9">
        <f t="shared" si="28"/>
        <v>12</v>
      </c>
      <c r="U108" s="9">
        <f t="shared" si="29"/>
        <v>10.75</v>
      </c>
      <c r="V108" s="9">
        <v>31.4</v>
      </c>
      <c r="W108" s="9">
        <v>45</v>
      </c>
      <c r="X108" s="9">
        <v>48.6</v>
      </c>
      <c r="Y108" s="9">
        <v>29</v>
      </c>
      <c r="Z108" s="9">
        <v>23</v>
      </c>
      <c r="AA108" s="9">
        <v>33.200000000000003</v>
      </c>
      <c r="AB108" s="9">
        <v>35</v>
      </c>
      <c r="AC108" s="9">
        <v>35.6</v>
      </c>
      <c r="AD108" s="9">
        <v>38.6</v>
      </c>
      <c r="AE108" s="9">
        <v>40.6</v>
      </c>
      <c r="AF108" s="9"/>
      <c r="AG108" s="9">
        <f t="shared" si="30"/>
        <v>3</v>
      </c>
      <c r="AH108" t="s">
        <v>252</v>
      </c>
      <c r="AI108">
        <f>VLOOKUP(AH108,[1]Sheet!$AK:$AM,3,0)</f>
        <v>0</v>
      </c>
    </row>
    <row r="109" spans="1:35" hidden="1" x14ac:dyDescent="0.25">
      <c r="A109" s="9" t="s">
        <v>253</v>
      </c>
      <c r="B109" s="9" t="s">
        <v>46</v>
      </c>
      <c r="C109" s="9">
        <v>4</v>
      </c>
      <c r="D109" s="9">
        <v>30</v>
      </c>
      <c r="E109" s="9"/>
      <c r="F109" s="9">
        <v>33</v>
      </c>
      <c r="G109" s="6">
        <v>0.17</v>
      </c>
      <c r="H109" s="9">
        <v>30</v>
      </c>
      <c r="I109" s="9" t="s">
        <v>39</v>
      </c>
      <c r="J109" s="9"/>
      <c r="K109" s="9"/>
      <c r="L109" s="9">
        <f t="shared" si="26"/>
        <v>0</v>
      </c>
      <c r="M109" s="9"/>
      <c r="N109" s="9"/>
      <c r="O109" s="9">
        <v>0</v>
      </c>
      <c r="P109" s="9"/>
      <c r="Q109" s="9">
        <f t="shared" si="27"/>
        <v>0</v>
      </c>
      <c r="R109" s="4"/>
      <c r="S109" s="4">
        <f t="shared" si="25"/>
        <v>0</v>
      </c>
      <c r="T109" s="9" t="e">
        <f t="shared" si="28"/>
        <v>#DIV/0!</v>
      </c>
      <c r="U109" s="9" t="e">
        <f t="shared" si="29"/>
        <v>#DIV/0!</v>
      </c>
      <c r="V109" s="9">
        <v>-0.2</v>
      </c>
      <c r="W109" s="9">
        <v>2</v>
      </c>
      <c r="X109" s="9">
        <v>4.2</v>
      </c>
      <c r="Y109" s="9">
        <v>1.6</v>
      </c>
      <c r="Z109" s="9">
        <v>0.4</v>
      </c>
      <c r="AA109" s="9">
        <v>0.4</v>
      </c>
      <c r="AB109" s="9">
        <v>1.8</v>
      </c>
      <c r="AC109" s="9">
        <v>1.4</v>
      </c>
      <c r="AD109" s="9">
        <v>0.6</v>
      </c>
      <c r="AE109" s="9">
        <v>0.2</v>
      </c>
      <c r="AF109" s="14" t="s">
        <v>254</v>
      </c>
      <c r="AG109" s="9">
        <f t="shared" si="30"/>
        <v>0</v>
      </c>
      <c r="AH109" t="s">
        <v>255</v>
      </c>
      <c r="AI109">
        <f>VLOOKUP(AH109,[1]Sheet!$AK:$AM,3,0)</f>
        <v>0</v>
      </c>
    </row>
    <row r="110" spans="1:35" hidden="1" x14ac:dyDescent="0.25">
      <c r="A110" s="9" t="s">
        <v>256</v>
      </c>
      <c r="B110" s="9" t="s">
        <v>38</v>
      </c>
      <c r="C110" s="9">
        <v>374.505</v>
      </c>
      <c r="D110" s="9">
        <v>792.30399999999997</v>
      </c>
      <c r="E110" s="9">
        <v>443.76100000000002</v>
      </c>
      <c r="F110" s="9">
        <v>684.65099999999995</v>
      </c>
      <c r="G110" s="6">
        <v>1</v>
      </c>
      <c r="H110" s="9">
        <v>40</v>
      </c>
      <c r="I110" s="9" t="s">
        <v>39</v>
      </c>
      <c r="J110" s="9"/>
      <c r="K110" s="9">
        <v>464.3</v>
      </c>
      <c r="L110" s="9">
        <f t="shared" si="26"/>
        <v>-20.538999999999987</v>
      </c>
      <c r="M110" s="9"/>
      <c r="N110" s="9"/>
      <c r="O110" s="9">
        <v>62.28563999999983</v>
      </c>
      <c r="P110" s="9"/>
      <c r="Q110" s="9">
        <f t="shared" si="27"/>
        <v>88.752200000000002</v>
      </c>
      <c r="R110" s="4">
        <f>12*Q110-O110-F110</f>
        <v>318.08976000000018</v>
      </c>
      <c r="S110" s="4">
        <f>R110+$S$1*Q110</f>
        <v>283.92016300000017</v>
      </c>
      <c r="T110" s="9">
        <f t="shared" si="28"/>
        <v>12</v>
      </c>
      <c r="U110" s="9">
        <f t="shared" si="29"/>
        <v>8.4159788715096617</v>
      </c>
      <c r="V110" s="9">
        <v>85.401199999999989</v>
      </c>
      <c r="W110" s="9">
        <v>87.400199999999998</v>
      </c>
      <c r="X110" s="9">
        <v>80.573400000000007</v>
      </c>
      <c r="Y110" s="9">
        <v>83.3596</v>
      </c>
      <c r="Z110" s="9">
        <v>84.740200000000002</v>
      </c>
      <c r="AA110" s="9">
        <v>85.5518</v>
      </c>
      <c r="AB110" s="9">
        <v>88.798400000000001</v>
      </c>
      <c r="AC110" s="9">
        <v>81.619799999999998</v>
      </c>
      <c r="AD110" s="9">
        <v>70.697800000000001</v>
      </c>
      <c r="AE110" s="9">
        <v>58.890599999999992</v>
      </c>
      <c r="AF110" s="9"/>
      <c r="AG110" s="9">
        <f t="shared" si="30"/>
        <v>284</v>
      </c>
      <c r="AH110" t="s">
        <v>257</v>
      </c>
      <c r="AI110">
        <f>VLOOKUP(AH110,[1]Sheet!$AK:$AM,3,0)</f>
        <v>0</v>
      </c>
    </row>
    <row r="111" spans="1:35" hidden="1" x14ac:dyDescent="0.25">
      <c r="A111" s="9" t="s">
        <v>258</v>
      </c>
      <c r="B111" s="9" t="s">
        <v>38</v>
      </c>
      <c r="C111" s="9">
        <v>313.69600000000003</v>
      </c>
      <c r="D111" s="9">
        <v>393.77</v>
      </c>
      <c r="E111" s="9">
        <v>305.21199999999999</v>
      </c>
      <c r="F111" s="9">
        <v>354.37799999999999</v>
      </c>
      <c r="G111" s="6">
        <v>1</v>
      </c>
      <c r="H111" s="9">
        <v>40</v>
      </c>
      <c r="I111" s="9" t="s">
        <v>39</v>
      </c>
      <c r="J111" s="9"/>
      <c r="K111" s="9">
        <v>334.7</v>
      </c>
      <c r="L111" s="9">
        <f t="shared" si="26"/>
        <v>-29.488</v>
      </c>
      <c r="M111" s="9"/>
      <c r="N111" s="9"/>
      <c r="O111" s="9">
        <v>89.289579999999944</v>
      </c>
      <c r="P111" s="9"/>
      <c r="Q111" s="9">
        <f t="shared" si="27"/>
        <v>61.042400000000001</v>
      </c>
      <c r="R111" s="4">
        <f>12*Q111-O111-F111</f>
        <v>288.84122000000019</v>
      </c>
      <c r="S111" s="4">
        <f>R111+$S$1*Q111</f>
        <v>265.33989600000018</v>
      </c>
      <c r="T111" s="9">
        <f t="shared" si="28"/>
        <v>12.000000000000002</v>
      </c>
      <c r="U111" s="9">
        <f t="shared" si="29"/>
        <v>7.2681870306541017</v>
      </c>
      <c r="V111" s="9">
        <v>57.488399999999999</v>
      </c>
      <c r="W111" s="9">
        <v>60.191400000000002</v>
      </c>
      <c r="X111" s="9">
        <v>58.831200000000003</v>
      </c>
      <c r="Y111" s="9">
        <v>66.663600000000002</v>
      </c>
      <c r="Z111" s="9">
        <v>64.051199999999994</v>
      </c>
      <c r="AA111" s="9">
        <v>58.3504</v>
      </c>
      <c r="AB111" s="9">
        <v>61.6798</v>
      </c>
      <c r="AC111" s="9">
        <v>49.1038</v>
      </c>
      <c r="AD111" s="9">
        <v>43.895600000000002</v>
      </c>
      <c r="AE111" s="9">
        <v>38.950400000000002</v>
      </c>
      <c r="AF111" s="9"/>
      <c r="AG111" s="9">
        <f t="shared" si="30"/>
        <v>265</v>
      </c>
      <c r="AH111" t="s">
        <v>259</v>
      </c>
      <c r="AI111">
        <f>VLOOKUP(AH111,[1]Sheet!$AK:$AM,3,0)</f>
        <v>0</v>
      </c>
    </row>
    <row r="112" spans="1:35" hidden="1" x14ac:dyDescent="0.25">
      <c r="A112" s="9" t="s">
        <v>151</v>
      </c>
      <c r="B112" s="9" t="s">
        <v>38</v>
      </c>
      <c r="C112" s="9">
        <v>631.55600000000004</v>
      </c>
      <c r="D112" s="9">
        <v>80.671999999999997</v>
      </c>
      <c r="E112" s="9">
        <v>454.06299999999999</v>
      </c>
      <c r="F112" s="13">
        <f>190.344+F58</f>
        <v>290.887</v>
      </c>
      <c r="G112" s="6">
        <v>1</v>
      </c>
      <c r="H112" s="9">
        <v>40</v>
      </c>
      <c r="I112" s="8" t="s">
        <v>82</v>
      </c>
      <c r="J112" s="9"/>
      <c r="K112" s="9">
        <v>501.25</v>
      </c>
      <c r="L112" s="9">
        <f t="shared" si="26"/>
        <v>-47.187000000000012</v>
      </c>
      <c r="M112" s="9"/>
      <c r="N112" s="9"/>
      <c r="O112" s="9">
        <v>158.06157999999999</v>
      </c>
      <c r="P112" s="9"/>
      <c r="Q112" s="9">
        <f t="shared" si="27"/>
        <v>90.812600000000003</v>
      </c>
      <c r="R112" s="4">
        <f>12*Q112-O112-F112</f>
        <v>640.80262000000016</v>
      </c>
      <c r="S112" s="4">
        <f>R112</f>
        <v>640.80262000000016</v>
      </c>
      <c r="T112" s="9">
        <f t="shared" si="28"/>
        <v>12.000000000000002</v>
      </c>
      <c r="U112" s="9">
        <f t="shared" si="29"/>
        <v>4.9436816036541185</v>
      </c>
      <c r="V112" s="9">
        <v>87.560400000000001</v>
      </c>
      <c r="W112" s="9">
        <v>101.8978</v>
      </c>
      <c r="X112" s="9">
        <v>89.504600000000011</v>
      </c>
      <c r="Y112" s="9">
        <v>76.044000000000011</v>
      </c>
      <c r="Z112" s="9">
        <v>82.587199999999996</v>
      </c>
      <c r="AA112" s="9">
        <v>93.196200000000005</v>
      </c>
      <c r="AB112" s="9">
        <v>104.8322</v>
      </c>
      <c r="AC112" s="9">
        <v>101.123</v>
      </c>
      <c r="AD112" s="9">
        <v>92.513999999999996</v>
      </c>
      <c r="AE112" s="9">
        <v>78.795199999999994</v>
      </c>
      <c r="AF112" s="9"/>
      <c r="AG112" s="9">
        <f t="shared" si="30"/>
        <v>641</v>
      </c>
      <c r="AH112" t="s">
        <v>260</v>
      </c>
      <c r="AI112">
        <f>VLOOKUP(AH112,[1]Sheet!$AK:$AM,3,0)</f>
        <v>0</v>
      </c>
    </row>
    <row r="113" spans="1:35" hidden="1" x14ac:dyDescent="0.25">
      <c r="A113" s="10" t="s">
        <v>261</v>
      </c>
      <c r="B113" s="10" t="s">
        <v>46</v>
      </c>
      <c r="C113" s="10"/>
      <c r="D113" s="10"/>
      <c r="E113" s="10"/>
      <c r="F113" s="10"/>
      <c r="G113" s="11">
        <v>0</v>
      </c>
      <c r="H113" s="10"/>
      <c r="I113" s="10" t="s">
        <v>39</v>
      </c>
      <c r="J113" s="10"/>
      <c r="K113" s="10"/>
      <c r="L113" s="10">
        <f t="shared" si="26"/>
        <v>0</v>
      </c>
      <c r="M113" s="10"/>
      <c r="N113" s="10"/>
      <c r="O113" s="10">
        <v>0</v>
      </c>
      <c r="P113" s="10"/>
      <c r="Q113" s="10">
        <f t="shared" si="27"/>
        <v>0</v>
      </c>
      <c r="R113" s="12"/>
      <c r="S113" s="4">
        <f>R113</f>
        <v>0</v>
      </c>
      <c r="T113" s="10" t="e">
        <f t="shared" si="28"/>
        <v>#DIV/0!</v>
      </c>
      <c r="U113" s="10" t="e">
        <f t="shared" si="29"/>
        <v>#DIV/0!</v>
      </c>
      <c r="V113" s="10">
        <v>0</v>
      </c>
      <c r="W113" s="10">
        <v>0</v>
      </c>
      <c r="X113" s="10">
        <v>0</v>
      </c>
      <c r="Y113" s="10">
        <v>0</v>
      </c>
      <c r="Z113" s="10">
        <v>0</v>
      </c>
      <c r="AA113" s="10">
        <v>0</v>
      </c>
      <c r="AB113" s="10">
        <v>0</v>
      </c>
      <c r="AC113" s="10">
        <v>0</v>
      </c>
      <c r="AD113" s="10">
        <v>0</v>
      </c>
      <c r="AE113" s="10">
        <v>0</v>
      </c>
      <c r="AF113" s="10" t="s">
        <v>47</v>
      </c>
      <c r="AG113" s="9">
        <f t="shared" si="30"/>
        <v>0</v>
      </c>
      <c r="AH113" t="s">
        <v>262</v>
      </c>
      <c r="AI113">
        <f>VLOOKUP(AH113,[1]Sheet!$AK:$AM,3,0)</f>
        <v>0</v>
      </c>
    </row>
    <row r="114" spans="1:35" hidden="1" x14ac:dyDescent="0.25">
      <c r="A114" s="9" t="s">
        <v>263</v>
      </c>
      <c r="B114" s="9" t="s">
        <v>38</v>
      </c>
      <c r="C114" s="9">
        <v>17.245000000000001</v>
      </c>
      <c r="D114" s="9"/>
      <c r="E114" s="9">
        <v>2.7090000000000001</v>
      </c>
      <c r="F114" s="9">
        <v>14.536</v>
      </c>
      <c r="G114" s="6">
        <v>1</v>
      </c>
      <c r="H114" s="9">
        <v>55</v>
      </c>
      <c r="I114" s="9" t="s">
        <v>39</v>
      </c>
      <c r="J114" s="9"/>
      <c r="K114" s="9">
        <v>2.7</v>
      </c>
      <c r="L114" s="9">
        <f t="shared" si="26"/>
        <v>8.999999999999897E-3</v>
      </c>
      <c r="M114" s="9"/>
      <c r="N114" s="9"/>
      <c r="O114" s="9">
        <v>0</v>
      </c>
      <c r="P114" s="9"/>
      <c r="Q114" s="9">
        <f t="shared" si="27"/>
        <v>0.54180000000000006</v>
      </c>
      <c r="R114" s="4"/>
      <c r="S114" s="4">
        <f>R114</f>
        <v>0</v>
      </c>
      <c r="T114" s="9">
        <f t="shared" si="28"/>
        <v>26.829088224437058</v>
      </c>
      <c r="U114" s="9">
        <f t="shared" si="29"/>
        <v>26.829088224437058</v>
      </c>
      <c r="V114" s="9">
        <v>0.54720000000000002</v>
      </c>
      <c r="W114" s="9">
        <v>1.615</v>
      </c>
      <c r="X114" s="9">
        <v>1.3408</v>
      </c>
      <c r="Y114" s="9">
        <v>1</v>
      </c>
      <c r="Z114" s="9">
        <v>1.2816000000000001</v>
      </c>
      <c r="AA114" s="9">
        <v>0.28160000000000002</v>
      </c>
      <c r="AB114" s="9">
        <v>0</v>
      </c>
      <c r="AC114" s="9">
        <v>0.29120000000000001</v>
      </c>
      <c r="AD114" s="9">
        <v>0.29120000000000001</v>
      </c>
      <c r="AE114" s="9">
        <v>3.2582</v>
      </c>
      <c r="AF114" s="16" t="s">
        <v>264</v>
      </c>
      <c r="AG114" s="9">
        <f t="shared" si="30"/>
        <v>0</v>
      </c>
      <c r="AH114" t="s">
        <v>265</v>
      </c>
      <c r="AI114">
        <f>VLOOKUP(AH114,[1]Sheet!$AK:$AM,3,0)</f>
        <v>0</v>
      </c>
    </row>
    <row r="115" spans="1:35" hidden="1" x14ac:dyDescent="0.25">
      <c r="A115" s="9" t="s">
        <v>266</v>
      </c>
      <c r="B115" s="9" t="s">
        <v>46</v>
      </c>
      <c r="C115" s="9">
        <v>144</v>
      </c>
      <c r="D115" s="9">
        <v>588</v>
      </c>
      <c r="E115" s="9">
        <v>195</v>
      </c>
      <c r="F115" s="9">
        <v>485</v>
      </c>
      <c r="G115" s="6">
        <v>0.28000000000000003</v>
      </c>
      <c r="H115" s="9">
        <v>40</v>
      </c>
      <c r="I115" s="9" t="s">
        <v>39</v>
      </c>
      <c r="J115" s="9"/>
      <c r="K115" s="9">
        <v>368</v>
      </c>
      <c r="L115" s="9">
        <f t="shared" si="26"/>
        <v>-173</v>
      </c>
      <c r="M115" s="9"/>
      <c r="N115" s="9"/>
      <c r="O115" s="9">
        <v>0</v>
      </c>
      <c r="P115" s="9"/>
      <c r="Q115" s="9">
        <f t="shared" si="27"/>
        <v>39</v>
      </c>
      <c r="R115" s="4"/>
      <c r="S115" s="4">
        <f>R115</f>
        <v>0</v>
      </c>
      <c r="T115" s="9">
        <f t="shared" si="28"/>
        <v>12.435897435897436</v>
      </c>
      <c r="U115" s="9">
        <f t="shared" si="29"/>
        <v>12.435897435897436</v>
      </c>
      <c r="V115" s="9">
        <v>37.4</v>
      </c>
      <c r="W115" s="9">
        <v>79.400000000000006</v>
      </c>
      <c r="X115" s="9">
        <v>86.4</v>
      </c>
      <c r="Y115" s="9">
        <v>61.8</v>
      </c>
      <c r="Z115" s="9">
        <v>64.599999999999994</v>
      </c>
      <c r="AA115" s="9">
        <v>68.400000000000006</v>
      </c>
      <c r="AB115" s="9">
        <v>56</v>
      </c>
      <c r="AC115" s="9">
        <v>64.599999999999994</v>
      </c>
      <c r="AD115" s="9">
        <v>67.400000000000006</v>
      </c>
      <c r="AE115" s="9">
        <v>57.4</v>
      </c>
      <c r="AF115" s="9"/>
      <c r="AG115" s="9">
        <f t="shared" si="30"/>
        <v>0</v>
      </c>
      <c r="AH115" t="s">
        <v>267</v>
      </c>
      <c r="AI115">
        <f>VLOOKUP(AH115,[1]Sheet!$AK:$AM,3,0)</f>
        <v>0</v>
      </c>
    </row>
    <row r="116" spans="1:35" hidden="1" x14ac:dyDescent="0.25">
      <c r="A116" s="10" t="s">
        <v>268</v>
      </c>
      <c r="B116" s="10" t="s">
        <v>46</v>
      </c>
      <c r="C116" s="10"/>
      <c r="D116" s="10"/>
      <c r="E116" s="10"/>
      <c r="F116" s="10"/>
      <c r="G116" s="11">
        <v>0</v>
      </c>
      <c r="H116" s="10"/>
      <c r="I116" s="10" t="s">
        <v>39</v>
      </c>
      <c r="J116" s="10"/>
      <c r="K116" s="10"/>
      <c r="L116" s="10">
        <f t="shared" si="26"/>
        <v>0</v>
      </c>
      <c r="M116" s="10"/>
      <c r="N116" s="10"/>
      <c r="O116" s="10">
        <v>0</v>
      </c>
      <c r="P116" s="10"/>
      <c r="Q116" s="10">
        <f t="shared" si="27"/>
        <v>0</v>
      </c>
      <c r="R116" s="12"/>
      <c r="S116" s="4">
        <f>R116</f>
        <v>0</v>
      </c>
      <c r="T116" s="10" t="e">
        <f t="shared" si="28"/>
        <v>#DIV/0!</v>
      </c>
      <c r="U116" s="10" t="e">
        <f t="shared" si="29"/>
        <v>#DIV/0!</v>
      </c>
      <c r="V116" s="10">
        <v>0</v>
      </c>
      <c r="W116" s="10">
        <v>0</v>
      </c>
      <c r="X116" s="10">
        <v>0</v>
      </c>
      <c r="Y116" s="10">
        <v>0</v>
      </c>
      <c r="Z116" s="10">
        <v>0</v>
      </c>
      <c r="AA116" s="10">
        <v>0</v>
      </c>
      <c r="AB116" s="10">
        <v>0</v>
      </c>
      <c r="AC116" s="10">
        <v>0</v>
      </c>
      <c r="AD116" s="10">
        <v>0</v>
      </c>
      <c r="AE116" s="10">
        <v>0</v>
      </c>
      <c r="AF116" s="10" t="s">
        <v>47</v>
      </c>
      <c r="AG116" s="9">
        <f t="shared" si="30"/>
        <v>0</v>
      </c>
      <c r="AH116" t="s">
        <v>269</v>
      </c>
      <c r="AI116">
        <f>VLOOKUP(AH116,[1]Sheet!$AK:$AM,3,0)</f>
        <v>0</v>
      </c>
    </row>
    <row r="117" spans="1:35" hidden="1" x14ac:dyDescent="0.25">
      <c r="A117" s="9" t="s">
        <v>270</v>
      </c>
      <c r="B117" s="9" t="s">
        <v>46</v>
      </c>
      <c r="C117" s="9">
        <v>237</v>
      </c>
      <c r="D117" s="9">
        <v>537</v>
      </c>
      <c r="E117" s="9">
        <v>335</v>
      </c>
      <c r="F117" s="9">
        <v>401</v>
      </c>
      <c r="G117" s="6">
        <v>0.28000000000000003</v>
      </c>
      <c r="H117" s="9">
        <v>40</v>
      </c>
      <c r="I117" s="9" t="s">
        <v>39</v>
      </c>
      <c r="J117" s="9"/>
      <c r="K117" s="9">
        <v>364</v>
      </c>
      <c r="L117" s="9">
        <f t="shared" si="26"/>
        <v>-29</v>
      </c>
      <c r="M117" s="9"/>
      <c r="N117" s="9"/>
      <c r="O117" s="9">
        <v>118.4</v>
      </c>
      <c r="P117" s="9"/>
      <c r="Q117" s="9">
        <f t="shared" si="27"/>
        <v>67</v>
      </c>
      <c r="R117" s="4">
        <f>12*Q117-O117-F117</f>
        <v>284.60000000000002</v>
      </c>
      <c r="S117" s="4">
        <f>R117+$S$1*Q117</f>
        <v>258.80500000000001</v>
      </c>
      <c r="T117" s="9">
        <f t="shared" si="28"/>
        <v>12</v>
      </c>
      <c r="U117" s="9">
        <f t="shared" si="29"/>
        <v>7.7522388059701486</v>
      </c>
      <c r="V117" s="9">
        <v>62.4</v>
      </c>
      <c r="W117" s="9">
        <v>67</v>
      </c>
      <c r="X117" s="9">
        <v>69</v>
      </c>
      <c r="Y117" s="9">
        <v>63</v>
      </c>
      <c r="Z117" s="9">
        <v>66.8</v>
      </c>
      <c r="AA117" s="9">
        <v>66.400000000000006</v>
      </c>
      <c r="AB117" s="9">
        <v>53</v>
      </c>
      <c r="AC117" s="9">
        <v>66.400000000000006</v>
      </c>
      <c r="AD117" s="9">
        <v>72.8</v>
      </c>
      <c r="AE117" s="9">
        <v>61.4</v>
      </c>
      <c r="AF117" s="9"/>
      <c r="AG117" s="9">
        <f t="shared" si="30"/>
        <v>72</v>
      </c>
      <c r="AH117" t="s">
        <v>271</v>
      </c>
      <c r="AI117">
        <f>VLOOKUP(AH117,[1]Sheet!$AK:$AM,3,0)</f>
        <v>0</v>
      </c>
    </row>
    <row r="118" spans="1:35" hidden="1" x14ac:dyDescent="0.25">
      <c r="A118" s="9" t="s">
        <v>272</v>
      </c>
      <c r="B118" s="9" t="s">
        <v>46</v>
      </c>
      <c r="C118" s="9"/>
      <c r="D118" s="9">
        <v>40</v>
      </c>
      <c r="E118" s="9">
        <v>40</v>
      </c>
      <c r="F118" s="9"/>
      <c r="G118" s="6">
        <v>0.09</v>
      </c>
      <c r="H118" s="9"/>
      <c r="I118" s="9" t="s">
        <v>39</v>
      </c>
      <c r="J118" s="9"/>
      <c r="K118" s="9">
        <v>76</v>
      </c>
      <c r="L118" s="9">
        <f t="shared" si="26"/>
        <v>-36</v>
      </c>
      <c r="M118" s="9"/>
      <c r="N118" s="9"/>
      <c r="O118" s="9">
        <v>0</v>
      </c>
      <c r="P118" s="9"/>
      <c r="Q118" s="9">
        <f t="shared" si="27"/>
        <v>8</v>
      </c>
      <c r="R118" s="4">
        <f>7*Q118-O118-F118</f>
        <v>56</v>
      </c>
      <c r="S118" s="4">
        <f>R118</f>
        <v>56</v>
      </c>
      <c r="T118" s="9">
        <f t="shared" si="28"/>
        <v>7</v>
      </c>
      <c r="U118" s="9">
        <f t="shared" si="29"/>
        <v>0</v>
      </c>
      <c r="V118" s="9">
        <v>0</v>
      </c>
      <c r="W118" s="9">
        <v>0</v>
      </c>
      <c r="X118" s="9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>
        <v>0</v>
      </c>
      <c r="AF118" s="9" t="s">
        <v>273</v>
      </c>
      <c r="AG118" s="9">
        <f t="shared" si="30"/>
        <v>5</v>
      </c>
      <c r="AH118" t="s">
        <v>274</v>
      </c>
      <c r="AI118">
        <f>VLOOKUP(AH118,[1]Sheet!$AK:$AM,3,0)</f>
        <v>0</v>
      </c>
    </row>
    <row r="119" spans="1:35" hidden="1" x14ac:dyDescent="0.25">
      <c r="A119" s="9" t="s">
        <v>275</v>
      </c>
      <c r="B119" s="9" t="s">
        <v>38</v>
      </c>
      <c r="C119" s="9">
        <v>212.291</v>
      </c>
      <c r="D119" s="9">
        <v>105.384</v>
      </c>
      <c r="E119" s="9">
        <v>121.60299999999999</v>
      </c>
      <c r="F119" s="9">
        <v>185.77</v>
      </c>
      <c r="G119" s="6">
        <v>1</v>
      </c>
      <c r="H119" s="9">
        <v>60</v>
      </c>
      <c r="I119" s="9" t="s">
        <v>39</v>
      </c>
      <c r="J119" s="9"/>
      <c r="K119" s="9">
        <v>317</v>
      </c>
      <c r="L119" s="9">
        <f t="shared" si="26"/>
        <v>-195.39699999999999</v>
      </c>
      <c r="M119" s="9"/>
      <c r="N119" s="9"/>
      <c r="O119" s="9">
        <v>191.19980000000001</v>
      </c>
      <c r="P119" s="9"/>
      <c r="Q119" s="9">
        <f t="shared" si="27"/>
        <v>24.320599999999999</v>
      </c>
      <c r="R119" s="4"/>
      <c r="S119" s="4">
        <f>R119</f>
        <v>0</v>
      </c>
      <c r="T119" s="9">
        <f t="shared" si="28"/>
        <v>15.500020558703323</v>
      </c>
      <c r="U119" s="9">
        <f t="shared" si="29"/>
        <v>15.500020558703323</v>
      </c>
      <c r="V119" s="9">
        <v>34.040199999999999</v>
      </c>
      <c r="W119" s="9">
        <v>26.383400000000002</v>
      </c>
      <c r="X119" s="9">
        <v>17.169599999999999</v>
      </c>
      <c r="Y119" s="9">
        <v>17.895399999999999</v>
      </c>
      <c r="Z119" s="9">
        <v>29.697600000000001</v>
      </c>
      <c r="AA119" s="9">
        <v>35.659999999999997</v>
      </c>
      <c r="AB119" s="9">
        <v>26.834399999999999</v>
      </c>
      <c r="AC119" s="9">
        <v>32.64</v>
      </c>
      <c r="AD119" s="9">
        <v>39.406399999999998</v>
      </c>
      <c r="AE119" s="9">
        <v>36.651000000000003</v>
      </c>
      <c r="AF119" s="9"/>
      <c r="AG119" s="9">
        <f t="shared" si="30"/>
        <v>0</v>
      </c>
      <c r="AH119" t="s">
        <v>276</v>
      </c>
      <c r="AI119">
        <f>VLOOKUP(AH119,[1]Sheet!$AK:$AM,3,0)</f>
        <v>0</v>
      </c>
    </row>
    <row r="120" spans="1:35" hidden="1" x14ac:dyDescent="0.25">
      <c r="A120" s="9" t="s">
        <v>277</v>
      </c>
      <c r="B120" s="9" t="s">
        <v>38</v>
      </c>
      <c r="C120" s="9">
        <v>82.09</v>
      </c>
      <c r="D120" s="9"/>
      <c r="E120" s="9">
        <v>-0.873</v>
      </c>
      <c r="F120" s="9">
        <v>82.09</v>
      </c>
      <c r="G120" s="6">
        <v>1</v>
      </c>
      <c r="H120" s="9">
        <v>50</v>
      </c>
      <c r="I120" s="9" t="s">
        <v>39</v>
      </c>
      <c r="J120" s="9"/>
      <c r="K120" s="9">
        <v>107</v>
      </c>
      <c r="L120" s="9">
        <f t="shared" si="26"/>
        <v>-107.873</v>
      </c>
      <c r="M120" s="9"/>
      <c r="N120" s="9"/>
      <c r="O120" s="9">
        <v>0</v>
      </c>
      <c r="P120" s="9"/>
      <c r="Q120" s="9">
        <f t="shared" si="27"/>
        <v>-0.17460000000000001</v>
      </c>
      <c r="R120" s="4"/>
      <c r="S120" s="4">
        <f>R120</f>
        <v>0</v>
      </c>
      <c r="T120" s="9">
        <f t="shared" si="28"/>
        <v>-470.16036655211911</v>
      </c>
      <c r="U120" s="9">
        <f t="shared" si="29"/>
        <v>-470.16036655211911</v>
      </c>
      <c r="V120" s="9">
        <v>-0.35780000000000001</v>
      </c>
      <c r="W120" s="9">
        <v>-0.1832</v>
      </c>
      <c r="X120" s="9">
        <v>0.36159999999999998</v>
      </c>
      <c r="Y120" s="9">
        <v>4.1176000000000004</v>
      </c>
      <c r="Z120" s="9">
        <v>5.7633999999999999</v>
      </c>
      <c r="AA120" s="9">
        <v>15.0108</v>
      </c>
      <c r="AB120" s="9">
        <v>18.382400000000001</v>
      </c>
      <c r="AC120" s="9">
        <v>18.812799999999999</v>
      </c>
      <c r="AD120" s="9">
        <v>18.2974</v>
      </c>
      <c r="AE120" s="9">
        <v>13.1578</v>
      </c>
      <c r="AF120" s="15" t="s">
        <v>127</v>
      </c>
      <c r="AG120" s="9">
        <f t="shared" si="30"/>
        <v>0</v>
      </c>
      <c r="AH120" t="s">
        <v>278</v>
      </c>
      <c r="AI120">
        <f>VLOOKUP(AH120,[1]Sheet!$AK:$AM,3,0)</f>
        <v>0</v>
      </c>
    </row>
    <row r="121" spans="1:35" hidden="1" x14ac:dyDescent="0.25">
      <c r="A121" s="9" t="s">
        <v>279</v>
      </c>
      <c r="B121" s="9" t="s">
        <v>46</v>
      </c>
      <c r="C121" s="9"/>
      <c r="D121" s="9">
        <v>40</v>
      </c>
      <c r="E121" s="9">
        <v>41</v>
      </c>
      <c r="F121" s="9">
        <v>-1</v>
      </c>
      <c r="G121" s="6">
        <v>0.09</v>
      </c>
      <c r="H121" s="9"/>
      <c r="I121" s="9" t="s">
        <v>39</v>
      </c>
      <c r="J121" s="9"/>
      <c r="K121" s="9">
        <v>65</v>
      </c>
      <c r="L121" s="9">
        <f t="shared" si="26"/>
        <v>-24</v>
      </c>
      <c r="M121" s="9"/>
      <c r="N121" s="9"/>
      <c r="O121" s="9">
        <v>0</v>
      </c>
      <c r="P121" s="9"/>
      <c r="Q121" s="9">
        <f t="shared" si="27"/>
        <v>8.1999999999999993</v>
      </c>
      <c r="R121" s="4">
        <v>70</v>
      </c>
      <c r="S121" s="4">
        <f>R121</f>
        <v>70</v>
      </c>
      <c r="T121" s="9">
        <f t="shared" si="28"/>
        <v>8.4146341463414647</v>
      </c>
      <c r="U121" s="9">
        <f t="shared" si="29"/>
        <v>-0.12195121951219513</v>
      </c>
      <c r="V121" s="9">
        <v>0</v>
      </c>
      <c r="W121" s="9">
        <v>0</v>
      </c>
      <c r="X121" s="9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0</v>
      </c>
      <c r="AE121" s="9">
        <v>0</v>
      </c>
      <c r="AF121" s="9" t="s">
        <v>273</v>
      </c>
      <c r="AG121" s="9">
        <f t="shared" si="30"/>
        <v>6</v>
      </c>
      <c r="AH121" t="s">
        <v>280</v>
      </c>
      <c r="AI121">
        <f>VLOOKUP(AH121,[1]Sheet!$AK:$AM,3,0)</f>
        <v>0</v>
      </c>
    </row>
    <row r="122" spans="1:35" hidden="1" x14ac:dyDescent="0.25">
      <c r="A122" s="10" t="s">
        <v>281</v>
      </c>
      <c r="B122" s="10" t="s">
        <v>46</v>
      </c>
      <c r="C122" s="10"/>
      <c r="D122" s="10"/>
      <c r="E122" s="10"/>
      <c r="F122" s="10"/>
      <c r="G122" s="11">
        <v>0</v>
      </c>
      <c r="H122" s="10"/>
      <c r="I122" s="10" t="s">
        <v>39</v>
      </c>
      <c r="J122" s="10"/>
      <c r="K122" s="10"/>
      <c r="L122" s="10">
        <f t="shared" si="26"/>
        <v>0</v>
      </c>
      <c r="M122" s="10"/>
      <c r="N122" s="10"/>
      <c r="O122" s="10">
        <v>0</v>
      </c>
      <c r="P122" s="10"/>
      <c r="Q122" s="10">
        <f t="shared" si="27"/>
        <v>0</v>
      </c>
      <c r="R122" s="12"/>
      <c r="S122" s="4">
        <f>R122</f>
        <v>0</v>
      </c>
      <c r="T122" s="10" t="e">
        <f t="shared" si="28"/>
        <v>#DIV/0!</v>
      </c>
      <c r="U122" s="10" t="e">
        <f t="shared" si="29"/>
        <v>#DIV/0!</v>
      </c>
      <c r="V122" s="10">
        <v>0</v>
      </c>
      <c r="W122" s="10">
        <v>0</v>
      </c>
      <c r="X122" s="10">
        <v>0</v>
      </c>
      <c r="Y122" s="10">
        <v>0</v>
      </c>
      <c r="Z122" s="10">
        <v>0</v>
      </c>
      <c r="AA122" s="10">
        <v>0</v>
      </c>
      <c r="AB122" s="10">
        <v>0</v>
      </c>
      <c r="AC122" s="10">
        <v>0</v>
      </c>
      <c r="AD122" s="10">
        <v>0</v>
      </c>
      <c r="AE122" s="10">
        <v>0</v>
      </c>
      <c r="AF122" s="10" t="s">
        <v>47</v>
      </c>
      <c r="AG122" s="9">
        <f t="shared" si="30"/>
        <v>0</v>
      </c>
      <c r="AH122" t="s">
        <v>282</v>
      </c>
      <c r="AI122">
        <f>VLOOKUP(AH122,[1]Sheet!$AK:$AM,3,0)</f>
        <v>0</v>
      </c>
    </row>
    <row r="123" spans="1:35" hidden="1" x14ac:dyDescent="0.25">
      <c r="A123" s="9" t="s">
        <v>283</v>
      </c>
      <c r="B123" s="9" t="s">
        <v>38</v>
      </c>
      <c r="C123" s="9">
        <v>384.91800000000001</v>
      </c>
      <c r="D123" s="9">
        <v>329.55799999999999</v>
      </c>
      <c r="E123" s="9">
        <v>326.72500000000002</v>
      </c>
      <c r="F123" s="9">
        <v>359.91699999999997</v>
      </c>
      <c r="G123" s="6">
        <v>1</v>
      </c>
      <c r="H123" s="9">
        <v>60</v>
      </c>
      <c r="I123" s="9" t="s">
        <v>39</v>
      </c>
      <c r="J123" s="9"/>
      <c r="K123" s="9">
        <v>318.60000000000002</v>
      </c>
      <c r="L123" s="9">
        <f t="shared" si="26"/>
        <v>8.125</v>
      </c>
      <c r="M123" s="9"/>
      <c r="N123" s="9"/>
      <c r="O123" s="9">
        <v>94.923999999999978</v>
      </c>
      <c r="P123" s="9"/>
      <c r="Q123" s="9">
        <f t="shared" si="27"/>
        <v>65.344999999999999</v>
      </c>
      <c r="R123" s="4">
        <f>12*Q123-O123-F123</f>
        <v>329.29900000000004</v>
      </c>
      <c r="S123" s="4">
        <f>R123+$S$1*Q123</f>
        <v>304.14117500000003</v>
      </c>
      <c r="T123" s="9">
        <f t="shared" si="28"/>
        <v>12</v>
      </c>
      <c r="U123" s="9">
        <f t="shared" si="29"/>
        <v>6.9606090749100922</v>
      </c>
      <c r="V123" s="9">
        <v>56.364999999999988</v>
      </c>
      <c r="W123" s="9">
        <v>56.581600000000002</v>
      </c>
      <c r="X123" s="9">
        <v>54.922800000000002</v>
      </c>
      <c r="Y123" s="9">
        <v>66.630399999999995</v>
      </c>
      <c r="Z123" s="9">
        <v>70.855999999999995</v>
      </c>
      <c r="AA123" s="9">
        <v>76.245800000000003</v>
      </c>
      <c r="AB123" s="9">
        <v>71.3352</v>
      </c>
      <c r="AC123" s="9">
        <v>56.040999999999997</v>
      </c>
      <c r="AD123" s="9">
        <v>58.951800000000013</v>
      </c>
      <c r="AE123" s="9">
        <v>56.642000000000003</v>
      </c>
      <c r="AF123" s="9"/>
      <c r="AG123" s="9">
        <f t="shared" si="30"/>
        <v>304</v>
      </c>
      <c r="AH123" t="s">
        <v>284</v>
      </c>
      <c r="AI123">
        <f>VLOOKUP(AH123,[1]Sheet!$AK:$AM,3,0)</f>
        <v>0</v>
      </c>
    </row>
    <row r="124" spans="1:35" hidden="1" x14ac:dyDescent="0.25">
      <c r="A124" s="9" t="s">
        <v>285</v>
      </c>
      <c r="B124" s="9" t="s">
        <v>38</v>
      </c>
      <c r="C124" s="9">
        <v>443.88200000000001</v>
      </c>
      <c r="D124" s="9">
        <v>522.36699999999996</v>
      </c>
      <c r="E124" s="9">
        <v>462.11799999999999</v>
      </c>
      <c r="F124" s="9">
        <v>449.476</v>
      </c>
      <c r="G124" s="6">
        <v>1</v>
      </c>
      <c r="H124" s="9">
        <v>60</v>
      </c>
      <c r="I124" s="9" t="s">
        <v>39</v>
      </c>
      <c r="J124" s="9"/>
      <c r="K124" s="9">
        <v>452.12099999999998</v>
      </c>
      <c r="L124" s="9">
        <f t="shared" si="26"/>
        <v>9.9970000000000141</v>
      </c>
      <c r="M124" s="9"/>
      <c r="N124" s="9"/>
      <c r="O124" s="9">
        <v>169.89252999999991</v>
      </c>
      <c r="P124" s="9"/>
      <c r="Q124" s="9">
        <f t="shared" si="27"/>
        <v>92.423599999999993</v>
      </c>
      <c r="R124" s="4">
        <f>12*Q124-O124-F124</f>
        <v>489.71467000000018</v>
      </c>
      <c r="S124" s="4">
        <f>R124+$S$1*Q124</f>
        <v>454.1315840000002</v>
      </c>
      <c r="T124" s="9">
        <f t="shared" si="28"/>
        <v>12.000000000000002</v>
      </c>
      <c r="U124" s="9">
        <f t="shared" si="29"/>
        <v>6.7014110032502519</v>
      </c>
      <c r="V124" s="9">
        <v>83.889399999999995</v>
      </c>
      <c r="W124" s="9">
        <v>75.759</v>
      </c>
      <c r="X124" s="9">
        <v>77.756200000000007</v>
      </c>
      <c r="Y124" s="9">
        <v>88.792600000000007</v>
      </c>
      <c r="Z124" s="9">
        <v>87.907200000000003</v>
      </c>
      <c r="AA124" s="9">
        <v>90.133600000000001</v>
      </c>
      <c r="AB124" s="9">
        <v>88.307600000000008</v>
      </c>
      <c r="AC124" s="9">
        <v>81.408000000000001</v>
      </c>
      <c r="AD124" s="9">
        <v>81.493200000000002</v>
      </c>
      <c r="AE124" s="9">
        <v>70.010400000000004</v>
      </c>
      <c r="AF124" s="9"/>
      <c r="AG124" s="9">
        <f t="shared" si="30"/>
        <v>454</v>
      </c>
      <c r="AH124" t="s">
        <v>286</v>
      </c>
      <c r="AI124">
        <f>VLOOKUP(AH124,[1]Sheet!$AK:$AM,3,0)</f>
        <v>0</v>
      </c>
    </row>
    <row r="125" spans="1:35" hidden="1" x14ac:dyDescent="0.25">
      <c r="A125" s="9" t="s">
        <v>287</v>
      </c>
      <c r="B125" s="9" t="s">
        <v>38</v>
      </c>
      <c r="C125" s="9">
        <v>127.971</v>
      </c>
      <c r="D125" s="9">
        <v>232.952</v>
      </c>
      <c r="E125" s="9">
        <v>171.006</v>
      </c>
      <c r="F125" s="9">
        <v>176.91900000000001</v>
      </c>
      <c r="G125" s="6">
        <v>1</v>
      </c>
      <c r="H125" s="9">
        <v>60</v>
      </c>
      <c r="I125" s="9" t="s">
        <v>39</v>
      </c>
      <c r="J125" s="9"/>
      <c r="K125" s="9">
        <v>174.85</v>
      </c>
      <c r="L125" s="9">
        <f t="shared" si="26"/>
        <v>-3.8439999999999941</v>
      </c>
      <c r="M125" s="9"/>
      <c r="N125" s="9"/>
      <c r="O125" s="9">
        <v>76.391199999999969</v>
      </c>
      <c r="P125" s="9"/>
      <c r="Q125" s="9">
        <f t="shared" si="27"/>
        <v>34.2012</v>
      </c>
      <c r="R125" s="4">
        <f>12*Q125-O125-F125</f>
        <v>157.10420000000002</v>
      </c>
      <c r="S125" s="4">
        <f>R125</f>
        <v>157.10420000000002</v>
      </c>
      <c r="T125" s="9">
        <f t="shared" si="28"/>
        <v>12</v>
      </c>
      <c r="U125" s="9">
        <f t="shared" si="29"/>
        <v>7.406471117972468</v>
      </c>
      <c r="V125" s="9">
        <v>29.3096</v>
      </c>
      <c r="W125" s="9">
        <v>30.529399999999999</v>
      </c>
      <c r="X125" s="9">
        <v>31.781199999999998</v>
      </c>
      <c r="Y125" s="9">
        <v>32.8658</v>
      </c>
      <c r="Z125" s="9">
        <v>29.383600000000001</v>
      </c>
      <c r="AA125" s="9">
        <v>24.572399999999998</v>
      </c>
      <c r="AB125" s="9">
        <v>27.509399999999999</v>
      </c>
      <c r="AC125" s="9">
        <v>31.500800000000002</v>
      </c>
      <c r="AD125" s="9">
        <v>33.397000000000013</v>
      </c>
      <c r="AE125" s="9">
        <v>28.143799999999999</v>
      </c>
      <c r="AF125" s="9"/>
      <c r="AG125" s="9">
        <f t="shared" si="30"/>
        <v>157</v>
      </c>
      <c r="AH125" t="s">
        <v>288</v>
      </c>
      <c r="AI125">
        <f>VLOOKUP(AH125,[1]Sheet!$AK:$AM,3,0)</f>
        <v>0</v>
      </c>
    </row>
    <row r="126" spans="1:35" hidden="1" x14ac:dyDescent="0.25">
      <c r="A126" s="9" t="s">
        <v>289</v>
      </c>
      <c r="B126" s="9" t="s">
        <v>38</v>
      </c>
      <c r="C126" s="9">
        <v>4303.4129999999996</v>
      </c>
      <c r="D126" s="9">
        <v>912.34</v>
      </c>
      <c r="E126" s="9">
        <v>1485.251</v>
      </c>
      <c r="F126" s="9">
        <v>3590.4810000000002</v>
      </c>
      <c r="G126" s="6">
        <v>1</v>
      </c>
      <c r="H126" s="9">
        <v>60</v>
      </c>
      <c r="I126" s="9" t="s">
        <v>39</v>
      </c>
      <c r="J126" s="9"/>
      <c r="K126" s="9">
        <v>1510</v>
      </c>
      <c r="L126" s="9">
        <f t="shared" si="26"/>
        <v>-24.749000000000024</v>
      </c>
      <c r="M126" s="9"/>
      <c r="N126" s="9"/>
      <c r="O126" s="9">
        <v>0</v>
      </c>
      <c r="P126" s="9"/>
      <c r="Q126" s="9">
        <f t="shared" si="27"/>
        <v>297.05020000000002</v>
      </c>
      <c r="R126" s="4"/>
      <c r="S126" s="4">
        <f>R126</f>
        <v>0</v>
      </c>
      <c r="T126" s="9">
        <f t="shared" si="28"/>
        <v>12.08711860823524</v>
      </c>
      <c r="U126" s="9">
        <f t="shared" si="29"/>
        <v>12.08711860823524</v>
      </c>
      <c r="V126" s="9">
        <v>289.678</v>
      </c>
      <c r="W126" s="9">
        <v>290.18599999999998</v>
      </c>
      <c r="X126" s="9">
        <v>287.87099999999998</v>
      </c>
      <c r="Y126" s="9">
        <v>292.56079999999997</v>
      </c>
      <c r="Z126" s="9">
        <v>311.30119999999999</v>
      </c>
      <c r="AA126" s="9">
        <v>194.2492</v>
      </c>
      <c r="AB126" s="9">
        <v>172.9366</v>
      </c>
      <c r="AC126" s="9">
        <v>248.2234</v>
      </c>
      <c r="AD126" s="9">
        <v>192.77199999999999</v>
      </c>
      <c r="AE126" s="9">
        <v>106.2038</v>
      </c>
      <c r="AF126" s="9"/>
      <c r="AG126" s="9">
        <f t="shared" si="30"/>
        <v>0</v>
      </c>
      <c r="AH126" t="s">
        <v>290</v>
      </c>
      <c r="AI126">
        <f>VLOOKUP(AH126,[1]Sheet!$AK:$AM,3,0)</f>
        <v>0</v>
      </c>
    </row>
    <row r="127" spans="1:35" hidden="1" x14ac:dyDescent="0.25">
      <c r="A127" s="9" t="s">
        <v>291</v>
      </c>
      <c r="B127" s="9" t="s">
        <v>46</v>
      </c>
      <c r="C127" s="9">
        <v>2</v>
      </c>
      <c r="D127" s="9"/>
      <c r="E127" s="9"/>
      <c r="F127" s="9">
        <v>2</v>
      </c>
      <c r="G127" s="6">
        <v>0.25</v>
      </c>
      <c r="H127" s="9"/>
      <c r="I127" s="8" t="s">
        <v>82</v>
      </c>
      <c r="J127" s="9"/>
      <c r="K127" s="9">
        <v>10</v>
      </c>
      <c r="L127" s="9">
        <f t="shared" si="26"/>
        <v>-10</v>
      </c>
      <c r="M127" s="9"/>
      <c r="N127" s="9"/>
      <c r="O127" s="9">
        <v>200</v>
      </c>
      <c r="P127" s="9"/>
      <c r="Q127" s="9">
        <f t="shared" si="27"/>
        <v>0</v>
      </c>
      <c r="R127" s="4">
        <v>200</v>
      </c>
      <c r="S127" s="4">
        <f>R127</f>
        <v>200</v>
      </c>
      <c r="T127" s="9" t="e">
        <f t="shared" si="28"/>
        <v>#DIV/0!</v>
      </c>
      <c r="U127" s="9" t="e">
        <f t="shared" si="29"/>
        <v>#DIV/0!</v>
      </c>
      <c r="V127" s="9">
        <v>0</v>
      </c>
      <c r="W127" s="9">
        <v>23.2</v>
      </c>
      <c r="X127" s="9">
        <v>40.4</v>
      </c>
      <c r="Y127" s="9">
        <v>17.2</v>
      </c>
      <c r="Z127" s="9">
        <v>0</v>
      </c>
      <c r="AA127" s="9">
        <v>0</v>
      </c>
      <c r="AB127" s="9">
        <v>0</v>
      </c>
      <c r="AC127" s="9">
        <v>0</v>
      </c>
      <c r="AD127" s="9">
        <v>0</v>
      </c>
      <c r="AE127" s="9">
        <v>0</v>
      </c>
      <c r="AF127" s="9" t="s">
        <v>292</v>
      </c>
      <c r="AG127" s="9">
        <f t="shared" si="30"/>
        <v>50</v>
      </c>
      <c r="AH127" t="s">
        <v>293</v>
      </c>
      <c r="AI127">
        <f>VLOOKUP(AH127,[1]Sheet!$AK:$AM,3,0)</f>
        <v>0</v>
      </c>
    </row>
    <row r="128" spans="1:35" hidden="1" x14ac:dyDescent="0.25">
      <c r="A128" s="9" t="s">
        <v>294</v>
      </c>
      <c r="B128" s="9" t="s">
        <v>46</v>
      </c>
      <c r="C128" s="9">
        <v>-11</v>
      </c>
      <c r="D128" s="9">
        <v>15</v>
      </c>
      <c r="E128" s="9">
        <v>2</v>
      </c>
      <c r="F128" s="9">
        <v>2</v>
      </c>
      <c r="G128" s="6">
        <v>0.32500000000000001</v>
      </c>
      <c r="H128" s="9"/>
      <c r="I128" s="8" t="s">
        <v>82</v>
      </c>
      <c r="J128" s="9"/>
      <c r="K128" s="9">
        <v>4</v>
      </c>
      <c r="L128" s="9">
        <f t="shared" si="26"/>
        <v>-2</v>
      </c>
      <c r="M128" s="9"/>
      <c r="N128" s="9"/>
      <c r="O128" s="9">
        <v>200</v>
      </c>
      <c r="P128" s="9"/>
      <c r="Q128" s="9">
        <f t="shared" si="27"/>
        <v>0.4</v>
      </c>
      <c r="R128" s="4">
        <v>200</v>
      </c>
      <c r="S128" s="4">
        <f>R128</f>
        <v>200</v>
      </c>
      <c r="T128" s="9">
        <f t="shared" si="28"/>
        <v>1005</v>
      </c>
      <c r="U128" s="9">
        <f t="shared" si="29"/>
        <v>505</v>
      </c>
      <c r="V128" s="9">
        <v>3.6</v>
      </c>
      <c r="W128" s="9">
        <v>24</v>
      </c>
      <c r="X128" s="9">
        <v>36.799999999999997</v>
      </c>
      <c r="Y128" s="9">
        <v>16</v>
      </c>
      <c r="Z128" s="9">
        <v>0</v>
      </c>
      <c r="AA128" s="9">
        <v>0</v>
      </c>
      <c r="AB128" s="9">
        <v>0</v>
      </c>
      <c r="AC128" s="9">
        <v>0</v>
      </c>
      <c r="AD128" s="9">
        <v>0</v>
      </c>
      <c r="AE128" s="9">
        <v>0</v>
      </c>
      <c r="AF128" s="9" t="s">
        <v>292</v>
      </c>
      <c r="AG128" s="9">
        <f t="shared" si="30"/>
        <v>65</v>
      </c>
      <c r="AH128" t="s">
        <v>295</v>
      </c>
      <c r="AI128">
        <f>VLOOKUP(AH128,[1]Sheet!$AK:$AM,3,0)</f>
        <v>0</v>
      </c>
    </row>
    <row r="129" spans="1:35" hidden="1" x14ac:dyDescent="0.25">
      <c r="A129" s="9" t="s">
        <v>296</v>
      </c>
      <c r="B129" s="9" t="s">
        <v>46</v>
      </c>
      <c r="C129" s="9">
        <v>8</v>
      </c>
      <c r="D129" s="9">
        <v>156</v>
      </c>
      <c r="E129" s="9">
        <v>2</v>
      </c>
      <c r="F129" s="9">
        <v>162</v>
      </c>
      <c r="G129" s="6">
        <v>0.25</v>
      </c>
      <c r="H129" s="9"/>
      <c r="I129" s="9" t="s">
        <v>39</v>
      </c>
      <c r="J129" s="9"/>
      <c r="K129" s="9">
        <v>9</v>
      </c>
      <c r="L129" s="9">
        <f t="shared" si="26"/>
        <v>-7</v>
      </c>
      <c r="M129" s="9"/>
      <c r="N129" s="9"/>
      <c r="O129" s="9">
        <v>0</v>
      </c>
      <c r="P129" s="9"/>
      <c r="Q129" s="9">
        <f t="shared" si="27"/>
        <v>0.4</v>
      </c>
      <c r="R129" s="4"/>
      <c r="S129" s="4">
        <f>R129</f>
        <v>0</v>
      </c>
      <c r="T129" s="9">
        <f t="shared" si="28"/>
        <v>405</v>
      </c>
      <c r="U129" s="9">
        <f t="shared" si="29"/>
        <v>405</v>
      </c>
      <c r="V129" s="9">
        <v>9.4</v>
      </c>
      <c r="W129" s="9">
        <v>29.8</v>
      </c>
      <c r="X129" s="9">
        <v>30.2</v>
      </c>
      <c r="Y129" s="9">
        <v>9.4</v>
      </c>
      <c r="Z129" s="9">
        <v>0</v>
      </c>
      <c r="AA129" s="9">
        <v>0</v>
      </c>
      <c r="AB129" s="9">
        <v>0</v>
      </c>
      <c r="AC129" s="9">
        <v>0</v>
      </c>
      <c r="AD129" s="9">
        <v>0</v>
      </c>
      <c r="AE129" s="9">
        <v>0</v>
      </c>
      <c r="AF129" s="16" t="s">
        <v>297</v>
      </c>
      <c r="AG129" s="9">
        <f t="shared" si="30"/>
        <v>0</v>
      </c>
      <c r="AH129" t="s">
        <v>298</v>
      </c>
      <c r="AI129">
        <f>VLOOKUP(AH129,[1]Sheet!$AK:$AM,3,0)</f>
        <v>0</v>
      </c>
    </row>
    <row r="130" spans="1:35" hidden="1" x14ac:dyDescent="0.25">
      <c r="A130" s="9" t="s">
        <v>299</v>
      </c>
      <c r="B130" s="9" t="s">
        <v>46</v>
      </c>
      <c r="C130" s="9">
        <v>334</v>
      </c>
      <c r="D130" s="9">
        <v>614</v>
      </c>
      <c r="E130" s="9">
        <v>546</v>
      </c>
      <c r="F130" s="9">
        <v>334</v>
      </c>
      <c r="G130" s="6">
        <v>0.3</v>
      </c>
      <c r="H130" s="9">
        <v>40</v>
      </c>
      <c r="I130" s="9" t="s">
        <v>39</v>
      </c>
      <c r="J130" s="9"/>
      <c r="K130" s="9">
        <v>570</v>
      </c>
      <c r="L130" s="9">
        <f t="shared" si="26"/>
        <v>-24</v>
      </c>
      <c r="M130" s="9"/>
      <c r="N130" s="9"/>
      <c r="O130" s="9">
        <v>563.4</v>
      </c>
      <c r="P130" s="9"/>
      <c r="Q130" s="9">
        <f t="shared" si="27"/>
        <v>109.2</v>
      </c>
      <c r="R130" s="4">
        <f>12*Q130-O130-F130</f>
        <v>413.00000000000011</v>
      </c>
      <c r="S130" s="4">
        <f>R130+$S$1*Q130</f>
        <v>370.95800000000008</v>
      </c>
      <c r="T130" s="9">
        <f t="shared" si="28"/>
        <v>12</v>
      </c>
      <c r="U130" s="9">
        <f t="shared" si="29"/>
        <v>8.2179487179487172</v>
      </c>
      <c r="V130" s="9">
        <v>112</v>
      </c>
      <c r="W130" s="9">
        <v>42.2</v>
      </c>
      <c r="X130" s="9">
        <v>25.4</v>
      </c>
      <c r="Y130" s="9">
        <v>82.8</v>
      </c>
      <c r="Z130" s="9">
        <v>98.6</v>
      </c>
      <c r="AA130" s="9">
        <v>83.8</v>
      </c>
      <c r="AB130" s="9">
        <v>69</v>
      </c>
      <c r="AC130" s="9">
        <v>67.8</v>
      </c>
      <c r="AD130" s="9">
        <v>71.400000000000006</v>
      </c>
      <c r="AE130" s="9">
        <v>66.400000000000006</v>
      </c>
      <c r="AF130" s="9"/>
      <c r="AG130" s="9">
        <f t="shared" si="30"/>
        <v>111</v>
      </c>
      <c r="AH130" t="s">
        <v>300</v>
      </c>
      <c r="AI130">
        <f>VLOOKUP(AH130,[1]Sheet!$AK:$AM,3,0)</f>
        <v>0</v>
      </c>
    </row>
    <row r="131" spans="1:35" hidden="1" x14ac:dyDescent="0.25">
      <c r="A131" s="9" t="s">
        <v>301</v>
      </c>
      <c r="B131" s="9" t="s">
        <v>46</v>
      </c>
      <c r="C131" s="9">
        <v>138</v>
      </c>
      <c r="D131" s="9">
        <v>2</v>
      </c>
      <c r="E131" s="9">
        <v>122</v>
      </c>
      <c r="F131" s="9">
        <v>-1</v>
      </c>
      <c r="G131" s="6">
        <v>0.3</v>
      </c>
      <c r="H131" s="9">
        <v>40</v>
      </c>
      <c r="I131" s="8" t="s">
        <v>82</v>
      </c>
      <c r="J131" s="9"/>
      <c r="K131" s="9">
        <v>184</v>
      </c>
      <c r="L131" s="9">
        <f t="shared" si="26"/>
        <v>-62</v>
      </c>
      <c r="M131" s="9"/>
      <c r="N131" s="9"/>
      <c r="O131" s="9">
        <v>150</v>
      </c>
      <c r="P131" s="9"/>
      <c r="Q131" s="9">
        <f t="shared" si="27"/>
        <v>24.4</v>
      </c>
      <c r="R131" s="4">
        <f>12*Q131-O131-F131</f>
        <v>143.79999999999995</v>
      </c>
      <c r="S131" s="4">
        <f t="shared" ref="S131:S136" si="31">R131</f>
        <v>143.79999999999995</v>
      </c>
      <c r="T131" s="9">
        <f t="shared" si="28"/>
        <v>11.999999999999998</v>
      </c>
      <c r="U131" s="9">
        <f t="shared" si="29"/>
        <v>6.1065573770491808</v>
      </c>
      <c r="V131" s="9">
        <v>53.6</v>
      </c>
      <c r="W131" s="9">
        <v>89.4</v>
      </c>
      <c r="X131" s="9">
        <v>93</v>
      </c>
      <c r="Y131" s="9">
        <v>65.8</v>
      </c>
      <c r="Z131" s="9">
        <v>68.400000000000006</v>
      </c>
      <c r="AA131" s="9">
        <v>71</v>
      </c>
      <c r="AB131" s="9">
        <v>56</v>
      </c>
      <c r="AC131" s="9">
        <v>55.2</v>
      </c>
      <c r="AD131" s="9">
        <v>59.2</v>
      </c>
      <c r="AE131" s="9">
        <v>57</v>
      </c>
      <c r="AF131" s="9"/>
      <c r="AG131" s="9">
        <f t="shared" si="30"/>
        <v>43</v>
      </c>
      <c r="AH131" t="s">
        <v>302</v>
      </c>
      <c r="AI131">
        <f>VLOOKUP(AH131,[1]Sheet!$AK:$AM,3,0)</f>
        <v>0</v>
      </c>
    </row>
    <row r="132" spans="1:35" hidden="1" x14ac:dyDescent="0.25">
      <c r="A132" s="9" t="s">
        <v>303</v>
      </c>
      <c r="B132" s="9" t="s">
        <v>38</v>
      </c>
      <c r="C132" s="9">
        <v>403.97699999999998</v>
      </c>
      <c r="D132" s="9">
        <v>216.17400000000001</v>
      </c>
      <c r="E132" s="9">
        <v>244.126</v>
      </c>
      <c r="F132" s="9">
        <v>351.53399999999999</v>
      </c>
      <c r="G132" s="6">
        <v>1</v>
      </c>
      <c r="H132" s="9">
        <v>50</v>
      </c>
      <c r="I132" s="9" t="s">
        <v>39</v>
      </c>
      <c r="J132" s="9"/>
      <c r="K132" s="9">
        <v>243</v>
      </c>
      <c r="L132" s="9">
        <f t="shared" si="26"/>
        <v>1.1260000000000048</v>
      </c>
      <c r="M132" s="9"/>
      <c r="N132" s="9"/>
      <c r="O132" s="9">
        <v>40.620000000000118</v>
      </c>
      <c r="P132" s="9"/>
      <c r="Q132" s="9">
        <f t="shared" si="27"/>
        <v>48.825200000000002</v>
      </c>
      <c r="R132" s="4">
        <f>12*Q132-O132-F132</f>
        <v>193.74839999999995</v>
      </c>
      <c r="S132" s="4">
        <f t="shared" si="31"/>
        <v>193.74839999999995</v>
      </c>
      <c r="T132" s="9">
        <f t="shared" si="28"/>
        <v>12</v>
      </c>
      <c r="U132" s="9">
        <f t="shared" si="29"/>
        <v>8.0317950566510756</v>
      </c>
      <c r="V132" s="9">
        <v>45.4114</v>
      </c>
      <c r="W132" s="9">
        <v>53.256399999999999</v>
      </c>
      <c r="X132" s="9">
        <v>58.144799999999996</v>
      </c>
      <c r="Y132" s="9">
        <v>62.955399999999997</v>
      </c>
      <c r="Z132" s="9">
        <v>66.096400000000003</v>
      </c>
      <c r="AA132" s="9">
        <v>58.156999999999996</v>
      </c>
      <c r="AB132" s="9">
        <v>49.684600000000003</v>
      </c>
      <c r="AC132" s="9">
        <v>52.064</v>
      </c>
      <c r="AD132" s="9">
        <v>54.797600000000003</v>
      </c>
      <c r="AE132" s="9">
        <v>47.229799999999997</v>
      </c>
      <c r="AF132" s="9"/>
      <c r="AG132" s="9">
        <f t="shared" si="30"/>
        <v>194</v>
      </c>
      <c r="AH132" t="s">
        <v>304</v>
      </c>
      <c r="AI132">
        <f>VLOOKUP(AH132,[1]Sheet!$AK:$AM,3,0)</f>
        <v>0</v>
      </c>
    </row>
    <row r="133" spans="1:35" hidden="1" x14ac:dyDescent="0.25">
      <c r="A133" s="9" t="s">
        <v>305</v>
      </c>
      <c r="B133" s="9" t="s">
        <v>46</v>
      </c>
      <c r="C133" s="9">
        <v>143</v>
      </c>
      <c r="D133" s="9">
        <v>204</v>
      </c>
      <c r="E133" s="9">
        <v>129</v>
      </c>
      <c r="F133" s="9">
        <v>180</v>
      </c>
      <c r="G133" s="6">
        <v>0.3</v>
      </c>
      <c r="H133" s="9">
        <v>40</v>
      </c>
      <c r="I133" s="8" t="s">
        <v>82</v>
      </c>
      <c r="J133" s="9"/>
      <c r="K133" s="9">
        <v>252</v>
      </c>
      <c r="L133" s="9">
        <f t="shared" si="26"/>
        <v>-123</v>
      </c>
      <c r="M133" s="9"/>
      <c r="N133" s="9"/>
      <c r="O133" s="9">
        <v>200</v>
      </c>
      <c r="P133" s="9"/>
      <c r="Q133" s="9">
        <f t="shared" si="27"/>
        <v>25.8</v>
      </c>
      <c r="R133" s="4">
        <v>50</v>
      </c>
      <c r="S133" s="4">
        <f t="shared" si="31"/>
        <v>50</v>
      </c>
      <c r="T133" s="9">
        <f t="shared" si="28"/>
        <v>16.666666666666668</v>
      </c>
      <c r="U133" s="9">
        <f t="shared" si="29"/>
        <v>14.728682170542635</v>
      </c>
      <c r="V133" s="9">
        <v>48.8</v>
      </c>
      <c r="W133" s="9">
        <v>63.2</v>
      </c>
      <c r="X133" s="9">
        <v>63.4</v>
      </c>
      <c r="Y133" s="9">
        <v>55</v>
      </c>
      <c r="Z133" s="9">
        <v>46.8</v>
      </c>
      <c r="AA133" s="9">
        <v>58.4</v>
      </c>
      <c r="AB133" s="9">
        <v>57.6</v>
      </c>
      <c r="AC133" s="9">
        <v>44.2</v>
      </c>
      <c r="AD133" s="9">
        <v>51.6</v>
      </c>
      <c r="AE133" s="9">
        <v>59.6</v>
      </c>
      <c r="AF133" s="9"/>
      <c r="AG133" s="9">
        <f t="shared" si="30"/>
        <v>15</v>
      </c>
      <c r="AH133" t="s">
        <v>306</v>
      </c>
      <c r="AI133">
        <f>VLOOKUP(AH133,[1]Sheet!$AK:$AM,3,0)</f>
        <v>0</v>
      </c>
    </row>
    <row r="134" spans="1:35" hidden="1" x14ac:dyDescent="0.25">
      <c r="A134" s="9" t="s">
        <v>307</v>
      </c>
      <c r="B134" s="9" t="s">
        <v>46</v>
      </c>
      <c r="C134" s="9">
        <v>23</v>
      </c>
      <c r="D134" s="9">
        <v>90</v>
      </c>
      <c r="E134" s="9">
        <v>58</v>
      </c>
      <c r="F134" s="9">
        <v>53</v>
      </c>
      <c r="G134" s="6">
        <v>0.12</v>
      </c>
      <c r="H134" s="9">
        <v>45</v>
      </c>
      <c r="I134" s="8" t="s">
        <v>82</v>
      </c>
      <c r="J134" s="9"/>
      <c r="K134" s="9">
        <v>70</v>
      </c>
      <c r="L134" s="9">
        <f t="shared" ref="L134:L136" si="32">E134-K134</f>
        <v>-12</v>
      </c>
      <c r="M134" s="9"/>
      <c r="N134" s="9"/>
      <c r="O134" s="9">
        <v>80.100000000000023</v>
      </c>
      <c r="P134" s="9"/>
      <c r="Q134" s="9">
        <f t="shared" si="27"/>
        <v>11.6</v>
      </c>
      <c r="R134" s="4">
        <v>20</v>
      </c>
      <c r="S134" s="4">
        <f t="shared" si="31"/>
        <v>20</v>
      </c>
      <c r="T134" s="9">
        <f t="shared" si="28"/>
        <v>13.198275862068968</v>
      </c>
      <c r="U134" s="9">
        <f t="shared" si="29"/>
        <v>11.474137931034486</v>
      </c>
      <c r="V134" s="9">
        <v>13.4</v>
      </c>
      <c r="W134" s="9">
        <v>14.2</v>
      </c>
      <c r="X134" s="9">
        <v>11.8</v>
      </c>
      <c r="Y134" s="9">
        <v>8</v>
      </c>
      <c r="Z134" s="9">
        <v>6.8</v>
      </c>
      <c r="AA134" s="9">
        <v>10.199999999999999</v>
      </c>
      <c r="AB134" s="9">
        <v>11.4</v>
      </c>
      <c r="AC134" s="9">
        <v>5.6</v>
      </c>
      <c r="AD134" s="9">
        <v>5.6</v>
      </c>
      <c r="AE134" s="9">
        <v>9.8000000000000007</v>
      </c>
      <c r="AF134" s="9"/>
      <c r="AG134" s="9">
        <f t="shared" si="30"/>
        <v>2</v>
      </c>
      <c r="AH134" t="s">
        <v>308</v>
      </c>
      <c r="AI134">
        <f>VLOOKUP(AH134,[1]Sheet!$AK:$AM,3,0)</f>
        <v>0</v>
      </c>
    </row>
    <row r="135" spans="1:35" hidden="1" x14ac:dyDescent="0.25">
      <c r="A135" s="10" t="s">
        <v>309</v>
      </c>
      <c r="B135" s="10" t="s">
        <v>38</v>
      </c>
      <c r="C135" s="10"/>
      <c r="D135" s="10">
        <v>1.37</v>
      </c>
      <c r="E135" s="10">
        <v>1.37</v>
      </c>
      <c r="F135" s="10"/>
      <c r="G135" s="11">
        <v>0</v>
      </c>
      <c r="H135" s="10"/>
      <c r="I135" s="10" t="s">
        <v>310</v>
      </c>
      <c r="J135" s="10"/>
      <c r="K135" s="10">
        <v>1.3</v>
      </c>
      <c r="L135" s="10">
        <f t="shared" si="32"/>
        <v>7.0000000000000062E-2</v>
      </c>
      <c r="M135" s="10"/>
      <c r="N135" s="10"/>
      <c r="O135" s="10">
        <v>0</v>
      </c>
      <c r="P135" s="10"/>
      <c r="Q135" s="10">
        <f t="shared" si="27"/>
        <v>0.27400000000000002</v>
      </c>
      <c r="R135" s="12"/>
      <c r="S135" s="4">
        <f t="shared" si="31"/>
        <v>0</v>
      </c>
      <c r="T135" s="10">
        <f t="shared" si="28"/>
        <v>0</v>
      </c>
      <c r="U135" s="10">
        <f t="shared" si="29"/>
        <v>0</v>
      </c>
      <c r="V135" s="10">
        <v>0.27400000000000002</v>
      </c>
      <c r="W135" s="10">
        <v>0</v>
      </c>
      <c r="X135" s="10">
        <v>0</v>
      </c>
      <c r="Y135" s="10">
        <v>0</v>
      </c>
      <c r="Z135" s="10">
        <v>0</v>
      </c>
      <c r="AA135" s="10">
        <v>0</v>
      </c>
      <c r="AB135" s="10">
        <v>0</v>
      </c>
      <c r="AC135" s="10">
        <v>0</v>
      </c>
      <c r="AD135" s="10">
        <v>0</v>
      </c>
      <c r="AE135" s="10">
        <v>0</v>
      </c>
      <c r="AF135" s="10"/>
      <c r="AG135" s="9">
        <f t="shared" si="30"/>
        <v>0</v>
      </c>
      <c r="AI135" t="e">
        <f>VLOOKUP(AH135,[1]Sheet!$AK:$AM,3,0)</f>
        <v>#N/A</v>
      </c>
    </row>
    <row r="136" spans="1:35" hidden="1" x14ac:dyDescent="0.25">
      <c r="A136" s="10" t="s">
        <v>311</v>
      </c>
      <c r="B136" s="10" t="s">
        <v>46</v>
      </c>
      <c r="C136" s="10">
        <v>15</v>
      </c>
      <c r="D136" s="10">
        <v>4</v>
      </c>
      <c r="E136" s="10"/>
      <c r="F136" s="10"/>
      <c r="G136" s="11">
        <v>0</v>
      </c>
      <c r="H136" s="10"/>
      <c r="I136" s="10" t="s">
        <v>312</v>
      </c>
      <c r="J136" s="10" t="s">
        <v>294</v>
      </c>
      <c r="K136" s="10">
        <v>1</v>
      </c>
      <c r="L136" s="10">
        <f t="shared" si="32"/>
        <v>-1</v>
      </c>
      <c r="M136" s="10"/>
      <c r="N136" s="10"/>
      <c r="O136" s="10">
        <v>0</v>
      </c>
      <c r="P136" s="10"/>
      <c r="Q136" s="10">
        <f t="shared" si="27"/>
        <v>0</v>
      </c>
      <c r="R136" s="12"/>
      <c r="S136" s="4">
        <f t="shared" si="31"/>
        <v>0</v>
      </c>
      <c r="T136" s="10" t="e">
        <f t="shared" si="28"/>
        <v>#DIV/0!</v>
      </c>
      <c r="U136" s="10" t="e">
        <f t="shared" si="29"/>
        <v>#DIV/0!</v>
      </c>
      <c r="V136" s="10">
        <v>0</v>
      </c>
      <c r="W136" s="10">
        <v>1</v>
      </c>
      <c r="X136" s="10">
        <v>1</v>
      </c>
      <c r="Y136" s="10">
        <v>0</v>
      </c>
      <c r="Z136" s="10">
        <v>0</v>
      </c>
      <c r="AA136" s="10">
        <v>0</v>
      </c>
      <c r="AB136" s="10">
        <v>0</v>
      </c>
      <c r="AC136" s="10">
        <v>0</v>
      </c>
      <c r="AD136" s="10">
        <v>0</v>
      </c>
      <c r="AE136" s="10">
        <v>0</v>
      </c>
      <c r="AF136" s="10"/>
      <c r="AG136" s="9">
        <f t="shared" si="30"/>
        <v>0</v>
      </c>
      <c r="AI136" t="e">
        <f>VLOOKUP(AH136,[1]Sheet!$AK:$AM,3,0)</f>
        <v>#N/A</v>
      </c>
    </row>
    <row r="137" spans="1:35" x14ac:dyDescent="0.25">
      <c r="A137" s="9"/>
      <c r="B137" s="9"/>
      <c r="C137" s="9"/>
      <c r="D137" s="9"/>
      <c r="E137" s="9"/>
      <c r="F137" s="9"/>
      <c r="G137" s="6"/>
      <c r="H137" s="9"/>
      <c r="I137" s="9"/>
      <c r="J137" s="9"/>
      <c r="K137" s="9"/>
      <c r="L137" s="9"/>
      <c r="M137" s="9"/>
      <c r="N137" s="9"/>
      <c r="O137" s="9"/>
      <c r="P137" s="18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</row>
    <row r="138" spans="1:35" x14ac:dyDescent="0.25">
      <c r="A138" s="9"/>
      <c r="B138" s="9"/>
      <c r="C138" s="9"/>
      <c r="D138" s="9"/>
      <c r="E138" s="9"/>
      <c r="F138" s="9"/>
      <c r="G138" s="6"/>
      <c r="H138" s="9"/>
      <c r="I138" s="9"/>
      <c r="J138" s="9"/>
      <c r="K138" s="9"/>
      <c r="L138" s="9"/>
      <c r="M138" s="9"/>
      <c r="N138" s="9"/>
      <c r="O138" s="9"/>
      <c r="P138" s="18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</row>
    <row r="139" spans="1:35" x14ac:dyDescent="0.25">
      <c r="A139" s="9"/>
      <c r="B139" s="9"/>
      <c r="C139" s="9"/>
      <c r="D139" s="9"/>
      <c r="E139" s="9"/>
      <c r="F139" s="9"/>
      <c r="G139" s="6"/>
      <c r="H139" s="9"/>
      <c r="I139" s="9"/>
      <c r="J139" s="9"/>
      <c r="K139" s="9"/>
      <c r="L139" s="9"/>
      <c r="M139" s="9"/>
      <c r="N139" s="9"/>
      <c r="O139" s="9"/>
      <c r="P139" s="18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</row>
    <row r="140" spans="1:35" x14ac:dyDescent="0.25">
      <c r="A140" s="9"/>
      <c r="B140" s="9"/>
      <c r="C140" s="9"/>
      <c r="D140" s="9"/>
      <c r="E140" s="9"/>
      <c r="F140" s="9"/>
      <c r="G140" s="6"/>
      <c r="H140" s="9"/>
      <c r="I140" s="9"/>
      <c r="J140" s="9"/>
      <c r="K140" s="9"/>
      <c r="L140" s="9"/>
      <c r="M140" s="9"/>
      <c r="N140" s="9"/>
      <c r="O140" s="9"/>
      <c r="P140" s="18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</row>
    <row r="141" spans="1:35" x14ac:dyDescent="0.25">
      <c r="A141" s="9"/>
      <c r="B141" s="9"/>
      <c r="C141" s="9"/>
      <c r="D141" s="9"/>
      <c r="E141" s="9"/>
      <c r="F141" s="9"/>
      <c r="G141" s="6"/>
      <c r="H141" s="9"/>
      <c r="I141" s="9"/>
      <c r="J141" s="9"/>
      <c r="K141" s="9"/>
      <c r="L141" s="9"/>
      <c r="M141" s="9"/>
      <c r="N141" s="9"/>
      <c r="O141" s="9"/>
      <c r="P141" s="18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</row>
    <row r="142" spans="1:35" x14ac:dyDescent="0.25">
      <c r="A142" s="9"/>
      <c r="B142" s="9"/>
      <c r="C142" s="9"/>
      <c r="D142" s="9"/>
      <c r="E142" s="9"/>
      <c r="F142" s="9"/>
      <c r="G142" s="6"/>
      <c r="H142" s="9"/>
      <c r="I142" s="9"/>
      <c r="J142" s="9"/>
      <c r="K142" s="9"/>
      <c r="L142" s="9"/>
      <c r="M142" s="9"/>
      <c r="N142" s="9"/>
      <c r="O142" s="9"/>
      <c r="P142" s="18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</row>
    <row r="143" spans="1:35" x14ac:dyDescent="0.25">
      <c r="A143" s="9"/>
      <c r="B143" s="9"/>
      <c r="C143" s="9"/>
      <c r="D143" s="9"/>
      <c r="E143" s="9"/>
      <c r="F143" s="9"/>
      <c r="G143" s="6"/>
      <c r="H143" s="9"/>
      <c r="I143" s="9"/>
      <c r="J143" s="9"/>
      <c r="K143" s="9"/>
      <c r="L143" s="9"/>
      <c r="M143" s="9"/>
      <c r="N143" s="9"/>
      <c r="O143" s="9"/>
      <c r="P143" s="18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</row>
    <row r="144" spans="1:35" x14ac:dyDescent="0.25">
      <c r="A144" s="9"/>
      <c r="B144" s="9"/>
      <c r="C144" s="9"/>
      <c r="D144" s="9"/>
      <c r="E144" s="9"/>
      <c r="F144" s="9"/>
      <c r="G144" s="6"/>
      <c r="H144" s="9"/>
      <c r="I144" s="9"/>
      <c r="J144" s="9"/>
      <c r="K144" s="9"/>
      <c r="L144" s="9"/>
      <c r="M144" s="9"/>
      <c r="N144" s="9"/>
      <c r="O144" s="9"/>
      <c r="P144" s="18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</row>
    <row r="145" spans="1:33" x14ac:dyDescent="0.25">
      <c r="A145" s="9"/>
      <c r="B145" s="9"/>
      <c r="C145" s="9"/>
      <c r="D145" s="9"/>
      <c r="E145" s="9"/>
      <c r="F145" s="9"/>
      <c r="G145" s="6"/>
      <c r="H145" s="9"/>
      <c r="I145" s="9"/>
      <c r="J145" s="9"/>
      <c r="K145" s="9"/>
      <c r="L145" s="9"/>
      <c r="M145" s="9"/>
      <c r="N145" s="9"/>
      <c r="O145" s="9"/>
      <c r="P145" s="18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</row>
    <row r="146" spans="1:33" x14ac:dyDescent="0.25">
      <c r="A146" s="9"/>
      <c r="B146" s="9"/>
      <c r="C146" s="9"/>
      <c r="D146" s="9"/>
      <c r="E146" s="9"/>
      <c r="F146" s="9"/>
      <c r="G146" s="6"/>
      <c r="H146" s="9"/>
      <c r="I146" s="9"/>
      <c r="J146" s="9"/>
      <c r="K146" s="9"/>
      <c r="L146" s="9"/>
      <c r="M146" s="9"/>
      <c r="N146" s="9"/>
      <c r="O146" s="9"/>
      <c r="P146" s="18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</row>
    <row r="147" spans="1:33" x14ac:dyDescent="0.25">
      <c r="A147" s="9"/>
      <c r="B147" s="9"/>
      <c r="C147" s="9"/>
      <c r="D147" s="9"/>
      <c r="E147" s="9"/>
      <c r="F147" s="9"/>
      <c r="G147" s="6"/>
      <c r="H147" s="9"/>
      <c r="I147" s="9"/>
      <c r="J147" s="9"/>
      <c r="K147" s="9"/>
      <c r="L147" s="9"/>
      <c r="M147" s="9"/>
      <c r="N147" s="9"/>
      <c r="O147" s="9"/>
      <c r="P147" s="18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</row>
    <row r="148" spans="1:33" x14ac:dyDescent="0.25">
      <c r="A148" s="9"/>
      <c r="B148" s="9"/>
      <c r="C148" s="9"/>
      <c r="D148" s="9"/>
      <c r="E148" s="9"/>
      <c r="F148" s="9"/>
      <c r="G148" s="6"/>
      <c r="H148" s="9"/>
      <c r="I148" s="9"/>
      <c r="J148" s="9"/>
      <c r="K148" s="9"/>
      <c r="L148" s="9"/>
      <c r="M148" s="9"/>
      <c r="N148" s="9"/>
      <c r="O148" s="9"/>
      <c r="P148" s="18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</row>
    <row r="149" spans="1:33" x14ac:dyDescent="0.25">
      <c r="A149" s="9"/>
      <c r="B149" s="9"/>
      <c r="C149" s="9"/>
      <c r="D149" s="9"/>
      <c r="E149" s="9"/>
      <c r="F149" s="9"/>
      <c r="G149" s="6"/>
      <c r="H149" s="9"/>
      <c r="I149" s="9"/>
      <c r="J149" s="9"/>
      <c r="K149" s="9"/>
      <c r="L149" s="9"/>
      <c r="M149" s="9"/>
      <c r="N149" s="9"/>
      <c r="O149" s="9"/>
      <c r="P149" s="18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</row>
    <row r="150" spans="1:33" x14ac:dyDescent="0.25">
      <c r="A150" s="9"/>
      <c r="B150" s="9"/>
      <c r="C150" s="9"/>
      <c r="D150" s="9"/>
      <c r="E150" s="9"/>
      <c r="F150" s="9"/>
      <c r="G150" s="6"/>
      <c r="H150" s="9"/>
      <c r="I150" s="9"/>
      <c r="J150" s="9"/>
      <c r="K150" s="9"/>
      <c r="L150" s="9"/>
      <c r="M150" s="9"/>
      <c r="N150" s="9"/>
      <c r="O150" s="9"/>
      <c r="P150" s="18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</row>
    <row r="151" spans="1:33" x14ac:dyDescent="0.25">
      <c r="A151" s="9"/>
      <c r="B151" s="9"/>
      <c r="C151" s="9"/>
      <c r="D151" s="9"/>
      <c r="E151" s="9"/>
      <c r="F151" s="9"/>
      <c r="G151" s="6"/>
      <c r="H151" s="9"/>
      <c r="I151" s="9"/>
      <c r="J151" s="9"/>
      <c r="K151" s="9"/>
      <c r="L151" s="9"/>
      <c r="M151" s="9"/>
      <c r="N151" s="9"/>
      <c r="O151" s="9"/>
      <c r="P151" s="18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</row>
    <row r="152" spans="1:33" x14ac:dyDescent="0.25">
      <c r="A152" s="9"/>
      <c r="B152" s="9"/>
      <c r="C152" s="9"/>
      <c r="D152" s="9"/>
      <c r="E152" s="9"/>
      <c r="F152" s="9"/>
      <c r="G152" s="6"/>
      <c r="H152" s="9"/>
      <c r="I152" s="9"/>
      <c r="J152" s="9"/>
      <c r="K152" s="9"/>
      <c r="L152" s="9"/>
      <c r="M152" s="9"/>
      <c r="N152" s="9"/>
      <c r="O152" s="9"/>
      <c r="P152" s="18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</row>
    <row r="153" spans="1:33" x14ac:dyDescent="0.25">
      <c r="A153" s="9"/>
      <c r="B153" s="9"/>
      <c r="C153" s="9"/>
      <c r="D153" s="9"/>
      <c r="E153" s="9"/>
      <c r="F153" s="9"/>
      <c r="G153" s="6"/>
      <c r="H153" s="9"/>
      <c r="I153" s="9"/>
      <c r="J153" s="9"/>
      <c r="K153" s="9"/>
      <c r="L153" s="9"/>
      <c r="M153" s="9"/>
      <c r="N153" s="9"/>
      <c r="O153" s="9"/>
      <c r="P153" s="18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</row>
    <row r="154" spans="1:33" x14ac:dyDescent="0.25">
      <c r="A154" s="9"/>
      <c r="B154" s="9"/>
      <c r="C154" s="9"/>
      <c r="D154" s="9"/>
      <c r="E154" s="9"/>
      <c r="F154" s="9"/>
      <c r="G154" s="6"/>
      <c r="H154" s="9"/>
      <c r="I154" s="9"/>
      <c r="J154" s="9"/>
      <c r="K154" s="9"/>
      <c r="L154" s="9"/>
      <c r="M154" s="9"/>
      <c r="N154" s="9"/>
      <c r="O154" s="9"/>
      <c r="P154" s="18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</row>
    <row r="155" spans="1:33" x14ac:dyDescent="0.25">
      <c r="A155" s="9"/>
      <c r="B155" s="9"/>
      <c r="C155" s="9"/>
      <c r="D155" s="9"/>
      <c r="E155" s="9"/>
      <c r="F155" s="9"/>
      <c r="G155" s="6"/>
      <c r="H155" s="9"/>
      <c r="I155" s="9"/>
      <c r="J155" s="9"/>
      <c r="K155" s="9"/>
      <c r="L155" s="9"/>
      <c r="M155" s="9"/>
      <c r="N155" s="9"/>
      <c r="O155" s="9"/>
      <c r="P155" s="18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</row>
    <row r="156" spans="1:33" x14ac:dyDescent="0.25">
      <c r="A156" s="9"/>
      <c r="B156" s="9"/>
      <c r="C156" s="9"/>
      <c r="D156" s="9"/>
      <c r="E156" s="9"/>
      <c r="F156" s="9"/>
      <c r="G156" s="6"/>
      <c r="H156" s="9"/>
      <c r="I156" s="9"/>
      <c r="J156" s="9"/>
      <c r="K156" s="9"/>
      <c r="L156" s="9"/>
      <c r="M156" s="9"/>
      <c r="N156" s="9"/>
      <c r="O156" s="9"/>
      <c r="P156" s="18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</row>
    <row r="157" spans="1:33" x14ac:dyDescent="0.25">
      <c r="A157" s="9"/>
      <c r="B157" s="9"/>
      <c r="C157" s="9"/>
      <c r="D157" s="9"/>
      <c r="E157" s="9"/>
      <c r="F157" s="9"/>
      <c r="G157" s="6"/>
      <c r="H157" s="9"/>
      <c r="I157" s="9"/>
      <c r="J157" s="9"/>
      <c r="K157" s="9"/>
      <c r="L157" s="9"/>
      <c r="M157" s="9"/>
      <c r="N157" s="9"/>
      <c r="O157" s="9"/>
      <c r="P157" s="18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</row>
    <row r="158" spans="1:33" x14ac:dyDescent="0.25">
      <c r="A158" s="9"/>
      <c r="B158" s="9"/>
      <c r="C158" s="9"/>
      <c r="D158" s="9"/>
      <c r="E158" s="9"/>
      <c r="F158" s="9"/>
      <c r="G158" s="6"/>
      <c r="H158" s="9"/>
      <c r="I158" s="9"/>
      <c r="J158" s="9"/>
      <c r="K158" s="9"/>
      <c r="L158" s="9"/>
      <c r="M158" s="9"/>
      <c r="N158" s="9"/>
      <c r="O158" s="9"/>
      <c r="P158" s="18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</row>
    <row r="159" spans="1:33" x14ac:dyDescent="0.25">
      <c r="A159" s="9"/>
      <c r="B159" s="9"/>
      <c r="C159" s="9"/>
      <c r="D159" s="9"/>
      <c r="E159" s="9"/>
      <c r="F159" s="9"/>
      <c r="G159" s="6"/>
      <c r="H159" s="9"/>
      <c r="I159" s="9"/>
      <c r="J159" s="9"/>
      <c r="K159" s="9"/>
      <c r="L159" s="9"/>
      <c r="M159" s="9"/>
      <c r="N159" s="9"/>
      <c r="O159" s="9"/>
      <c r="P159" s="18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</row>
    <row r="160" spans="1:33" x14ac:dyDescent="0.25">
      <c r="A160" s="9"/>
      <c r="B160" s="9"/>
      <c r="C160" s="9"/>
      <c r="D160" s="9"/>
      <c r="E160" s="9"/>
      <c r="F160" s="9"/>
      <c r="G160" s="6"/>
      <c r="H160" s="9"/>
      <c r="I160" s="9"/>
      <c r="J160" s="9"/>
      <c r="K160" s="9"/>
      <c r="L160" s="9"/>
      <c r="M160" s="9"/>
      <c r="N160" s="9"/>
      <c r="O160" s="9"/>
      <c r="P160" s="18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</row>
    <row r="161" spans="1:33" x14ac:dyDescent="0.25">
      <c r="A161" s="9"/>
      <c r="B161" s="9"/>
      <c r="C161" s="9"/>
      <c r="D161" s="9"/>
      <c r="E161" s="9"/>
      <c r="F161" s="9"/>
      <c r="G161" s="6"/>
      <c r="H161" s="9"/>
      <c r="I161" s="9"/>
      <c r="J161" s="9"/>
      <c r="K161" s="9"/>
      <c r="L161" s="9"/>
      <c r="M161" s="9"/>
      <c r="N161" s="9"/>
      <c r="O161" s="9"/>
      <c r="P161" s="18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</row>
    <row r="162" spans="1:33" x14ac:dyDescent="0.25">
      <c r="A162" s="9"/>
      <c r="B162" s="9"/>
      <c r="C162" s="9"/>
      <c r="D162" s="9"/>
      <c r="E162" s="9"/>
      <c r="F162" s="9"/>
      <c r="G162" s="6"/>
      <c r="H162" s="9"/>
      <c r="I162" s="9"/>
      <c r="J162" s="9"/>
      <c r="K162" s="9"/>
      <c r="L162" s="9"/>
      <c r="M162" s="9"/>
      <c r="N162" s="9"/>
      <c r="O162" s="9"/>
      <c r="P162" s="18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</row>
    <row r="163" spans="1:33" x14ac:dyDescent="0.25">
      <c r="A163" s="9"/>
      <c r="B163" s="9"/>
      <c r="C163" s="9"/>
      <c r="D163" s="9"/>
      <c r="E163" s="9"/>
      <c r="F163" s="9"/>
      <c r="G163" s="6"/>
      <c r="H163" s="9"/>
      <c r="I163" s="9"/>
      <c r="J163" s="9"/>
      <c r="K163" s="9"/>
      <c r="L163" s="9"/>
      <c r="M163" s="9"/>
      <c r="N163" s="9"/>
      <c r="O163" s="9"/>
      <c r="P163" s="18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</row>
    <row r="164" spans="1:33" x14ac:dyDescent="0.25">
      <c r="A164" s="9"/>
      <c r="B164" s="9"/>
      <c r="C164" s="9"/>
      <c r="D164" s="9"/>
      <c r="E164" s="9"/>
      <c r="F164" s="9"/>
      <c r="G164" s="6"/>
      <c r="H164" s="9"/>
      <c r="I164" s="9"/>
      <c r="J164" s="9"/>
      <c r="K164" s="9"/>
      <c r="L164" s="9"/>
      <c r="M164" s="9"/>
      <c r="N164" s="9"/>
      <c r="O164" s="9"/>
      <c r="P164" s="18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</row>
    <row r="165" spans="1:33" x14ac:dyDescent="0.25">
      <c r="A165" s="9"/>
      <c r="B165" s="9"/>
      <c r="C165" s="9"/>
      <c r="D165" s="9"/>
      <c r="E165" s="9"/>
      <c r="F165" s="9"/>
      <c r="G165" s="6"/>
      <c r="H165" s="9"/>
      <c r="I165" s="9"/>
      <c r="J165" s="9"/>
      <c r="K165" s="9"/>
      <c r="L165" s="9"/>
      <c r="M165" s="9"/>
      <c r="N165" s="9"/>
      <c r="O165" s="9"/>
      <c r="P165" s="18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</row>
    <row r="166" spans="1:33" x14ac:dyDescent="0.25">
      <c r="A166" s="9"/>
      <c r="B166" s="9"/>
      <c r="C166" s="9"/>
      <c r="D166" s="9"/>
      <c r="E166" s="9"/>
      <c r="F166" s="9"/>
      <c r="G166" s="6"/>
      <c r="H166" s="9"/>
      <c r="I166" s="9"/>
      <c r="J166" s="9"/>
      <c r="K166" s="9"/>
      <c r="L166" s="9"/>
      <c r="M166" s="9"/>
      <c r="N166" s="9"/>
      <c r="O166" s="9"/>
      <c r="P166" s="18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</row>
    <row r="167" spans="1:33" x14ac:dyDescent="0.25">
      <c r="A167" s="9"/>
      <c r="B167" s="9"/>
      <c r="C167" s="9"/>
      <c r="D167" s="9"/>
      <c r="E167" s="9"/>
      <c r="F167" s="9"/>
      <c r="G167" s="6"/>
      <c r="H167" s="9"/>
      <c r="I167" s="9"/>
      <c r="J167" s="9"/>
      <c r="K167" s="9"/>
      <c r="L167" s="9"/>
      <c r="M167" s="9"/>
      <c r="N167" s="9"/>
      <c r="O167" s="9"/>
      <c r="P167" s="18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</row>
    <row r="168" spans="1:33" x14ac:dyDescent="0.25">
      <c r="A168" s="9"/>
      <c r="B168" s="9"/>
      <c r="C168" s="9"/>
      <c r="D168" s="9"/>
      <c r="E168" s="9"/>
      <c r="F168" s="9"/>
      <c r="G168" s="6"/>
      <c r="H168" s="9"/>
      <c r="I168" s="9"/>
      <c r="J168" s="9"/>
      <c r="K168" s="9"/>
      <c r="L168" s="9"/>
      <c r="M168" s="9"/>
      <c r="N168" s="9"/>
      <c r="O168" s="9"/>
      <c r="P168" s="18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</row>
    <row r="169" spans="1:33" x14ac:dyDescent="0.25">
      <c r="A169" s="9"/>
      <c r="B169" s="9"/>
      <c r="C169" s="9"/>
      <c r="D169" s="9"/>
      <c r="E169" s="9"/>
      <c r="F169" s="9"/>
      <c r="G169" s="6"/>
      <c r="H169" s="9"/>
      <c r="I169" s="9"/>
      <c r="J169" s="9"/>
      <c r="K169" s="9"/>
      <c r="L169" s="9"/>
      <c r="M169" s="9"/>
      <c r="N169" s="9"/>
      <c r="O169" s="9"/>
      <c r="P169" s="18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</row>
    <row r="170" spans="1:33" x14ac:dyDescent="0.25">
      <c r="A170" s="9"/>
      <c r="B170" s="9"/>
      <c r="C170" s="9"/>
      <c r="D170" s="9"/>
      <c r="E170" s="9"/>
      <c r="F170" s="9"/>
      <c r="G170" s="6"/>
      <c r="H170" s="9"/>
      <c r="I170" s="9"/>
      <c r="J170" s="9"/>
      <c r="K170" s="9"/>
      <c r="L170" s="9"/>
      <c r="M170" s="9"/>
      <c r="N170" s="9"/>
      <c r="O170" s="9"/>
      <c r="P170" s="18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</row>
    <row r="171" spans="1:33" x14ac:dyDescent="0.25">
      <c r="A171" s="9"/>
      <c r="B171" s="9"/>
      <c r="C171" s="9"/>
      <c r="D171" s="9"/>
      <c r="E171" s="9"/>
      <c r="F171" s="9"/>
      <c r="G171" s="6"/>
      <c r="H171" s="9"/>
      <c r="I171" s="9"/>
      <c r="J171" s="9"/>
      <c r="K171" s="9"/>
      <c r="L171" s="9"/>
      <c r="M171" s="9"/>
      <c r="N171" s="9"/>
      <c r="O171" s="9"/>
      <c r="P171" s="18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</row>
    <row r="172" spans="1:33" x14ac:dyDescent="0.25">
      <c r="A172" s="9"/>
      <c r="B172" s="9"/>
      <c r="C172" s="9"/>
      <c r="D172" s="9"/>
      <c r="E172" s="9"/>
      <c r="F172" s="9"/>
      <c r="G172" s="6"/>
      <c r="H172" s="9"/>
      <c r="I172" s="9"/>
      <c r="J172" s="9"/>
      <c r="K172" s="9"/>
      <c r="L172" s="9"/>
      <c r="M172" s="9"/>
      <c r="N172" s="9"/>
      <c r="O172" s="9"/>
      <c r="P172" s="18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</row>
    <row r="173" spans="1:33" x14ac:dyDescent="0.25">
      <c r="A173" s="9"/>
      <c r="B173" s="9"/>
      <c r="C173" s="9"/>
      <c r="D173" s="9"/>
      <c r="E173" s="9"/>
      <c r="F173" s="9"/>
      <c r="G173" s="6"/>
      <c r="H173" s="9"/>
      <c r="I173" s="9"/>
      <c r="J173" s="9"/>
      <c r="K173" s="9"/>
      <c r="L173" s="9"/>
      <c r="M173" s="9"/>
      <c r="N173" s="9"/>
      <c r="O173" s="9"/>
      <c r="P173" s="18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</row>
    <row r="174" spans="1:33" x14ac:dyDescent="0.25">
      <c r="A174" s="9"/>
      <c r="B174" s="9"/>
      <c r="C174" s="9"/>
      <c r="D174" s="9"/>
      <c r="E174" s="9"/>
      <c r="F174" s="9"/>
      <c r="G174" s="6"/>
      <c r="H174" s="9"/>
      <c r="I174" s="9"/>
      <c r="J174" s="9"/>
      <c r="K174" s="9"/>
      <c r="L174" s="9"/>
      <c r="M174" s="9"/>
      <c r="N174" s="9"/>
      <c r="O174" s="9"/>
      <c r="P174" s="18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</row>
    <row r="175" spans="1:33" x14ac:dyDescent="0.25">
      <c r="A175" s="9"/>
      <c r="B175" s="9"/>
      <c r="C175" s="9"/>
      <c r="D175" s="9"/>
      <c r="E175" s="9"/>
      <c r="F175" s="9"/>
      <c r="G175" s="6"/>
      <c r="H175" s="9"/>
      <c r="I175" s="9"/>
      <c r="J175" s="9"/>
      <c r="K175" s="9"/>
      <c r="L175" s="9"/>
      <c r="M175" s="9"/>
      <c r="N175" s="9"/>
      <c r="O175" s="9"/>
      <c r="P175" s="18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</row>
    <row r="176" spans="1:33" x14ac:dyDescent="0.25">
      <c r="A176" s="9"/>
      <c r="B176" s="9"/>
      <c r="C176" s="9"/>
      <c r="D176" s="9"/>
      <c r="E176" s="9"/>
      <c r="F176" s="9"/>
      <c r="G176" s="6"/>
      <c r="H176" s="9"/>
      <c r="I176" s="9"/>
      <c r="J176" s="9"/>
      <c r="K176" s="9"/>
      <c r="L176" s="9"/>
      <c r="M176" s="9"/>
      <c r="N176" s="9"/>
      <c r="O176" s="9"/>
      <c r="P176" s="18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</row>
    <row r="177" spans="1:33" x14ac:dyDescent="0.25">
      <c r="A177" s="9"/>
      <c r="B177" s="9"/>
      <c r="C177" s="9"/>
      <c r="D177" s="9"/>
      <c r="E177" s="9"/>
      <c r="F177" s="9"/>
      <c r="G177" s="6"/>
      <c r="H177" s="9"/>
      <c r="I177" s="9"/>
      <c r="J177" s="9"/>
      <c r="K177" s="9"/>
      <c r="L177" s="9"/>
      <c r="M177" s="9"/>
      <c r="N177" s="9"/>
      <c r="O177" s="9"/>
      <c r="P177" s="18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</row>
    <row r="178" spans="1:33" x14ac:dyDescent="0.25">
      <c r="A178" s="9"/>
      <c r="B178" s="9"/>
      <c r="C178" s="9"/>
      <c r="D178" s="9"/>
      <c r="E178" s="9"/>
      <c r="F178" s="9"/>
      <c r="G178" s="6"/>
      <c r="H178" s="9"/>
      <c r="I178" s="9"/>
      <c r="J178" s="9"/>
      <c r="K178" s="9"/>
      <c r="L178" s="9"/>
      <c r="M178" s="9"/>
      <c r="N178" s="9"/>
      <c r="O178" s="9"/>
      <c r="P178" s="18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</row>
    <row r="179" spans="1:33" x14ac:dyDescent="0.25">
      <c r="A179" s="9"/>
      <c r="B179" s="9"/>
      <c r="C179" s="9"/>
      <c r="D179" s="9"/>
      <c r="E179" s="9"/>
      <c r="F179" s="9"/>
      <c r="G179" s="6"/>
      <c r="H179" s="9"/>
      <c r="I179" s="9"/>
      <c r="J179" s="9"/>
      <c r="K179" s="9"/>
      <c r="L179" s="9"/>
      <c r="M179" s="9"/>
      <c r="N179" s="9"/>
      <c r="O179" s="9"/>
      <c r="P179" s="18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</row>
    <row r="180" spans="1:33" x14ac:dyDescent="0.25">
      <c r="A180" s="9"/>
      <c r="B180" s="9"/>
      <c r="C180" s="9"/>
      <c r="D180" s="9"/>
      <c r="E180" s="9"/>
      <c r="F180" s="9"/>
      <c r="G180" s="6"/>
      <c r="H180" s="9"/>
      <c r="I180" s="9"/>
      <c r="J180" s="9"/>
      <c r="K180" s="9"/>
      <c r="L180" s="9"/>
      <c r="M180" s="9"/>
      <c r="N180" s="9"/>
      <c r="O180" s="9"/>
      <c r="P180" s="18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</row>
    <row r="181" spans="1:33" x14ac:dyDescent="0.25">
      <c r="A181" s="9"/>
      <c r="B181" s="9"/>
      <c r="C181" s="9"/>
      <c r="D181" s="9"/>
      <c r="E181" s="9"/>
      <c r="F181" s="9"/>
      <c r="G181" s="6"/>
      <c r="H181" s="9"/>
      <c r="I181" s="9"/>
      <c r="J181" s="9"/>
      <c r="K181" s="9"/>
      <c r="L181" s="9"/>
      <c r="M181" s="9"/>
      <c r="N181" s="9"/>
      <c r="O181" s="9"/>
      <c r="P181" s="18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</row>
    <row r="182" spans="1:33" x14ac:dyDescent="0.25">
      <c r="A182" s="9"/>
      <c r="B182" s="9"/>
      <c r="C182" s="9"/>
      <c r="D182" s="9"/>
      <c r="E182" s="9"/>
      <c r="F182" s="9"/>
      <c r="G182" s="6"/>
      <c r="H182" s="9"/>
      <c r="I182" s="9"/>
      <c r="J182" s="9"/>
      <c r="K182" s="9"/>
      <c r="L182" s="9"/>
      <c r="M182" s="9"/>
      <c r="N182" s="9"/>
      <c r="O182" s="9"/>
      <c r="P182" s="18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</row>
    <row r="183" spans="1:33" x14ac:dyDescent="0.25">
      <c r="A183" s="9"/>
      <c r="B183" s="9"/>
      <c r="C183" s="9"/>
      <c r="D183" s="9"/>
      <c r="E183" s="9"/>
      <c r="F183" s="9"/>
      <c r="G183" s="6"/>
      <c r="H183" s="9"/>
      <c r="I183" s="9"/>
      <c r="J183" s="9"/>
      <c r="K183" s="9"/>
      <c r="L183" s="9"/>
      <c r="M183" s="9"/>
      <c r="N183" s="9"/>
      <c r="O183" s="9"/>
      <c r="P183" s="18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</row>
    <row r="184" spans="1:33" x14ac:dyDescent="0.25">
      <c r="A184" s="9"/>
      <c r="B184" s="9"/>
      <c r="C184" s="9"/>
      <c r="D184" s="9"/>
      <c r="E184" s="9"/>
      <c r="F184" s="9"/>
      <c r="G184" s="6"/>
      <c r="H184" s="9"/>
      <c r="I184" s="9"/>
      <c r="J184" s="9"/>
      <c r="K184" s="9"/>
      <c r="L184" s="9"/>
      <c r="M184" s="9"/>
      <c r="N184" s="9"/>
      <c r="O184" s="9"/>
      <c r="P184" s="18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</row>
    <row r="185" spans="1:33" x14ac:dyDescent="0.25">
      <c r="A185" s="9"/>
      <c r="B185" s="9"/>
      <c r="C185" s="9"/>
      <c r="D185" s="9"/>
      <c r="E185" s="9"/>
      <c r="F185" s="9"/>
      <c r="G185" s="6"/>
      <c r="H185" s="9"/>
      <c r="I185" s="9"/>
      <c r="J185" s="9"/>
      <c r="K185" s="9"/>
      <c r="L185" s="9"/>
      <c r="M185" s="9"/>
      <c r="N185" s="9"/>
      <c r="O185" s="9"/>
      <c r="P185" s="18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</row>
    <row r="186" spans="1:33" x14ac:dyDescent="0.25">
      <c r="A186" s="9"/>
      <c r="B186" s="9"/>
      <c r="C186" s="9"/>
      <c r="D186" s="9"/>
      <c r="E186" s="9"/>
      <c r="F186" s="9"/>
      <c r="G186" s="6"/>
      <c r="H186" s="9"/>
      <c r="I186" s="9"/>
      <c r="J186" s="9"/>
      <c r="K186" s="9"/>
      <c r="L186" s="9"/>
      <c r="M186" s="9"/>
      <c r="N186" s="9"/>
      <c r="O186" s="9"/>
      <c r="P186" s="18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</row>
    <row r="187" spans="1:33" x14ac:dyDescent="0.25">
      <c r="A187" s="9"/>
      <c r="B187" s="9"/>
      <c r="C187" s="9"/>
      <c r="D187" s="9"/>
      <c r="E187" s="9"/>
      <c r="F187" s="9"/>
      <c r="G187" s="6"/>
      <c r="H187" s="9"/>
      <c r="I187" s="9"/>
      <c r="J187" s="9"/>
      <c r="K187" s="9"/>
      <c r="L187" s="9"/>
      <c r="M187" s="9"/>
      <c r="N187" s="9"/>
      <c r="O187" s="9"/>
      <c r="P187" s="18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</row>
    <row r="188" spans="1:33" x14ac:dyDescent="0.25">
      <c r="A188" s="9"/>
      <c r="B188" s="9"/>
      <c r="C188" s="9"/>
      <c r="D188" s="9"/>
      <c r="E188" s="9"/>
      <c r="F188" s="9"/>
      <c r="G188" s="6"/>
      <c r="H188" s="9"/>
      <c r="I188" s="9"/>
      <c r="J188" s="9"/>
      <c r="K188" s="9"/>
      <c r="L188" s="9"/>
      <c r="M188" s="9"/>
      <c r="N188" s="9"/>
      <c r="O188" s="9"/>
      <c r="P188" s="18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</row>
    <row r="189" spans="1:33" x14ac:dyDescent="0.25">
      <c r="A189" s="9"/>
      <c r="B189" s="9"/>
      <c r="C189" s="9"/>
      <c r="D189" s="9"/>
      <c r="E189" s="9"/>
      <c r="F189" s="9"/>
      <c r="G189" s="6"/>
      <c r="H189" s="9"/>
      <c r="I189" s="9"/>
      <c r="J189" s="9"/>
      <c r="K189" s="9"/>
      <c r="L189" s="9"/>
      <c r="M189" s="9"/>
      <c r="N189" s="9"/>
      <c r="O189" s="9"/>
      <c r="P189" s="18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</row>
    <row r="190" spans="1:33" x14ac:dyDescent="0.25">
      <c r="A190" s="9"/>
      <c r="B190" s="9"/>
      <c r="C190" s="9"/>
      <c r="D190" s="9"/>
      <c r="E190" s="9"/>
      <c r="F190" s="9"/>
      <c r="G190" s="6"/>
      <c r="H190" s="9"/>
      <c r="I190" s="9"/>
      <c r="J190" s="9"/>
      <c r="K190" s="9"/>
      <c r="L190" s="9"/>
      <c r="M190" s="9"/>
      <c r="N190" s="9"/>
      <c r="O190" s="9"/>
      <c r="P190" s="18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</row>
    <row r="191" spans="1:33" x14ac:dyDescent="0.25">
      <c r="A191" s="9"/>
      <c r="B191" s="9"/>
      <c r="C191" s="9"/>
      <c r="D191" s="9"/>
      <c r="E191" s="9"/>
      <c r="F191" s="9"/>
      <c r="G191" s="6"/>
      <c r="H191" s="9"/>
      <c r="I191" s="9"/>
      <c r="J191" s="9"/>
      <c r="K191" s="9"/>
      <c r="L191" s="9"/>
      <c r="M191" s="9"/>
      <c r="N191" s="9"/>
      <c r="O191" s="9"/>
      <c r="P191" s="18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</row>
    <row r="192" spans="1:33" x14ac:dyDescent="0.25">
      <c r="A192" s="9"/>
      <c r="B192" s="9"/>
      <c r="C192" s="9"/>
      <c r="D192" s="9"/>
      <c r="E192" s="9"/>
      <c r="F192" s="9"/>
      <c r="G192" s="6"/>
      <c r="H192" s="9"/>
      <c r="I192" s="9"/>
      <c r="J192" s="9"/>
      <c r="K192" s="9"/>
      <c r="L192" s="9"/>
      <c r="M192" s="9"/>
      <c r="N192" s="9"/>
      <c r="O192" s="9"/>
      <c r="P192" s="18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</row>
    <row r="193" spans="1:33" x14ac:dyDescent="0.25">
      <c r="A193" s="9"/>
      <c r="B193" s="9"/>
      <c r="C193" s="9"/>
      <c r="D193" s="9"/>
      <c r="E193" s="9"/>
      <c r="F193" s="9"/>
      <c r="G193" s="6"/>
      <c r="H193" s="9"/>
      <c r="I193" s="9"/>
      <c r="J193" s="9"/>
      <c r="K193" s="9"/>
      <c r="L193" s="9"/>
      <c r="M193" s="9"/>
      <c r="N193" s="9"/>
      <c r="O193" s="9"/>
      <c r="P193" s="18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</row>
    <row r="194" spans="1:33" x14ac:dyDescent="0.25">
      <c r="A194" s="9"/>
      <c r="B194" s="9"/>
      <c r="C194" s="9"/>
      <c r="D194" s="9"/>
      <c r="E194" s="9"/>
      <c r="F194" s="9"/>
      <c r="G194" s="6"/>
      <c r="H194" s="9"/>
      <c r="I194" s="9"/>
      <c r="J194" s="9"/>
      <c r="K194" s="9"/>
      <c r="L194" s="9"/>
      <c r="M194" s="9"/>
      <c r="N194" s="9"/>
      <c r="O194" s="9"/>
      <c r="P194" s="18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</row>
    <row r="195" spans="1:33" x14ac:dyDescent="0.25">
      <c r="A195" s="9"/>
      <c r="B195" s="9"/>
      <c r="C195" s="9"/>
      <c r="D195" s="9"/>
      <c r="E195" s="9"/>
      <c r="F195" s="9"/>
      <c r="G195" s="6"/>
      <c r="H195" s="9"/>
      <c r="I195" s="9"/>
      <c r="J195" s="9"/>
      <c r="K195" s="9"/>
      <c r="L195" s="9"/>
      <c r="M195" s="9"/>
      <c r="N195" s="9"/>
      <c r="O195" s="9"/>
      <c r="P195" s="18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</row>
    <row r="196" spans="1:33" x14ac:dyDescent="0.25">
      <c r="A196" s="9"/>
      <c r="B196" s="9"/>
      <c r="C196" s="9"/>
      <c r="D196" s="9"/>
      <c r="E196" s="9"/>
      <c r="F196" s="9"/>
      <c r="G196" s="6"/>
      <c r="H196" s="9"/>
      <c r="I196" s="9"/>
      <c r="J196" s="9"/>
      <c r="K196" s="9"/>
      <c r="L196" s="9"/>
      <c r="M196" s="9"/>
      <c r="N196" s="9"/>
      <c r="O196" s="9"/>
      <c r="P196" s="18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</row>
    <row r="197" spans="1:33" x14ac:dyDescent="0.25">
      <c r="A197" s="9"/>
      <c r="B197" s="9"/>
      <c r="C197" s="9"/>
      <c r="D197" s="9"/>
      <c r="E197" s="9"/>
      <c r="F197" s="9"/>
      <c r="G197" s="6"/>
      <c r="H197" s="9"/>
      <c r="I197" s="9"/>
      <c r="J197" s="9"/>
      <c r="K197" s="9"/>
      <c r="L197" s="9"/>
      <c r="M197" s="9"/>
      <c r="N197" s="9"/>
      <c r="O197" s="9"/>
      <c r="P197" s="18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</row>
    <row r="198" spans="1:33" x14ac:dyDescent="0.25">
      <c r="A198" s="9"/>
      <c r="B198" s="9"/>
      <c r="C198" s="9"/>
      <c r="D198" s="9"/>
      <c r="E198" s="9"/>
      <c r="F198" s="9"/>
      <c r="G198" s="6"/>
      <c r="H198" s="9"/>
      <c r="I198" s="9"/>
      <c r="J198" s="9"/>
      <c r="K198" s="9"/>
      <c r="L198" s="9"/>
      <c r="M198" s="9"/>
      <c r="N198" s="9"/>
      <c r="O198" s="9"/>
      <c r="P198" s="18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</row>
    <row r="199" spans="1:33" x14ac:dyDescent="0.25">
      <c r="A199" s="9"/>
      <c r="B199" s="9"/>
      <c r="C199" s="9"/>
      <c r="D199" s="9"/>
      <c r="E199" s="9"/>
      <c r="F199" s="9"/>
      <c r="G199" s="6"/>
      <c r="H199" s="9"/>
      <c r="I199" s="9"/>
      <c r="J199" s="9"/>
      <c r="K199" s="9"/>
      <c r="L199" s="9"/>
      <c r="M199" s="9"/>
      <c r="N199" s="9"/>
      <c r="O199" s="9"/>
      <c r="P199" s="18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</row>
    <row r="200" spans="1:33" x14ac:dyDescent="0.25">
      <c r="A200" s="9"/>
      <c r="B200" s="9"/>
      <c r="C200" s="9"/>
      <c r="D200" s="9"/>
      <c r="E200" s="9"/>
      <c r="F200" s="9"/>
      <c r="G200" s="6"/>
      <c r="H200" s="9"/>
      <c r="I200" s="9"/>
      <c r="J200" s="9"/>
      <c r="K200" s="9"/>
      <c r="L200" s="9"/>
      <c r="M200" s="9"/>
      <c r="N200" s="9"/>
      <c r="O200" s="9"/>
      <c r="P200" s="18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</row>
    <row r="201" spans="1:33" x14ac:dyDescent="0.25">
      <c r="A201" s="9"/>
      <c r="B201" s="9"/>
      <c r="C201" s="9"/>
      <c r="D201" s="9"/>
      <c r="E201" s="9"/>
      <c r="F201" s="9"/>
      <c r="G201" s="6"/>
      <c r="H201" s="9"/>
      <c r="I201" s="9"/>
      <c r="J201" s="9"/>
      <c r="K201" s="9"/>
      <c r="L201" s="9"/>
      <c r="M201" s="9"/>
      <c r="N201" s="9"/>
      <c r="O201" s="9"/>
      <c r="P201" s="18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</row>
    <row r="202" spans="1:33" x14ac:dyDescent="0.25">
      <c r="A202" s="9"/>
      <c r="B202" s="9"/>
      <c r="C202" s="9"/>
      <c r="D202" s="9"/>
      <c r="E202" s="9"/>
      <c r="F202" s="9"/>
      <c r="G202" s="6"/>
      <c r="H202" s="9"/>
      <c r="I202" s="9"/>
      <c r="J202" s="9"/>
      <c r="K202" s="9"/>
      <c r="L202" s="9"/>
      <c r="M202" s="9"/>
      <c r="N202" s="9"/>
      <c r="O202" s="9"/>
      <c r="P202" s="18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</row>
    <row r="203" spans="1:33" x14ac:dyDescent="0.25">
      <c r="A203" s="9"/>
      <c r="B203" s="9"/>
      <c r="C203" s="9"/>
      <c r="D203" s="9"/>
      <c r="E203" s="9"/>
      <c r="F203" s="9"/>
      <c r="G203" s="6"/>
      <c r="H203" s="9"/>
      <c r="I203" s="9"/>
      <c r="J203" s="9"/>
      <c r="K203" s="9"/>
      <c r="L203" s="9"/>
      <c r="M203" s="9"/>
      <c r="N203" s="9"/>
      <c r="O203" s="9"/>
      <c r="P203" s="18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</row>
    <row r="204" spans="1:33" x14ac:dyDescent="0.25">
      <c r="A204" s="9"/>
      <c r="B204" s="9"/>
      <c r="C204" s="9"/>
      <c r="D204" s="9"/>
      <c r="E204" s="9"/>
      <c r="F204" s="9"/>
      <c r="G204" s="6"/>
      <c r="H204" s="9"/>
      <c r="I204" s="9"/>
      <c r="J204" s="9"/>
      <c r="K204" s="9"/>
      <c r="L204" s="9"/>
      <c r="M204" s="9"/>
      <c r="N204" s="9"/>
      <c r="O204" s="9"/>
      <c r="P204" s="18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</row>
    <row r="205" spans="1:33" x14ac:dyDescent="0.25">
      <c r="A205" s="9"/>
      <c r="B205" s="9"/>
      <c r="C205" s="9"/>
      <c r="D205" s="9"/>
      <c r="E205" s="9"/>
      <c r="F205" s="9"/>
      <c r="G205" s="6"/>
      <c r="H205" s="9"/>
      <c r="I205" s="9"/>
      <c r="J205" s="9"/>
      <c r="K205" s="9"/>
      <c r="L205" s="9"/>
      <c r="M205" s="9"/>
      <c r="N205" s="9"/>
      <c r="O205" s="9"/>
      <c r="P205" s="18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</row>
    <row r="206" spans="1:33" x14ac:dyDescent="0.25">
      <c r="A206" s="9"/>
      <c r="B206" s="9"/>
      <c r="C206" s="9"/>
      <c r="D206" s="9"/>
      <c r="E206" s="9"/>
      <c r="F206" s="9"/>
      <c r="G206" s="6"/>
      <c r="H206" s="9"/>
      <c r="I206" s="9"/>
      <c r="J206" s="9"/>
      <c r="K206" s="9"/>
      <c r="L206" s="9"/>
      <c r="M206" s="9"/>
      <c r="N206" s="9"/>
      <c r="O206" s="9"/>
      <c r="P206" s="18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</row>
    <row r="207" spans="1:33" x14ac:dyDescent="0.25">
      <c r="A207" s="9"/>
      <c r="B207" s="9"/>
      <c r="C207" s="9"/>
      <c r="D207" s="9"/>
      <c r="E207" s="9"/>
      <c r="F207" s="9"/>
      <c r="G207" s="6"/>
      <c r="H207" s="9"/>
      <c r="I207" s="9"/>
      <c r="J207" s="9"/>
      <c r="K207" s="9"/>
      <c r="L207" s="9"/>
      <c r="M207" s="9"/>
      <c r="N207" s="9"/>
      <c r="O207" s="9"/>
      <c r="P207" s="18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</row>
    <row r="208" spans="1:33" x14ac:dyDescent="0.25">
      <c r="A208" s="9"/>
      <c r="B208" s="9"/>
      <c r="C208" s="9"/>
      <c r="D208" s="9"/>
      <c r="E208" s="9"/>
      <c r="F208" s="9"/>
      <c r="G208" s="6"/>
      <c r="H208" s="9"/>
      <c r="I208" s="9"/>
      <c r="J208" s="9"/>
      <c r="K208" s="9"/>
      <c r="L208" s="9"/>
      <c r="M208" s="9"/>
      <c r="N208" s="9"/>
      <c r="O208" s="9"/>
      <c r="P208" s="18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</row>
    <row r="209" spans="1:33" x14ac:dyDescent="0.25">
      <c r="A209" s="9"/>
      <c r="B209" s="9"/>
      <c r="C209" s="9"/>
      <c r="D209" s="9"/>
      <c r="E209" s="9"/>
      <c r="F209" s="9"/>
      <c r="G209" s="6"/>
      <c r="H209" s="9"/>
      <c r="I209" s="9"/>
      <c r="J209" s="9"/>
      <c r="K209" s="9"/>
      <c r="L209" s="9"/>
      <c r="M209" s="9"/>
      <c r="N209" s="9"/>
      <c r="O209" s="9"/>
      <c r="P209" s="18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</row>
    <row r="210" spans="1:33" x14ac:dyDescent="0.25">
      <c r="A210" s="9"/>
      <c r="B210" s="9"/>
      <c r="C210" s="9"/>
      <c r="D210" s="9"/>
      <c r="E210" s="9"/>
      <c r="F210" s="9"/>
      <c r="G210" s="6"/>
      <c r="H210" s="9"/>
      <c r="I210" s="9"/>
      <c r="J210" s="9"/>
      <c r="K210" s="9"/>
      <c r="L210" s="9"/>
      <c r="M210" s="9"/>
      <c r="N210" s="9"/>
      <c r="O210" s="9"/>
      <c r="P210" s="18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</row>
    <row r="211" spans="1:33" x14ac:dyDescent="0.25">
      <c r="A211" s="9"/>
      <c r="B211" s="9"/>
      <c r="C211" s="9"/>
      <c r="D211" s="9"/>
      <c r="E211" s="9"/>
      <c r="F211" s="9"/>
      <c r="G211" s="6"/>
      <c r="H211" s="9"/>
      <c r="I211" s="9"/>
      <c r="J211" s="9"/>
      <c r="K211" s="9"/>
      <c r="L211" s="9"/>
      <c r="M211" s="9"/>
      <c r="N211" s="9"/>
      <c r="O211" s="9"/>
      <c r="P211" s="18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</row>
    <row r="212" spans="1:33" x14ac:dyDescent="0.25">
      <c r="A212" s="9"/>
      <c r="B212" s="9"/>
      <c r="C212" s="9"/>
      <c r="D212" s="9"/>
      <c r="E212" s="9"/>
      <c r="F212" s="9"/>
      <c r="G212" s="6"/>
      <c r="H212" s="9"/>
      <c r="I212" s="9"/>
      <c r="J212" s="9"/>
      <c r="K212" s="9"/>
      <c r="L212" s="9"/>
      <c r="M212" s="9"/>
      <c r="N212" s="9"/>
      <c r="O212" s="9"/>
      <c r="P212" s="18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</row>
    <row r="213" spans="1:33" x14ac:dyDescent="0.25">
      <c r="A213" s="9"/>
      <c r="B213" s="9"/>
      <c r="C213" s="9"/>
      <c r="D213" s="9"/>
      <c r="E213" s="9"/>
      <c r="F213" s="9"/>
      <c r="G213" s="6"/>
      <c r="H213" s="9"/>
      <c r="I213" s="9"/>
      <c r="J213" s="9"/>
      <c r="K213" s="9"/>
      <c r="L213" s="9"/>
      <c r="M213" s="9"/>
      <c r="N213" s="9"/>
      <c r="O213" s="9"/>
      <c r="P213" s="18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</row>
    <row r="214" spans="1:33" x14ac:dyDescent="0.25">
      <c r="A214" s="9"/>
      <c r="B214" s="9"/>
      <c r="C214" s="9"/>
      <c r="D214" s="9"/>
      <c r="E214" s="9"/>
      <c r="F214" s="9"/>
      <c r="G214" s="6"/>
      <c r="H214" s="9"/>
      <c r="I214" s="9"/>
      <c r="J214" s="9"/>
      <c r="K214" s="9"/>
      <c r="L214" s="9"/>
      <c r="M214" s="9"/>
      <c r="N214" s="9"/>
      <c r="O214" s="9"/>
      <c r="P214" s="18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</row>
    <row r="215" spans="1:33" x14ac:dyDescent="0.25">
      <c r="A215" s="9"/>
      <c r="B215" s="9"/>
      <c r="C215" s="9"/>
      <c r="D215" s="9"/>
      <c r="E215" s="9"/>
      <c r="F215" s="9"/>
      <c r="G215" s="6"/>
      <c r="H215" s="9"/>
      <c r="I215" s="9"/>
      <c r="J215" s="9"/>
      <c r="K215" s="9"/>
      <c r="L215" s="9"/>
      <c r="M215" s="9"/>
      <c r="N215" s="9"/>
      <c r="O215" s="9"/>
      <c r="P215" s="18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</row>
    <row r="216" spans="1:33" x14ac:dyDescent="0.25">
      <c r="A216" s="9"/>
      <c r="B216" s="9"/>
      <c r="C216" s="9"/>
      <c r="D216" s="9"/>
      <c r="E216" s="9"/>
      <c r="F216" s="9"/>
      <c r="G216" s="6"/>
      <c r="H216" s="9"/>
      <c r="I216" s="9"/>
      <c r="J216" s="9"/>
      <c r="K216" s="9"/>
      <c r="L216" s="9"/>
      <c r="M216" s="9"/>
      <c r="N216" s="9"/>
      <c r="O216" s="9"/>
      <c r="P216" s="18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</row>
    <row r="217" spans="1:33" x14ac:dyDescent="0.25">
      <c r="A217" s="9"/>
      <c r="B217" s="9"/>
      <c r="C217" s="9"/>
      <c r="D217" s="9"/>
      <c r="E217" s="9"/>
      <c r="F217" s="9"/>
      <c r="G217" s="6"/>
      <c r="H217" s="9"/>
      <c r="I217" s="9"/>
      <c r="J217" s="9"/>
      <c r="K217" s="9"/>
      <c r="L217" s="9"/>
      <c r="M217" s="9"/>
      <c r="N217" s="9"/>
      <c r="O217" s="9"/>
      <c r="P217" s="18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</row>
    <row r="218" spans="1:33" x14ac:dyDescent="0.25">
      <c r="A218" s="9"/>
      <c r="B218" s="9"/>
      <c r="C218" s="9"/>
      <c r="D218" s="9"/>
      <c r="E218" s="9"/>
      <c r="F218" s="9"/>
      <c r="G218" s="6"/>
      <c r="H218" s="9"/>
      <c r="I218" s="9"/>
      <c r="J218" s="9"/>
      <c r="K218" s="9"/>
      <c r="L218" s="9"/>
      <c r="M218" s="9"/>
      <c r="N218" s="9"/>
      <c r="O218" s="9"/>
      <c r="P218" s="18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</row>
    <row r="219" spans="1:33" x14ac:dyDescent="0.25">
      <c r="A219" s="9"/>
      <c r="B219" s="9"/>
      <c r="C219" s="9"/>
      <c r="D219" s="9"/>
      <c r="E219" s="9"/>
      <c r="F219" s="9"/>
      <c r="G219" s="6"/>
      <c r="H219" s="9"/>
      <c r="I219" s="9"/>
      <c r="J219" s="9"/>
      <c r="K219" s="9"/>
      <c r="L219" s="9"/>
      <c r="M219" s="9"/>
      <c r="N219" s="9"/>
      <c r="O219" s="9"/>
      <c r="P219" s="18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</row>
    <row r="220" spans="1:33" x14ac:dyDescent="0.25">
      <c r="A220" s="9"/>
      <c r="B220" s="9"/>
      <c r="C220" s="9"/>
      <c r="D220" s="9"/>
      <c r="E220" s="9"/>
      <c r="F220" s="9"/>
      <c r="G220" s="6"/>
      <c r="H220" s="9"/>
      <c r="I220" s="9"/>
      <c r="J220" s="9"/>
      <c r="K220" s="9"/>
      <c r="L220" s="9"/>
      <c r="M220" s="9"/>
      <c r="N220" s="9"/>
      <c r="O220" s="9"/>
      <c r="P220" s="18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</row>
    <row r="221" spans="1:33" x14ac:dyDescent="0.25">
      <c r="A221" s="9"/>
      <c r="B221" s="9"/>
      <c r="C221" s="9"/>
      <c r="D221" s="9"/>
      <c r="E221" s="9"/>
      <c r="F221" s="9"/>
      <c r="G221" s="6"/>
      <c r="H221" s="9"/>
      <c r="I221" s="9"/>
      <c r="J221" s="9"/>
      <c r="K221" s="9"/>
      <c r="L221" s="9"/>
      <c r="M221" s="9"/>
      <c r="N221" s="9"/>
      <c r="O221" s="9"/>
      <c r="P221" s="18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</row>
    <row r="222" spans="1:33" x14ac:dyDescent="0.25">
      <c r="A222" s="9"/>
      <c r="B222" s="9"/>
      <c r="C222" s="9"/>
      <c r="D222" s="9"/>
      <c r="E222" s="9"/>
      <c r="F222" s="9"/>
      <c r="G222" s="6"/>
      <c r="H222" s="9"/>
      <c r="I222" s="9"/>
      <c r="J222" s="9"/>
      <c r="K222" s="9"/>
      <c r="L222" s="9"/>
      <c r="M222" s="9"/>
      <c r="N222" s="9"/>
      <c r="O222" s="9"/>
      <c r="P222" s="18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</row>
    <row r="223" spans="1:33" x14ac:dyDescent="0.25">
      <c r="A223" s="9"/>
      <c r="B223" s="9"/>
      <c r="C223" s="9"/>
      <c r="D223" s="9"/>
      <c r="E223" s="9"/>
      <c r="F223" s="9"/>
      <c r="G223" s="6"/>
      <c r="H223" s="9"/>
      <c r="I223" s="9"/>
      <c r="J223" s="9"/>
      <c r="K223" s="9"/>
      <c r="L223" s="9"/>
      <c r="M223" s="9"/>
      <c r="N223" s="9"/>
      <c r="O223" s="9"/>
      <c r="P223" s="18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</row>
    <row r="224" spans="1:33" x14ac:dyDescent="0.25">
      <c r="A224" s="9"/>
      <c r="B224" s="9"/>
      <c r="C224" s="9"/>
      <c r="D224" s="9"/>
      <c r="E224" s="9"/>
      <c r="F224" s="9"/>
      <c r="G224" s="6"/>
      <c r="H224" s="9"/>
      <c r="I224" s="9"/>
      <c r="J224" s="9"/>
      <c r="K224" s="9"/>
      <c r="L224" s="9"/>
      <c r="M224" s="9"/>
      <c r="N224" s="9"/>
      <c r="O224" s="9"/>
      <c r="P224" s="18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</row>
    <row r="225" spans="1:33" x14ac:dyDescent="0.25">
      <c r="A225" s="9"/>
      <c r="B225" s="9"/>
      <c r="C225" s="9"/>
      <c r="D225" s="9"/>
      <c r="E225" s="9"/>
      <c r="F225" s="9"/>
      <c r="G225" s="6"/>
      <c r="H225" s="9"/>
      <c r="I225" s="9"/>
      <c r="J225" s="9"/>
      <c r="K225" s="9"/>
      <c r="L225" s="9"/>
      <c r="M225" s="9"/>
      <c r="N225" s="9"/>
      <c r="O225" s="9"/>
      <c r="P225" s="18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</row>
    <row r="226" spans="1:33" x14ac:dyDescent="0.25">
      <c r="A226" s="9"/>
      <c r="B226" s="9"/>
      <c r="C226" s="9"/>
      <c r="D226" s="9"/>
      <c r="E226" s="9"/>
      <c r="F226" s="9"/>
      <c r="G226" s="6"/>
      <c r="H226" s="9"/>
      <c r="I226" s="9"/>
      <c r="J226" s="9"/>
      <c r="K226" s="9"/>
      <c r="L226" s="9"/>
      <c r="M226" s="9"/>
      <c r="N226" s="9"/>
      <c r="O226" s="9"/>
      <c r="P226" s="18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</row>
    <row r="227" spans="1:33" x14ac:dyDescent="0.25">
      <c r="A227" s="9"/>
      <c r="B227" s="9"/>
      <c r="C227" s="9"/>
      <c r="D227" s="9"/>
      <c r="E227" s="9"/>
      <c r="F227" s="9"/>
      <c r="G227" s="6"/>
      <c r="H227" s="9"/>
      <c r="I227" s="9"/>
      <c r="J227" s="9"/>
      <c r="K227" s="9"/>
      <c r="L227" s="9"/>
      <c r="M227" s="9"/>
      <c r="N227" s="9"/>
      <c r="O227" s="9"/>
      <c r="P227" s="18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</row>
    <row r="228" spans="1:33" x14ac:dyDescent="0.25">
      <c r="A228" s="9"/>
      <c r="B228" s="9"/>
      <c r="C228" s="9"/>
      <c r="D228" s="9"/>
      <c r="E228" s="9"/>
      <c r="F228" s="9"/>
      <c r="G228" s="6"/>
      <c r="H228" s="9"/>
      <c r="I228" s="9"/>
      <c r="J228" s="9"/>
      <c r="K228" s="9"/>
      <c r="L228" s="9"/>
      <c r="M228" s="9"/>
      <c r="N228" s="9"/>
      <c r="O228" s="9"/>
      <c r="P228" s="18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</row>
    <row r="229" spans="1:33" x14ac:dyDescent="0.25">
      <c r="A229" s="9"/>
      <c r="B229" s="9"/>
      <c r="C229" s="9"/>
      <c r="D229" s="9"/>
      <c r="E229" s="9"/>
      <c r="F229" s="9"/>
      <c r="G229" s="6"/>
      <c r="H229" s="9"/>
      <c r="I229" s="9"/>
      <c r="J229" s="9"/>
      <c r="K229" s="9"/>
      <c r="L229" s="9"/>
      <c r="M229" s="9"/>
      <c r="N229" s="9"/>
      <c r="O229" s="9"/>
      <c r="P229" s="18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</row>
    <row r="230" spans="1:33" x14ac:dyDescent="0.25">
      <c r="A230" s="9"/>
      <c r="B230" s="9"/>
      <c r="C230" s="9"/>
      <c r="D230" s="9"/>
      <c r="E230" s="9"/>
      <c r="F230" s="9"/>
      <c r="G230" s="6"/>
      <c r="H230" s="9"/>
      <c r="I230" s="9"/>
      <c r="J230" s="9"/>
      <c r="K230" s="9"/>
      <c r="L230" s="9"/>
      <c r="M230" s="9"/>
      <c r="N230" s="9"/>
      <c r="O230" s="9"/>
      <c r="P230" s="18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</row>
    <row r="231" spans="1:33" x14ac:dyDescent="0.25">
      <c r="A231" s="9"/>
      <c r="B231" s="9"/>
      <c r="C231" s="9"/>
      <c r="D231" s="9"/>
      <c r="E231" s="9"/>
      <c r="F231" s="9"/>
      <c r="G231" s="6"/>
      <c r="H231" s="9"/>
      <c r="I231" s="9"/>
      <c r="J231" s="9"/>
      <c r="K231" s="9"/>
      <c r="L231" s="9"/>
      <c r="M231" s="9"/>
      <c r="N231" s="9"/>
      <c r="O231" s="9"/>
      <c r="P231" s="18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</row>
    <row r="232" spans="1:33" x14ac:dyDescent="0.25">
      <c r="A232" s="9"/>
      <c r="B232" s="9"/>
      <c r="C232" s="9"/>
      <c r="D232" s="9"/>
      <c r="E232" s="9"/>
      <c r="F232" s="9"/>
      <c r="G232" s="6"/>
      <c r="H232" s="9"/>
      <c r="I232" s="9"/>
      <c r="J232" s="9"/>
      <c r="K232" s="9"/>
      <c r="L232" s="9"/>
      <c r="M232" s="9"/>
      <c r="N232" s="9"/>
      <c r="O232" s="9"/>
      <c r="P232" s="18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</row>
    <row r="233" spans="1:33" x14ac:dyDescent="0.25">
      <c r="A233" s="9"/>
      <c r="B233" s="9"/>
      <c r="C233" s="9"/>
      <c r="D233" s="9"/>
      <c r="E233" s="9"/>
      <c r="F233" s="9"/>
      <c r="G233" s="6"/>
      <c r="H233" s="9"/>
      <c r="I233" s="9"/>
      <c r="J233" s="9"/>
      <c r="K233" s="9"/>
      <c r="L233" s="9"/>
      <c r="M233" s="9"/>
      <c r="N233" s="9"/>
      <c r="O233" s="9"/>
      <c r="P233" s="18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</row>
    <row r="234" spans="1:33" x14ac:dyDescent="0.25">
      <c r="A234" s="9"/>
      <c r="B234" s="9"/>
      <c r="C234" s="9"/>
      <c r="D234" s="9"/>
      <c r="E234" s="9"/>
      <c r="F234" s="9"/>
      <c r="G234" s="6"/>
      <c r="H234" s="9"/>
      <c r="I234" s="9"/>
      <c r="J234" s="9"/>
      <c r="K234" s="9"/>
      <c r="L234" s="9"/>
      <c r="M234" s="9"/>
      <c r="N234" s="9"/>
      <c r="O234" s="9"/>
      <c r="P234" s="18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</row>
    <row r="235" spans="1:33" x14ac:dyDescent="0.25">
      <c r="A235" s="9"/>
      <c r="B235" s="9"/>
      <c r="C235" s="9"/>
      <c r="D235" s="9"/>
      <c r="E235" s="9"/>
      <c r="F235" s="9"/>
      <c r="G235" s="6"/>
      <c r="H235" s="9"/>
      <c r="I235" s="9"/>
      <c r="J235" s="9"/>
      <c r="K235" s="9"/>
      <c r="L235" s="9"/>
      <c r="M235" s="9"/>
      <c r="N235" s="9"/>
      <c r="O235" s="9"/>
      <c r="P235" s="18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</row>
    <row r="236" spans="1:33" x14ac:dyDescent="0.25">
      <c r="A236" s="9"/>
      <c r="B236" s="9"/>
      <c r="C236" s="9"/>
      <c r="D236" s="9"/>
      <c r="E236" s="9"/>
      <c r="F236" s="9"/>
      <c r="G236" s="6"/>
      <c r="H236" s="9"/>
      <c r="I236" s="9"/>
      <c r="J236" s="9"/>
      <c r="K236" s="9"/>
      <c r="L236" s="9"/>
      <c r="M236" s="9"/>
      <c r="N236" s="9"/>
      <c r="O236" s="9"/>
      <c r="P236" s="18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</row>
    <row r="237" spans="1:33" x14ac:dyDescent="0.25">
      <c r="A237" s="9"/>
      <c r="B237" s="9"/>
      <c r="C237" s="9"/>
      <c r="D237" s="9"/>
      <c r="E237" s="9"/>
      <c r="F237" s="9"/>
      <c r="G237" s="6"/>
      <c r="H237" s="9"/>
      <c r="I237" s="9"/>
      <c r="J237" s="9"/>
      <c r="K237" s="9"/>
      <c r="L237" s="9"/>
      <c r="M237" s="9"/>
      <c r="N237" s="9"/>
      <c r="O237" s="9"/>
      <c r="P237" s="18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</row>
    <row r="238" spans="1:33" x14ac:dyDescent="0.25">
      <c r="A238" s="9"/>
      <c r="B238" s="9"/>
      <c r="C238" s="9"/>
      <c r="D238" s="9"/>
      <c r="E238" s="9"/>
      <c r="F238" s="9"/>
      <c r="G238" s="6"/>
      <c r="H238" s="9"/>
      <c r="I238" s="9"/>
      <c r="J238" s="9"/>
      <c r="K238" s="9"/>
      <c r="L238" s="9"/>
      <c r="M238" s="9"/>
      <c r="N238" s="9"/>
      <c r="O238" s="9"/>
      <c r="P238" s="18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</row>
    <row r="239" spans="1:33" x14ac:dyDescent="0.25">
      <c r="A239" s="9"/>
      <c r="B239" s="9"/>
      <c r="C239" s="9"/>
      <c r="D239" s="9"/>
      <c r="E239" s="9"/>
      <c r="F239" s="9"/>
      <c r="G239" s="6"/>
      <c r="H239" s="9"/>
      <c r="I239" s="9"/>
      <c r="J239" s="9"/>
      <c r="K239" s="9"/>
      <c r="L239" s="9"/>
      <c r="M239" s="9"/>
      <c r="N239" s="9"/>
      <c r="O239" s="9"/>
      <c r="P239" s="18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</row>
    <row r="240" spans="1:33" x14ac:dyDescent="0.25">
      <c r="A240" s="9"/>
      <c r="B240" s="9"/>
      <c r="C240" s="9"/>
      <c r="D240" s="9"/>
      <c r="E240" s="9"/>
      <c r="F240" s="9"/>
      <c r="G240" s="6"/>
      <c r="H240" s="9"/>
      <c r="I240" s="9"/>
      <c r="J240" s="9"/>
      <c r="K240" s="9"/>
      <c r="L240" s="9"/>
      <c r="M240" s="9"/>
      <c r="N240" s="9"/>
      <c r="O240" s="9"/>
      <c r="P240" s="18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</row>
    <row r="241" spans="1:33" x14ac:dyDescent="0.25">
      <c r="A241" s="9"/>
      <c r="B241" s="9"/>
      <c r="C241" s="9"/>
      <c r="D241" s="9"/>
      <c r="E241" s="9"/>
      <c r="F241" s="9"/>
      <c r="G241" s="6"/>
      <c r="H241" s="9"/>
      <c r="I241" s="9"/>
      <c r="J241" s="9"/>
      <c r="K241" s="9"/>
      <c r="L241" s="9"/>
      <c r="M241" s="9"/>
      <c r="N241" s="9"/>
      <c r="O241" s="9"/>
      <c r="P241" s="18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</row>
    <row r="242" spans="1:33" x14ac:dyDescent="0.25">
      <c r="A242" s="9"/>
      <c r="B242" s="9"/>
      <c r="C242" s="9"/>
      <c r="D242" s="9"/>
      <c r="E242" s="9"/>
      <c r="F242" s="9"/>
      <c r="G242" s="6"/>
      <c r="H242" s="9"/>
      <c r="I242" s="9"/>
      <c r="J242" s="9"/>
      <c r="K242" s="9"/>
      <c r="L242" s="9"/>
      <c r="M242" s="9"/>
      <c r="N242" s="9"/>
      <c r="O242" s="9"/>
      <c r="P242" s="18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</row>
    <row r="243" spans="1:33" x14ac:dyDescent="0.25">
      <c r="A243" s="9"/>
      <c r="B243" s="9"/>
      <c r="C243" s="9"/>
      <c r="D243" s="9"/>
      <c r="E243" s="9"/>
      <c r="F243" s="9"/>
      <c r="G243" s="6"/>
      <c r="H243" s="9"/>
      <c r="I243" s="9"/>
      <c r="J243" s="9"/>
      <c r="K243" s="9"/>
      <c r="L243" s="9"/>
      <c r="M243" s="9"/>
      <c r="N243" s="9"/>
      <c r="O243" s="9"/>
      <c r="P243" s="18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</row>
    <row r="244" spans="1:33" x14ac:dyDescent="0.25">
      <c r="A244" s="9"/>
      <c r="B244" s="9"/>
      <c r="C244" s="9"/>
      <c r="D244" s="9"/>
      <c r="E244" s="9"/>
      <c r="F244" s="9"/>
      <c r="G244" s="6"/>
      <c r="H244" s="9"/>
      <c r="I244" s="9"/>
      <c r="J244" s="9"/>
      <c r="K244" s="9"/>
      <c r="L244" s="9"/>
      <c r="M244" s="9"/>
      <c r="N244" s="9"/>
      <c r="O244" s="9"/>
      <c r="P244" s="18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</row>
    <row r="245" spans="1:33" x14ac:dyDescent="0.25">
      <c r="A245" s="9"/>
      <c r="B245" s="9"/>
      <c r="C245" s="9"/>
      <c r="D245" s="9"/>
      <c r="E245" s="9"/>
      <c r="F245" s="9"/>
      <c r="G245" s="6"/>
      <c r="H245" s="9"/>
      <c r="I245" s="9"/>
      <c r="J245" s="9"/>
      <c r="K245" s="9"/>
      <c r="L245" s="9"/>
      <c r="M245" s="9"/>
      <c r="N245" s="9"/>
      <c r="O245" s="9"/>
      <c r="P245" s="18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</row>
    <row r="246" spans="1:33" x14ac:dyDescent="0.25">
      <c r="A246" s="9"/>
      <c r="B246" s="9"/>
      <c r="C246" s="9"/>
      <c r="D246" s="9"/>
      <c r="E246" s="9"/>
      <c r="F246" s="9"/>
      <c r="G246" s="6"/>
      <c r="H246" s="9"/>
      <c r="I246" s="9"/>
      <c r="J246" s="9"/>
      <c r="K246" s="9"/>
      <c r="L246" s="9"/>
      <c r="M246" s="9"/>
      <c r="N246" s="9"/>
      <c r="O246" s="9"/>
      <c r="P246" s="18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</row>
    <row r="247" spans="1:33" x14ac:dyDescent="0.25">
      <c r="A247" s="9"/>
      <c r="B247" s="9"/>
      <c r="C247" s="9"/>
      <c r="D247" s="9"/>
      <c r="E247" s="9"/>
      <c r="F247" s="9"/>
      <c r="G247" s="6"/>
      <c r="H247" s="9"/>
      <c r="I247" s="9"/>
      <c r="J247" s="9"/>
      <c r="K247" s="9"/>
      <c r="L247" s="9"/>
      <c r="M247" s="9"/>
      <c r="N247" s="9"/>
      <c r="O247" s="9"/>
      <c r="P247" s="18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</row>
    <row r="248" spans="1:33" x14ac:dyDescent="0.25">
      <c r="A248" s="9"/>
      <c r="B248" s="9"/>
      <c r="C248" s="9"/>
      <c r="D248" s="9"/>
      <c r="E248" s="9"/>
      <c r="F248" s="9"/>
      <c r="G248" s="6"/>
      <c r="H248" s="9"/>
      <c r="I248" s="9"/>
      <c r="J248" s="9"/>
      <c r="K248" s="9"/>
      <c r="L248" s="9"/>
      <c r="M248" s="9"/>
      <c r="N248" s="9"/>
      <c r="O248" s="9"/>
      <c r="P248" s="18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</row>
    <row r="249" spans="1:33" x14ac:dyDescent="0.25">
      <c r="A249" s="9"/>
      <c r="B249" s="9"/>
      <c r="C249" s="9"/>
      <c r="D249" s="9"/>
      <c r="E249" s="9"/>
      <c r="F249" s="9"/>
      <c r="G249" s="6"/>
      <c r="H249" s="9"/>
      <c r="I249" s="9"/>
      <c r="J249" s="9"/>
      <c r="K249" s="9"/>
      <c r="L249" s="9"/>
      <c r="M249" s="9"/>
      <c r="N249" s="9"/>
      <c r="O249" s="9"/>
      <c r="P249" s="18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</row>
    <row r="250" spans="1:33" x14ac:dyDescent="0.25">
      <c r="A250" s="9"/>
      <c r="B250" s="9"/>
      <c r="C250" s="9"/>
      <c r="D250" s="9"/>
      <c r="E250" s="9"/>
      <c r="F250" s="9"/>
      <c r="G250" s="6"/>
      <c r="H250" s="9"/>
      <c r="I250" s="9"/>
      <c r="J250" s="9"/>
      <c r="K250" s="9"/>
      <c r="L250" s="9"/>
      <c r="M250" s="9"/>
      <c r="N250" s="9"/>
      <c r="O250" s="9"/>
      <c r="P250" s="18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</row>
    <row r="251" spans="1:33" x14ac:dyDescent="0.25">
      <c r="A251" s="9"/>
      <c r="B251" s="9"/>
      <c r="C251" s="9"/>
      <c r="D251" s="9"/>
      <c r="E251" s="9"/>
      <c r="F251" s="9"/>
      <c r="G251" s="6"/>
      <c r="H251" s="9"/>
      <c r="I251" s="9"/>
      <c r="J251" s="9"/>
      <c r="K251" s="9"/>
      <c r="L251" s="9"/>
      <c r="M251" s="9"/>
      <c r="N251" s="9"/>
      <c r="O251" s="9"/>
      <c r="P251" s="18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</row>
    <row r="252" spans="1:33" x14ac:dyDescent="0.25">
      <c r="A252" s="9"/>
      <c r="B252" s="9"/>
      <c r="C252" s="9"/>
      <c r="D252" s="9"/>
      <c r="E252" s="9"/>
      <c r="F252" s="9"/>
      <c r="G252" s="6"/>
      <c r="H252" s="9"/>
      <c r="I252" s="9"/>
      <c r="J252" s="9"/>
      <c r="K252" s="9"/>
      <c r="L252" s="9"/>
      <c r="M252" s="9"/>
      <c r="N252" s="9"/>
      <c r="O252" s="9"/>
      <c r="P252" s="18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</row>
    <row r="253" spans="1:33" x14ac:dyDescent="0.25">
      <c r="A253" s="9"/>
      <c r="B253" s="9"/>
      <c r="C253" s="9"/>
      <c r="D253" s="9"/>
      <c r="E253" s="9"/>
      <c r="F253" s="9"/>
      <c r="G253" s="6"/>
      <c r="H253" s="9"/>
      <c r="I253" s="9"/>
      <c r="J253" s="9"/>
      <c r="K253" s="9"/>
      <c r="L253" s="9"/>
      <c r="M253" s="9"/>
      <c r="N253" s="9"/>
      <c r="O253" s="9"/>
      <c r="P253" s="18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</row>
    <row r="254" spans="1:33" x14ac:dyDescent="0.25">
      <c r="A254" s="9"/>
      <c r="B254" s="9"/>
      <c r="C254" s="9"/>
      <c r="D254" s="9"/>
      <c r="E254" s="9"/>
      <c r="F254" s="9"/>
      <c r="G254" s="6"/>
      <c r="H254" s="9"/>
      <c r="I254" s="9"/>
      <c r="J254" s="9"/>
      <c r="K254" s="9"/>
      <c r="L254" s="9"/>
      <c r="M254" s="9"/>
      <c r="N254" s="9"/>
      <c r="O254" s="9"/>
      <c r="P254" s="18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</row>
    <row r="255" spans="1:33" x14ac:dyDescent="0.25">
      <c r="A255" s="9"/>
      <c r="B255" s="9"/>
      <c r="C255" s="9"/>
      <c r="D255" s="9"/>
      <c r="E255" s="9"/>
      <c r="F255" s="9"/>
      <c r="G255" s="6"/>
      <c r="H255" s="9"/>
      <c r="I255" s="9"/>
      <c r="J255" s="9"/>
      <c r="K255" s="9"/>
      <c r="L255" s="9"/>
      <c r="M255" s="9"/>
      <c r="N255" s="9"/>
      <c r="O255" s="9"/>
      <c r="P255" s="18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</row>
    <row r="256" spans="1:33" x14ac:dyDescent="0.25">
      <c r="A256" s="9"/>
      <c r="B256" s="9"/>
      <c r="C256" s="9"/>
      <c r="D256" s="9"/>
      <c r="E256" s="9"/>
      <c r="F256" s="9"/>
      <c r="G256" s="6"/>
      <c r="H256" s="9"/>
      <c r="I256" s="9"/>
      <c r="J256" s="9"/>
      <c r="K256" s="9"/>
      <c r="L256" s="9"/>
      <c r="M256" s="9"/>
      <c r="N256" s="9"/>
      <c r="O256" s="9"/>
      <c r="P256" s="18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</row>
    <row r="257" spans="1:33" x14ac:dyDescent="0.25">
      <c r="A257" s="9"/>
      <c r="B257" s="9"/>
      <c r="C257" s="9"/>
      <c r="D257" s="9"/>
      <c r="E257" s="9"/>
      <c r="F257" s="9"/>
      <c r="G257" s="6"/>
      <c r="H257" s="9"/>
      <c r="I257" s="9"/>
      <c r="J257" s="9"/>
      <c r="K257" s="9"/>
      <c r="L257" s="9"/>
      <c r="M257" s="9"/>
      <c r="N257" s="9"/>
      <c r="O257" s="9"/>
      <c r="P257" s="18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</row>
    <row r="258" spans="1:33" x14ac:dyDescent="0.25">
      <c r="A258" s="9"/>
      <c r="B258" s="9"/>
      <c r="C258" s="9"/>
      <c r="D258" s="9"/>
      <c r="E258" s="9"/>
      <c r="F258" s="9"/>
      <c r="G258" s="6"/>
      <c r="H258" s="9"/>
      <c r="I258" s="9"/>
      <c r="J258" s="9"/>
      <c r="K258" s="9"/>
      <c r="L258" s="9"/>
      <c r="M258" s="9"/>
      <c r="N258" s="9"/>
      <c r="O258" s="9"/>
      <c r="P258" s="18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</row>
    <row r="259" spans="1:33" x14ac:dyDescent="0.25">
      <c r="A259" s="9"/>
      <c r="B259" s="9"/>
      <c r="C259" s="9"/>
      <c r="D259" s="9"/>
      <c r="E259" s="9"/>
      <c r="F259" s="9"/>
      <c r="G259" s="6"/>
      <c r="H259" s="9"/>
      <c r="I259" s="9"/>
      <c r="J259" s="9"/>
      <c r="K259" s="9"/>
      <c r="L259" s="9"/>
      <c r="M259" s="9"/>
      <c r="N259" s="9"/>
      <c r="O259" s="9"/>
      <c r="P259" s="18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</row>
    <row r="260" spans="1:33" x14ac:dyDescent="0.25">
      <c r="A260" s="9"/>
      <c r="B260" s="9"/>
      <c r="C260" s="9"/>
      <c r="D260" s="9"/>
      <c r="E260" s="9"/>
      <c r="F260" s="9"/>
      <c r="G260" s="6"/>
      <c r="H260" s="9"/>
      <c r="I260" s="9"/>
      <c r="J260" s="9"/>
      <c r="K260" s="9"/>
      <c r="L260" s="9"/>
      <c r="M260" s="9"/>
      <c r="N260" s="9"/>
      <c r="O260" s="9"/>
      <c r="P260" s="18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</row>
    <row r="261" spans="1:33" x14ac:dyDescent="0.25">
      <c r="A261" s="9"/>
      <c r="B261" s="9"/>
      <c r="C261" s="9"/>
      <c r="D261" s="9"/>
      <c r="E261" s="9"/>
      <c r="F261" s="9"/>
      <c r="G261" s="6"/>
      <c r="H261" s="9"/>
      <c r="I261" s="9"/>
      <c r="J261" s="9"/>
      <c r="K261" s="9"/>
      <c r="L261" s="9"/>
      <c r="M261" s="9"/>
      <c r="N261" s="9"/>
      <c r="O261" s="9"/>
      <c r="P261" s="18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</row>
    <row r="262" spans="1:33" x14ac:dyDescent="0.25">
      <c r="A262" s="9"/>
      <c r="B262" s="9"/>
      <c r="C262" s="9"/>
      <c r="D262" s="9"/>
      <c r="E262" s="9"/>
      <c r="F262" s="9"/>
      <c r="G262" s="6"/>
      <c r="H262" s="9"/>
      <c r="I262" s="9"/>
      <c r="J262" s="9"/>
      <c r="K262" s="9"/>
      <c r="L262" s="9"/>
      <c r="M262" s="9"/>
      <c r="N262" s="9"/>
      <c r="O262" s="9"/>
      <c r="P262" s="18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</row>
    <row r="263" spans="1:33" x14ac:dyDescent="0.25">
      <c r="A263" s="9"/>
      <c r="B263" s="9"/>
      <c r="C263" s="9"/>
      <c r="D263" s="9"/>
      <c r="E263" s="9"/>
      <c r="F263" s="9"/>
      <c r="G263" s="6"/>
      <c r="H263" s="9"/>
      <c r="I263" s="9"/>
      <c r="J263" s="9"/>
      <c r="K263" s="9"/>
      <c r="L263" s="9"/>
      <c r="M263" s="9"/>
      <c r="N263" s="9"/>
      <c r="O263" s="9"/>
      <c r="P263" s="18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</row>
    <row r="264" spans="1:33" x14ac:dyDescent="0.25">
      <c r="A264" s="9"/>
      <c r="B264" s="9"/>
      <c r="C264" s="9"/>
      <c r="D264" s="9"/>
      <c r="E264" s="9"/>
      <c r="F264" s="9"/>
      <c r="G264" s="6"/>
      <c r="H264" s="9"/>
      <c r="I264" s="9"/>
      <c r="J264" s="9"/>
      <c r="K264" s="9"/>
      <c r="L264" s="9"/>
      <c r="M264" s="9"/>
      <c r="N264" s="9"/>
      <c r="O264" s="9"/>
      <c r="P264" s="18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</row>
    <row r="265" spans="1:33" x14ac:dyDescent="0.25">
      <c r="A265" s="9"/>
      <c r="B265" s="9"/>
      <c r="C265" s="9"/>
      <c r="D265" s="9"/>
      <c r="E265" s="9"/>
      <c r="F265" s="9"/>
      <c r="G265" s="6"/>
      <c r="H265" s="9"/>
      <c r="I265" s="9"/>
      <c r="J265" s="9"/>
      <c r="K265" s="9"/>
      <c r="L265" s="9"/>
      <c r="M265" s="9"/>
      <c r="N265" s="9"/>
      <c r="O265" s="9"/>
      <c r="P265" s="18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</row>
    <row r="266" spans="1:33" x14ac:dyDescent="0.25">
      <c r="A266" s="9"/>
      <c r="B266" s="9"/>
      <c r="C266" s="9"/>
      <c r="D266" s="9"/>
      <c r="E266" s="9"/>
      <c r="F266" s="9"/>
      <c r="G266" s="6"/>
      <c r="H266" s="9"/>
      <c r="I266" s="9"/>
      <c r="J266" s="9"/>
      <c r="K266" s="9"/>
      <c r="L266" s="9"/>
      <c r="M266" s="9"/>
      <c r="N266" s="9"/>
      <c r="O266" s="9"/>
      <c r="P266" s="18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</row>
    <row r="267" spans="1:33" x14ac:dyDescent="0.25">
      <c r="A267" s="9"/>
      <c r="B267" s="9"/>
      <c r="C267" s="9"/>
      <c r="D267" s="9"/>
      <c r="E267" s="9"/>
      <c r="F267" s="9"/>
      <c r="G267" s="6"/>
      <c r="H267" s="9"/>
      <c r="I267" s="9"/>
      <c r="J267" s="9"/>
      <c r="K267" s="9"/>
      <c r="L267" s="9"/>
      <c r="M267" s="9"/>
      <c r="N267" s="9"/>
      <c r="O267" s="9"/>
      <c r="P267" s="18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</row>
    <row r="268" spans="1:33" x14ac:dyDescent="0.25">
      <c r="A268" s="9"/>
      <c r="B268" s="9"/>
      <c r="C268" s="9"/>
      <c r="D268" s="9"/>
      <c r="E268" s="9"/>
      <c r="F268" s="9"/>
      <c r="G268" s="6"/>
      <c r="H268" s="9"/>
      <c r="I268" s="9"/>
      <c r="J268" s="9"/>
      <c r="K268" s="9"/>
      <c r="L268" s="9"/>
      <c r="M268" s="9"/>
      <c r="N268" s="9"/>
      <c r="O268" s="9"/>
      <c r="P268" s="18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</row>
    <row r="269" spans="1:33" x14ac:dyDescent="0.25">
      <c r="A269" s="9"/>
      <c r="B269" s="9"/>
      <c r="C269" s="9"/>
      <c r="D269" s="9"/>
      <c r="E269" s="9"/>
      <c r="F269" s="9"/>
      <c r="G269" s="6"/>
      <c r="H269" s="9"/>
      <c r="I269" s="9"/>
      <c r="J269" s="9"/>
      <c r="K269" s="9"/>
      <c r="L269" s="9"/>
      <c r="M269" s="9"/>
      <c r="N269" s="9"/>
      <c r="O269" s="9"/>
      <c r="P269" s="18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</row>
    <row r="270" spans="1:33" x14ac:dyDescent="0.25">
      <c r="A270" s="9"/>
      <c r="B270" s="9"/>
      <c r="C270" s="9"/>
      <c r="D270" s="9"/>
      <c r="E270" s="9"/>
      <c r="F270" s="9"/>
      <c r="G270" s="6"/>
      <c r="H270" s="9"/>
      <c r="I270" s="9"/>
      <c r="J270" s="9"/>
      <c r="K270" s="9"/>
      <c r="L270" s="9"/>
      <c r="M270" s="9"/>
      <c r="N270" s="9"/>
      <c r="O270" s="9"/>
      <c r="P270" s="18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</row>
    <row r="271" spans="1:33" x14ac:dyDescent="0.25">
      <c r="A271" s="9"/>
      <c r="B271" s="9"/>
      <c r="C271" s="9"/>
      <c r="D271" s="9"/>
      <c r="E271" s="9"/>
      <c r="F271" s="9"/>
      <c r="G271" s="6"/>
      <c r="H271" s="9"/>
      <c r="I271" s="9"/>
      <c r="J271" s="9"/>
      <c r="K271" s="9"/>
      <c r="L271" s="9"/>
      <c r="M271" s="9"/>
      <c r="N271" s="9"/>
      <c r="O271" s="9"/>
      <c r="P271" s="18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</row>
    <row r="272" spans="1:33" x14ac:dyDescent="0.25">
      <c r="A272" s="9"/>
      <c r="B272" s="9"/>
      <c r="C272" s="9"/>
      <c r="D272" s="9"/>
      <c r="E272" s="9"/>
      <c r="F272" s="9"/>
      <c r="G272" s="6"/>
      <c r="H272" s="9"/>
      <c r="I272" s="9"/>
      <c r="J272" s="9"/>
      <c r="K272" s="9"/>
      <c r="L272" s="9"/>
      <c r="M272" s="9"/>
      <c r="N272" s="9"/>
      <c r="O272" s="9"/>
      <c r="P272" s="18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</row>
    <row r="273" spans="1:33" x14ac:dyDescent="0.25">
      <c r="A273" s="9"/>
      <c r="B273" s="9"/>
      <c r="C273" s="9"/>
      <c r="D273" s="9"/>
      <c r="E273" s="9"/>
      <c r="F273" s="9"/>
      <c r="G273" s="6"/>
      <c r="H273" s="9"/>
      <c r="I273" s="9"/>
      <c r="J273" s="9"/>
      <c r="K273" s="9"/>
      <c r="L273" s="9"/>
      <c r="M273" s="9"/>
      <c r="N273" s="9"/>
      <c r="O273" s="9"/>
      <c r="P273" s="18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</row>
    <row r="274" spans="1:33" x14ac:dyDescent="0.25">
      <c r="A274" s="9"/>
      <c r="B274" s="9"/>
      <c r="C274" s="9"/>
      <c r="D274" s="9"/>
      <c r="E274" s="9"/>
      <c r="F274" s="9"/>
      <c r="G274" s="6"/>
      <c r="H274" s="9"/>
      <c r="I274" s="9"/>
      <c r="J274" s="9"/>
      <c r="K274" s="9"/>
      <c r="L274" s="9"/>
      <c r="M274" s="9"/>
      <c r="N274" s="9"/>
      <c r="O274" s="9"/>
      <c r="P274" s="18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</row>
    <row r="275" spans="1:33" x14ac:dyDescent="0.25">
      <c r="A275" s="9"/>
      <c r="B275" s="9"/>
      <c r="C275" s="9"/>
      <c r="D275" s="9"/>
      <c r="E275" s="9"/>
      <c r="F275" s="9"/>
      <c r="G275" s="6"/>
      <c r="H275" s="9"/>
      <c r="I275" s="9"/>
      <c r="J275" s="9"/>
      <c r="K275" s="9"/>
      <c r="L275" s="9"/>
      <c r="M275" s="9"/>
      <c r="N275" s="9"/>
      <c r="O275" s="9"/>
      <c r="P275" s="18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</row>
    <row r="276" spans="1:33" x14ac:dyDescent="0.25">
      <c r="A276" s="9"/>
      <c r="B276" s="9"/>
      <c r="C276" s="9"/>
      <c r="D276" s="9"/>
      <c r="E276" s="9"/>
      <c r="F276" s="9"/>
      <c r="G276" s="6"/>
      <c r="H276" s="9"/>
      <c r="I276" s="9"/>
      <c r="J276" s="9"/>
      <c r="K276" s="9"/>
      <c r="L276" s="9"/>
      <c r="M276" s="9"/>
      <c r="N276" s="9"/>
      <c r="O276" s="9"/>
      <c r="P276" s="18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</row>
    <row r="277" spans="1:33" x14ac:dyDescent="0.25">
      <c r="A277" s="9"/>
      <c r="B277" s="9"/>
      <c r="C277" s="9"/>
      <c r="D277" s="9"/>
      <c r="E277" s="9"/>
      <c r="F277" s="9"/>
      <c r="G277" s="6"/>
      <c r="H277" s="9"/>
      <c r="I277" s="9"/>
      <c r="J277" s="9"/>
      <c r="K277" s="9"/>
      <c r="L277" s="9"/>
      <c r="M277" s="9"/>
      <c r="N277" s="9"/>
      <c r="O277" s="9"/>
      <c r="P277" s="18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</row>
    <row r="278" spans="1:33" x14ac:dyDescent="0.25">
      <c r="A278" s="9"/>
      <c r="B278" s="9"/>
      <c r="C278" s="9"/>
      <c r="D278" s="9"/>
      <c r="E278" s="9"/>
      <c r="F278" s="9"/>
      <c r="G278" s="6"/>
      <c r="H278" s="9"/>
      <c r="I278" s="9"/>
      <c r="J278" s="9"/>
      <c r="K278" s="9"/>
      <c r="L278" s="9"/>
      <c r="M278" s="9"/>
      <c r="N278" s="9"/>
      <c r="O278" s="9"/>
      <c r="P278" s="18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</row>
    <row r="279" spans="1:33" x14ac:dyDescent="0.25">
      <c r="A279" s="9"/>
      <c r="B279" s="9"/>
      <c r="C279" s="9"/>
      <c r="D279" s="9"/>
      <c r="E279" s="9"/>
      <c r="F279" s="9"/>
      <c r="G279" s="6"/>
      <c r="H279" s="9"/>
      <c r="I279" s="9"/>
      <c r="J279" s="9"/>
      <c r="K279" s="9"/>
      <c r="L279" s="9"/>
      <c r="M279" s="9"/>
      <c r="N279" s="9"/>
      <c r="O279" s="9"/>
      <c r="P279" s="18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</row>
    <row r="280" spans="1:33" x14ac:dyDescent="0.25">
      <c r="A280" s="9"/>
      <c r="B280" s="9"/>
      <c r="C280" s="9"/>
      <c r="D280" s="9"/>
      <c r="E280" s="9"/>
      <c r="F280" s="9"/>
      <c r="G280" s="6"/>
      <c r="H280" s="9"/>
      <c r="I280" s="9"/>
      <c r="J280" s="9"/>
      <c r="K280" s="9"/>
      <c r="L280" s="9"/>
      <c r="M280" s="9"/>
      <c r="N280" s="9"/>
      <c r="O280" s="9"/>
      <c r="P280" s="18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</row>
    <row r="281" spans="1:33" x14ac:dyDescent="0.25">
      <c r="A281" s="9"/>
      <c r="B281" s="9"/>
      <c r="C281" s="9"/>
      <c r="D281" s="9"/>
      <c r="E281" s="9"/>
      <c r="F281" s="9"/>
      <c r="G281" s="6"/>
      <c r="H281" s="9"/>
      <c r="I281" s="9"/>
      <c r="J281" s="9"/>
      <c r="K281" s="9"/>
      <c r="L281" s="9"/>
      <c r="M281" s="9"/>
      <c r="N281" s="9"/>
      <c r="O281" s="9"/>
      <c r="P281" s="18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</row>
    <row r="282" spans="1:33" x14ac:dyDescent="0.25">
      <c r="A282" s="9"/>
      <c r="B282" s="9"/>
      <c r="C282" s="9"/>
      <c r="D282" s="9"/>
      <c r="E282" s="9"/>
      <c r="F282" s="9"/>
      <c r="G282" s="6"/>
      <c r="H282" s="9"/>
      <c r="I282" s="9"/>
      <c r="J282" s="9"/>
      <c r="K282" s="9"/>
      <c r="L282" s="9"/>
      <c r="M282" s="9"/>
      <c r="N282" s="9"/>
      <c r="O282" s="9"/>
      <c r="P282" s="18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</row>
    <row r="283" spans="1:33" x14ac:dyDescent="0.25">
      <c r="A283" s="9"/>
      <c r="B283" s="9"/>
      <c r="C283" s="9"/>
      <c r="D283" s="9"/>
      <c r="E283" s="9"/>
      <c r="F283" s="9"/>
      <c r="G283" s="6"/>
      <c r="H283" s="9"/>
      <c r="I283" s="9"/>
      <c r="J283" s="9"/>
      <c r="K283" s="9"/>
      <c r="L283" s="9"/>
      <c r="M283" s="9"/>
      <c r="N283" s="9"/>
      <c r="O283" s="9"/>
      <c r="P283" s="18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</row>
    <row r="284" spans="1:33" x14ac:dyDescent="0.25">
      <c r="A284" s="9"/>
      <c r="B284" s="9"/>
      <c r="C284" s="9"/>
      <c r="D284" s="9"/>
      <c r="E284" s="9"/>
      <c r="F284" s="9"/>
      <c r="G284" s="6"/>
      <c r="H284" s="9"/>
      <c r="I284" s="9"/>
      <c r="J284" s="9"/>
      <c r="K284" s="9"/>
      <c r="L284" s="9"/>
      <c r="M284" s="9"/>
      <c r="N284" s="9"/>
      <c r="O284" s="9"/>
      <c r="P284" s="18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</row>
    <row r="285" spans="1:33" x14ac:dyDescent="0.25">
      <c r="A285" s="9"/>
      <c r="B285" s="9"/>
      <c r="C285" s="9"/>
      <c r="D285" s="9"/>
      <c r="E285" s="9"/>
      <c r="F285" s="9"/>
      <c r="G285" s="6"/>
      <c r="H285" s="9"/>
      <c r="I285" s="9"/>
      <c r="J285" s="9"/>
      <c r="K285" s="9"/>
      <c r="L285" s="9"/>
      <c r="M285" s="9"/>
      <c r="N285" s="9"/>
      <c r="O285" s="9"/>
      <c r="P285" s="18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</row>
    <row r="286" spans="1:33" x14ac:dyDescent="0.25">
      <c r="A286" s="9"/>
      <c r="B286" s="9"/>
      <c r="C286" s="9"/>
      <c r="D286" s="9"/>
      <c r="E286" s="9"/>
      <c r="F286" s="9"/>
      <c r="G286" s="6"/>
      <c r="H286" s="9"/>
      <c r="I286" s="9"/>
      <c r="J286" s="9"/>
      <c r="K286" s="9"/>
      <c r="L286" s="9"/>
      <c r="M286" s="9"/>
      <c r="N286" s="9"/>
      <c r="O286" s="9"/>
      <c r="P286" s="18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</row>
    <row r="287" spans="1:33" x14ac:dyDescent="0.25">
      <c r="A287" s="9"/>
      <c r="B287" s="9"/>
      <c r="C287" s="9"/>
      <c r="D287" s="9"/>
      <c r="E287" s="9"/>
      <c r="F287" s="9"/>
      <c r="G287" s="6"/>
      <c r="H287" s="9"/>
      <c r="I287" s="9"/>
      <c r="J287" s="9"/>
      <c r="K287" s="9"/>
      <c r="L287" s="9"/>
      <c r="M287" s="9"/>
      <c r="N287" s="9"/>
      <c r="O287" s="9"/>
      <c r="P287" s="18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</row>
    <row r="288" spans="1:33" x14ac:dyDescent="0.25">
      <c r="A288" s="9"/>
      <c r="B288" s="9"/>
      <c r="C288" s="9"/>
      <c r="D288" s="9"/>
      <c r="E288" s="9"/>
      <c r="F288" s="9"/>
      <c r="G288" s="6"/>
      <c r="H288" s="9"/>
      <c r="I288" s="9"/>
      <c r="J288" s="9"/>
      <c r="K288" s="9"/>
      <c r="L288" s="9"/>
      <c r="M288" s="9"/>
      <c r="N288" s="9"/>
      <c r="O288" s="9"/>
      <c r="P288" s="18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</row>
    <row r="289" spans="1:33" x14ac:dyDescent="0.25">
      <c r="A289" s="9"/>
      <c r="B289" s="9"/>
      <c r="C289" s="9"/>
      <c r="D289" s="9"/>
      <c r="E289" s="9"/>
      <c r="F289" s="9"/>
      <c r="G289" s="6"/>
      <c r="H289" s="9"/>
      <c r="I289" s="9"/>
      <c r="J289" s="9"/>
      <c r="K289" s="9"/>
      <c r="L289" s="9"/>
      <c r="M289" s="9"/>
      <c r="N289" s="9"/>
      <c r="O289" s="9"/>
      <c r="P289" s="18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</row>
    <row r="290" spans="1:33" x14ac:dyDescent="0.25">
      <c r="A290" s="9"/>
      <c r="B290" s="9"/>
      <c r="C290" s="9"/>
      <c r="D290" s="9"/>
      <c r="E290" s="9"/>
      <c r="F290" s="9"/>
      <c r="G290" s="6"/>
      <c r="H290" s="9"/>
      <c r="I290" s="9"/>
      <c r="J290" s="9"/>
      <c r="K290" s="9"/>
      <c r="L290" s="9"/>
      <c r="M290" s="9"/>
      <c r="N290" s="9"/>
      <c r="O290" s="9"/>
      <c r="P290" s="18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</row>
    <row r="291" spans="1:33" x14ac:dyDescent="0.25">
      <c r="A291" s="9"/>
      <c r="B291" s="9"/>
      <c r="C291" s="9"/>
      <c r="D291" s="9"/>
      <c r="E291" s="9"/>
      <c r="F291" s="9"/>
      <c r="G291" s="6"/>
      <c r="H291" s="9"/>
      <c r="I291" s="9"/>
      <c r="J291" s="9"/>
      <c r="K291" s="9"/>
      <c r="L291" s="9"/>
      <c r="M291" s="9"/>
      <c r="N291" s="9"/>
      <c r="O291" s="9"/>
      <c r="P291" s="18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</row>
    <row r="292" spans="1:33" x14ac:dyDescent="0.25">
      <c r="A292" s="9"/>
      <c r="B292" s="9"/>
      <c r="C292" s="9"/>
      <c r="D292" s="9"/>
      <c r="E292" s="9"/>
      <c r="F292" s="9"/>
      <c r="G292" s="6"/>
      <c r="H292" s="9"/>
      <c r="I292" s="9"/>
      <c r="J292" s="9"/>
      <c r="K292" s="9"/>
      <c r="L292" s="9"/>
      <c r="M292" s="9"/>
      <c r="N292" s="9"/>
      <c r="O292" s="9"/>
      <c r="P292" s="18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</row>
    <row r="293" spans="1:33" x14ac:dyDescent="0.25">
      <c r="A293" s="9"/>
      <c r="B293" s="9"/>
      <c r="C293" s="9"/>
      <c r="D293" s="9"/>
      <c r="E293" s="9"/>
      <c r="F293" s="9"/>
      <c r="G293" s="6"/>
      <c r="H293" s="9"/>
      <c r="I293" s="9"/>
      <c r="J293" s="9"/>
      <c r="K293" s="9"/>
      <c r="L293" s="9"/>
      <c r="M293" s="9"/>
      <c r="N293" s="9"/>
      <c r="O293" s="9"/>
      <c r="P293" s="18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</row>
    <row r="294" spans="1:33" x14ac:dyDescent="0.25">
      <c r="A294" s="9"/>
      <c r="B294" s="9"/>
      <c r="C294" s="9"/>
      <c r="D294" s="9"/>
      <c r="E294" s="9"/>
      <c r="F294" s="9"/>
      <c r="G294" s="6"/>
      <c r="H294" s="9"/>
      <c r="I294" s="9"/>
      <c r="J294" s="9"/>
      <c r="K294" s="9"/>
      <c r="L294" s="9"/>
      <c r="M294" s="9"/>
      <c r="N294" s="9"/>
      <c r="O294" s="9"/>
      <c r="P294" s="18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</row>
    <row r="295" spans="1:33" x14ac:dyDescent="0.25">
      <c r="A295" s="9"/>
      <c r="B295" s="9"/>
      <c r="C295" s="9"/>
      <c r="D295" s="9"/>
      <c r="E295" s="9"/>
      <c r="F295" s="9"/>
      <c r="G295" s="6"/>
      <c r="H295" s="9"/>
      <c r="I295" s="9"/>
      <c r="J295" s="9"/>
      <c r="K295" s="9"/>
      <c r="L295" s="9"/>
      <c r="M295" s="9"/>
      <c r="N295" s="9"/>
      <c r="O295" s="9"/>
      <c r="P295" s="18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</row>
    <row r="296" spans="1:33" x14ac:dyDescent="0.25">
      <c r="A296" s="9"/>
      <c r="B296" s="9"/>
      <c r="C296" s="9"/>
      <c r="D296" s="9"/>
      <c r="E296" s="9"/>
      <c r="F296" s="9"/>
      <c r="G296" s="6"/>
      <c r="H296" s="9"/>
      <c r="I296" s="9"/>
      <c r="J296" s="9"/>
      <c r="K296" s="9"/>
      <c r="L296" s="9"/>
      <c r="M296" s="9"/>
      <c r="N296" s="9"/>
      <c r="O296" s="9"/>
      <c r="P296" s="18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</row>
    <row r="297" spans="1:33" x14ac:dyDescent="0.25">
      <c r="A297" s="9"/>
      <c r="B297" s="9"/>
      <c r="C297" s="9"/>
      <c r="D297" s="9"/>
      <c r="E297" s="9"/>
      <c r="F297" s="9"/>
      <c r="G297" s="6"/>
      <c r="H297" s="9"/>
      <c r="I297" s="9"/>
      <c r="J297" s="9"/>
      <c r="K297" s="9"/>
      <c r="L297" s="9"/>
      <c r="M297" s="9"/>
      <c r="N297" s="9"/>
      <c r="O297" s="9"/>
      <c r="P297" s="18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</row>
    <row r="298" spans="1:33" x14ac:dyDescent="0.25">
      <c r="A298" s="9"/>
      <c r="B298" s="9"/>
      <c r="C298" s="9"/>
      <c r="D298" s="9"/>
      <c r="E298" s="9"/>
      <c r="F298" s="9"/>
      <c r="G298" s="6"/>
      <c r="H298" s="9"/>
      <c r="I298" s="9"/>
      <c r="J298" s="9"/>
      <c r="K298" s="9"/>
      <c r="L298" s="9"/>
      <c r="M298" s="9"/>
      <c r="N298" s="9"/>
      <c r="O298" s="9"/>
      <c r="P298" s="18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</row>
    <row r="299" spans="1:33" x14ac:dyDescent="0.25">
      <c r="A299" s="9"/>
      <c r="B299" s="9"/>
      <c r="C299" s="9"/>
      <c r="D299" s="9"/>
      <c r="E299" s="9"/>
      <c r="F299" s="9"/>
      <c r="G299" s="6"/>
      <c r="H299" s="9"/>
      <c r="I299" s="9"/>
      <c r="J299" s="9"/>
      <c r="K299" s="9"/>
      <c r="L299" s="9"/>
      <c r="M299" s="9"/>
      <c r="N299" s="9"/>
      <c r="O299" s="9"/>
      <c r="P299" s="18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</row>
    <row r="300" spans="1:33" x14ac:dyDescent="0.25">
      <c r="A300" s="9"/>
      <c r="B300" s="9"/>
      <c r="C300" s="9"/>
      <c r="D300" s="9"/>
      <c r="E300" s="9"/>
      <c r="F300" s="9"/>
      <c r="G300" s="6"/>
      <c r="H300" s="9"/>
      <c r="I300" s="9"/>
      <c r="J300" s="9"/>
      <c r="K300" s="9"/>
      <c r="L300" s="9"/>
      <c r="M300" s="9"/>
      <c r="N300" s="9"/>
      <c r="O300" s="9"/>
      <c r="P300" s="18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</row>
    <row r="301" spans="1:33" x14ac:dyDescent="0.25">
      <c r="A301" s="9"/>
      <c r="B301" s="9"/>
      <c r="C301" s="9"/>
      <c r="D301" s="9"/>
      <c r="E301" s="9"/>
      <c r="F301" s="9"/>
      <c r="G301" s="6"/>
      <c r="H301" s="9"/>
      <c r="I301" s="9"/>
      <c r="J301" s="9"/>
      <c r="K301" s="9"/>
      <c r="L301" s="9"/>
      <c r="M301" s="9"/>
      <c r="N301" s="9"/>
      <c r="O301" s="9"/>
      <c r="P301" s="18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</row>
    <row r="302" spans="1:33" x14ac:dyDescent="0.25">
      <c r="A302" s="9"/>
      <c r="B302" s="9"/>
      <c r="C302" s="9"/>
      <c r="D302" s="9"/>
      <c r="E302" s="9"/>
      <c r="F302" s="9"/>
      <c r="G302" s="6"/>
      <c r="H302" s="9"/>
      <c r="I302" s="9"/>
      <c r="J302" s="9"/>
      <c r="K302" s="9"/>
      <c r="L302" s="9"/>
      <c r="M302" s="9"/>
      <c r="N302" s="9"/>
      <c r="O302" s="9"/>
      <c r="P302" s="18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</row>
    <row r="303" spans="1:33" x14ac:dyDescent="0.25">
      <c r="A303" s="9"/>
      <c r="B303" s="9"/>
      <c r="C303" s="9"/>
      <c r="D303" s="9"/>
      <c r="E303" s="9"/>
      <c r="F303" s="9"/>
      <c r="G303" s="6"/>
      <c r="H303" s="9"/>
      <c r="I303" s="9"/>
      <c r="J303" s="9"/>
      <c r="K303" s="9"/>
      <c r="L303" s="9"/>
      <c r="M303" s="9"/>
      <c r="N303" s="9"/>
      <c r="O303" s="9"/>
      <c r="P303" s="18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</row>
    <row r="304" spans="1:33" x14ac:dyDescent="0.25">
      <c r="A304" s="9"/>
      <c r="B304" s="9"/>
      <c r="C304" s="9"/>
      <c r="D304" s="9"/>
      <c r="E304" s="9"/>
      <c r="F304" s="9"/>
      <c r="G304" s="6"/>
      <c r="H304" s="9"/>
      <c r="I304" s="9"/>
      <c r="J304" s="9"/>
      <c r="K304" s="9"/>
      <c r="L304" s="9"/>
      <c r="M304" s="9"/>
      <c r="N304" s="9"/>
      <c r="O304" s="9"/>
      <c r="P304" s="18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</row>
    <row r="305" spans="1:33" x14ac:dyDescent="0.25">
      <c r="A305" s="9"/>
      <c r="B305" s="9"/>
      <c r="C305" s="9"/>
      <c r="D305" s="9"/>
      <c r="E305" s="9"/>
      <c r="F305" s="9"/>
      <c r="G305" s="6"/>
      <c r="H305" s="9"/>
      <c r="I305" s="9"/>
      <c r="J305" s="9"/>
      <c r="K305" s="9"/>
      <c r="L305" s="9"/>
      <c r="M305" s="9"/>
      <c r="N305" s="9"/>
      <c r="O305" s="9"/>
      <c r="P305" s="18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</row>
    <row r="306" spans="1:33" x14ac:dyDescent="0.25">
      <c r="A306" s="9"/>
      <c r="B306" s="9"/>
      <c r="C306" s="9"/>
      <c r="D306" s="9"/>
      <c r="E306" s="9"/>
      <c r="F306" s="9"/>
      <c r="G306" s="6"/>
      <c r="H306" s="9"/>
      <c r="I306" s="9"/>
      <c r="J306" s="9"/>
      <c r="K306" s="9"/>
      <c r="L306" s="9"/>
      <c r="M306" s="9"/>
      <c r="N306" s="9"/>
      <c r="O306" s="9"/>
      <c r="P306" s="18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</row>
    <row r="307" spans="1:33" x14ac:dyDescent="0.25">
      <c r="A307" s="9"/>
      <c r="B307" s="9"/>
      <c r="C307" s="9"/>
      <c r="D307" s="9"/>
      <c r="E307" s="9"/>
      <c r="F307" s="9"/>
      <c r="G307" s="6"/>
      <c r="H307" s="9"/>
      <c r="I307" s="9"/>
      <c r="J307" s="9"/>
      <c r="K307" s="9"/>
      <c r="L307" s="9"/>
      <c r="M307" s="9"/>
      <c r="N307" s="9"/>
      <c r="O307" s="9"/>
      <c r="P307" s="18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</row>
    <row r="308" spans="1:33" x14ac:dyDescent="0.25">
      <c r="A308" s="9"/>
      <c r="B308" s="9"/>
      <c r="C308" s="9"/>
      <c r="D308" s="9"/>
      <c r="E308" s="9"/>
      <c r="F308" s="9"/>
      <c r="G308" s="6"/>
      <c r="H308" s="9"/>
      <c r="I308" s="9"/>
      <c r="J308" s="9"/>
      <c r="K308" s="9"/>
      <c r="L308" s="9"/>
      <c r="M308" s="9"/>
      <c r="N308" s="9"/>
      <c r="O308" s="9"/>
      <c r="P308" s="18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</row>
    <row r="309" spans="1:33" x14ac:dyDescent="0.25">
      <c r="A309" s="9"/>
      <c r="B309" s="9"/>
      <c r="C309" s="9"/>
      <c r="D309" s="9"/>
      <c r="E309" s="9"/>
      <c r="F309" s="9"/>
      <c r="G309" s="6"/>
      <c r="H309" s="9"/>
      <c r="I309" s="9"/>
      <c r="J309" s="9"/>
      <c r="K309" s="9"/>
      <c r="L309" s="9"/>
      <c r="M309" s="9"/>
      <c r="N309" s="9"/>
      <c r="O309" s="9"/>
      <c r="P309" s="18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</row>
    <row r="310" spans="1:33" x14ac:dyDescent="0.25">
      <c r="A310" s="9"/>
      <c r="B310" s="9"/>
      <c r="C310" s="9"/>
      <c r="D310" s="9"/>
      <c r="E310" s="9"/>
      <c r="F310" s="9"/>
      <c r="G310" s="6"/>
      <c r="H310" s="9"/>
      <c r="I310" s="9"/>
      <c r="J310" s="9"/>
      <c r="K310" s="9"/>
      <c r="L310" s="9"/>
      <c r="M310" s="9"/>
      <c r="N310" s="9"/>
      <c r="O310" s="9"/>
      <c r="P310" s="18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</row>
    <row r="311" spans="1:33" x14ac:dyDescent="0.25">
      <c r="A311" s="9"/>
      <c r="B311" s="9"/>
      <c r="C311" s="9"/>
      <c r="D311" s="9"/>
      <c r="E311" s="9"/>
      <c r="F311" s="9"/>
      <c r="G311" s="6"/>
      <c r="H311" s="9"/>
      <c r="I311" s="9"/>
      <c r="J311" s="9"/>
      <c r="K311" s="9"/>
      <c r="L311" s="9"/>
      <c r="M311" s="9"/>
      <c r="N311" s="9"/>
      <c r="O311" s="9"/>
      <c r="P311" s="18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</row>
    <row r="312" spans="1:33" x14ac:dyDescent="0.25">
      <c r="A312" s="9"/>
      <c r="B312" s="9"/>
      <c r="C312" s="9"/>
      <c r="D312" s="9"/>
      <c r="E312" s="9"/>
      <c r="F312" s="9"/>
      <c r="G312" s="6"/>
      <c r="H312" s="9"/>
      <c r="I312" s="9"/>
      <c r="J312" s="9"/>
      <c r="K312" s="9"/>
      <c r="L312" s="9"/>
      <c r="M312" s="9"/>
      <c r="N312" s="9"/>
      <c r="O312" s="9"/>
      <c r="P312" s="18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</row>
    <row r="313" spans="1:33" x14ac:dyDescent="0.25">
      <c r="A313" s="9"/>
      <c r="B313" s="9"/>
      <c r="C313" s="9"/>
      <c r="D313" s="9"/>
      <c r="E313" s="9"/>
      <c r="F313" s="9"/>
      <c r="G313" s="6"/>
      <c r="H313" s="9"/>
      <c r="I313" s="9"/>
      <c r="J313" s="9"/>
      <c r="K313" s="9"/>
      <c r="L313" s="9"/>
      <c r="M313" s="9"/>
      <c r="N313" s="9"/>
      <c r="O313" s="9"/>
      <c r="P313" s="18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</row>
    <row r="314" spans="1:33" x14ac:dyDescent="0.25">
      <c r="A314" s="9"/>
      <c r="B314" s="9"/>
      <c r="C314" s="9"/>
      <c r="D314" s="9"/>
      <c r="E314" s="9"/>
      <c r="F314" s="9"/>
      <c r="G314" s="6"/>
      <c r="H314" s="9"/>
      <c r="I314" s="9"/>
      <c r="J314" s="9"/>
      <c r="K314" s="9"/>
      <c r="L314" s="9"/>
      <c r="M314" s="9"/>
      <c r="N314" s="9"/>
      <c r="O314" s="9"/>
      <c r="P314" s="18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</row>
    <row r="315" spans="1:33" x14ac:dyDescent="0.25">
      <c r="A315" s="9"/>
      <c r="B315" s="9"/>
      <c r="C315" s="9"/>
      <c r="D315" s="9"/>
      <c r="E315" s="9"/>
      <c r="F315" s="9"/>
      <c r="G315" s="6"/>
      <c r="H315" s="9"/>
      <c r="I315" s="9"/>
      <c r="J315" s="9"/>
      <c r="K315" s="9"/>
      <c r="L315" s="9"/>
      <c r="M315" s="9"/>
      <c r="N315" s="9"/>
      <c r="O315" s="9"/>
      <c r="P315" s="18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</row>
    <row r="316" spans="1:33" x14ac:dyDescent="0.25">
      <c r="A316" s="9"/>
      <c r="B316" s="9"/>
      <c r="C316" s="9"/>
      <c r="D316" s="9"/>
      <c r="E316" s="9"/>
      <c r="F316" s="9"/>
      <c r="G316" s="6"/>
      <c r="H316" s="9"/>
      <c r="I316" s="9"/>
      <c r="J316" s="9"/>
      <c r="K316" s="9"/>
      <c r="L316" s="9"/>
      <c r="M316" s="9"/>
      <c r="N316" s="9"/>
      <c r="O316" s="9"/>
      <c r="P316" s="18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</row>
    <row r="317" spans="1:33" x14ac:dyDescent="0.25">
      <c r="A317" s="9"/>
      <c r="B317" s="9"/>
      <c r="C317" s="9"/>
      <c r="D317" s="9"/>
      <c r="E317" s="9"/>
      <c r="F317" s="9"/>
      <c r="G317" s="6"/>
      <c r="H317" s="9"/>
      <c r="I317" s="9"/>
      <c r="J317" s="9"/>
      <c r="K317" s="9"/>
      <c r="L317" s="9"/>
      <c r="M317" s="9"/>
      <c r="N317" s="9"/>
      <c r="O317" s="9"/>
      <c r="P317" s="18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</row>
    <row r="318" spans="1:33" x14ac:dyDescent="0.25">
      <c r="A318" s="9"/>
      <c r="B318" s="9"/>
      <c r="C318" s="9"/>
      <c r="D318" s="9"/>
      <c r="E318" s="9"/>
      <c r="F318" s="9"/>
      <c r="G318" s="6"/>
      <c r="H318" s="9"/>
      <c r="I318" s="9"/>
      <c r="J318" s="9"/>
      <c r="K318" s="9"/>
      <c r="L318" s="9"/>
      <c r="M318" s="9"/>
      <c r="N318" s="9"/>
      <c r="O318" s="9"/>
      <c r="P318" s="18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</row>
    <row r="319" spans="1:33" x14ac:dyDescent="0.25">
      <c r="A319" s="9"/>
      <c r="B319" s="9"/>
      <c r="C319" s="9"/>
      <c r="D319" s="9"/>
      <c r="E319" s="9"/>
      <c r="F319" s="9"/>
      <c r="G319" s="6"/>
      <c r="H319" s="9"/>
      <c r="I319" s="9"/>
      <c r="J319" s="9"/>
      <c r="K319" s="9"/>
      <c r="L319" s="9"/>
      <c r="M319" s="9"/>
      <c r="N319" s="9"/>
      <c r="O319" s="9"/>
      <c r="P319" s="18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</row>
    <row r="320" spans="1:33" x14ac:dyDescent="0.25">
      <c r="A320" s="9"/>
      <c r="B320" s="9"/>
      <c r="C320" s="9"/>
      <c r="D320" s="9"/>
      <c r="E320" s="9"/>
      <c r="F320" s="9"/>
      <c r="G320" s="6"/>
      <c r="H320" s="9"/>
      <c r="I320" s="9"/>
      <c r="J320" s="9"/>
      <c r="K320" s="9"/>
      <c r="L320" s="9"/>
      <c r="M320" s="9"/>
      <c r="N320" s="9"/>
      <c r="O320" s="9"/>
      <c r="P320" s="18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</row>
    <row r="321" spans="1:33" x14ac:dyDescent="0.25">
      <c r="A321" s="9"/>
      <c r="B321" s="9"/>
      <c r="C321" s="9"/>
      <c r="D321" s="9"/>
      <c r="E321" s="9"/>
      <c r="F321" s="9"/>
      <c r="G321" s="6"/>
      <c r="H321" s="9"/>
      <c r="I321" s="9"/>
      <c r="J321" s="9"/>
      <c r="K321" s="9"/>
      <c r="L321" s="9"/>
      <c r="M321" s="9"/>
      <c r="N321" s="9"/>
      <c r="O321" s="9"/>
      <c r="P321" s="18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</row>
    <row r="322" spans="1:33" x14ac:dyDescent="0.25">
      <c r="A322" s="9"/>
      <c r="B322" s="9"/>
      <c r="C322" s="9"/>
      <c r="D322" s="9"/>
      <c r="E322" s="9"/>
      <c r="F322" s="9"/>
      <c r="G322" s="6"/>
      <c r="H322" s="9"/>
      <c r="I322" s="9"/>
      <c r="J322" s="9"/>
      <c r="K322" s="9"/>
      <c r="L322" s="9"/>
      <c r="M322" s="9"/>
      <c r="N322" s="9"/>
      <c r="O322" s="9"/>
      <c r="P322" s="18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</row>
    <row r="323" spans="1:33" x14ac:dyDescent="0.25">
      <c r="A323" s="9"/>
      <c r="B323" s="9"/>
      <c r="C323" s="9"/>
      <c r="D323" s="9"/>
      <c r="E323" s="9"/>
      <c r="F323" s="9"/>
      <c r="G323" s="6"/>
      <c r="H323" s="9"/>
      <c r="I323" s="9"/>
      <c r="J323" s="9"/>
      <c r="K323" s="9"/>
      <c r="L323" s="9"/>
      <c r="M323" s="9"/>
      <c r="N323" s="9"/>
      <c r="O323" s="9"/>
      <c r="P323" s="18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</row>
    <row r="324" spans="1:33" x14ac:dyDescent="0.25">
      <c r="A324" s="9"/>
      <c r="B324" s="9"/>
      <c r="C324" s="9"/>
      <c r="D324" s="9"/>
      <c r="E324" s="9"/>
      <c r="F324" s="9"/>
      <c r="G324" s="6"/>
      <c r="H324" s="9"/>
      <c r="I324" s="9"/>
      <c r="J324" s="9"/>
      <c r="K324" s="9"/>
      <c r="L324" s="9"/>
      <c r="M324" s="9"/>
      <c r="N324" s="9"/>
      <c r="O324" s="9"/>
      <c r="P324" s="18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</row>
    <row r="325" spans="1:33" x14ac:dyDescent="0.25">
      <c r="A325" s="9"/>
      <c r="B325" s="9"/>
      <c r="C325" s="9"/>
      <c r="D325" s="9"/>
      <c r="E325" s="9"/>
      <c r="F325" s="9"/>
      <c r="G325" s="6"/>
      <c r="H325" s="9"/>
      <c r="I325" s="9"/>
      <c r="J325" s="9"/>
      <c r="K325" s="9"/>
      <c r="L325" s="9"/>
      <c r="M325" s="9"/>
      <c r="N325" s="9"/>
      <c r="O325" s="9"/>
      <c r="P325" s="18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</row>
    <row r="326" spans="1:33" x14ac:dyDescent="0.25">
      <c r="A326" s="9"/>
      <c r="B326" s="9"/>
      <c r="C326" s="9"/>
      <c r="D326" s="9"/>
      <c r="E326" s="9"/>
      <c r="F326" s="9"/>
      <c r="G326" s="6"/>
      <c r="H326" s="9"/>
      <c r="I326" s="9"/>
      <c r="J326" s="9"/>
      <c r="K326" s="9"/>
      <c r="L326" s="9"/>
      <c r="M326" s="9"/>
      <c r="N326" s="9"/>
      <c r="O326" s="9"/>
      <c r="P326" s="18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</row>
    <row r="327" spans="1:33" x14ac:dyDescent="0.25">
      <c r="A327" s="9"/>
      <c r="B327" s="9"/>
      <c r="C327" s="9"/>
      <c r="D327" s="9"/>
      <c r="E327" s="9"/>
      <c r="F327" s="9"/>
      <c r="G327" s="6"/>
      <c r="H327" s="9"/>
      <c r="I327" s="9"/>
      <c r="J327" s="9"/>
      <c r="K327" s="9"/>
      <c r="L327" s="9"/>
      <c r="M327" s="9"/>
      <c r="N327" s="9"/>
      <c r="O327" s="9"/>
      <c r="P327" s="18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</row>
    <row r="328" spans="1:33" x14ac:dyDescent="0.25">
      <c r="A328" s="9"/>
      <c r="B328" s="9"/>
      <c r="C328" s="9"/>
      <c r="D328" s="9"/>
      <c r="E328" s="9"/>
      <c r="F328" s="9"/>
      <c r="G328" s="6"/>
      <c r="H328" s="9"/>
      <c r="I328" s="9"/>
      <c r="J328" s="9"/>
      <c r="K328" s="9"/>
      <c r="L328" s="9"/>
      <c r="M328" s="9"/>
      <c r="N328" s="9"/>
      <c r="O328" s="9"/>
      <c r="P328" s="18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</row>
    <row r="329" spans="1:33" x14ac:dyDescent="0.25">
      <c r="A329" s="9"/>
      <c r="B329" s="9"/>
      <c r="C329" s="9"/>
      <c r="D329" s="9"/>
      <c r="E329" s="9"/>
      <c r="F329" s="9"/>
      <c r="G329" s="6"/>
      <c r="H329" s="9"/>
      <c r="I329" s="9"/>
      <c r="J329" s="9"/>
      <c r="K329" s="9"/>
      <c r="L329" s="9"/>
      <c r="M329" s="9"/>
      <c r="N329" s="9"/>
      <c r="O329" s="9"/>
      <c r="P329" s="18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</row>
    <row r="330" spans="1:33" x14ac:dyDescent="0.25">
      <c r="A330" s="9"/>
      <c r="B330" s="9"/>
      <c r="C330" s="9"/>
      <c r="D330" s="9"/>
      <c r="E330" s="9"/>
      <c r="F330" s="9"/>
      <c r="G330" s="6"/>
      <c r="H330" s="9"/>
      <c r="I330" s="9"/>
      <c r="J330" s="9"/>
      <c r="K330" s="9"/>
      <c r="L330" s="9"/>
      <c r="M330" s="9"/>
      <c r="N330" s="9"/>
      <c r="O330" s="9"/>
      <c r="P330" s="18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</row>
    <row r="331" spans="1:33" x14ac:dyDescent="0.25">
      <c r="A331" s="9"/>
      <c r="B331" s="9"/>
      <c r="C331" s="9"/>
      <c r="D331" s="9"/>
      <c r="E331" s="9"/>
      <c r="F331" s="9"/>
      <c r="G331" s="6"/>
      <c r="H331" s="9"/>
      <c r="I331" s="9"/>
      <c r="J331" s="9"/>
      <c r="K331" s="9"/>
      <c r="L331" s="9"/>
      <c r="M331" s="9"/>
      <c r="N331" s="9"/>
      <c r="O331" s="9"/>
      <c r="P331" s="18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</row>
    <row r="332" spans="1:33" x14ac:dyDescent="0.25">
      <c r="A332" s="9"/>
      <c r="B332" s="9"/>
      <c r="C332" s="9"/>
      <c r="D332" s="9"/>
      <c r="E332" s="9"/>
      <c r="F332" s="9"/>
      <c r="G332" s="6"/>
      <c r="H332" s="9"/>
      <c r="I332" s="9"/>
      <c r="J332" s="9"/>
      <c r="K332" s="9"/>
      <c r="L332" s="9"/>
      <c r="M332" s="9"/>
      <c r="N332" s="9"/>
      <c r="O332" s="9"/>
      <c r="P332" s="18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</row>
    <row r="333" spans="1:33" x14ac:dyDescent="0.25">
      <c r="A333" s="9"/>
      <c r="B333" s="9"/>
      <c r="C333" s="9"/>
      <c r="D333" s="9"/>
      <c r="E333" s="9"/>
      <c r="F333" s="9"/>
      <c r="G333" s="6"/>
      <c r="H333" s="9"/>
      <c r="I333" s="9"/>
      <c r="J333" s="9"/>
      <c r="K333" s="9"/>
      <c r="L333" s="9"/>
      <c r="M333" s="9"/>
      <c r="N333" s="9"/>
      <c r="O333" s="9"/>
      <c r="P333" s="18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</row>
    <row r="334" spans="1:33" x14ac:dyDescent="0.25">
      <c r="A334" s="9"/>
      <c r="B334" s="9"/>
      <c r="C334" s="9"/>
      <c r="D334" s="9"/>
      <c r="E334" s="9"/>
      <c r="F334" s="9"/>
      <c r="G334" s="6"/>
      <c r="H334" s="9"/>
      <c r="I334" s="9"/>
      <c r="J334" s="9"/>
      <c r="K334" s="9"/>
      <c r="L334" s="9"/>
      <c r="M334" s="9"/>
      <c r="N334" s="9"/>
      <c r="O334" s="9"/>
      <c r="P334" s="18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</row>
    <row r="335" spans="1:33" x14ac:dyDescent="0.25">
      <c r="A335" s="9"/>
      <c r="B335" s="9"/>
      <c r="C335" s="9"/>
      <c r="D335" s="9"/>
      <c r="E335" s="9"/>
      <c r="F335" s="9"/>
      <c r="G335" s="6"/>
      <c r="H335" s="9"/>
      <c r="I335" s="9"/>
      <c r="J335" s="9"/>
      <c r="K335" s="9"/>
      <c r="L335" s="9"/>
      <c r="M335" s="9"/>
      <c r="N335" s="9"/>
      <c r="O335" s="9"/>
      <c r="P335" s="18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</row>
    <row r="336" spans="1:33" x14ac:dyDescent="0.25">
      <c r="A336" s="9"/>
      <c r="B336" s="9"/>
      <c r="C336" s="9"/>
      <c r="D336" s="9"/>
      <c r="E336" s="9"/>
      <c r="F336" s="9"/>
      <c r="G336" s="6"/>
      <c r="H336" s="9"/>
      <c r="I336" s="9"/>
      <c r="J336" s="9"/>
      <c r="K336" s="9"/>
      <c r="L336" s="9"/>
      <c r="M336" s="9"/>
      <c r="N336" s="9"/>
      <c r="O336" s="9"/>
      <c r="P336" s="18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</row>
    <row r="337" spans="1:33" x14ac:dyDescent="0.25">
      <c r="A337" s="9"/>
      <c r="B337" s="9"/>
      <c r="C337" s="9"/>
      <c r="D337" s="9"/>
      <c r="E337" s="9"/>
      <c r="F337" s="9"/>
      <c r="G337" s="6"/>
      <c r="H337" s="9"/>
      <c r="I337" s="9"/>
      <c r="J337" s="9"/>
      <c r="K337" s="9"/>
      <c r="L337" s="9"/>
      <c r="M337" s="9"/>
      <c r="N337" s="9"/>
      <c r="O337" s="9"/>
      <c r="P337" s="18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</row>
    <row r="338" spans="1:33" x14ac:dyDescent="0.25">
      <c r="A338" s="9"/>
      <c r="B338" s="9"/>
      <c r="C338" s="9"/>
      <c r="D338" s="9"/>
      <c r="E338" s="9"/>
      <c r="F338" s="9"/>
      <c r="G338" s="6"/>
      <c r="H338" s="9"/>
      <c r="I338" s="9"/>
      <c r="J338" s="9"/>
      <c r="K338" s="9"/>
      <c r="L338" s="9"/>
      <c r="M338" s="9"/>
      <c r="N338" s="9"/>
      <c r="O338" s="9"/>
      <c r="P338" s="18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</row>
    <row r="339" spans="1:33" x14ac:dyDescent="0.25">
      <c r="A339" s="9"/>
      <c r="B339" s="9"/>
      <c r="C339" s="9"/>
      <c r="D339" s="9"/>
      <c r="E339" s="9"/>
      <c r="F339" s="9"/>
      <c r="G339" s="6"/>
      <c r="H339" s="9"/>
      <c r="I339" s="9"/>
      <c r="J339" s="9"/>
      <c r="K339" s="9"/>
      <c r="L339" s="9"/>
      <c r="M339" s="9"/>
      <c r="N339" s="9"/>
      <c r="O339" s="9"/>
      <c r="P339" s="18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</row>
    <row r="340" spans="1:33" x14ac:dyDescent="0.25">
      <c r="A340" s="9"/>
      <c r="B340" s="9"/>
      <c r="C340" s="9"/>
      <c r="D340" s="9"/>
      <c r="E340" s="9"/>
      <c r="F340" s="9"/>
      <c r="G340" s="6"/>
      <c r="H340" s="9"/>
      <c r="I340" s="9"/>
      <c r="J340" s="9"/>
      <c r="K340" s="9"/>
      <c r="L340" s="9"/>
      <c r="M340" s="9"/>
      <c r="N340" s="9"/>
      <c r="O340" s="9"/>
      <c r="P340" s="18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</row>
    <row r="341" spans="1:33" x14ac:dyDescent="0.25">
      <c r="A341" s="9"/>
      <c r="B341" s="9"/>
      <c r="C341" s="9"/>
      <c r="D341" s="9"/>
      <c r="E341" s="9"/>
      <c r="F341" s="9"/>
      <c r="G341" s="6"/>
      <c r="H341" s="9"/>
      <c r="I341" s="9"/>
      <c r="J341" s="9"/>
      <c r="K341" s="9"/>
      <c r="L341" s="9"/>
      <c r="M341" s="9"/>
      <c r="N341" s="9"/>
      <c r="O341" s="9"/>
      <c r="P341" s="18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</row>
    <row r="342" spans="1:33" x14ac:dyDescent="0.25">
      <c r="A342" s="9"/>
      <c r="B342" s="9"/>
      <c r="C342" s="9"/>
      <c r="D342" s="9"/>
      <c r="E342" s="9"/>
      <c r="F342" s="9"/>
      <c r="G342" s="6"/>
      <c r="H342" s="9"/>
      <c r="I342" s="9"/>
      <c r="J342" s="9"/>
      <c r="K342" s="9"/>
      <c r="L342" s="9"/>
      <c r="M342" s="9"/>
      <c r="N342" s="9"/>
      <c r="O342" s="9"/>
      <c r="P342" s="18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</row>
    <row r="343" spans="1:33" x14ac:dyDescent="0.25">
      <c r="A343" s="9"/>
      <c r="B343" s="9"/>
      <c r="C343" s="9"/>
      <c r="D343" s="9"/>
      <c r="E343" s="9"/>
      <c r="F343" s="9"/>
      <c r="G343" s="6"/>
      <c r="H343" s="9"/>
      <c r="I343" s="9"/>
      <c r="J343" s="9"/>
      <c r="K343" s="9"/>
      <c r="L343" s="9"/>
      <c r="M343" s="9"/>
      <c r="N343" s="9"/>
      <c r="O343" s="9"/>
      <c r="P343" s="18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</row>
    <row r="344" spans="1:33" x14ac:dyDescent="0.25">
      <c r="A344" s="9"/>
      <c r="B344" s="9"/>
      <c r="C344" s="9"/>
      <c r="D344" s="9"/>
      <c r="E344" s="9"/>
      <c r="F344" s="9"/>
      <c r="G344" s="6"/>
      <c r="H344" s="9"/>
      <c r="I344" s="9"/>
      <c r="J344" s="9"/>
      <c r="K344" s="9"/>
      <c r="L344" s="9"/>
      <c r="M344" s="9"/>
      <c r="N344" s="9"/>
      <c r="O344" s="9"/>
      <c r="P344" s="18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</row>
    <row r="345" spans="1:33" x14ac:dyDescent="0.25">
      <c r="A345" s="9"/>
      <c r="B345" s="9"/>
      <c r="C345" s="9"/>
      <c r="D345" s="9"/>
      <c r="E345" s="9"/>
      <c r="F345" s="9"/>
      <c r="G345" s="6"/>
      <c r="H345" s="9"/>
      <c r="I345" s="9"/>
      <c r="J345" s="9"/>
      <c r="K345" s="9"/>
      <c r="L345" s="9"/>
      <c r="M345" s="9"/>
      <c r="N345" s="9"/>
      <c r="O345" s="9"/>
      <c r="P345" s="18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</row>
    <row r="346" spans="1:33" x14ac:dyDescent="0.25">
      <c r="A346" s="9"/>
      <c r="B346" s="9"/>
      <c r="C346" s="9"/>
      <c r="D346" s="9"/>
      <c r="E346" s="9"/>
      <c r="F346" s="9"/>
      <c r="G346" s="6"/>
      <c r="H346" s="9"/>
      <c r="I346" s="9"/>
      <c r="J346" s="9"/>
      <c r="K346" s="9"/>
      <c r="L346" s="9"/>
      <c r="M346" s="9"/>
      <c r="N346" s="9"/>
      <c r="O346" s="9"/>
      <c r="P346" s="18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</row>
    <row r="347" spans="1:33" x14ac:dyDescent="0.25">
      <c r="A347" s="9"/>
      <c r="B347" s="9"/>
      <c r="C347" s="9"/>
      <c r="D347" s="9"/>
      <c r="E347" s="9"/>
      <c r="F347" s="9"/>
      <c r="G347" s="6"/>
      <c r="H347" s="9"/>
      <c r="I347" s="9"/>
      <c r="J347" s="9"/>
      <c r="K347" s="9"/>
      <c r="L347" s="9"/>
      <c r="M347" s="9"/>
      <c r="N347" s="9"/>
      <c r="O347" s="9"/>
      <c r="P347" s="18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</row>
    <row r="348" spans="1:33" x14ac:dyDescent="0.25">
      <c r="A348" s="9"/>
      <c r="B348" s="9"/>
      <c r="C348" s="9"/>
      <c r="D348" s="9"/>
      <c r="E348" s="9"/>
      <c r="F348" s="9"/>
      <c r="G348" s="6"/>
      <c r="H348" s="9"/>
      <c r="I348" s="9"/>
      <c r="J348" s="9"/>
      <c r="K348" s="9"/>
      <c r="L348" s="9"/>
      <c r="M348" s="9"/>
      <c r="N348" s="9"/>
      <c r="O348" s="9"/>
      <c r="P348" s="18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</row>
    <row r="349" spans="1:33" x14ac:dyDescent="0.25">
      <c r="A349" s="9"/>
      <c r="B349" s="9"/>
      <c r="C349" s="9"/>
      <c r="D349" s="9"/>
      <c r="E349" s="9"/>
      <c r="F349" s="9"/>
      <c r="G349" s="6"/>
      <c r="H349" s="9"/>
      <c r="I349" s="9"/>
      <c r="J349" s="9"/>
      <c r="K349" s="9"/>
      <c r="L349" s="9"/>
      <c r="M349" s="9"/>
      <c r="N349" s="9"/>
      <c r="O349" s="9"/>
      <c r="P349" s="18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</row>
    <row r="350" spans="1:33" x14ac:dyDescent="0.25">
      <c r="A350" s="9"/>
      <c r="B350" s="9"/>
      <c r="C350" s="9"/>
      <c r="D350" s="9"/>
      <c r="E350" s="9"/>
      <c r="F350" s="9"/>
      <c r="G350" s="6"/>
      <c r="H350" s="9"/>
      <c r="I350" s="9"/>
      <c r="J350" s="9"/>
      <c r="K350" s="9"/>
      <c r="L350" s="9"/>
      <c r="M350" s="9"/>
      <c r="N350" s="9"/>
      <c r="O350" s="9"/>
      <c r="P350" s="18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</row>
    <row r="351" spans="1:33" x14ac:dyDescent="0.25">
      <c r="A351" s="9"/>
      <c r="B351" s="9"/>
      <c r="C351" s="9"/>
      <c r="D351" s="9"/>
      <c r="E351" s="9"/>
      <c r="F351" s="9"/>
      <c r="G351" s="6"/>
      <c r="H351" s="9"/>
      <c r="I351" s="9"/>
      <c r="J351" s="9"/>
      <c r="K351" s="9"/>
      <c r="L351" s="9"/>
      <c r="M351" s="9"/>
      <c r="N351" s="9"/>
      <c r="O351" s="9"/>
      <c r="P351" s="18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</row>
    <row r="352" spans="1:33" x14ac:dyDescent="0.25">
      <c r="A352" s="9"/>
      <c r="B352" s="9"/>
      <c r="C352" s="9"/>
      <c r="D352" s="9"/>
      <c r="E352" s="9"/>
      <c r="F352" s="9"/>
      <c r="G352" s="6"/>
      <c r="H352" s="9"/>
      <c r="I352" s="9"/>
      <c r="J352" s="9"/>
      <c r="K352" s="9"/>
      <c r="L352" s="9"/>
      <c r="M352" s="9"/>
      <c r="N352" s="9"/>
      <c r="O352" s="9"/>
      <c r="P352" s="18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</row>
    <row r="353" spans="1:33" x14ac:dyDescent="0.25">
      <c r="A353" s="9"/>
      <c r="B353" s="9"/>
      <c r="C353" s="9"/>
      <c r="D353" s="9"/>
      <c r="E353" s="9"/>
      <c r="F353" s="9"/>
      <c r="G353" s="6"/>
      <c r="H353" s="9"/>
      <c r="I353" s="9"/>
      <c r="J353" s="9"/>
      <c r="K353" s="9"/>
      <c r="L353" s="9"/>
      <c r="M353" s="9"/>
      <c r="N353" s="9"/>
      <c r="O353" s="9"/>
      <c r="P353" s="18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</row>
    <row r="354" spans="1:33" x14ac:dyDescent="0.25">
      <c r="A354" s="9"/>
      <c r="B354" s="9"/>
      <c r="C354" s="9"/>
      <c r="D354" s="9"/>
      <c r="E354" s="9"/>
      <c r="F354" s="9"/>
      <c r="G354" s="6"/>
      <c r="H354" s="9"/>
      <c r="I354" s="9"/>
      <c r="J354" s="9"/>
      <c r="K354" s="9"/>
      <c r="L354" s="9"/>
      <c r="M354" s="9"/>
      <c r="N354" s="9"/>
      <c r="O354" s="9"/>
      <c r="P354" s="18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</row>
    <row r="355" spans="1:33" x14ac:dyDescent="0.25">
      <c r="A355" s="9"/>
      <c r="B355" s="9"/>
      <c r="C355" s="9"/>
      <c r="D355" s="9"/>
      <c r="E355" s="9"/>
      <c r="F355" s="9"/>
      <c r="G355" s="6"/>
      <c r="H355" s="9"/>
      <c r="I355" s="9"/>
      <c r="J355" s="9"/>
      <c r="K355" s="9"/>
      <c r="L355" s="9"/>
      <c r="M355" s="9"/>
      <c r="N355" s="9"/>
      <c r="O355" s="9"/>
      <c r="P355" s="18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</row>
    <row r="356" spans="1:33" x14ac:dyDescent="0.25">
      <c r="A356" s="9"/>
      <c r="B356" s="9"/>
      <c r="C356" s="9"/>
      <c r="D356" s="9"/>
      <c r="E356" s="9"/>
      <c r="F356" s="9"/>
      <c r="G356" s="6"/>
      <c r="H356" s="9"/>
      <c r="I356" s="9"/>
      <c r="J356" s="9"/>
      <c r="K356" s="9"/>
      <c r="L356" s="9"/>
      <c r="M356" s="9"/>
      <c r="N356" s="9"/>
      <c r="O356" s="9"/>
      <c r="P356" s="18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</row>
    <row r="357" spans="1:33" x14ac:dyDescent="0.25">
      <c r="A357" s="9"/>
      <c r="B357" s="9"/>
      <c r="C357" s="9"/>
      <c r="D357" s="9"/>
      <c r="E357" s="9"/>
      <c r="F357" s="9"/>
      <c r="G357" s="6"/>
      <c r="H357" s="9"/>
      <c r="I357" s="9"/>
      <c r="J357" s="9"/>
      <c r="K357" s="9"/>
      <c r="L357" s="9"/>
      <c r="M357" s="9"/>
      <c r="N357" s="9"/>
      <c r="O357" s="9"/>
      <c r="P357" s="18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</row>
    <row r="358" spans="1:33" x14ac:dyDescent="0.25">
      <c r="A358" s="9"/>
      <c r="B358" s="9"/>
      <c r="C358" s="9"/>
      <c r="D358" s="9"/>
      <c r="E358" s="9"/>
      <c r="F358" s="9"/>
      <c r="G358" s="6"/>
      <c r="H358" s="9"/>
      <c r="I358" s="9"/>
      <c r="J358" s="9"/>
      <c r="K358" s="9"/>
      <c r="L358" s="9"/>
      <c r="M358" s="9"/>
      <c r="N358" s="9"/>
      <c r="O358" s="9"/>
      <c r="P358" s="18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</row>
    <row r="359" spans="1:33" x14ac:dyDescent="0.25">
      <c r="A359" s="9"/>
      <c r="B359" s="9"/>
      <c r="C359" s="9"/>
      <c r="D359" s="9"/>
      <c r="E359" s="9"/>
      <c r="F359" s="9"/>
      <c r="G359" s="6"/>
      <c r="H359" s="9"/>
      <c r="I359" s="9"/>
      <c r="J359" s="9"/>
      <c r="K359" s="9"/>
      <c r="L359" s="9"/>
      <c r="M359" s="9"/>
      <c r="N359" s="9"/>
      <c r="O359" s="9"/>
      <c r="P359" s="18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</row>
    <row r="360" spans="1:33" x14ac:dyDescent="0.25">
      <c r="A360" s="9"/>
      <c r="B360" s="9"/>
      <c r="C360" s="9"/>
      <c r="D360" s="9"/>
      <c r="E360" s="9"/>
      <c r="F360" s="9"/>
      <c r="G360" s="6"/>
      <c r="H360" s="9"/>
      <c r="I360" s="9"/>
      <c r="J360" s="9"/>
      <c r="K360" s="9"/>
      <c r="L360" s="9"/>
      <c r="M360" s="9"/>
      <c r="N360" s="9"/>
      <c r="O360" s="9"/>
      <c r="P360" s="18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</row>
    <row r="361" spans="1:33" x14ac:dyDescent="0.25">
      <c r="A361" s="9"/>
      <c r="B361" s="9"/>
      <c r="C361" s="9"/>
      <c r="D361" s="9"/>
      <c r="E361" s="9"/>
      <c r="F361" s="9"/>
      <c r="G361" s="6"/>
      <c r="H361" s="9"/>
      <c r="I361" s="9"/>
      <c r="J361" s="9"/>
      <c r="K361" s="9"/>
      <c r="L361" s="9"/>
      <c r="M361" s="9"/>
      <c r="N361" s="9"/>
      <c r="O361" s="9"/>
      <c r="P361" s="18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</row>
    <row r="362" spans="1:33" x14ac:dyDescent="0.25">
      <c r="A362" s="9"/>
      <c r="B362" s="9"/>
      <c r="C362" s="9"/>
      <c r="D362" s="9"/>
      <c r="E362" s="9"/>
      <c r="F362" s="9"/>
      <c r="G362" s="6"/>
      <c r="H362" s="9"/>
      <c r="I362" s="9"/>
      <c r="J362" s="9"/>
      <c r="K362" s="9"/>
      <c r="L362" s="9"/>
      <c r="M362" s="9"/>
      <c r="N362" s="9"/>
      <c r="O362" s="9"/>
      <c r="P362" s="18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</row>
    <row r="363" spans="1:33" x14ac:dyDescent="0.25">
      <c r="A363" s="9"/>
      <c r="B363" s="9"/>
      <c r="C363" s="9"/>
      <c r="D363" s="9"/>
      <c r="E363" s="9"/>
      <c r="F363" s="9"/>
      <c r="G363" s="6"/>
      <c r="H363" s="9"/>
      <c r="I363" s="9"/>
      <c r="J363" s="9"/>
      <c r="K363" s="9"/>
      <c r="L363" s="9"/>
      <c r="M363" s="9"/>
      <c r="N363" s="9"/>
      <c r="O363" s="9"/>
      <c r="P363" s="18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</row>
    <row r="364" spans="1:33" x14ac:dyDescent="0.25">
      <c r="A364" s="9"/>
      <c r="B364" s="9"/>
      <c r="C364" s="9"/>
      <c r="D364" s="9"/>
      <c r="E364" s="9"/>
      <c r="F364" s="9"/>
      <c r="G364" s="6"/>
      <c r="H364" s="9"/>
      <c r="I364" s="9"/>
      <c r="J364" s="9"/>
      <c r="K364" s="9"/>
      <c r="L364" s="9"/>
      <c r="M364" s="9"/>
      <c r="N364" s="9"/>
      <c r="O364" s="9"/>
      <c r="P364" s="18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</row>
    <row r="365" spans="1:33" x14ac:dyDescent="0.25">
      <c r="A365" s="9"/>
      <c r="B365" s="9"/>
      <c r="C365" s="9"/>
      <c r="D365" s="9"/>
      <c r="E365" s="9"/>
      <c r="F365" s="9"/>
      <c r="G365" s="6"/>
      <c r="H365" s="9"/>
      <c r="I365" s="9"/>
      <c r="J365" s="9"/>
      <c r="K365" s="9"/>
      <c r="L365" s="9"/>
      <c r="M365" s="9"/>
      <c r="N365" s="9"/>
      <c r="O365" s="9"/>
      <c r="P365" s="18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</row>
    <row r="366" spans="1:33" x14ac:dyDescent="0.25">
      <c r="A366" s="9"/>
      <c r="B366" s="9"/>
      <c r="C366" s="9"/>
      <c r="D366" s="9"/>
      <c r="E366" s="9"/>
      <c r="F366" s="9"/>
      <c r="G366" s="6"/>
      <c r="H366" s="9"/>
      <c r="I366" s="9"/>
      <c r="J366" s="9"/>
      <c r="K366" s="9"/>
      <c r="L366" s="9"/>
      <c r="M366" s="9"/>
      <c r="N366" s="9"/>
      <c r="O366" s="9"/>
      <c r="P366" s="18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</row>
    <row r="367" spans="1:33" x14ac:dyDescent="0.25">
      <c r="A367" s="9"/>
      <c r="B367" s="9"/>
      <c r="C367" s="9"/>
      <c r="D367" s="9"/>
      <c r="E367" s="9"/>
      <c r="F367" s="9"/>
      <c r="G367" s="6"/>
      <c r="H367" s="9"/>
      <c r="I367" s="9"/>
      <c r="J367" s="9"/>
      <c r="K367" s="9"/>
      <c r="L367" s="9"/>
      <c r="M367" s="9"/>
      <c r="N367" s="9"/>
      <c r="O367" s="9"/>
      <c r="P367" s="18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</row>
    <row r="368" spans="1:33" x14ac:dyDescent="0.25">
      <c r="A368" s="9"/>
      <c r="B368" s="9"/>
      <c r="C368" s="9"/>
      <c r="D368" s="9"/>
      <c r="E368" s="9"/>
      <c r="F368" s="9"/>
      <c r="G368" s="6"/>
      <c r="H368" s="9"/>
      <c r="I368" s="9"/>
      <c r="J368" s="9"/>
      <c r="K368" s="9"/>
      <c r="L368" s="9"/>
      <c r="M368" s="9"/>
      <c r="N368" s="9"/>
      <c r="O368" s="9"/>
      <c r="P368" s="18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</row>
    <row r="369" spans="1:33" x14ac:dyDescent="0.25">
      <c r="A369" s="9"/>
      <c r="B369" s="9"/>
      <c r="C369" s="9"/>
      <c r="D369" s="9"/>
      <c r="E369" s="9"/>
      <c r="F369" s="9"/>
      <c r="G369" s="6"/>
      <c r="H369" s="9"/>
      <c r="I369" s="9"/>
      <c r="J369" s="9"/>
      <c r="K369" s="9"/>
      <c r="L369" s="9"/>
      <c r="M369" s="9"/>
      <c r="N369" s="9"/>
      <c r="O369" s="9"/>
      <c r="P369" s="18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</row>
    <row r="370" spans="1:33" x14ac:dyDescent="0.25">
      <c r="A370" s="9"/>
      <c r="B370" s="9"/>
      <c r="C370" s="9"/>
      <c r="D370" s="9"/>
      <c r="E370" s="9"/>
      <c r="F370" s="9"/>
      <c r="G370" s="6"/>
      <c r="H370" s="9"/>
      <c r="I370" s="9"/>
      <c r="J370" s="9"/>
      <c r="K370" s="9"/>
      <c r="L370" s="9"/>
      <c r="M370" s="9"/>
      <c r="N370" s="9"/>
      <c r="O370" s="9"/>
      <c r="P370" s="18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</row>
    <row r="371" spans="1:33" x14ac:dyDescent="0.25">
      <c r="A371" s="9"/>
      <c r="B371" s="9"/>
      <c r="C371" s="9"/>
      <c r="D371" s="9"/>
      <c r="E371" s="9"/>
      <c r="F371" s="9"/>
      <c r="G371" s="6"/>
      <c r="H371" s="9"/>
      <c r="I371" s="9"/>
      <c r="J371" s="9"/>
      <c r="K371" s="9"/>
      <c r="L371" s="9"/>
      <c r="M371" s="9"/>
      <c r="N371" s="9"/>
      <c r="O371" s="9"/>
      <c r="P371" s="18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</row>
    <row r="372" spans="1:33" x14ac:dyDescent="0.25">
      <c r="A372" s="9"/>
      <c r="B372" s="9"/>
      <c r="C372" s="9"/>
      <c r="D372" s="9"/>
      <c r="E372" s="9"/>
      <c r="F372" s="9"/>
      <c r="G372" s="6"/>
      <c r="H372" s="9"/>
      <c r="I372" s="9"/>
      <c r="J372" s="9"/>
      <c r="K372" s="9"/>
      <c r="L372" s="9"/>
      <c r="M372" s="9"/>
      <c r="N372" s="9"/>
      <c r="O372" s="9"/>
      <c r="P372" s="18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</row>
    <row r="373" spans="1:33" x14ac:dyDescent="0.25">
      <c r="A373" s="9"/>
      <c r="B373" s="9"/>
      <c r="C373" s="9"/>
      <c r="D373" s="9"/>
      <c r="E373" s="9"/>
      <c r="F373" s="9"/>
      <c r="G373" s="6"/>
      <c r="H373" s="9"/>
      <c r="I373" s="9"/>
      <c r="J373" s="9"/>
      <c r="K373" s="9"/>
      <c r="L373" s="9"/>
      <c r="M373" s="9"/>
      <c r="N373" s="9"/>
      <c r="O373" s="9"/>
      <c r="P373" s="18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</row>
    <row r="374" spans="1:33" x14ac:dyDescent="0.25">
      <c r="A374" s="9"/>
      <c r="B374" s="9"/>
      <c r="C374" s="9"/>
      <c r="D374" s="9"/>
      <c r="E374" s="9"/>
      <c r="F374" s="9"/>
      <c r="G374" s="6"/>
      <c r="H374" s="9"/>
      <c r="I374" s="9"/>
      <c r="J374" s="9"/>
      <c r="K374" s="9"/>
      <c r="L374" s="9"/>
      <c r="M374" s="9"/>
      <c r="N374" s="9"/>
      <c r="O374" s="9"/>
      <c r="P374" s="18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</row>
    <row r="375" spans="1:33" x14ac:dyDescent="0.25">
      <c r="A375" s="9"/>
      <c r="B375" s="9"/>
      <c r="C375" s="9"/>
      <c r="D375" s="9"/>
      <c r="E375" s="9"/>
      <c r="F375" s="9"/>
      <c r="G375" s="6"/>
      <c r="H375" s="9"/>
      <c r="I375" s="9"/>
      <c r="J375" s="9"/>
      <c r="K375" s="9"/>
      <c r="L375" s="9"/>
      <c r="M375" s="9"/>
      <c r="N375" s="9"/>
      <c r="O375" s="9"/>
      <c r="P375" s="18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</row>
    <row r="376" spans="1:33" x14ac:dyDescent="0.25">
      <c r="A376" s="9"/>
      <c r="B376" s="9"/>
      <c r="C376" s="9"/>
      <c r="D376" s="9"/>
      <c r="E376" s="9"/>
      <c r="F376" s="9"/>
      <c r="G376" s="6"/>
      <c r="H376" s="9"/>
      <c r="I376" s="9"/>
      <c r="J376" s="9"/>
      <c r="K376" s="9"/>
      <c r="L376" s="9"/>
      <c r="M376" s="9"/>
      <c r="N376" s="9"/>
      <c r="O376" s="9"/>
      <c r="P376" s="18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</row>
    <row r="377" spans="1:33" x14ac:dyDescent="0.25">
      <c r="A377" s="9"/>
      <c r="B377" s="9"/>
      <c r="C377" s="9"/>
      <c r="D377" s="9"/>
      <c r="E377" s="9"/>
      <c r="F377" s="9"/>
      <c r="G377" s="6"/>
      <c r="H377" s="9"/>
      <c r="I377" s="9"/>
      <c r="J377" s="9"/>
      <c r="K377" s="9"/>
      <c r="L377" s="9"/>
      <c r="M377" s="9"/>
      <c r="N377" s="9"/>
      <c r="O377" s="9"/>
      <c r="P377" s="18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</row>
    <row r="378" spans="1:33" x14ac:dyDescent="0.25">
      <c r="A378" s="9"/>
      <c r="B378" s="9"/>
      <c r="C378" s="9"/>
      <c r="D378" s="9"/>
      <c r="E378" s="9"/>
      <c r="F378" s="9"/>
      <c r="G378" s="6"/>
      <c r="H378" s="9"/>
      <c r="I378" s="9"/>
      <c r="J378" s="9"/>
      <c r="K378" s="9"/>
      <c r="L378" s="9"/>
      <c r="M378" s="9"/>
      <c r="N378" s="9"/>
      <c r="O378" s="9"/>
      <c r="P378" s="18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</row>
    <row r="379" spans="1:33" x14ac:dyDescent="0.25">
      <c r="A379" s="9"/>
      <c r="B379" s="9"/>
      <c r="C379" s="9"/>
      <c r="D379" s="9"/>
      <c r="E379" s="9"/>
      <c r="F379" s="9"/>
      <c r="G379" s="6"/>
      <c r="H379" s="9"/>
      <c r="I379" s="9"/>
      <c r="J379" s="9"/>
      <c r="K379" s="9"/>
      <c r="L379" s="9"/>
      <c r="M379" s="9"/>
      <c r="N379" s="9"/>
      <c r="O379" s="9"/>
      <c r="P379" s="18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</row>
    <row r="380" spans="1:33" x14ac:dyDescent="0.25">
      <c r="A380" s="9"/>
      <c r="B380" s="9"/>
      <c r="C380" s="9"/>
      <c r="D380" s="9"/>
      <c r="E380" s="9"/>
      <c r="F380" s="9"/>
      <c r="G380" s="6"/>
      <c r="H380" s="9"/>
      <c r="I380" s="9"/>
      <c r="J380" s="9"/>
      <c r="K380" s="9"/>
      <c r="L380" s="9"/>
      <c r="M380" s="9"/>
      <c r="N380" s="9"/>
      <c r="O380" s="9"/>
      <c r="P380" s="18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</row>
    <row r="381" spans="1:33" x14ac:dyDescent="0.25">
      <c r="A381" s="9"/>
      <c r="B381" s="9"/>
      <c r="C381" s="9"/>
      <c r="D381" s="9"/>
      <c r="E381" s="9"/>
      <c r="F381" s="9"/>
      <c r="G381" s="6"/>
      <c r="H381" s="9"/>
      <c r="I381" s="9"/>
      <c r="J381" s="9"/>
      <c r="K381" s="9"/>
      <c r="L381" s="9"/>
      <c r="M381" s="9"/>
      <c r="N381" s="9"/>
      <c r="O381" s="9"/>
      <c r="P381" s="18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</row>
    <row r="382" spans="1:33" x14ac:dyDescent="0.25">
      <c r="A382" s="9"/>
      <c r="B382" s="9"/>
      <c r="C382" s="9"/>
      <c r="D382" s="9"/>
      <c r="E382" s="9"/>
      <c r="F382" s="9"/>
      <c r="G382" s="6"/>
      <c r="H382" s="9"/>
      <c r="I382" s="9"/>
      <c r="J382" s="9"/>
      <c r="K382" s="9"/>
      <c r="L382" s="9"/>
      <c r="M382" s="9"/>
      <c r="N382" s="9"/>
      <c r="O382" s="9"/>
      <c r="P382" s="18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</row>
    <row r="383" spans="1:33" x14ac:dyDescent="0.25">
      <c r="A383" s="9"/>
      <c r="B383" s="9"/>
      <c r="C383" s="9"/>
      <c r="D383" s="9"/>
      <c r="E383" s="9"/>
      <c r="F383" s="9"/>
      <c r="G383" s="6"/>
      <c r="H383" s="9"/>
      <c r="I383" s="9"/>
      <c r="J383" s="9"/>
      <c r="K383" s="9"/>
      <c r="L383" s="9"/>
      <c r="M383" s="9"/>
      <c r="N383" s="9"/>
      <c r="O383" s="9"/>
      <c r="P383" s="18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</row>
    <row r="384" spans="1:33" x14ac:dyDescent="0.25">
      <c r="A384" s="9"/>
      <c r="B384" s="9"/>
      <c r="C384" s="9"/>
      <c r="D384" s="9"/>
      <c r="E384" s="9"/>
      <c r="F384" s="9"/>
      <c r="G384" s="6"/>
      <c r="H384" s="9"/>
      <c r="I384" s="9"/>
      <c r="J384" s="9"/>
      <c r="K384" s="9"/>
      <c r="L384" s="9"/>
      <c r="M384" s="9"/>
      <c r="N384" s="9"/>
      <c r="O384" s="9"/>
      <c r="P384" s="18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</row>
    <row r="385" spans="1:33" x14ac:dyDescent="0.25">
      <c r="A385" s="9"/>
      <c r="B385" s="9"/>
      <c r="C385" s="9"/>
      <c r="D385" s="9"/>
      <c r="E385" s="9"/>
      <c r="F385" s="9"/>
      <c r="G385" s="6"/>
      <c r="H385" s="9"/>
      <c r="I385" s="9"/>
      <c r="J385" s="9"/>
      <c r="K385" s="9"/>
      <c r="L385" s="9"/>
      <c r="M385" s="9"/>
      <c r="N385" s="9"/>
      <c r="O385" s="9"/>
      <c r="P385" s="18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</row>
    <row r="386" spans="1:33" x14ac:dyDescent="0.25">
      <c r="A386" s="9"/>
      <c r="B386" s="9"/>
      <c r="C386" s="9"/>
      <c r="D386" s="9"/>
      <c r="E386" s="9"/>
      <c r="F386" s="9"/>
      <c r="G386" s="6"/>
      <c r="H386" s="9"/>
      <c r="I386" s="9"/>
      <c r="J386" s="9"/>
      <c r="K386" s="9"/>
      <c r="L386" s="9"/>
      <c r="M386" s="9"/>
      <c r="N386" s="9"/>
      <c r="O386" s="9"/>
      <c r="P386" s="18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</row>
    <row r="387" spans="1:33" x14ac:dyDescent="0.25">
      <c r="A387" s="9"/>
      <c r="B387" s="9"/>
      <c r="C387" s="9"/>
      <c r="D387" s="9"/>
      <c r="E387" s="9"/>
      <c r="F387" s="9"/>
      <c r="G387" s="6"/>
      <c r="H387" s="9"/>
      <c r="I387" s="9"/>
      <c r="J387" s="9"/>
      <c r="K387" s="9"/>
      <c r="L387" s="9"/>
      <c r="M387" s="9"/>
      <c r="N387" s="9"/>
      <c r="O387" s="9"/>
      <c r="P387" s="18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</row>
    <row r="388" spans="1:33" x14ac:dyDescent="0.25">
      <c r="A388" s="9"/>
      <c r="B388" s="9"/>
      <c r="C388" s="9"/>
      <c r="D388" s="9"/>
      <c r="E388" s="9"/>
      <c r="F388" s="9"/>
      <c r="G388" s="6"/>
      <c r="H388" s="9"/>
      <c r="I388" s="9"/>
      <c r="J388" s="9"/>
      <c r="K388" s="9"/>
      <c r="L388" s="9"/>
      <c r="M388" s="9"/>
      <c r="N388" s="9"/>
      <c r="O388" s="9"/>
      <c r="P388" s="18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 spans="1:33" x14ac:dyDescent="0.25">
      <c r="A389" s="9"/>
      <c r="B389" s="9"/>
      <c r="C389" s="9"/>
      <c r="D389" s="9"/>
      <c r="E389" s="9"/>
      <c r="F389" s="9"/>
      <c r="G389" s="6"/>
      <c r="H389" s="9"/>
      <c r="I389" s="9"/>
      <c r="J389" s="9"/>
      <c r="K389" s="9"/>
      <c r="L389" s="9"/>
      <c r="M389" s="9"/>
      <c r="N389" s="9"/>
      <c r="O389" s="9"/>
      <c r="P389" s="18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 spans="1:33" x14ac:dyDescent="0.25">
      <c r="A390" s="9"/>
      <c r="B390" s="9"/>
      <c r="C390" s="9"/>
      <c r="D390" s="9"/>
      <c r="E390" s="9"/>
      <c r="F390" s="9"/>
      <c r="G390" s="6"/>
      <c r="H390" s="9"/>
      <c r="I390" s="9"/>
      <c r="J390" s="9"/>
      <c r="K390" s="9"/>
      <c r="L390" s="9"/>
      <c r="M390" s="9"/>
      <c r="N390" s="9"/>
      <c r="O390" s="9"/>
      <c r="P390" s="18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 spans="1:33" x14ac:dyDescent="0.25">
      <c r="A391" s="9"/>
      <c r="B391" s="9"/>
      <c r="C391" s="9"/>
      <c r="D391" s="9"/>
      <c r="E391" s="9"/>
      <c r="F391" s="9"/>
      <c r="G391" s="6"/>
      <c r="H391" s="9"/>
      <c r="I391" s="9"/>
      <c r="J391" s="9"/>
      <c r="K391" s="9"/>
      <c r="L391" s="9"/>
      <c r="M391" s="9"/>
      <c r="N391" s="9"/>
      <c r="O391" s="9"/>
      <c r="P391" s="18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 spans="1:33" x14ac:dyDescent="0.25">
      <c r="A392" s="9"/>
      <c r="B392" s="9"/>
      <c r="C392" s="9"/>
      <c r="D392" s="9"/>
      <c r="E392" s="9"/>
      <c r="F392" s="9"/>
      <c r="G392" s="6"/>
      <c r="H392" s="9"/>
      <c r="I392" s="9"/>
      <c r="J392" s="9"/>
      <c r="K392" s="9"/>
      <c r="L392" s="9"/>
      <c r="M392" s="9"/>
      <c r="N392" s="9"/>
      <c r="O392" s="9"/>
      <c r="P392" s="18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 spans="1:33" x14ac:dyDescent="0.25">
      <c r="A393" s="9"/>
      <c r="B393" s="9"/>
      <c r="C393" s="9"/>
      <c r="D393" s="9"/>
      <c r="E393" s="9"/>
      <c r="F393" s="9"/>
      <c r="G393" s="6"/>
      <c r="H393" s="9"/>
      <c r="I393" s="9"/>
      <c r="J393" s="9"/>
      <c r="K393" s="9"/>
      <c r="L393" s="9"/>
      <c r="M393" s="9"/>
      <c r="N393" s="9"/>
      <c r="O393" s="9"/>
      <c r="P393" s="18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 spans="1:33" x14ac:dyDescent="0.25">
      <c r="A394" s="9"/>
      <c r="B394" s="9"/>
      <c r="C394" s="9"/>
      <c r="D394" s="9"/>
      <c r="E394" s="9"/>
      <c r="F394" s="9"/>
      <c r="G394" s="6"/>
      <c r="H394" s="9"/>
      <c r="I394" s="9"/>
      <c r="J394" s="9"/>
      <c r="K394" s="9"/>
      <c r="L394" s="9"/>
      <c r="M394" s="9"/>
      <c r="N394" s="9"/>
      <c r="O394" s="9"/>
      <c r="P394" s="18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 spans="1:33" x14ac:dyDescent="0.25">
      <c r="A395" s="9"/>
      <c r="B395" s="9"/>
      <c r="C395" s="9"/>
      <c r="D395" s="9"/>
      <c r="E395" s="9"/>
      <c r="F395" s="9"/>
      <c r="G395" s="6"/>
      <c r="H395" s="9"/>
      <c r="I395" s="9"/>
      <c r="J395" s="9"/>
      <c r="K395" s="9"/>
      <c r="L395" s="9"/>
      <c r="M395" s="9"/>
      <c r="N395" s="9"/>
      <c r="O395" s="9"/>
      <c r="P395" s="18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 spans="1:33" x14ac:dyDescent="0.25">
      <c r="A396" s="9"/>
      <c r="B396" s="9"/>
      <c r="C396" s="9"/>
      <c r="D396" s="9"/>
      <c r="E396" s="9"/>
      <c r="F396" s="9"/>
      <c r="G396" s="6"/>
      <c r="H396" s="9"/>
      <c r="I396" s="9"/>
      <c r="J396" s="9"/>
      <c r="K396" s="9"/>
      <c r="L396" s="9"/>
      <c r="M396" s="9"/>
      <c r="N396" s="9"/>
      <c r="O396" s="9"/>
      <c r="P396" s="18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 spans="1:33" x14ac:dyDescent="0.25">
      <c r="A397" s="9"/>
      <c r="B397" s="9"/>
      <c r="C397" s="9"/>
      <c r="D397" s="9"/>
      <c r="E397" s="9"/>
      <c r="F397" s="9"/>
      <c r="G397" s="6"/>
      <c r="H397" s="9"/>
      <c r="I397" s="9"/>
      <c r="J397" s="9"/>
      <c r="K397" s="9"/>
      <c r="L397" s="9"/>
      <c r="M397" s="9"/>
      <c r="N397" s="9"/>
      <c r="O397" s="9"/>
      <c r="P397" s="18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 spans="1:33" x14ac:dyDescent="0.25">
      <c r="A398" s="9"/>
      <c r="B398" s="9"/>
      <c r="C398" s="9"/>
      <c r="D398" s="9"/>
      <c r="E398" s="9"/>
      <c r="F398" s="9"/>
      <c r="G398" s="6"/>
      <c r="H398" s="9"/>
      <c r="I398" s="9"/>
      <c r="J398" s="9"/>
      <c r="K398" s="9"/>
      <c r="L398" s="9"/>
      <c r="M398" s="9"/>
      <c r="N398" s="9"/>
      <c r="O398" s="9"/>
      <c r="P398" s="18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 spans="1:33" x14ac:dyDescent="0.25">
      <c r="A399" s="9"/>
      <c r="B399" s="9"/>
      <c r="C399" s="9"/>
      <c r="D399" s="9"/>
      <c r="E399" s="9"/>
      <c r="F399" s="9"/>
      <c r="G399" s="6"/>
      <c r="H399" s="9"/>
      <c r="I399" s="9"/>
      <c r="J399" s="9"/>
      <c r="K399" s="9"/>
      <c r="L399" s="9"/>
      <c r="M399" s="9"/>
      <c r="N399" s="9"/>
      <c r="O399" s="9"/>
      <c r="P399" s="18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 spans="1:33" x14ac:dyDescent="0.25">
      <c r="A400" s="9"/>
      <c r="B400" s="9"/>
      <c r="C400" s="9"/>
      <c r="D400" s="9"/>
      <c r="E400" s="9"/>
      <c r="F400" s="9"/>
      <c r="G400" s="6"/>
      <c r="H400" s="9"/>
      <c r="I400" s="9"/>
      <c r="J400" s="9"/>
      <c r="K400" s="9"/>
      <c r="L400" s="9"/>
      <c r="M400" s="9"/>
      <c r="N400" s="9"/>
      <c r="O400" s="9"/>
      <c r="P400" s="18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 spans="1:33" x14ac:dyDescent="0.25">
      <c r="A401" s="9"/>
      <c r="B401" s="9"/>
      <c r="C401" s="9"/>
      <c r="D401" s="9"/>
      <c r="E401" s="9"/>
      <c r="F401" s="9"/>
      <c r="G401" s="6"/>
      <c r="H401" s="9"/>
      <c r="I401" s="9"/>
      <c r="J401" s="9"/>
      <c r="K401" s="9"/>
      <c r="L401" s="9"/>
      <c r="M401" s="9"/>
      <c r="N401" s="9"/>
      <c r="O401" s="9"/>
      <c r="P401" s="18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 spans="1:33" x14ac:dyDescent="0.25">
      <c r="A402" s="9"/>
      <c r="B402" s="9"/>
      <c r="C402" s="9"/>
      <c r="D402" s="9"/>
      <c r="E402" s="9"/>
      <c r="F402" s="9"/>
      <c r="G402" s="6"/>
      <c r="H402" s="9"/>
      <c r="I402" s="9"/>
      <c r="J402" s="9"/>
      <c r="K402" s="9"/>
      <c r="L402" s="9"/>
      <c r="M402" s="9"/>
      <c r="N402" s="9"/>
      <c r="O402" s="9"/>
      <c r="P402" s="18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 spans="1:33" x14ac:dyDescent="0.25">
      <c r="A403" s="9"/>
      <c r="B403" s="9"/>
      <c r="C403" s="9"/>
      <c r="D403" s="9"/>
      <c r="E403" s="9"/>
      <c r="F403" s="9"/>
      <c r="G403" s="6"/>
      <c r="H403" s="9"/>
      <c r="I403" s="9"/>
      <c r="J403" s="9"/>
      <c r="K403" s="9"/>
      <c r="L403" s="9"/>
      <c r="M403" s="9"/>
      <c r="N403" s="9"/>
      <c r="O403" s="9"/>
      <c r="P403" s="18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 spans="1:33" x14ac:dyDescent="0.25">
      <c r="A404" s="9"/>
      <c r="B404" s="9"/>
      <c r="C404" s="9"/>
      <c r="D404" s="9"/>
      <c r="E404" s="9"/>
      <c r="F404" s="9"/>
      <c r="G404" s="6"/>
      <c r="H404" s="9"/>
      <c r="I404" s="9"/>
      <c r="J404" s="9"/>
      <c r="K404" s="9"/>
      <c r="L404" s="9"/>
      <c r="M404" s="9"/>
      <c r="N404" s="9"/>
      <c r="O404" s="9"/>
      <c r="P404" s="18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 spans="1:33" x14ac:dyDescent="0.25">
      <c r="A405" s="9"/>
      <c r="B405" s="9"/>
      <c r="C405" s="9"/>
      <c r="D405" s="9"/>
      <c r="E405" s="9"/>
      <c r="F405" s="9"/>
      <c r="G405" s="6"/>
      <c r="H405" s="9"/>
      <c r="I405" s="9"/>
      <c r="J405" s="9"/>
      <c r="K405" s="9"/>
      <c r="L405" s="9"/>
      <c r="M405" s="9"/>
      <c r="N405" s="9"/>
      <c r="O405" s="9"/>
      <c r="P405" s="18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 spans="1:33" x14ac:dyDescent="0.25">
      <c r="A406" s="9"/>
      <c r="B406" s="9"/>
      <c r="C406" s="9"/>
      <c r="D406" s="9"/>
      <c r="E406" s="9"/>
      <c r="F406" s="9"/>
      <c r="G406" s="6"/>
      <c r="H406" s="9"/>
      <c r="I406" s="9"/>
      <c r="J406" s="9"/>
      <c r="K406" s="9"/>
      <c r="L406" s="9"/>
      <c r="M406" s="9"/>
      <c r="N406" s="9"/>
      <c r="O406" s="9"/>
      <c r="P406" s="18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 spans="1:33" x14ac:dyDescent="0.25">
      <c r="A407" s="9"/>
      <c r="B407" s="9"/>
      <c r="C407" s="9"/>
      <c r="D407" s="9"/>
      <c r="E407" s="9"/>
      <c r="F407" s="9"/>
      <c r="G407" s="6"/>
      <c r="H407" s="9"/>
      <c r="I407" s="9"/>
      <c r="J407" s="9"/>
      <c r="K407" s="9"/>
      <c r="L407" s="9"/>
      <c r="M407" s="9"/>
      <c r="N407" s="9"/>
      <c r="O407" s="9"/>
      <c r="P407" s="18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 spans="1:33" x14ac:dyDescent="0.25">
      <c r="A408" s="9"/>
      <c r="B408" s="9"/>
      <c r="C408" s="9"/>
      <c r="D408" s="9"/>
      <c r="E408" s="9"/>
      <c r="F408" s="9"/>
      <c r="G408" s="6"/>
      <c r="H408" s="9"/>
      <c r="I408" s="9"/>
      <c r="J408" s="9"/>
      <c r="K408" s="9"/>
      <c r="L408" s="9"/>
      <c r="M408" s="9"/>
      <c r="N408" s="9"/>
      <c r="O408" s="9"/>
      <c r="P408" s="18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 spans="1:33" x14ac:dyDescent="0.25">
      <c r="A409" s="9"/>
      <c r="B409" s="9"/>
      <c r="C409" s="9"/>
      <c r="D409" s="9"/>
      <c r="E409" s="9"/>
      <c r="F409" s="9"/>
      <c r="G409" s="6"/>
      <c r="H409" s="9"/>
      <c r="I409" s="9"/>
      <c r="J409" s="9"/>
      <c r="K409" s="9"/>
      <c r="L409" s="9"/>
      <c r="M409" s="9"/>
      <c r="N409" s="9"/>
      <c r="O409" s="9"/>
      <c r="P409" s="18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 spans="1:33" x14ac:dyDescent="0.25">
      <c r="A410" s="9"/>
      <c r="B410" s="9"/>
      <c r="C410" s="9"/>
      <c r="D410" s="9"/>
      <c r="E410" s="9"/>
      <c r="F410" s="9"/>
      <c r="G410" s="6"/>
      <c r="H410" s="9"/>
      <c r="I410" s="9"/>
      <c r="J410" s="9"/>
      <c r="K410" s="9"/>
      <c r="L410" s="9"/>
      <c r="M410" s="9"/>
      <c r="N410" s="9"/>
      <c r="O410" s="9"/>
      <c r="P410" s="18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 spans="1:33" x14ac:dyDescent="0.25">
      <c r="A411" s="9"/>
      <c r="B411" s="9"/>
      <c r="C411" s="9"/>
      <c r="D411" s="9"/>
      <c r="E411" s="9"/>
      <c r="F411" s="9"/>
      <c r="G411" s="6"/>
      <c r="H411" s="9"/>
      <c r="I411" s="9"/>
      <c r="J411" s="9"/>
      <c r="K411" s="9"/>
      <c r="L411" s="9"/>
      <c r="M411" s="9"/>
      <c r="N411" s="9"/>
      <c r="O411" s="9"/>
      <c r="P411" s="18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 spans="1:33" x14ac:dyDescent="0.25">
      <c r="A412" s="9"/>
      <c r="B412" s="9"/>
      <c r="C412" s="9"/>
      <c r="D412" s="9"/>
      <c r="E412" s="9"/>
      <c r="F412" s="9"/>
      <c r="G412" s="6"/>
      <c r="H412" s="9"/>
      <c r="I412" s="9"/>
      <c r="J412" s="9"/>
      <c r="K412" s="9"/>
      <c r="L412" s="9"/>
      <c r="M412" s="9"/>
      <c r="N412" s="9"/>
      <c r="O412" s="9"/>
      <c r="P412" s="18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 spans="1:33" x14ac:dyDescent="0.25">
      <c r="A413" s="9"/>
      <c r="B413" s="9"/>
      <c r="C413" s="9"/>
      <c r="D413" s="9"/>
      <c r="E413" s="9"/>
      <c r="F413" s="9"/>
      <c r="G413" s="6"/>
      <c r="H413" s="9"/>
      <c r="I413" s="9"/>
      <c r="J413" s="9"/>
      <c r="K413" s="9"/>
      <c r="L413" s="9"/>
      <c r="M413" s="9"/>
      <c r="N413" s="9"/>
      <c r="O413" s="9"/>
      <c r="P413" s="18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 spans="1:33" x14ac:dyDescent="0.25">
      <c r="A414" s="9"/>
      <c r="B414" s="9"/>
      <c r="C414" s="9"/>
      <c r="D414" s="9"/>
      <c r="E414" s="9"/>
      <c r="F414" s="9"/>
      <c r="G414" s="6"/>
      <c r="H414" s="9"/>
      <c r="I414" s="9"/>
      <c r="J414" s="9"/>
      <c r="K414" s="9"/>
      <c r="L414" s="9"/>
      <c r="M414" s="9"/>
      <c r="N414" s="9"/>
      <c r="O414" s="9"/>
      <c r="P414" s="18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 spans="1:33" x14ac:dyDescent="0.25">
      <c r="A415" s="9"/>
      <c r="B415" s="9"/>
      <c r="C415" s="9"/>
      <c r="D415" s="9"/>
      <c r="E415" s="9"/>
      <c r="F415" s="9"/>
      <c r="G415" s="6"/>
      <c r="H415" s="9"/>
      <c r="I415" s="9"/>
      <c r="J415" s="9"/>
      <c r="K415" s="9"/>
      <c r="L415" s="9"/>
      <c r="M415" s="9"/>
      <c r="N415" s="9"/>
      <c r="O415" s="9"/>
      <c r="P415" s="18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 spans="1:33" x14ac:dyDescent="0.25">
      <c r="A416" s="9"/>
      <c r="B416" s="9"/>
      <c r="C416" s="9"/>
      <c r="D416" s="9"/>
      <c r="E416" s="9"/>
      <c r="F416" s="9"/>
      <c r="G416" s="6"/>
      <c r="H416" s="9"/>
      <c r="I416" s="9"/>
      <c r="J416" s="9"/>
      <c r="K416" s="9"/>
      <c r="L416" s="9"/>
      <c r="M416" s="9"/>
      <c r="N416" s="9"/>
      <c r="O416" s="9"/>
      <c r="P416" s="18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 spans="1:33" x14ac:dyDescent="0.25">
      <c r="A417" s="9"/>
      <c r="B417" s="9"/>
      <c r="C417" s="9"/>
      <c r="D417" s="9"/>
      <c r="E417" s="9"/>
      <c r="F417" s="9"/>
      <c r="G417" s="6"/>
      <c r="H417" s="9"/>
      <c r="I417" s="9"/>
      <c r="J417" s="9"/>
      <c r="K417" s="9"/>
      <c r="L417" s="9"/>
      <c r="M417" s="9"/>
      <c r="N417" s="9"/>
      <c r="O417" s="9"/>
      <c r="P417" s="18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 spans="1:33" x14ac:dyDescent="0.25">
      <c r="A418" s="9"/>
      <c r="B418" s="9"/>
      <c r="C418" s="9"/>
      <c r="D418" s="9"/>
      <c r="E418" s="9"/>
      <c r="F418" s="9"/>
      <c r="G418" s="6"/>
      <c r="H418" s="9"/>
      <c r="I418" s="9"/>
      <c r="J418" s="9"/>
      <c r="K418" s="9"/>
      <c r="L418" s="9"/>
      <c r="M418" s="9"/>
      <c r="N418" s="9"/>
      <c r="O418" s="9"/>
      <c r="P418" s="18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 spans="1:33" x14ac:dyDescent="0.25">
      <c r="A419" s="9"/>
      <c r="B419" s="9"/>
      <c r="C419" s="9"/>
      <c r="D419" s="9"/>
      <c r="E419" s="9"/>
      <c r="F419" s="9"/>
      <c r="G419" s="6"/>
      <c r="H419" s="9"/>
      <c r="I419" s="9"/>
      <c r="J419" s="9"/>
      <c r="K419" s="9"/>
      <c r="L419" s="9"/>
      <c r="M419" s="9"/>
      <c r="N419" s="9"/>
      <c r="O419" s="9"/>
      <c r="P419" s="18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 spans="1:33" x14ac:dyDescent="0.25">
      <c r="A420" s="9"/>
      <c r="B420" s="9"/>
      <c r="C420" s="9"/>
      <c r="D420" s="9"/>
      <c r="E420" s="9"/>
      <c r="F420" s="9"/>
      <c r="G420" s="6"/>
      <c r="H420" s="9"/>
      <c r="I420" s="9"/>
      <c r="J420" s="9"/>
      <c r="K420" s="9"/>
      <c r="L420" s="9"/>
      <c r="M420" s="9"/>
      <c r="N420" s="9"/>
      <c r="O420" s="9"/>
      <c r="P420" s="18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 spans="1:33" x14ac:dyDescent="0.25">
      <c r="A421" s="9"/>
      <c r="B421" s="9"/>
      <c r="C421" s="9"/>
      <c r="D421" s="9"/>
      <c r="E421" s="9"/>
      <c r="F421" s="9"/>
      <c r="G421" s="6"/>
      <c r="H421" s="9"/>
      <c r="I421" s="9"/>
      <c r="J421" s="9"/>
      <c r="K421" s="9"/>
      <c r="L421" s="9"/>
      <c r="M421" s="9"/>
      <c r="N421" s="9"/>
      <c r="O421" s="9"/>
      <c r="P421" s="18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 spans="1:33" x14ac:dyDescent="0.25">
      <c r="A422" s="9"/>
      <c r="B422" s="9"/>
      <c r="C422" s="9"/>
      <c r="D422" s="9"/>
      <c r="E422" s="9"/>
      <c r="F422" s="9"/>
      <c r="G422" s="6"/>
      <c r="H422" s="9"/>
      <c r="I422" s="9"/>
      <c r="J422" s="9"/>
      <c r="K422" s="9"/>
      <c r="L422" s="9"/>
      <c r="M422" s="9"/>
      <c r="N422" s="9"/>
      <c r="O422" s="9"/>
      <c r="P422" s="18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 spans="1:33" x14ac:dyDescent="0.25">
      <c r="A423" s="9"/>
      <c r="B423" s="9"/>
      <c r="C423" s="9"/>
      <c r="D423" s="9"/>
      <c r="E423" s="9"/>
      <c r="F423" s="9"/>
      <c r="G423" s="6"/>
      <c r="H423" s="9"/>
      <c r="I423" s="9"/>
      <c r="J423" s="9"/>
      <c r="K423" s="9"/>
      <c r="L423" s="9"/>
      <c r="M423" s="9"/>
      <c r="N423" s="9"/>
      <c r="O423" s="9"/>
      <c r="P423" s="18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 spans="1:33" x14ac:dyDescent="0.25">
      <c r="A424" s="9"/>
      <c r="B424" s="9"/>
      <c r="C424" s="9"/>
      <c r="D424" s="9"/>
      <c r="E424" s="9"/>
      <c r="F424" s="9"/>
      <c r="G424" s="6"/>
      <c r="H424" s="9"/>
      <c r="I424" s="9"/>
      <c r="J424" s="9"/>
      <c r="K424" s="9"/>
      <c r="L424" s="9"/>
      <c r="M424" s="9"/>
      <c r="N424" s="9"/>
      <c r="O424" s="9"/>
      <c r="P424" s="18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 spans="1:33" x14ac:dyDescent="0.25">
      <c r="A425" s="9"/>
      <c r="B425" s="9"/>
      <c r="C425" s="9"/>
      <c r="D425" s="9"/>
      <c r="E425" s="9"/>
      <c r="F425" s="9"/>
      <c r="G425" s="6"/>
      <c r="H425" s="9"/>
      <c r="I425" s="9"/>
      <c r="J425" s="9"/>
      <c r="K425" s="9"/>
      <c r="L425" s="9"/>
      <c r="M425" s="9"/>
      <c r="N425" s="9"/>
      <c r="O425" s="9"/>
      <c r="P425" s="18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 spans="1:33" x14ac:dyDescent="0.25">
      <c r="A426" s="9"/>
      <c r="B426" s="9"/>
      <c r="C426" s="9"/>
      <c r="D426" s="9"/>
      <c r="E426" s="9"/>
      <c r="F426" s="9"/>
      <c r="G426" s="6"/>
      <c r="H426" s="9"/>
      <c r="I426" s="9"/>
      <c r="J426" s="9"/>
      <c r="K426" s="9"/>
      <c r="L426" s="9"/>
      <c r="M426" s="9"/>
      <c r="N426" s="9"/>
      <c r="O426" s="9"/>
      <c r="P426" s="18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 spans="1:33" x14ac:dyDescent="0.25">
      <c r="A427" s="9"/>
      <c r="B427" s="9"/>
      <c r="C427" s="9"/>
      <c r="D427" s="9"/>
      <c r="E427" s="9"/>
      <c r="F427" s="9"/>
      <c r="G427" s="6"/>
      <c r="H427" s="9"/>
      <c r="I427" s="9"/>
      <c r="J427" s="9"/>
      <c r="K427" s="9"/>
      <c r="L427" s="9"/>
      <c r="M427" s="9"/>
      <c r="N427" s="9"/>
      <c r="O427" s="9"/>
      <c r="P427" s="18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 spans="1:33" x14ac:dyDescent="0.25">
      <c r="A428" s="9"/>
      <c r="B428" s="9"/>
      <c r="C428" s="9"/>
      <c r="D428" s="9"/>
      <c r="E428" s="9"/>
      <c r="F428" s="9"/>
      <c r="G428" s="6"/>
      <c r="H428" s="9"/>
      <c r="I428" s="9"/>
      <c r="J428" s="9"/>
      <c r="K428" s="9"/>
      <c r="L428" s="9"/>
      <c r="M428" s="9"/>
      <c r="N428" s="9"/>
      <c r="O428" s="9"/>
      <c r="P428" s="18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 spans="1:33" x14ac:dyDescent="0.25">
      <c r="A429" s="9"/>
      <c r="B429" s="9"/>
      <c r="C429" s="9"/>
      <c r="D429" s="9"/>
      <c r="E429" s="9"/>
      <c r="F429" s="9"/>
      <c r="G429" s="6"/>
      <c r="H429" s="9"/>
      <c r="I429" s="9"/>
      <c r="J429" s="9"/>
      <c r="K429" s="9"/>
      <c r="L429" s="9"/>
      <c r="M429" s="9"/>
      <c r="N429" s="9"/>
      <c r="O429" s="9"/>
      <c r="P429" s="18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 spans="1:33" x14ac:dyDescent="0.25">
      <c r="A430" s="9"/>
      <c r="B430" s="9"/>
      <c r="C430" s="9"/>
      <c r="D430" s="9"/>
      <c r="E430" s="9"/>
      <c r="F430" s="9"/>
      <c r="G430" s="6"/>
      <c r="H430" s="9"/>
      <c r="I430" s="9"/>
      <c r="J430" s="9"/>
      <c r="K430" s="9"/>
      <c r="L430" s="9"/>
      <c r="M430" s="9"/>
      <c r="N430" s="9"/>
      <c r="O430" s="9"/>
      <c r="P430" s="18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 spans="1:33" x14ac:dyDescent="0.25">
      <c r="A431" s="9"/>
      <c r="B431" s="9"/>
      <c r="C431" s="9"/>
      <c r="D431" s="9"/>
      <c r="E431" s="9"/>
      <c r="F431" s="9"/>
      <c r="G431" s="6"/>
      <c r="H431" s="9"/>
      <c r="I431" s="9"/>
      <c r="J431" s="9"/>
      <c r="K431" s="9"/>
      <c r="L431" s="9"/>
      <c r="M431" s="9"/>
      <c r="N431" s="9"/>
      <c r="O431" s="9"/>
      <c r="P431" s="18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 spans="1:33" x14ac:dyDescent="0.25">
      <c r="A432" s="9"/>
      <c r="B432" s="9"/>
      <c r="C432" s="9"/>
      <c r="D432" s="9"/>
      <c r="E432" s="9"/>
      <c r="F432" s="9"/>
      <c r="G432" s="6"/>
      <c r="H432" s="9"/>
      <c r="I432" s="9"/>
      <c r="J432" s="9"/>
      <c r="K432" s="9"/>
      <c r="L432" s="9"/>
      <c r="M432" s="9"/>
      <c r="N432" s="9"/>
      <c r="O432" s="9"/>
      <c r="P432" s="18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 spans="1:33" x14ac:dyDescent="0.25">
      <c r="A433" s="9"/>
      <c r="B433" s="9"/>
      <c r="C433" s="9"/>
      <c r="D433" s="9"/>
      <c r="E433" s="9"/>
      <c r="F433" s="9"/>
      <c r="G433" s="6"/>
      <c r="H433" s="9"/>
      <c r="I433" s="9"/>
      <c r="J433" s="9"/>
      <c r="K433" s="9"/>
      <c r="L433" s="9"/>
      <c r="M433" s="9"/>
      <c r="N433" s="9"/>
      <c r="O433" s="9"/>
      <c r="P433" s="18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 spans="1:33" x14ac:dyDescent="0.25">
      <c r="A434" s="9"/>
      <c r="B434" s="9"/>
      <c r="C434" s="9"/>
      <c r="D434" s="9"/>
      <c r="E434" s="9"/>
      <c r="F434" s="9"/>
      <c r="G434" s="6"/>
      <c r="H434" s="9"/>
      <c r="I434" s="9"/>
      <c r="J434" s="9"/>
      <c r="K434" s="9"/>
      <c r="L434" s="9"/>
      <c r="M434" s="9"/>
      <c r="N434" s="9"/>
      <c r="O434" s="9"/>
      <c r="P434" s="18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 spans="1:33" x14ac:dyDescent="0.25">
      <c r="A435" s="9"/>
      <c r="B435" s="9"/>
      <c r="C435" s="9"/>
      <c r="D435" s="9"/>
      <c r="E435" s="9"/>
      <c r="F435" s="9"/>
      <c r="G435" s="6"/>
      <c r="H435" s="9"/>
      <c r="I435" s="9"/>
      <c r="J435" s="9"/>
      <c r="K435" s="9"/>
      <c r="L435" s="9"/>
      <c r="M435" s="9"/>
      <c r="N435" s="9"/>
      <c r="O435" s="9"/>
      <c r="P435" s="18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 spans="1:33" x14ac:dyDescent="0.25">
      <c r="A436" s="9"/>
      <c r="B436" s="9"/>
      <c r="C436" s="9"/>
      <c r="D436" s="9"/>
      <c r="E436" s="9"/>
      <c r="F436" s="9"/>
      <c r="G436" s="6"/>
      <c r="H436" s="9"/>
      <c r="I436" s="9"/>
      <c r="J436" s="9"/>
      <c r="K436" s="9"/>
      <c r="L436" s="9"/>
      <c r="M436" s="9"/>
      <c r="N436" s="9"/>
      <c r="O436" s="9"/>
      <c r="P436" s="18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 spans="1:33" x14ac:dyDescent="0.25">
      <c r="A437" s="9"/>
      <c r="B437" s="9"/>
      <c r="C437" s="9"/>
      <c r="D437" s="9"/>
      <c r="E437" s="9"/>
      <c r="F437" s="9"/>
      <c r="G437" s="6"/>
      <c r="H437" s="9"/>
      <c r="I437" s="9"/>
      <c r="J437" s="9"/>
      <c r="K437" s="9"/>
      <c r="L437" s="9"/>
      <c r="M437" s="9"/>
      <c r="N437" s="9"/>
      <c r="O437" s="9"/>
      <c r="P437" s="18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 spans="1:33" x14ac:dyDescent="0.25">
      <c r="A438" s="9"/>
      <c r="B438" s="9"/>
      <c r="C438" s="9"/>
      <c r="D438" s="9"/>
      <c r="E438" s="9"/>
      <c r="F438" s="9"/>
      <c r="G438" s="6"/>
      <c r="H438" s="9"/>
      <c r="I438" s="9"/>
      <c r="J438" s="9"/>
      <c r="K438" s="9"/>
      <c r="L438" s="9"/>
      <c r="M438" s="9"/>
      <c r="N438" s="9"/>
      <c r="O438" s="9"/>
      <c r="P438" s="18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 spans="1:33" x14ac:dyDescent="0.25">
      <c r="A439" s="9"/>
      <c r="B439" s="9"/>
      <c r="C439" s="9"/>
      <c r="D439" s="9"/>
      <c r="E439" s="9"/>
      <c r="F439" s="9"/>
      <c r="G439" s="6"/>
      <c r="H439" s="9"/>
      <c r="I439" s="9"/>
      <c r="J439" s="9"/>
      <c r="K439" s="9"/>
      <c r="L439" s="9"/>
      <c r="M439" s="9"/>
      <c r="N439" s="9"/>
      <c r="O439" s="9"/>
      <c r="P439" s="18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 spans="1:33" x14ac:dyDescent="0.25">
      <c r="A440" s="9"/>
      <c r="B440" s="9"/>
      <c r="C440" s="9"/>
      <c r="D440" s="9"/>
      <c r="E440" s="9"/>
      <c r="F440" s="9"/>
      <c r="G440" s="6"/>
      <c r="H440" s="9"/>
      <c r="I440" s="9"/>
      <c r="J440" s="9"/>
      <c r="K440" s="9"/>
      <c r="L440" s="9"/>
      <c r="M440" s="9"/>
      <c r="N440" s="9"/>
      <c r="O440" s="9"/>
      <c r="P440" s="18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 spans="1:33" x14ac:dyDescent="0.25">
      <c r="A441" s="9"/>
      <c r="B441" s="9"/>
      <c r="C441" s="9"/>
      <c r="D441" s="9"/>
      <c r="E441" s="9"/>
      <c r="F441" s="9"/>
      <c r="G441" s="6"/>
      <c r="H441" s="9"/>
      <c r="I441" s="9"/>
      <c r="J441" s="9"/>
      <c r="K441" s="9"/>
      <c r="L441" s="9"/>
      <c r="M441" s="9"/>
      <c r="N441" s="9"/>
      <c r="O441" s="9"/>
      <c r="P441" s="18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 spans="1:33" x14ac:dyDescent="0.25">
      <c r="A442" s="9"/>
      <c r="B442" s="9"/>
      <c r="C442" s="9"/>
      <c r="D442" s="9"/>
      <c r="E442" s="9"/>
      <c r="F442" s="9"/>
      <c r="G442" s="6"/>
      <c r="H442" s="9"/>
      <c r="I442" s="9"/>
      <c r="J442" s="9"/>
      <c r="K442" s="9"/>
      <c r="L442" s="9"/>
      <c r="M442" s="9"/>
      <c r="N442" s="9"/>
      <c r="O442" s="9"/>
      <c r="P442" s="18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 spans="1:33" x14ac:dyDescent="0.25">
      <c r="A443" s="9"/>
      <c r="B443" s="9"/>
      <c r="C443" s="9"/>
      <c r="D443" s="9"/>
      <c r="E443" s="9"/>
      <c r="F443" s="9"/>
      <c r="G443" s="6"/>
      <c r="H443" s="9"/>
      <c r="I443" s="9"/>
      <c r="J443" s="9"/>
      <c r="K443" s="9"/>
      <c r="L443" s="9"/>
      <c r="M443" s="9"/>
      <c r="N443" s="9"/>
      <c r="O443" s="9"/>
      <c r="P443" s="18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 spans="1:33" x14ac:dyDescent="0.25">
      <c r="A444" s="9"/>
      <c r="B444" s="9"/>
      <c r="C444" s="9"/>
      <c r="D444" s="9"/>
      <c r="E444" s="9"/>
      <c r="F444" s="9"/>
      <c r="G444" s="6"/>
      <c r="H444" s="9"/>
      <c r="I444" s="9"/>
      <c r="J444" s="9"/>
      <c r="K444" s="9"/>
      <c r="L444" s="9"/>
      <c r="M444" s="9"/>
      <c r="N444" s="9"/>
      <c r="O444" s="9"/>
      <c r="P444" s="18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 spans="1:33" x14ac:dyDescent="0.25">
      <c r="A445" s="9"/>
      <c r="B445" s="9"/>
      <c r="C445" s="9"/>
      <c r="D445" s="9"/>
      <c r="E445" s="9"/>
      <c r="F445" s="9"/>
      <c r="G445" s="6"/>
      <c r="H445" s="9"/>
      <c r="I445" s="9"/>
      <c r="J445" s="9"/>
      <c r="K445" s="9"/>
      <c r="L445" s="9"/>
      <c r="M445" s="9"/>
      <c r="N445" s="9"/>
      <c r="O445" s="9"/>
      <c r="P445" s="18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 spans="1:33" x14ac:dyDescent="0.25">
      <c r="A446" s="9"/>
      <c r="B446" s="9"/>
      <c r="C446" s="9"/>
      <c r="D446" s="9"/>
      <c r="E446" s="9"/>
      <c r="F446" s="9"/>
      <c r="G446" s="6"/>
      <c r="H446" s="9"/>
      <c r="I446" s="9"/>
      <c r="J446" s="9"/>
      <c r="K446" s="9"/>
      <c r="L446" s="9"/>
      <c r="M446" s="9"/>
      <c r="N446" s="9"/>
      <c r="O446" s="9"/>
      <c r="P446" s="18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 spans="1:33" x14ac:dyDescent="0.25">
      <c r="A447" s="9"/>
      <c r="B447" s="9"/>
      <c r="C447" s="9"/>
      <c r="D447" s="9"/>
      <c r="E447" s="9"/>
      <c r="F447" s="9"/>
      <c r="G447" s="6"/>
      <c r="H447" s="9"/>
      <c r="I447" s="9"/>
      <c r="J447" s="9"/>
      <c r="K447" s="9"/>
      <c r="L447" s="9"/>
      <c r="M447" s="9"/>
      <c r="N447" s="9"/>
      <c r="O447" s="9"/>
      <c r="P447" s="18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 spans="1:33" x14ac:dyDescent="0.25">
      <c r="A448" s="9"/>
      <c r="B448" s="9"/>
      <c r="C448" s="9"/>
      <c r="D448" s="9"/>
      <c r="E448" s="9"/>
      <c r="F448" s="9"/>
      <c r="G448" s="6"/>
      <c r="H448" s="9"/>
      <c r="I448" s="9"/>
      <c r="J448" s="9"/>
      <c r="K448" s="9"/>
      <c r="L448" s="9"/>
      <c r="M448" s="9"/>
      <c r="N448" s="9"/>
      <c r="O448" s="9"/>
      <c r="P448" s="18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 spans="1:33" x14ac:dyDescent="0.25">
      <c r="A449" s="9"/>
      <c r="B449" s="9"/>
      <c r="C449" s="9"/>
      <c r="D449" s="9"/>
      <c r="E449" s="9"/>
      <c r="F449" s="9"/>
      <c r="G449" s="6"/>
      <c r="H449" s="9"/>
      <c r="I449" s="9"/>
      <c r="J449" s="9"/>
      <c r="K449" s="9"/>
      <c r="L449" s="9"/>
      <c r="M449" s="9"/>
      <c r="N449" s="9"/>
      <c r="O449" s="9"/>
      <c r="P449" s="18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 spans="1:33" x14ac:dyDescent="0.25">
      <c r="A450" s="9"/>
      <c r="B450" s="9"/>
      <c r="C450" s="9"/>
      <c r="D450" s="9"/>
      <c r="E450" s="9"/>
      <c r="F450" s="9"/>
      <c r="G450" s="6"/>
      <c r="H450" s="9"/>
      <c r="I450" s="9"/>
      <c r="J450" s="9"/>
      <c r="K450" s="9"/>
      <c r="L450" s="9"/>
      <c r="M450" s="9"/>
      <c r="N450" s="9"/>
      <c r="O450" s="9"/>
      <c r="P450" s="18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 spans="1:33" x14ac:dyDescent="0.25">
      <c r="A451" s="9"/>
      <c r="B451" s="9"/>
      <c r="C451" s="9"/>
      <c r="D451" s="9"/>
      <c r="E451" s="9"/>
      <c r="F451" s="9"/>
      <c r="G451" s="6"/>
      <c r="H451" s="9"/>
      <c r="I451" s="9"/>
      <c r="J451" s="9"/>
      <c r="K451" s="9"/>
      <c r="L451" s="9"/>
      <c r="M451" s="9"/>
      <c r="N451" s="9"/>
      <c r="O451" s="9"/>
      <c r="P451" s="18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 spans="1:33" x14ac:dyDescent="0.25">
      <c r="A452" s="9"/>
      <c r="B452" s="9"/>
      <c r="C452" s="9"/>
      <c r="D452" s="9"/>
      <c r="E452" s="9"/>
      <c r="F452" s="9"/>
      <c r="G452" s="6"/>
      <c r="H452" s="9"/>
      <c r="I452" s="9"/>
      <c r="J452" s="9"/>
      <c r="K452" s="9"/>
      <c r="L452" s="9"/>
      <c r="M452" s="9"/>
      <c r="N452" s="9"/>
      <c r="O452" s="9"/>
      <c r="P452" s="18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 spans="1:33" x14ac:dyDescent="0.25">
      <c r="A453" s="9"/>
      <c r="B453" s="9"/>
      <c r="C453" s="9"/>
      <c r="D453" s="9"/>
      <c r="E453" s="9"/>
      <c r="F453" s="9"/>
      <c r="G453" s="6"/>
      <c r="H453" s="9"/>
      <c r="I453" s="9"/>
      <c r="J453" s="9"/>
      <c r="K453" s="9"/>
      <c r="L453" s="9"/>
      <c r="M453" s="9"/>
      <c r="N453" s="9"/>
      <c r="O453" s="9"/>
      <c r="P453" s="18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 spans="1:33" x14ac:dyDescent="0.25">
      <c r="A454" s="9"/>
      <c r="B454" s="9"/>
      <c r="C454" s="9"/>
      <c r="D454" s="9"/>
      <c r="E454" s="9"/>
      <c r="F454" s="9"/>
      <c r="G454" s="6"/>
      <c r="H454" s="9"/>
      <c r="I454" s="9"/>
      <c r="J454" s="9"/>
      <c r="K454" s="9"/>
      <c r="L454" s="9"/>
      <c r="M454" s="9"/>
      <c r="N454" s="9"/>
      <c r="O454" s="9"/>
      <c r="P454" s="18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 spans="1:33" x14ac:dyDescent="0.25">
      <c r="A455" s="9"/>
      <c r="B455" s="9"/>
      <c r="C455" s="9"/>
      <c r="D455" s="9"/>
      <c r="E455" s="9"/>
      <c r="F455" s="9"/>
      <c r="G455" s="6"/>
      <c r="H455" s="9"/>
      <c r="I455" s="9"/>
      <c r="J455" s="9"/>
      <c r="K455" s="9"/>
      <c r="L455" s="9"/>
      <c r="M455" s="9"/>
      <c r="N455" s="9"/>
      <c r="O455" s="9"/>
      <c r="P455" s="18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 spans="1:33" x14ac:dyDescent="0.25">
      <c r="A456" s="9"/>
      <c r="B456" s="9"/>
      <c r="C456" s="9"/>
      <c r="D456" s="9"/>
      <c r="E456" s="9"/>
      <c r="F456" s="9"/>
      <c r="G456" s="6"/>
      <c r="H456" s="9"/>
      <c r="I456" s="9"/>
      <c r="J456" s="9"/>
      <c r="K456" s="9"/>
      <c r="L456" s="9"/>
      <c r="M456" s="9"/>
      <c r="N456" s="9"/>
      <c r="O456" s="9"/>
      <c r="P456" s="18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 spans="1:33" x14ac:dyDescent="0.25">
      <c r="A457" s="9"/>
      <c r="B457" s="9"/>
      <c r="C457" s="9"/>
      <c r="D457" s="9"/>
      <c r="E457" s="9"/>
      <c r="F457" s="9"/>
      <c r="G457" s="6"/>
      <c r="H457" s="9"/>
      <c r="I457" s="9"/>
      <c r="J457" s="9"/>
      <c r="K457" s="9"/>
      <c r="L457" s="9"/>
      <c r="M457" s="9"/>
      <c r="N457" s="9"/>
      <c r="O457" s="9"/>
      <c r="P457" s="18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 spans="1:33" x14ac:dyDescent="0.25">
      <c r="A458" s="9"/>
      <c r="B458" s="9"/>
      <c r="C458" s="9"/>
      <c r="D458" s="9"/>
      <c r="E458" s="9"/>
      <c r="F458" s="9"/>
      <c r="G458" s="6"/>
      <c r="H458" s="9"/>
      <c r="I458" s="9"/>
      <c r="J458" s="9"/>
      <c r="K458" s="9"/>
      <c r="L458" s="9"/>
      <c r="M458" s="9"/>
      <c r="N458" s="9"/>
      <c r="O458" s="9"/>
      <c r="P458" s="18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 spans="1:33" x14ac:dyDescent="0.25">
      <c r="A459" s="9"/>
      <c r="B459" s="9"/>
      <c r="C459" s="9"/>
      <c r="D459" s="9"/>
      <c r="E459" s="9"/>
      <c r="F459" s="9"/>
      <c r="G459" s="6"/>
      <c r="H459" s="9"/>
      <c r="I459" s="9"/>
      <c r="J459" s="9"/>
      <c r="K459" s="9"/>
      <c r="L459" s="9"/>
      <c r="M459" s="9"/>
      <c r="N459" s="9"/>
      <c r="O459" s="9"/>
      <c r="P459" s="18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 spans="1:33" x14ac:dyDescent="0.25">
      <c r="A460" s="9"/>
      <c r="B460" s="9"/>
      <c r="C460" s="9"/>
      <c r="D460" s="9"/>
      <c r="E460" s="9"/>
      <c r="F460" s="9"/>
      <c r="G460" s="6"/>
      <c r="H460" s="9"/>
      <c r="I460" s="9"/>
      <c r="J460" s="9"/>
      <c r="K460" s="9"/>
      <c r="L460" s="9"/>
      <c r="M460" s="9"/>
      <c r="N460" s="9"/>
      <c r="O460" s="9"/>
      <c r="P460" s="18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 spans="1:33" x14ac:dyDescent="0.25">
      <c r="A461" s="9"/>
      <c r="B461" s="9"/>
      <c r="C461" s="9"/>
      <c r="D461" s="9"/>
      <c r="E461" s="9"/>
      <c r="F461" s="9"/>
      <c r="G461" s="6"/>
      <c r="H461" s="9"/>
      <c r="I461" s="9"/>
      <c r="J461" s="9"/>
      <c r="K461" s="9"/>
      <c r="L461" s="9"/>
      <c r="M461" s="9"/>
      <c r="N461" s="9"/>
      <c r="O461" s="9"/>
      <c r="P461" s="18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 spans="1:33" x14ac:dyDescent="0.25">
      <c r="A462" s="9"/>
      <c r="B462" s="9"/>
      <c r="C462" s="9"/>
      <c r="D462" s="9"/>
      <c r="E462" s="9"/>
      <c r="F462" s="9"/>
      <c r="G462" s="6"/>
      <c r="H462" s="9"/>
      <c r="I462" s="9"/>
      <c r="J462" s="9"/>
      <c r="K462" s="9"/>
      <c r="L462" s="9"/>
      <c r="M462" s="9"/>
      <c r="N462" s="9"/>
      <c r="O462" s="9"/>
      <c r="P462" s="18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 spans="1:33" x14ac:dyDescent="0.25">
      <c r="A463" s="9"/>
      <c r="B463" s="9"/>
      <c r="C463" s="9"/>
      <c r="D463" s="9"/>
      <c r="E463" s="9"/>
      <c r="F463" s="9"/>
      <c r="G463" s="6"/>
      <c r="H463" s="9"/>
      <c r="I463" s="9"/>
      <c r="J463" s="9"/>
      <c r="K463" s="9"/>
      <c r="L463" s="9"/>
      <c r="M463" s="9"/>
      <c r="N463" s="9"/>
      <c r="O463" s="9"/>
      <c r="P463" s="18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 spans="1:33" x14ac:dyDescent="0.25">
      <c r="A464" s="9"/>
      <c r="B464" s="9"/>
      <c r="C464" s="9"/>
      <c r="D464" s="9"/>
      <c r="E464" s="9"/>
      <c r="F464" s="9"/>
      <c r="G464" s="6"/>
      <c r="H464" s="9"/>
      <c r="I464" s="9"/>
      <c r="J464" s="9"/>
      <c r="K464" s="9"/>
      <c r="L464" s="9"/>
      <c r="M464" s="9"/>
      <c r="N464" s="9"/>
      <c r="O464" s="9"/>
      <c r="P464" s="18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 spans="1:33" x14ac:dyDescent="0.25">
      <c r="A465" s="9"/>
      <c r="B465" s="9"/>
      <c r="C465" s="9"/>
      <c r="D465" s="9"/>
      <c r="E465" s="9"/>
      <c r="F465" s="9"/>
      <c r="G465" s="6"/>
      <c r="H465" s="9"/>
      <c r="I465" s="9"/>
      <c r="J465" s="9"/>
      <c r="K465" s="9"/>
      <c r="L465" s="9"/>
      <c r="M465" s="9"/>
      <c r="N465" s="9"/>
      <c r="O465" s="9"/>
      <c r="P465" s="18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 spans="1:33" x14ac:dyDescent="0.25">
      <c r="A466" s="9"/>
      <c r="B466" s="9"/>
      <c r="C466" s="9"/>
      <c r="D466" s="9"/>
      <c r="E466" s="9"/>
      <c r="F466" s="9"/>
      <c r="G466" s="6"/>
      <c r="H466" s="9"/>
      <c r="I466" s="9"/>
      <c r="J466" s="9"/>
      <c r="K466" s="9"/>
      <c r="L466" s="9"/>
      <c r="M466" s="9"/>
      <c r="N466" s="9"/>
      <c r="O466" s="9"/>
      <c r="P466" s="18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 spans="1:33" x14ac:dyDescent="0.25">
      <c r="A467" s="9"/>
      <c r="B467" s="9"/>
      <c r="C467" s="9"/>
      <c r="D467" s="9"/>
      <c r="E467" s="9"/>
      <c r="F467" s="9"/>
      <c r="G467" s="6"/>
      <c r="H467" s="9"/>
      <c r="I467" s="9"/>
      <c r="J467" s="9"/>
      <c r="K467" s="9"/>
      <c r="L467" s="9"/>
      <c r="M467" s="9"/>
      <c r="N467" s="9"/>
      <c r="O467" s="9"/>
      <c r="P467" s="18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 spans="1:33" x14ac:dyDescent="0.25">
      <c r="A468" s="9"/>
      <c r="B468" s="9"/>
      <c r="C468" s="9"/>
      <c r="D468" s="9"/>
      <c r="E468" s="9"/>
      <c r="F468" s="9"/>
      <c r="G468" s="6"/>
      <c r="H468" s="9"/>
      <c r="I468" s="9"/>
      <c r="J468" s="9"/>
      <c r="K468" s="9"/>
      <c r="L468" s="9"/>
      <c r="M468" s="9"/>
      <c r="N468" s="9"/>
      <c r="O468" s="9"/>
      <c r="P468" s="18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 spans="1:33" x14ac:dyDescent="0.25">
      <c r="A469" s="9"/>
      <c r="B469" s="9"/>
      <c r="C469" s="9"/>
      <c r="D469" s="9"/>
      <c r="E469" s="9"/>
      <c r="F469" s="9"/>
      <c r="G469" s="6"/>
      <c r="H469" s="9"/>
      <c r="I469" s="9"/>
      <c r="J469" s="9"/>
      <c r="K469" s="9"/>
      <c r="L469" s="9"/>
      <c r="M469" s="9"/>
      <c r="N469" s="9"/>
      <c r="O469" s="9"/>
      <c r="P469" s="18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 spans="1:33" x14ac:dyDescent="0.25">
      <c r="A470" s="9"/>
      <c r="B470" s="9"/>
      <c r="C470" s="9"/>
      <c r="D470" s="9"/>
      <c r="E470" s="9"/>
      <c r="F470" s="9"/>
      <c r="G470" s="6"/>
      <c r="H470" s="9"/>
      <c r="I470" s="9"/>
      <c r="J470" s="9"/>
      <c r="K470" s="9"/>
      <c r="L470" s="9"/>
      <c r="M470" s="9"/>
      <c r="N470" s="9"/>
      <c r="O470" s="9"/>
      <c r="P470" s="18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 spans="1:33" x14ac:dyDescent="0.25">
      <c r="A471" s="9"/>
      <c r="B471" s="9"/>
      <c r="C471" s="9"/>
      <c r="D471" s="9"/>
      <c r="E471" s="9"/>
      <c r="F471" s="9"/>
      <c r="G471" s="6"/>
      <c r="H471" s="9"/>
      <c r="I471" s="9"/>
      <c r="J471" s="9"/>
      <c r="K471" s="9"/>
      <c r="L471" s="9"/>
      <c r="M471" s="9"/>
      <c r="N471" s="9"/>
      <c r="O471" s="9"/>
      <c r="P471" s="18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 spans="1:33" x14ac:dyDescent="0.25">
      <c r="A472" s="9"/>
      <c r="B472" s="9"/>
      <c r="C472" s="9"/>
      <c r="D472" s="9"/>
      <c r="E472" s="9"/>
      <c r="F472" s="9"/>
      <c r="G472" s="6"/>
      <c r="H472" s="9"/>
      <c r="I472" s="9"/>
      <c r="J472" s="9"/>
      <c r="K472" s="9"/>
      <c r="L472" s="9"/>
      <c r="M472" s="9"/>
      <c r="N472" s="9"/>
      <c r="O472" s="9"/>
      <c r="P472" s="18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 spans="1:33" x14ac:dyDescent="0.25">
      <c r="A473" s="9"/>
      <c r="B473" s="9"/>
      <c r="C473" s="9"/>
      <c r="D473" s="9"/>
      <c r="E473" s="9"/>
      <c r="F473" s="9"/>
      <c r="G473" s="6"/>
      <c r="H473" s="9"/>
      <c r="I473" s="9"/>
      <c r="J473" s="9"/>
      <c r="K473" s="9"/>
      <c r="L473" s="9"/>
      <c r="M473" s="9"/>
      <c r="N473" s="9"/>
      <c r="O473" s="9"/>
      <c r="P473" s="18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 spans="1:33" x14ac:dyDescent="0.25">
      <c r="A474" s="9"/>
      <c r="B474" s="9"/>
      <c r="C474" s="9"/>
      <c r="D474" s="9"/>
      <c r="E474" s="9"/>
      <c r="F474" s="9"/>
      <c r="G474" s="6"/>
      <c r="H474" s="9"/>
      <c r="I474" s="9"/>
      <c r="J474" s="9"/>
      <c r="K474" s="9"/>
      <c r="L474" s="9"/>
      <c r="M474" s="9"/>
      <c r="N474" s="9"/>
      <c r="O474" s="9"/>
      <c r="P474" s="18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 spans="1:33" x14ac:dyDescent="0.25">
      <c r="A475" s="9"/>
      <c r="B475" s="9"/>
      <c r="C475" s="9"/>
      <c r="D475" s="9"/>
      <c r="E475" s="9"/>
      <c r="F475" s="9"/>
      <c r="G475" s="6"/>
      <c r="H475" s="9"/>
      <c r="I475" s="9"/>
      <c r="J475" s="9"/>
      <c r="K475" s="9"/>
      <c r="L475" s="9"/>
      <c r="M475" s="9"/>
      <c r="N475" s="9"/>
      <c r="O475" s="9"/>
      <c r="P475" s="18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 spans="1:33" x14ac:dyDescent="0.25">
      <c r="A476" s="9"/>
      <c r="B476" s="9"/>
      <c r="C476" s="9"/>
      <c r="D476" s="9"/>
      <c r="E476" s="9"/>
      <c r="F476" s="9"/>
      <c r="G476" s="6"/>
      <c r="H476" s="9"/>
      <c r="I476" s="9"/>
      <c r="J476" s="9"/>
      <c r="K476" s="9"/>
      <c r="L476" s="9"/>
      <c r="M476" s="9"/>
      <c r="N476" s="9"/>
      <c r="O476" s="9"/>
      <c r="P476" s="18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 spans="1:33" x14ac:dyDescent="0.25">
      <c r="A477" s="9"/>
      <c r="B477" s="9"/>
      <c r="C477" s="9"/>
      <c r="D477" s="9"/>
      <c r="E477" s="9"/>
      <c r="F477" s="9"/>
      <c r="G477" s="6"/>
      <c r="H477" s="9"/>
      <c r="I477" s="9"/>
      <c r="J477" s="9"/>
      <c r="K477" s="9"/>
      <c r="L477" s="9"/>
      <c r="M477" s="9"/>
      <c r="N477" s="9"/>
      <c r="O477" s="9"/>
      <c r="P477" s="18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 spans="1:33" x14ac:dyDescent="0.25">
      <c r="A478" s="9"/>
      <c r="B478" s="9"/>
      <c r="C478" s="9"/>
      <c r="D478" s="9"/>
      <c r="E478" s="9"/>
      <c r="F478" s="9"/>
      <c r="G478" s="6"/>
      <c r="H478" s="9"/>
      <c r="I478" s="9"/>
      <c r="J478" s="9"/>
      <c r="K478" s="9"/>
      <c r="L478" s="9"/>
      <c r="M478" s="9"/>
      <c r="N478" s="9"/>
      <c r="O478" s="9"/>
      <c r="P478" s="18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 spans="1:33" x14ac:dyDescent="0.25">
      <c r="A479" s="9"/>
      <c r="B479" s="9"/>
      <c r="C479" s="9"/>
      <c r="D479" s="9"/>
      <c r="E479" s="9"/>
      <c r="F479" s="9"/>
      <c r="G479" s="6"/>
      <c r="H479" s="9"/>
      <c r="I479" s="9"/>
      <c r="J479" s="9"/>
      <c r="K479" s="9"/>
      <c r="L479" s="9"/>
      <c r="M479" s="9"/>
      <c r="N479" s="9"/>
      <c r="O479" s="9"/>
      <c r="P479" s="18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 spans="1:33" x14ac:dyDescent="0.25">
      <c r="A480" s="9"/>
      <c r="B480" s="9"/>
      <c r="C480" s="9"/>
      <c r="D480" s="9"/>
      <c r="E480" s="9"/>
      <c r="F480" s="9"/>
      <c r="G480" s="6"/>
      <c r="H480" s="9"/>
      <c r="I480" s="9"/>
      <c r="J480" s="9"/>
      <c r="K480" s="9"/>
      <c r="L480" s="9"/>
      <c r="M480" s="9"/>
      <c r="N480" s="9"/>
      <c r="O480" s="9"/>
      <c r="P480" s="18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 spans="1:33" x14ac:dyDescent="0.25">
      <c r="A481" s="9"/>
      <c r="B481" s="9"/>
      <c r="C481" s="9"/>
      <c r="D481" s="9"/>
      <c r="E481" s="9"/>
      <c r="F481" s="9"/>
      <c r="G481" s="6"/>
      <c r="H481" s="9"/>
      <c r="I481" s="9"/>
      <c r="J481" s="9"/>
      <c r="K481" s="9"/>
      <c r="L481" s="9"/>
      <c r="M481" s="9"/>
      <c r="N481" s="9"/>
      <c r="O481" s="9"/>
      <c r="P481" s="18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 spans="1:33" x14ac:dyDescent="0.25">
      <c r="A482" s="9"/>
      <c r="B482" s="9"/>
      <c r="C482" s="9"/>
      <c r="D482" s="9"/>
      <c r="E482" s="9"/>
      <c r="F482" s="9"/>
      <c r="G482" s="6"/>
      <c r="H482" s="9"/>
      <c r="I482" s="9"/>
      <c r="J482" s="9"/>
      <c r="K482" s="9"/>
      <c r="L482" s="9"/>
      <c r="M482" s="9"/>
      <c r="N482" s="9"/>
      <c r="O482" s="9"/>
      <c r="P482" s="18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 spans="1:33" x14ac:dyDescent="0.25">
      <c r="A483" s="9"/>
      <c r="B483" s="9"/>
      <c r="C483" s="9"/>
      <c r="D483" s="9"/>
      <c r="E483" s="9"/>
      <c r="F483" s="9"/>
      <c r="G483" s="6"/>
      <c r="H483" s="9"/>
      <c r="I483" s="9"/>
      <c r="J483" s="9"/>
      <c r="K483" s="9"/>
      <c r="L483" s="9"/>
      <c r="M483" s="9"/>
      <c r="N483" s="9"/>
      <c r="O483" s="9"/>
      <c r="P483" s="18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 spans="1:33" x14ac:dyDescent="0.25">
      <c r="A484" s="9"/>
      <c r="B484" s="9"/>
      <c r="C484" s="9"/>
      <c r="D484" s="9"/>
      <c r="E484" s="9"/>
      <c r="F484" s="9"/>
      <c r="G484" s="6"/>
      <c r="H484" s="9"/>
      <c r="I484" s="9"/>
      <c r="J484" s="9"/>
      <c r="K484" s="9"/>
      <c r="L484" s="9"/>
      <c r="M484" s="9"/>
      <c r="N484" s="9"/>
      <c r="O484" s="9"/>
      <c r="P484" s="18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 spans="1:33" x14ac:dyDescent="0.25">
      <c r="A485" s="9"/>
      <c r="B485" s="9"/>
      <c r="C485" s="9"/>
      <c r="D485" s="9"/>
      <c r="E485" s="9"/>
      <c r="F485" s="9"/>
      <c r="G485" s="6"/>
      <c r="H485" s="9"/>
      <c r="I485" s="9"/>
      <c r="J485" s="9"/>
      <c r="K485" s="9"/>
      <c r="L485" s="9"/>
      <c r="M485" s="9"/>
      <c r="N485" s="9"/>
      <c r="O485" s="9"/>
      <c r="P485" s="18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 spans="1:33" x14ac:dyDescent="0.25">
      <c r="A486" s="9"/>
      <c r="B486" s="9"/>
      <c r="C486" s="9"/>
      <c r="D486" s="9"/>
      <c r="E486" s="9"/>
      <c r="F486" s="9"/>
      <c r="G486" s="6"/>
      <c r="H486" s="9"/>
      <c r="I486" s="9"/>
      <c r="J486" s="9"/>
      <c r="K486" s="9"/>
      <c r="L486" s="9"/>
      <c r="M486" s="9"/>
      <c r="N486" s="9"/>
      <c r="O486" s="9"/>
      <c r="P486" s="18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 spans="1:33" x14ac:dyDescent="0.25">
      <c r="A487" s="9"/>
      <c r="B487" s="9"/>
      <c r="C487" s="9"/>
      <c r="D487" s="9"/>
      <c r="E487" s="9"/>
      <c r="F487" s="9"/>
      <c r="G487" s="6"/>
      <c r="H487" s="9"/>
      <c r="I487" s="9"/>
      <c r="J487" s="9"/>
      <c r="K487" s="9"/>
      <c r="L487" s="9"/>
      <c r="M487" s="9"/>
      <c r="N487" s="9"/>
      <c r="O487" s="9"/>
      <c r="P487" s="18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 spans="1:33" x14ac:dyDescent="0.25">
      <c r="A488" s="9"/>
      <c r="B488" s="9"/>
      <c r="C488" s="9"/>
      <c r="D488" s="9"/>
      <c r="E488" s="9"/>
      <c r="F488" s="9"/>
      <c r="G488" s="6"/>
      <c r="H488" s="9"/>
      <c r="I488" s="9"/>
      <c r="J488" s="9"/>
      <c r="K488" s="9"/>
      <c r="L488" s="9"/>
      <c r="M488" s="9"/>
      <c r="N488" s="9"/>
      <c r="O488" s="9"/>
      <c r="P488" s="18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 spans="1:33" x14ac:dyDescent="0.25">
      <c r="A489" s="9"/>
      <c r="B489" s="9"/>
      <c r="C489" s="9"/>
      <c r="D489" s="9"/>
      <c r="E489" s="9"/>
      <c r="F489" s="9"/>
      <c r="G489" s="6"/>
      <c r="H489" s="9"/>
      <c r="I489" s="9"/>
      <c r="J489" s="9"/>
      <c r="K489" s="9"/>
      <c r="L489" s="9"/>
      <c r="M489" s="9"/>
      <c r="N489" s="9"/>
      <c r="O489" s="9"/>
      <c r="P489" s="18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 spans="1:33" x14ac:dyDescent="0.25">
      <c r="A490" s="9"/>
      <c r="B490" s="9"/>
      <c r="C490" s="9"/>
      <c r="D490" s="9"/>
      <c r="E490" s="9"/>
      <c r="F490" s="9"/>
      <c r="G490" s="6"/>
      <c r="H490" s="9"/>
      <c r="I490" s="9"/>
      <c r="J490" s="9"/>
      <c r="K490" s="9"/>
      <c r="L490" s="9"/>
      <c r="M490" s="9"/>
      <c r="N490" s="9"/>
      <c r="O490" s="9"/>
      <c r="P490" s="18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 spans="1:33" x14ac:dyDescent="0.25">
      <c r="A491" s="9"/>
      <c r="B491" s="9"/>
      <c r="C491" s="9"/>
      <c r="D491" s="9"/>
      <c r="E491" s="9"/>
      <c r="F491" s="9"/>
      <c r="G491" s="6"/>
      <c r="H491" s="9"/>
      <c r="I491" s="9"/>
      <c r="J491" s="9"/>
      <c r="K491" s="9"/>
      <c r="L491" s="9"/>
      <c r="M491" s="9"/>
      <c r="N491" s="9"/>
      <c r="O491" s="9"/>
      <c r="P491" s="18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 spans="1:33" x14ac:dyDescent="0.25">
      <c r="A492" s="9"/>
      <c r="B492" s="9"/>
      <c r="C492" s="9"/>
      <c r="D492" s="9"/>
      <c r="E492" s="9"/>
      <c r="F492" s="9"/>
      <c r="G492" s="6"/>
      <c r="H492" s="9"/>
      <c r="I492" s="9"/>
      <c r="J492" s="9"/>
      <c r="K492" s="9"/>
      <c r="L492" s="9"/>
      <c r="M492" s="9"/>
      <c r="N492" s="9"/>
      <c r="O492" s="9"/>
      <c r="P492" s="18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 spans="1:33" x14ac:dyDescent="0.25">
      <c r="A493" s="9"/>
      <c r="B493" s="9"/>
      <c r="C493" s="9"/>
      <c r="D493" s="9"/>
      <c r="E493" s="9"/>
      <c r="F493" s="9"/>
      <c r="G493" s="6"/>
      <c r="H493" s="9"/>
      <c r="I493" s="9"/>
      <c r="J493" s="9"/>
      <c r="K493" s="9"/>
      <c r="L493" s="9"/>
      <c r="M493" s="9"/>
      <c r="N493" s="9"/>
      <c r="O493" s="9"/>
      <c r="P493" s="18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 spans="1:33" x14ac:dyDescent="0.25">
      <c r="A494" s="9"/>
      <c r="B494" s="9"/>
      <c r="C494" s="9"/>
      <c r="D494" s="9"/>
      <c r="E494" s="9"/>
      <c r="F494" s="9"/>
      <c r="G494" s="6"/>
      <c r="H494" s="9"/>
      <c r="I494" s="9"/>
      <c r="J494" s="9"/>
      <c r="K494" s="9"/>
      <c r="L494" s="9"/>
      <c r="M494" s="9"/>
      <c r="N494" s="9"/>
      <c r="O494" s="9"/>
      <c r="P494" s="18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 spans="1:33" x14ac:dyDescent="0.25">
      <c r="A495" s="9"/>
      <c r="B495" s="9"/>
      <c r="C495" s="9"/>
      <c r="D495" s="9"/>
      <c r="E495" s="9"/>
      <c r="F495" s="9"/>
      <c r="G495" s="6"/>
      <c r="H495" s="9"/>
      <c r="I495" s="9"/>
      <c r="J495" s="9"/>
      <c r="K495" s="9"/>
      <c r="L495" s="9"/>
      <c r="M495" s="9"/>
      <c r="N495" s="9"/>
      <c r="O495" s="9"/>
      <c r="P495" s="18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 spans="1:33" x14ac:dyDescent="0.25">
      <c r="A496" s="9"/>
      <c r="B496" s="9"/>
      <c r="C496" s="9"/>
      <c r="D496" s="9"/>
      <c r="E496" s="9"/>
      <c r="F496" s="9"/>
      <c r="G496" s="6"/>
      <c r="H496" s="9"/>
      <c r="I496" s="9"/>
      <c r="J496" s="9"/>
      <c r="K496" s="9"/>
      <c r="L496" s="9"/>
      <c r="M496" s="9"/>
      <c r="N496" s="9"/>
      <c r="O496" s="9"/>
      <c r="P496" s="18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 spans="1:33" x14ac:dyDescent="0.25">
      <c r="A497" s="9"/>
      <c r="B497" s="9"/>
      <c r="C497" s="9"/>
      <c r="D497" s="9"/>
      <c r="E497" s="9"/>
      <c r="F497" s="9"/>
      <c r="G497" s="6"/>
      <c r="H497" s="9"/>
      <c r="I497" s="9"/>
      <c r="J497" s="9"/>
      <c r="K497" s="9"/>
      <c r="L497" s="9"/>
      <c r="M497" s="9"/>
      <c r="N497" s="9"/>
      <c r="O497" s="9"/>
      <c r="P497" s="18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 spans="1:33" x14ac:dyDescent="0.25">
      <c r="A498" s="9"/>
      <c r="B498" s="9"/>
      <c r="C498" s="9"/>
      <c r="D498" s="9"/>
      <c r="E498" s="9"/>
      <c r="F498" s="9"/>
      <c r="G498" s="6"/>
      <c r="H498" s="9"/>
      <c r="I498" s="9"/>
      <c r="J498" s="9"/>
      <c r="K498" s="9"/>
      <c r="L498" s="9"/>
      <c r="M498" s="9"/>
      <c r="N498" s="9"/>
      <c r="O498" s="9"/>
      <c r="P498" s="18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 spans="1:33" x14ac:dyDescent="0.25">
      <c r="A499" s="9"/>
      <c r="B499" s="9"/>
      <c r="C499" s="9"/>
      <c r="D499" s="9"/>
      <c r="E499" s="9"/>
      <c r="F499" s="9"/>
      <c r="G499" s="6"/>
      <c r="H499" s="9"/>
      <c r="I499" s="9"/>
      <c r="J499" s="9"/>
      <c r="K499" s="9"/>
      <c r="L499" s="9"/>
      <c r="M499" s="9"/>
      <c r="N499" s="9"/>
      <c r="O499" s="9"/>
      <c r="P499" s="18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 spans="1:33" x14ac:dyDescent="0.25">
      <c r="A500" s="9"/>
      <c r="B500" s="9"/>
      <c r="C500" s="9"/>
      <c r="D500" s="9"/>
      <c r="E500" s="9"/>
      <c r="F500" s="9"/>
      <c r="G500" s="6"/>
      <c r="H500" s="9"/>
      <c r="I500" s="9"/>
      <c r="J500" s="9"/>
      <c r="K500" s="9"/>
      <c r="L500" s="9"/>
      <c r="M500" s="9"/>
      <c r="N500" s="9"/>
      <c r="O500" s="9"/>
      <c r="P500" s="18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</sheetData>
  <autoFilter ref="A3:AG136" xr:uid="{00000000-0009-0000-0000-000000000000}">
    <filterColumn colId="15">
      <customFilters>
        <customFilter operator="notEqual" val=" "/>
      </customFilters>
    </filterColumn>
  </autoFilter>
  <pageMargins left="0.75" right="0.75" top="1" bottom="1" header="0.5" footer="0.5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2026-08-13T12:18:01Z</dcterms:created>
  <dcterms:modified xsi:type="dcterms:W3CDTF">2026-08-15T04:28:42Z</dcterms:modified>
</cp:coreProperties>
</file>