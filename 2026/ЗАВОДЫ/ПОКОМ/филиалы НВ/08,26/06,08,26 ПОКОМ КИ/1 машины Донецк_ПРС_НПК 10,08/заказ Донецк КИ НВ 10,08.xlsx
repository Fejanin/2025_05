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CA91119-411D-439F-8D30-51618F3A351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76" i="1" l="1"/>
  <c r="Y25" i="1"/>
  <c r="Y33" i="1"/>
  <c r="Y43" i="1"/>
  <c r="Y51" i="1"/>
  <c r="Y64" i="1"/>
  <c r="Y70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Z243" i="1" s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6" i="1"/>
  <c r="Z23" i="1"/>
  <c r="Z24" i="1" s="1"/>
  <c r="BN23" i="1"/>
  <c r="Y555" i="1" s="1"/>
  <c r="Y557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Z389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Z306" i="1" s="1"/>
  <c r="Y321" i="1"/>
  <c r="Z329" i="1"/>
  <c r="BP325" i="1"/>
  <c r="BN325" i="1"/>
  <c r="Z325" i="1"/>
  <c r="Y329" i="1"/>
  <c r="BP334" i="1"/>
  <c r="BN334" i="1"/>
  <c r="Z334" i="1"/>
  <c r="Z336" i="1" s="1"/>
  <c r="BP343" i="1"/>
  <c r="BN343" i="1"/>
  <c r="Z343" i="1"/>
  <c r="Z345" i="1" s="1"/>
  <c r="Y350" i="1"/>
  <c r="BP356" i="1"/>
  <c r="BN356" i="1"/>
  <c r="Z356" i="1"/>
  <c r="T564" i="1"/>
  <c r="Y366" i="1"/>
  <c r="BP361" i="1"/>
  <c r="BN361" i="1"/>
  <c r="Z361" i="1"/>
  <c r="Z366" i="1" s="1"/>
  <c r="BP365" i="1"/>
  <c r="BN365" i="1"/>
  <c r="Z365" i="1"/>
  <c r="Y367" i="1"/>
  <c r="Y376" i="1"/>
  <c r="BP369" i="1"/>
  <c r="BN369" i="1"/>
  <c r="Z369" i="1"/>
  <c r="Z376" i="1" s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Z434" i="1" s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508" i="1" l="1"/>
  <c r="Z494" i="1"/>
  <c r="Z290" i="1"/>
  <c r="Z357" i="1"/>
  <c r="Z32" i="1"/>
  <c r="Z559" i="1" s="1"/>
  <c r="Y558" i="1"/>
  <c r="X557" i="1"/>
  <c r="Z213" i="1"/>
  <c r="Z167" i="1"/>
  <c r="Y554" i="1"/>
  <c r="Z524" i="1"/>
  <c r="Z467" i="1"/>
  <c r="Z446" i="1"/>
  <c r="Z383" i="1"/>
  <c r="Z235" i="1"/>
  <c r="Z402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<sst xmlns="http://schemas.openxmlformats.org/spreadsheetml/2006/main" count="2515" uniqueCount="912">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</sst>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1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679</v>
      </c>
      <c r="Y47" s="634">
        <f>IFERROR(IF(X47="",0,CEILING((X47/$H47),1)*$H47),"")</f>
        <v>680.40000000000009</v>
      </c>
      <c r="Z47" s="36">
        <f>IFERROR(IF(Y47=0,"",ROUNDUP(Y47/H47,0)*0.01898),"")</f>
        <v>1.19574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704.7768518518518</v>
      </c>
      <c r="BN47" s="64">
        <f>IFERROR(Y47*I47/H47,"0")</f>
        <v>706.23000000000013</v>
      </c>
      <c r="BO47" s="64">
        <f>IFERROR(1/J47*(X47/H47),"0")</f>
        <v>0.98234953703703698</v>
      </c>
      <c r="BP47" s="64">
        <f>IFERROR(1/J47*(Y47/H47),"0")</f>
        <v>0.98437500000000011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62.870370370370367</v>
      </c>
      <c r="Y51" s="635">
        <f>IFERROR(Y47/H47,"0")+IFERROR(Y48/H48,"0")+IFERROR(Y49/H49,"0")+IFERROR(Y50/H50,"0")</f>
        <v>63.000000000000007</v>
      </c>
      <c r="Z51" s="635">
        <f>IFERROR(IF(Z47="",0,Z47),"0")+IFERROR(IF(Z48="",0,Z48),"0")+IFERROR(IF(Z49="",0,Z49),"0")+IFERROR(IF(Z50="",0,Z50),"0")</f>
        <v>1.19574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679</v>
      </c>
      <c r="Y52" s="635">
        <f>IFERROR(SUM(Y47:Y50),"0")</f>
        <v>680.40000000000009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191</v>
      </c>
      <c r="Y57" s="634">
        <f t="shared" si="0"/>
        <v>194.4</v>
      </c>
      <c r="Z57" s="36">
        <f>IFERROR(IF(Y57=0,"",ROUNDUP(Y57/H57,0)*0.01898),"")</f>
        <v>0.34164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198.25092592592591</v>
      </c>
      <c r="BN57" s="64">
        <f t="shared" si="2"/>
        <v>201.78</v>
      </c>
      <c r="BO57" s="64">
        <f t="shared" si="3"/>
        <v>0.27633101851851849</v>
      </c>
      <c r="BP57" s="64">
        <f t="shared" si="4"/>
        <v>0.28125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17.685185185185183</v>
      </c>
      <c r="Y63" s="635">
        <f>IFERROR(Y55/H55,"0")+IFERROR(Y56/H56,"0")+IFERROR(Y57/H57,"0")+IFERROR(Y58/H58,"0")+IFERROR(Y59/H59,"0")+IFERROR(Y60/H60,"0")+IFERROR(Y61/H61,"0")+IFERROR(Y62/H62,"0")</f>
        <v>18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0.34164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191</v>
      </c>
      <c r="Y64" s="635">
        <f>IFERROR(SUM(Y55:Y62),"0")</f>
        <v>194.4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403</v>
      </c>
      <c r="Y84" s="634">
        <f>IFERROR(IF(X84="",0,CEILING((X84/$H84),1)*$H84),"")</f>
        <v>410.40000000000003</v>
      </c>
      <c r="Z84" s="36">
        <f>IFERROR(IF(Y84=0,"",ROUNDUP(Y84/H84,0)*0.01898),"")</f>
        <v>0.72123999999999999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418.29907407407404</v>
      </c>
      <c r="BN84" s="64">
        <f>IFERROR(Y84*I84/H84,"0")</f>
        <v>425.98</v>
      </c>
      <c r="BO84" s="64">
        <f>IFERROR(1/J84*(X84/H84),"0")</f>
        <v>0.5830439814814814</v>
      </c>
      <c r="BP84" s="64">
        <f>IFERROR(1/J84*(Y84/H84),"0")</f>
        <v>0.59375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106</v>
      </c>
      <c r="Y87" s="634">
        <f>IFERROR(IF(X87="",0,CEILING((X87/$H87),1)*$H87),"")</f>
        <v>108</v>
      </c>
      <c r="Z87" s="36">
        <f>IFERROR(IF(Y87=0,"",ROUNDUP(Y87/H87,0)*0.00902),"")</f>
        <v>0.21648000000000001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110.47555555555556</v>
      </c>
      <c r="BN87" s="64">
        <f>IFERROR(Y87*I87/H87,"0")</f>
        <v>112.56</v>
      </c>
      <c r="BO87" s="64">
        <f>IFERROR(1/J87*(X87/H87),"0")</f>
        <v>0.17845117845117847</v>
      </c>
      <c r="BP87" s="64">
        <f>IFERROR(1/J87*(Y87/H87),"0")</f>
        <v>0.18181818181818182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60.870370370370367</v>
      </c>
      <c r="Y88" s="635">
        <f>IFERROR(Y84/H84,"0")+IFERROR(Y85/H85,"0")+IFERROR(Y86/H86,"0")+IFERROR(Y87/H87,"0")</f>
        <v>62</v>
      </c>
      <c r="Z88" s="635">
        <f>IFERROR(IF(Z84="",0,Z84),"0")+IFERROR(IF(Z85="",0,Z85),"0")+IFERROR(IF(Z86="",0,Z86),"0")+IFERROR(IF(Z87="",0,Z87),"0")</f>
        <v>0.93772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509</v>
      </c>
      <c r="Y89" s="635">
        <f>IFERROR(SUM(Y84:Y87),"0")</f>
        <v>518.40000000000009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226</v>
      </c>
      <c r="Y99" s="634">
        <f t="shared" ref="Y99:Y105" si="5">IFERROR(IF(X99="",0,CEILING((X99/$H99),1)*$H99),"")</f>
        <v>226.8</v>
      </c>
      <c r="Z99" s="36">
        <f>IFERROR(IF(Y99=0,"",ROUNDUP(Y99/H99,0)*0.01898),"")</f>
        <v>0.39857999999999999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234.57962962962961</v>
      </c>
      <c r="BN99" s="64">
        <f t="shared" ref="BN99:BN105" si="7">IFERROR(Y99*I99/H99,"0")</f>
        <v>235.41000000000003</v>
      </c>
      <c r="BO99" s="64">
        <f t="shared" ref="BO99:BO105" si="8">IFERROR(1/J99*(X99/H99),"0")</f>
        <v>0.32696759259259256</v>
      </c>
      <c r="BP99" s="64">
        <f t="shared" ref="BP99:BP105" si="9">IFERROR(1/J99*(Y99/H99),"0")</f>
        <v>0.328125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20.925925925925924</v>
      </c>
      <c r="Y106" s="635">
        <f>IFERROR(Y99/H99,"0")+IFERROR(Y100/H100,"0")+IFERROR(Y101/H101,"0")+IFERROR(Y102/H102,"0")+IFERROR(Y103/H103,"0")+IFERROR(Y104/H104,"0")+IFERROR(Y105/H105,"0")</f>
        <v>21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0.39857999999999999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226</v>
      </c>
      <c r="Y107" s="635">
        <f>IFERROR(SUM(Y99:Y105),"0")</f>
        <v>226.8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651</v>
      </c>
      <c r="Y117" s="634">
        <f>IFERROR(IF(X117="",0,CEILING((X117/$H117),1)*$H117),"")</f>
        <v>656.1</v>
      </c>
      <c r="Z117" s="36">
        <f>IFERROR(IF(Y117=0,"",ROUNDUP(Y117/H117,0)*0.01898),"")</f>
        <v>1.53738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690.22074074074067</v>
      </c>
      <c r="BN117" s="64">
        <f>IFERROR(Y117*I117/H117,"0")</f>
        <v>695.62800000000004</v>
      </c>
      <c r="BO117" s="64">
        <f>IFERROR(1/J117*(X117/H117),"0")</f>
        <v>1.2557870370370372</v>
      </c>
      <c r="BP117" s="64">
        <f>IFERROR(1/J117*(Y117/H117),"0")</f>
        <v>1.265625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233</v>
      </c>
      <c r="Y119" s="634">
        <f>IFERROR(IF(X119="",0,CEILING((X119/$H119),1)*$H119),"")</f>
        <v>234.9</v>
      </c>
      <c r="Z119" s="36">
        <f>IFERROR(IF(Y119=0,"",ROUNDUP(Y119/H119,0)*0.00651),"")</f>
        <v>0.56637000000000004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254.74666666666667</v>
      </c>
      <c r="BN119" s="64">
        <f>IFERROR(Y119*I119/H119,"0")</f>
        <v>256.82400000000001</v>
      </c>
      <c r="BO119" s="64">
        <f>IFERROR(1/J119*(X119/H119),"0")</f>
        <v>0.47415547415547415</v>
      </c>
      <c r="BP119" s="64">
        <f>IFERROR(1/J119*(Y119/H119),"0")</f>
        <v>0.47802197802197804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166.66666666666669</v>
      </c>
      <c r="Y121" s="635">
        <f>IFERROR(Y117/H117,"0")+IFERROR(Y118/H118,"0")+IFERROR(Y119/H119,"0")+IFERROR(Y120/H120,"0")</f>
        <v>168</v>
      </c>
      <c r="Z121" s="635">
        <f>IFERROR(IF(Z117="",0,Z117),"0")+IFERROR(IF(Z118="",0,Z118),"0")+IFERROR(IF(Z119="",0,Z119),"0")+IFERROR(IF(Z120="",0,Z120),"0")</f>
        <v>2.1037499999999998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884</v>
      </c>
      <c r="Y122" s="635">
        <f>IFERROR(SUM(Y117:Y120),"0")</f>
        <v>891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62</v>
      </c>
      <c r="Y180" s="634">
        <f t="shared" si="16"/>
        <v>62.16</v>
      </c>
      <c r="Z180" s="36">
        <f>IFERROR(IF(Y180=0,"",ROUNDUP(Y180/H180,0)*0.00502),"")</f>
        <v>0.18574000000000002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65.69047619047619</v>
      </c>
      <c r="BN180" s="64">
        <f t="shared" si="18"/>
        <v>65.86</v>
      </c>
      <c r="BO180" s="64">
        <f t="shared" si="19"/>
        <v>0.15771265771265772</v>
      </c>
      <c r="BP180" s="64">
        <f t="shared" si="20"/>
        <v>0.15811965811965814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65</v>
      </c>
      <c r="Y185" s="634">
        <f t="shared" si="16"/>
        <v>65.52</v>
      </c>
      <c r="Z185" s="36">
        <f>IFERROR(IF(Y185=0,"",ROUNDUP(Y185/H185,0)*0.00502),"")</f>
        <v>0.19578000000000001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68.86904761904762</v>
      </c>
      <c r="BN185" s="64">
        <f t="shared" si="18"/>
        <v>69.42</v>
      </c>
      <c r="BO185" s="64">
        <f t="shared" si="19"/>
        <v>0.16534391534391535</v>
      </c>
      <c r="BP185" s="64">
        <f t="shared" si="20"/>
        <v>0.16666666666666669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75.595238095238102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76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0.38152000000000003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127</v>
      </c>
      <c r="Y187" s="635">
        <f>IFERROR(SUM(Y175:Y185),"0")</f>
        <v>127.67999999999999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210</v>
      </c>
      <c r="Y281" s="634">
        <f t="shared" si="38"/>
        <v>211.2</v>
      </c>
      <c r="Z281" s="36">
        <f>IFERROR(IF(Y281=0,"",ROUNDUP(Y281/H281,0)*0.00651),"")</f>
        <v>0.57288000000000006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233.62499999999997</v>
      </c>
      <c r="BN281" s="64">
        <f t="shared" si="40"/>
        <v>234.96</v>
      </c>
      <c r="BO281" s="64">
        <f t="shared" si="41"/>
        <v>0.48076923076923078</v>
      </c>
      <c r="BP281" s="64">
        <f t="shared" si="42"/>
        <v>0.48351648351648358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243</v>
      </c>
      <c r="Y284" s="634">
        <f t="shared" si="38"/>
        <v>244.79999999999998</v>
      </c>
      <c r="Z284" s="36">
        <f>IFERROR(IF(Y284=0,"",ROUNDUP(Y284/H284,0)*0.00651),"")</f>
        <v>0.66402000000000005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268.51500000000004</v>
      </c>
      <c r="BN284" s="64">
        <f t="shared" si="40"/>
        <v>270.50400000000002</v>
      </c>
      <c r="BO284" s="64">
        <f t="shared" si="41"/>
        <v>0.55631868131868134</v>
      </c>
      <c r="BP284" s="64">
        <f t="shared" si="42"/>
        <v>0.56043956043956045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188.75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190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1.2369000000000001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453</v>
      </c>
      <c r="Y291" s="635">
        <f>IFERROR(SUM(Y278:Y289),"0")</f>
        <v>456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266</v>
      </c>
      <c r="Y387" s="634">
        <f>IFERROR(IF(X387="",0,CEILING((X387/$H387),1)*$H387),"")</f>
        <v>273</v>
      </c>
      <c r="Z387" s="36">
        <f>IFERROR(IF(Y387=0,"",ROUNDUP(Y387/H387,0)*0.01898),"")</f>
        <v>0.6643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282.84666666666669</v>
      </c>
      <c r="BN387" s="64">
        <f>IFERROR(Y387*I387/H387,"0")</f>
        <v>290.29000000000002</v>
      </c>
      <c r="BO387" s="64">
        <f>IFERROR(1/J387*(X387/H387),"0")</f>
        <v>0.5328525641025641</v>
      </c>
      <c r="BP387" s="64">
        <f>IFERROR(1/J387*(Y387/H387),"0")</f>
        <v>0.546875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34.102564102564102</v>
      </c>
      <c r="Y389" s="635">
        <f>IFERROR(Y386/H386,"0")+IFERROR(Y387/H387,"0")+IFERROR(Y388/H388,"0")</f>
        <v>35</v>
      </c>
      <c r="Z389" s="635">
        <f>IFERROR(IF(Z386="",0,Z386),"0")+IFERROR(IF(Z387="",0,Z387),"0")+IFERROR(IF(Z388="",0,Z388),"0")</f>
        <v>0.6643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266</v>
      </c>
      <c r="Y390" s="635">
        <f>IFERROR(SUM(Y386:Y388),"0")</f>
        <v>273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83</v>
      </c>
      <c r="Y419" s="634">
        <f>IFERROR(IF(X419="",0,CEILING((X419/$H419),1)*$H419),"")</f>
        <v>84</v>
      </c>
      <c r="Z419" s="36">
        <f>IFERROR(IF(Y419=0,"",ROUNDUP(Y419/H419,0)*0.00651),"")</f>
        <v>0.26040000000000002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92.95999999999998</v>
      </c>
      <c r="BN419" s="64">
        <f>IFERROR(Y419*I419/H419,"0")</f>
        <v>94.079999999999984</v>
      </c>
      <c r="BO419" s="64">
        <f>IFERROR(1/J419*(X419/H419),"0")</f>
        <v>0.21716378859236005</v>
      </c>
      <c r="BP419" s="64">
        <f>IFERROR(1/J419*(Y419/H419),"0")</f>
        <v>0.2197802197802198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39.523809523809526</v>
      </c>
      <c r="Y421" s="635">
        <f>IFERROR(Y418/H418,"0")+IFERROR(Y419/H419,"0")+IFERROR(Y420/H420,"0")</f>
        <v>40</v>
      </c>
      <c r="Z421" s="635">
        <f>IFERROR(IF(Z418="",0,Z418),"0")+IFERROR(IF(Z419="",0,Z419),"0")+IFERROR(IF(Z420="",0,Z420),"0")</f>
        <v>0.26040000000000002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83</v>
      </c>
      <c r="Y422" s="635">
        <f>IFERROR(SUM(Y418:Y420),"0")</f>
        <v>84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223</v>
      </c>
      <c r="Y428" s="634">
        <f t="shared" si="53"/>
        <v>225</v>
      </c>
      <c r="Z428" s="36">
        <f>IFERROR(IF(Y428=0,"",ROUNDUP(Y428/H428,0)*0.02175),"")</f>
        <v>0.32624999999999998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229.98733333333334</v>
      </c>
      <c r="BN428" s="64">
        <f t="shared" si="55"/>
        <v>232.05</v>
      </c>
      <c r="BO428" s="64">
        <f t="shared" si="56"/>
        <v>0.30972222222222223</v>
      </c>
      <c r="BP428" s="64">
        <f t="shared" si="57"/>
        <v>0.3125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727</v>
      </c>
      <c r="Y429" s="634">
        <f t="shared" si="53"/>
        <v>735</v>
      </c>
      <c r="Z429" s="36">
        <f>IFERROR(IF(Y429=0,"",ROUNDUP(Y429/H429,0)*0.02175),"")</f>
        <v>1.06575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749.7793333333334</v>
      </c>
      <c r="BN429" s="64">
        <f t="shared" si="55"/>
        <v>758.03000000000009</v>
      </c>
      <c r="BO429" s="64">
        <f t="shared" si="56"/>
        <v>1.0097222222222222</v>
      </c>
      <c r="BP429" s="64">
        <f t="shared" si="57"/>
        <v>1.0208333333333333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63.333333333333336</v>
      </c>
      <c r="Y434" s="635">
        <f>IFERROR(Y426/H426,"0")+IFERROR(Y427/H427,"0")+IFERROR(Y428/H428,"0")+IFERROR(Y429/H429,"0")+IFERROR(Y430/H430,"0")+IFERROR(Y431/H431,"0")+IFERROR(Y432/H432,"0")+IFERROR(Y433/H433,"0")</f>
        <v>64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1.3919999999999999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950</v>
      </c>
      <c r="Y435" s="635">
        <f>IFERROR(SUM(Y426:Y433),"0")</f>
        <v>960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554</v>
      </c>
      <c r="Y437" s="634">
        <f>IFERROR(IF(X437="",0,CEILING((X437/$H437),1)*$H437),"")</f>
        <v>555</v>
      </c>
      <c r="Z437" s="36">
        <f>IFERROR(IF(Y437=0,"",ROUNDUP(Y437/H437,0)*0.02175),"")</f>
        <v>0.80474999999999997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571.35866666666675</v>
      </c>
      <c r="BN437" s="64">
        <f>IFERROR(Y437*I437/H437,"0")</f>
        <v>572.39</v>
      </c>
      <c r="BO437" s="64">
        <f>IFERROR(1/J437*(X437/H437),"0")</f>
        <v>0.76944444444444438</v>
      </c>
      <c r="BP437" s="64">
        <f>IFERROR(1/J437*(Y437/H437),"0")</f>
        <v>0.77083333333333326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36.93333333333333</v>
      </c>
      <c r="Y440" s="635">
        <f>IFERROR(Y437/H437,"0")+IFERROR(Y438/H438,"0")+IFERROR(Y439/H439,"0")</f>
        <v>37</v>
      </c>
      <c r="Z440" s="635">
        <f>IFERROR(IF(Z437="",0,Z437),"0")+IFERROR(IF(Z438="",0,Z438),"0")+IFERROR(IF(Z439="",0,Z439),"0")</f>
        <v>0.80474999999999997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554</v>
      </c>
      <c r="Y441" s="635">
        <f>IFERROR(SUM(Y437:Y439),"0")</f>
        <v>555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570</v>
      </c>
      <c r="Y464" s="634">
        <f>IFERROR(IF(X464="",0,CEILING((X464/$H464),1)*$H464),"")</f>
        <v>576</v>
      </c>
      <c r="Z464" s="36">
        <f>IFERROR(IF(Y464=0,"",ROUNDUP(Y464/H464,0)*0.01898),"")</f>
        <v>1.21472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601.28666666666663</v>
      </c>
      <c r="BN464" s="64">
        <f>IFERROR(Y464*I464/H464,"0")</f>
        <v>607.61599999999999</v>
      </c>
      <c r="BO464" s="64">
        <f>IFERROR(1/J464*(X464/H464),"0")</f>
        <v>0.98958333333333337</v>
      </c>
      <c r="BP464" s="64">
        <f>IFERROR(1/J464*(Y464/H464),"0")</f>
        <v>1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63.333333333333336</v>
      </c>
      <c r="Y467" s="635">
        <f>IFERROR(Y464/H464,"0")+IFERROR(Y465/H465,"0")+IFERROR(Y466/H466,"0")</f>
        <v>64</v>
      </c>
      <c r="Z467" s="635">
        <f>IFERROR(IF(Z464="",0,Z464),"0")+IFERROR(IF(Z465="",0,Z465),"0")+IFERROR(IF(Z466="",0,Z466),"0")</f>
        <v>1.21472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570</v>
      </c>
      <c r="Y468" s="635">
        <f>IFERROR(SUM(Y464:Y466),"0")</f>
        <v>576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1592</v>
      </c>
      <c r="Y502" s="634">
        <f t="shared" si="63"/>
        <v>1594.5600000000002</v>
      </c>
      <c r="Z502" s="36">
        <f t="shared" si="64"/>
        <v>3.61192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1697.5303030303028</v>
      </c>
      <c r="BN502" s="64">
        <f t="shared" si="66"/>
        <v>1700.2600000000002</v>
      </c>
      <c r="BO502" s="64">
        <f t="shared" si="67"/>
        <v>2.899184149184149</v>
      </c>
      <c r="BP502" s="64">
        <f t="shared" si="68"/>
        <v>2.9038461538461542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301.5151515151515</v>
      </c>
      <c r="Y508" s="635">
        <f>IFERROR(Y499/H499,"0")+IFERROR(Y500/H500,"0")+IFERROR(Y501/H501,"0")+IFERROR(Y502/H502,"0")+IFERROR(Y503/H503,"0")+IFERROR(Y504/H504,"0")+IFERROR(Y505/H505,"0")+IFERROR(Y506/H506,"0")+IFERROR(Y507/H507,"0")</f>
        <v>302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3.61192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1592</v>
      </c>
      <c r="Y509" s="635">
        <f>IFERROR(SUM(Y499:Y507),"0")</f>
        <v>1594.5600000000002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736</v>
      </c>
      <c r="Y511" s="634">
        <f>IFERROR(IF(X511="",0,CEILING((X511/$H511),1)*$H511),"")</f>
        <v>739.2</v>
      </c>
      <c r="Z511" s="36">
        <f>IFERROR(IF(Y511=0,"",ROUNDUP(Y511/H511,0)*0.01196),"")</f>
        <v>1.6744000000000001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784.78787878787875</v>
      </c>
      <c r="BN511" s="64">
        <f>IFERROR(Y511*I511/H511,"0")</f>
        <v>788.19999999999993</v>
      </c>
      <c r="BO511" s="64">
        <f>IFERROR(1/J511*(X511/H511),"0")</f>
        <v>1.3403263403263401</v>
      </c>
      <c r="BP511" s="64">
        <f>IFERROR(1/J511*(Y511/H511),"0")</f>
        <v>1.3461538461538463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139.39393939393938</v>
      </c>
      <c r="Y514" s="635">
        <f>IFERROR(Y511/H511,"0")+IFERROR(Y512/H512,"0")+IFERROR(Y513/H513,"0")</f>
        <v>140</v>
      </c>
      <c r="Z514" s="635">
        <f>IFERROR(IF(Z511="",0,Z511),"0")+IFERROR(IF(Z512="",0,Z512),"0")+IFERROR(IF(Z513="",0,Z513),"0")</f>
        <v>1.6744000000000001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736</v>
      </c>
      <c r="Y515" s="635">
        <f>IFERROR(SUM(Y511:Y513),"0")</f>
        <v>739.2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196</v>
      </c>
      <c r="Y518" s="634">
        <f t="shared" si="69"/>
        <v>200.64000000000001</v>
      </c>
      <c r="Z518" s="36">
        <f>IFERROR(IF(Y518=0,"",ROUNDUP(Y518/H518,0)*0.01196),"")</f>
        <v>0.45448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208.99242424242425</v>
      </c>
      <c r="BN518" s="64">
        <f t="shared" si="71"/>
        <v>213.94</v>
      </c>
      <c r="BO518" s="64">
        <f t="shared" si="72"/>
        <v>0.35693473193473191</v>
      </c>
      <c r="BP518" s="64">
        <f t="shared" si="73"/>
        <v>0.36538461538461542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1002</v>
      </c>
      <c r="Y519" s="634">
        <f t="shared" si="69"/>
        <v>1003.2</v>
      </c>
      <c r="Z519" s="36">
        <f>IFERROR(IF(Y519=0,"",ROUNDUP(Y519/H519,0)*0.01196),"")</f>
        <v>2.2724000000000002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1068.4204545454545</v>
      </c>
      <c r="BN519" s="64">
        <f t="shared" si="71"/>
        <v>1069.7</v>
      </c>
      <c r="BO519" s="64">
        <f t="shared" si="72"/>
        <v>1.8247377622377621</v>
      </c>
      <c r="BP519" s="64">
        <f t="shared" si="73"/>
        <v>1.8269230769230771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226.89393939393938</v>
      </c>
      <c r="Y524" s="635">
        <f>IFERROR(Y517/H517,"0")+IFERROR(Y518/H518,"0")+IFERROR(Y519/H519,"0")+IFERROR(Y520/H520,"0")+IFERROR(Y521/H521,"0")+IFERROR(Y522/H522,"0")+IFERROR(Y523/H523,"0")</f>
        <v>228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2.7268800000000004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1198</v>
      </c>
      <c r="Y525" s="635">
        <f>IFERROR(SUM(Y517:Y523),"0")</f>
        <v>1203.8400000000001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9018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9080.2800000000007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9535.9986955266959</v>
      </c>
      <c r="Y555" s="635">
        <f>IFERROR(SUM(BN22:BN551),"0")</f>
        <v>9601.7120000000032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16</v>
      </c>
      <c r="Y556" s="38">
        <f>ROUNDUP(SUM(BP22:BP551),0)</f>
        <v>16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9935.9986955266959</v>
      </c>
      <c r="Y557" s="635">
        <f>GrossWeightTotalR+PalletQtyTotalR*25</f>
        <v>10001.712000000003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1498.3931605431608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1508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18.945219999999999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680.40000000000009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194.4</v>
      </c>
      <c r="F564" s="46">
        <f>IFERROR(Y84*1,"0")+IFERROR(Y85*1,"0")+IFERROR(Y86*1,"0")+IFERROR(Y87*1,"0")+IFERROR(Y91*1,"0")+IFERROR(Y92*1,"0")+IFERROR(Y93*1,"0")+IFERROR(Y94*1,"0")</f>
        <v>518.40000000000009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1117.8000000000002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127.67999999999999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456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273</v>
      </c>
      <c r="U564" s="46">
        <f>IFERROR(Y412*1,"0")+IFERROR(Y413*1,"0")</f>
        <v>0</v>
      </c>
      <c r="V564" s="46">
        <f>IFERROR(Y418*1,"0")+IFERROR(Y419*1,"0")+IFERROR(Y420*1,"0")</f>
        <v>84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1515</v>
      </c>
      <c r="X564" s="46">
        <f>IFERROR(Y455*1,"0")+IFERROR(Y456*1,"0")+IFERROR(Y460*1,"0")+IFERROR(Y464*1,"0")+IFERROR(Y465*1,"0")+IFERROR(Y466*1,"0")</f>
        <v>576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3537.6000000000004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