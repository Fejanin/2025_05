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"/>
    </mc:Choice>
  </mc:AlternateContent>
  <xr:revisionPtr revIDLastSave="0" documentId="13_ncr:1_{39BAAB9A-4B8E-4090-9308-98F798E6E49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6" i="1"/>
  <c r="Y11" i="1"/>
  <c r="AQ5" i="1" l="1"/>
  <c r="AO5" i="1"/>
  <c r="AA5" i="1"/>
  <c r="Y5" i="1"/>
  <c r="AR7" i="1" l="1"/>
  <c r="AR8" i="1"/>
  <c r="AR9" i="1"/>
  <c r="AR10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6" i="1"/>
  <c r="T11" i="1"/>
  <c r="AR11" i="1" s="1"/>
  <c r="T5" i="1"/>
  <c r="W7" i="1"/>
  <c r="AR5" i="1" l="1"/>
  <c r="X31" i="1"/>
  <c r="AN31" i="1" s="1"/>
  <c r="Z40" i="1"/>
  <c r="AP40" i="1" s="1"/>
  <c r="Z41" i="1"/>
  <c r="AP41" i="1" s="1"/>
  <c r="Z46" i="1"/>
  <c r="AP46" i="1" s="1"/>
  <c r="Z50" i="1"/>
  <c r="AP50" i="1" s="1"/>
  <c r="AN7" i="1"/>
  <c r="AN9" i="1"/>
  <c r="AN10" i="1"/>
  <c r="AN12" i="1"/>
  <c r="AN13" i="1"/>
  <c r="AN14" i="1"/>
  <c r="AN15" i="1"/>
  <c r="AN18" i="1"/>
  <c r="AN19" i="1"/>
  <c r="AN20" i="1"/>
  <c r="AN21" i="1"/>
  <c r="AN22" i="1"/>
  <c r="AN23" i="1"/>
  <c r="AN24" i="1"/>
  <c r="AN26" i="1"/>
  <c r="AN28" i="1"/>
  <c r="AN29" i="1"/>
  <c r="AN30" i="1"/>
  <c r="AN32" i="1"/>
  <c r="AN34" i="1"/>
  <c r="AN35" i="1"/>
  <c r="AN36" i="1"/>
  <c r="AN37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3" i="1"/>
  <c r="AN54" i="1"/>
  <c r="AN56" i="1"/>
  <c r="AN57" i="1"/>
  <c r="AN59" i="1"/>
  <c r="AN61" i="1"/>
  <c r="AN62" i="1"/>
  <c r="AN63" i="1"/>
  <c r="AN64" i="1"/>
  <c r="AN65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5" i="1"/>
  <c r="AN86" i="1"/>
  <c r="AN87" i="1"/>
  <c r="AN88" i="1"/>
  <c r="AN90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6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Z7" i="1"/>
  <c r="AP7" i="1" s="1"/>
  <c r="W9" i="1"/>
  <c r="W10" i="1"/>
  <c r="W12" i="1"/>
  <c r="W13" i="1"/>
  <c r="W14" i="1"/>
  <c r="W15" i="1"/>
  <c r="W18" i="1"/>
  <c r="W19" i="1"/>
  <c r="W20" i="1"/>
  <c r="W21" i="1"/>
  <c r="W22" i="1"/>
  <c r="W23" i="1"/>
  <c r="W26" i="1"/>
  <c r="W28" i="1"/>
  <c r="W29" i="1"/>
  <c r="W30" i="1"/>
  <c r="W32" i="1"/>
  <c r="W33" i="1"/>
  <c r="W34" i="1"/>
  <c r="W35" i="1"/>
  <c r="W36" i="1"/>
  <c r="W37" i="1"/>
  <c r="W38" i="1"/>
  <c r="W39" i="1"/>
  <c r="W42" i="1"/>
  <c r="W43" i="1"/>
  <c r="W47" i="1"/>
  <c r="W48" i="1"/>
  <c r="W49" i="1"/>
  <c r="W53" i="1"/>
  <c r="W56" i="1"/>
  <c r="W57" i="1"/>
  <c r="W61" i="1"/>
  <c r="W64" i="1"/>
  <c r="W65" i="1"/>
  <c r="W67" i="1"/>
  <c r="W68" i="1"/>
  <c r="W72" i="1"/>
  <c r="W73" i="1"/>
  <c r="W74" i="1"/>
  <c r="W75" i="1"/>
  <c r="W76" i="1"/>
  <c r="W77" i="1"/>
  <c r="W80" i="1"/>
  <c r="W82" i="1"/>
  <c r="W83" i="1"/>
  <c r="W85" i="1"/>
  <c r="W86" i="1"/>
  <c r="W87" i="1"/>
  <c r="W88" i="1"/>
  <c r="W93" i="1"/>
  <c r="Z93" i="1" s="1"/>
  <c r="AP93" i="1" s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1" i="1"/>
  <c r="W113" i="1"/>
  <c r="W114" i="1"/>
  <c r="W116" i="1"/>
  <c r="W119" i="1"/>
  <c r="W120" i="1"/>
  <c r="W121" i="1"/>
  <c r="W122" i="1"/>
  <c r="W123" i="1"/>
  <c r="Z124" i="1"/>
  <c r="AP124" i="1" s="1"/>
  <c r="W125" i="1"/>
  <c r="W126" i="1"/>
  <c r="W127" i="1"/>
  <c r="Z127" i="1" s="1"/>
  <c r="AP127" i="1" s="1"/>
  <c r="W129" i="1"/>
  <c r="Z129" i="1" s="1"/>
  <c r="AP129" i="1" s="1"/>
  <c r="W131" i="1"/>
  <c r="W133" i="1"/>
  <c r="W134" i="1"/>
  <c r="W136" i="1"/>
  <c r="Z100" i="1" l="1"/>
  <c r="AP100" i="1" s="1"/>
  <c r="Z104" i="1"/>
  <c r="AP104" i="1" s="1"/>
  <c r="Z75" i="1"/>
  <c r="AP75" i="1" s="1"/>
  <c r="Z99" i="1"/>
  <c r="AP99" i="1" s="1"/>
  <c r="Z76" i="1"/>
  <c r="AP76" i="1" s="1"/>
  <c r="Z68" i="1"/>
  <c r="AP68" i="1" s="1"/>
  <c r="Z123" i="1"/>
  <c r="AP123" i="1" s="1"/>
  <c r="Z101" i="1"/>
  <c r="AP101" i="1" s="1"/>
  <c r="Z98" i="1"/>
  <c r="AP98" i="1" s="1"/>
  <c r="Z122" i="1"/>
  <c r="AP122" i="1" s="1"/>
  <c r="Z64" i="1"/>
  <c r="AP64" i="1" s="1"/>
  <c r="Z95" i="1"/>
  <c r="AP95" i="1" s="1"/>
  <c r="Z61" i="1"/>
  <c r="AP61" i="1" s="1"/>
  <c r="Z26" i="1"/>
  <c r="AP26" i="1" s="1"/>
  <c r="Z57" i="1"/>
  <c r="AP57" i="1" s="1"/>
  <c r="Z103" i="1"/>
  <c r="AP103" i="1" s="1"/>
  <c r="Z34" i="1"/>
  <c r="AP34" i="1" s="1"/>
  <c r="Z72" i="1"/>
  <c r="AP72" i="1" s="1"/>
  <c r="Z28" i="1"/>
  <c r="AP28" i="1" s="1"/>
  <c r="Z56" i="1"/>
  <c r="AP56" i="1" s="1"/>
  <c r="Z22" i="1"/>
  <c r="AP22" i="1" s="1"/>
  <c r="Z23" i="1"/>
  <c r="AP23" i="1" s="1"/>
  <c r="Z21" i="1"/>
  <c r="AP21" i="1" s="1"/>
  <c r="Z37" i="1"/>
  <c r="AP37" i="1" s="1"/>
  <c r="Z9" i="1"/>
  <c r="AP9" i="1" s="1"/>
  <c r="Z74" i="1"/>
  <c r="AP74" i="1" s="1"/>
  <c r="Z126" i="1"/>
  <c r="AP126" i="1" s="1"/>
  <c r="Z65" i="1"/>
  <c r="AP65" i="1" s="1"/>
  <c r="Z121" i="1"/>
  <c r="AP121" i="1" s="1"/>
  <c r="Z119" i="1"/>
  <c r="AP119" i="1" s="1"/>
  <c r="Z87" i="1"/>
  <c r="AP87" i="1" s="1"/>
  <c r="Z29" i="1"/>
  <c r="AP29" i="1" s="1"/>
  <c r="Z120" i="1"/>
  <c r="AP120" i="1" s="1"/>
  <c r="Z94" i="1"/>
  <c r="AP94" i="1" s="1"/>
  <c r="Z86" i="1"/>
  <c r="AP86" i="1" s="1"/>
  <c r="Z131" i="1"/>
  <c r="AP131" i="1" s="1"/>
  <c r="Z35" i="1"/>
  <c r="AP35" i="1" s="1"/>
  <c r="Z73" i="1"/>
  <c r="AP73" i="1" s="1"/>
  <c r="Z30" i="1"/>
  <c r="AP30" i="1" s="1"/>
  <c r="Z114" i="1"/>
  <c r="AP114" i="1" s="1"/>
  <c r="Z20" i="1"/>
  <c r="AP20" i="1" s="1"/>
  <c r="Z48" i="1"/>
  <c r="AP48" i="1" s="1"/>
  <c r="Z85" i="1"/>
  <c r="AP85" i="1" s="1"/>
  <c r="Z47" i="1"/>
  <c r="AP47" i="1" s="1"/>
  <c r="Z18" i="1"/>
  <c r="AP18" i="1" s="1"/>
  <c r="Z36" i="1"/>
  <c r="AP36" i="1" s="1"/>
  <c r="Z102" i="1"/>
  <c r="AP102" i="1" s="1"/>
  <c r="Z116" i="1"/>
  <c r="AP116" i="1" s="1"/>
  <c r="Z88" i="1"/>
  <c r="AP88" i="1" s="1"/>
  <c r="Z49" i="1"/>
  <c r="AP49" i="1" s="1"/>
  <c r="Z109" i="1"/>
  <c r="AP109" i="1" s="1"/>
  <c r="Z108" i="1"/>
  <c r="AP108" i="1" s="1"/>
  <c r="Z83" i="1"/>
  <c r="AP83" i="1" s="1"/>
  <c r="Z43" i="1"/>
  <c r="AP43" i="1" s="1"/>
  <c r="Z15" i="1"/>
  <c r="AP15" i="1" s="1"/>
  <c r="Z125" i="1"/>
  <c r="AP125" i="1" s="1"/>
  <c r="Z53" i="1"/>
  <c r="AP53" i="1" s="1"/>
  <c r="Z113" i="1"/>
  <c r="AP113" i="1" s="1"/>
  <c r="Z111" i="1"/>
  <c r="AP111" i="1" s="1"/>
  <c r="Z19" i="1"/>
  <c r="AP19" i="1" s="1"/>
  <c r="Z136" i="1"/>
  <c r="AP136" i="1" s="1"/>
  <c r="Z107" i="1"/>
  <c r="AP107" i="1" s="1"/>
  <c r="Z82" i="1"/>
  <c r="AP82" i="1" s="1"/>
  <c r="Z42" i="1"/>
  <c r="AP42" i="1" s="1"/>
  <c r="Z14" i="1"/>
  <c r="AP14" i="1" s="1"/>
  <c r="Z10" i="1"/>
  <c r="AP10" i="1" s="1"/>
  <c r="Z32" i="1"/>
  <c r="AP32" i="1" s="1"/>
  <c r="Z67" i="1"/>
  <c r="AP67" i="1" s="1"/>
  <c r="Z97" i="1"/>
  <c r="AP97" i="1" s="1"/>
  <c r="Z96" i="1"/>
  <c r="AP96" i="1" s="1"/>
  <c r="Z134" i="1"/>
  <c r="AP134" i="1" s="1"/>
  <c r="Z106" i="1"/>
  <c r="AP106" i="1" s="1"/>
  <c r="Z80" i="1"/>
  <c r="AP80" i="1" s="1"/>
  <c r="Z39" i="1"/>
  <c r="AP39" i="1" s="1"/>
  <c r="Z13" i="1"/>
  <c r="AP13" i="1" s="1"/>
  <c r="Z133" i="1"/>
  <c r="AP133" i="1" s="1"/>
  <c r="Z105" i="1"/>
  <c r="AP105" i="1" s="1"/>
  <c r="Z77" i="1"/>
  <c r="AP77" i="1" s="1"/>
  <c r="X38" i="1"/>
  <c r="AN38" i="1" s="1"/>
  <c r="Z12" i="1"/>
  <c r="AP12" i="1" s="1"/>
  <c r="Z31" i="1"/>
  <c r="AP31" i="1" s="1"/>
  <c r="X33" i="1"/>
  <c r="AN33" i="1" s="1"/>
  <c r="L48" i="1"/>
  <c r="M48" i="1"/>
  <c r="U48" i="1" s="1"/>
  <c r="M136" i="1"/>
  <c r="U136" i="1" s="1"/>
  <c r="L136" i="1"/>
  <c r="M135" i="1"/>
  <c r="U135" i="1" s="1"/>
  <c r="V135" i="1" s="1"/>
  <c r="W135" i="1" s="1"/>
  <c r="L135" i="1"/>
  <c r="M134" i="1"/>
  <c r="U134" i="1" s="1"/>
  <c r="L134" i="1"/>
  <c r="M133" i="1"/>
  <c r="U133" i="1" s="1"/>
  <c r="L133" i="1"/>
  <c r="M132" i="1"/>
  <c r="U132" i="1" s="1"/>
  <c r="V132" i="1" s="1"/>
  <c r="W132" i="1" s="1"/>
  <c r="L132" i="1"/>
  <c r="M131" i="1"/>
  <c r="U131" i="1" s="1"/>
  <c r="L131" i="1"/>
  <c r="M130" i="1"/>
  <c r="U130" i="1" s="1"/>
  <c r="V130" i="1" s="1"/>
  <c r="W130" i="1" s="1"/>
  <c r="L130" i="1"/>
  <c r="M129" i="1"/>
  <c r="U129" i="1" s="1"/>
  <c r="L129" i="1"/>
  <c r="F129" i="1"/>
  <c r="M128" i="1"/>
  <c r="U128" i="1" s="1"/>
  <c r="V128" i="1" s="1"/>
  <c r="W128" i="1" s="1"/>
  <c r="L128" i="1"/>
  <c r="F127" i="1"/>
  <c r="E127" i="1"/>
  <c r="M127" i="1" s="1"/>
  <c r="U127" i="1" s="1"/>
  <c r="M126" i="1"/>
  <c r="U126" i="1" s="1"/>
  <c r="L126" i="1"/>
  <c r="M125" i="1"/>
  <c r="U125" i="1" s="1"/>
  <c r="L125" i="1"/>
  <c r="M124" i="1"/>
  <c r="U124" i="1" s="1"/>
  <c r="L124" i="1"/>
  <c r="M123" i="1"/>
  <c r="U123" i="1" s="1"/>
  <c r="L123" i="1"/>
  <c r="M122" i="1"/>
  <c r="U122" i="1" s="1"/>
  <c r="L122" i="1"/>
  <c r="M121" i="1"/>
  <c r="U121" i="1" s="1"/>
  <c r="L121" i="1"/>
  <c r="M120" i="1"/>
  <c r="U120" i="1" s="1"/>
  <c r="L120" i="1"/>
  <c r="M119" i="1"/>
  <c r="U119" i="1" s="1"/>
  <c r="L119" i="1"/>
  <c r="M118" i="1"/>
  <c r="U118" i="1" s="1"/>
  <c r="V118" i="1" s="1"/>
  <c r="W118" i="1" s="1"/>
  <c r="L118" i="1"/>
  <c r="M117" i="1"/>
  <c r="U117" i="1" s="1"/>
  <c r="V117" i="1" s="1"/>
  <c r="W117" i="1" s="1"/>
  <c r="L117" i="1"/>
  <c r="M116" i="1"/>
  <c r="U116" i="1" s="1"/>
  <c r="L116" i="1"/>
  <c r="M115" i="1"/>
  <c r="U115" i="1" s="1"/>
  <c r="V115" i="1" s="1"/>
  <c r="W115" i="1" s="1"/>
  <c r="L115" i="1"/>
  <c r="M114" i="1"/>
  <c r="U114" i="1" s="1"/>
  <c r="L114" i="1"/>
  <c r="M113" i="1"/>
  <c r="U113" i="1" s="1"/>
  <c r="L113" i="1"/>
  <c r="M112" i="1"/>
  <c r="U112" i="1" s="1"/>
  <c r="V112" i="1" s="1"/>
  <c r="W112" i="1" s="1"/>
  <c r="L112" i="1"/>
  <c r="M111" i="1"/>
  <c r="U111" i="1" s="1"/>
  <c r="L111" i="1"/>
  <c r="M110" i="1"/>
  <c r="U110" i="1" s="1"/>
  <c r="V110" i="1" s="1"/>
  <c r="W110" i="1" s="1"/>
  <c r="L110" i="1"/>
  <c r="M109" i="1"/>
  <c r="U109" i="1" s="1"/>
  <c r="L109" i="1"/>
  <c r="M108" i="1"/>
  <c r="U108" i="1" s="1"/>
  <c r="L108" i="1"/>
  <c r="M107" i="1"/>
  <c r="U107" i="1" s="1"/>
  <c r="L107" i="1"/>
  <c r="M106" i="1"/>
  <c r="U106" i="1" s="1"/>
  <c r="L106" i="1"/>
  <c r="M105" i="1"/>
  <c r="U105" i="1" s="1"/>
  <c r="L105" i="1"/>
  <c r="M104" i="1"/>
  <c r="U104" i="1" s="1"/>
  <c r="L104" i="1"/>
  <c r="M103" i="1"/>
  <c r="U103" i="1" s="1"/>
  <c r="L103" i="1"/>
  <c r="M102" i="1"/>
  <c r="U102" i="1" s="1"/>
  <c r="L102" i="1"/>
  <c r="M101" i="1"/>
  <c r="U101" i="1" s="1"/>
  <c r="L101" i="1"/>
  <c r="M100" i="1"/>
  <c r="U100" i="1" s="1"/>
  <c r="L100" i="1"/>
  <c r="M99" i="1"/>
  <c r="U99" i="1" s="1"/>
  <c r="L99" i="1"/>
  <c r="M98" i="1"/>
  <c r="U98" i="1" s="1"/>
  <c r="L98" i="1"/>
  <c r="M97" i="1"/>
  <c r="U97" i="1" s="1"/>
  <c r="L97" i="1"/>
  <c r="M96" i="1"/>
  <c r="U96" i="1" s="1"/>
  <c r="L96" i="1"/>
  <c r="M95" i="1"/>
  <c r="U95" i="1" s="1"/>
  <c r="L95" i="1"/>
  <c r="M94" i="1"/>
  <c r="U94" i="1" s="1"/>
  <c r="L94" i="1"/>
  <c r="M93" i="1"/>
  <c r="U93" i="1" s="1"/>
  <c r="L93" i="1"/>
  <c r="F93" i="1"/>
  <c r="M92" i="1"/>
  <c r="U92" i="1" s="1"/>
  <c r="L92" i="1"/>
  <c r="M91" i="1"/>
  <c r="U91" i="1" s="1"/>
  <c r="L91" i="1"/>
  <c r="M90" i="1"/>
  <c r="U90" i="1" s="1"/>
  <c r="L90" i="1"/>
  <c r="M89" i="1"/>
  <c r="U89" i="1" s="1"/>
  <c r="V89" i="1" s="1"/>
  <c r="W89" i="1" s="1"/>
  <c r="L89" i="1"/>
  <c r="M88" i="1"/>
  <c r="U88" i="1" s="1"/>
  <c r="L88" i="1"/>
  <c r="M87" i="1"/>
  <c r="U87" i="1" s="1"/>
  <c r="L87" i="1"/>
  <c r="M86" i="1"/>
  <c r="U86" i="1" s="1"/>
  <c r="L86" i="1"/>
  <c r="M85" i="1"/>
  <c r="U85" i="1" s="1"/>
  <c r="L85" i="1"/>
  <c r="M84" i="1"/>
  <c r="U84" i="1" s="1"/>
  <c r="L84" i="1"/>
  <c r="M83" i="1"/>
  <c r="U83" i="1" s="1"/>
  <c r="L83" i="1"/>
  <c r="M82" i="1"/>
  <c r="U82" i="1" s="1"/>
  <c r="L82" i="1"/>
  <c r="M81" i="1"/>
  <c r="U81" i="1" s="1"/>
  <c r="V81" i="1" s="1"/>
  <c r="W81" i="1" s="1"/>
  <c r="L81" i="1"/>
  <c r="M80" i="1"/>
  <c r="U80" i="1" s="1"/>
  <c r="AD80" i="1" s="1"/>
  <c r="L80" i="1"/>
  <c r="M79" i="1"/>
  <c r="U79" i="1" s="1"/>
  <c r="V79" i="1" s="1"/>
  <c r="W79" i="1" s="1"/>
  <c r="L79" i="1"/>
  <c r="M78" i="1"/>
  <c r="U78" i="1" s="1"/>
  <c r="V78" i="1" s="1"/>
  <c r="W78" i="1" s="1"/>
  <c r="L78" i="1"/>
  <c r="M77" i="1"/>
  <c r="U77" i="1" s="1"/>
  <c r="L77" i="1"/>
  <c r="M76" i="1"/>
  <c r="U76" i="1" s="1"/>
  <c r="L76" i="1"/>
  <c r="M75" i="1"/>
  <c r="U75" i="1" s="1"/>
  <c r="L75" i="1"/>
  <c r="M74" i="1"/>
  <c r="U74" i="1" s="1"/>
  <c r="L74" i="1"/>
  <c r="M73" i="1"/>
  <c r="U73" i="1" s="1"/>
  <c r="L73" i="1"/>
  <c r="M72" i="1"/>
  <c r="U72" i="1" s="1"/>
  <c r="L72" i="1"/>
  <c r="M71" i="1"/>
  <c r="U71" i="1" s="1"/>
  <c r="V71" i="1" s="1"/>
  <c r="W71" i="1" s="1"/>
  <c r="L71" i="1"/>
  <c r="M70" i="1"/>
  <c r="U70" i="1" s="1"/>
  <c r="L70" i="1"/>
  <c r="M69" i="1"/>
  <c r="U69" i="1" s="1"/>
  <c r="V69" i="1" s="1"/>
  <c r="W69" i="1" s="1"/>
  <c r="L69" i="1"/>
  <c r="M68" i="1"/>
  <c r="U68" i="1" s="1"/>
  <c r="L68" i="1"/>
  <c r="M67" i="1"/>
  <c r="U67" i="1" s="1"/>
  <c r="L67" i="1"/>
  <c r="M66" i="1"/>
  <c r="U66" i="1" s="1"/>
  <c r="L66" i="1"/>
  <c r="M65" i="1"/>
  <c r="U65" i="1" s="1"/>
  <c r="L65" i="1"/>
  <c r="M64" i="1"/>
  <c r="U64" i="1" s="1"/>
  <c r="L64" i="1"/>
  <c r="M63" i="1"/>
  <c r="U63" i="1" s="1"/>
  <c r="V63" i="1" s="1"/>
  <c r="W63" i="1" s="1"/>
  <c r="L63" i="1"/>
  <c r="M62" i="1"/>
  <c r="U62" i="1" s="1"/>
  <c r="V62" i="1" s="1"/>
  <c r="W62" i="1" s="1"/>
  <c r="L62" i="1"/>
  <c r="M61" i="1"/>
  <c r="U61" i="1" s="1"/>
  <c r="L61" i="1"/>
  <c r="M60" i="1"/>
  <c r="U60" i="1" s="1"/>
  <c r="V60" i="1" s="1"/>
  <c r="W60" i="1" s="1"/>
  <c r="L60" i="1"/>
  <c r="M59" i="1"/>
  <c r="U59" i="1" s="1"/>
  <c r="V59" i="1" s="1"/>
  <c r="W59" i="1" s="1"/>
  <c r="L59" i="1"/>
  <c r="M58" i="1"/>
  <c r="U58" i="1" s="1"/>
  <c r="V58" i="1" s="1"/>
  <c r="W58" i="1" s="1"/>
  <c r="L58" i="1"/>
  <c r="M57" i="1"/>
  <c r="U57" i="1" s="1"/>
  <c r="L57" i="1"/>
  <c r="M56" i="1"/>
  <c r="U56" i="1" s="1"/>
  <c r="L56" i="1"/>
  <c r="M55" i="1"/>
  <c r="U55" i="1" s="1"/>
  <c r="L55" i="1"/>
  <c r="M54" i="1"/>
  <c r="U54" i="1" s="1"/>
  <c r="L54" i="1"/>
  <c r="M53" i="1"/>
  <c r="U53" i="1" s="1"/>
  <c r="L53" i="1"/>
  <c r="M52" i="1"/>
  <c r="U52" i="1" s="1"/>
  <c r="AD52" i="1" s="1"/>
  <c r="L52" i="1"/>
  <c r="M51" i="1"/>
  <c r="U51" i="1" s="1"/>
  <c r="L51" i="1"/>
  <c r="M50" i="1"/>
  <c r="U50" i="1" s="1"/>
  <c r="L50" i="1"/>
  <c r="M49" i="1"/>
  <c r="U49" i="1" s="1"/>
  <c r="L49" i="1"/>
  <c r="M47" i="1"/>
  <c r="U47" i="1" s="1"/>
  <c r="L47" i="1"/>
  <c r="M46" i="1"/>
  <c r="U46" i="1" s="1"/>
  <c r="L46" i="1"/>
  <c r="M45" i="1"/>
  <c r="U45" i="1" s="1"/>
  <c r="L45" i="1"/>
  <c r="M44" i="1"/>
  <c r="U44" i="1" s="1"/>
  <c r="AD44" i="1" s="1"/>
  <c r="L44" i="1"/>
  <c r="M43" i="1"/>
  <c r="U43" i="1" s="1"/>
  <c r="L43" i="1"/>
  <c r="M42" i="1"/>
  <c r="U42" i="1" s="1"/>
  <c r="L42" i="1"/>
  <c r="M41" i="1"/>
  <c r="U41" i="1" s="1"/>
  <c r="L41" i="1"/>
  <c r="M40" i="1"/>
  <c r="U40" i="1" s="1"/>
  <c r="L40" i="1"/>
  <c r="M39" i="1"/>
  <c r="U39" i="1" s="1"/>
  <c r="L39" i="1"/>
  <c r="M38" i="1"/>
  <c r="U38" i="1" s="1"/>
  <c r="L38" i="1"/>
  <c r="M37" i="1"/>
  <c r="U37" i="1" s="1"/>
  <c r="L37" i="1"/>
  <c r="M36" i="1"/>
  <c r="U36" i="1" s="1"/>
  <c r="L36" i="1"/>
  <c r="M35" i="1"/>
  <c r="U35" i="1" s="1"/>
  <c r="L35" i="1"/>
  <c r="M34" i="1"/>
  <c r="U34" i="1" s="1"/>
  <c r="L34" i="1"/>
  <c r="M33" i="1"/>
  <c r="U33" i="1" s="1"/>
  <c r="L33" i="1"/>
  <c r="M32" i="1"/>
  <c r="U32" i="1" s="1"/>
  <c r="L32" i="1"/>
  <c r="M31" i="1"/>
  <c r="U31" i="1" s="1"/>
  <c r="L31" i="1"/>
  <c r="M30" i="1"/>
  <c r="U30" i="1" s="1"/>
  <c r="L30" i="1"/>
  <c r="M29" i="1"/>
  <c r="U29" i="1" s="1"/>
  <c r="L29" i="1"/>
  <c r="M28" i="1"/>
  <c r="U28" i="1" s="1"/>
  <c r="L28" i="1"/>
  <c r="M27" i="1"/>
  <c r="U27" i="1" s="1"/>
  <c r="V27" i="1" s="1"/>
  <c r="W27" i="1" s="1"/>
  <c r="L27" i="1"/>
  <c r="M26" i="1"/>
  <c r="U26" i="1" s="1"/>
  <c r="L26" i="1"/>
  <c r="M25" i="1"/>
  <c r="U25" i="1" s="1"/>
  <c r="L25" i="1"/>
  <c r="M24" i="1"/>
  <c r="U24" i="1" s="1"/>
  <c r="V24" i="1" s="1"/>
  <c r="W24" i="1" s="1"/>
  <c r="L24" i="1"/>
  <c r="M23" i="1"/>
  <c r="U23" i="1" s="1"/>
  <c r="L23" i="1"/>
  <c r="M22" i="1"/>
  <c r="U22" i="1" s="1"/>
  <c r="L22" i="1"/>
  <c r="M21" i="1"/>
  <c r="U21" i="1" s="1"/>
  <c r="L21" i="1"/>
  <c r="M20" i="1"/>
  <c r="U20" i="1" s="1"/>
  <c r="L20" i="1"/>
  <c r="M19" i="1"/>
  <c r="U19" i="1" s="1"/>
  <c r="L19" i="1"/>
  <c r="M18" i="1"/>
  <c r="U18" i="1" s="1"/>
  <c r="L18" i="1"/>
  <c r="M17" i="1"/>
  <c r="U17" i="1" s="1"/>
  <c r="V17" i="1" s="1"/>
  <c r="W17" i="1" s="1"/>
  <c r="L17" i="1"/>
  <c r="M16" i="1"/>
  <c r="U16" i="1" s="1"/>
  <c r="V16" i="1" s="1"/>
  <c r="W16" i="1" s="1"/>
  <c r="L16" i="1"/>
  <c r="M15" i="1"/>
  <c r="U15" i="1" s="1"/>
  <c r="L15" i="1"/>
  <c r="M14" i="1"/>
  <c r="U14" i="1" s="1"/>
  <c r="L14" i="1"/>
  <c r="M13" i="1"/>
  <c r="U13" i="1" s="1"/>
  <c r="L13" i="1"/>
  <c r="M12" i="1"/>
  <c r="U12" i="1" s="1"/>
  <c r="L12" i="1"/>
  <c r="M11" i="1"/>
  <c r="U11" i="1" s="1"/>
  <c r="L11" i="1"/>
  <c r="M10" i="1"/>
  <c r="U10" i="1" s="1"/>
  <c r="L10" i="1"/>
  <c r="M9" i="1"/>
  <c r="U9" i="1" s="1"/>
  <c r="L9" i="1"/>
  <c r="F8" i="1"/>
  <c r="E8" i="1"/>
  <c r="M8" i="1" s="1"/>
  <c r="M7" i="1"/>
  <c r="U7" i="1" s="1"/>
  <c r="L7" i="1"/>
  <c r="M6" i="1"/>
  <c r="U6" i="1" s="1"/>
  <c r="L6" i="1"/>
  <c r="AL5" i="1"/>
  <c r="AK5" i="1"/>
  <c r="AJ5" i="1"/>
  <c r="AI5" i="1"/>
  <c r="AH5" i="1"/>
  <c r="AG5" i="1"/>
  <c r="AF5" i="1"/>
  <c r="AE5" i="1"/>
  <c r="S5" i="1"/>
  <c r="R5" i="1"/>
  <c r="Q5" i="1"/>
  <c r="P5" i="1"/>
  <c r="O5" i="1"/>
  <c r="N5" i="1"/>
  <c r="K5" i="1"/>
  <c r="Z130" i="1" l="1"/>
  <c r="AP130" i="1" s="1"/>
  <c r="Z112" i="1"/>
  <c r="AP112" i="1" s="1"/>
  <c r="Z63" i="1"/>
  <c r="AP63" i="1" s="1"/>
  <c r="Z132" i="1"/>
  <c r="AP132" i="1" s="1"/>
  <c r="Z62" i="1"/>
  <c r="AP62" i="1" s="1"/>
  <c r="Z81" i="1"/>
  <c r="AP81" i="1" s="1"/>
  <c r="Z24" i="1"/>
  <c r="AP24" i="1" s="1"/>
  <c r="Z135" i="1"/>
  <c r="AP135" i="1" s="1"/>
  <c r="Z110" i="1"/>
  <c r="AP110" i="1" s="1"/>
  <c r="Z71" i="1"/>
  <c r="AP71" i="1" s="1"/>
  <c r="AD46" i="1"/>
  <c r="Z78" i="1"/>
  <c r="AP78" i="1" s="1"/>
  <c r="Z118" i="1"/>
  <c r="AP118" i="1" s="1"/>
  <c r="Z128" i="1"/>
  <c r="AP128" i="1" s="1"/>
  <c r="Z38" i="1"/>
  <c r="AP38" i="1" s="1"/>
  <c r="Z59" i="1"/>
  <c r="AP59" i="1" s="1"/>
  <c r="Z69" i="1"/>
  <c r="AP69" i="1" s="1"/>
  <c r="Z79" i="1"/>
  <c r="AP79" i="1" s="1"/>
  <c r="AD50" i="1"/>
  <c r="Z33" i="1"/>
  <c r="AP33" i="1" s="1"/>
  <c r="X58" i="1"/>
  <c r="AN58" i="1" s="1"/>
  <c r="X60" i="1"/>
  <c r="AN60" i="1" s="1"/>
  <c r="X89" i="1"/>
  <c r="AN89" i="1" s="1"/>
  <c r="X115" i="1"/>
  <c r="AN115" i="1" s="1"/>
  <c r="X117" i="1"/>
  <c r="AN117" i="1" s="1"/>
  <c r="X16" i="1"/>
  <c r="AN16" i="1" s="1"/>
  <c r="X17" i="1"/>
  <c r="AN17" i="1" s="1"/>
  <c r="X27" i="1"/>
  <c r="AN27" i="1" s="1"/>
  <c r="W25" i="1"/>
  <c r="W70" i="1"/>
  <c r="W91" i="1"/>
  <c r="W92" i="1"/>
  <c r="AD53" i="1"/>
  <c r="AD75" i="1"/>
  <c r="V66" i="1"/>
  <c r="W66" i="1" s="1"/>
  <c r="AD48" i="1"/>
  <c r="AD126" i="1"/>
  <c r="V11" i="1"/>
  <c r="W11" i="1" s="1"/>
  <c r="AD45" i="1"/>
  <c r="V45" i="1"/>
  <c r="W45" i="1" s="1"/>
  <c r="AD49" i="1"/>
  <c r="V54" i="1"/>
  <c r="W54" i="1" s="1"/>
  <c r="AD127" i="1"/>
  <c r="V44" i="1"/>
  <c r="W44" i="1" s="1"/>
  <c r="V52" i="1"/>
  <c r="W52" i="1" s="1"/>
  <c r="E5" i="1"/>
  <c r="AD47" i="1"/>
  <c r="AD51" i="1"/>
  <c r="V51" i="1"/>
  <c r="W51" i="1" s="1"/>
  <c r="V84" i="1"/>
  <c r="W84" i="1" s="1"/>
  <c r="V6" i="1"/>
  <c r="W6" i="1" s="1"/>
  <c r="V55" i="1"/>
  <c r="W55" i="1" s="1"/>
  <c r="V90" i="1"/>
  <c r="W90" i="1" s="1"/>
  <c r="AD58" i="1"/>
  <c r="AD60" i="1"/>
  <c r="AD62" i="1"/>
  <c r="AD64" i="1"/>
  <c r="AD66" i="1"/>
  <c r="AD68" i="1"/>
  <c r="AD70" i="1"/>
  <c r="AD72" i="1"/>
  <c r="AD77" i="1"/>
  <c r="AD82" i="1"/>
  <c r="AD97" i="1"/>
  <c r="AD99" i="1"/>
  <c r="AD101" i="1"/>
  <c r="AD103" i="1"/>
  <c r="AD108" i="1"/>
  <c r="AD110" i="1"/>
  <c r="AD112" i="1"/>
  <c r="AD114" i="1"/>
  <c r="AD116" i="1"/>
  <c r="AD118" i="1"/>
  <c r="AD120" i="1"/>
  <c r="AD129" i="1"/>
  <c r="AD131" i="1"/>
  <c r="AD133" i="1"/>
  <c r="AD135" i="1"/>
  <c r="AD55" i="1"/>
  <c r="AD57" i="1"/>
  <c r="AD59" i="1"/>
  <c r="AD61" i="1"/>
  <c r="AD63" i="1"/>
  <c r="AD65" i="1"/>
  <c r="AD67" i="1"/>
  <c r="AD69" i="1"/>
  <c r="AD71" i="1"/>
  <c r="AD73" i="1"/>
  <c r="AD78" i="1"/>
  <c r="AD84" i="1"/>
  <c r="AD90" i="1"/>
  <c r="AD92" i="1"/>
  <c r="AD98" i="1"/>
  <c r="AD100" i="1"/>
  <c r="AD102" i="1"/>
  <c r="AD105" i="1"/>
  <c r="AD107" i="1"/>
  <c r="AD109" i="1"/>
  <c r="AD111" i="1"/>
  <c r="AD113" i="1"/>
  <c r="AD115" i="1"/>
  <c r="AD117" i="1"/>
  <c r="AD119" i="1"/>
  <c r="AD122" i="1"/>
  <c r="AD124" i="1"/>
  <c r="AD130" i="1"/>
  <c r="AD132" i="1"/>
  <c r="AD134" i="1"/>
  <c r="AD136" i="1"/>
  <c r="AD16" i="1"/>
  <c r="AD18" i="1"/>
  <c r="AD21" i="1"/>
  <c r="AD23" i="1"/>
  <c r="AD28" i="1"/>
  <c r="AD31" i="1"/>
  <c r="AD35" i="1"/>
  <c r="U8" i="1"/>
  <c r="M5" i="1"/>
  <c r="AD17" i="1"/>
  <c r="AD19" i="1"/>
  <c r="AD22" i="1"/>
  <c r="AD27" i="1"/>
  <c r="AD29" i="1"/>
  <c r="AD32" i="1"/>
  <c r="AD37" i="1"/>
  <c r="AD6" i="1"/>
  <c r="AD7" i="1"/>
  <c r="L8" i="1"/>
  <c r="AD9" i="1"/>
  <c r="AD10" i="1"/>
  <c r="AD11" i="1"/>
  <c r="AD12" i="1"/>
  <c r="AD13" i="1"/>
  <c r="AD14" i="1"/>
  <c r="AD15" i="1"/>
  <c r="AD20" i="1"/>
  <c r="AD24" i="1"/>
  <c r="AD25" i="1"/>
  <c r="AD26" i="1"/>
  <c r="AD30" i="1"/>
  <c r="AD33" i="1"/>
  <c r="AD34" i="1"/>
  <c r="AD36" i="1"/>
  <c r="AD38" i="1"/>
  <c r="AD39" i="1"/>
  <c r="AD40" i="1"/>
  <c r="AD41" i="1"/>
  <c r="AD42" i="1"/>
  <c r="AD43" i="1"/>
  <c r="AD87" i="1"/>
  <c r="AD89" i="1"/>
  <c r="AD93" i="1"/>
  <c r="AD95" i="1"/>
  <c r="AD104" i="1"/>
  <c r="AD121" i="1"/>
  <c r="AD125" i="1"/>
  <c r="AD128" i="1"/>
  <c r="F5" i="1"/>
  <c r="AD54" i="1"/>
  <c r="AD56" i="1"/>
  <c r="AD74" i="1"/>
  <c r="AD76" i="1"/>
  <c r="AD79" i="1"/>
  <c r="AD81" i="1"/>
  <c r="AD83" i="1"/>
  <c r="AD85" i="1"/>
  <c r="AD86" i="1"/>
  <c r="AD88" i="1"/>
  <c r="AD91" i="1"/>
  <c r="AD94" i="1"/>
  <c r="AD96" i="1"/>
  <c r="AD106" i="1"/>
  <c r="AD123" i="1"/>
  <c r="L127" i="1"/>
  <c r="Z90" i="1" l="1"/>
  <c r="AP90" i="1" s="1"/>
  <c r="Z70" i="1"/>
  <c r="AP70" i="1" s="1"/>
  <c r="Z51" i="1"/>
  <c r="AP51" i="1" s="1"/>
  <c r="Z45" i="1"/>
  <c r="AP45" i="1" s="1"/>
  <c r="Z44" i="1"/>
  <c r="AP44" i="1" s="1"/>
  <c r="Z54" i="1"/>
  <c r="AP54" i="1" s="1"/>
  <c r="X55" i="1"/>
  <c r="AN55" i="1" s="1"/>
  <c r="X84" i="1"/>
  <c r="AN84" i="1" s="1"/>
  <c r="X11" i="1"/>
  <c r="AN11" i="1" s="1"/>
  <c r="X92" i="1"/>
  <c r="AN92" i="1" s="1"/>
  <c r="X6" i="1"/>
  <c r="Z6" i="1" s="1"/>
  <c r="AP6" i="1" s="1"/>
  <c r="X52" i="1"/>
  <c r="AN52" i="1" s="1"/>
  <c r="X66" i="1"/>
  <c r="AN66" i="1" s="1"/>
  <c r="X91" i="1"/>
  <c r="AN91" i="1" s="1"/>
  <c r="X25" i="1"/>
  <c r="AN25" i="1" s="1"/>
  <c r="Z27" i="1"/>
  <c r="AP27" i="1" s="1"/>
  <c r="Z17" i="1"/>
  <c r="AP17" i="1" s="1"/>
  <c r="Z16" i="1"/>
  <c r="AP16" i="1" s="1"/>
  <c r="Z117" i="1"/>
  <c r="AP117" i="1" s="1"/>
  <c r="Z115" i="1"/>
  <c r="AP115" i="1" s="1"/>
  <c r="Z89" i="1"/>
  <c r="AP89" i="1" s="1"/>
  <c r="Z60" i="1"/>
  <c r="AP60" i="1" s="1"/>
  <c r="Z58" i="1"/>
  <c r="AP58" i="1" s="1"/>
  <c r="L5" i="1"/>
  <c r="AD8" i="1"/>
  <c r="V8" i="1"/>
  <c r="W8" i="1" s="1"/>
  <c r="U5" i="1"/>
  <c r="Z25" i="1" l="1"/>
  <c r="AP25" i="1" s="1"/>
  <c r="Z91" i="1"/>
  <c r="AP91" i="1" s="1"/>
  <c r="Z66" i="1"/>
  <c r="AP66" i="1" s="1"/>
  <c r="Z52" i="1"/>
  <c r="AP52" i="1" s="1"/>
  <c r="Z92" i="1"/>
  <c r="AP92" i="1" s="1"/>
  <c r="Z11" i="1"/>
  <c r="AP11" i="1" s="1"/>
  <c r="Z84" i="1"/>
  <c r="AP84" i="1" s="1"/>
  <c r="Z55" i="1"/>
  <c r="AP55" i="1" s="1"/>
  <c r="X8" i="1"/>
  <c r="AN8" i="1" s="1"/>
  <c r="AN6" i="1"/>
  <c r="W5" i="1"/>
  <c r="V5" i="1"/>
  <c r="X5" i="1" l="1"/>
  <c r="AN5" i="1"/>
  <c r="Z8" i="1"/>
  <c r="AP8" i="1" l="1"/>
  <c r="AP5" i="1" s="1"/>
  <c r="Z5" i="1"/>
</calcChain>
</file>

<file path=xl/sharedStrings.xml><?xml version="1.0" encoding="utf-8"?>
<sst xmlns="http://schemas.openxmlformats.org/spreadsheetml/2006/main" count="513" uniqueCount="199">
  <si>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</si>
  <si>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</si>
  <si>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</si>
  <si>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</si>
  <si>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</si>
  <si>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</si>
  <si>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</si>
  <si>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</si>
  <si>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</si>
  <si>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</si>
  <si>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</si>
  <si>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</si>
  <si>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</si>
  <si>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</si>
  <si>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</si>
  <si>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</si>
  <si>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</si>
  <si>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</si>
  <si>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</si>
  <si>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</si>
  <si>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</si>
  <si>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</si>
  <si>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02,09,</t>
  </si>
  <si>
    <t>03,08,</t>
  </si>
  <si>
    <t>04,08,</t>
  </si>
  <si>
    <t>04,08,доз</t>
  </si>
  <si>
    <t>09,08,</t>
  </si>
  <si>
    <t>06,08,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</si>
  <si>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</si>
  <si>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</si>
  <si>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</si>
  <si>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</si>
  <si>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</si>
  <si>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</si>
  <si>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</si>
  <si>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</si>
  <si>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</si>
  <si>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</si>
  <si>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</si>
  <si>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</si>
  <si>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</si>
  <si>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</si>
  <si>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</si>
  <si>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</si>
  <si>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</si>
  <si>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</si>
  <si>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</si>
  <si>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</si>
  <si>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</si>
  <si>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</si>
  <si>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</si>
  <si>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</si>
  <si>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</si>
  <si>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</si>
  <si>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</si>
  <si>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</si>
  <si>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</si>
  <si>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</si>
  <si>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</si>
  <si>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</si>
  <si>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</si>
  <si>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</si>
  <si>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</si>
  <si>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</si>
  <si>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</si>
  <si>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</si>
  <si>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</si>
  <si>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</si>
  <si>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</si>
  <si>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</si>
  <si>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</si>
  <si>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</si>
  <si>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</si>
  <si>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</si>
  <si>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</si>
  <si>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</si>
  <si>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</si>
  <si>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</si>
  <si>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</si>
  <si>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</si>
  <si>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</si>
  <si>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</si>
  <si>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</si>
  <si>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</si>
  <si>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</si>
  <si>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</si>
  <si>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</si>
  <si>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</si>
  <si>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</si>
  <si>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</si>
  <si>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</si>
  <si>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</si>
  <si>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</si>
  <si>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</si>
  <si>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</si>
  <si>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</si>
  <si>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</si>
  <si>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</si>
  <si>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</si>
  <si>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</si>
  <si>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</si>
  <si>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</si>
  <si>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</si>
  <si>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</si>
  <si>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</si>
  <si>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</si>
  <si>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</si>
  <si>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</si>
  <si>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</si>
  <si>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</si>
  <si>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</si>
  <si>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</si>
  <si>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</si>
  <si>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</si>
  <si>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</si>
  <si>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</si>
  <si>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</si>
  <si>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</si>
  <si>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</si>
  <si>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</si>
  <si>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</si>
  <si>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</si>
  <si>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</si>
  <si>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</si>
  <si>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</si>
  <si>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</si>
  <si>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</si>
  <si>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</si>
  <si>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</si>
  <si>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</si>
  <si>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</si>
  <si>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</si>
  <si>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</si>
  <si>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</si>
  <si>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</si>
  <si>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</si>
  <si>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</si>
  <si>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</si>
  <si>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</si>
  <si>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</si>
  <si>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</si>
  <si>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</si>
  <si>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</si>
  <si>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</si>
  <si>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</si>
  <si>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</si>
  <si>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</si>
  <si>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</si>
  <si>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</si>
  <si>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</si>
  <si>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</si>
  <si>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</si>
  <si>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</si>
  <si>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</si>
  <si>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</si>
  <si>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</si>
  <si>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</si>
  <si>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</si>
  <si>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</si>
  <si>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</si>
  <si>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</si>
  <si>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</si>
  <si>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</si>
  <si>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</si>
  <si>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</si>
  <si>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</si>
  <si>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</si>
  <si>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</si>
  <si>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</si>
  <si>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</si>
  <si>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</si>
  <si>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</si>
  <si>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</si>
  <si>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</si>
  <si>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</si>
  <si>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</si>
  <si>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</si>
  <si>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</si>
  <si>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</si>
  <si>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</si>
  <si>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</si>
  <si>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</si>
  <si>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</si>
  <si>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</si>
  <si>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</si>
  <si>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</si>
  <si>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500шт под ЮТЛ (Хмель 05,08,26)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</si>
  <si>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</si>
  <si>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итого</t>
  </si>
  <si>
    <t>дн</t>
  </si>
  <si>
    <t>заказ</t>
  </si>
  <si>
    <t>10,08,</t>
  </si>
  <si>
    <t>10,08,(2)</t>
  </si>
  <si>
    <t>%</t>
  </si>
  <si>
    <t>ТК</t>
  </si>
  <si>
    <t>Рекуто</t>
  </si>
  <si>
    <t>09,08,доз</t>
  </si>
  <si>
    <t>10,08,доз</t>
  </si>
  <si>
    <t>10,08,(2)доз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</si>
</sst>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C70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4" borderId="1" xfId="1" applyNumberFormat="1" applyFill="1"/>
    <xf numFmtId="164" fontId="4" fillId="4" borderId="1" xfId="1" applyNumberFormat="1" applyFont="1" applyFill="1"/>
    <xf numFmtId="165" fontId="1" fillId="0" borderId="1" xfId="1" applyNumberFormat="1"/>
    <xf numFmtId="0" fontId="0" fillId="0" borderId="1" xfId="0"/>
    <xf numFmtId="164" fontId="8" fillId="0" borderId="1" xfId="1" applyNumberFormat="1" applyFont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0" fontId="7" fillId="0" borderId="1" xfId="0" applyFont="1" applyBorder="1"/>
    <xf numFmtId="165" fontId="8" fillId="0" borderId="1" xfId="1" applyNumberFormat="1" applyFont="1"/>
    <xf numFmtId="164" fontId="8" fillId="0" borderId="2" xfId="1" applyNumberFormat="1" applyFont="1" applyBorder="1"/>
    <xf numFmtId="0" fontId="7" fillId="0" borderId="0" xfId="0" applyFont="1" applyBorder="1"/>
    <xf numFmtId="164" fontId="1" fillId="9" borderId="1" xfId="1" applyNumberForma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colors>
    <mruColors>
      <color rgb="FF17C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3" sqref="AB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19" width="7" customWidth="1"/>
    <col min="20" max="20" width="7" style="25" customWidth="1"/>
    <col min="21" max="24" width="7" customWidth="1"/>
    <col min="25" max="25" width="7" style="26" customWidth="1"/>
    <col min="26" max="26" width="7" customWidth="1"/>
    <col min="27" max="27" width="7" style="29" customWidth="1"/>
    <col min="28" max="28" width="7" style="21" customWidth="1"/>
    <col min="29" max="30" width="5" customWidth="1"/>
    <col min="31" max="32" width="6.5703125" customWidth="1"/>
    <col min="33" max="36" width="6.5703125" hidden="1" customWidth="1"/>
    <col min="37" max="38" width="6.5703125" customWidth="1"/>
    <col min="39" max="39" width="6.42578125" customWidth="1"/>
    <col min="40" max="40" width="7" customWidth="1"/>
    <col min="41" max="41" width="7" style="26" customWidth="1"/>
    <col min="42" max="42" width="6.7109375" customWidth="1"/>
    <col min="43" max="43" width="6.7109375" style="26" customWidth="1"/>
    <col min="44" max="44" width="7" customWidth="1"/>
    <col min="45" max="52" width="3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22"/>
      <c r="U1" s="8"/>
      <c r="V1" s="8"/>
      <c r="W1" s="20">
        <v>2.6110000000000002</v>
      </c>
      <c r="X1" s="20">
        <v>0.38</v>
      </c>
      <c r="Y1" s="27"/>
      <c r="Z1" s="20"/>
      <c r="AA1" s="27"/>
      <c r="AB1" s="20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2"/>
      <c r="AP1" s="8"/>
      <c r="AQ1" s="22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22"/>
      <c r="U2" s="8"/>
      <c r="V2" s="8"/>
      <c r="W2" s="8" t="s">
        <v>189</v>
      </c>
      <c r="X2" s="8" t="s">
        <v>193</v>
      </c>
      <c r="Y2" s="22"/>
      <c r="Z2" s="8"/>
      <c r="AA2" s="22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>
        <v>9100</v>
      </c>
      <c r="AO2" s="22">
        <v>2480</v>
      </c>
      <c r="AP2" s="8">
        <v>17000</v>
      </c>
      <c r="AQ2" s="22">
        <v>2080</v>
      </c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2" t="s">
        <v>188</v>
      </c>
      <c r="X3" s="2" t="s">
        <v>190</v>
      </c>
      <c r="Y3" s="2" t="s">
        <v>190</v>
      </c>
      <c r="Z3" s="2" t="s">
        <v>190</v>
      </c>
      <c r="AA3" s="2" t="s">
        <v>190</v>
      </c>
      <c r="AB3" s="2" t="s">
        <v>194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20</v>
      </c>
      <c r="AN3" s="1" t="s">
        <v>21</v>
      </c>
      <c r="AO3" s="1" t="s">
        <v>21</v>
      </c>
      <c r="AP3" s="1" t="s">
        <v>21</v>
      </c>
      <c r="AQ3" s="1" t="s">
        <v>21</v>
      </c>
      <c r="AR3" s="1" t="s">
        <v>21</v>
      </c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 t="s">
        <v>26</v>
      </c>
      <c r="T4" s="22" t="s">
        <v>196</v>
      </c>
      <c r="U4" s="8" t="s">
        <v>27</v>
      </c>
      <c r="V4" s="8"/>
      <c r="W4" s="8"/>
      <c r="X4" s="8" t="s">
        <v>191</v>
      </c>
      <c r="Y4" s="22" t="s">
        <v>197</v>
      </c>
      <c r="Z4" s="8" t="s">
        <v>192</v>
      </c>
      <c r="AA4" s="22" t="s">
        <v>198</v>
      </c>
      <c r="AB4" s="8" t="s">
        <v>195</v>
      </c>
      <c r="AC4" s="8"/>
      <c r="AD4" s="8"/>
      <c r="AE4" s="8" t="s">
        <v>24</v>
      </c>
      <c r="AF4" s="8" t="s">
        <v>28</v>
      </c>
      <c r="AG4" s="8" t="s">
        <v>29</v>
      </c>
      <c r="AH4" s="8" t="s">
        <v>30</v>
      </c>
      <c r="AI4" s="8" t="s">
        <v>31</v>
      </c>
      <c r="AJ4" s="8" t="s">
        <v>32</v>
      </c>
      <c r="AK4" s="8" t="s">
        <v>33</v>
      </c>
      <c r="AL4" s="8" t="s">
        <v>34</v>
      </c>
      <c r="AM4" s="8"/>
      <c r="AN4" s="8" t="s">
        <v>191</v>
      </c>
      <c r="AO4" s="22" t="s">
        <v>197</v>
      </c>
      <c r="AP4" s="8" t="s">
        <v>192</v>
      </c>
      <c r="AQ4" s="22" t="s">
        <v>198</v>
      </c>
      <c r="AR4" s="22" t="s">
        <v>196</v>
      </c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SUM(E6:E500)</f>
        <v>57893.232000000004</v>
      </c>
      <c r="F5" s="3">
        <f>SUM(F6:F500)</f>
        <v>54609.132999999994</v>
      </c>
      <c r="G5" s="6"/>
      <c r="H5" s="8"/>
      <c r="I5" s="8"/>
      <c r="J5" s="8"/>
      <c r="K5" s="3">
        <f t="shared" ref="K5:X5" si="0">SUM(K6:K500)</f>
        <v>78084.934999999998</v>
      </c>
      <c r="L5" s="3">
        <f t="shared" si="0"/>
        <v>-20191.703000000001</v>
      </c>
      <c r="M5" s="3">
        <f t="shared" si="0"/>
        <v>52169.131999999998</v>
      </c>
      <c r="N5" s="3">
        <f t="shared" si="0"/>
        <v>5724.1</v>
      </c>
      <c r="O5" s="3">
        <f t="shared" si="0"/>
        <v>1600</v>
      </c>
      <c r="P5" s="3">
        <f t="shared" si="0"/>
        <v>13458.599258912795</v>
      </c>
      <c r="Q5" s="3">
        <f t="shared" si="0"/>
        <v>21727.185372103198</v>
      </c>
      <c r="R5" s="3">
        <f t="shared" si="0"/>
        <v>1000</v>
      </c>
      <c r="S5" s="3">
        <f t="shared" si="0"/>
        <v>23284.48310400001</v>
      </c>
      <c r="T5" s="23">
        <f t="shared" ref="T5" si="1">SUM(T6:T500)</f>
        <v>1611.1111111111111</v>
      </c>
      <c r="U5" s="3">
        <f t="shared" si="0"/>
        <v>10433.826400000007</v>
      </c>
      <c r="V5" s="3">
        <f t="shared" si="0"/>
        <v>17032.362270400001</v>
      </c>
      <c r="W5" s="3">
        <f t="shared" si="0"/>
        <v>31942.165282999998</v>
      </c>
      <c r="X5" s="3">
        <f t="shared" si="0"/>
        <v>10593.449897703998</v>
      </c>
      <c r="Y5" s="23">
        <f t="shared" ref="Y5" si="2">SUM(Y6:Y500)</f>
        <v>2944.4444444444443</v>
      </c>
      <c r="Z5" s="3">
        <f t="shared" ref="Z5:AA5" si="3">SUM(Z6:Z500)</f>
        <v>21348.715385295996</v>
      </c>
      <c r="AA5" s="23">
        <f t="shared" si="3"/>
        <v>2080</v>
      </c>
      <c r="AB5" s="3"/>
      <c r="AC5" s="8"/>
      <c r="AD5" s="8"/>
      <c r="AE5" s="3">
        <f t="shared" ref="AE5:AL5" si="4">SUM(AE6:AE500)</f>
        <v>11173.737200000001</v>
      </c>
      <c r="AF5" s="3">
        <f t="shared" si="4"/>
        <v>12763.749600000005</v>
      </c>
      <c r="AG5" s="3">
        <f t="shared" si="4"/>
        <v>14118.473</v>
      </c>
      <c r="AH5" s="3">
        <f t="shared" si="4"/>
        <v>10392.847799999996</v>
      </c>
      <c r="AI5" s="3">
        <f t="shared" si="4"/>
        <v>11560.837400000002</v>
      </c>
      <c r="AJ5" s="3">
        <f t="shared" si="4"/>
        <v>11734.1994</v>
      </c>
      <c r="AK5" s="3">
        <f t="shared" si="4"/>
        <v>14138.868400000007</v>
      </c>
      <c r="AL5" s="3">
        <f t="shared" si="4"/>
        <v>14537.335200000001</v>
      </c>
      <c r="AM5" s="8"/>
      <c r="AN5" s="3">
        <f>SUM(AN6:AN500)</f>
        <v>9018</v>
      </c>
      <c r="AO5" s="23">
        <f>SUM(AO6:AO500)</f>
        <v>2480</v>
      </c>
      <c r="AP5" s="3">
        <f>SUM(AP6:AP500)</f>
        <v>17014</v>
      </c>
      <c r="AQ5" s="23">
        <f>SUM(AQ6:AQ500)</f>
        <v>2080</v>
      </c>
      <c r="AR5" s="3">
        <f>SUM(AR6:AR500)</f>
        <v>1000</v>
      </c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35</v>
      </c>
      <c r="B6" s="8" t="s">
        <v>36</v>
      </c>
      <c r="C6" s="8">
        <v>2412.105</v>
      </c>
      <c r="D6" s="8">
        <v>983.90599999999995</v>
      </c>
      <c r="E6" s="8">
        <v>1896.5409999999999</v>
      </c>
      <c r="F6" s="8">
        <v>1212.9970000000001</v>
      </c>
      <c r="G6" s="6">
        <v>1</v>
      </c>
      <c r="H6" s="8">
        <v>50</v>
      </c>
      <c r="I6" s="8" t="s">
        <v>37</v>
      </c>
      <c r="J6" s="8"/>
      <c r="K6" s="8">
        <v>2136.41</v>
      </c>
      <c r="L6" s="8">
        <f t="shared" ref="L6:L37" si="5">E6-K6</f>
        <v>-239.86899999999991</v>
      </c>
      <c r="M6" s="8">
        <f t="shared" ref="M6:M37" si="6">E6-N6</f>
        <v>1688.6709999999998</v>
      </c>
      <c r="N6" s="8">
        <v>207.87</v>
      </c>
      <c r="O6" s="8">
        <v>800</v>
      </c>
      <c r="P6" s="8">
        <v>361.01789634480059</v>
      </c>
      <c r="Q6" s="8">
        <v>774.25850725520149</v>
      </c>
      <c r="R6" s="8"/>
      <c r="S6" s="8">
        <v>0</v>
      </c>
      <c r="T6" s="22"/>
      <c r="U6" s="8">
        <f t="shared" ref="U6:U37" si="7">M6/5</f>
        <v>337.73419999999999</v>
      </c>
      <c r="V6" s="4">
        <f>12*U6-S6-R6-Q6-P6-O6-F6</f>
        <v>904.53699639999763</v>
      </c>
      <c r="W6" s="4">
        <f>V6+$W$1*U6</f>
        <v>1786.3609925999976</v>
      </c>
      <c r="X6" s="4">
        <f>W6*$X$1</f>
        <v>678.81717718799916</v>
      </c>
      <c r="Y6" s="28"/>
      <c r="Z6" s="4">
        <f>W6-X6</f>
        <v>1107.5438154119984</v>
      </c>
      <c r="AA6" s="28"/>
      <c r="AB6" s="8"/>
      <c r="AC6" s="8">
        <f>(F6+O6+P6+Q6+R6+S6+W6+T6+Y6+AA6)/U6</f>
        <v>14.610999999999999</v>
      </c>
      <c r="AD6" s="8">
        <f t="shared" ref="AD6:AD37" si="8">(F6+O6+P6+Q6+R6+S6)/U6</f>
        <v>9.3217488889191618</v>
      </c>
      <c r="AE6" s="8">
        <v>348.79259999999999</v>
      </c>
      <c r="AF6" s="8">
        <v>383.91660000000002</v>
      </c>
      <c r="AG6" s="8">
        <v>414.53539999999992</v>
      </c>
      <c r="AH6" s="8">
        <v>309.1234</v>
      </c>
      <c r="AI6" s="8">
        <v>397.22059999999999</v>
      </c>
      <c r="AJ6" s="8">
        <v>387.44979999999998</v>
      </c>
      <c r="AK6" s="8">
        <v>475.30520000000001</v>
      </c>
      <c r="AL6" s="8">
        <v>548.64239999999995</v>
      </c>
      <c r="AM6" s="8"/>
      <c r="AN6" s="8">
        <f>ROUND(G6*X6,0)</f>
        <v>679</v>
      </c>
      <c r="AO6" s="8">
        <f>ROUND(G6*Y6,0)</f>
        <v>0</v>
      </c>
      <c r="AP6" s="8">
        <f>ROUND(G6*Z6,0)</f>
        <v>1108</v>
      </c>
      <c r="AQ6" s="8">
        <f>ROUND(G6*AA6,0)</f>
        <v>0</v>
      </c>
      <c r="AR6" s="8">
        <f>ROUND(G6*T6,0)</f>
        <v>0</v>
      </c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38</v>
      </c>
      <c r="B7" s="8" t="s">
        <v>36</v>
      </c>
      <c r="C7" s="8">
        <v>306.62099999999998</v>
      </c>
      <c r="D7" s="8">
        <v>1176.883</v>
      </c>
      <c r="E7" s="8">
        <v>808.471</v>
      </c>
      <c r="F7" s="8">
        <v>576.66099999999994</v>
      </c>
      <c r="G7" s="6">
        <v>1</v>
      </c>
      <c r="H7" s="8">
        <v>45</v>
      </c>
      <c r="I7" s="8" t="s">
        <v>37</v>
      </c>
      <c r="J7" s="8"/>
      <c r="K7" s="8">
        <v>960.22199999999998</v>
      </c>
      <c r="L7" s="8">
        <f t="shared" si="5"/>
        <v>-151.75099999999998</v>
      </c>
      <c r="M7" s="8">
        <f t="shared" si="6"/>
        <v>681.96299999999997</v>
      </c>
      <c r="N7" s="8">
        <v>126.508</v>
      </c>
      <c r="O7" s="8"/>
      <c r="P7" s="8">
        <v>496.76597433599949</v>
      </c>
      <c r="Q7" s="8">
        <v>1065.391177664</v>
      </c>
      <c r="R7" s="8"/>
      <c r="S7" s="8">
        <v>0</v>
      </c>
      <c r="T7" s="22"/>
      <c r="U7" s="8">
        <f t="shared" si="7"/>
        <v>136.39259999999999</v>
      </c>
      <c r="V7" s="4"/>
      <c r="W7" s="4">
        <f>AB7</f>
        <v>500</v>
      </c>
      <c r="X7" s="4"/>
      <c r="Y7" s="28"/>
      <c r="Z7" s="4">
        <f t="shared" ref="Z7:Z70" si="9">W7-X7</f>
        <v>500</v>
      </c>
      <c r="AA7" s="28"/>
      <c r="AB7" s="8">
        <v>500</v>
      </c>
      <c r="AC7" s="8">
        <f t="shared" ref="AC7:AC70" si="10">(F7+O7+P7+Q7+R7+S7+W7+T7+Y7+AA7)/U7</f>
        <v>19.34722376433912</v>
      </c>
      <c r="AD7" s="8">
        <f t="shared" si="8"/>
        <v>15.681335732290458</v>
      </c>
      <c r="AE7" s="8">
        <v>175.6748</v>
      </c>
      <c r="AF7" s="8">
        <v>232.39340000000001</v>
      </c>
      <c r="AG7" s="8">
        <v>194.2758</v>
      </c>
      <c r="AH7" s="8">
        <v>139.5838</v>
      </c>
      <c r="AI7" s="8">
        <v>139.13839999999999</v>
      </c>
      <c r="AJ7" s="8">
        <v>153.54400000000001</v>
      </c>
      <c r="AK7" s="8">
        <v>198.9838</v>
      </c>
      <c r="AL7" s="8">
        <v>211.20099999999999</v>
      </c>
      <c r="AM7" s="8"/>
      <c r="AN7" s="8">
        <f t="shared" ref="AN7:AN70" si="11">ROUND(G7*X7,0)</f>
        <v>0</v>
      </c>
      <c r="AO7" s="8">
        <f t="shared" ref="AO7:AO70" si="12">ROUND(G7*Y7,0)</f>
        <v>0</v>
      </c>
      <c r="AP7" s="8">
        <f t="shared" ref="AP7:AP70" si="13">ROUND(G7*Z7,0)</f>
        <v>500</v>
      </c>
      <c r="AQ7" s="8">
        <f t="shared" ref="AQ7:AQ70" si="14">ROUND(G7*AA7,0)</f>
        <v>0</v>
      </c>
      <c r="AR7" s="8">
        <f t="shared" ref="AR7:AR70" si="15">ROUND(G7*T7,0)</f>
        <v>0</v>
      </c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31" t="s">
        <v>39</v>
      </c>
      <c r="B8" s="8" t="s">
        <v>36</v>
      </c>
      <c r="C8" s="8">
        <v>1710.021</v>
      </c>
      <c r="D8" s="8">
        <v>4244.5789999999997</v>
      </c>
      <c r="E8" s="14">
        <f>3418.422+E85</f>
        <v>3423.8629999999998</v>
      </c>
      <c r="F8" s="14">
        <f>1867.142+F85</f>
        <v>1861.701</v>
      </c>
      <c r="G8" s="6">
        <v>1</v>
      </c>
      <c r="H8" s="8">
        <v>45</v>
      </c>
      <c r="I8" s="8" t="s">
        <v>37</v>
      </c>
      <c r="J8" s="8"/>
      <c r="K8" s="8">
        <v>4099.9459999999999</v>
      </c>
      <c r="L8" s="8">
        <f t="shared" si="5"/>
        <v>-676.08300000000008</v>
      </c>
      <c r="M8" s="8">
        <f t="shared" si="6"/>
        <v>2718.2449999999999</v>
      </c>
      <c r="N8" s="8">
        <v>705.61800000000005</v>
      </c>
      <c r="O8" s="8"/>
      <c r="P8" s="8">
        <v>943.87382423999952</v>
      </c>
      <c r="Q8" s="8">
        <v>2024.2828557600001</v>
      </c>
      <c r="R8" s="8"/>
      <c r="S8" s="8">
        <v>1400.372760000002</v>
      </c>
      <c r="T8" s="22">
        <v>0</v>
      </c>
      <c r="U8" s="8">
        <f t="shared" si="7"/>
        <v>543.649</v>
      </c>
      <c r="V8" s="4">
        <f t="shared" ref="V8:V11" si="16">12*U8-S8-R8-Q8-P8-O8-F8</f>
        <v>293.55755999999883</v>
      </c>
      <c r="W8" s="4">
        <f>V8+$W$1*U8</f>
        <v>1713.025098999999</v>
      </c>
      <c r="X8" s="4">
        <f>W8*$X$1</f>
        <v>650.94953761999966</v>
      </c>
      <c r="Y8" s="28"/>
      <c r="Z8" s="4">
        <f t="shared" si="9"/>
        <v>1062.0755613799993</v>
      </c>
      <c r="AA8" s="28"/>
      <c r="AB8" s="8">
        <v>700</v>
      </c>
      <c r="AC8" s="8">
        <f t="shared" si="10"/>
        <v>14.610999999999999</v>
      </c>
      <c r="AD8" s="8">
        <f t="shared" si="8"/>
        <v>11.460023728545442</v>
      </c>
      <c r="AE8" s="8">
        <v>613.56360000000006</v>
      </c>
      <c r="AF8" s="8">
        <v>603.60799999999995</v>
      </c>
      <c r="AG8" s="8">
        <v>601.60220000000004</v>
      </c>
      <c r="AH8" s="8">
        <v>449.45300000000009</v>
      </c>
      <c r="AI8" s="8">
        <v>483.47179999999997</v>
      </c>
      <c r="AJ8" s="8">
        <v>504.71640000000002</v>
      </c>
      <c r="AK8" s="8">
        <v>603.90640000000008</v>
      </c>
      <c r="AL8" s="8">
        <v>611.28559999999993</v>
      </c>
      <c r="AM8" s="8"/>
      <c r="AN8" s="8">
        <f t="shared" si="11"/>
        <v>651</v>
      </c>
      <c r="AO8" s="8">
        <f t="shared" si="12"/>
        <v>0</v>
      </c>
      <c r="AP8" s="8">
        <f t="shared" si="13"/>
        <v>1062</v>
      </c>
      <c r="AQ8" s="8">
        <f t="shared" si="14"/>
        <v>0</v>
      </c>
      <c r="AR8" s="8">
        <f t="shared" si="15"/>
        <v>0</v>
      </c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40</v>
      </c>
      <c r="B9" s="8" t="s">
        <v>41</v>
      </c>
      <c r="C9" s="8">
        <v>7</v>
      </c>
      <c r="D9" s="8">
        <v>25</v>
      </c>
      <c r="E9" s="8">
        <v>5</v>
      </c>
      <c r="F9" s="8">
        <v>20</v>
      </c>
      <c r="G9" s="6">
        <v>0.4</v>
      </c>
      <c r="H9" s="8">
        <v>50</v>
      </c>
      <c r="I9" s="8" t="s">
        <v>37</v>
      </c>
      <c r="J9" s="8"/>
      <c r="K9" s="8">
        <v>14</v>
      </c>
      <c r="L9" s="8">
        <f t="shared" si="5"/>
        <v>-9</v>
      </c>
      <c r="M9" s="8">
        <f t="shared" si="6"/>
        <v>5</v>
      </c>
      <c r="N9" s="8"/>
      <c r="O9" s="8"/>
      <c r="P9" s="8">
        <v>10.9</v>
      </c>
      <c r="Q9" s="8"/>
      <c r="R9" s="8"/>
      <c r="S9" s="8">
        <v>0</v>
      </c>
      <c r="T9" s="22"/>
      <c r="U9" s="8">
        <f t="shared" si="7"/>
        <v>1</v>
      </c>
      <c r="V9" s="4"/>
      <c r="W9" s="4">
        <f t="shared" ref="W9:W69" si="17">V9</f>
        <v>0</v>
      </c>
      <c r="X9" s="4"/>
      <c r="Y9" s="28"/>
      <c r="Z9" s="4">
        <f t="shared" si="9"/>
        <v>0</v>
      </c>
      <c r="AA9" s="28"/>
      <c r="AB9" s="8"/>
      <c r="AC9" s="8">
        <f t="shared" si="10"/>
        <v>30.9</v>
      </c>
      <c r="AD9" s="8">
        <f t="shared" si="8"/>
        <v>30.9</v>
      </c>
      <c r="AE9" s="8">
        <v>1.2</v>
      </c>
      <c r="AF9" s="8">
        <v>2.6</v>
      </c>
      <c r="AG9" s="8">
        <v>2.2000000000000002</v>
      </c>
      <c r="AH9" s="8">
        <v>0</v>
      </c>
      <c r="AI9" s="8">
        <v>0</v>
      </c>
      <c r="AJ9" s="8">
        <v>0</v>
      </c>
      <c r="AK9" s="8">
        <v>0</v>
      </c>
      <c r="AL9" s="8">
        <v>0.6</v>
      </c>
      <c r="AM9" s="8" t="s">
        <v>42</v>
      </c>
      <c r="AN9" s="8">
        <f t="shared" si="11"/>
        <v>0</v>
      </c>
      <c r="AO9" s="8">
        <f t="shared" si="12"/>
        <v>0</v>
      </c>
      <c r="AP9" s="8">
        <f t="shared" si="13"/>
        <v>0</v>
      </c>
      <c r="AQ9" s="8">
        <f t="shared" si="14"/>
        <v>0</v>
      </c>
      <c r="AR9" s="8">
        <f t="shared" si="15"/>
        <v>0</v>
      </c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43</v>
      </c>
      <c r="B10" s="8" t="s">
        <v>41</v>
      </c>
      <c r="C10" s="8">
        <v>413.44400000000002</v>
      </c>
      <c r="D10" s="8">
        <v>2500.201</v>
      </c>
      <c r="E10" s="8">
        <v>1490</v>
      </c>
      <c r="F10" s="8">
        <v>913.64499999999998</v>
      </c>
      <c r="G10" s="6">
        <v>0.45</v>
      </c>
      <c r="H10" s="8">
        <v>45</v>
      </c>
      <c r="I10" s="15" t="s">
        <v>44</v>
      </c>
      <c r="J10" s="8"/>
      <c r="K10" s="8">
        <v>2420</v>
      </c>
      <c r="L10" s="8">
        <f t="shared" si="5"/>
        <v>-930</v>
      </c>
      <c r="M10" s="8">
        <f t="shared" si="6"/>
        <v>1490</v>
      </c>
      <c r="N10" s="8"/>
      <c r="O10" s="8"/>
      <c r="P10" s="8">
        <v>953.99999999999977</v>
      </c>
      <c r="Q10" s="8">
        <v>2046</v>
      </c>
      <c r="R10" s="8"/>
      <c r="S10" s="8">
        <v>0</v>
      </c>
      <c r="T10" s="22"/>
      <c r="U10" s="8">
        <f t="shared" si="7"/>
        <v>298</v>
      </c>
      <c r="V10" s="4"/>
      <c r="W10" s="4">
        <f t="shared" si="17"/>
        <v>0</v>
      </c>
      <c r="X10" s="4"/>
      <c r="Y10" s="28"/>
      <c r="Z10" s="4">
        <f t="shared" si="9"/>
        <v>0</v>
      </c>
      <c r="AA10" s="28"/>
      <c r="AB10" s="8"/>
      <c r="AC10" s="8">
        <f t="shared" si="10"/>
        <v>13.133036912751676</v>
      </c>
      <c r="AD10" s="8">
        <f t="shared" si="8"/>
        <v>13.133036912751676</v>
      </c>
      <c r="AE10" s="8">
        <v>339</v>
      </c>
      <c r="AF10" s="8">
        <v>705.87099999999998</v>
      </c>
      <c r="AG10" s="8">
        <v>624.67100000000005</v>
      </c>
      <c r="AH10" s="8">
        <v>265.39999999999998</v>
      </c>
      <c r="AI10" s="8">
        <v>547.20000000000005</v>
      </c>
      <c r="AJ10" s="8">
        <v>563.6</v>
      </c>
      <c r="AK10" s="8">
        <v>673.6</v>
      </c>
      <c r="AL10" s="8">
        <v>380.8</v>
      </c>
      <c r="AM10" s="8" t="s">
        <v>45</v>
      </c>
      <c r="AN10" s="8">
        <f t="shared" si="11"/>
        <v>0</v>
      </c>
      <c r="AO10" s="8">
        <f t="shared" si="12"/>
        <v>0</v>
      </c>
      <c r="AP10" s="8">
        <f t="shared" si="13"/>
        <v>0</v>
      </c>
      <c r="AQ10" s="8">
        <f t="shared" si="14"/>
        <v>0</v>
      </c>
      <c r="AR10" s="8">
        <f t="shared" si="15"/>
        <v>0</v>
      </c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30" t="s">
        <v>46</v>
      </c>
      <c r="B11" s="8" t="s">
        <v>41</v>
      </c>
      <c r="C11" s="8">
        <v>1694.171</v>
      </c>
      <c r="D11" s="8">
        <v>5815</v>
      </c>
      <c r="E11" s="8">
        <v>3429</v>
      </c>
      <c r="F11" s="8">
        <v>3264.1709999999998</v>
      </c>
      <c r="G11" s="6">
        <v>0.45</v>
      </c>
      <c r="H11" s="8">
        <v>45</v>
      </c>
      <c r="I11" s="15" t="s">
        <v>44</v>
      </c>
      <c r="J11" s="8"/>
      <c r="K11" s="8">
        <v>4290</v>
      </c>
      <c r="L11" s="8">
        <f t="shared" si="5"/>
        <v>-861</v>
      </c>
      <c r="M11" s="8">
        <f t="shared" si="6"/>
        <v>3417</v>
      </c>
      <c r="N11" s="8">
        <v>12</v>
      </c>
      <c r="O11" s="8"/>
      <c r="P11" s="8">
        <v>817.98453692400017</v>
      </c>
      <c r="Q11" s="8">
        <v>1754.2938810760011</v>
      </c>
      <c r="R11" s="8"/>
      <c r="S11" s="8">
        <v>1000</v>
      </c>
      <c r="T11" s="22">
        <f>500/G11</f>
        <v>1111.1111111111111</v>
      </c>
      <c r="U11" s="8">
        <f t="shared" si="7"/>
        <v>683.4</v>
      </c>
      <c r="V11" s="4">
        <f t="shared" si="16"/>
        <v>1364.3505819999987</v>
      </c>
      <c r="W11" s="4">
        <f t="shared" si="17"/>
        <v>1364.3505819999987</v>
      </c>
      <c r="X11" s="4">
        <f>W11*$X$1</f>
        <v>518.45322115999954</v>
      </c>
      <c r="Y11" s="28">
        <f>380/G11</f>
        <v>844.44444444444446</v>
      </c>
      <c r="Z11" s="4">
        <f t="shared" si="9"/>
        <v>845.89736083999912</v>
      </c>
      <c r="AA11" s="28"/>
      <c r="AB11" s="8"/>
      <c r="AC11" s="8">
        <f t="shared" si="10"/>
        <v>14.861509446232889</v>
      </c>
      <c r="AD11" s="8">
        <f t="shared" si="8"/>
        <v>10.003584164471761</v>
      </c>
      <c r="AE11" s="8">
        <v>536.79999999999995</v>
      </c>
      <c r="AF11" s="8">
        <v>707.36580000000004</v>
      </c>
      <c r="AG11" s="8">
        <v>771.7657999999999</v>
      </c>
      <c r="AH11" s="8">
        <v>431.2</v>
      </c>
      <c r="AI11" s="8">
        <v>445.4</v>
      </c>
      <c r="AJ11" s="8">
        <v>495.2</v>
      </c>
      <c r="AK11" s="8">
        <v>660.46</v>
      </c>
      <c r="AL11" s="8">
        <v>717.66000000000008</v>
      </c>
      <c r="AM11" s="8" t="s">
        <v>47</v>
      </c>
      <c r="AN11" s="8">
        <f t="shared" si="11"/>
        <v>233</v>
      </c>
      <c r="AO11" s="8">
        <f t="shared" si="12"/>
        <v>380</v>
      </c>
      <c r="AP11" s="8">
        <f t="shared" si="13"/>
        <v>381</v>
      </c>
      <c r="AQ11" s="8">
        <f t="shared" si="14"/>
        <v>0</v>
      </c>
      <c r="AR11" s="8">
        <f t="shared" si="15"/>
        <v>500</v>
      </c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48</v>
      </c>
      <c r="B12" s="8" t="s">
        <v>41</v>
      </c>
      <c r="C12" s="8">
        <v>28</v>
      </c>
      <c r="D12" s="8">
        <v>180</v>
      </c>
      <c r="E12" s="8">
        <v>96.17</v>
      </c>
      <c r="F12" s="8">
        <v>93.83</v>
      </c>
      <c r="G12" s="6">
        <v>0.17</v>
      </c>
      <c r="H12" s="8">
        <v>180</v>
      </c>
      <c r="I12" s="8" t="s">
        <v>37</v>
      </c>
      <c r="J12" s="8"/>
      <c r="K12" s="8">
        <v>122</v>
      </c>
      <c r="L12" s="8">
        <f t="shared" si="5"/>
        <v>-25.83</v>
      </c>
      <c r="M12" s="8">
        <f t="shared" si="6"/>
        <v>96.17</v>
      </c>
      <c r="N12" s="8"/>
      <c r="O12" s="8"/>
      <c r="P12" s="8">
        <v>234.9</v>
      </c>
      <c r="Q12" s="8"/>
      <c r="R12" s="8"/>
      <c r="S12" s="8">
        <v>0</v>
      </c>
      <c r="T12" s="22"/>
      <c r="U12" s="8">
        <f t="shared" si="7"/>
        <v>19.234000000000002</v>
      </c>
      <c r="V12" s="4"/>
      <c r="W12" s="4">
        <f t="shared" si="17"/>
        <v>0</v>
      </c>
      <c r="X12" s="4"/>
      <c r="Y12" s="28"/>
      <c r="Z12" s="4">
        <f t="shared" si="9"/>
        <v>0</v>
      </c>
      <c r="AA12" s="28"/>
      <c r="AB12" s="8"/>
      <c r="AC12" s="8">
        <f t="shared" si="10"/>
        <v>17.091088697098886</v>
      </c>
      <c r="AD12" s="8">
        <f t="shared" si="8"/>
        <v>17.091088697098886</v>
      </c>
      <c r="AE12" s="8">
        <v>23.6</v>
      </c>
      <c r="AF12" s="8">
        <v>35</v>
      </c>
      <c r="AG12" s="8">
        <v>24.6</v>
      </c>
      <c r="AH12" s="8">
        <v>9</v>
      </c>
      <c r="AI12" s="8">
        <v>5.4</v>
      </c>
      <c r="AJ12" s="8">
        <v>12.6</v>
      </c>
      <c r="AK12" s="8">
        <v>17.2</v>
      </c>
      <c r="AL12" s="8">
        <v>21</v>
      </c>
      <c r="AM12" s="8"/>
      <c r="AN12" s="8">
        <f t="shared" si="11"/>
        <v>0</v>
      </c>
      <c r="AO12" s="8">
        <f t="shared" si="12"/>
        <v>0</v>
      </c>
      <c r="AP12" s="8">
        <f t="shared" si="13"/>
        <v>0</v>
      </c>
      <c r="AQ12" s="8">
        <f t="shared" si="14"/>
        <v>0</v>
      </c>
      <c r="AR12" s="8">
        <f t="shared" si="15"/>
        <v>0</v>
      </c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49</v>
      </c>
      <c r="B13" s="8" t="s">
        <v>41</v>
      </c>
      <c r="C13" s="8">
        <v>75</v>
      </c>
      <c r="D13" s="8">
        <v>12</v>
      </c>
      <c r="E13" s="8">
        <v>41</v>
      </c>
      <c r="F13" s="8">
        <v>25</v>
      </c>
      <c r="G13" s="6">
        <v>0.3</v>
      </c>
      <c r="H13" s="8">
        <v>40</v>
      </c>
      <c r="I13" s="8" t="s">
        <v>37</v>
      </c>
      <c r="J13" s="8"/>
      <c r="K13" s="8">
        <v>59</v>
      </c>
      <c r="L13" s="8">
        <f t="shared" si="5"/>
        <v>-18</v>
      </c>
      <c r="M13" s="8">
        <f t="shared" si="6"/>
        <v>41</v>
      </c>
      <c r="N13" s="8"/>
      <c r="O13" s="8"/>
      <c r="P13" s="8">
        <v>43.600000000000009</v>
      </c>
      <c r="Q13" s="8"/>
      <c r="R13" s="8"/>
      <c r="S13" s="8">
        <v>46.2</v>
      </c>
      <c r="T13" s="22"/>
      <c r="U13" s="8">
        <f t="shared" si="7"/>
        <v>8.1999999999999993</v>
      </c>
      <c r="V13" s="4"/>
      <c r="W13" s="4">
        <f t="shared" si="17"/>
        <v>0</v>
      </c>
      <c r="X13" s="4"/>
      <c r="Y13" s="28"/>
      <c r="Z13" s="4">
        <f t="shared" si="9"/>
        <v>0</v>
      </c>
      <c r="AA13" s="28"/>
      <c r="AB13" s="8"/>
      <c r="AC13" s="8">
        <f t="shared" si="10"/>
        <v>14.000000000000002</v>
      </c>
      <c r="AD13" s="8">
        <f t="shared" si="8"/>
        <v>14.000000000000002</v>
      </c>
      <c r="AE13" s="8">
        <v>11.8</v>
      </c>
      <c r="AF13" s="8">
        <v>8.4</v>
      </c>
      <c r="AG13" s="8">
        <v>3.2</v>
      </c>
      <c r="AH13" s="8">
        <v>1</v>
      </c>
      <c r="AI13" s="8">
        <v>0.8</v>
      </c>
      <c r="AJ13" s="8">
        <v>2.6</v>
      </c>
      <c r="AK13" s="8">
        <v>9.4</v>
      </c>
      <c r="AL13" s="8">
        <v>13.4</v>
      </c>
      <c r="AM13" s="8"/>
      <c r="AN13" s="8">
        <f t="shared" si="11"/>
        <v>0</v>
      </c>
      <c r="AO13" s="8">
        <f t="shared" si="12"/>
        <v>0</v>
      </c>
      <c r="AP13" s="8">
        <f t="shared" si="13"/>
        <v>0</v>
      </c>
      <c r="AQ13" s="8">
        <f t="shared" si="14"/>
        <v>0</v>
      </c>
      <c r="AR13" s="8">
        <f t="shared" si="15"/>
        <v>0</v>
      </c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50</v>
      </c>
      <c r="B14" s="8" t="s">
        <v>41</v>
      </c>
      <c r="C14" s="8">
        <v>250</v>
      </c>
      <c r="D14" s="8">
        <v>418</v>
      </c>
      <c r="E14" s="8">
        <v>138.16999999999999</v>
      </c>
      <c r="F14" s="8">
        <v>494.83</v>
      </c>
      <c r="G14" s="6">
        <v>0.17</v>
      </c>
      <c r="H14" s="8">
        <v>180</v>
      </c>
      <c r="I14" s="8" t="s">
        <v>37</v>
      </c>
      <c r="J14" s="8"/>
      <c r="K14" s="8">
        <v>168</v>
      </c>
      <c r="L14" s="8">
        <f t="shared" si="5"/>
        <v>-29.830000000000013</v>
      </c>
      <c r="M14" s="8">
        <f t="shared" si="6"/>
        <v>138.16999999999999</v>
      </c>
      <c r="N14" s="8"/>
      <c r="O14" s="8"/>
      <c r="P14" s="8">
        <v>78.10000000000008</v>
      </c>
      <c r="Q14" s="8"/>
      <c r="R14" s="8"/>
      <c r="S14" s="8">
        <v>0</v>
      </c>
      <c r="T14" s="22"/>
      <c r="U14" s="8">
        <f t="shared" si="7"/>
        <v>27.633999999999997</v>
      </c>
      <c r="V14" s="4"/>
      <c r="W14" s="4">
        <f t="shared" si="17"/>
        <v>0</v>
      </c>
      <c r="X14" s="4"/>
      <c r="Y14" s="28"/>
      <c r="Z14" s="4">
        <f t="shared" si="9"/>
        <v>0</v>
      </c>
      <c r="AA14" s="28"/>
      <c r="AB14" s="8"/>
      <c r="AC14" s="8">
        <f t="shared" si="10"/>
        <v>20.732792936237974</v>
      </c>
      <c r="AD14" s="8">
        <f t="shared" si="8"/>
        <v>20.732792936237974</v>
      </c>
      <c r="AE14" s="8">
        <v>36.799999999999997</v>
      </c>
      <c r="AF14" s="8">
        <v>60.2</v>
      </c>
      <c r="AG14" s="8">
        <v>65.2</v>
      </c>
      <c r="AH14" s="8">
        <v>36.6</v>
      </c>
      <c r="AI14" s="8">
        <v>21.4</v>
      </c>
      <c r="AJ14" s="8">
        <v>16.2</v>
      </c>
      <c r="AK14" s="8">
        <v>29.4</v>
      </c>
      <c r="AL14" s="8">
        <v>74.2</v>
      </c>
      <c r="AM14" s="8"/>
      <c r="AN14" s="8">
        <f t="shared" si="11"/>
        <v>0</v>
      </c>
      <c r="AO14" s="8">
        <f t="shared" si="12"/>
        <v>0</v>
      </c>
      <c r="AP14" s="8">
        <f t="shared" si="13"/>
        <v>0</v>
      </c>
      <c r="AQ14" s="8">
        <f t="shared" si="14"/>
        <v>0</v>
      </c>
      <c r="AR14" s="8">
        <f t="shared" si="15"/>
        <v>0</v>
      </c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9" t="s">
        <v>51</v>
      </c>
      <c r="B15" s="9" t="s">
        <v>41</v>
      </c>
      <c r="C15" s="9">
        <v>363</v>
      </c>
      <c r="D15" s="9">
        <v>1</v>
      </c>
      <c r="E15" s="9">
        <v>1</v>
      </c>
      <c r="F15" s="9">
        <v>359</v>
      </c>
      <c r="G15" s="10">
        <v>0</v>
      </c>
      <c r="H15" s="9"/>
      <c r="I15" s="9" t="s">
        <v>52</v>
      </c>
      <c r="J15" s="9"/>
      <c r="K15" s="9">
        <v>6</v>
      </c>
      <c r="L15" s="9">
        <f t="shared" si="5"/>
        <v>-5</v>
      </c>
      <c r="M15" s="9">
        <f t="shared" si="6"/>
        <v>1</v>
      </c>
      <c r="N15" s="9"/>
      <c r="O15" s="9"/>
      <c r="P15" s="9">
        <v>0</v>
      </c>
      <c r="Q15" s="9"/>
      <c r="R15" s="9"/>
      <c r="S15" s="9">
        <v>0</v>
      </c>
      <c r="T15" s="24"/>
      <c r="U15" s="9">
        <f t="shared" si="7"/>
        <v>0.2</v>
      </c>
      <c r="V15" s="11"/>
      <c r="W15" s="4">
        <f t="shared" si="17"/>
        <v>0</v>
      </c>
      <c r="X15" s="4"/>
      <c r="Y15" s="28"/>
      <c r="Z15" s="4">
        <f t="shared" si="9"/>
        <v>0</v>
      </c>
      <c r="AA15" s="28"/>
      <c r="AB15" s="8"/>
      <c r="AC15" s="8">
        <f t="shared" si="10"/>
        <v>1795</v>
      </c>
      <c r="AD15" s="9">
        <f t="shared" si="8"/>
        <v>1795</v>
      </c>
      <c r="AE15" s="9">
        <v>4.4000000000000004</v>
      </c>
      <c r="AF15" s="9">
        <v>4.2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13" t="s">
        <v>53</v>
      </c>
      <c r="AN15" s="8">
        <f t="shared" si="11"/>
        <v>0</v>
      </c>
      <c r="AO15" s="8">
        <f t="shared" si="12"/>
        <v>0</v>
      </c>
      <c r="AP15" s="8">
        <f t="shared" si="13"/>
        <v>0</v>
      </c>
      <c r="AQ15" s="8">
        <f t="shared" si="14"/>
        <v>0</v>
      </c>
      <c r="AR15" s="8">
        <f t="shared" si="15"/>
        <v>0</v>
      </c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30" t="s">
        <v>54</v>
      </c>
      <c r="B16" s="8" t="s">
        <v>36</v>
      </c>
      <c r="C16" s="8">
        <v>2310.0630000000001</v>
      </c>
      <c r="D16" s="8">
        <v>4120.2349999999997</v>
      </c>
      <c r="E16" s="8">
        <v>4187.3829999999998</v>
      </c>
      <c r="F16" s="8">
        <v>1820.2819999999999</v>
      </c>
      <c r="G16" s="6">
        <v>1</v>
      </c>
      <c r="H16" s="8">
        <v>70</v>
      </c>
      <c r="I16" s="8" t="s">
        <v>37</v>
      </c>
      <c r="J16" s="8"/>
      <c r="K16" s="8">
        <v>4385.1009999999997</v>
      </c>
      <c r="L16" s="8">
        <f t="shared" si="5"/>
        <v>-197.71799999999985</v>
      </c>
      <c r="M16" s="8">
        <f t="shared" si="6"/>
        <v>3049.5459999999998</v>
      </c>
      <c r="N16" s="8">
        <v>1137.837</v>
      </c>
      <c r="O16" s="8">
        <v>800</v>
      </c>
      <c r="P16" s="8">
        <v>965.51377321199971</v>
      </c>
      <c r="Q16" s="8">
        <v>2070.6930607879999</v>
      </c>
      <c r="R16" s="8"/>
      <c r="S16" s="8">
        <v>1316.92002</v>
      </c>
      <c r="T16" s="22">
        <v>0</v>
      </c>
      <c r="U16" s="8">
        <f t="shared" si="7"/>
        <v>609.90919999999994</v>
      </c>
      <c r="V16" s="4">
        <f t="shared" ref="V16:V17" si="18">12*U16-S16-R16-Q16-P16-O16-F16</f>
        <v>345.50154599999973</v>
      </c>
      <c r="W16" s="4">
        <f t="shared" ref="W16:W17" si="19">V16+$W$1*U16</f>
        <v>1937.9744671999997</v>
      </c>
      <c r="X16" s="4">
        <f t="shared" ref="X16:X17" si="20">W16*$X$1</f>
        <v>736.4302975359999</v>
      </c>
      <c r="Y16" s="28"/>
      <c r="Z16" s="4">
        <f t="shared" si="9"/>
        <v>1201.5441696639998</v>
      </c>
      <c r="AA16" s="28"/>
      <c r="AB16" s="8"/>
      <c r="AC16" s="8">
        <f t="shared" si="10"/>
        <v>14.611000000000001</v>
      </c>
      <c r="AD16" s="8">
        <f t="shared" si="8"/>
        <v>11.433519700965324</v>
      </c>
      <c r="AE16" s="8">
        <v>693.11580000000004</v>
      </c>
      <c r="AF16" s="8">
        <v>746.79539999999997</v>
      </c>
      <c r="AG16" s="8">
        <v>794.77139999999997</v>
      </c>
      <c r="AH16" s="8">
        <v>554.79759999999999</v>
      </c>
      <c r="AI16" s="8">
        <v>546.93779999999992</v>
      </c>
      <c r="AJ16" s="8">
        <v>609.09219999999993</v>
      </c>
      <c r="AK16" s="8">
        <v>717.98599999999999</v>
      </c>
      <c r="AL16" s="8">
        <v>729.06079999999997</v>
      </c>
      <c r="AM16" s="8"/>
      <c r="AN16" s="8">
        <f t="shared" si="11"/>
        <v>736</v>
      </c>
      <c r="AO16" s="8">
        <f t="shared" si="12"/>
        <v>0</v>
      </c>
      <c r="AP16" s="8">
        <f t="shared" si="13"/>
        <v>1202</v>
      </c>
      <c r="AQ16" s="8">
        <f t="shared" si="14"/>
        <v>0</v>
      </c>
      <c r="AR16" s="8">
        <f t="shared" si="15"/>
        <v>0</v>
      </c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30" t="s">
        <v>55</v>
      </c>
      <c r="B17" s="8" t="s">
        <v>36</v>
      </c>
      <c r="C17" s="8">
        <v>4652.0910000000003</v>
      </c>
      <c r="D17" s="8">
        <v>2096.366</v>
      </c>
      <c r="E17" s="8">
        <v>2590.09</v>
      </c>
      <c r="F17" s="8">
        <v>3451.4769999999999</v>
      </c>
      <c r="G17" s="6">
        <v>1</v>
      </c>
      <c r="H17" s="8">
        <v>50</v>
      </c>
      <c r="I17" s="8" t="s">
        <v>37</v>
      </c>
      <c r="J17" s="8"/>
      <c r="K17" s="8">
        <v>2966.8629999999998</v>
      </c>
      <c r="L17" s="8">
        <f t="shared" si="5"/>
        <v>-376.77299999999968</v>
      </c>
      <c r="M17" s="8">
        <f t="shared" si="6"/>
        <v>2545.2040000000002</v>
      </c>
      <c r="N17" s="8">
        <v>44.886000000000003</v>
      </c>
      <c r="O17" s="8"/>
      <c r="P17" s="8">
        <v>366.58436753999979</v>
      </c>
      <c r="Q17" s="8">
        <v>786.19666245999986</v>
      </c>
      <c r="R17" s="8"/>
      <c r="S17" s="8">
        <v>1376.11725</v>
      </c>
      <c r="T17" s="22">
        <v>0</v>
      </c>
      <c r="U17" s="8">
        <f t="shared" si="7"/>
        <v>509.04080000000005</v>
      </c>
      <c r="V17" s="4">
        <f t="shared" si="18"/>
        <v>128.11432000000104</v>
      </c>
      <c r="W17" s="4">
        <f t="shared" si="19"/>
        <v>1457.2198488000013</v>
      </c>
      <c r="X17" s="4">
        <f t="shared" si="20"/>
        <v>553.74354254400043</v>
      </c>
      <c r="Y17" s="28"/>
      <c r="Z17" s="4">
        <f t="shared" si="9"/>
        <v>903.47630625600084</v>
      </c>
      <c r="AA17" s="28">
        <v>580</v>
      </c>
      <c r="AB17" s="8"/>
      <c r="AC17" s="8">
        <f t="shared" si="10"/>
        <v>15.750397863589717</v>
      </c>
      <c r="AD17" s="8">
        <f t="shared" si="8"/>
        <v>11.748322099132327</v>
      </c>
      <c r="AE17" s="8">
        <v>530.1232</v>
      </c>
      <c r="AF17" s="8">
        <v>537.54300000000001</v>
      </c>
      <c r="AG17" s="8">
        <v>623.73239999999998</v>
      </c>
      <c r="AH17" s="8">
        <v>623.553</v>
      </c>
      <c r="AI17" s="8">
        <v>655.59559999999999</v>
      </c>
      <c r="AJ17" s="8">
        <v>514.53160000000003</v>
      </c>
      <c r="AK17" s="8">
        <v>650.99779999999998</v>
      </c>
      <c r="AL17" s="8">
        <v>665.4226000000001</v>
      </c>
      <c r="AM17" s="8"/>
      <c r="AN17" s="8">
        <f t="shared" si="11"/>
        <v>554</v>
      </c>
      <c r="AO17" s="8">
        <f t="shared" si="12"/>
        <v>0</v>
      </c>
      <c r="AP17" s="8">
        <f t="shared" si="13"/>
        <v>903</v>
      </c>
      <c r="AQ17" s="8">
        <f t="shared" si="14"/>
        <v>580</v>
      </c>
      <c r="AR17" s="8">
        <f t="shared" si="15"/>
        <v>0</v>
      </c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56</v>
      </c>
      <c r="B18" s="8" t="s">
        <v>36</v>
      </c>
      <c r="C18" s="8">
        <v>392.37900000000002</v>
      </c>
      <c r="D18" s="8">
        <v>19.132000000000001</v>
      </c>
      <c r="E18" s="8">
        <v>115.29600000000001</v>
      </c>
      <c r="F18" s="8">
        <v>288.24</v>
      </c>
      <c r="G18" s="6">
        <v>1</v>
      </c>
      <c r="H18" s="8">
        <v>60</v>
      </c>
      <c r="I18" s="8" t="s">
        <v>37</v>
      </c>
      <c r="J18" s="8"/>
      <c r="K18" s="8">
        <v>346.05</v>
      </c>
      <c r="L18" s="8">
        <f t="shared" si="5"/>
        <v>-230.75400000000002</v>
      </c>
      <c r="M18" s="8">
        <f t="shared" si="6"/>
        <v>115.29600000000001</v>
      </c>
      <c r="N18" s="8"/>
      <c r="O18" s="8"/>
      <c r="P18" s="8">
        <v>0</v>
      </c>
      <c r="Q18" s="8"/>
      <c r="R18" s="8"/>
      <c r="S18" s="8">
        <v>150</v>
      </c>
      <c r="T18" s="22"/>
      <c r="U18" s="8">
        <f t="shared" si="7"/>
        <v>23.059200000000001</v>
      </c>
      <c r="V18" s="4"/>
      <c r="W18" s="4">
        <f t="shared" si="17"/>
        <v>0</v>
      </c>
      <c r="X18" s="4"/>
      <c r="Y18" s="28"/>
      <c r="Z18" s="4">
        <f t="shared" si="9"/>
        <v>0</v>
      </c>
      <c r="AA18" s="28"/>
      <c r="AB18" s="8"/>
      <c r="AC18" s="8">
        <f t="shared" si="10"/>
        <v>19.004995836802664</v>
      </c>
      <c r="AD18" s="8">
        <f t="shared" si="8"/>
        <v>19.004995836802664</v>
      </c>
      <c r="AE18" s="8">
        <v>27.917000000000002</v>
      </c>
      <c r="AF18" s="8">
        <v>18.902000000000001</v>
      </c>
      <c r="AG18" s="8">
        <v>36.507800000000003</v>
      </c>
      <c r="AH18" s="8">
        <v>45.231999999999992</v>
      </c>
      <c r="AI18" s="8">
        <v>39.912599999999998</v>
      </c>
      <c r="AJ18" s="8">
        <v>46.755800000000001</v>
      </c>
      <c r="AK18" s="8">
        <v>52.686199999999999</v>
      </c>
      <c r="AL18" s="8">
        <v>53.1126</v>
      </c>
      <c r="AM18" s="8"/>
      <c r="AN18" s="8">
        <f t="shared" si="11"/>
        <v>0</v>
      </c>
      <c r="AO18" s="8">
        <f t="shared" si="12"/>
        <v>0</v>
      </c>
      <c r="AP18" s="8">
        <f t="shared" si="13"/>
        <v>0</v>
      </c>
      <c r="AQ18" s="8">
        <f t="shared" si="14"/>
        <v>0</v>
      </c>
      <c r="AR18" s="8">
        <f t="shared" si="15"/>
        <v>0</v>
      </c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9" t="s">
        <v>57</v>
      </c>
      <c r="B19" s="9" t="s">
        <v>36</v>
      </c>
      <c r="C19" s="9">
        <v>-4.9740000000000002</v>
      </c>
      <c r="D19" s="9"/>
      <c r="E19" s="14">
        <v>-0.74</v>
      </c>
      <c r="F19" s="14">
        <v>-4.9740000000000002</v>
      </c>
      <c r="G19" s="10">
        <v>0</v>
      </c>
      <c r="H19" s="9"/>
      <c r="I19" s="9" t="s">
        <v>52</v>
      </c>
      <c r="J19" s="9" t="s">
        <v>58</v>
      </c>
      <c r="K19" s="9">
        <v>2.5</v>
      </c>
      <c r="L19" s="9">
        <f t="shared" si="5"/>
        <v>-3.24</v>
      </c>
      <c r="M19" s="9">
        <f t="shared" si="6"/>
        <v>-0.74</v>
      </c>
      <c r="N19" s="9"/>
      <c r="O19" s="9"/>
      <c r="P19" s="9">
        <v>0</v>
      </c>
      <c r="Q19" s="9"/>
      <c r="R19" s="9"/>
      <c r="S19" s="9">
        <v>0</v>
      </c>
      <c r="T19" s="24"/>
      <c r="U19" s="9">
        <f t="shared" si="7"/>
        <v>-0.14799999999999999</v>
      </c>
      <c r="V19" s="11"/>
      <c r="W19" s="4">
        <f t="shared" si="17"/>
        <v>0</v>
      </c>
      <c r="X19" s="4"/>
      <c r="Y19" s="28"/>
      <c r="Z19" s="4">
        <f t="shared" si="9"/>
        <v>0</v>
      </c>
      <c r="AA19" s="28"/>
      <c r="AB19" s="8"/>
      <c r="AC19" s="8">
        <f t="shared" si="10"/>
        <v>33.608108108108112</v>
      </c>
      <c r="AD19" s="9">
        <f t="shared" si="8"/>
        <v>33.608108108108112</v>
      </c>
      <c r="AE19" s="9">
        <v>0</v>
      </c>
      <c r="AF19" s="9">
        <v>0.49480000000000002</v>
      </c>
      <c r="AG19" s="9">
        <v>0.49480000000000002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/>
      <c r="AN19" s="8">
        <f t="shared" si="11"/>
        <v>0</v>
      </c>
      <c r="AO19" s="8">
        <f t="shared" si="12"/>
        <v>0</v>
      </c>
      <c r="AP19" s="8">
        <f t="shared" si="13"/>
        <v>0</v>
      </c>
      <c r="AQ19" s="8">
        <f t="shared" si="14"/>
        <v>0</v>
      </c>
      <c r="AR19" s="8">
        <f t="shared" si="15"/>
        <v>0</v>
      </c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9" t="s">
        <v>59</v>
      </c>
      <c r="B20" s="9" t="s">
        <v>36</v>
      </c>
      <c r="C20" s="9"/>
      <c r="D20" s="9"/>
      <c r="E20" s="9"/>
      <c r="F20" s="9"/>
      <c r="G20" s="10">
        <v>0</v>
      </c>
      <c r="H20" s="9"/>
      <c r="I20" s="9" t="s">
        <v>37</v>
      </c>
      <c r="J20" s="9"/>
      <c r="K20" s="9"/>
      <c r="L20" s="9">
        <f t="shared" si="5"/>
        <v>0</v>
      </c>
      <c r="M20" s="9">
        <f t="shared" si="6"/>
        <v>0</v>
      </c>
      <c r="N20" s="9"/>
      <c r="O20" s="9"/>
      <c r="P20" s="9">
        <v>0</v>
      </c>
      <c r="Q20" s="9"/>
      <c r="R20" s="9"/>
      <c r="S20" s="9">
        <v>0</v>
      </c>
      <c r="T20" s="24"/>
      <c r="U20" s="9">
        <f t="shared" si="7"/>
        <v>0</v>
      </c>
      <c r="V20" s="11"/>
      <c r="W20" s="4">
        <f t="shared" si="17"/>
        <v>0</v>
      </c>
      <c r="X20" s="4"/>
      <c r="Y20" s="28"/>
      <c r="Z20" s="4">
        <f t="shared" si="9"/>
        <v>0</v>
      </c>
      <c r="AA20" s="28"/>
      <c r="AB20" s="8"/>
      <c r="AC20" s="8" t="e">
        <f t="shared" si="10"/>
        <v>#DIV/0!</v>
      </c>
      <c r="AD20" s="9" t="e">
        <f t="shared" si="8"/>
        <v>#DIV/0!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 t="s">
        <v>60</v>
      </c>
      <c r="AN20" s="8">
        <f t="shared" si="11"/>
        <v>0</v>
      </c>
      <c r="AO20" s="8">
        <f t="shared" si="12"/>
        <v>0</v>
      </c>
      <c r="AP20" s="8">
        <f t="shared" si="13"/>
        <v>0</v>
      </c>
      <c r="AQ20" s="8">
        <f t="shared" si="14"/>
        <v>0</v>
      </c>
      <c r="AR20" s="8">
        <f t="shared" si="15"/>
        <v>0</v>
      </c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61</v>
      </c>
      <c r="B21" s="8" t="s">
        <v>36</v>
      </c>
      <c r="C21" s="8">
        <v>17.986000000000001</v>
      </c>
      <c r="D21" s="8"/>
      <c r="E21" s="8">
        <v>3.21</v>
      </c>
      <c r="F21" s="8">
        <v>14.776</v>
      </c>
      <c r="G21" s="6">
        <v>1</v>
      </c>
      <c r="H21" s="8">
        <v>180</v>
      </c>
      <c r="I21" s="8" t="s">
        <v>37</v>
      </c>
      <c r="J21" s="8"/>
      <c r="K21" s="8">
        <v>3.2</v>
      </c>
      <c r="L21" s="8">
        <f t="shared" si="5"/>
        <v>9.9999999999997868E-3</v>
      </c>
      <c r="M21" s="8">
        <f t="shared" si="6"/>
        <v>3.21</v>
      </c>
      <c r="N21" s="8"/>
      <c r="O21" s="8"/>
      <c r="P21" s="8">
        <v>0</v>
      </c>
      <c r="Q21" s="8"/>
      <c r="R21" s="8"/>
      <c r="S21" s="8">
        <v>0</v>
      </c>
      <c r="T21" s="22"/>
      <c r="U21" s="8">
        <f t="shared" si="7"/>
        <v>0.64200000000000002</v>
      </c>
      <c r="V21" s="4"/>
      <c r="W21" s="4">
        <f t="shared" si="17"/>
        <v>0</v>
      </c>
      <c r="X21" s="4"/>
      <c r="Y21" s="28"/>
      <c r="Z21" s="4">
        <f t="shared" si="9"/>
        <v>0</v>
      </c>
      <c r="AA21" s="28"/>
      <c r="AB21" s="8"/>
      <c r="AC21" s="8">
        <f t="shared" si="10"/>
        <v>23.015576323987538</v>
      </c>
      <c r="AD21" s="8">
        <f t="shared" si="8"/>
        <v>23.015576323987538</v>
      </c>
      <c r="AE21" s="8">
        <v>0.42899999999999999</v>
      </c>
      <c r="AF21" s="8">
        <v>1.0448</v>
      </c>
      <c r="AG21" s="8">
        <v>1.1863999999999999</v>
      </c>
      <c r="AH21" s="8">
        <v>0.42980000000000002</v>
      </c>
      <c r="AI21" s="8">
        <v>0.57140000000000002</v>
      </c>
      <c r="AJ21" s="8">
        <v>0.63460000000000005</v>
      </c>
      <c r="AK21" s="8">
        <v>1.0533999999999999</v>
      </c>
      <c r="AL21" s="8">
        <v>1.054</v>
      </c>
      <c r="AM21" s="18" t="s">
        <v>62</v>
      </c>
      <c r="AN21" s="8">
        <f t="shared" si="11"/>
        <v>0</v>
      </c>
      <c r="AO21" s="8">
        <f t="shared" si="12"/>
        <v>0</v>
      </c>
      <c r="AP21" s="8">
        <f t="shared" si="13"/>
        <v>0</v>
      </c>
      <c r="AQ21" s="8">
        <f t="shared" si="14"/>
        <v>0</v>
      </c>
      <c r="AR21" s="8">
        <f t="shared" si="15"/>
        <v>0</v>
      </c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63</v>
      </c>
      <c r="B22" s="8" t="s">
        <v>36</v>
      </c>
      <c r="C22" s="8">
        <v>2727.386</v>
      </c>
      <c r="D22" s="8">
        <v>5877.768</v>
      </c>
      <c r="E22" s="8">
        <v>3816.7809999999999</v>
      </c>
      <c r="F22" s="8">
        <v>4269.6499999999996</v>
      </c>
      <c r="G22" s="6">
        <v>1</v>
      </c>
      <c r="H22" s="8">
        <v>60</v>
      </c>
      <c r="I22" s="8" t="s">
        <v>37</v>
      </c>
      <c r="J22" s="8"/>
      <c r="K22" s="8">
        <v>5084.42</v>
      </c>
      <c r="L22" s="8">
        <f t="shared" si="5"/>
        <v>-1267.6390000000001</v>
      </c>
      <c r="M22" s="8">
        <f t="shared" si="6"/>
        <v>3816.7809999999999</v>
      </c>
      <c r="N22" s="8"/>
      <c r="O22" s="8"/>
      <c r="P22" s="8">
        <v>836.20269586800055</v>
      </c>
      <c r="Q22" s="8">
        <v>1793.365530132002</v>
      </c>
      <c r="R22" s="8"/>
      <c r="S22" s="8">
        <v>3118.329033999999</v>
      </c>
      <c r="T22" s="22"/>
      <c r="U22" s="8">
        <f t="shared" si="7"/>
        <v>763.35619999999994</v>
      </c>
      <c r="V22" s="4"/>
      <c r="W22" s="4">
        <f t="shared" si="17"/>
        <v>0</v>
      </c>
      <c r="X22" s="4"/>
      <c r="Y22" s="28"/>
      <c r="Z22" s="4">
        <f t="shared" si="9"/>
        <v>0</v>
      </c>
      <c r="AA22" s="28"/>
      <c r="AB22" s="8"/>
      <c r="AC22" s="8">
        <f t="shared" si="10"/>
        <v>13.123031240199532</v>
      </c>
      <c r="AD22" s="8">
        <f t="shared" si="8"/>
        <v>13.123031240199532</v>
      </c>
      <c r="AE22" s="8">
        <v>859.37340000000006</v>
      </c>
      <c r="AF22" s="8">
        <v>796.55060000000003</v>
      </c>
      <c r="AG22" s="8">
        <v>870.48359999999991</v>
      </c>
      <c r="AH22" s="8">
        <v>625.42460000000005</v>
      </c>
      <c r="AI22" s="8">
        <v>675.56319999999994</v>
      </c>
      <c r="AJ22" s="8">
        <v>724.81880000000001</v>
      </c>
      <c r="AK22" s="8">
        <v>877.02520000000004</v>
      </c>
      <c r="AL22" s="8">
        <v>881.83860000000004</v>
      </c>
      <c r="AM22" s="8"/>
      <c r="AN22" s="8">
        <f t="shared" si="11"/>
        <v>0</v>
      </c>
      <c r="AO22" s="8">
        <f t="shared" si="12"/>
        <v>0</v>
      </c>
      <c r="AP22" s="8">
        <f t="shared" si="13"/>
        <v>0</v>
      </c>
      <c r="AQ22" s="8">
        <f t="shared" si="14"/>
        <v>0</v>
      </c>
      <c r="AR22" s="8">
        <f t="shared" si="15"/>
        <v>0</v>
      </c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9" t="s">
        <v>64</v>
      </c>
      <c r="B23" s="9" t="s">
        <v>36</v>
      </c>
      <c r="C23" s="9">
        <v>-7.4930000000000003</v>
      </c>
      <c r="D23" s="9"/>
      <c r="E23" s="9"/>
      <c r="F23" s="14">
        <v>-7.4930000000000003</v>
      </c>
      <c r="G23" s="10">
        <v>0</v>
      </c>
      <c r="H23" s="9"/>
      <c r="I23" s="9" t="s">
        <v>52</v>
      </c>
      <c r="J23" s="9" t="s">
        <v>65</v>
      </c>
      <c r="K23" s="9"/>
      <c r="L23" s="9">
        <f t="shared" si="5"/>
        <v>0</v>
      </c>
      <c r="M23" s="9">
        <f t="shared" si="6"/>
        <v>0</v>
      </c>
      <c r="N23" s="9"/>
      <c r="O23" s="9"/>
      <c r="P23" s="9">
        <v>0</v>
      </c>
      <c r="Q23" s="9"/>
      <c r="R23" s="9"/>
      <c r="S23" s="9">
        <v>0</v>
      </c>
      <c r="T23" s="24"/>
      <c r="U23" s="9">
        <f t="shared" si="7"/>
        <v>0</v>
      </c>
      <c r="V23" s="11"/>
      <c r="W23" s="4">
        <f t="shared" si="17"/>
        <v>0</v>
      </c>
      <c r="X23" s="4"/>
      <c r="Y23" s="28"/>
      <c r="Z23" s="4">
        <f t="shared" si="9"/>
        <v>0</v>
      </c>
      <c r="AA23" s="28"/>
      <c r="AB23" s="8"/>
      <c r="AC23" s="8" t="e">
        <f t="shared" si="10"/>
        <v>#DIV/0!</v>
      </c>
      <c r="AD23" s="9" t="e">
        <f t="shared" si="8"/>
        <v>#DIV/0!</v>
      </c>
      <c r="AE23" s="9">
        <v>0</v>
      </c>
      <c r="AF23" s="9">
        <v>1.4985999999999999</v>
      </c>
      <c r="AG23" s="9">
        <v>1.4985999999999999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/>
      <c r="AN23" s="8">
        <f t="shared" si="11"/>
        <v>0</v>
      </c>
      <c r="AO23" s="8">
        <f t="shared" si="12"/>
        <v>0</v>
      </c>
      <c r="AP23" s="8">
        <f t="shared" si="13"/>
        <v>0</v>
      </c>
      <c r="AQ23" s="8">
        <f t="shared" si="14"/>
        <v>0</v>
      </c>
      <c r="AR23" s="8">
        <f t="shared" si="15"/>
        <v>0</v>
      </c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 t="s">
        <v>66</v>
      </c>
      <c r="B24" s="8" t="s">
        <v>36</v>
      </c>
      <c r="C24" s="8">
        <v>335.233</v>
      </c>
      <c r="D24" s="8">
        <v>728.47799999999995</v>
      </c>
      <c r="E24" s="8">
        <v>424.35300000000001</v>
      </c>
      <c r="F24" s="8">
        <v>548.21699999999998</v>
      </c>
      <c r="G24" s="6">
        <v>1</v>
      </c>
      <c r="H24" s="8">
        <v>70</v>
      </c>
      <c r="I24" s="8" t="s">
        <v>37</v>
      </c>
      <c r="J24" s="8"/>
      <c r="K24" s="8">
        <v>630.12</v>
      </c>
      <c r="L24" s="8">
        <f t="shared" si="5"/>
        <v>-205.767</v>
      </c>
      <c r="M24" s="8">
        <f t="shared" si="6"/>
        <v>323.58300000000003</v>
      </c>
      <c r="N24" s="8">
        <v>100.77</v>
      </c>
      <c r="O24" s="8"/>
      <c r="P24" s="8">
        <v>50.635340000000269</v>
      </c>
      <c r="Q24" s="8"/>
      <c r="R24" s="8"/>
      <c r="S24" s="8">
        <v>0</v>
      </c>
      <c r="T24" s="22"/>
      <c r="U24" s="8">
        <f t="shared" si="7"/>
        <v>64.7166</v>
      </c>
      <c r="V24" s="4">
        <f t="shared" ref="V24" si="21">12*U24-S24-R24-Q24-P24-O24-F24</f>
        <v>177.74685999999974</v>
      </c>
      <c r="W24" s="4">
        <f t="shared" ref="W24:W25" si="22">V24+$W$1*U24</f>
        <v>346.72190259999979</v>
      </c>
      <c r="X24" s="4"/>
      <c r="Y24" s="28"/>
      <c r="Z24" s="4">
        <f t="shared" si="9"/>
        <v>346.72190259999979</v>
      </c>
      <c r="AA24" s="28"/>
      <c r="AB24" s="8"/>
      <c r="AC24" s="8">
        <f t="shared" si="10"/>
        <v>14.611000000000001</v>
      </c>
      <c r="AD24" s="8">
        <f t="shared" si="8"/>
        <v>9.2534579999567388</v>
      </c>
      <c r="AE24" s="8">
        <v>29.255199999999999</v>
      </c>
      <c r="AF24" s="8">
        <v>86.518400000000014</v>
      </c>
      <c r="AG24" s="8">
        <v>112.26900000000001</v>
      </c>
      <c r="AH24" s="8">
        <v>80.832799999999992</v>
      </c>
      <c r="AI24" s="8">
        <v>82.780600000000007</v>
      </c>
      <c r="AJ24" s="8">
        <v>84.445999999999998</v>
      </c>
      <c r="AK24" s="8">
        <v>87.766999999999996</v>
      </c>
      <c r="AL24" s="8">
        <v>81.984399999999994</v>
      </c>
      <c r="AM24" s="8"/>
      <c r="AN24" s="8">
        <f t="shared" si="11"/>
        <v>0</v>
      </c>
      <c r="AO24" s="8">
        <f t="shared" si="12"/>
        <v>0</v>
      </c>
      <c r="AP24" s="8">
        <f t="shared" si="13"/>
        <v>347</v>
      </c>
      <c r="AQ24" s="8">
        <f t="shared" si="14"/>
        <v>0</v>
      </c>
      <c r="AR24" s="8">
        <f t="shared" si="15"/>
        <v>0</v>
      </c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30" t="s">
        <v>67</v>
      </c>
      <c r="B25" s="8" t="s">
        <v>36</v>
      </c>
      <c r="C25" s="8">
        <v>660.40099999999995</v>
      </c>
      <c r="D25" s="8">
        <v>1811.318</v>
      </c>
      <c r="E25" s="8">
        <v>1402.7170000000001</v>
      </c>
      <c r="F25" s="8">
        <v>779.4</v>
      </c>
      <c r="G25" s="6">
        <v>1</v>
      </c>
      <c r="H25" s="8">
        <v>70</v>
      </c>
      <c r="I25" s="8" t="s">
        <v>37</v>
      </c>
      <c r="J25" s="8"/>
      <c r="K25" s="8">
        <v>1484.27</v>
      </c>
      <c r="L25" s="8">
        <f t="shared" si="5"/>
        <v>-81.552999999999884</v>
      </c>
      <c r="M25" s="8">
        <f t="shared" si="6"/>
        <v>987.04700000000003</v>
      </c>
      <c r="N25" s="8">
        <v>415.67</v>
      </c>
      <c r="O25" s="8"/>
      <c r="P25" s="8">
        <v>328.6417885919999</v>
      </c>
      <c r="Q25" s="8">
        <v>704.82295540799998</v>
      </c>
      <c r="R25" s="8"/>
      <c r="S25" s="8">
        <v>580.42593600000021</v>
      </c>
      <c r="T25" s="22"/>
      <c r="U25" s="8">
        <f t="shared" si="7"/>
        <v>197.40940000000001</v>
      </c>
      <c r="V25" s="4"/>
      <c r="W25" s="4">
        <f t="shared" si="22"/>
        <v>515.43594340000004</v>
      </c>
      <c r="X25" s="4">
        <f>W25*$X$1</f>
        <v>195.86565849200002</v>
      </c>
      <c r="Y25" s="28"/>
      <c r="Z25" s="4">
        <f t="shared" si="9"/>
        <v>319.57028490800002</v>
      </c>
      <c r="AA25" s="28"/>
      <c r="AB25" s="8"/>
      <c r="AC25" s="8">
        <f t="shared" si="10"/>
        <v>14.734488952400442</v>
      </c>
      <c r="AD25" s="8">
        <f t="shared" si="8"/>
        <v>12.123488952400443</v>
      </c>
      <c r="AE25" s="8">
        <v>248.37119999999999</v>
      </c>
      <c r="AF25" s="8">
        <v>254.24639999999999</v>
      </c>
      <c r="AG25" s="8">
        <v>255.9778</v>
      </c>
      <c r="AH25" s="8">
        <v>183.00020000000001</v>
      </c>
      <c r="AI25" s="8">
        <v>190.50559999999999</v>
      </c>
      <c r="AJ25" s="8">
        <v>210.42779999999999</v>
      </c>
      <c r="AK25" s="8">
        <v>235.95099999999999</v>
      </c>
      <c r="AL25" s="8">
        <v>225.54</v>
      </c>
      <c r="AM25" s="8"/>
      <c r="AN25" s="8">
        <f t="shared" si="11"/>
        <v>196</v>
      </c>
      <c r="AO25" s="8">
        <f t="shared" si="12"/>
        <v>0</v>
      </c>
      <c r="AP25" s="8">
        <f t="shared" si="13"/>
        <v>320</v>
      </c>
      <c r="AQ25" s="8">
        <f t="shared" si="14"/>
        <v>0</v>
      </c>
      <c r="AR25" s="8">
        <f t="shared" si="15"/>
        <v>0</v>
      </c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9" t="s">
        <v>68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5"/>
        <v>0</v>
      </c>
      <c r="M26" s="9">
        <f t="shared" si="6"/>
        <v>0</v>
      </c>
      <c r="N26" s="9"/>
      <c r="O26" s="9"/>
      <c r="P26" s="9">
        <v>0</v>
      </c>
      <c r="Q26" s="9"/>
      <c r="R26" s="9"/>
      <c r="S26" s="9">
        <v>0</v>
      </c>
      <c r="T26" s="24"/>
      <c r="U26" s="9">
        <f t="shared" si="7"/>
        <v>0</v>
      </c>
      <c r="V26" s="11"/>
      <c r="W26" s="4">
        <f t="shared" si="17"/>
        <v>0</v>
      </c>
      <c r="X26" s="4"/>
      <c r="Y26" s="28"/>
      <c r="Z26" s="4">
        <f t="shared" si="9"/>
        <v>0</v>
      </c>
      <c r="AA26" s="28"/>
      <c r="AB26" s="8"/>
      <c r="AC26" s="8" t="e">
        <f t="shared" si="10"/>
        <v>#DIV/0!</v>
      </c>
      <c r="AD26" s="9" t="e">
        <f t="shared" si="8"/>
        <v>#DIV/0!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 t="s">
        <v>60</v>
      </c>
      <c r="AN26" s="8">
        <f t="shared" si="11"/>
        <v>0</v>
      </c>
      <c r="AO26" s="8">
        <f t="shared" si="12"/>
        <v>0</v>
      </c>
      <c r="AP26" s="8">
        <f t="shared" si="13"/>
        <v>0</v>
      </c>
      <c r="AQ26" s="8">
        <f t="shared" si="14"/>
        <v>0</v>
      </c>
      <c r="AR26" s="8">
        <f t="shared" si="15"/>
        <v>0</v>
      </c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30" t="s">
        <v>69</v>
      </c>
      <c r="B27" s="8" t="s">
        <v>36</v>
      </c>
      <c r="C27" s="8">
        <v>1527.2619999999999</v>
      </c>
      <c r="D27" s="8">
        <v>3255.0540000000001</v>
      </c>
      <c r="E27" s="8">
        <v>2715.1089999999999</v>
      </c>
      <c r="F27" s="8">
        <v>1570.2239999999999</v>
      </c>
      <c r="G27" s="6">
        <v>1</v>
      </c>
      <c r="H27" s="8">
        <v>70</v>
      </c>
      <c r="I27" s="8" t="s">
        <v>37</v>
      </c>
      <c r="J27" s="8"/>
      <c r="K27" s="8">
        <v>2888.0549999999998</v>
      </c>
      <c r="L27" s="8">
        <f t="shared" si="5"/>
        <v>-172.94599999999991</v>
      </c>
      <c r="M27" s="8">
        <f t="shared" si="6"/>
        <v>2487.944</v>
      </c>
      <c r="N27" s="8">
        <v>227.16499999999999</v>
      </c>
      <c r="O27" s="8"/>
      <c r="P27" s="8">
        <v>417.79198449599983</v>
      </c>
      <c r="Q27" s="8">
        <v>896.01928750399986</v>
      </c>
      <c r="R27" s="8"/>
      <c r="S27" s="8">
        <v>1749.328768000001</v>
      </c>
      <c r="T27" s="22">
        <v>0</v>
      </c>
      <c r="U27" s="8">
        <f t="shared" si="7"/>
        <v>497.58879999999999</v>
      </c>
      <c r="V27" s="4">
        <f t="shared" ref="V27" si="23">12*U27-S27-R27-Q27-P27-O27-F27</f>
        <v>1337.7015599999993</v>
      </c>
      <c r="W27" s="4">
        <f>V27+$W$1*U27</f>
        <v>2636.9059167999994</v>
      </c>
      <c r="X27" s="4">
        <f>W27*$X$1</f>
        <v>1002.0242483839997</v>
      </c>
      <c r="Y27" s="28"/>
      <c r="Z27" s="4">
        <f t="shared" si="9"/>
        <v>1634.8816684159997</v>
      </c>
      <c r="AA27" s="28"/>
      <c r="AB27" s="8"/>
      <c r="AC27" s="8">
        <f t="shared" si="10"/>
        <v>14.611000000000001</v>
      </c>
      <c r="AD27" s="8">
        <f t="shared" si="8"/>
        <v>9.3116324965513702</v>
      </c>
      <c r="AE27" s="8">
        <v>453.67960000000011</v>
      </c>
      <c r="AF27" s="8">
        <v>417.40320000000003</v>
      </c>
      <c r="AG27" s="8">
        <v>457.06279999999998</v>
      </c>
      <c r="AH27" s="8">
        <v>304.71480000000003</v>
      </c>
      <c r="AI27" s="8">
        <v>332.03960000000001</v>
      </c>
      <c r="AJ27" s="8">
        <v>377.9864</v>
      </c>
      <c r="AK27" s="8">
        <v>429.1764</v>
      </c>
      <c r="AL27" s="8">
        <v>423.87560000000002</v>
      </c>
      <c r="AM27" s="8"/>
      <c r="AN27" s="8">
        <f t="shared" si="11"/>
        <v>1002</v>
      </c>
      <c r="AO27" s="8">
        <f t="shared" si="12"/>
        <v>0</v>
      </c>
      <c r="AP27" s="8">
        <f t="shared" si="13"/>
        <v>1635</v>
      </c>
      <c r="AQ27" s="8">
        <f t="shared" si="14"/>
        <v>0</v>
      </c>
      <c r="AR27" s="8">
        <f t="shared" si="15"/>
        <v>0</v>
      </c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 t="s">
        <v>70</v>
      </c>
      <c r="B28" s="8" t="s">
        <v>36</v>
      </c>
      <c r="C28" s="8">
        <v>4.2809999999999997</v>
      </c>
      <c r="D28" s="8">
        <v>53.087000000000003</v>
      </c>
      <c r="E28" s="8">
        <v>3.66</v>
      </c>
      <c r="F28" s="8">
        <v>52.256999999999998</v>
      </c>
      <c r="G28" s="6">
        <v>1</v>
      </c>
      <c r="H28" s="8">
        <v>40</v>
      </c>
      <c r="I28" s="8" t="s">
        <v>37</v>
      </c>
      <c r="J28" s="8"/>
      <c r="K28" s="8">
        <v>54.5</v>
      </c>
      <c r="L28" s="8">
        <f t="shared" si="5"/>
        <v>-50.84</v>
      </c>
      <c r="M28" s="8">
        <f t="shared" si="6"/>
        <v>3.66</v>
      </c>
      <c r="N28" s="8"/>
      <c r="O28" s="8"/>
      <c r="P28" s="8">
        <v>36.403599999999997</v>
      </c>
      <c r="Q28" s="8"/>
      <c r="R28" s="8"/>
      <c r="S28" s="8">
        <v>0</v>
      </c>
      <c r="T28" s="22"/>
      <c r="U28" s="8">
        <f t="shared" si="7"/>
        <v>0.73199999999999998</v>
      </c>
      <c r="V28" s="4"/>
      <c r="W28" s="4">
        <f t="shared" si="17"/>
        <v>0</v>
      </c>
      <c r="X28" s="4"/>
      <c r="Y28" s="28"/>
      <c r="Z28" s="4">
        <f t="shared" si="9"/>
        <v>0</v>
      </c>
      <c r="AA28" s="28"/>
      <c r="AB28" s="8"/>
      <c r="AC28" s="8">
        <f t="shared" si="10"/>
        <v>121.1210382513661</v>
      </c>
      <c r="AD28" s="8">
        <f t="shared" si="8"/>
        <v>121.1210382513661</v>
      </c>
      <c r="AE28" s="8">
        <v>1.3146</v>
      </c>
      <c r="AF28" s="8">
        <v>7.8512000000000004</v>
      </c>
      <c r="AG28" s="8">
        <v>8.7356000000000016</v>
      </c>
      <c r="AH28" s="8">
        <v>3.5047999999999999</v>
      </c>
      <c r="AI28" s="8">
        <v>4.6479999999999997</v>
      </c>
      <c r="AJ28" s="8">
        <v>5.9480000000000004</v>
      </c>
      <c r="AK28" s="8">
        <v>7.4024000000000001</v>
      </c>
      <c r="AL28" s="8">
        <v>6.2479999999999993</v>
      </c>
      <c r="AM28" s="8"/>
      <c r="AN28" s="8">
        <f t="shared" si="11"/>
        <v>0</v>
      </c>
      <c r="AO28" s="8">
        <f t="shared" si="12"/>
        <v>0</v>
      </c>
      <c r="AP28" s="8">
        <f t="shared" si="13"/>
        <v>0</v>
      </c>
      <c r="AQ28" s="8">
        <f t="shared" si="14"/>
        <v>0</v>
      </c>
      <c r="AR28" s="8">
        <f t="shared" si="15"/>
        <v>0</v>
      </c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9" t="s">
        <v>71</v>
      </c>
      <c r="B29" s="9" t="s">
        <v>36</v>
      </c>
      <c r="C29" s="9"/>
      <c r="D29" s="9"/>
      <c r="E29" s="9"/>
      <c r="F29" s="9"/>
      <c r="G29" s="10">
        <v>0</v>
      </c>
      <c r="H29" s="9"/>
      <c r="I29" s="9" t="s">
        <v>37</v>
      </c>
      <c r="J29" s="9"/>
      <c r="K29" s="9"/>
      <c r="L29" s="9">
        <f t="shared" si="5"/>
        <v>0</v>
      </c>
      <c r="M29" s="9">
        <f t="shared" si="6"/>
        <v>0</v>
      </c>
      <c r="N29" s="9"/>
      <c r="O29" s="9"/>
      <c r="P29" s="9">
        <v>0</v>
      </c>
      <c r="Q29" s="9"/>
      <c r="R29" s="9"/>
      <c r="S29" s="9">
        <v>0</v>
      </c>
      <c r="T29" s="24"/>
      <c r="U29" s="9">
        <f t="shared" si="7"/>
        <v>0</v>
      </c>
      <c r="V29" s="11"/>
      <c r="W29" s="4">
        <f t="shared" si="17"/>
        <v>0</v>
      </c>
      <c r="X29" s="4"/>
      <c r="Y29" s="28"/>
      <c r="Z29" s="4">
        <f t="shared" si="9"/>
        <v>0</v>
      </c>
      <c r="AA29" s="28"/>
      <c r="AB29" s="8"/>
      <c r="AC29" s="8" t="e">
        <f t="shared" si="10"/>
        <v>#DIV/0!</v>
      </c>
      <c r="AD29" s="9" t="e">
        <f t="shared" si="8"/>
        <v>#DIV/0!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 t="s">
        <v>60</v>
      </c>
      <c r="AN29" s="8">
        <f t="shared" si="11"/>
        <v>0</v>
      </c>
      <c r="AO29" s="8">
        <f t="shared" si="12"/>
        <v>0</v>
      </c>
      <c r="AP29" s="8">
        <f t="shared" si="13"/>
        <v>0</v>
      </c>
      <c r="AQ29" s="8">
        <f t="shared" si="14"/>
        <v>0</v>
      </c>
      <c r="AR29" s="8">
        <f t="shared" si="15"/>
        <v>0</v>
      </c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9" t="s">
        <v>72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73</v>
      </c>
      <c r="J30" s="9"/>
      <c r="K30" s="9"/>
      <c r="L30" s="9">
        <f t="shared" si="5"/>
        <v>0</v>
      </c>
      <c r="M30" s="9">
        <f t="shared" si="6"/>
        <v>0</v>
      </c>
      <c r="N30" s="9"/>
      <c r="O30" s="9"/>
      <c r="P30" s="9">
        <v>0</v>
      </c>
      <c r="Q30" s="9"/>
      <c r="R30" s="9"/>
      <c r="S30" s="9">
        <v>0</v>
      </c>
      <c r="T30" s="24"/>
      <c r="U30" s="9">
        <f t="shared" si="7"/>
        <v>0</v>
      </c>
      <c r="V30" s="11"/>
      <c r="W30" s="4">
        <f t="shared" si="17"/>
        <v>0</v>
      </c>
      <c r="X30" s="4"/>
      <c r="Y30" s="28"/>
      <c r="Z30" s="4">
        <f t="shared" si="9"/>
        <v>0</v>
      </c>
      <c r="AA30" s="28"/>
      <c r="AB30" s="8"/>
      <c r="AC30" s="8" t="e">
        <f t="shared" si="10"/>
        <v>#DIV/0!</v>
      </c>
      <c r="AD30" s="9" t="e">
        <f t="shared" si="8"/>
        <v>#DIV/0!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 t="s">
        <v>60</v>
      </c>
      <c r="AN30" s="8">
        <f t="shared" si="11"/>
        <v>0</v>
      </c>
      <c r="AO30" s="8">
        <f t="shared" si="12"/>
        <v>0</v>
      </c>
      <c r="AP30" s="8">
        <f t="shared" si="13"/>
        <v>0</v>
      </c>
      <c r="AQ30" s="8">
        <f t="shared" si="14"/>
        <v>0</v>
      </c>
      <c r="AR30" s="8">
        <f t="shared" si="15"/>
        <v>0</v>
      </c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30" t="s">
        <v>74</v>
      </c>
      <c r="B31" s="8" t="s">
        <v>36</v>
      </c>
      <c r="C31" s="8">
        <v>2188.922</v>
      </c>
      <c r="D31" s="8">
        <v>1650.54</v>
      </c>
      <c r="E31" s="8">
        <v>2297.8649999999998</v>
      </c>
      <c r="F31" s="8">
        <v>160.71799999999999</v>
      </c>
      <c r="G31" s="6">
        <v>1</v>
      </c>
      <c r="H31" s="8">
        <v>30</v>
      </c>
      <c r="I31" s="16" t="s">
        <v>73</v>
      </c>
      <c r="J31" s="8"/>
      <c r="K31" s="8">
        <v>2475.6570000000002</v>
      </c>
      <c r="L31" s="8">
        <f t="shared" si="5"/>
        <v>-177.79200000000037</v>
      </c>
      <c r="M31" s="8">
        <f t="shared" si="6"/>
        <v>2187.1659999999997</v>
      </c>
      <c r="N31" s="8">
        <v>110.699</v>
      </c>
      <c r="O31" s="8"/>
      <c r="P31" s="8">
        <v>0</v>
      </c>
      <c r="Q31" s="8">
        <v>602.32070421600031</v>
      </c>
      <c r="R31" s="8"/>
      <c r="S31" s="8">
        <v>600</v>
      </c>
      <c r="T31" s="22">
        <v>500</v>
      </c>
      <c r="U31" s="8">
        <f t="shared" si="7"/>
        <v>437.43319999999994</v>
      </c>
      <c r="V31" s="17">
        <v>500</v>
      </c>
      <c r="W31" s="4">
        <v>700</v>
      </c>
      <c r="X31" s="4">
        <f>W31*$X$1</f>
        <v>266</v>
      </c>
      <c r="Y31" s="28">
        <v>500</v>
      </c>
      <c r="Z31" s="4">
        <f t="shared" si="9"/>
        <v>434</v>
      </c>
      <c r="AA31" s="28">
        <v>500</v>
      </c>
      <c r="AB31" s="8"/>
      <c r="AC31" s="8">
        <f t="shared" si="10"/>
        <v>8.1453321426357217</v>
      </c>
      <c r="AD31" s="8">
        <f t="shared" si="8"/>
        <v>3.1159928057952628</v>
      </c>
      <c r="AE31" s="8">
        <v>568.72439999999995</v>
      </c>
      <c r="AF31" s="8">
        <v>251.48259999999999</v>
      </c>
      <c r="AG31" s="8">
        <v>368.85539999999997</v>
      </c>
      <c r="AH31" s="8">
        <v>396.49419999999998</v>
      </c>
      <c r="AI31" s="8">
        <v>440.45499999999998</v>
      </c>
      <c r="AJ31" s="8">
        <v>413.21019999999999</v>
      </c>
      <c r="AK31" s="8">
        <v>344.91699999999997</v>
      </c>
      <c r="AL31" s="8">
        <v>256.0514</v>
      </c>
      <c r="AM31" s="8"/>
      <c r="AN31" s="8">
        <f t="shared" si="11"/>
        <v>266</v>
      </c>
      <c r="AO31" s="8">
        <f t="shared" si="12"/>
        <v>500</v>
      </c>
      <c r="AP31" s="8">
        <f t="shared" si="13"/>
        <v>434</v>
      </c>
      <c r="AQ31" s="8">
        <f t="shared" si="14"/>
        <v>500</v>
      </c>
      <c r="AR31" s="8">
        <f t="shared" si="15"/>
        <v>500</v>
      </c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9" t="s">
        <v>75</v>
      </c>
      <c r="B32" s="9" t="s">
        <v>36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52</v>
      </c>
      <c r="J32" s="9"/>
      <c r="K32" s="9">
        <v>65</v>
      </c>
      <c r="L32" s="9">
        <f t="shared" si="5"/>
        <v>-65</v>
      </c>
      <c r="M32" s="9">
        <f t="shared" si="6"/>
        <v>0</v>
      </c>
      <c r="N32" s="9"/>
      <c r="O32" s="9"/>
      <c r="P32" s="9">
        <v>0</v>
      </c>
      <c r="Q32" s="9"/>
      <c r="R32" s="9"/>
      <c r="S32" s="9">
        <v>0</v>
      </c>
      <c r="T32" s="24"/>
      <c r="U32" s="9">
        <f t="shared" si="7"/>
        <v>0</v>
      </c>
      <c r="V32" s="11"/>
      <c r="W32" s="4">
        <f t="shared" si="17"/>
        <v>0</v>
      </c>
      <c r="X32" s="4"/>
      <c r="Y32" s="28"/>
      <c r="Z32" s="4">
        <f t="shared" si="9"/>
        <v>0</v>
      </c>
      <c r="AA32" s="28"/>
      <c r="AB32" s="8"/>
      <c r="AC32" s="8" t="e">
        <f t="shared" si="10"/>
        <v>#DIV/0!</v>
      </c>
      <c r="AD32" s="9" t="e">
        <f t="shared" si="8"/>
        <v>#DIV/0!</v>
      </c>
      <c r="AE32" s="9">
        <v>-9.8000000000000004E-2</v>
      </c>
      <c r="AF32" s="9">
        <v>12.5518</v>
      </c>
      <c r="AG32" s="9">
        <v>13.9894</v>
      </c>
      <c r="AH32" s="9">
        <v>4.5703999999999994</v>
      </c>
      <c r="AI32" s="9">
        <v>4.0182000000000002</v>
      </c>
      <c r="AJ32" s="9">
        <v>1.0573999999999999</v>
      </c>
      <c r="AK32" s="9">
        <v>8.8558000000000003</v>
      </c>
      <c r="AL32" s="9">
        <v>9.4266000000000005</v>
      </c>
      <c r="AM32" s="9"/>
      <c r="AN32" s="8">
        <f t="shared" si="11"/>
        <v>0</v>
      </c>
      <c r="AO32" s="8">
        <f t="shared" si="12"/>
        <v>0</v>
      </c>
      <c r="AP32" s="8">
        <f t="shared" si="13"/>
        <v>0</v>
      </c>
      <c r="AQ32" s="8">
        <f t="shared" si="14"/>
        <v>0</v>
      </c>
      <c r="AR32" s="8">
        <f t="shared" si="15"/>
        <v>0</v>
      </c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30" t="s">
        <v>76</v>
      </c>
      <c r="B33" s="8" t="s">
        <v>36</v>
      </c>
      <c r="C33" s="8">
        <v>-51.401000000000003</v>
      </c>
      <c r="D33" s="8">
        <v>13.895</v>
      </c>
      <c r="E33" s="8">
        <v>42.962000000000003</v>
      </c>
      <c r="F33" s="8">
        <v>-112.038</v>
      </c>
      <c r="G33" s="6">
        <v>1</v>
      </c>
      <c r="H33" s="8">
        <v>40</v>
      </c>
      <c r="I33" s="16" t="s">
        <v>73</v>
      </c>
      <c r="J33" s="8"/>
      <c r="K33" s="8">
        <v>716.9</v>
      </c>
      <c r="L33" s="8">
        <f t="shared" si="5"/>
        <v>-673.93799999999999</v>
      </c>
      <c r="M33" s="8">
        <f t="shared" si="6"/>
        <v>42.962000000000003</v>
      </c>
      <c r="N33" s="8"/>
      <c r="O33" s="8"/>
      <c r="P33" s="8">
        <v>0</v>
      </c>
      <c r="Q33" s="8"/>
      <c r="R33" s="8"/>
      <c r="S33" s="8">
        <v>800</v>
      </c>
      <c r="T33" s="22"/>
      <c r="U33" s="8">
        <f t="shared" si="7"/>
        <v>8.5924000000000014</v>
      </c>
      <c r="V33" s="17">
        <v>1500</v>
      </c>
      <c r="W33" s="4">
        <f t="shared" si="17"/>
        <v>1500</v>
      </c>
      <c r="X33" s="4">
        <f>W33*$X$1</f>
        <v>570</v>
      </c>
      <c r="Y33" s="28">
        <v>1000</v>
      </c>
      <c r="Z33" s="4">
        <f t="shared" si="9"/>
        <v>930</v>
      </c>
      <c r="AA33" s="28">
        <v>1000</v>
      </c>
      <c r="AB33" s="8"/>
      <c r="AC33" s="8">
        <f t="shared" si="10"/>
        <v>487.40305386155194</v>
      </c>
      <c r="AD33" s="8">
        <f t="shared" si="8"/>
        <v>80.066337693775878</v>
      </c>
      <c r="AE33" s="8">
        <v>9.855599999999999</v>
      </c>
      <c r="AF33" s="8">
        <v>688.04320000000007</v>
      </c>
      <c r="AG33" s="8">
        <v>1184.2532000000001</v>
      </c>
      <c r="AH33" s="8">
        <v>1031.4698000000001</v>
      </c>
      <c r="AI33" s="8">
        <v>1271.6156000000001</v>
      </c>
      <c r="AJ33" s="8">
        <v>1208.7454</v>
      </c>
      <c r="AK33" s="8">
        <v>1373.8782000000001</v>
      </c>
      <c r="AL33" s="8">
        <v>1608.1394</v>
      </c>
      <c r="AM33" s="8"/>
      <c r="AN33" s="8">
        <f t="shared" si="11"/>
        <v>570</v>
      </c>
      <c r="AO33" s="8">
        <f t="shared" si="12"/>
        <v>1000</v>
      </c>
      <c r="AP33" s="8">
        <f t="shared" si="13"/>
        <v>930</v>
      </c>
      <c r="AQ33" s="8">
        <f t="shared" si="14"/>
        <v>1000</v>
      </c>
      <c r="AR33" s="8">
        <f t="shared" si="15"/>
        <v>0</v>
      </c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9" t="s">
        <v>77</v>
      </c>
      <c r="B34" s="9" t="s">
        <v>36</v>
      </c>
      <c r="C34" s="9"/>
      <c r="D34" s="9"/>
      <c r="E34" s="9"/>
      <c r="F34" s="9"/>
      <c r="G34" s="10">
        <v>0</v>
      </c>
      <c r="H34" s="9"/>
      <c r="I34" s="9" t="s">
        <v>37</v>
      </c>
      <c r="J34" s="9"/>
      <c r="K34" s="9"/>
      <c r="L34" s="9">
        <f t="shared" si="5"/>
        <v>0</v>
      </c>
      <c r="M34" s="9">
        <f t="shared" si="6"/>
        <v>0</v>
      </c>
      <c r="N34" s="9"/>
      <c r="O34" s="9"/>
      <c r="P34" s="9">
        <v>0</v>
      </c>
      <c r="Q34" s="9"/>
      <c r="R34" s="9"/>
      <c r="S34" s="9">
        <v>0</v>
      </c>
      <c r="T34" s="24"/>
      <c r="U34" s="9">
        <f t="shared" si="7"/>
        <v>0</v>
      </c>
      <c r="V34" s="11"/>
      <c r="W34" s="4">
        <f t="shared" si="17"/>
        <v>0</v>
      </c>
      <c r="X34" s="4"/>
      <c r="Y34" s="28"/>
      <c r="Z34" s="4">
        <f t="shared" si="9"/>
        <v>0</v>
      </c>
      <c r="AA34" s="28"/>
      <c r="AB34" s="8"/>
      <c r="AC34" s="8" t="e">
        <f t="shared" si="10"/>
        <v>#DIV/0!</v>
      </c>
      <c r="AD34" s="9" t="e">
        <f t="shared" si="8"/>
        <v>#DIV/0!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 t="s">
        <v>60</v>
      </c>
      <c r="AN34" s="8">
        <f t="shared" si="11"/>
        <v>0</v>
      </c>
      <c r="AO34" s="8">
        <f t="shared" si="12"/>
        <v>0</v>
      </c>
      <c r="AP34" s="8">
        <f t="shared" si="13"/>
        <v>0</v>
      </c>
      <c r="AQ34" s="8">
        <f t="shared" si="14"/>
        <v>0</v>
      </c>
      <c r="AR34" s="8">
        <f t="shared" si="15"/>
        <v>0</v>
      </c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9" t="s">
        <v>78</v>
      </c>
      <c r="B35" s="9" t="s">
        <v>36</v>
      </c>
      <c r="C35" s="9"/>
      <c r="D35" s="9"/>
      <c r="E35" s="9"/>
      <c r="F35" s="9"/>
      <c r="G35" s="10">
        <v>0</v>
      </c>
      <c r="H35" s="9"/>
      <c r="I35" s="9" t="s">
        <v>37</v>
      </c>
      <c r="J35" s="9"/>
      <c r="K35" s="9"/>
      <c r="L35" s="9">
        <f t="shared" si="5"/>
        <v>0</v>
      </c>
      <c r="M35" s="9">
        <f t="shared" si="6"/>
        <v>0</v>
      </c>
      <c r="N35" s="9"/>
      <c r="O35" s="9"/>
      <c r="P35" s="9">
        <v>0</v>
      </c>
      <c r="Q35" s="9"/>
      <c r="R35" s="9"/>
      <c r="S35" s="9">
        <v>0</v>
      </c>
      <c r="T35" s="24"/>
      <c r="U35" s="9">
        <f t="shared" si="7"/>
        <v>0</v>
      </c>
      <c r="V35" s="11"/>
      <c r="W35" s="4">
        <f t="shared" si="17"/>
        <v>0</v>
      </c>
      <c r="X35" s="4"/>
      <c r="Y35" s="28"/>
      <c r="Z35" s="4">
        <f t="shared" si="9"/>
        <v>0</v>
      </c>
      <c r="AA35" s="28"/>
      <c r="AB35" s="8"/>
      <c r="AC35" s="8" t="e">
        <f t="shared" si="10"/>
        <v>#DIV/0!</v>
      </c>
      <c r="AD35" s="9" t="e">
        <f t="shared" si="8"/>
        <v>#DIV/0!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 t="s">
        <v>60</v>
      </c>
      <c r="AN35" s="8">
        <f t="shared" si="11"/>
        <v>0</v>
      </c>
      <c r="AO35" s="8">
        <f t="shared" si="12"/>
        <v>0</v>
      </c>
      <c r="AP35" s="8">
        <f t="shared" si="13"/>
        <v>0</v>
      </c>
      <c r="AQ35" s="8">
        <f t="shared" si="14"/>
        <v>0</v>
      </c>
      <c r="AR35" s="8">
        <f t="shared" si="15"/>
        <v>0</v>
      </c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9" t="s">
        <v>79</v>
      </c>
      <c r="B36" s="9" t="s">
        <v>36</v>
      </c>
      <c r="C36" s="9"/>
      <c r="D36" s="9"/>
      <c r="E36" s="9"/>
      <c r="F36" s="9"/>
      <c r="G36" s="10">
        <v>0</v>
      </c>
      <c r="H36" s="9"/>
      <c r="I36" s="9" t="s">
        <v>37</v>
      </c>
      <c r="J36" s="9"/>
      <c r="K36" s="9"/>
      <c r="L36" s="9">
        <f t="shared" si="5"/>
        <v>0</v>
      </c>
      <c r="M36" s="9">
        <f t="shared" si="6"/>
        <v>0</v>
      </c>
      <c r="N36" s="9"/>
      <c r="O36" s="9"/>
      <c r="P36" s="9">
        <v>0</v>
      </c>
      <c r="Q36" s="9"/>
      <c r="R36" s="9"/>
      <c r="S36" s="9">
        <v>0</v>
      </c>
      <c r="T36" s="24"/>
      <c r="U36" s="9">
        <f t="shared" si="7"/>
        <v>0</v>
      </c>
      <c r="V36" s="11"/>
      <c r="W36" s="4">
        <f t="shared" si="17"/>
        <v>0</v>
      </c>
      <c r="X36" s="4"/>
      <c r="Y36" s="28"/>
      <c r="Z36" s="4">
        <f t="shared" si="9"/>
        <v>0</v>
      </c>
      <c r="AA36" s="28"/>
      <c r="AB36" s="8"/>
      <c r="AC36" s="8" t="e">
        <f t="shared" si="10"/>
        <v>#DIV/0!</v>
      </c>
      <c r="AD36" s="9" t="e">
        <f t="shared" si="8"/>
        <v>#DIV/0!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 t="s">
        <v>60</v>
      </c>
      <c r="AN36" s="8">
        <f t="shared" si="11"/>
        <v>0</v>
      </c>
      <c r="AO36" s="8">
        <f t="shared" si="12"/>
        <v>0</v>
      </c>
      <c r="AP36" s="8">
        <f t="shared" si="13"/>
        <v>0</v>
      </c>
      <c r="AQ36" s="8">
        <f t="shared" si="14"/>
        <v>0</v>
      </c>
      <c r="AR36" s="8">
        <f t="shared" si="15"/>
        <v>0</v>
      </c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9" t="s">
        <v>80</v>
      </c>
      <c r="B37" s="9" t="s">
        <v>36</v>
      </c>
      <c r="C37" s="9"/>
      <c r="D37" s="9"/>
      <c r="E37" s="9"/>
      <c r="F37" s="9"/>
      <c r="G37" s="10">
        <v>0</v>
      </c>
      <c r="H37" s="9"/>
      <c r="I37" s="9" t="s">
        <v>37</v>
      </c>
      <c r="J37" s="9"/>
      <c r="K37" s="9"/>
      <c r="L37" s="9">
        <f t="shared" si="5"/>
        <v>0</v>
      </c>
      <c r="M37" s="9">
        <f t="shared" si="6"/>
        <v>0</v>
      </c>
      <c r="N37" s="9"/>
      <c r="O37" s="9"/>
      <c r="P37" s="9">
        <v>0</v>
      </c>
      <c r="Q37" s="9"/>
      <c r="R37" s="9"/>
      <c r="S37" s="9">
        <v>0</v>
      </c>
      <c r="T37" s="24"/>
      <c r="U37" s="9">
        <f t="shared" si="7"/>
        <v>0</v>
      </c>
      <c r="V37" s="11"/>
      <c r="W37" s="4">
        <f t="shared" si="17"/>
        <v>0</v>
      </c>
      <c r="X37" s="4"/>
      <c r="Y37" s="28"/>
      <c r="Z37" s="4">
        <f t="shared" si="9"/>
        <v>0</v>
      </c>
      <c r="AA37" s="28"/>
      <c r="AB37" s="8"/>
      <c r="AC37" s="8" t="e">
        <f t="shared" si="10"/>
        <v>#DIV/0!</v>
      </c>
      <c r="AD37" s="9" t="e">
        <f t="shared" si="8"/>
        <v>#DIV/0!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 t="s">
        <v>60</v>
      </c>
      <c r="AN37" s="8">
        <f t="shared" si="11"/>
        <v>0</v>
      </c>
      <c r="AO37" s="8">
        <f t="shared" si="12"/>
        <v>0</v>
      </c>
      <c r="AP37" s="8">
        <f t="shared" si="13"/>
        <v>0</v>
      </c>
      <c r="AQ37" s="8">
        <f t="shared" si="14"/>
        <v>0</v>
      </c>
      <c r="AR37" s="8">
        <f t="shared" si="15"/>
        <v>0</v>
      </c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30" t="s">
        <v>81</v>
      </c>
      <c r="B38" s="8" t="s">
        <v>41</v>
      </c>
      <c r="C38" s="8">
        <v>2441</v>
      </c>
      <c r="D38" s="8">
        <v>391</v>
      </c>
      <c r="E38" s="8">
        <v>2342</v>
      </c>
      <c r="F38" s="8">
        <v>125</v>
      </c>
      <c r="G38" s="6">
        <v>0.4</v>
      </c>
      <c r="H38" s="8">
        <v>45</v>
      </c>
      <c r="I38" s="16" t="s">
        <v>73</v>
      </c>
      <c r="J38" s="8"/>
      <c r="K38" s="8">
        <v>5603</v>
      </c>
      <c r="L38" s="8">
        <f t="shared" ref="L38:L69" si="24">E38-K38</f>
        <v>-3261</v>
      </c>
      <c r="M38" s="8">
        <f t="shared" ref="M38:M69" si="25">E38-N38</f>
        <v>2306</v>
      </c>
      <c r="N38" s="8">
        <v>36</v>
      </c>
      <c r="O38" s="8"/>
      <c r="P38" s="8">
        <v>0</v>
      </c>
      <c r="Q38" s="8">
        <v>2484.6187519999999</v>
      </c>
      <c r="R38" s="8"/>
      <c r="S38" s="8">
        <v>800</v>
      </c>
      <c r="T38" s="22"/>
      <c r="U38" s="8">
        <f t="shared" ref="U38:U69" si="26">M38/5</f>
        <v>461.2</v>
      </c>
      <c r="V38" s="17">
        <v>1600</v>
      </c>
      <c r="W38" s="4">
        <f t="shared" si="17"/>
        <v>1600</v>
      </c>
      <c r="X38" s="4">
        <f>W38*$X$1</f>
        <v>608</v>
      </c>
      <c r="Y38" s="28"/>
      <c r="Z38" s="4">
        <f t="shared" si="9"/>
        <v>992</v>
      </c>
      <c r="AA38" s="28"/>
      <c r="AB38" s="8"/>
      <c r="AC38" s="8">
        <f t="shared" si="10"/>
        <v>10.862139531656549</v>
      </c>
      <c r="AD38" s="8">
        <f t="shared" ref="AD38:AD69" si="27">(F38+O38+P38+Q38+R38+S38)/U38</f>
        <v>7.3929287771032088</v>
      </c>
      <c r="AE38" s="8">
        <v>811.2</v>
      </c>
      <c r="AF38" s="8">
        <v>861.6</v>
      </c>
      <c r="AG38" s="8">
        <v>877.4</v>
      </c>
      <c r="AH38" s="8">
        <v>623.4</v>
      </c>
      <c r="AI38" s="8">
        <v>584.79999999999995</v>
      </c>
      <c r="AJ38" s="8">
        <v>637.6</v>
      </c>
      <c r="AK38" s="8">
        <v>816</v>
      </c>
      <c r="AL38" s="8">
        <v>898.6</v>
      </c>
      <c r="AM38" s="8"/>
      <c r="AN38" s="8">
        <f t="shared" si="11"/>
        <v>243</v>
      </c>
      <c r="AO38" s="8">
        <f t="shared" si="12"/>
        <v>0</v>
      </c>
      <c r="AP38" s="8">
        <f t="shared" si="13"/>
        <v>397</v>
      </c>
      <c r="AQ38" s="8">
        <f t="shared" si="14"/>
        <v>0</v>
      </c>
      <c r="AR38" s="8">
        <f t="shared" si="15"/>
        <v>0</v>
      </c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 t="s">
        <v>82</v>
      </c>
      <c r="B39" s="8" t="s">
        <v>41</v>
      </c>
      <c r="C39" s="8">
        <v>1166.75</v>
      </c>
      <c r="D39" s="8">
        <v>310</v>
      </c>
      <c r="E39" s="8">
        <v>352</v>
      </c>
      <c r="F39" s="8">
        <v>899.75</v>
      </c>
      <c r="G39" s="6">
        <v>0.45</v>
      </c>
      <c r="H39" s="8">
        <v>50</v>
      </c>
      <c r="I39" s="8" t="s">
        <v>37</v>
      </c>
      <c r="J39" s="8"/>
      <c r="K39" s="8">
        <v>1015</v>
      </c>
      <c r="L39" s="8">
        <f t="shared" si="24"/>
        <v>-663</v>
      </c>
      <c r="M39" s="8">
        <f t="shared" si="25"/>
        <v>352</v>
      </c>
      <c r="N39" s="8"/>
      <c r="O39" s="8"/>
      <c r="P39" s="8">
        <v>471.47800000000012</v>
      </c>
      <c r="Q39" s="8"/>
      <c r="R39" s="8"/>
      <c r="S39" s="8">
        <v>0</v>
      </c>
      <c r="T39" s="22"/>
      <c r="U39" s="8">
        <f t="shared" si="26"/>
        <v>70.400000000000006</v>
      </c>
      <c r="V39" s="4"/>
      <c r="W39" s="4">
        <f t="shared" si="17"/>
        <v>0</v>
      </c>
      <c r="X39" s="4"/>
      <c r="Y39" s="28"/>
      <c r="Z39" s="4">
        <f t="shared" si="9"/>
        <v>0</v>
      </c>
      <c r="AA39" s="28"/>
      <c r="AB39" s="8"/>
      <c r="AC39" s="8">
        <f t="shared" si="10"/>
        <v>19.477670454545454</v>
      </c>
      <c r="AD39" s="8">
        <f t="shared" si="27"/>
        <v>19.477670454545454</v>
      </c>
      <c r="AE39" s="8">
        <v>98.4</v>
      </c>
      <c r="AF39" s="8">
        <v>126.8</v>
      </c>
      <c r="AG39" s="8">
        <v>127.8</v>
      </c>
      <c r="AH39" s="8">
        <v>67.2</v>
      </c>
      <c r="AI39" s="8">
        <v>118.2</v>
      </c>
      <c r="AJ39" s="8">
        <v>109.4</v>
      </c>
      <c r="AK39" s="8">
        <v>109.6</v>
      </c>
      <c r="AL39" s="8">
        <v>174.8</v>
      </c>
      <c r="AM39" s="18" t="s">
        <v>62</v>
      </c>
      <c r="AN39" s="8">
        <f t="shared" si="11"/>
        <v>0</v>
      </c>
      <c r="AO39" s="8">
        <f t="shared" si="12"/>
        <v>0</v>
      </c>
      <c r="AP39" s="8">
        <f t="shared" si="13"/>
        <v>0</v>
      </c>
      <c r="AQ39" s="8">
        <f t="shared" si="14"/>
        <v>0</v>
      </c>
      <c r="AR39" s="8">
        <f t="shared" si="15"/>
        <v>0</v>
      </c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 t="s">
        <v>83</v>
      </c>
      <c r="B40" s="8" t="s">
        <v>41</v>
      </c>
      <c r="C40" s="8">
        <v>1115</v>
      </c>
      <c r="D40" s="8">
        <v>312</v>
      </c>
      <c r="E40" s="8">
        <v>818</v>
      </c>
      <c r="F40" s="8">
        <v>289</v>
      </c>
      <c r="G40" s="6">
        <v>0.4</v>
      </c>
      <c r="H40" s="8">
        <v>45</v>
      </c>
      <c r="I40" s="16" t="s">
        <v>73</v>
      </c>
      <c r="J40" s="8"/>
      <c r="K40" s="8">
        <v>1947</v>
      </c>
      <c r="L40" s="8">
        <f t="shared" si="24"/>
        <v>-1129</v>
      </c>
      <c r="M40" s="8">
        <f t="shared" si="25"/>
        <v>818</v>
      </c>
      <c r="N40" s="8"/>
      <c r="O40" s="8"/>
      <c r="P40" s="8">
        <v>0</v>
      </c>
      <c r="Q40" s="8"/>
      <c r="R40" s="8"/>
      <c r="S40" s="8">
        <v>300</v>
      </c>
      <c r="T40" s="22"/>
      <c r="U40" s="8">
        <f t="shared" si="26"/>
        <v>163.6</v>
      </c>
      <c r="V40" s="17">
        <v>400</v>
      </c>
      <c r="W40" s="4">
        <v>500</v>
      </c>
      <c r="X40" s="4"/>
      <c r="Y40" s="28"/>
      <c r="Z40" s="4">
        <f t="shared" si="9"/>
        <v>500</v>
      </c>
      <c r="AA40" s="28"/>
      <c r="AB40" s="8"/>
      <c r="AC40" s="8">
        <f t="shared" si="10"/>
        <v>6.6564792176039118</v>
      </c>
      <c r="AD40" s="8">
        <f t="shared" si="27"/>
        <v>3.6002444987775064</v>
      </c>
      <c r="AE40" s="8">
        <v>166.8</v>
      </c>
      <c r="AF40" s="8">
        <v>188.8</v>
      </c>
      <c r="AG40" s="8">
        <v>301.60000000000002</v>
      </c>
      <c r="AH40" s="8">
        <v>192.2</v>
      </c>
      <c r="AI40" s="8">
        <v>141.6</v>
      </c>
      <c r="AJ40" s="8">
        <v>149</v>
      </c>
      <c r="AK40" s="8">
        <v>204.2</v>
      </c>
      <c r="AL40" s="8">
        <v>235.2</v>
      </c>
      <c r="AM40" s="8"/>
      <c r="AN40" s="8">
        <f t="shared" si="11"/>
        <v>0</v>
      </c>
      <c r="AO40" s="8">
        <f t="shared" si="12"/>
        <v>0</v>
      </c>
      <c r="AP40" s="8">
        <f t="shared" si="13"/>
        <v>200</v>
      </c>
      <c r="AQ40" s="8">
        <f t="shared" si="14"/>
        <v>0</v>
      </c>
      <c r="AR40" s="8">
        <f t="shared" si="15"/>
        <v>0</v>
      </c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 t="s">
        <v>84</v>
      </c>
      <c r="B41" s="8" t="s">
        <v>41</v>
      </c>
      <c r="C41" s="8">
        <v>483</v>
      </c>
      <c r="D41" s="8">
        <v>588</v>
      </c>
      <c r="E41" s="8">
        <v>625</v>
      </c>
      <c r="F41" s="8">
        <v>185</v>
      </c>
      <c r="G41" s="6">
        <v>0.4</v>
      </c>
      <c r="H41" s="8">
        <v>40</v>
      </c>
      <c r="I41" s="16" t="s">
        <v>73</v>
      </c>
      <c r="J41" s="8"/>
      <c r="K41" s="8">
        <v>1306</v>
      </c>
      <c r="L41" s="8">
        <f t="shared" si="24"/>
        <v>-681</v>
      </c>
      <c r="M41" s="8">
        <f t="shared" si="25"/>
        <v>625</v>
      </c>
      <c r="N41" s="8"/>
      <c r="O41" s="8"/>
      <c r="P41" s="8">
        <v>0</v>
      </c>
      <c r="Q41" s="8"/>
      <c r="R41" s="8"/>
      <c r="S41" s="8">
        <v>200</v>
      </c>
      <c r="T41" s="22"/>
      <c r="U41" s="8">
        <f t="shared" si="26"/>
        <v>125</v>
      </c>
      <c r="V41" s="17">
        <v>300</v>
      </c>
      <c r="W41" s="4">
        <v>400</v>
      </c>
      <c r="X41" s="4"/>
      <c r="Y41" s="28"/>
      <c r="Z41" s="4">
        <f t="shared" si="9"/>
        <v>400</v>
      </c>
      <c r="AA41" s="28"/>
      <c r="AB41" s="8"/>
      <c r="AC41" s="8">
        <f t="shared" si="10"/>
        <v>6.28</v>
      </c>
      <c r="AD41" s="8">
        <f t="shared" si="27"/>
        <v>3.08</v>
      </c>
      <c r="AE41" s="8">
        <v>116.2</v>
      </c>
      <c r="AF41" s="8">
        <v>86.8</v>
      </c>
      <c r="AG41" s="8">
        <v>126.8</v>
      </c>
      <c r="AH41" s="8">
        <v>86</v>
      </c>
      <c r="AI41" s="8">
        <v>78.400000000000006</v>
      </c>
      <c r="AJ41" s="8">
        <v>89</v>
      </c>
      <c r="AK41" s="8">
        <v>117.4</v>
      </c>
      <c r="AL41" s="8">
        <v>80.400000000000006</v>
      </c>
      <c r="AM41" s="8"/>
      <c r="AN41" s="8">
        <f t="shared" si="11"/>
        <v>0</v>
      </c>
      <c r="AO41" s="8">
        <f t="shared" si="12"/>
        <v>0</v>
      </c>
      <c r="AP41" s="8">
        <f t="shared" si="13"/>
        <v>160</v>
      </c>
      <c r="AQ41" s="8">
        <f t="shared" si="14"/>
        <v>0</v>
      </c>
      <c r="AR41" s="8">
        <f t="shared" si="15"/>
        <v>0</v>
      </c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85</v>
      </c>
      <c r="B42" s="8" t="s">
        <v>36</v>
      </c>
      <c r="C42" s="8"/>
      <c r="D42" s="8"/>
      <c r="E42" s="8"/>
      <c r="F42" s="8"/>
      <c r="G42" s="6">
        <v>1</v>
      </c>
      <c r="H42" s="8"/>
      <c r="I42" s="8" t="s">
        <v>37</v>
      </c>
      <c r="J42" s="8"/>
      <c r="K42" s="8"/>
      <c r="L42" s="8">
        <f t="shared" si="24"/>
        <v>0</v>
      </c>
      <c r="M42" s="8">
        <f t="shared" si="25"/>
        <v>0</v>
      </c>
      <c r="N42" s="8"/>
      <c r="O42" s="8"/>
      <c r="P42" s="8">
        <v>0</v>
      </c>
      <c r="Q42" s="8"/>
      <c r="R42" s="8"/>
      <c r="S42" s="8">
        <v>300</v>
      </c>
      <c r="T42" s="22"/>
      <c r="U42" s="8">
        <f t="shared" si="26"/>
        <v>0</v>
      </c>
      <c r="V42" s="4"/>
      <c r="W42" s="4">
        <f t="shared" si="17"/>
        <v>0</v>
      </c>
      <c r="X42" s="4"/>
      <c r="Y42" s="28"/>
      <c r="Z42" s="4">
        <f t="shared" si="9"/>
        <v>0</v>
      </c>
      <c r="AA42" s="28"/>
      <c r="AB42" s="8"/>
      <c r="AC42" s="8" t="e">
        <f t="shared" si="10"/>
        <v>#DIV/0!</v>
      </c>
      <c r="AD42" s="8" t="e">
        <f t="shared" si="27"/>
        <v>#DIV/0!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 t="s">
        <v>86</v>
      </c>
      <c r="AN42" s="8">
        <f t="shared" si="11"/>
        <v>0</v>
      </c>
      <c r="AO42" s="8">
        <f t="shared" si="12"/>
        <v>0</v>
      </c>
      <c r="AP42" s="8">
        <f t="shared" si="13"/>
        <v>0</v>
      </c>
      <c r="AQ42" s="8">
        <f t="shared" si="14"/>
        <v>0</v>
      </c>
      <c r="AR42" s="8">
        <f t="shared" si="15"/>
        <v>0</v>
      </c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 t="s">
        <v>87</v>
      </c>
      <c r="B43" s="8" t="s">
        <v>41</v>
      </c>
      <c r="C43" s="8">
        <v>182</v>
      </c>
      <c r="D43" s="8">
        <v>365</v>
      </c>
      <c r="E43" s="8">
        <v>177</v>
      </c>
      <c r="F43" s="8">
        <v>346</v>
      </c>
      <c r="G43" s="6">
        <v>0.1</v>
      </c>
      <c r="H43" s="8">
        <v>731</v>
      </c>
      <c r="I43" s="8" t="s">
        <v>37</v>
      </c>
      <c r="J43" s="8"/>
      <c r="K43" s="8">
        <v>226</v>
      </c>
      <c r="L43" s="8">
        <f t="shared" si="24"/>
        <v>-49</v>
      </c>
      <c r="M43" s="8">
        <f t="shared" si="25"/>
        <v>177</v>
      </c>
      <c r="N43" s="8"/>
      <c r="O43" s="8"/>
      <c r="P43" s="8">
        <v>156.9</v>
      </c>
      <c r="Q43" s="8"/>
      <c r="R43" s="8"/>
      <c r="S43" s="8">
        <v>0</v>
      </c>
      <c r="T43" s="22"/>
      <c r="U43" s="8">
        <f t="shared" si="26"/>
        <v>35.4</v>
      </c>
      <c r="V43" s="4"/>
      <c r="W43" s="4">
        <f t="shared" si="17"/>
        <v>0</v>
      </c>
      <c r="X43" s="4"/>
      <c r="Y43" s="28"/>
      <c r="Z43" s="4">
        <f t="shared" si="9"/>
        <v>0</v>
      </c>
      <c r="AA43" s="28"/>
      <c r="AB43" s="8"/>
      <c r="AC43" s="8">
        <f t="shared" si="10"/>
        <v>14.206214689265536</v>
      </c>
      <c r="AD43" s="8">
        <f t="shared" si="27"/>
        <v>14.206214689265536</v>
      </c>
      <c r="AE43" s="8">
        <v>37.4</v>
      </c>
      <c r="AF43" s="8">
        <v>57.4</v>
      </c>
      <c r="AG43" s="8">
        <v>55.2</v>
      </c>
      <c r="AH43" s="8">
        <v>30.6</v>
      </c>
      <c r="AI43" s="8">
        <v>40</v>
      </c>
      <c r="AJ43" s="8">
        <v>46</v>
      </c>
      <c r="AK43" s="8">
        <v>46</v>
      </c>
      <c r="AL43" s="8">
        <v>42</v>
      </c>
      <c r="AM43" s="8"/>
      <c r="AN43" s="8">
        <f t="shared" si="11"/>
        <v>0</v>
      </c>
      <c r="AO43" s="8">
        <f t="shared" si="12"/>
        <v>0</v>
      </c>
      <c r="AP43" s="8">
        <f t="shared" si="13"/>
        <v>0</v>
      </c>
      <c r="AQ43" s="8">
        <f t="shared" si="14"/>
        <v>0</v>
      </c>
      <c r="AR43" s="8">
        <f t="shared" si="15"/>
        <v>0</v>
      </c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88</v>
      </c>
      <c r="B44" s="8" t="s">
        <v>41</v>
      </c>
      <c r="C44" s="8">
        <v>110</v>
      </c>
      <c r="D44" s="8">
        <v>72</v>
      </c>
      <c r="E44" s="8">
        <v>79</v>
      </c>
      <c r="F44" s="8">
        <v>77</v>
      </c>
      <c r="G44" s="6">
        <v>0.35</v>
      </c>
      <c r="H44" s="8">
        <v>40</v>
      </c>
      <c r="I44" s="8" t="s">
        <v>37</v>
      </c>
      <c r="J44" s="8"/>
      <c r="K44" s="8">
        <v>104</v>
      </c>
      <c r="L44" s="8">
        <f t="shared" si="24"/>
        <v>-25</v>
      </c>
      <c r="M44" s="8">
        <f t="shared" si="25"/>
        <v>79</v>
      </c>
      <c r="N44" s="8"/>
      <c r="O44" s="8"/>
      <c r="P44" s="8">
        <v>0</v>
      </c>
      <c r="Q44" s="8"/>
      <c r="R44" s="8"/>
      <c r="S44" s="8">
        <v>81.800000000000011</v>
      </c>
      <c r="T44" s="22"/>
      <c r="U44" s="8">
        <f t="shared" si="26"/>
        <v>15.8</v>
      </c>
      <c r="V44" s="4">
        <f t="shared" ref="V44:V52" si="28">12*U44-S44-R44-Q44-P44-O44-F44</f>
        <v>30.800000000000011</v>
      </c>
      <c r="W44" s="4">
        <f t="shared" si="17"/>
        <v>30.800000000000011</v>
      </c>
      <c r="X44" s="4"/>
      <c r="Y44" s="28"/>
      <c r="Z44" s="4">
        <f t="shared" si="9"/>
        <v>30.800000000000011</v>
      </c>
      <c r="AA44" s="28"/>
      <c r="AB44" s="8"/>
      <c r="AC44" s="8">
        <f t="shared" si="10"/>
        <v>12.000000000000002</v>
      </c>
      <c r="AD44" s="8">
        <f t="shared" si="27"/>
        <v>10.050632911392405</v>
      </c>
      <c r="AE44" s="8">
        <v>18.8</v>
      </c>
      <c r="AF44" s="8">
        <v>28.4</v>
      </c>
      <c r="AG44" s="8">
        <v>24.4</v>
      </c>
      <c r="AH44" s="8">
        <v>10.199999999999999</v>
      </c>
      <c r="AI44" s="8">
        <v>3.8</v>
      </c>
      <c r="AJ44" s="8">
        <v>4.8</v>
      </c>
      <c r="AK44" s="8">
        <v>13</v>
      </c>
      <c r="AL44" s="8">
        <v>28.4</v>
      </c>
      <c r="AM44" s="8"/>
      <c r="AN44" s="8">
        <f t="shared" si="11"/>
        <v>0</v>
      </c>
      <c r="AO44" s="8">
        <f t="shared" si="12"/>
        <v>0</v>
      </c>
      <c r="AP44" s="8">
        <f t="shared" si="13"/>
        <v>11</v>
      </c>
      <c r="AQ44" s="8">
        <f t="shared" si="14"/>
        <v>0</v>
      </c>
      <c r="AR44" s="8">
        <f t="shared" si="15"/>
        <v>0</v>
      </c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 t="s">
        <v>89</v>
      </c>
      <c r="B45" s="8" t="s">
        <v>36</v>
      </c>
      <c r="C45" s="8">
        <v>42.668999999999997</v>
      </c>
      <c r="D45" s="8">
        <v>1.4590000000000001</v>
      </c>
      <c r="E45" s="8">
        <v>21.603999999999999</v>
      </c>
      <c r="F45" s="8">
        <v>20.041</v>
      </c>
      <c r="G45" s="6">
        <v>1</v>
      </c>
      <c r="H45" s="8">
        <v>40</v>
      </c>
      <c r="I45" s="8" t="s">
        <v>37</v>
      </c>
      <c r="J45" s="8"/>
      <c r="K45" s="8">
        <v>26</v>
      </c>
      <c r="L45" s="8">
        <f t="shared" si="24"/>
        <v>-4.3960000000000008</v>
      </c>
      <c r="M45" s="8">
        <f t="shared" si="25"/>
        <v>21.603999999999999</v>
      </c>
      <c r="N45" s="8"/>
      <c r="O45" s="8"/>
      <c r="P45" s="8">
        <v>0</v>
      </c>
      <c r="Q45" s="8"/>
      <c r="R45" s="8"/>
      <c r="S45" s="8">
        <v>9.0674000000000028</v>
      </c>
      <c r="T45" s="22"/>
      <c r="U45" s="8">
        <f t="shared" si="26"/>
        <v>4.3208000000000002</v>
      </c>
      <c r="V45" s="4">
        <f t="shared" si="28"/>
        <v>22.741200000000003</v>
      </c>
      <c r="W45" s="4">
        <f t="shared" si="17"/>
        <v>22.741200000000003</v>
      </c>
      <c r="X45" s="4"/>
      <c r="Y45" s="28"/>
      <c r="Z45" s="4">
        <f t="shared" si="9"/>
        <v>22.741200000000003</v>
      </c>
      <c r="AA45" s="28"/>
      <c r="AB45" s="8"/>
      <c r="AC45" s="8">
        <f t="shared" si="10"/>
        <v>12.000000000000002</v>
      </c>
      <c r="AD45" s="8">
        <f t="shared" si="27"/>
        <v>6.7368079985187936</v>
      </c>
      <c r="AE45" s="8">
        <v>3.3064</v>
      </c>
      <c r="AF45" s="8">
        <v>1.6506000000000001</v>
      </c>
      <c r="AG45" s="8">
        <v>2.6989999999999998</v>
      </c>
      <c r="AH45" s="8">
        <v>4.2096</v>
      </c>
      <c r="AI45" s="8">
        <v>3.2993999999999999</v>
      </c>
      <c r="AJ45" s="8">
        <v>1.956</v>
      </c>
      <c r="AK45" s="8">
        <v>1.4396</v>
      </c>
      <c r="AL45" s="8">
        <v>2.4447999999999999</v>
      </c>
      <c r="AM45" s="8"/>
      <c r="AN45" s="8">
        <f t="shared" si="11"/>
        <v>0</v>
      </c>
      <c r="AO45" s="8">
        <f t="shared" si="12"/>
        <v>0</v>
      </c>
      <c r="AP45" s="8">
        <f t="shared" si="13"/>
        <v>23</v>
      </c>
      <c r="AQ45" s="8">
        <f t="shared" si="14"/>
        <v>0</v>
      </c>
      <c r="AR45" s="8">
        <f t="shared" si="15"/>
        <v>0</v>
      </c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90</v>
      </c>
      <c r="B46" s="8" t="s">
        <v>41</v>
      </c>
      <c r="C46" s="8">
        <v>-25</v>
      </c>
      <c r="D46" s="8"/>
      <c r="E46" s="8">
        <v>-1</v>
      </c>
      <c r="F46" s="8">
        <v>-29</v>
      </c>
      <c r="G46" s="6">
        <v>0.4</v>
      </c>
      <c r="H46" s="8">
        <v>40</v>
      </c>
      <c r="I46" s="16" t="s">
        <v>73</v>
      </c>
      <c r="J46" s="8"/>
      <c r="K46" s="8">
        <v>252</v>
      </c>
      <c r="L46" s="8">
        <f t="shared" si="24"/>
        <v>-253</v>
      </c>
      <c r="M46" s="8">
        <f t="shared" si="25"/>
        <v>-1</v>
      </c>
      <c r="N46" s="8"/>
      <c r="O46" s="8"/>
      <c r="P46" s="8">
        <v>0</v>
      </c>
      <c r="Q46" s="8"/>
      <c r="R46" s="8"/>
      <c r="S46" s="8">
        <v>20.2</v>
      </c>
      <c r="T46" s="22"/>
      <c r="U46" s="8">
        <f t="shared" si="26"/>
        <v>-0.2</v>
      </c>
      <c r="V46" s="17">
        <v>100</v>
      </c>
      <c r="W46" s="4">
        <v>150</v>
      </c>
      <c r="X46" s="4"/>
      <c r="Y46" s="28"/>
      <c r="Z46" s="4">
        <f t="shared" si="9"/>
        <v>150</v>
      </c>
      <c r="AA46" s="28"/>
      <c r="AB46" s="8"/>
      <c r="AC46" s="8">
        <f t="shared" si="10"/>
        <v>-705.99999999999989</v>
      </c>
      <c r="AD46" s="8">
        <f t="shared" si="27"/>
        <v>44</v>
      </c>
      <c r="AE46" s="8">
        <v>-0.8</v>
      </c>
      <c r="AF46" s="8">
        <v>0.6</v>
      </c>
      <c r="AG46" s="8">
        <v>1.4</v>
      </c>
      <c r="AH46" s="8">
        <v>0.2</v>
      </c>
      <c r="AI46" s="8">
        <v>-1</v>
      </c>
      <c r="AJ46" s="8">
        <v>-1.2</v>
      </c>
      <c r="AK46" s="8">
        <v>-1</v>
      </c>
      <c r="AL46" s="8">
        <v>-1</v>
      </c>
      <c r="AM46" s="8"/>
      <c r="AN46" s="8">
        <f t="shared" si="11"/>
        <v>0</v>
      </c>
      <c r="AO46" s="8">
        <f t="shared" si="12"/>
        <v>0</v>
      </c>
      <c r="AP46" s="8">
        <f t="shared" si="13"/>
        <v>60</v>
      </c>
      <c r="AQ46" s="8">
        <f t="shared" si="14"/>
        <v>0</v>
      </c>
      <c r="AR46" s="8">
        <f t="shared" si="15"/>
        <v>0</v>
      </c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91</v>
      </c>
      <c r="B47" s="8" t="s">
        <v>41</v>
      </c>
      <c r="C47" s="8">
        <v>-13</v>
      </c>
      <c r="D47" s="8">
        <v>19</v>
      </c>
      <c r="E47" s="8">
        <v>2</v>
      </c>
      <c r="F47" s="8">
        <v>2</v>
      </c>
      <c r="G47" s="6">
        <v>0.4</v>
      </c>
      <c r="H47" s="8">
        <v>45</v>
      </c>
      <c r="I47" s="16" t="s">
        <v>73</v>
      </c>
      <c r="J47" s="8"/>
      <c r="K47" s="8">
        <v>396</v>
      </c>
      <c r="L47" s="8">
        <f t="shared" si="24"/>
        <v>-394</v>
      </c>
      <c r="M47" s="8">
        <f t="shared" si="25"/>
        <v>2</v>
      </c>
      <c r="N47" s="8"/>
      <c r="O47" s="8"/>
      <c r="P47" s="8">
        <v>0</v>
      </c>
      <c r="Q47" s="8"/>
      <c r="R47" s="8"/>
      <c r="S47" s="8">
        <v>50</v>
      </c>
      <c r="T47" s="22"/>
      <c r="U47" s="8">
        <f t="shared" si="26"/>
        <v>0.4</v>
      </c>
      <c r="V47" s="17">
        <v>100</v>
      </c>
      <c r="W47" s="4">
        <f t="shared" si="17"/>
        <v>100</v>
      </c>
      <c r="X47" s="4"/>
      <c r="Y47" s="28"/>
      <c r="Z47" s="4">
        <f t="shared" si="9"/>
        <v>100</v>
      </c>
      <c r="AA47" s="28"/>
      <c r="AB47" s="8"/>
      <c r="AC47" s="8">
        <f t="shared" si="10"/>
        <v>380</v>
      </c>
      <c r="AD47" s="8">
        <f t="shared" si="27"/>
        <v>130</v>
      </c>
      <c r="AE47" s="8">
        <v>26</v>
      </c>
      <c r="AF47" s="8">
        <v>58.6</v>
      </c>
      <c r="AG47" s="8">
        <v>50</v>
      </c>
      <c r="AH47" s="8">
        <v>30.6</v>
      </c>
      <c r="AI47" s="8">
        <v>40.799999999999997</v>
      </c>
      <c r="AJ47" s="8">
        <v>47</v>
      </c>
      <c r="AK47" s="8">
        <v>52.2</v>
      </c>
      <c r="AL47" s="8">
        <v>48.4</v>
      </c>
      <c r="AM47" s="8"/>
      <c r="AN47" s="8">
        <f t="shared" si="11"/>
        <v>0</v>
      </c>
      <c r="AO47" s="8">
        <f t="shared" si="12"/>
        <v>0</v>
      </c>
      <c r="AP47" s="8">
        <f t="shared" si="13"/>
        <v>40</v>
      </c>
      <c r="AQ47" s="8">
        <f t="shared" si="14"/>
        <v>0</v>
      </c>
      <c r="AR47" s="8">
        <f t="shared" si="15"/>
        <v>0</v>
      </c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 t="s">
        <v>92</v>
      </c>
      <c r="B48" s="8" t="s">
        <v>36</v>
      </c>
      <c r="C48" s="8">
        <v>15.201000000000001</v>
      </c>
      <c r="D48" s="8">
        <v>57.33</v>
      </c>
      <c r="E48" s="8">
        <v>16.739999999999998</v>
      </c>
      <c r="F48" s="8">
        <v>54.34</v>
      </c>
      <c r="G48" s="6">
        <v>1</v>
      </c>
      <c r="H48" s="8">
        <v>40</v>
      </c>
      <c r="I48" s="8" t="s">
        <v>37</v>
      </c>
      <c r="J48" s="8"/>
      <c r="K48" s="8">
        <v>57.5</v>
      </c>
      <c r="L48" s="8">
        <f t="shared" si="24"/>
        <v>-40.760000000000005</v>
      </c>
      <c r="M48" s="8">
        <f t="shared" si="25"/>
        <v>16.739999999999998</v>
      </c>
      <c r="N48" s="8"/>
      <c r="O48" s="8"/>
      <c r="P48" s="8">
        <v>14.80909999999999</v>
      </c>
      <c r="Q48" s="8"/>
      <c r="R48" s="8"/>
      <c r="S48" s="8">
        <v>0</v>
      </c>
      <c r="T48" s="22"/>
      <c r="U48" s="8">
        <f t="shared" si="26"/>
        <v>3.3479999999999999</v>
      </c>
      <c r="V48" s="4"/>
      <c r="W48" s="4">
        <f t="shared" si="17"/>
        <v>0</v>
      </c>
      <c r="X48" s="4"/>
      <c r="Y48" s="28"/>
      <c r="Z48" s="4">
        <f t="shared" si="9"/>
        <v>0</v>
      </c>
      <c r="AA48" s="28"/>
      <c r="AB48" s="8"/>
      <c r="AC48" s="8">
        <f t="shared" si="10"/>
        <v>20.653853046594978</v>
      </c>
      <c r="AD48" s="8">
        <f t="shared" si="27"/>
        <v>20.653853046594978</v>
      </c>
      <c r="AE48" s="8">
        <v>1.8211999999999999</v>
      </c>
      <c r="AF48" s="8">
        <v>7.1238000000000001</v>
      </c>
      <c r="AG48" s="8">
        <v>8.9621999999999993</v>
      </c>
      <c r="AH48" s="8">
        <v>4.3483999999999998</v>
      </c>
      <c r="AI48" s="8">
        <v>3.9114</v>
      </c>
      <c r="AJ48" s="8">
        <v>4.0561999999999996</v>
      </c>
      <c r="AK48" s="8">
        <v>5.2270000000000003</v>
      </c>
      <c r="AL48" s="8">
        <v>5.5009999999999986</v>
      </c>
      <c r="AM48" s="8"/>
      <c r="AN48" s="8">
        <f t="shared" si="11"/>
        <v>0</v>
      </c>
      <c r="AO48" s="8">
        <f t="shared" si="12"/>
        <v>0</v>
      </c>
      <c r="AP48" s="8">
        <f t="shared" si="13"/>
        <v>0</v>
      </c>
      <c r="AQ48" s="8">
        <f t="shared" si="14"/>
        <v>0</v>
      </c>
      <c r="AR48" s="8">
        <f t="shared" si="15"/>
        <v>0</v>
      </c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 t="s">
        <v>93</v>
      </c>
      <c r="B49" s="8" t="s">
        <v>41</v>
      </c>
      <c r="C49" s="8">
        <v>320</v>
      </c>
      <c r="D49" s="8">
        <v>677</v>
      </c>
      <c r="E49" s="8">
        <v>413</v>
      </c>
      <c r="F49" s="8">
        <v>492</v>
      </c>
      <c r="G49" s="6">
        <v>0.35</v>
      </c>
      <c r="H49" s="8">
        <v>40</v>
      </c>
      <c r="I49" s="15" t="s">
        <v>44</v>
      </c>
      <c r="J49" s="8"/>
      <c r="K49" s="8">
        <v>471</v>
      </c>
      <c r="L49" s="8">
        <f t="shared" si="24"/>
        <v>-58</v>
      </c>
      <c r="M49" s="8">
        <f t="shared" si="25"/>
        <v>401</v>
      </c>
      <c r="N49" s="8">
        <v>12</v>
      </c>
      <c r="O49" s="8"/>
      <c r="P49" s="8">
        <v>159.73140000000001</v>
      </c>
      <c r="Q49" s="8">
        <v>342.5686</v>
      </c>
      <c r="R49" s="8"/>
      <c r="S49" s="8">
        <v>0</v>
      </c>
      <c r="T49" s="22"/>
      <c r="U49" s="8">
        <f t="shared" si="26"/>
        <v>80.2</v>
      </c>
      <c r="V49" s="4"/>
      <c r="W49" s="4">
        <f t="shared" si="17"/>
        <v>0</v>
      </c>
      <c r="X49" s="4"/>
      <c r="Y49" s="28"/>
      <c r="Z49" s="4">
        <f t="shared" si="9"/>
        <v>0</v>
      </c>
      <c r="AA49" s="28"/>
      <c r="AB49" s="8"/>
      <c r="AC49" s="8">
        <f t="shared" si="10"/>
        <v>12.397755610972567</v>
      </c>
      <c r="AD49" s="8">
        <f t="shared" si="27"/>
        <v>12.397755610972567</v>
      </c>
      <c r="AE49" s="8">
        <v>92.8</v>
      </c>
      <c r="AF49" s="8">
        <v>120.2</v>
      </c>
      <c r="AG49" s="8">
        <v>117.4</v>
      </c>
      <c r="AH49" s="8">
        <v>88</v>
      </c>
      <c r="AI49" s="8">
        <v>80.8</v>
      </c>
      <c r="AJ49" s="8">
        <v>89.4</v>
      </c>
      <c r="AK49" s="8">
        <v>110</v>
      </c>
      <c r="AL49" s="8">
        <v>269.2</v>
      </c>
      <c r="AM49" s="8" t="s">
        <v>94</v>
      </c>
      <c r="AN49" s="8">
        <f t="shared" si="11"/>
        <v>0</v>
      </c>
      <c r="AO49" s="8">
        <f t="shared" si="12"/>
        <v>0</v>
      </c>
      <c r="AP49" s="8">
        <f t="shared" si="13"/>
        <v>0</v>
      </c>
      <c r="AQ49" s="8">
        <f t="shared" si="14"/>
        <v>0</v>
      </c>
      <c r="AR49" s="8">
        <f t="shared" si="15"/>
        <v>0</v>
      </c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 t="s">
        <v>95</v>
      </c>
      <c r="B50" s="8" t="s">
        <v>41</v>
      </c>
      <c r="C50" s="8">
        <v>137</v>
      </c>
      <c r="D50" s="8">
        <v>380</v>
      </c>
      <c r="E50" s="8">
        <v>235</v>
      </c>
      <c r="F50" s="8">
        <v>159</v>
      </c>
      <c r="G50" s="6">
        <v>0.4</v>
      </c>
      <c r="H50" s="8">
        <v>40</v>
      </c>
      <c r="I50" s="16" t="s">
        <v>73</v>
      </c>
      <c r="J50" s="8"/>
      <c r="K50" s="8">
        <v>714</v>
      </c>
      <c r="L50" s="8">
        <f t="shared" si="24"/>
        <v>-479</v>
      </c>
      <c r="M50" s="8">
        <f t="shared" si="25"/>
        <v>235</v>
      </c>
      <c r="N50" s="8"/>
      <c r="O50" s="8"/>
      <c r="P50" s="8">
        <v>0</v>
      </c>
      <c r="Q50" s="8">
        <v>371.82639999999998</v>
      </c>
      <c r="R50" s="8"/>
      <c r="S50" s="8">
        <v>0</v>
      </c>
      <c r="T50" s="22"/>
      <c r="U50" s="8">
        <f t="shared" si="26"/>
        <v>47</v>
      </c>
      <c r="V50" s="17">
        <v>100</v>
      </c>
      <c r="W50" s="4">
        <v>150</v>
      </c>
      <c r="X50" s="4"/>
      <c r="Y50" s="28"/>
      <c r="Z50" s="4">
        <f t="shared" si="9"/>
        <v>150</v>
      </c>
      <c r="AA50" s="28"/>
      <c r="AB50" s="8"/>
      <c r="AC50" s="8">
        <f t="shared" si="10"/>
        <v>14.485668085106381</v>
      </c>
      <c r="AD50" s="8">
        <f t="shared" si="27"/>
        <v>11.294178723404254</v>
      </c>
      <c r="AE50" s="8">
        <v>48.6</v>
      </c>
      <c r="AF50" s="8">
        <v>78.8</v>
      </c>
      <c r="AG50" s="8">
        <v>51</v>
      </c>
      <c r="AH50" s="8">
        <v>35.799999999999997</v>
      </c>
      <c r="AI50" s="8">
        <v>61</v>
      </c>
      <c r="AJ50" s="8">
        <v>63.8</v>
      </c>
      <c r="AK50" s="8">
        <v>76</v>
      </c>
      <c r="AL50" s="8">
        <v>54.6</v>
      </c>
      <c r="AM50" s="8"/>
      <c r="AN50" s="8">
        <f t="shared" si="11"/>
        <v>0</v>
      </c>
      <c r="AO50" s="8">
        <f t="shared" si="12"/>
        <v>0</v>
      </c>
      <c r="AP50" s="8">
        <f t="shared" si="13"/>
        <v>60</v>
      </c>
      <c r="AQ50" s="8">
        <f t="shared" si="14"/>
        <v>0</v>
      </c>
      <c r="AR50" s="8">
        <f t="shared" si="15"/>
        <v>0</v>
      </c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 t="s">
        <v>96</v>
      </c>
      <c r="B51" s="8" t="s">
        <v>36</v>
      </c>
      <c r="C51" s="8">
        <v>143.02699999999999</v>
      </c>
      <c r="D51" s="8">
        <v>73.100999999999999</v>
      </c>
      <c r="E51" s="8">
        <v>74.430000000000007</v>
      </c>
      <c r="F51" s="8">
        <v>113.25700000000001</v>
      </c>
      <c r="G51" s="6">
        <v>1</v>
      </c>
      <c r="H51" s="8">
        <v>50</v>
      </c>
      <c r="I51" s="8" t="s">
        <v>37</v>
      </c>
      <c r="J51" s="8"/>
      <c r="K51" s="8">
        <v>112.5</v>
      </c>
      <c r="L51" s="8">
        <f t="shared" si="24"/>
        <v>-38.069999999999993</v>
      </c>
      <c r="M51" s="8">
        <f t="shared" si="25"/>
        <v>74.430000000000007</v>
      </c>
      <c r="N51" s="8"/>
      <c r="O51" s="8"/>
      <c r="P51" s="8">
        <v>0</v>
      </c>
      <c r="Q51" s="8"/>
      <c r="R51" s="8"/>
      <c r="S51" s="8">
        <v>52.131800000000041</v>
      </c>
      <c r="T51" s="22"/>
      <c r="U51" s="8">
        <f t="shared" si="26"/>
        <v>14.886000000000001</v>
      </c>
      <c r="V51" s="4">
        <f t="shared" si="28"/>
        <v>13.243199999999959</v>
      </c>
      <c r="W51" s="4">
        <f t="shared" si="17"/>
        <v>13.243199999999959</v>
      </c>
      <c r="X51" s="4"/>
      <c r="Y51" s="28"/>
      <c r="Z51" s="4">
        <f t="shared" si="9"/>
        <v>13.243199999999959</v>
      </c>
      <c r="AA51" s="28"/>
      <c r="AB51" s="8"/>
      <c r="AC51" s="8">
        <f t="shared" si="10"/>
        <v>12</v>
      </c>
      <c r="AD51" s="8">
        <f t="shared" si="27"/>
        <v>11.110358726320035</v>
      </c>
      <c r="AE51" s="8">
        <v>16.802199999999999</v>
      </c>
      <c r="AF51" s="8">
        <v>14.042400000000001</v>
      </c>
      <c r="AG51" s="8">
        <v>19.11</v>
      </c>
      <c r="AH51" s="8">
        <v>17.2288</v>
      </c>
      <c r="AI51" s="8">
        <v>15.883800000000001</v>
      </c>
      <c r="AJ51" s="8">
        <v>16.6876</v>
      </c>
      <c r="AK51" s="8">
        <v>20.451000000000001</v>
      </c>
      <c r="AL51" s="8">
        <v>20.7852</v>
      </c>
      <c r="AM51" s="8"/>
      <c r="AN51" s="8">
        <f t="shared" si="11"/>
        <v>0</v>
      </c>
      <c r="AO51" s="8">
        <f t="shared" si="12"/>
        <v>0</v>
      </c>
      <c r="AP51" s="8">
        <f t="shared" si="13"/>
        <v>13</v>
      </c>
      <c r="AQ51" s="8">
        <f t="shared" si="14"/>
        <v>0</v>
      </c>
      <c r="AR51" s="8">
        <f t="shared" si="15"/>
        <v>0</v>
      </c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 t="s">
        <v>97</v>
      </c>
      <c r="B52" s="8" t="s">
        <v>36</v>
      </c>
      <c r="C52" s="8">
        <v>781.55200000000002</v>
      </c>
      <c r="D52" s="8">
        <v>135.75899999999999</v>
      </c>
      <c r="E52" s="8">
        <v>842.71600000000001</v>
      </c>
      <c r="F52" s="8">
        <v>-73.361000000000004</v>
      </c>
      <c r="G52" s="6">
        <v>1</v>
      </c>
      <c r="H52" s="8">
        <v>50</v>
      </c>
      <c r="I52" s="8" t="s">
        <v>37</v>
      </c>
      <c r="J52" s="8"/>
      <c r="K52" s="8">
        <v>954.98699999999997</v>
      </c>
      <c r="L52" s="8">
        <f t="shared" si="24"/>
        <v>-112.27099999999996</v>
      </c>
      <c r="M52" s="8">
        <f t="shared" si="25"/>
        <v>690.02800000000002</v>
      </c>
      <c r="N52" s="8">
        <v>152.68799999999999</v>
      </c>
      <c r="O52" s="8"/>
      <c r="P52" s="8">
        <v>322.07690000000002</v>
      </c>
      <c r="Q52" s="8"/>
      <c r="R52" s="8"/>
      <c r="S52" s="8">
        <v>708.20283999999981</v>
      </c>
      <c r="T52" s="22"/>
      <c r="U52" s="8">
        <f t="shared" si="26"/>
        <v>138.00560000000002</v>
      </c>
      <c r="V52" s="4">
        <f t="shared" si="28"/>
        <v>699.14846000000034</v>
      </c>
      <c r="W52" s="4">
        <f>V52+$W$1*U52</f>
        <v>1059.4810816000004</v>
      </c>
      <c r="X52" s="4">
        <f>W52*$X$1</f>
        <v>402.60281100800017</v>
      </c>
      <c r="Y52" s="28"/>
      <c r="Z52" s="4">
        <f t="shared" si="9"/>
        <v>656.87827059200026</v>
      </c>
      <c r="AA52" s="28"/>
      <c r="AB52" s="8"/>
      <c r="AC52" s="8">
        <f t="shared" si="10"/>
        <v>14.611000000000001</v>
      </c>
      <c r="AD52" s="8">
        <f t="shared" si="27"/>
        <v>6.933912391960904</v>
      </c>
      <c r="AE52" s="8">
        <v>108.6206</v>
      </c>
      <c r="AF52" s="8">
        <v>78.2346</v>
      </c>
      <c r="AG52" s="8">
        <v>79.395399999999995</v>
      </c>
      <c r="AH52" s="8">
        <v>52.078800000000022</v>
      </c>
      <c r="AI52" s="8">
        <v>97.671800000000005</v>
      </c>
      <c r="AJ52" s="8">
        <v>62.823599999999999</v>
      </c>
      <c r="AK52" s="8">
        <v>78.122199999999992</v>
      </c>
      <c r="AL52" s="8">
        <v>85.384200000000007</v>
      </c>
      <c r="AM52" s="8"/>
      <c r="AN52" s="8">
        <f t="shared" si="11"/>
        <v>403</v>
      </c>
      <c r="AO52" s="8">
        <f t="shared" si="12"/>
        <v>0</v>
      </c>
      <c r="AP52" s="8">
        <f t="shared" si="13"/>
        <v>657</v>
      </c>
      <c r="AQ52" s="8">
        <f t="shared" si="14"/>
        <v>0</v>
      </c>
      <c r="AR52" s="8">
        <f t="shared" si="15"/>
        <v>0</v>
      </c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9" t="s">
        <v>98</v>
      </c>
      <c r="B53" s="9" t="s">
        <v>36</v>
      </c>
      <c r="C53" s="9"/>
      <c r="D53" s="9"/>
      <c r="E53" s="9"/>
      <c r="F53" s="9"/>
      <c r="G53" s="10">
        <v>0</v>
      </c>
      <c r="H53" s="9"/>
      <c r="I53" s="9" t="s">
        <v>37</v>
      </c>
      <c r="J53" s="9"/>
      <c r="K53" s="9"/>
      <c r="L53" s="9">
        <f t="shared" si="24"/>
        <v>0</v>
      </c>
      <c r="M53" s="9">
        <f t="shared" si="25"/>
        <v>0</v>
      </c>
      <c r="N53" s="9"/>
      <c r="O53" s="9"/>
      <c r="P53" s="9">
        <v>0</v>
      </c>
      <c r="Q53" s="9"/>
      <c r="R53" s="9"/>
      <c r="S53" s="9">
        <v>0</v>
      </c>
      <c r="T53" s="24"/>
      <c r="U53" s="9">
        <f t="shared" si="26"/>
        <v>0</v>
      </c>
      <c r="V53" s="11"/>
      <c r="W53" s="4">
        <f t="shared" si="17"/>
        <v>0</v>
      </c>
      <c r="X53" s="4"/>
      <c r="Y53" s="28"/>
      <c r="Z53" s="4">
        <f t="shared" si="9"/>
        <v>0</v>
      </c>
      <c r="AA53" s="28"/>
      <c r="AB53" s="8"/>
      <c r="AC53" s="8" t="e">
        <f t="shared" si="10"/>
        <v>#DIV/0!</v>
      </c>
      <c r="AD53" s="9" t="e">
        <f t="shared" si="27"/>
        <v>#DIV/0!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 t="s">
        <v>60</v>
      </c>
      <c r="AN53" s="8">
        <f t="shared" si="11"/>
        <v>0</v>
      </c>
      <c r="AO53" s="8">
        <f t="shared" si="12"/>
        <v>0</v>
      </c>
      <c r="AP53" s="8">
        <f t="shared" si="13"/>
        <v>0</v>
      </c>
      <c r="AQ53" s="8">
        <f t="shared" si="14"/>
        <v>0</v>
      </c>
      <c r="AR53" s="8">
        <f t="shared" si="15"/>
        <v>0</v>
      </c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 t="s">
        <v>99</v>
      </c>
      <c r="B54" s="8" t="s">
        <v>41</v>
      </c>
      <c r="C54" s="8">
        <v>396</v>
      </c>
      <c r="D54" s="8">
        <v>430</v>
      </c>
      <c r="E54" s="8">
        <v>376</v>
      </c>
      <c r="F54" s="8">
        <v>364</v>
      </c>
      <c r="G54" s="6">
        <v>0.45</v>
      </c>
      <c r="H54" s="8">
        <v>50</v>
      </c>
      <c r="I54" s="8" t="s">
        <v>37</v>
      </c>
      <c r="J54" s="8"/>
      <c r="K54" s="8">
        <v>465</v>
      </c>
      <c r="L54" s="8">
        <f t="shared" si="24"/>
        <v>-89</v>
      </c>
      <c r="M54" s="8">
        <f t="shared" si="25"/>
        <v>376</v>
      </c>
      <c r="N54" s="8"/>
      <c r="O54" s="8"/>
      <c r="P54" s="8">
        <v>357.10000000000008</v>
      </c>
      <c r="Q54" s="8"/>
      <c r="R54" s="8"/>
      <c r="S54" s="8">
        <v>0</v>
      </c>
      <c r="T54" s="22"/>
      <c r="U54" s="8">
        <f t="shared" si="26"/>
        <v>75.2</v>
      </c>
      <c r="V54" s="4">
        <f t="shared" ref="V54:V55" si="29">12*U54-S54-R54-Q54-P54-O54-F54</f>
        <v>181.29999999999995</v>
      </c>
      <c r="W54" s="4">
        <f t="shared" ref="W54:W55" si="30">V54+$W$1*U54</f>
        <v>377.6472</v>
      </c>
      <c r="X54" s="4"/>
      <c r="Y54" s="28"/>
      <c r="Z54" s="4">
        <f t="shared" si="9"/>
        <v>377.6472</v>
      </c>
      <c r="AA54" s="28"/>
      <c r="AB54" s="8"/>
      <c r="AC54" s="8">
        <f t="shared" si="10"/>
        <v>14.611000000000002</v>
      </c>
      <c r="AD54" s="8">
        <f t="shared" si="27"/>
        <v>9.5890957446808525</v>
      </c>
      <c r="AE54" s="8">
        <v>79.400000000000006</v>
      </c>
      <c r="AF54" s="8">
        <v>86.2</v>
      </c>
      <c r="AG54" s="8">
        <v>84</v>
      </c>
      <c r="AH54" s="8">
        <v>66.400000000000006</v>
      </c>
      <c r="AI54" s="8">
        <v>64.8</v>
      </c>
      <c r="AJ54" s="8">
        <v>74.2</v>
      </c>
      <c r="AK54" s="8">
        <v>96</v>
      </c>
      <c r="AL54" s="8">
        <v>96.8</v>
      </c>
      <c r="AM54" s="8"/>
      <c r="AN54" s="8">
        <f t="shared" si="11"/>
        <v>0</v>
      </c>
      <c r="AO54" s="8">
        <f t="shared" si="12"/>
        <v>0</v>
      </c>
      <c r="AP54" s="8">
        <f t="shared" si="13"/>
        <v>170</v>
      </c>
      <c r="AQ54" s="8">
        <f t="shared" si="14"/>
        <v>0</v>
      </c>
      <c r="AR54" s="8">
        <f t="shared" si="15"/>
        <v>0</v>
      </c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 t="s">
        <v>100</v>
      </c>
      <c r="B55" s="8" t="s">
        <v>41</v>
      </c>
      <c r="C55" s="8">
        <v>577</v>
      </c>
      <c r="D55" s="8">
        <v>1090</v>
      </c>
      <c r="E55" s="8">
        <v>545</v>
      </c>
      <c r="F55" s="8">
        <v>973</v>
      </c>
      <c r="G55" s="6">
        <v>0.45</v>
      </c>
      <c r="H55" s="8">
        <v>50</v>
      </c>
      <c r="I55" s="8" t="s">
        <v>37</v>
      </c>
      <c r="J55" s="8"/>
      <c r="K55" s="8">
        <v>722</v>
      </c>
      <c r="L55" s="8">
        <f t="shared" si="24"/>
        <v>-177</v>
      </c>
      <c r="M55" s="8">
        <f t="shared" si="25"/>
        <v>545</v>
      </c>
      <c r="N55" s="8"/>
      <c r="O55" s="8"/>
      <c r="P55" s="8">
        <v>0</v>
      </c>
      <c r="Q55" s="8"/>
      <c r="R55" s="8"/>
      <c r="S55" s="8">
        <v>0</v>
      </c>
      <c r="T55" s="22"/>
      <c r="U55" s="8">
        <f t="shared" si="26"/>
        <v>109</v>
      </c>
      <c r="V55" s="4">
        <f t="shared" si="29"/>
        <v>335</v>
      </c>
      <c r="W55" s="4">
        <f t="shared" si="30"/>
        <v>619.59900000000005</v>
      </c>
      <c r="X55" s="4">
        <f>W55*$X$1</f>
        <v>235.44762000000003</v>
      </c>
      <c r="Y55" s="28"/>
      <c r="Z55" s="4">
        <f t="shared" si="9"/>
        <v>384.15138000000002</v>
      </c>
      <c r="AA55" s="28"/>
      <c r="AB55" s="8"/>
      <c r="AC55" s="8">
        <f t="shared" si="10"/>
        <v>14.611000000000001</v>
      </c>
      <c r="AD55" s="8">
        <f t="shared" si="27"/>
        <v>8.9266055045871564</v>
      </c>
      <c r="AE55" s="8">
        <v>86</v>
      </c>
      <c r="AF55" s="8">
        <v>112.8</v>
      </c>
      <c r="AG55" s="8">
        <v>148.19999999999999</v>
      </c>
      <c r="AH55" s="8">
        <v>93.6</v>
      </c>
      <c r="AI55" s="8">
        <v>89.2</v>
      </c>
      <c r="AJ55" s="8">
        <v>95.2</v>
      </c>
      <c r="AK55" s="8">
        <v>128.6</v>
      </c>
      <c r="AL55" s="8">
        <v>132</v>
      </c>
      <c r="AM55" s="8"/>
      <c r="AN55" s="8">
        <f t="shared" si="11"/>
        <v>106</v>
      </c>
      <c r="AO55" s="8">
        <f t="shared" si="12"/>
        <v>0</v>
      </c>
      <c r="AP55" s="8">
        <f t="shared" si="13"/>
        <v>173</v>
      </c>
      <c r="AQ55" s="8">
        <f t="shared" si="14"/>
        <v>0</v>
      </c>
      <c r="AR55" s="8">
        <f t="shared" si="15"/>
        <v>0</v>
      </c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9" t="s">
        <v>101</v>
      </c>
      <c r="B56" s="9" t="s">
        <v>41</v>
      </c>
      <c r="C56" s="9"/>
      <c r="D56" s="9"/>
      <c r="E56" s="9"/>
      <c r="F56" s="9"/>
      <c r="G56" s="10">
        <v>0</v>
      </c>
      <c r="H56" s="9"/>
      <c r="I56" s="9" t="s">
        <v>37</v>
      </c>
      <c r="J56" s="9"/>
      <c r="K56" s="9">
        <v>1</v>
      </c>
      <c r="L56" s="9">
        <f t="shared" si="24"/>
        <v>-1</v>
      </c>
      <c r="M56" s="9">
        <f t="shared" si="25"/>
        <v>0</v>
      </c>
      <c r="N56" s="9"/>
      <c r="O56" s="9"/>
      <c r="P56" s="9">
        <v>0</v>
      </c>
      <c r="Q56" s="9"/>
      <c r="R56" s="9"/>
      <c r="S56" s="9">
        <v>0</v>
      </c>
      <c r="T56" s="24"/>
      <c r="U56" s="9">
        <f t="shared" si="26"/>
        <v>0</v>
      </c>
      <c r="V56" s="11"/>
      <c r="W56" s="4">
        <f t="shared" si="17"/>
        <v>0</v>
      </c>
      <c r="X56" s="4"/>
      <c r="Y56" s="28"/>
      <c r="Z56" s="4">
        <f t="shared" si="9"/>
        <v>0</v>
      </c>
      <c r="AA56" s="28"/>
      <c r="AB56" s="8"/>
      <c r="AC56" s="8" t="e">
        <f t="shared" si="10"/>
        <v>#DIV/0!</v>
      </c>
      <c r="AD56" s="9" t="e">
        <f t="shared" si="27"/>
        <v>#DIV/0!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 t="s">
        <v>60</v>
      </c>
      <c r="AN56" s="8">
        <f t="shared" si="11"/>
        <v>0</v>
      </c>
      <c r="AO56" s="8">
        <f t="shared" si="12"/>
        <v>0</v>
      </c>
      <c r="AP56" s="8">
        <f t="shared" si="13"/>
        <v>0</v>
      </c>
      <c r="AQ56" s="8">
        <f t="shared" si="14"/>
        <v>0</v>
      </c>
      <c r="AR56" s="8">
        <f t="shared" si="15"/>
        <v>0</v>
      </c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 t="s">
        <v>102</v>
      </c>
      <c r="B57" s="8" t="s">
        <v>41</v>
      </c>
      <c r="C57" s="8">
        <v>7</v>
      </c>
      <c r="D57" s="8">
        <v>22</v>
      </c>
      <c r="E57" s="8">
        <v>12</v>
      </c>
      <c r="F57" s="8">
        <v>1</v>
      </c>
      <c r="G57" s="6">
        <v>0.4</v>
      </c>
      <c r="H57" s="8">
        <v>40</v>
      </c>
      <c r="I57" s="16" t="s">
        <v>73</v>
      </c>
      <c r="J57" s="8"/>
      <c r="K57" s="8">
        <v>34</v>
      </c>
      <c r="L57" s="8">
        <f t="shared" si="24"/>
        <v>-22</v>
      </c>
      <c r="M57" s="8">
        <f t="shared" si="25"/>
        <v>12</v>
      </c>
      <c r="N57" s="8"/>
      <c r="O57" s="8"/>
      <c r="P57" s="8">
        <v>0</v>
      </c>
      <c r="Q57" s="8"/>
      <c r="R57" s="8"/>
      <c r="S57" s="8">
        <v>0</v>
      </c>
      <c r="T57" s="22"/>
      <c r="U57" s="8">
        <f t="shared" si="26"/>
        <v>2.4</v>
      </c>
      <c r="V57" s="17">
        <v>20</v>
      </c>
      <c r="W57" s="4">
        <f t="shared" si="17"/>
        <v>20</v>
      </c>
      <c r="X57" s="4"/>
      <c r="Y57" s="28"/>
      <c r="Z57" s="4">
        <f t="shared" si="9"/>
        <v>20</v>
      </c>
      <c r="AA57" s="28"/>
      <c r="AB57" s="8"/>
      <c r="AC57" s="8">
        <f t="shared" si="10"/>
        <v>8.75</v>
      </c>
      <c r="AD57" s="8">
        <f t="shared" si="27"/>
        <v>0.41666666666666669</v>
      </c>
      <c r="AE57" s="8">
        <v>2.8</v>
      </c>
      <c r="AF57" s="8">
        <v>4.8</v>
      </c>
      <c r="AG57" s="8">
        <v>5.6</v>
      </c>
      <c r="AH57" s="8">
        <v>3</v>
      </c>
      <c r="AI57" s="8">
        <v>3.2</v>
      </c>
      <c r="AJ57" s="8">
        <v>3.8</v>
      </c>
      <c r="AK57" s="8">
        <v>3.8</v>
      </c>
      <c r="AL57" s="8">
        <v>-0.6</v>
      </c>
      <c r="AM57" s="8"/>
      <c r="AN57" s="8">
        <f t="shared" si="11"/>
        <v>0</v>
      </c>
      <c r="AO57" s="8">
        <f t="shared" si="12"/>
        <v>0</v>
      </c>
      <c r="AP57" s="8">
        <f t="shared" si="13"/>
        <v>8</v>
      </c>
      <c r="AQ57" s="8">
        <f t="shared" si="14"/>
        <v>0</v>
      </c>
      <c r="AR57" s="8">
        <f t="shared" si="15"/>
        <v>0</v>
      </c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30" t="s">
        <v>103</v>
      </c>
      <c r="B58" s="8" t="s">
        <v>36</v>
      </c>
      <c r="C58" s="8">
        <v>959.21299999999997</v>
      </c>
      <c r="D58" s="8">
        <v>111.90300000000001</v>
      </c>
      <c r="E58" s="8">
        <v>545.94799999999998</v>
      </c>
      <c r="F58" s="8">
        <v>456.96</v>
      </c>
      <c r="G58" s="6">
        <v>1</v>
      </c>
      <c r="H58" s="8">
        <v>50</v>
      </c>
      <c r="I58" s="8" t="s">
        <v>37</v>
      </c>
      <c r="J58" s="8"/>
      <c r="K58" s="8">
        <v>618.88099999999997</v>
      </c>
      <c r="L58" s="8">
        <f t="shared" si="24"/>
        <v>-72.932999999999993</v>
      </c>
      <c r="M58" s="8">
        <f t="shared" si="25"/>
        <v>328.08600000000001</v>
      </c>
      <c r="N58" s="8">
        <v>217.86199999999999</v>
      </c>
      <c r="O58" s="8"/>
      <c r="P58" s="8">
        <v>0</v>
      </c>
      <c r="Q58" s="8"/>
      <c r="R58" s="8"/>
      <c r="S58" s="8">
        <v>0</v>
      </c>
      <c r="T58" s="22"/>
      <c r="U58" s="8">
        <f t="shared" si="26"/>
        <v>65.617199999999997</v>
      </c>
      <c r="V58" s="4">
        <f t="shared" ref="V58:V71" si="31">12*U58-S58-R58-Q58-P58-O58-F58</f>
        <v>330.44639999999998</v>
      </c>
      <c r="W58" s="4">
        <f>V58+$W$1*U58</f>
        <v>501.77290919999996</v>
      </c>
      <c r="X58" s="4">
        <f>W58*$X$1</f>
        <v>190.673705496</v>
      </c>
      <c r="Y58" s="28"/>
      <c r="Z58" s="4">
        <f t="shared" si="9"/>
        <v>311.09920370399993</v>
      </c>
      <c r="AA58" s="28"/>
      <c r="AB58" s="8"/>
      <c r="AC58" s="8">
        <f t="shared" si="10"/>
        <v>14.611000000000001</v>
      </c>
      <c r="AD58" s="8">
        <f t="shared" si="27"/>
        <v>6.9640277244381048</v>
      </c>
      <c r="AE58" s="8">
        <v>68.840999999999994</v>
      </c>
      <c r="AF58" s="8">
        <v>74.638599999999997</v>
      </c>
      <c r="AG58" s="8">
        <v>99.823999999999998</v>
      </c>
      <c r="AH58" s="8">
        <v>124.6264</v>
      </c>
      <c r="AI58" s="8">
        <v>103.889</v>
      </c>
      <c r="AJ58" s="8">
        <v>63.091200000000001</v>
      </c>
      <c r="AK58" s="8">
        <v>69.980199999999996</v>
      </c>
      <c r="AL58" s="8">
        <v>120.0566</v>
      </c>
      <c r="AM58" s="8"/>
      <c r="AN58" s="8">
        <f t="shared" si="11"/>
        <v>191</v>
      </c>
      <c r="AO58" s="8">
        <f t="shared" si="12"/>
        <v>0</v>
      </c>
      <c r="AP58" s="8">
        <f t="shared" si="13"/>
        <v>311</v>
      </c>
      <c r="AQ58" s="8">
        <f t="shared" si="14"/>
        <v>0</v>
      </c>
      <c r="AR58" s="8">
        <f t="shared" si="15"/>
        <v>0</v>
      </c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 t="s">
        <v>104</v>
      </c>
      <c r="B59" s="8" t="s">
        <v>41</v>
      </c>
      <c r="C59" s="8">
        <v>124</v>
      </c>
      <c r="D59" s="8">
        <v>145</v>
      </c>
      <c r="E59" s="8">
        <v>138</v>
      </c>
      <c r="F59" s="8">
        <v>107</v>
      </c>
      <c r="G59" s="6">
        <v>0.1</v>
      </c>
      <c r="H59" s="8">
        <v>731</v>
      </c>
      <c r="I59" s="8" t="s">
        <v>37</v>
      </c>
      <c r="J59" s="8"/>
      <c r="K59" s="8">
        <v>164</v>
      </c>
      <c r="L59" s="8">
        <f t="shared" si="24"/>
        <v>-26</v>
      </c>
      <c r="M59" s="8">
        <f t="shared" si="25"/>
        <v>138</v>
      </c>
      <c r="N59" s="8"/>
      <c r="O59" s="8"/>
      <c r="P59" s="8">
        <v>72.999999999999972</v>
      </c>
      <c r="Q59" s="8"/>
      <c r="R59" s="8"/>
      <c r="S59" s="8">
        <v>17.800000000000011</v>
      </c>
      <c r="T59" s="22"/>
      <c r="U59" s="8">
        <f t="shared" si="26"/>
        <v>27.6</v>
      </c>
      <c r="V59" s="4">
        <f t="shared" si="31"/>
        <v>133.40000000000006</v>
      </c>
      <c r="W59" s="4">
        <f t="shared" si="17"/>
        <v>133.40000000000006</v>
      </c>
      <c r="X59" s="4"/>
      <c r="Y59" s="28"/>
      <c r="Z59" s="4">
        <f t="shared" si="9"/>
        <v>133.40000000000006</v>
      </c>
      <c r="AA59" s="28"/>
      <c r="AB59" s="8"/>
      <c r="AC59" s="8">
        <f t="shared" si="10"/>
        <v>12.000000000000002</v>
      </c>
      <c r="AD59" s="8">
        <f t="shared" si="27"/>
        <v>7.1666666666666661</v>
      </c>
      <c r="AE59" s="8">
        <v>24.4</v>
      </c>
      <c r="AF59" s="8">
        <v>26.4</v>
      </c>
      <c r="AG59" s="8">
        <v>26.6</v>
      </c>
      <c r="AH59" s="8">
        <v>17.600000000000001</v>
      </c>
      <c r="AI59" s="8">
        <v>20.2</v>
      </c>
      <c r="AJ59" s="8">
        <v>21.8</v>
      </c>
      <c r="AK59" s="8">
        <v>26.4</v>
      </c>
      <c r="AL59" s="8">
        <v>29.2</v>
      </c>
      <c r="AM59" s="8"/>
      <c r="AN59" s="8">
        <f t="shared" si="11"/>
        <v>0</v>
      </c>
      <c r="AO59" s="8">
        <f t="shared" si="12"/>
        <v>0</v>
      </c>
      <c r="AP59" s="8">
        <f t="shared" si="13"/>
        <v>13</v>
      </c>
      <c r="AQ59" s="8">
        <f t="shared" si="14"/>
        <v>0</v>
      </c>
      <c r="AR59" s="8">
        <f t="shared" si="15"/>
        <v>0</v>
      </c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 t="s">
        <v>105</v>
      </c>
      <c r="B60" s="8" t="s">
        <v>36</v>
      </c>
      <c r="C60" s="8">
        <v>153.59700000000001</v>
      </c>
      <c r="D60" s="8">
        <v>844.48599999999999</v>
      </c>
      <c r="E60" s="8">
        <v>509.95299999999997</v>
      </c>
      <c r="F60" s="8">
        <v>300.851</v>
      </c>
      <c r="G60" s="6">
        <v>1</v>
      </c>
      <c r="H60" s="8">
        <v>50</v>
      </c>
      <c r="I60" s="8" t="s">
        <v>37</v>
      </c>
      <c r="J60" s="8"/>
      <c r="K60" s="8">
        <v>788.678</v>
      </c>
      <c r="L60" s="8">
        <f t="shared" si="24"/>
        <v>-278.72500000000002</v>
      </c>
      <c r="M60" s="8">
        <f t="shared" si="25"/>
        <v>401.54199999999997</v>
      </c>
      <c r="N60" s="8">
        <v>108.411</v>
      </c>
      <c r="O60" s="8"/>
      <c r="P60" s="8">
        <v>277.54262199999971</v>
      </c>
      <c r="Q60" s="8"/>
      <c r="R60" s="8"/>
      <c r="S60" s="8">
        <v>0</v>
      </c>
      <c r="T60" s="22"/>
      <c r="U60" s="8">
        <f t="shared" si="26"/>
        <v>80.308399999999992</v>
      </c>
      <c r="V60" s="4">
        <f t="shared" si="31"/>
        <v>385.30717800000014</v>
      </c>
      <c r="W60" s="4">
        <f>V60+$W$1*U60</f>
        <v>594.99241040000015</v>
      </c>
      <c r="X60" s="4">
        <f>W60*$X$1</f>
        <v>226.09711595200005</v>
      </c>
      <c r="Y60" s="28"/>
      <c r="Z60" s="4">
        <f t="shared" si="9"/>
        <v>368.89529444800007</v>
      </c>
      <c r="AA60" s="28"/>
      <c r="AB60" s="8"/>
      <c r="AC60" s="8">
        <f t="shared" si="10"/>
        <v>14.610999999999999</v>
      </c>
      <c r="AD60" s="8">
        <f t="shared" si="27"/>
        <v>7.2021559637597035</v>
      </c>
      <c r="AE60" s="8">
        <v>57.7956</v>
      </c>
      <c r="AF60" s="8">
        <v>86.590799999999987</v>
      </c>
      <c r="AG60" s="8">
        <v>102.032</v>
      </c>
      <c r="AH60" s="8">
        <v>70.132199999999997</v>
      </c>
      <c r="AI60" s="8">
        <v>63.280999999999992</v>
      </c>
      <c r="AJ60" s="8">
        <v>79.756600000000006</v>
      </c>
      <c r="AK60" s="8">
        <v>81.925600000000003</v>
      </c>
      <c r="AL60" s="8">
        <v>86.080600000000004</v>
      </c>
      <c r="AM60" s="8"/>
      <c r="AN60" s="8">
        <f t="shared" si="11"/>
        <v>226</v>
      </c>
      <c r="AO60" s="8">
        <f t="shared" si="12"/>
        <v>0</v>
      </c>
      <c r="AP60" s="8">
        <f t="shared" si="13"/>
        <v>369</v>
      </c>
      <c r="AQ60" s="8">
        <f t="shared" si="14"/>
        <v>0</v>
      </c>
      <c r="AR60" s="8">
        <f t="shared" si="15"/>
        <v>0</v>
      </c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 t="s">
        <v>106</v>
      </c>
      <c r="B61" s="8" t="s">
        <v>36</v>
      </c>
      <c r="C61" s="8">
        <v>14.879</v>
      </c>
      <c r="D61" s="8">
        <v>58.945999999999998</v>
      </c>
      <c r="E61" s="8">
        <v>13.574</v>
      </c>
      <c r="F61" s="8">
        <v>50.658000000000001</v>
      </c>
      <c r="G61" s="6">
        <v>1</v>
      </c>
      <c r="H61" s="8">
        <v>55</v>
      </c>
      <c r="I61" s="8" t="s">
        <v>37</v>
      </c>
      <c r="J61" s="8"/>
      <c r="K61" s="8">
        <v>39.1</v>
      </c>
      <c r="L61" s="8">
        <f t="shared" si="24"/>
        <v>-25.526000000000003</v>
      </c>
      <c r="M61" s="8">
        <f t="shared" si="25"/>
        <v>13.574</v>
      </c>
      <c r="N61" s="8"/>
      <c r="O61" s="8"/>
      <c r="P61" s="8">
        <v>25.131799999999998</v>
      </c>
      <c r="Q61" s="8"/>
      <c r="R61" s="8"/>
      <c r="S61" s="8">
        <v>0</v>
      </c>
      <c r="T61" s="22"/>
      <c r="U61" s="8">
        <f t="shared" si="26"/>
        <v>2.7147999999999999</v>
      </c>
      <c r="V61" s="4"/>
      <c r="W61" s="4">
        <f t="shared" si="17"/>
        <v>0</v>
      </c>
      <c r="X61" s="4"/>
      <c r="Y61" s="28"/>
      <c r="Z61" s="4">
        <f t="shared" si="9"/>
        <v>0</v>
      </c>
      <c r="AA61" s="28"/>
      <c r="AB61" s="8"/>
      <c r="AC61" s="8">
        <f t="shared" si="10"/>
        <v>27.917268307057611</v>
      </c>
      <c r="AD61" s="8">
        <f t="shared" si="27"/>
        <v>27.917268307057611</v>
      </c>
      <c r="AE61" s="8">
        <v>3.7801999999999998</v>
      </c>
      <c r="AF61" s="8">
        <v>7.5739999999999998</v>
      </c>
      <c r="AG61" s="8">
        <v>8.3827999999999996</v>
      </c>
      <c r="AH61" s="8">
        <v>3.4996</v>
      </c>
      <c r="AI61" s="8">
        <v>4.0301999999999998</v>
      </c>
      <c r="AJ61" s="8">
        <v>4.2412000000000001</v>
      </c>
      <c r="AK61" s="8">
        <v>5.3171999999999997</v>
      </c>
      <c r="AL61" s="8">
        <v>3.4356</v>
      </c>
      <c r="AM61" s="8"/>
      <c r="AN61" s="8">
        <f t="shared" si="11"/>
        <v>0</v>
      </c>
      <c r="AO61" s="8">
        <f t="shared" si="12"/>
        <v>0</v>
      </c>
      <c r="AP61" s="8">
        <f t="shared" si="13"/>
        <v>0</v>
      </c>
      <c r="AQ61" s="8">
        <f t="shared" si="14"/>
        <v>0</v>
      </c>
      <c r="AR61" s="8">
        <f t="shared" si="15"/>
        <v>0</v>
      </c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 t="s">
        <v>107</v>
      </c>
      <c r="B62" s="8" t="s">
        <v>41</v>
      </c>
      <c r="C62" s="8">
        <v>109</v>
      </c>
      <c r="D62" s="8">
        <v>107</v>
      </c>
      <c r="E62" s="8">
        <v>115</v>
      </c>
      <c r="F62" s="8">
        <v>95</v>
      </c>
      <c r="G62" s="6">
        <v>0.1</v>
      </c>
      <c r="H62" s="8">
        <v>731</v>
      </c>
      <c r="I62" s="8" t="s">
        <v>37</v>
      </c>
      <c r="J62" s="8"/>
      <c r="K62" s="8">
        <v>123</v>
      </c>
      <c r="L62" s="8">
        <f t="shared" si="24"/>
        <v>-8</v>
      </c>
      <c r="M62" s="8">
        <f t="shared" si="25"/>
        <v>115</v>
      </c>
      <c r="N62" s="8"/>
      <c r="O62" s="8"/>
      <c r="P62" s="8">
        <v>55.300000000000011</v>
      </c>
      <c r="Q62" s="8"/>
      <c r="R62" s="8"/>
      <c r="S62" s="8">
        <v>50.100000000000009</v>
      </c>
      <c r="T62" s="22"/>
      <c r="U62" s="8">
        <f t="shared" si="26"/>
        <v>23</v>
      </c>
      <c r="V62" s="4">
        <f t="shared" si="31"/>
        <v>75.599999999999966</v>
      </c>
      <c r="W62" s="4">
        <f t="shared" si="17"/>
        <v>75.599999999999966</v>
      </c>
      <c r="X62" s="4"/>
      <c r="Y62" s="28"/>
      <c r="Z62" s="4">
        <f t="shared" si="9"/>
        <v>75.599999999999966</v>
      </c>
      <c r="AA62" s="28"/>
      <c r="AB62" s="8"/>
      <c r="AC62" s="8">
        <f t="shared" si="10"/>
        <v>12</v>
      </c>
      <c r="AD62" s="8">
        <f t="shared" si="27"/>
        <v>8.7130434782608717</v>
      </c>
      <c r="AE62" s="8">
        <v>23.6</v>
      </c>
      <c r="AF62" s="8">
        <v>23</v>
      </c>
      <c r="AG62" s="8">
        <v>24.2</v>
      </c>
      <c r="AH62" s="8">
        <v>17.600000000000001</v>
      </c>
      <c r="AI62" s="8">
        <v>17.600000000000001</v>
      </c>
      <c r="AJ62" s="8">
        <v>20.8</v>
      </c>
      <c r="AK62" s="8">
        <v>23.6</v>
      </c>
      <c r="AL62" s="8">
        <v>27.2</v>
      </c>
      <c r="AM62" s="8"/>
      <c r="AN62" s="8">
        <f t="shared" si="11"/>
        <v>0</v>
      </c>
      <c r="AO62" s="8">
        <f t="shared" si="12"/>
        <v>0</v>
      </c>
      <c r="AP62" s="8">
        <f t="shared" si="13"/>
        <v>8</v>
      </c>
      <c r="AQ62" s="8">
        <f t="shared" si="14"/>
        <v>0</v>
      </c>
      <c r="AR62" s="8">
        <f t="shared" si="15"/>
        <v>0</v>
      </c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 t="s">
        <v>108</v>
      </c>
      <c r="B63" s="8" t="s">
        <v>41</v>
      </c>
      <c r="C63" s="8">
        <v>31</v>
      </c>
      <c r="D63" s="8"/>
      <c r="E63" s="8">
        <v>11</v>
      </c>
      <c r="F63" s="8">
        <v>20</v>
      </c>
      <c r="G63" s="6">
        <v>0.4</v>
      </c>
      <c r="H63" s="8">
        <v>50</v>
      </c>
      <c r="I63" s="8" t="s">
        <v>37</v>
      </c>
      <c r="J63" s="8"/>
      <c r="K63" s="8">
        <v>18</v>
      </c>
      <c r="L63" s="8">
        <f t="shared" si="24"/>
        <v>-7</v>
      </c>
      <c r="M63" s="8">
        <f t="shared" si="25"/>
        <v>11</v>
      </c>
      <c r="N63" s="8"/>
      <c r="O63" s="8"/>
      <c r="P63" s="8">
        <v>0</v>
      </c>
      <c r="Q63" s="8"/>
      <c r="R63" s="8"/>
      <c r="S63" s="8">
        <v>0</v>
      </c>
      <c r="T63" s="22"/>
      <c r="U63" s="8">
        <f t="shared" si="26"/>
        <v>2.2000000000000002</v>
      </c>
      <c r="V63" s="4">
        <f t="shared" si="31"/>
        <v>6.4000000000000021</v>
      </c>
      <c r="W63" s="4">
        <f t="shared" si="17"/>
        <v>6.4000000000000021</v>
      </c>
      <c r="X63" s="4"/>
      <c r="Y63" s="28"/>
      <c r="Z63" s="4">
        <f t="shared" si="9"/>
        <v>6.4000000000000021</v>
      </c>
      <c r="AA63" s="28"/>
      <c r="AB63" s="8"/>
      <c r="AC63" s="8">
        <f t="shared" si="10"/>
        <v>12</v>
      </c>
      <c r="AD63" s="8">
        <f t="shared" si="27"/>
        <v>9.0909090909090899</v>
      </c>
      <c r="AE63" s="8">
        <v>2.2000000000000002</v>
      </c>
      <c r="AF63" s="8">
        <v>1</v>
      </c>
      <c r="AG63" s="8">
        <v>1.6</v>
      </c>
      <c r="AH63" s="8">
        <v>2.8</v>
      </c>
      <c r="AI63" s="8">
        <v>1.2</v>
      </c>
      <c r="AJ63" s="8">
        <v>0.2</v>
      </c>
      <c r="AK63" s="8">
        <v>1.6</v>
      </c>
      <c r="AL63" s="8">
        <v>2.8</v>
      </c>
      <c r="AM63" s="8"/>
      <c r="AN63" s="8">
        <f t="shared" si="11"/>
        <v>0</v>
      </c>
      <c r="AO63" s="8">
        <f t="shared" si="12"/>
        <v>0</v>
      </c>
      <c r="AP63" s="8">
        <f t="shared" si="13"/>
        <v>3</v>
      </c>
      <c r="AQ63" s="8">
        <f t="shared" si="14"/>
        <v>0</v>
      </c>
      <c r="AR63" s="8">
        <f t="shared" si="15"/>
        <v>0</v>
      </c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 t="s">
        <v>109</v>
      </c>
      <c r="B64" s="8" t="s">
        <v>36</v>
      </c>
      <c r="C64" s="8">
        <v>40.411999999999999</v>
      </c>
      <c r="D64" s="8">
        <v>22.61</v>
      </c>
      <c r="E64" s="8">
        <v>25.89</v>
      </c>
      <c r="F64" s="8">
        <v>-2.5150000000000001</v>
      </c>
      <c r="G64" s="6">
        <v>1</v>
      </c>
      <c r="H64" s="8">
        <v>40</v>
      </c>
      <c r="I64" s="8" t="s">
        <v>37</v>
      </c>
      <c r="J64" s="8"/>
      <c r="K64" s="8">
        <v>81.5</v>
      </c>
      <c r="L64" s="8">
        <f t="shared" si="24"/>
        <v>-55.61</v>
      </c>
      <c r="M64" s="8">
        <f t="shared" si="25"/>
        <v>25.89</v>
      </c>
      <c r="N64" s="8"/>
      <c r="O64" s="8"/>
      <c r="P64" s="8">
        <v>150</v>
      </c>
      <c r="Q64" s="8"/>
      <c r="R64" s="8"/>
      <c r="S64" s="8">
        <v>300</v>
      </c>
      <c r="T64" s="22"/>
      <c r="U64" s="8">
        <f t="shared" si="26"/>
        <v>5.1779999999999999</v>
      </c>
      <c r="V64" s="4"/>
      <c r="W64" s="4">
        <f t="shared" si="17"/>
        <v>0</v>
      </c>
      <c r="X64" s="4"/>
      <c r="Y64" s="28"/>
      <c r="Z64" s="4">
        <f t="shared" si="9"/>
        <v>0</v>
      </c>
      <c r="AA64" s="28"/>
      <c r="AB64" s="8"/>
      <c r="AC64" s="8">
        <f t="shared" si="10"/>
        <v>86.420432599459261</v>
      </c>
      <c r="AD64" s="8">
        <f t="shared" si="27"/>
        <v>86.420432599459261</v>
      </c>
      <c r="AE64" s="8">
        <v>12.8698</v>
      </c>
      <c r="AF64" s="8">
        <v>11.319000000000001</v>
      </c>
      <c r="AG64" s="8">
        <v>7.4388000000000014</v>
      </c>
      <c r="AH64" s="8">
        <v>8.8168000000000006</v>
      </c>
      <c r="AI64" s="8">
        <v>9.9623999999999988</v>
      </c>
      <c r="AJ64" s="8">
        <v>9.6790000000000003</v>
      </c>
      <c r="AK64" s="8">
        <v>10.668799999999999</v>
      </c>
      <c r="AL64" s="8">
        <v>14.4322</v>
      </c>
      <c r="AM64" s="8" t="s">
        <v>110</v>
      </c>
      <c r="AN64" s="8">
        <f t="shared" si="11"/>
        <v>0</v>
      </c>
      <c r="AO64" s="8">
        <f t="shared" si="12"/>
        <v>0</v>
      </c>
      <c r="AP64" s="8">
        <f t="shared" si="13"/>
        <v>0</v>
      </c>
      <c r="AQ64" s="8">
        <f t="shared" si="14"/>
        <v>0</v>
      </c>
      <c r="AR64" s="8">
        <f t="shared" si="15"/>
        <v>0</v>
      </c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 t="s">
        <v>111</v>
      </c>
      <c r="B65" s="8" t="s">
        <v>36</v>
      </c>
      <c r="C65" s="8">
        <v>-9.33</v>
      </c>
      <c r="D65" s="8">
        <v>48.393999999999998</v>
      </c>
      <c r="E65" s="8">
        <v>75.441999999999993</v>
      </c>
      <c r="F65" s="8">
        <v>-39.292999999999999</v>
      </c>
      <c r="G65" s="6">
        <v>1</v>
      </c>
      <c r="H65" s="8">
        <v>40</v>
      </c>
      <c r="I65" s="8" t="s">
        <v>37</v>
      </c>
      <c r="J65" s="8"/>
      <c r="K65" s="8">
        <v>125.33</v>
      </c>
      <c r="L65" s="8">
        <f t="shared" si="24"/>
        <v>-49.888000000000005</v>
      </c>
      <c r="M65" s="8">
        <f t="shared" si="25"/>
        <v>75.441999999999993</v>
      </c>
      <c r="N65" s="8"/>
      <c r="O65" s="8"/>
      <c r="P65" s="8">
        <v>150</v>
      </c>
      <c r="Q65" s="8"/>
      <c r="R65" s="8"/>
      <c r="S65" s="8">
        <v>300</v>
      </c>
      <c r="T65" s="22"/>
      <c r="U65" s="8">
        <f t="shared" si="26"/>
        <v>15.088399999999998</v>
      </c>
      <c r="V65" s="4"/>
      <c r="W65" s="4">
        <f t="shared" si="17"/>
        <v>0</v>
      </c>
      <c r="X65" s="4"/>
      <c r="Y65" s="28"/>
      <c r="Z65" s="4">
        <f t="shared" si="9"/>
        <v>0</v>
      </c>
      <c r="AA65" s="28"/>
      <c r="AB65" s="8"/>
      <c r="AC65" s="8">
        <f t="shared" si="10"/>
        <v>27.220049839611889</v>
      </c>
      <c r="AD65" s="8">
        <f t="shared" si="27"/>
        <v>27.220049839611889</v>
      </c>
      <c r="AE65" s="8">
        <v>0.26879999999999998</v>
      </c>
      <c r="AF65" s="8">
        <v>0.55599999999999994</v>
      </c>
      <c r="AG65" s="8">
        <v>8.0599999999999987</v>
      </c>
      <c r="AH65" s="8">
        <v>8.0434000000000001</v>
      </c>
      <c r="AI65" s="8">
        <v>1.6077999999999999</v>
      </c>
      <c r="AJ65" s="8">
        <v>1.6077999999999999</v>
      </c>
      <c r="AK65" s="8">
        <v>1.6292</v>
      </c>
      <c r="AL65" s="8">
        <v>1.1017999999999999</v>
      </c>
      <c r="AM65" s="8" t="s">
        <v>110</v>
      </c>
      <c r="AN65" s="8">
        <f t="shared" si="11"/>
        <v>0</v>
      </c>
      <c r="AO65" s="8">
        <f t="shared" si="12"/>
        <v>0</v>
      </c>
      <c r="AP65" s="8">
        <f t="shared" si="13"/>
        <v>0</v>
      </c>
      <c r="AQ65" s="8">
        <f t="shared" si="14"/>
        <v>0</v>
      </c>
      <c r="AR65" s="8">
        <f t="shared" si="15"/>
        <v>0</v>
      </c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 t="s">
        <v>112</v>
      </c>
      <c r="B66" s="8" t="s">
        <v>41</v>
      </c>
      <c r="C66" s="8">
        <v>852</v>
      </c>
      <c r="D66" s="8">
        <v>350</v>
      </c>
      <c r="E66" s="8">
        <v>840</v>
      </c>
      <c r="F66" s="8">
        <v>173</v>
      </c>
      <c r="G66" s="6">
        <v>0.4</v>
      </c>
      <c r="H66" s="8">
        <v>40</v>
      </c>
      <c r="I66" s="8" t="s">
        <v>37</v>
      </c>
      <c r="J66" s="8"/>
      <c r="K66" s="8">
        <v>1036</v>
      </c>
      <c r="L66" s="8">
        <f t="shared" si="24"/>
        <v>-196</v>
      </c>
      <c r="M66" s="8">
        <f t="shared" si="25"/>
        <v>840</v>
      </c>
      <c r="N66" s="8"/>
      <c r="O66" s="8"/>
      <c r="P66" s="8">
        <v>0</v>
      </c>
      <c r="Q66" s="8"/>
      <c r="R66" s="8"/>
      <c r="S66" s="8">
        <v>562.37199999999996</v>
      </c>
      <c r="T66" s="22"/>
      <c r="U66" s="8">
        <f t="shared" si="26"/>
        <v>168</v>
      </c>
      <c r="V66" s="4">
        <f>10*U66-S66-R66-Q66-P66-O66-F66</f>
        <v>944.62800000000016</v>
      </c>
      <c r="W66" s="4">
        <f>V66+$W$1*U66</f>
        <v>1383.2760000000003</v>
      </c>
      <c r="X66" s="4">
        <f>W66*$X$1</f>
        <v>525.64488000000017</v>
      </c>
      <c r="Y66" s="28"/>
      <c r="Z66" s="4">
        <f t="shared" si="9"/>
        <v>857.63112000000012</v>
      </c>
      <c r="AA66" s="28"/>
      <c r="AB66" s="8"/>
      <c r="AC66" s="8">
        <f t="shared" si="10"/>
        <v>12.611000000000001</v>
      </c>
      <c r="AD66" s="8">
        <f t="shared" si="27"/>
        <v>4.3772142857142855</v>
      </c>
      <c r="AE66" s="8">
        <v>89.6</v>
      </c>
      <c r="AF66" s="8">
        <v>26.4</v>
      </c>
      <c r="AG66" s="8">
        <v>94.8</v>
      </c>
      <c r="AH66" s="8">
        <v>113.2</v>
      </c>
      <c r="AI66" s="8">
        <v>99</v>
      </c>
      <c r="AJ66" s="8">
        <v>107.8</v>
      </c>
      <c r="AK66" s="8">
        <v>129.19999999999999</v>
      </c>
      <c r="AL66" s="8">
        <v>139.4</v>
      </c>
      <c r="AM66" s="8"/>
      <c r="AN66" s="8">
        <f t="shared" si="11"/>
        <v>210</v>
      </c>
      <c r="AO66" s="8">
        <f t="shared" si="12"/>
        <v>0</v>
      </c>
      <c r="AP66" s="8">
        <f t="shared" si="13"/>
        <v>343</v>
      </c>
      <c r="AQ66" s="8">
        <f t="shared" si="14"/>
        <v>0</v>
      </c>
      <c r="AR66" s="8">
        <f t="shared" si="15"/>
        <v>0</v>
      </c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 t="s">
        <v>113</v>
      </c>
      <c r="B67" s="8" t="s">
        <v>41</v>
      </c>
      <c r="C67" s="8">
        <v>-3</v>
      </c>
      <c r="D67" s="8"/>
      <c r="E67" s="8">
        <v>2</v>
      </c>
      <c r="F67" s="8">
        <v>-7</v>
      </c>
      <c r="G67" s="6">
        <v>0.4</v>
      </c>
      <c r="H67" s="8">
        <v>40</v>
      </c>
      <c r="I67" s="16" t="s">
        <v>73</v>
      </c>
      <c r="J67" s="8"/>
      <c r="K67" s="8">
        <v>55</v>
      </c>
      <c r="L67" s="8">
        <f t="shared" si="24"/>
        <v>-53</v>
      </c>
      <c r="M67" s="8">
        <f t="shared" si="25"/>
        <v>2</v>
      </c>
      <c r="N67" s="8"/>
      <c r="O67" s="8"/>
      <c r="P67" s="8">
        <v>0</v>
      </c>
      <c r="Q67" s="8"/>
      <c r="R67" s="8"/>
      <c r="S67" s="8">
        <v>90</v>
      </c>
      <c r="T67" s="22"/>
      <c r="U67" s="8">
        <f t="shared" si="26"/>
        <v>0.4</v>
      </c>
      <c r="V67" s="17">
        <v>150</v>
      </c>
      <c r="W67" s="4">
        <f t="shared" si="17"/>
        <v>150</v>
      </c>
      <c r="X67" s="4"/>
      <c r="Y67" s="28"/>
      <c r="Z67" s="4">
        <f t="shared" si="9"/>
        <v>150</v>
      </c>
      <c r="AA67" s="28"/>
      <c r="AB67" s="8"/>
      <c r="AC67" s="8">
        <f t="shared" si="10"/>
        <v>582.5</v>
      </c>
      <c r="AD67" s="8">
        <f t="shared" si="27"/>
        <v>207.5</v>
      </c>
      <c r="AE67" s="8">
        <v>0.8</v>
      </c>
      <c r="AF67" s="8">
        <v>45.6</v>
      </c>
      <c r="AG67" s="8">
        <v>95.8</v>
      </c>
      <c r="AH67" s="8">
        <v>80.400000000000006</v>
      </c>
      <c r="AI67" s="8">
        <v>83.4</v>
      </c>
      <c r="AJ67" s="8">
        <v>95.6</v>
      </c>
      <c r="AK67" s="8">
        <v>103.6</v>
      </c>
      <c r="AL67" s="8">
        <v>96.2</v>
      </c>
      <c r="AM67" s="8"/>
      <c r="AN67" s="8">
        <f t="shared" si="11"/>
        <v>0</v>
      </c>
      <c r="AO67" s="8">
        <f t="shared" si="12"/>
        <v>0</v>
      </c>
      <c r="AP67" s="8">
        <f t="shared" si="13"/>
        <v>60</v>
      </c>
      <c r="AQ67" s="8">
        <f t="shared" si="14"/>
        <v>0</v>
      </c>
      <c r="AR67" s="8">
        <f t="shared" si="15"/>
        <v>0</v>
      </c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 t="s">
        <v>114</v>
      </c>
      <c r="B68" s="8" t="s">
        <v>36</v>
      </c>
      <c r="C68" s="8">
        <v>18.481999999999999</v>
      </c>
      <c r="D68" s="8">
        <v>78.251999999999995</v>
      </c>
      <c r="E68" s="8">
        <v>23.952000000000002</v>
      </c>
      <c r="F68" s="8">
        <v>63.65</v>
      </c>
      <c r="G68" s="6">
        <v>1</v>
      </c>
      <c r="H68" s="8">
        <v>40</v>
      </c>
      <c r="I68" s="8" t="s">
        <v>37</v>
      </c>
      <c r="J68" s="8"/>
      <c r="K68" s="8">
        <v>78.016999999999996</v>
      </c>
      <c r="L68" s="8">
        <f t="shared" si="24"/>
        <v>-54.064999999999998</v>
      </c>
      <c r="M68" s="8">
        <f t="shared" si="25"/>
        <v>23.952000000000002</v>
      </c>
      <c r="N68" s="8"/>
      <c r="O68" s="8"/>
      <c r="P68" s="8">
        <v>0</v>
      </c>
      <c r="Q68" s="8"/>
      <c r="R68" s="8"/>
      <c r="S68" s="8">
        <v>64.145400000000009</v>
      </c>
      <c r="T68" s="22"/>
      <c r="U68" s="8">
        <f t="shared" si="26"/>
        <v>4.7904</v>
      </c>
      <c r="V68" s="4"/>
      <c r="W68" s="4">
        <f t="shared" si="17"/>
        <v>0</v>
      </c>
      <c r="X68" s="4"/>
      <c r="Y68" s="28"/>
      <c r="Z68" s="4">
        <f t="shared" si="9"/>
        <v>0</v>
      </c>
      <c r="AA68" s="28"/>
      <c r="AB68" s="8"/>
      <c r="AC68" s="8">
        <f t="shared" si="10"/>
        <v>26.677396459585839</v>
      </c>
      <c r="AD68" s="8">
        <f t="shared" si="27"/>
        <v>26.677396459585839</v>
      </c>
      <c r="AE68" s="8">
        <v>12.265599999999999</v>
      </c>
      <c r="AF68" s="8">
        <v>17.055599999999998</v>
      </c>
      <c r="AG68" s="8">
        <v>11.9252</v>
      </c>
      <c r="AH68" s="8">
        <v>7.8718000000000004</v>
      </c>
      <c r="AI68" s="8">
        <v>7.6943999999999999</v>
      </c>
      <c r="AJ68" s="8">
        <v>8.5982000000000003</v>
      </c>
      <c r="AK68" s="8">
        <v>10.3788</v>
      </c>
      <c r="AL68" s="8">
        <v>10.9048</v>
      </c>
      <c r="AM68" s="8"/>
      <c r="AN68" s="8">
        <f t="shared" si="11"/>
        <v>0</v>
      </c>
      <c r="AO68" s="8">
        <f t="shared" si="12"/>
        <v>0</v>
      </c>
      <c r="AP68" s="8">
        <f t="shared" si="13"/>
        <v>0</v>
      </c>
      <c r="AQ68" s="8">
        <f t="shared" si="14"/>
        <v>0</v>
      </c>
      <c r="AR68" s="8">
        <f t="shared" si="15"/>
        <v>0</v>
      </c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 t="s">
        <v>115</v>
      </c>
      <c r="B69" s="8" t="s">
        <v>36</v>
      </c>
      <c r="C69" s="8">
        <v>72.518000000000001</v>
      </c>
      <c r="D69" s="8">
        <v>184.649</v>
      </c>
      <c r="E69" s="8">
        <v>89.724999999999994</v>
      </c>
      <c r="F69" s="8">
        <v>113.092</v>
      </c>
      <c r="G69" s="6">
        <v>1</v>
      </c>
      <c r="H69" s="8">
        <v>40</v>
      </c>
      <c r="I69" s="8" t="s">
        <v>37</v>
      </c>
      <c r="J69" s="8"/>
      <c r="K69" s="8">
        <v>100.142</v>
      </c>
      <c r="L69" s="8">
        <f t="shared" si="24"/>
        <v>-10.417000000000002</v>
      </c>
      <c r="M69" s="8">
        <f t="shared" si="25"/>
        <v>89.724999999999994</v>
      </c>
      <c r="N69" s="8"/>
      <c r="O69" s="8"/>
      <c r="P69" s="8">
        <v>0</v>
      </c>
      <c r="Q69" s="8"/>
      <c r="R69" s="8"/>
      <c r="S69" s="8">
        <v>53.196199999999912</v>
      </c>
      <c r="T69" s="22"/>
      <c r="U69" s="8">
        <f t="shared" si="26"/>
        <v>17.945</v>
      </c>
      <c r="V69" s="4">
        <f t="shared" si="31"/>
        <v>49.051800000000085</v>
      </c>
      <c r="W69" s="4">
        <f t="shared" si="17"/>
        <v>49.051800000000085</v>
      </c>
      <c r="X69" s="4"/>
      <c r="Y69" s="28"/>
      <c r="Z69" s="4">
        <f t="shared" si="9"/>
        <v>49.051800000000085</v>
      </c>
      <c r="AA69" s="28"/>
      <c r="AB69" s="8"/>
      <c r="AC69" s="8">
        <f t="shared" si="10"/>
        <v>11.999999999999998</v>
      </c>
      <c r="AD69" s="8">
        <f t="shared" si="27"/>
        <v>9.2665477848982949</v>
      </c>
      <c r="AE69" s="8">
        <v>16.682200000000002</v>
      </c>
      <c r="AF69" s="8">
        <v>20.416399999999999</v>
      </c>
      <c r="AG69" s="8">
        <v>21.869800000000001</v>
      </c>
      <c r="AH69" s="8">
        <v>14.438000000000001</v>
      </c>
      <c r="AI69" s="8">
        <v>14.6104</v>
      </c>
      <c r="AJ69" s="8">
        <v>11.178800000000001</v>
      </c>
      <c r="AK69" s="8">
        <v>12.990399999999999</v>
      </c>
      <c r="AL69" s="8">
        <v>13.3424</v>
      </c>
      <c r="AM69" s="8"/>
      <c r="AN69" s="8">
        <f t="shared" si="11"/>
        <v>0</v>
      </c>
      <c r="AO69" s="8">
        <f t="shared" si="12"/>
        <v>0</v>
      </c>
      <c r="AP69" s="8">
        <f t="shared" si="13"/>
        <v>49</v>
      </c>
      <c r="AQ69" s="8">
        <f t="shared" si="14"/>
        <v>0</v>
      </c>
      <c r="AR69" s="8">
        <f t="shared" si="15"/>
        <v>0</v>
      </c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 t="s">
        <v>116</v>
      </c>
      <c r="B70" s="8" t="s">
        <v>36</v>
      </c>
      <c r="C70" s="8">
        <v>1280.424</v>
      </c>
      <c r="D70" s="8">
        <v>58.9</v>
      </c>
      <c r="E70" s="8">
        <v>636.99199999999996</v>
      </c>
      <c r="F70" s="8">
        <v>629.05499999999995</v>
      </c>
      <c r="G70" s="6">
        <v>1</v>
      </c>
      <c r="H70" s="8">
        <v>40</v>
      </c>
      <c r="I70" s="8" t="s">
        <v>37</v>
      </c>
      <c r="J70" s="8"/>
      <c r="K70" s="8">
        <v>661.85799999999995</v>
      </c>
      <c r="L70" s="8">
        <f t="shared" ref="L70:L101" si="32">E70-K70</f>
        <v>-24.865999999999985</v>
      </c>
      <c r="M70" s="8">
        <f t="shared" ref="M70:M101" si="33">E70-N70</f>
        <v>446.26799999999997</v>
      </c>
      <c r="N70" s="8">
        <v>190.72399999999999</v>
      </c>
      <c r="O70" s="8"/>
      <c r="P70" s="8">
        <v>95.19388000000005</v>
      </c>
      <c r="Q70" s="8"/>
      <c r="R70" s="8"/>
      <c r="S70" s="8">
        <v>392.98524000000009</v>
      </c>
      <c r="T70" s="22"/>
      <c r="U70" s="8">
        <f t="shared" ref="U70:U101" si="34">M70/5</f>
        <v>89.253599999999992</v>
      </c>
      <c r="V70" s="4"/>
      <c r="W70" s="4">
        <f>V70+$W$1*U70</f>
        <v>233.04114959999998</v>
      </c>
      <c r="X70" s="4"/>
      <c r="Y70" s="28"/>
      <c r="Z70" s="4">
        <f t="shared" si="9"/>
        <v>233.04114959999998</v>
      </c>
      <c r="AA70" s="28"/>
      <c r="AB70" s="8"/>
      <c r="AC70" s="8">
        <f t="shared" si="10"/>
        <v>15.128524447193168</v>
      </c>
      <c r="AD70" s="8">
        <f t="shared" ref="AD70:AD101" si="35">(F70+O70+P70+Q70+R70+S70)/U70</f>
        <v>12.517524447193168</v>
      </c>
      <c r="AE70" s="8">
        <v>110.14279999999999</v>
      </c>
      <c r="AF70" s="8">
        <v>106.628</v>
      </c>
      <c r="AG70" s="8">
        <v>119.44499999999999</v>
      </c>
      <c r="AH70" s="8">
        <v>150.35599999999999</v>
      </c>
      <c r="AI70" s="8">
        <v>156.10319999999999</v>
      </c>
      <c r="AJ70" s="8">
        <v>121.55540000000001</v>
      </c>
      <c r="AK70" s="8">
        <v>176.9426</v>
      </c>
      <c r="AL70" s="8">
        <v>160.39500000000001</v>
      </c>
      <c r="AM70" s="8"/>
      <c r="AN70" s="8">
        <f t="shared" si="11"/>
        <v>0</v>
      </c>
      <c r="AO70" s="8">
        <f t="shared" si="12"/>
        <v>0</v>
      </c>
      <c r="AP70" s="8">
        <f t="shared" si="13"/>
        <v>233</v>
      </c>
      <c r="AQ70" s="8">
        <f t="shared" si="14"/>
        <v>0</v>
      </c>
      <c r="AR70" s="8">
        <f t="shared" si="15"/>
        <v>0</v>
      </c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 t="s">
        <v>117</v>
      </c>
      <c r="B71" s="8" t="s">
        <v>36</v>
      </c>
      <c r="C71" s="8">
        <v>65.103999999999999</v>
      </c>
      <c r="D71" s="8">
        <v>33.347000000000001</v>
      </c>
      <c r="E71" s="8">
        <v>71.709999999999994</v>
      </c>
      <c r="F71" s="8">
        <v>10.497999999999999</v>
      </c>
      <c r="G71" s="6">
        <v>1</v>
      </c>
      <c r="H71" s="8">
        <v>40</v>
      </c>
      <c r="I71" s="8" t="s">
        <v>37</v>
      </c>
      <c r="J71" s="8"/>
      <c r="K71" s="8">
        <v>77.015000000000001</v>
      </c>
      <c r="L71" s="8">
        <f t="shared" si="32"/>
        <v>-5.3050000000000068</v>
      </c>
      <c r="M71" s="8">
        <f t="shared" si="33"/>
        <v>71.709999999999994</v>
      </c>
      <c r="N71" s="8"/>
      <c r="O71" s="8"/>
      <c r="P71" s="8">
        <v>0</v>
      </c>
      <c r="Q71" s="8"/>
      <c r="R71" s="8"/>
      <c r="S71" s="8">
        <v>117.58580000000001</v>
      </c>
      <c r="T71" s="22"/>
      <c r="U71" s="8">
        <f t="shared" si="34"/>
        <v>14.341999999999999</v>
      </c>
      <c r="V71" s="4">
        <f t="shared" si="31"/>
        <v>44.020199999999981</v>
      </c>
      <c r="W71" s="4">
        <f t="shared" ref="W71:W134" si="36">V71</f>
        <v>44.020199999999981</v>
      </c>
      <c r="X71" s="4"/>
      <c r="Y71" s="28"/>
      <c r="Z71" s="4">
        <f t="shared" ref="Z71:Z134" si="37">W71-X71</f>
        <v>44.020199999999981</v>
      </c>
      <c r="AA71" s="28"/>
      <c r="AB71" s="8"/>
      <c r="AC71" s="8">
        <f t="shared" ref="AC71:AC134" si="38">(F71+O71+P71+Q71+R71+S71+W71+T71+Y71+AA71)/U71</f>
        <v>12</v>
      </c>
      <c r="AD71" s="8">
        <f t="shared" si="35"/>
        <v>8.9306791242504531</v>
      </c>
      <c r="AE71" s="8">
        <v>18.890999999999998</v>
      </c>
      <c r="AF71" s="8">
        <v>10.531000000000001</v>
      </c>
      <c r="AG71" s="8">
        <v>10.1662</v>
      </c>
      <c r="AH71" s="8">
        <v>7.0498000000000003</v>
      </c>
      <c r="AI71" s="8">
        <v>8.1069999999999993</v>
      </c>
      <c r="AJ71" s="8">
        <v>10.646599999999999</v>
      </c>
      <c r="AK71" s="8">
        <v>11.2418</v>
      </c>
      <c r="AL71" s="8">
        <v>12.716799999999999</v>
      </c>
      <c r="AM71" s="8"/>
      <c r="AN71" s="8">
        <f t="shared" ref="AN71:AN134" si="39">ROUND(G71*X71,0)</f>
        <v>0</v>
      </c>
      <c r="AO71" s="8">
        <f t="shared" ref="AO71:AO134" si="40">ROUND(G71*Y71,0)</f>
        <v>0</v>
      </c>
      <c r="AP71" s="8">
        <f t="shared" ref="AP71:AP134" si="41">ROUND(G71*Z71,0)</f>
        <v>44</v>
      </c>
      <c r="AQ71" s="8">
        <f t="shared" ref="AQ71:AQ134" si="42">ROUND(G71*AA71,0)</f>
        <v>0</v>
      </c>
      <c r="AR71" s="8">
        <f t="shared" ref="AR71:AR134" si="43">ROUND(G71*T71,0)</f>
        <v>0</v>
      </c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9" t="s">
        <v>118</v>
      </c>
      <c r="B72" s="9" t="s">
        <v>41</v>
      </c>
      <c r="C72" s="9"/>
      <c r="D72" s="9"/>
      <c r="E72" s="9"/>
      <c r="F72" s="9"/>
      <c r="G72" s="10">
        <v>0</v>
      </c>
      <c r="H72" s="9"/>
      <c r="I72" s="9" t="s">
        <v>37</v>
      </c>
      <c r="J72" s="9"/>
      <c r="K72" s="9"/>
      <c r="L72" s="9">
        <f t="shared" si="32"/>
        <v>0</v>
      </c>
      <c r="M72" s="9">
        <f t="shared" si="33"/>
        <v>0</v>
      </c>
      <c r="N72" s="9"/>
      <c r="O72" s="9"/>
      <c r="P72" s="9">
        <v>0</v>
      </c>
      <c r="Q72" s="9"/>
      <c r="R72" s="9"/>
      <c r="S72" s="9">
        <v>0</v>
      </c>
      <c r="T72" s="24"/>
      <c r="U72" s="9">
        <f t="shared" si="34"/>
        <v>0</v>
      </c>
      <c r="V72" s="11"/>
      <c r="W72" s="4">
        <f t="shared" si="36"/>
        <v>0</v>
      </c>
      <c r="X72" s="4"/>
      <c r="Y72" s="28"/>
      <c r="Z72" s="4">
        <f t="shared" si="37"/>
        <v>0</v>
      </c>
      <c r="AA72" s="28"/>
      <c r="AB72" s="8"/>
      <c r="AC72" s="8" t="e">
        <f t="shared" si="38"/>
        <v>#DIV/0!</v>
      </c>
      <c r="AD72" s="9" t="e">
        <f t="shared" si="35"/>
        <v>#DIV/0!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 t="s">
        <v>60</v>
      </c>
      <c r="AN72" s="8">
        <f t="shared" si="39"/>
        <v>0</v>
      </c>
      <c r="AO72" s="8">
        <f t="shared" si="40"/>
        <v>0</v>
      </c>
      <c r="AP72" s="8">
        <f t="shared" si="41"/>
        <v>0</v>
      </c>
      <c r="AQ72" s="8">
        <f t="shared" si="42"/>
        <v>0</v>
      </c>
      <c r="AR72" s="8">
        <f t="shared" si="43"/>
        <v>0</v>
      </c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30" t="s">
        <v>119</v>
      </c>
      <c r="B73" s="8" t="s">
        <v>36</v>
      </c>
      <c r="C73" s="8">
        <v>426.51499999999999</v>
      </c>
      <c r="D73" s="8">
        <v>189.87100000000001</v>
      </c>
      <c r="E73" s="8">
        <v>296.75599999999997</v>
      </c>
      <c r="F73" s="8">
        <v>220.74299999999999</v>
      </c>
      <c r="G73" s="6">
        <v>1</v>
      </c>
      <c r="H73" s="8">
        <v>30</v>
      </c>
      <c r="I73" s="8" t="s">
        <v>37</v>
      </c>
      <c r="J73" s="8"/>
      <c r="K73" s="8">
        <v>380.8</v>
      </c>
      <c r="L73" s="8">
        <f t="shared" si="32"/>
        <v>-84.04400000000004</v>
      </c>
      <c r="M73" s="8">
        <f t="shared" si="33"/>
        <v>296.75599999999997</v>
      </c>
      <c r="N73" s="8"/>
      <c r="O73" s="8"/>
      <c r="P73" s="8">
        <v>277.23999447599999</v>
      </c>
      <c r="Q73" s="8">
        <v>594.58388752400003</v>
      </c>
      <c r="R73" s="8"/>
      <c r="S73" s="8">
        <v>0</v>
      </c>
      <c r="T73" s="22"/>
      <c r="U73" s="8">
        <f t="shared" si="34"/>
        <v>59.351199999999992</v>
      </c>
      <c r="V73" s="4"/>
      <c r="W73" s="4">
        <f t="shared" si="36"/>
        <v>0</v>
      </c>
      <c r="X73" s="4"/>
      <c r="Y73" s="28"/>
      <c r="Z73" s="4">
        <f t="shared" si="37"/>
        <v>0</v>
      </c>
      <c r="AA73" s="28"/>
      <c r="AB73" s="8"/>
      <c r="AC73" s="8">
        <f t="shared" si="38"/>
        <v>18.408505337718534</v>
      </c>
      <c r="AD73" s="8">
        <f t="shared" si="35"/>
        <v>18.408505337718534</v>
      </c>
      <c r="AE73" s="8">
        <v>99.834000000000003</v>
      </c>
      <c r="AF73" s="8">
        <v>113.3442</v>
      </c>
      <c r="AG73" s="8">
        <v>77.829800000000006</v>
      </c>
      <c r="AH73" s="8">
        <v>48.958399999999997</v>
      </c>
      <c r="AI73" s="8">
        <v>62.925199999999997</v>
      </c>
      <c r="AJ73" s="8">
        <v>91.303799999999995</v>
      </c>
      <c r="AK73" s="8">
        <v>116.23739999999999</v>
      </c>
      <c r="AL73" s="8">
        <v>91.614599999999996</v>
      </c>
      <c r="AM73" s="8"/>
      <c r="AN73" s="8">
        <f t="shared" si="39"/>
        <v>0</v>
      </c>
      <c r="AO73" s="8">
        <f t="shared" si="40"/>
        <v>0</v>
      </c>
      <c r="AP73" s="8">
        <f t="shared" si="41"/>
        <v>0</v>
      </c>
      <c r="AQ73" s="8">
        <f t="shared" si="42"/>
        <v>0</v>
      </c>
      <c r="AR73" s="8">
        <f t="shared" si="43"/>
        <v>0</v>
      </c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 t="s">
        <v>120</v>
      </c>
      <c r="B74" s="8" t="s">
        <v>41</v>
      </c>
      <c r="C74" s="8">
        <v>107</v>
      </c>
      <c r="D74" s="8">
        <v>972</v>
      </c>
      <c r="E74" s="8">
        <v>357</v>
      </c>
      <c r="F74" s="8">
        <v>548</v>
      </c>
      <c r="G74" s="6">
        <v>0.6</v>
      </c>
      <c r="H74" s="8">
        <v>60</v>
      </c>
      <c r="I74" s="8" t="s">
        <v>37</v>
      </c>
      <c r="J74" s="8"/>
      <c r="K74" s="8">
        <v>863</v>
      </c>
      <c r="L74" s="8">
        <f t="shared" si="32"/>
        <v>-506</v>
      </c>
      <c r="M74" s="8">
        <f t="shared" si="33"/>
        <v>357</v>
      </c>
      <c r="N74" s="8"/>
      <c r="O74" s="8"/>
      <c r="P74" s="8">
        <v>303.43814400000002</v>
      </c>
      <c r="Q74" s="8">
        <v>650.76985600000012</v>
      </c>
      <c r="R74" s="8"/>
      <c r="S74" s="8">
        <v>100</v>
      </c>
      <c r="T74" s="22"/>
      <c r="U74" s="8">
        <f t="shared" si="34"/>
        <v>71.400000000000006</v>
      </c>
      <c r="V74" s="4"/>
      <c r="W74" s="4">
        <f t="shared" si="36"/>
        <v>0</v>
      </c>
      <c r="X74" s="4"/>
      <c r="Y74" s="28"/>
      <c r="Z74" s="4">
        <f t="shared" si="37"/>
        <v>0</v>
      </c>
      <c r="AA74" s="28"/>
      <c r="AB74" s="8"/>
      <c r="AC74" s="8">
        <f t="shared" si="38"/>
        <v>22.439887955182073</v>
      </c>
      <c r="AD74" s="8">
        <f t="shared" si="35"/>
        <v>22.439887955182073</v>
      </c>
      <c r="AE74" s="8">
        <v>79.400000000000006</v>
      </c>
      <c r="AF74" s="8">
        <v>144.80000000000001</v>
      </c>
      <c r="AG74" s="8">
        <v>132.19999999999999</v>
      </c>
      <c r="AH74" s="8">
        <v>65.599999999999994</v>
      </c>
      <c r="AI74" s="8">
        <v>71</v>
      </c>
      <c r="AJ74" s="8">
        <v>74</v>
      </c>
      <c r="AK74" s="8">
        <v>122</v>
      </c>
      <c r="AL74" s="8">
        <v>127.6</v>
      </c>
      <c r="AM74" s="8"/>
      <c r="AN74" s="8">
        <f t="shared" si="39"/>
        <v>0</v>
      </c>
      <c r="AO74" s="8">
        <f t="shared" si="40"/>
        <v>0</v>
      </c>
      <c r="AP74" s="8">
        <f t="shared" si="41"/>
        <v>0</v>
      </c>
      <c r="AQ74" s="8">
        <f t="shared" si="42"/>
        <v>0</v>
      </c>
      <c r="AR74" s="8">
        <f t="shared" si="43"/>
        <v>0</v>
      </c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 t="s">
        <v>121</v>
      </c>
      <c r="B75" s="8" t="s">
        <v>41</v>
      </c>
      <c r="C75" s="8">
        <v>178</v>
      </c>
      <c r="D75" s="8">
        <v>907</v>
      </c>
      <c r="E75" s="8">
        <v>372</v>
      </c>
      <c r="F75" s="8">
        <v>502</v>
      </c>
      <c r="G75" s="6">
        <v>0.6</v>
      </c>
      <c r="H75" s="8">
        <v>60</v>
      </c>
      <c r="I75" s="8" t="s">
        <v>37</v>
      </c>
      <c r="J75" s="8"/>
      <c r="K75" s="8">
        <v>868</v>
      </c>
      <c r="L75" s="8">
        <f t="shared" si="32"/>
        <v>-496</v>
      </c>
      <c r="M75" s="8">
        <f t="shared" si="33"/>
        <v>372</v>
      </c>
      <c r="N75" s="8"/>
      <c r="O75" s="8"/>
      <c r="P75" s="8">
        <v>253.012248</v>
      </c>
      <c r="Q75" s="8">
        <v>542.6237520000002</v>
      </c>
      <c r="R75" s="8"/>
      <c r="S75" s="8">
        <v>100</v>
      </c>
      <c r="T75" s="22"/>
      <c r="U75" s="8">
        <f t="shared" si="34"/>
        <v>74.400000000000006</v>
      </c>
      <c r="V75" s="4"/>
      <c r="W75" s="4">
        <f t="shared" si="36"/>
        <v>0</v>
      </c>
      <c r="X75" s="4"/>
      <c r="Y75" s="28"/>
      <c r="Z75" s="4">
        <f t="shared" si="37"/>
        <v>0</v>
      </c>
      <c r="AA75" s="28"/>
      <c r="AB75" s="8"/>
      <c r="AC75" s="8">
        <f t="shared" si="38"/>
        <v>18.785430107526881</v>
      </c>
      <c r="AD75" s="8">
        <f t="shared" si="35"/>
        <v>18.785430107526881</v>
      </c>
      <c r="AE75" s="8">
        <v>96.8</v>
      </c>
      <c r="AF75" s="8">
        <v>125.2</v>
      </c>
      <c r="AG75" s="8">
        <v>118.6</v>
      </c>
      <c r="AH75" s="8">
        <v>74.400000000000006</v>
      </c>
      <c r="AI75" s="8">
        <v>64.8</v>
      </c>
      <c r="AJ75" s="8">
        <v>68.599999999999994</v>
      </c>
      <c r="AK75" s="8">
        <v>104.6</v>
      </c>
      <c r="AL75" s="8">
        <v>112.2</v>
      </c>
      <c r="AM75" s="8"/>
      <c r="AN75" s="8">
        <f t="shared" si="39"/>
        <v>0</v>
      </c>
      <c r="AO75" s="8">
        <f t="shared" si="40"/>
        <v>0</v>
      </c>
      <c r="AP75" s="8">
        <f t="shared" si="41"/>
        <v>0</v>
      </c>
      <c r="AQ75" s="8">
        <f t="shared" si="42"/>
        <v>0</v>
      </c>
      <c r="AR75" s="8">
        <f t="shared" si="43"/>
        <v>0</v>
      </c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9" t="s">
        <v>122</v>
      </c>
      <c r="B76" s="9" t="s">
        <v>41</v>
      </c>
      <c r="C76" s="9"/>
      <c r="D76" s="9"/>
      <c r="E76" s="9"/>
      <c r="F76" s="9"/>
      <c r="G76" s="10">
        <v>0</v>
      </c>
      <c r="H76" s="9"/>
      <c r="I76" s="9" t="s">
        <v>37</v>
      </c>
      <c r="J76" s="9"/>
      <c r="K76" s="9"/>
      <c r="L76" s="9">
        <f t="shared" si="32"/>
        <v>0</v>
      </c>
      <c r="M76" s="9">
        <f t="shared" si="33"/>
        <v>0</v>
      </c>
      <c r="N76" s="9"/>
      <c r="O76" s="9"/>
      <c r="P76" s="9">
        <v>0</v>
      </c>
      <c r="Q76" s="9"/>
      <c r="R76" s="9"/>
      <c r="S76" s="9">
        <v>0</v>
      </c>
      <c r="T76" s="24"/>
      <c r="U76" s="9">
        <f t="shared" si="34"/>
        <v>0</v>
      </c>
      <c r="V76" s="11"/>
      <c r="W76" s="4">
        <f t="shared" si="36"/>
        <v>0</v>
      </c>
      <c r="X76" s="4"/>
      <c r="Y76" s="28"/>
      <c r="Z76" s="4">
        <f t="shared" si="37"/>
        <v>0</v>
      </c>
      <c r="AA76" s="28"/>
      <c r="AB76" s="8"/>
      <c r="AC76" s="8" t="e">
        <f t="shared" si="38"/>
        <v>#DIV/0!</v>
      </c>
      <c r="AD76" s="9" t="e">
        <f t="shared" si="35"/>
        <v>#DIV/0!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 t="s">
        <v>60</v>
      </c>
      <c r="AN76" s="8">
        <f t="shared" si="39"/>
        <v>0</v>
      </c>
      <c r="AO76" s="8">
        <f t="shared" si="40"/>
        <v>0</v>
      </c>
      <c r="AP76" s="8">
        <f t="shared" si="41"/>
        <v>0</v>
      </c>
      <c r="AQ76" s="8">
        <f t="shared" si="42"/>
        <v>0</v>
      </c>
      <c r="AR76" s="8">
        <f t="shared" si="43"/>
        <v>0</v>
      </c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9" t="s">
        <v>123</v>
      </c>
      <c r="B77" s="9" t="s">
        <v>41</v>
      </c>
      <c r="C77" s="9">
        <v>2</v>
      </c>
      <c r="D77" s="9"/>
      <c r="E77" s="9"/>
      <c r="F77" s="9">
        <v>2</v>
      </c>
      <c r="G77" s="10">
        <v>0</v>
      </c>
      <c r="H77" s="9"/>
      <c r="I77" s="9" t="s">
        <v>37</v>
      </c>
      <c r="J77" s="9"/>
      <c r="K77" s="9">
        <v>1</v>
      </c>
      <c r="L77" s="9">
        <f t="shared" si="32"/>
        <v>-1</v>
      </c>
      <c r="M77" s="9">
        <f t="shared" si="33"/>
        <v>0</v>
      </c>
      <c r="N77" s="9"/>
      <c r="O77" s="9"/>
      <c r="P77" s="9">
        <v>0</v>
      </c>
      <c r="Q77" s="9"/>
      <c r="R77" s="9"/>
      <c r="S77" s="9">
        <v>0</v>
      </c>
      <c r="T77" s="24"/>
      <c r="U77" s="9">
        <f t="shared" si="34"/>
        <v>0</v>
      </c>
      <c r="V77" s="11"/>
      <c r="W77" s="4">
        <f t="shared" si="36"/>
        <v>0</v>
      </c>
      <c r="X77" s="4"/>
      <c r="Y77" s="28"/>
      <c r="Z77" s="4">
        <f t="shared" si="37"/>
        <v>0</v>
      </c>
      <c r="AA77" s="28"/>
      <c r="AB77" s="8"/>
      <c r="AC77" s="8" t="e">
        <f t="shared" si="38"/>
        <v>#DIV/0!</v>
      </c>
      <c r="AD77" s="9" t="e">
        <f t="shared" si="35"/>
        <v>#DIV/0!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 t="s">
        <v>60</v>
      </c>
      <c r="AN77" s="8">
        <f t="shared" si="39"/>
        <v>0</v>
      </c>
      <c r="AO77" s="8">
        <f t="shared" si="40"/>
        <v>0</v>
      </c>
      <c r="AP77" s="8">
        <f t="shared" si="41"/>
        <v>0</v>
      </c>
      <c r="AQ77" s="8">
        <f t="shared" si="42"/>
        <v>0</v>
      </c>
      <c r="AR77" s="8">
        <f t="shared" si="43"/>
        <v>0</v>
      </c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 t="s">
        <v>124</v>
      </c>
      <c r="B78" s="8" t="s">
        <v>41</v>
      </c>
      <c r="C78" s="8">
        <v>102</v>
      </c>
      <c r="D78" s="8">
        <v>5</v>
      </c>
      <c r="E78" s="8">
        <v>47</v>
      </c>
      <c r="F78" s="8">
        <v>52</v>
      </c>
      <c r="G78" s="6">
        <v>0.35</v>
      </c>
      <c r="H78" s="8">
        <v>90</v>
      </c>
      <c r="I78" s="8" t="s">
        <v>37</v>
      </c>
      <c r="J78" s="8"/>
      <c r="K78" s="8">
        <v>52</v>
      </c>
      <c r="L78" s="8">
        <f t="shared" si="32"/>
        <v>-5</v>
      </c>
      <c r="M78" s="8">
        <f t="shared" si="33"/>
        <v>47</v>
      </c>
      <c r="N78" s="8"/>
      <c r="O78" s="8"/>
      <c r="P78" s="8">
        <v>0</v>
      </c>
      <c r="Q78" s="8"/>
      <c r="R78" s="8"/>
      <c r="S78" s="8">
        <v>45.400000000000013</v>
      </c>
      <c r="T78" s="22"/>
      <c r="U78" s="8">
        <f t="shared" si="34"/>
        <v>9.4</v>
      </c>
      <c r="V78" s="4">
        <f t="shared" ref="V78:V84" si="44">12*U78-S78-R78-Q78-P78-O78-F78</f>
        <v>15.400000000000006</v>
      </c>
      <c r="W78" s="4">
        <f t="shared" si="36"/>
        <v>15.400000000000006</v>
      </c>
      <c r="X78" s="4"/>
      <c r="Y78" s="28"/>
      <c r="Z78" s="4">
        <f t="shared" si="37"/>
        <v>15.400000000000006</v>
      </c>
      <c r="AA78" s="28"/>
      <c r="AB78" s="8"/>
      <c r="AC78" s="8">
        <f t="shared" si="38"/>
        <v>12</v>
      </c>
      <c r="AD78" s="8">
        <f t="shared" si="35"/>
        <v>10.361702127659575</v>
      </c>
      <c r="AE78" s="8">
        <v>10.4</v>
      </c>
      <c r="AF78" s="8">
        <v>6.2</v>
      </c>
      <c r="AG78" s="8">
        <v>9.4</v>
      </c>
      <c r="AH78" s="8">
        <v>9.4</v>
      </c>
      <c r="AI78" s="8">
        <v>5.2</v>
      </c>
      <c r="AJ78" s="8">
        <v>8.1999999999999993</v>
      </c>
      <c r="AK78" s="8">
        <v>11.2</v>
      </c>
      <c r="AL78" s="8">
        <v>17.399999999999999</v>
      </c>
      <c r="AM78" s="8"/>
      <c r="AN78" s="8">
        <f t="shared" si="39"/>
        <v>0</v>
      </c>
      <c r="AO78" s="8">
        <f t="shared" si="40"/>
        <v>0</v>
      </c>
      <c r="AP78" s="8">
        <f t="shared" si="41"/>
        <v>5</v>
      </c>
      <c r="AQ78" s="8">
        <f t="shared" si="42"/>
        <v>0</v>
      </c>
      <c r="AR78" s="8">
        <f t="shared" si="43"/>
        <v>0</v>
      </c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 t="s">
        <v>125</v>
      </c>
      <c r="B79" s="8" t="s">
        <v>41</v>
      </c>
      <c r="C79" s="8">
        <v>225</v>
      </c>
      <c r="D79" s="8">
        <v>96</v>
      </c>
      <c r="E79" s="8">
        <v>147</v>
      </c>
      <c r="F79" s="8">
        <v>147</v>
      </c>
      <c r="G79" s="6">
        <v>0.37</v>
      </c>
      <c r="H79" s="8">
        <v>50</v>
      </c>
      <c r="I79" s="8" t="s">
        <v>37</v>
      </c>
      <c r="J79" s="8"/>
      <c r="K79" s="8">
        <v>198</v>
      </c>
      <c r="L79" s="8">
        <f t="shared" si="32"/>
        <v>-51</v>
      </c>
      <c r="M79" s="8">
        <f t="shared" si="33"/>
        <v>147</v>
      </c>
      <c r="N79" s="8"/>
      <c r="O79" s="8"/>
      <c r="P79" s="8">
        <v>60.639999999999873</v>
      </c>
      <c r="Q79" s="8"/>
      <c r="R79" s="8"/>
      <c r="S79" s="8">
        <v>0</v>
      </c>
      <c r="T79" s="22"/>
      <c r="U79" s="8">
        <f t="shared" si="34"/>
        <v>29.4</v>
      </c>
      <c r="V79" s="4">
        <f t="shared" si="44"/>
        <v>145.16000000000008</v>
      </c>
      <c r="W79" s="4">
        <f t="shared" si="36"/>
        <v>145.16000000000008</v>
      </c>
      <c r="X79" s="4"/>
      <c r="Y79" s="28"/>
      <c r="Z79" s="4">
        <f t="shared" si="37"/>
        <v>145.16000000000008</v>
      </c>
      <c r="AA79" s="28"/>
      <c r="AB79" s="8"/>
      <c r="AC79" s="8">
        <f t="shared" si="38"/>
        <v>11.999999999999998</v>
      </c>
      <c r="AD79" s="8">
        <f t="shared" si="35"/>
        <v>7.0625850340136012</v>
      </c>
      <c r="AE79" s="8">
        <v>16.2</v>
      </c>
      <c r="AF79" s="8">
        <v>28.8</v>
      </c>
      <c r="AG79" s="8">
        <v>28.8</v>
      </c>
      <c r="AH79" s="8">
        <v>18.2</v>
      </c>
      <c r="AI79" s="8">
        <v>30.6</v>
      </c>
      <c r="AJ79" s="8">
        <v>29</v>
      </c>
      <c r="AK79" s="8">
        <v>32.200000000000003</v>
      </c>
      <c r="AL79" s="8">
        <v>29.2</v>
      </c>
      <c r="AM79" s="8"/>
      <c r="AN79" s="8">
        <f t="shared" si="39"/>
        <v>0</v>
      </c>
      <c r="AO79" s="8">
        <f t="shared" si="40"/>
        <v>0</v>
      </c>
      <c r="AP79" s="8">
        <f t="shared" si="41"/>
        <v>54</v>
      </c>
      <c r="AQ79" s="8">
        <f t="shared" si="42"/>
        <v>0</v>
      </c>
      <c r="AR79" s="8">
        <f t="shared" si="43"/>
        <v>0</v>
      </c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 t="s">
        <v>126</v>
      </c>
      <c r="B80" s="8" t="s">
        <v>41</v>
      </c>
      <c r="C80" s="8">
        <v>70</v>
      </c>
      <c r="D80" s="8">
        <v>165</v>
      </c>
      <c r="E80" s="8">
        <v>98</v>
      </c>
      <c r="F80" s="8">
        <v>81</v>
      </c>
      <c r="G80" s="6">
        <v>0.6</v>
      </c>
      <c r="H80" s="8">
        <v>70</v>
      </c>
      <c r="I80" s="15" t="s">
        <v>44</v>
      </c>
      <c r="J80" s="8"/>
      <c r="K80" s="8">
        <v>402</v>
      </c>
      <c r="L80" s="8">
        <f t="shared" si="32"/>
        <v>-304</v>
      </c>
      <c r="M80" s="8">
        <f t="shared" si="33"/>
        <v>98</v>
      </c>
      <c r="N80" s="8"/>
      <c r="O80" s="8"/>
      <c r="P80" s="8">
        <v>159</v>
      </c>
      <c r="Q80" s="8">
        <v>341</v>
      </c>
      <c r="R80" s="8"/>
      <c r="S80" s="8">
        <v>300</v>
      </c>
      <c r="T80" s="22"/>
      <c r="U80" s="8">
        <f t="shared" si="34"/>
        <v>19.600000000000001</v>
      </c>
      <c r="V80" s="4"/>
      <c r="W80" s="4">
        <f t="shared" si="36"/>
        <v>0</v>
      </c>
      <c r="X80" s="4"/>
      <c r="Y80" s="28"/>
      <c r="Z80" s="4">
        <f t="shared" si="37"/>
        <v>0</v>
      </c>
      <c r="AA80" s="28"/>
      <c r="AB80" s="8"/>
      <c r="AC80" s="8">
        <f t="shared" si="38"/>
        <v>44.948979591836732</v>
      </c>
      <c r="AD80" s="8">
        <f t="shared" si="35"/>
        <v>44.948979591836732</v>
      </c>
      <c r="AE80" s="8">
        <v>83.6</v>
      </c>
      <c r="AF80" s="8">
        <v>196.6</v>
      </c>
      <c r="AG80" s="8">
        <v>134</v>
      </c>
      <c r="AH80" s="8">
        <v>33.200000000000003</v>
      </c>
      <c r="AI80" s="8">
        <v>267.8</v>
      </c>
      <c r="AJ80" s="8">
        <v>269</v>
      </c>
      <c r="AK80" s="8">
        <v>267.2</v>
      </c>
      <c r="AL80" s="8">
        <v>46.4</v>
      </c>
      <c r="AM80" s="8" t="s">
        <v>186</v>
      </c>
      <c r="AN80" s="8">
        <f t="shared" si="39"/>
        <v>0</v>
      </c>
      <c r="AO80" s="8">
        <f t="shared" si="40"/>
        <v>0</v>
      </c>
      <c r="AP80" s="8">
        <f t="shared" si="41"/>
        <v>0</v>
      </c>
      <c r="AQ80" s="8">
        <f t="shared" si="42"/>
        <v>0</v>
      </c>
      <c r="AR80" s="8">
        <f t="shared" si="43"/>
        <v>0</v>
      </c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 t="s">
        <v>127</v>
      </c>
      <c r="B81" s="8" t="s">
        <v>41</v>
      </c>
      <c r="C81" s="8">
        <v>96</v>
      </c>
      <c r="D81" s="8">
        <v>238</v>
      </c>
      <c r="E81" s="8">
        <v>172</v>
      </c>
      <c r="F81" s="8">
        <v>69</v>
      </c>
      <c r="G81" s="6">
        <v>0.33</v>
      </c>
      <c r="H81" s="8">
        <v>40</v>
      </c>
      <c r="I81" s="8" t="s">
        <v>37</v>
      </c>
      <c r="J81" s="8"/>
      <c r="K81" s="8">
        <v>358</v>
      </c>
      <c r="L81" s="8">
        <f t="shared" si="32"/>
        <v>-186</v>
      </c>
      <c r="M81" s="8">
        <f t="shared" si="33"/>
        <v>172</v>
      </c>
      <c r="N81" s="8"/>
      <c r="O81" s="8"/>
      <c r="P81" s="8">
        <v>0</v>
      </c>
      <c r="Q81" s="8"/>
      <c r="R81" s="8"/>
      <c r="S81" s="8">
        <v>206.86</v>
      </c>
      <c r="T81" s="22"/>
      <c r="U81" s="8">
        <f t="shared" si="34"/>
        <v>34.4</v>
      </c>
      <c r="V81" s="4">
        <f t="shared" si="44"/>
        <v>136.93999999999994</v>
      </c>
      <c r="W81" s="4">
        <f t="shared" si="36"/>
        <v>136.93999999999994</v>
      </c>
      <c r="X81" s="4"/>
      <c r="Y81" s="28"/>
      <c r="Z81" s="4">
        <f t="shared" si="37"/>
        <v>136.93999999999994</v>
      </c>
      <c r="AA81" s="28"/>
      <c r="AB81" s="8"/>
      <c r="AC81" s="8">
        <f t="shared" si="38"/>
        <v>12</v>
      </c>
      <c r="AD81" s="8">
        <f t="shared" si="35"/>
        <v>8.0191860465116278</v>
      </c>
      <c r="AE81" s="8">
        <v>51</v>
      </c>
      <c r="AF81" s="8">
        <v>66.400000000000006</v>
      </c>
      <c r="AG81" s="8">
        <v>43.8</v>
      </c>
      <c r="AH81" s="8">
        <v>14</v>
      </c>
      <c r="AI81" s="8">
        <v>35.4</v>
      </c>
      <c r="AJ81" s="8">
        <v>34.799999999999997</v>
      </c>
      <c r="AK81" s="8">
        <v>35.6</v>
      </c>
      <c r="AL81" s="8">
        <v>19.8</v>
      </c>
      <c r="AM81" s="8"/>
      <c r="AN81" s="8">
        <f t="shared" si="39"/>
        <v>0</v>
      </c>
      <c r="AO81" s="8">
        <f t="shared" si="40"/>
        <v>0</v>
      </c>
      <c r="AP81" s="8">
        <f t="shared" si="41"/>
        <v>45</v>
      </c>
      <c r="AQ81" s="8">
        <f t="shared" si="42"/>
        <v>0</v>
      </c>
      <c r="AR81" s="8">
        <f t="shared" si="43"/>
        <v>0</v>
      </c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 t="s">
        <v>128</v>
      </c>
      <c r="B82" s="8" t="s">
        <v>41</v>
      </c>
      <c r="C82" s="8">
        <v>81</v>
      </c>
      <c r="D82" s="8">
        <v>10</v>
      </c>
      <c r="E82" s="8">
        <v>43</v>
      </c>
      <c r="F82" s="8">
        <v>38</v>
      </c>
      <c r="G82" s="6">
        <v>0.4</v>
      </c>
      <c r="H82" s="8">
        <v>55</v>
      </c>
      <c r="I82" s="8" t="s">
        <v>37</v>
      </c>
      <c r="J82" s="8"/>
      <c r="K82" s="8">
        <v>60</v>
      </c>
      <c r="L82" s="8">
        <f t="shared" si="32"/>
        <v>-17</v>
      </c>
      <c r="M82" s="8">
        <f t="shared" si="33"/>
        <v>43</v>
      </c>
      <c r="N82" s="8"/>
      <c r="O82" s="8"/>
      <c r="P82" s="8">
        <v>63.299999999999983</v>
      </c>
      <c r="Q82" s="8"/>
      <c r="R82" s="8"/>
      <c r="S82" s="8">
        <v>0</v>
      </c>
      <c r="T82" s="22"/>
      <c r="U82" s="8">
        <f t="shared" si="34"/>
        <v>8.6</v>
      </c>
      <c r="V82" s="4">
        <v>8</v>
      </c>
      <c r="W82" s="4">
        <f t="shared" si="36"/>
        <v>8</v>
      </c>
      <c r="X82" s="4"/>
      <c r="Y82" s="28"/>
      <c r="Z82" s="4">
        <f t="shared" si="37"/>
        <v>8</v>
      </c>
      <c r="AA82" s="28"/>
      <c r="AB82" s="8"/>
      <c r="AC82" s="8">
        <f t="shared" si="38"/>
        <v>12.709302325581394</v>
      </c>
      <c r="AD82" s="8">
        <f t="shared" si="35"/>
        <v>11.779069767441859</v>
      </c>
      <c r="AE82" s="8">
        <v>10.8</v>
      </c>
      <c r="AF82" s="8">
        <v>12.2</v>
      </c>
      <c r="AG82" s="8">
        <v>8.4</v>
      </c>
      <c r="AH82" s="8">
        <v>8.4</v>
      </c>
      <c r="AI82" s="8">
        <v>12</v>
      </c>
      <c r="AJ82" s="8">
        <v>8.4</v>
      </c>
      <c r="AK82" s="8">
        <v>7.2</v>
      </c>
      <c r="AL82" s="8">
        <v>5.8</v>
      </c>
      <c r="AM82" s="8"/>
      <c r="AN82" s="8">
        <f t="shared" si="39"/>
        <v>0</v>
      </c>
      <c r="AO82" s="8">
        <f t="shared" si="40"/>
        <v>0</v>
      </c>
      <c r="AP82" s="8">
        <f t="shared" si="41"/>
        <v>3</v>
      </c>
      <c r="AQ82" s="8">
        <f t="shared" si="42"/>
        <v>0</v>
      </c>
      <c r="AR82" s="8">
        <f t="shared" si="43"/>
        <v>0</v>
      </c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 t="s">
        <v>129</v>
      </c>
      <c r="B83" s="8" t="s">
        <v>41</v>
      </c>
      <c r="C83" s="8">
        <v>-8</v>
      </c>
      <c r="D83" s="8">
        <v>315</v>
      </c>
      <c r="E83" s="8">
        <v>62</v>
      </c>
      <c r="F83" s="8">
        <v>222</v>
      </c>
      <c r="G83" s="6">
        <v>0.35</v>
      </c>
      <c r="H83" s="8">
        <v>40</v>
      </c>
      <c r="I83" s="8" t="s">
        <v>37</v>
      </c>
      <c r="J83" s="8"/>
      <c r="K83" s="8">
        <v>94</v>
      </c>
      <c r="L83" s="8">
        <f t="shared" si="32"/>
        <v>-32</v>
      </c>
      <c r="M83" s="8">
        <f t="shared" si="33"/>
        <v>62</v>
      </c>
      <c r="N83" s="8"/>
      <c r="O83" s="8"/>
      <c r="P83" s="8">
        <v>0</v>
      </c>
      <c r="Q83" s="8"/>
      <c r="R83" s="8"/>
      <c r="S83" s="8">
        <v>0</v>
      </c>
      <c r="T83" s="22"/>
      <c r="U83" s="8">
        <f t="shared" si="34"/>
        <v>12.4</v>
      </c>
      <c r="V83" s="4"/>
      <c r="W83" s="4">
        <f t="shared" si="36"/>
        <v>0</v>
      </c>
      <c r="X83" s="4"/>
      <c r="Y83" s="28"/>
      <c r="Z83" s="4">
        <f t="shared" si="37"/>
        <v>0</v>
      </c>
      <c r="AA83" s="28"/>
      <c r="AB83" s="8"/>
      <c r="AC83" s="8">
        <f t="shared" si="38"/>
        <v>17.903225806451612</v>
      </c>
      <c r="AD83" s="8">
        <f t="shared" si="35"/>
        <v>17.903225806451612</v>
      </c>
      <c r="AE83" s="8">
        <v>-1</v>
      </c>
      <c r="AF83" s="8">
        <v>8.8000000000000007</v>
      </c>
      <c r="AG83" s="8">
        <v>26.2</v>
      </c>
      <c r="AH83" s="8">
        <v>35.799999999999997</v>
      </c>
      <c r="AI83" s="8">
        <v>40.6</v>
      </c>
      <c r="AJ83" s="8">
        <v>41.6</v>
      </c>
      <c r="AK83" s="8">
        <v>46.2</v>
      </c>
      <c r="AL83" s="8">
        <v>34.4</v>
      </c>
      <c r="AM83" s="8"/>
      <c r="AN83" s="8">
        <f t="shared" si="39"/>
        <v>0</v>
      </c>
      <c r="AO83" s="8">
        <f t="shared" si="40"/>
        <v>0</v>
      </c>
      <c r="AP83" s="8">
        <f t="shared" si="41"/>
        <v>0</v>
      </c>
      <c r="AQ83" s="8">
        <f t="shared" si="42"/>
        <v>0</v>
      </c>
      <c r="AR83" s="8">
        <f t="shared" si="43"/>
        <v>0</v>
      </c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 t="s">
        <v>130</v>
      </c>
      <c r="B84" s="8" t="s">
        <v>41</v>
      </c>
      <c r="C84" s="8">
        <v>389</v>
      </c>
      <c r="D84" s="8">
        <v>41</v>
      </c>
      <c r="E84" s="8">
        <v>384</v>
      </c>
      <c r="F84" s="8">
        <v>-3</v>
      </c>
      <c r="G84" s="6">
        <v>0.35</v>
      </c>
      <c r="H84" s="8">
        <v>45</v>
      </c>
      <c r="I84" s="8" t="s">
        <v>37</v>
      </c>
      <c r="J84" s="8"/>
      <c r="K84" s="8">
        <v>548</v>
      </c>
      <c r="L84" s="8">
        <f t="shared" si="32"/>
        <v>-164</v>
      </c>
      <c r="M84" s="8">
        <f t="shared" si="33"/>
        <v>372</v>
      </c>
      <c r="N84" s="8">
        <v>12</v>
      </c>
      <c r="O84" s="8"/>
      <c r="P84" s="8">
        <v>0</v>
      </c>
      <c r="Q84" s="8"/>
      <c r="R84" s="8"/>
      <c r="S84" s="8">
        <v>463.2</v>
      </c>
      <c r="T84" s="22"/>
      <c r="U84" s="8">
        <f t="shared" si="34"/>
        <v>74.400000000000006</v>
      </c>
      <c r="V84" s="4">
        <f t="shared" si="44"/>
        <v>432.60000000000008</v>
      </c>
      <c r="W84" s="4">
        <f>V84+$W$1*U84</f>
        <v>626.85840000000007</v>
      </c>
      <c r="X84" s="4">
        <f>W84*$X$1</f>
        <v>238.20619200000004</v>
      </c>
      <c r="Y84" s="28"/>
      <c r="Z84" s="4">
        <f t="shared" si="37"/>
        <v>388.65220800000003</v>
      </c>
      <c r="AA84" s="28"/>
      <c r="AB84" s="8"/>
      <c r="AC84" s="8">
        <f t="shared" si="38"/>
        <v>14.611000000000001</v>
      </c>
      <c r="AD84" s="8">
        <f t="shared" si="35"/>
        <v>6.1854838709677411</v>
      </c>
      <c r="AE84" s="8">
        <v>77.2</v>
      </c>
      <c r="AF84" s="8">
        <v>16.600000000000001</v>
      </c>
      <c r="AG84" s="8">
        <v>66.599999999999994</v>
      </c>
      <c r="AH84" s="8">
        <v>83</v>
      </c>
      <c r="AI84" s="8">
        <v>72.599999999999994</v>
      </c>
      <c r="AJ84" s="8">
        <v>72.599999999999994</v>
      </c>
      <c r="AK84" s="8">
        <v>82</v>
      </c>
      <c r="AL84" s="8">
        <v>85</v>
      </c>
      <c r="AM84" s="8"/>
      <c r="AN84" s="8">
        <f t="shared" si="39"/>
        <v>83</v>
      </c>
      <c r="AO84" s="8">
        <f t="shared" si="40"/>
        <v>0</v>
      </c>
      <c r="AP84" s="8">
        <f t="shared" si="41"/>
        <v>136</v>
      </c>
      <c r="AQ84" s="8">
        <f t="shared" si="42"/>
        <v>0</v>
      </c>
      <c r="AR84" s="8">
        <f t="shared" si="43"/>
        <v>0</v>
      </c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9" t="s">
        <v>131</v>
      </c>
      <c r="B85" s="9" t="s">
        <v>36</v>
      </c>
      <c r="C85" s="9"/>
      <c r="D85" s="9">
        <v>1.3740000000000001</v>
      </c>
      <c r="E85" s="14">
        <v>5.4409999999999998</v>
      </c>
      <c r="F85" s="14">
        <v>-5.4409999999999998</v>
      </c>
      <c r="G85" s="10">
        <v>0</v>
      </c>
      <c r="H85" s="9"/>
      <c r="I85" s="12" t="s">
        <v>52</v>
      </c>
      <c r="J85" s="9" t="s">
        <v>39</v>
      </c>
      <c r="K85" s="9">
        <v>6.5</v>
      </c>
      <c r="L85" s="9">
        <f t="shared" si="32"/>
        <v>-1.0590000000000002</v>
      </c>
      <c r="M85" s="9">
        <f t="shared" si="33"/>
        <v>5.4409999999999998</v>
      </c>
      <c r="N85" s="9"/>
      <c r="O85" s="9"/>
      <c r="P85" s="9"/>
      <c r="Q85" s="9"/>
      <c r="R85" s="9"/>
      <c r="S85" s="9"/>
      <c r="T85" s="24"/>
      <c r="U85" s="9">
        <f t="shared" si="34"/>
        <v>1.0882000000000001</v>
      </c>
      <c r="V85" s="11"/>
      <c r="W85" s="4">
        <f t="shared" si="36"/>
        <v>0</v>
      </c>
      <c r="X85" s="4"/>
      <c r="Y85" s="28"/>
      <c r="Z85" s="4">
        <f t="shared" si="37"/>
        <v>0</v>
      </c>
      <c r="AA85" s="28"/>
      <c r="AB85" s="8"/>
      <c r="AC85" s="8">
        <f t="shared" si="38"/>
        <v>-5</v>
      </c>
      <c r="AD85" s="9">
        <f t="shared" si="35"/>
        <v>-5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/>
      <c r="AN85" s="8">
        <f t="shared" si="39"/>
        <v>0</v>
      </c>
      <c r="AO85" s="8">
        <f t="shared" si="40"/>
        <v>0</v>
      </c>
      <c r="AP85" s="8">
        <f t="shared" si="41"/>
        <v>0</v>
      </c>
      <c r="AQ85" s="8">
        <f t="shared" si="42"/>
        <v>0</v>
      </c>
      <c r="AR85" s="8">
        <f t="shared" si="43"/>
        <v>0</v>
      </c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 t="s">
        <v>132</v>
      </c>
      <c r="B86" s="8" t="s">
        <v>41</v>
      </c>
      <c r="C86" s="8">
        <v>36</v>
      </c>
      <c r="D86" s="8">
        <v>30</v>
      </c>
      <c r="E86" s="8">
        <v>22</v>
      </c>
      <c r="F86" s="8">
        <v>26</v>
      </c>
      <c r="G86" s="6">
        <v>0.4</v>
      </c>
      <c r="H86" s="8">
        <v>55</v>
      </c>
      <c r="I86" s="8" t="s">
        <v>37</v>
      </c>
      <c r="J86" s="8"/>
      <c r="K86" s="8">
        <v>42</v>
      </c>
      <c r="L86" s="8">
        <f t="shared" si="32"/>
        <v>-20</v>
      </c>
      <c r="M86" s="8">
        <f t="shared" si="33"/>
        <v>22</v>
      </c>
      <c r="N86" s="8"/>
      <c r="O86" s="8"/>
      <c r="P86" s="8">
        <v>20</v>
      </c>
      <c r="Q86" s="8"/>
      <c r="R86" s="8"/>
      <c r="S86" s="8">
        <v>48</v>
      </c>
      <c r="T86" s="22"/>
      <c r="U86" s="8">
        <f t="shared" si="34"/>
        <v>4.4000000000000004</v>
      </c>
      <c r="V86" s="4"/>
      <c r="W86" s="4">
        <f t="shared" si="36"/>
        <v>0</v>
      </c>
      <c r="X86" s="4"/>
      <c r="Y86" s="28"/>
      <c r="Z86" s="4">
        <f t="shared" si="37"/>
        <v>0</v>
      </c>
      <c r="AA86" s="28"/>
      <c r="AB86" s="8"/>
      <c r="AC86" s="8">
        <f t="shared" si="38"/>
        <v>21.363636363636363</v>
      </c>
      <c r="AD86" s="8">
        <f t="shared" si="35"/>
        <v>21.363636363636363</v>
      </c>
      <c r="AE86" s="8">
        <v>7.6</v>
      </c>
      <c r="AF86" s="8">
        <v>4</v>
      </c>
      <c r="AG86" s="8">
        <v>4</v>
      </c>
      <c r="AH86" s="8">
        <v>0</v>
      </c>
      <c r="AI86" s="8">
        <v>0.2</v>
      </c>
      <c r="AJ86" s="8">
        <v>0.2</v>
      </c>
      <c r="AK86" s="8">
        <v>4.5999999999999996</v>
      </c>
      <c r="AL86" s="8">
        <v>5</v>
      </c>
      <c r="AM86" s="8"/>
      <c r="AN86" s="8">
        <f t="shared" si="39"/>
        <v>0</v>
      </c>
      <c r="AO86" s="8">
        <f t="shared" si="40"/>
        <v>0</v>
      </c>
      <c r="AP86" s="8">
        <f t="shared" si="41"/>
        <v>0</v>
      </c>
      <c r="AQ86" s="8">
        <f t="shared" si="42"/>
        <v>0</v>
      </c>
      <c r="AR86" s="8">
        <f t="shared" si="43"/>
        <v>0</v>
      </c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 t="s">
        <v>133</v>
      </c>
      <c r="B87" s="8" t="s">
        <v>36</v>
      </c>
      <c r="C87" s="8">
        <v>50.831000000000003</v>
      </c>
      <c r="D87" s="8">
        <v>2.875</v>
      </c>
      <c r="E87" s="8">
        <v>8.5820000000000007</v>
      </c>
      <c r="F87" s="8">
        <v>42.249000000000002</v>
      </c>
      <c r="G87" s="6">
        <v>1</v>
      </c>
      <c r="H87" s="8">
        <v>55</v>
      </c>
      <c r="I87" s="8" t="s">
        <v>37</v>
      </c>
      <c r="J87" s="8"/>
      <c r="K87" s="8">
        <v>9.3000000000000007</v>
      </c>
      <c r="L87" s="8">
        <f t="shared" si="32"/>
        <v>-0.71799999999999997</v>
      </c>
      <c r="M87" s="8">
        <f t="shared" si="33"/>
        <v>8.5820000000000007</v>
      </c>
      <c r="N87" s="8"/>
      <c r="O87" s="8"/>
      <c r="P87" s="8">
        <v>0</v>
      </c>
      <c r="Q87" s="8"/>
      <c r="R87" s="8"/>
      <c r="S87" s="8">
        <v>0</v>
      </c>
      <c r="T87" s="22"/>
      <c r="U87" s="8">
        <f t="shared" si="34"/>
        <v>1.7164000000000001</v>
      </c>
      <c r="V87" s="4"/>
      <c r="W87" s="4">
        <f t="shared" si="36"/>
        <v>0</v>
      </c>
      <c r="X87" s="4"/>
      <c r="Y87" s="28"/>
      <c r="Z87" s="4">
        <f t="shared" si="37"/>
        <v>0</v>
      </c>
      <c r="AA87" s="28"/>
      <c r="AB87" s="8"/>
      <c r="AC87" s="8">
        <f t="shared" si="38"/>
        <v>24.61489163365183</v>
      </c>
      <c r="AD87" s="8">
        <f t="shared" si="35"/>
        <v>24.61489163365183</v>
      </c>
      <c r="AE87" s="8">
        <v>1.7183999999999999</v>
      </c>
      <c r="AF87" s="8">
        <v>0.57800000000000007</v>
      </c>
      <c r="AG87" s="8">
        <v>1.7447999999999999</v>
      </c>
      <c r="AH87" s="8">
        <v>1.7296</v>
      </c>
      <c r="AI87" s="8">
        <v>1.1372</v>
      </c>
      <c r="AJ87" s="8">
        <v>1.4352</v>
      </c>
      <c r="AK87" s="8">
        <v>2.8454000000000002</v>
      </c>
      <c r="AL87" s="8">
        <v>1.7416</v>
      </c>
      <c r="AM87" s="13" t="s">
        <v>134</v>
      </c>
      <c r="AN87" s="8">
        <f t="shared" si="39"/>
        <v>0</v>
      </c>
      <c r="AO87" s="8">
        <f t="shared" si="40"/>
        <v>0</v>
      </c>
      <c r="AP87" s="8">
        <f t="shared" si="41"/>
        <v>0</v>
      </c>
      <c r="AQ87" s="8">
        <f t="shared" si="42"/>
        <v>0</v>
      </c>
      <c r="AR87" s="8">
        <f t="shared" si="43"/>
        <v>0</v>
      </c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9" t="s">
        <v>135</v>
      </c>
      <c r="B88" s="9" t="s">
        <v>36</v>
      </c>
      <c r="C88" s="9"/>
      <c r="D88" s="9"/>
      <c r="E88" s="9"/>
      <c r="F88" s="9"/>
      <c r="G88" s="10">
        <v>0</v>
      </c>
      <c r="H88" s="9"/>
      <c r="I88" s="9" t="s">
        <v>37</v>
      </c>
      <c r="J88" s="9"/>
      <c r="K88" s="9"/>
      <c r="L88" s="9">
        <f t="shared" si="32"/>
        <v>0</v>
      </c>
      <c r="M88" s="9">
        <f t="shared" si="33"/>
        <v>0</v>
      </c>
      <c r="N88" s="9"/>
      <c r="O88" s="9"/>
      <c r="P88" s="9">
        <v>0</v>
      </c>
      <c r="Q88" s="9"/>
      <c r="R88" s="9"/>
      <c r="S88" s="9">
        <v>0</v>
      </c>
      <c r="T88" s="24"/>
      <c r="U88" s="9">
        <f t="shared" si="34"/>
        <v>0</v>
      </c>
      <c r="V88" s="11"/>
      <c r="W88" s="4">
        <f t="shared" si="36"/>
        <v>0</v>
      </c>
      <c r="X88" s="4"/>
      <c r="Y88" s="28"/>
      <c r="Z88" s="4">
        <f t="shared" si="37"/>
        <v>0</v>
      </c>
      <c r="AA88" s="28"/>
      <c r="AB88" s="8"/>
      <c r="AC88" s="8" t="e">
        <f t="shared" si="38"/>
        <v>#DIV/0!</v>
      </c>
      <c r="AD88" s="9" t="e">
        <f t="shared" si="35"/>
        <v>#DIV/0!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 t="s">
        <v>60</v>
      </c>
      <c r="AN88" s="8">
        <f t="shared" si="39"/>
        <v>0</v>
      </c>
      <c r="AO88" s="8">
        <f t="shared" si="40"/>
        <v>0</v>
      </c>
      <c r="AP88" s="8">
        <f t="shared" si="41"/>
        <v>0</v>
      </c>
      <c r="AQ88" s="8">
        <f t="shared" si="42"/>
        <v>0</v>
      </c>
      <c r="AR88" s="8">
        <f t="shared" si="43"/>
        <v>0</v>
      </c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30" t="s">
        <v>136</v>
      </c>
      <c r="B89" s="8" t="s">
        <v>36</v>
      </c>
      <c r="C89" s="8">
        <v>2256.991</v>
      </c>
      <c r="D89" s="8">
        <v>4085.0459999999998</v>
      </c>
      <c r="E89" s="8">
        <v>3588.3249999999998</v>
      </c>
      <c r="F89" s="8">
        <v>2362.835</v>
      </c>
      <c r="G89" s="6">
        <v>1</v>
      </c>
      <c r="H89" s="8">
        <v>60</v>
      </c>
      <c r="I89" s="8" t="s">
        <v>37</v>
      </c>
      <c r="J89" s="8"/>
      <c r="K89" s="8">
        <v>3814.69</v>
      </c>
      <c r="L89" s="8">
        <f t="shared" si="32"/>
        <v>-226.36500000000024</v>
      </c>
      <c r="M89" s="8">
        <f t="shared" si="33"/>
        <v>3056.8649999999998</v>
      </c>
      <c r="N89" s="8">
        <v>531.46</v>
      </c>
      <c r="O89" s="8"/>
      <c r="P89" s="8">
        <v>307.56029150399911</v>
      </c>
      <c r="Q89" s="8">
        <v>659.61043649599821</v>
      </c>
      <c r="R89" s="8"/>
      <c r="S89" s="8">
        <v>1412.605764000002</v>
      </c>
      <c r="T89" s="22">
        <v>0</v>
      </c>
      <c r="U89" s="8">
        <f t="shared" si="34"/>
        <v>611.37299999999993</v>
      </c>
      <c r="V89" s="4">
        <f t="shared" ref="V89:V90" si="45">12*U89-S89-R89-Q89-P89-O89-F89</f>
        <v>2593.8645079999997</v>
      </c>
      <c r="W89" s="4">
        <f>V89+$W$1*U89</f>
        <v>4190.1594109999996</v>
      </c>
      <c r="X89" s="4">
        <f>W89*$X$1</f>
        <v>1592.2605761799998</v>
      </c>
      <c r="Y89" s="28">
        <v>600</v>
      </c>
      <c r="Z89" s="4">
        <f t="shared" si="37"/>
        <v>2597.89883482</v>
      </c>
      <c r="AA89" s="28"/>
      <c r="AB89" s="8"/>
      <c r="AC89" s="8">
        <f t="shared" si="38"/>
        <v>15.592397608334029</v>
      </c>
      <c r="AD89" s="8">
        <f t="shared" si="35"/>
        <v>7.757312625843797</v>
      </c>
      <c r="AE89" s="8">
        <v>524.66000000000008</v>
      </c>
      <c r="AF89" s="8">
        <v>546.37159999999994</v>
      </c>
      <c r="AG89" s="8">
        <v>631.18540000000007</v>
      </c>
      <c r="AH89" s="8">
        <v>487.42919999999992</v>
      </c>
      <c r="AI89" s="8">
        <v>486.21499999999997</v>
      </c>
      <c r="AJ89" s="8">
        <v>545.07420000000002</v>
      </c>
      <c r="AK89" s="8">
        <v>663.97019999999998</v>
      </c>
      <c r="AL89" s="8">
        <v>653.57219999999995</v>
      </c>
      <c r="AM89" s="8"/>
      <c r="AN89" s="8">
        <f t="shared" si="39"/>
        <v>1592</v>
      </c>
      <c r="AO89" s="8">
        <f t="shared" si="40"/>
        <v>600</v>
      </c>
      <c r="AP89" s="8">
        <f t="shared" si="41"/>
        <v>2598</v>
      </c>
      <c r="AQ89" s="8">
        <f t="shared" si="42"/>
        <v>0</v>
      </c>
      <c r="AR89" s="8">
        <f t="shared" si="43"/>
        <v>0</v>
      </c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 t="s">
        <v>137</v>
      </c>
      <c r="B90" s="8" t="s">
        <v>41</v>
      </c>
      <c r="C90" s="8">
        <v>116</v>
      </c>
      <c r="D90" s="8">
        <v>460</v>
      </c>
      <c r="E90" s="8">
        <v>189</v>
      </c>
      <c r="F90" s="8">
        <v>279</v>
      </c>
      <c r="G90" s="6">
        <v>0.3</v>
      </c>
      <c r="H90" s="8">
        <v>40</v>
      </c>
      <c r="I90" s="8" t="s">
        <v>37</v>
      </c>
      <c r="J90" s="8"/>
      <c r="K90" s="8">
        <v>339</v>
      </c>
      <c r="L90" s="8">
        <f t="shared" si="32"/>
        <v>-150</v>
      </c>
      <c r="M90" s="8">
        <f t="shared" si="33"/>
        <v>189</v>
      </c>
      <c r="N90" s="8"/>
      <c r="O90" s="8"/>
      <c r="P90" s="8">
        <v>118.22199999999999</v>
      </c>
      <c r="Q90" s="8"/>
      <c r="R90" s="8"/>
      <c r="S90" s="8">
        <v>0</v>
      </c>
      <c r="T90" s="22"/>
      <c r="U90" s="8">
        <f t="shared" si="34"/>
        <v>37.799999999999997</v>
      </c>
      <c r="V90" s="4">
        <f t="shared" si="45"/>
        <v>56.377999999999986</v>
      </c>
      <c r="W90" s="4">
        <f t="shared" si="36"/>
        <v>56.377999999999986</v>
      </c>
      <c r="X90" s="4"/>
      <c r="Y90" s="28"/>
      <c r="Z90" s="4">
        <f t="shared" si="37"/>
        <v>56.377999999999986</v>
      </c>
      <c r="AA90" s="28"/>
      <c r="AB90" s="8"/>
      <c r="AC90" s="8">
        <f t="shared" si="38"/>
        <v>12</v>
      </c>
      <c r="AD90" s="8">
        <f t="shared" si="35"/>
        <v>10.508518518518519</v>
      </c>
      <c r="AE90" s="8">
        <v>35.799999999999997</v>
      </c>
      <c r="AF90" s="8">
        <v>44</v>
      </c>
      <c r="AG90" s="8">
        <v>54.4</v>
      </c>
      <c r="AH90" s="8">
        <v>32.200000000000003</v>
      </c>
      <c r="AI90" s="8">
        <v>19.600000000000001</v>
      </c>
      <c r="AJ90" s="8">
        <v>20.399999999999999</v>
      </c>
      <c r="AK90" s="8">
        <v>31.2</v>
      </c>
      <c r="AL90" s="8">
        <v>47.6</v>
      </c>
      <c r="AM90" s="8"/>
      <c r="AN90" s="8">
        <f t="shared" si="39"/>
        <v>0</v>
      </c>
      <c r="AO90" s="8">
        <f t="shared" si="40"/>
        <v>0</v>
      </c>
      <c r="AP90" s="8">
        <f t="shared" si="41"/>
        <v>17</v>
      </c>
      <c r="AQ90" s="8">
        <f t="shared" si="42"/>
        <v>0</v>
      </c>
      <c r="AR90" s="8">
        <f t="shared" si="43"/>
        <v>0</v>
      </c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 t="s">
        <v>138</v>
      </c>
      <c r="B91" s="8" t="s">
        <v>36</v>
      </c>
      <c r="C91" s="8">
        <v>761.54600000000005</v>
      </c>
      <c r="D91" s="8">
        <v>1555.175</v>
      </c>
      <c r="E91" s="8">
        <v>1122.711</v>
      </c>
      <c r="F91" s="8">
        <v>1127.8499999999999</v>
      </c>
      <c r="G91" s="6">
        <v>1</v>
      </c>
      <c r="H91" s="8">
        <v>60</v>
      </c>
      <c r="I91" s="8" t="s">
        <v>37</v>
      </c>
      <c r="J91" s="8"/>
      <c r="K91" s="8">
        <v>1299.92</v>
      </c>
      <c r="L91" s="8">
        <f t="shared" si="32"/>
        <v>-177.20900000000006</v>
      </c>
      <c r="M91" s="8">
        <f t="shared" si="33"/>
        <v>1122.711</v>
      </c>
      <c r="N91" s="8"/>
      <c r="O91" s="8"/>
      <c r="P91" s="8">
        <v>337.3591753799999</v>
      </c>
      <c r="Q91" s="8">
        <v>723.5187346199998</v>
      </c>
      <c r="R91" s="8"/>
      <c r="S91" s="8">
        <v>511.01289199999911</v>
      </c>
      <c r="T91" s="22"/>
      <c r="U91" s="8">
        <f t="shared" si="34"/>
        <v>224.54220000000001</v>
      </c>
      <c r="V91" s="4"/>
      <c r="W91" s="4">
        <f t="shared" ref="W91" si="46">V91+$W$1*U91</f>
        <v>586.27968420000002</v>
      </c>
      <c r="X91" s="4">
        <f t="shared" ref="X91:X92" si="47">W91*$X$1</f>
        <v>222.78627999600002</v>
      </c>
      <c r="Y91" s="28"/>
      <c r="Z91" s="4">
        <f t="shared" si="37"/>
        <v>363.493404204</v>
      </c>
      <c r="AA91" s="28"/>
      <c r="AB91" s="8"/>
      <c r="AC91" s="8">
        <f t="shared" si="38"/>
        <v>14.634311439898598</v>
      </c>
      <c r="AD91" s="8">
        <f t="shared" si="35"/>
        <v>12.023311439898597</v>
      </c>
      <c r="AE91" s="8">
        <v>235.44120000000001</v>
      </c>
      <c r="AF91" s="8">
        <v>237.84280000000001</v>
      </c>
      <c r="AG91" s="8">
        <v>261.7706</v>
      </c>
      <c r="AH91" s="8">
        <v>210.9222</v>
      </c>
      <c r="AI91" s="8">
        <v>200.2338</v>
      </c>
      <c r="AJ91" s="8">
        <v>224.22739999999999</v>
      </c>
      <c r="AK91" s="8">
        <v>269.709</v>
      </c>
      <c r="AL91" s="8">
        <v>297.4228</v>
      </c>
      <c r="AM91" s="8"/>
      <c r="AN91" s="8">
        <f t="shared" si="39"/>
        <v>223</v>
      </c>
      <c r="AO91" s="8">
        <f t="shared" si="40"/>
        <v>0</v>
      </c>
      <c r="AP91" s="8">
        <f t="shared" si="41"/>
        <v>363</v>
      </c>
      <c r="AQ91" s="8">
        <f t="shared" si="42"/>
        <v>0</v>
      </c>
      <c r="AR91" s="8">
        <f t="shared" si="43"/>
        <v>0</v>
      </c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 t="s">
        <v>139</v>
      </c>
      <c r="B92" s="8" t="s">
        <v>36</v>
      </c>
      <c r="C92" s="8">
        <v>6340.402</v>
      </c>
      <c r="D92" s="8">
        <v>2856.9560000000001</v>
      </c>
      <c r="E92" s="8">
        <v>3709.4209999999998</v>
      </c>
      <c r="F92" s="8">
        <v>4763.027</v>
      </c>
      <c r="G92" s="6">
        <v>1</v>
      </c>
      <c r="H92" s="8">
        <v>60</v>
      </c>
      <c r="I92" s="8" t="s">
        <v>37</v>
      </c>
      <c r="J92" s="8"/>
      <c r="K92" s="8">
        <v>4046.8939999999998</v>
      </c>
      <c r="L92" s="8">
        <f t="shared" si="32"/>
        <v>-337.47299999999996</v>
      </c>
      <c r="M92" s="8">
        <f t="shared" si="33"/>
        <v>2648.1929999999998</v>
      </c>
      <c r="N92" s="8">
        <v>1061.2280000000001</v>
      </c>
      <c r="O92" s="8"/>
      <c r="P92" s="8">
        <v>0</v>
      </c>
      <c r="Q92" s="8"/>
      <c r="R92" s="8">
        <v>1000</v>
      </c>
      <c r="S92" s="8">
        <v>0</v>
      </c>
      <c r="T92" s="22"/>
      <c r="U92" s="8">
        <f t="shared" si="34"/>
        <v>529.6386</v>
      </c>
      <c r="V92" s="4"/>
      <c r="W92" s="4">
        <f>V92+$W$1*U92+U92</f>
        <v>1912.5249846000002</v>
      </c>
      <c r="X92" s="4">
        <f t="shared" si="47"/>
        <v>726.75949414800004</v>
      </c>
      <c r="Y92" s="28"/>
      <c r="Z92" s="4">
        <f t="shared" si="37"/>
        <v>1185.765490452</v>
      </c>
      <c r="AA92" s="28"/>
      <c r="AB92" s="8"/>
      <c r="AC92" s="8">
        <f t="shared" si="38"/>
        <v>14.492055497088016</v>
      </c>
      <c r="AD92" s="8">
        <f t="shared" si="35"/>
        <v>10.881055497088015</v>
      </c>
      <c r="AE92" s="8">
        <v>447.9076</v>
      </c>
      <c r="AF92" s="8">
        <v>485.68380000000008</v>
      </c>
      <c r="AG92" s="8">
        <v>514.53820000000007</v>
      </c>
      <c r="AH92" s="8">
        <v>401.62819999999999</v>
      </c>
      <c r="AI92" s="8">
        <v>487.01119999999992</v>
      </c>
      <c r="AJ92" s="8">
        <v>453.0684</v>
      </c>
      <c r="AK92" s="8">
        <v>606.41340000000002</v>
      </c>
      <c r="AL92" s="8">
        <v>702.14319999999998</v>
      </c>
      <c r="AM92" s="8"/>
      <c r="AN92" s="8">
        <f t="shared" si="39"/>
        <v>727</v>
      </c>
      <c r="AO92" s="8">
        <f t="shared" si="40"/>
        <v>0</v>
      </c>
      <c r="AP92" s="8">
        <f t="shared" si="41"/>
        <v>1186</v>
      </c>
      <c r="AQ92" s="8">
        <f t="shared" si="42"/>
        <v>0</v>
      </c>
      <c r="AR92" s="8">
        <f t="shared" si="43"/>
        <v>0</v>
      </c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 t="s">
        <v>65</v>
      </c>
      <c r="B93" s="8" t="s">
        <v>36</v>
      </c>
      <c r="C93" s="8">
        <v>8137.8050000000003</v>
      </c>
      <c r="D93" s="8">
        <v>4711.1310000000003</v>
      </c>
      <c r="E93" s="8">
        <v>3558.982</v>
      </c>
      <c r="F93" s="14">
        <f>8455.823+F23</f>
        <v>8448.33</v>
      </c>
      <c r="G93" s="6">
        <v>1</v>
      </c>
      <c r="H93" s="8">
        <v>60</v>
      </c>
      <c r="I93" s="8" t="s">
        <v>37</v>
      </c>
      <c r="J93" s="8"/>
      <c r="K93" s="8">
        <v>4073.0360000000001</v>
      </c>
      <c r="L93" s="8">
        <f t="shared" si="32"/>
        <v>-514.05400000000009</v>
      </c>
      <c r="M93" s="8">
        <f t="shared" si="33"/>
        <v>3246.2779999999998</v>
      </c>
      <c r="N93" s="8">
        <v>312.70400000000001</v>
      </c>
      <c r="O93" s="8"/>
      <c r="P93" s="8">
        <v>151</v>
      </c>
      <c r="Q93" s="8"/>
      <c r="R93" s="8"/>
      <c r="S93" s="8">
        <v>0</v>
      </c>
      <c r="T93" s="22"/>
      <c r="U93" s="8">
        <f t="shared" si="34"/>
        <v>649.25559999999996</v>
      </c>
      <c r="V93" s="4"/>
      <c r="W93" s="4">
        <f t="shared" si="36"/>
        <v>0</v>
      </c>
      <c r="X93" s="4"/>
      <c r="Y93" s="28"/>
      <c r="Z93" s="4">
        <f t="shared" si="37"/>
        <v>0</v>
      </c>
      <c r="AA93" s="28"/>
      <c r="AB93" s="8"/>
      <c r="AC93" s="8">
        <f t="shared" si="38"/>
        <v>13.244906936497738</v>
      </c>
      <c r="AD93" s="8">
        <f t="shared" si="35"/>
        <v>13.244906936497738</v>
      </c>
      <c r="AE93" s="8">
        <v>717.88199999999995</v>
      </c>
      <c r="AF93" s="8">
        <v>624.51419999999996</v>
      </c>
      <c r="AG93" s="8">
        <v>657.89699999999982</v>
      </c>
      <c r="AH93" s="8">
        <v>520.9251999999999</v>
      </c>
      <c r="AI93" s="8">
        <v>627.79740000000004</v>
      </c>
      <c r="AJ93" s="8">
        <v>577.65159999999992</v>
      </c>
      <c r="AK93" s="8">
        <v>698.26039999999989</v>
      </c>
      <c r="AL93" s="8">
        <v>814.36879999999996</v>
      </c>
      <c r="AM93" s="8"/>
      <c r="AN93" s="8">
        <f t="shared" si="39"/>
        <v>0</v>
      </c>
      <c r="AO93" s="8">
        <f t="shared" si="40"/>
        <v>0</v>
      </c>
      <c r="AP93" s="8">
        <f t="shared" si="41"/>
        <v>0</v>
      </c>
      <c r="AQ93" s="8">
        <f t="shared" si="42"/>
        <v>0</v>
      </c>
      <c r="AR93" s="8">
        <f t="shared" si="43"/>
        <v>0</v>
      </c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 t="s">
        <v>140</v>
      </c>
      <c r="B94" s="8" t="s">
        <v>36</v>
      </c>
      <c r="C94" s="8">
        <v>106.361</v>
      </c>
      <c r="D94" s="8">
        <v>12.103</v>
      </c>
      <c r="E94" s="8">
        <v>12.066000000000001</v>
      </c>
      <c r="F94" s="8">
        <v>94.295000000000002</v>
      </c>
      <c r="G94" s="6">
        <v>1</v>
      </c>
      <c r="H94" s="8">
        <v>55</v>
      </c>
      <c r="I94" s="8" t="s">
        <v>37</v>
      </c>
      <c r="J94" s="8"/>
      <c r="K94" s="8">
        <v>41.6</v>
      </c>
      <c r="L94" s="8">
        <f t="shared" si="32"/>
        <v>-29.533999999999999</v>
      </c>
      <c r="M94" s="8">
        <f t="shared" si="33"/>
        <v>12.066000000000001</v>
      </c>
      <c r="N94" s="8"/>
      <c r="O94" s="8"/>
      <c r="P94" s="8">
        <v>0</v>
      </c>
      <c r="Q94" s="8"/>
      <c r="R94" s="8"/>
      <c r="S94" s="8">
        <v>0</v>
      </c>
      <c r="T94" s="22"/>
      <c r="U94" s="8">
        <f t="shared" si="34"/>
        <v>2.4132000000000002</v>
      </c>
      <c r="V94" s="4"/>
      <c r="W94" s="4">
        <f t="shared" si="36"/>
        <v>0</v>
      </c>
      <c r="X94" s="4"/>
      <c r="Y94" s="28"/>
      <c r="Z94" s="4">
        <f t="shared" si="37"/>
        <v>0</v>
      </c>
      <c r="AA94" s="28"/>
      <c r="AB94" s="8"/>
      <c r="AC94" s="8">
        <f t="shared" si="38"/>
        <v>39.074672633847172</v>
      </c>
      <c r="AD94" s="8">
        <f t="shared" si="35"/>
        <v>39.074672633847172</v>
      </c>
      <c r="AE94" s="8">
        <v>4.8087999999999997</v>
      </c>
      <c r="AF94" s="8">
        <v>2.9365999999999999</v>
      </c>
      <c r="AG94" s="8">
        <v>2.9626000000000001</v>
      </c>
      <c r="AH94" s="8">
        <v>9.1290000000000013</v>
      </c>
      <c r="AI94" s="8">
        <v>9.1308000000000007</v>
      </c>
      <c r="AJ94" s="8">
        <v>9.6712000000000007</v>
      </c>
      <c r="AK94" s="8">
        <v>9.3979999999999997</v>
      </c>
      <c r="AL94" s="8">
        <v>9.9340000000000011</v>
      </c>
      <c r="AM94" s="13" t="s">
        <v>134</v>
      </c>
      <c r="AN94" s="8">
        <f t="shared" si="39"/>
        <v>0</v>
      </c>
      <c r="AO94" s="8">
        <f t="shared" si="40"/>
        <v>0</v>
      </c>
      <c r="AP94" s="8">
        <f t="shared" si="41"/>
        <v>0</v>
      </c>
      <c r="AQ94" s="8">
        <f t="shared" si="42"/>
        <v>0</v>
      </c>
      <c r="AR94" s="8">
        <f t="shared" si="43"/>
        <v>0</v>
      </c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9" t="s">
        <v>141</v>
      </c>
      <c r="B95" s="9" t="s">
        <v>36</v>
      </c>
      <c r="C95" s="9">
        <v>-1.36</v>
      </c>
      <c r="D95" s="9"/>
      <c r="E95" s="9"/>
      <c r="F95" s="9">
        <v>-1.36</v>
      </c>
      <c r="G95" s="10">
        <v>0</v>
      </c>
      <c r="H95" s="9"/>
      <c r="I95" s="9" t="s">
        <v>52</v>
      </c>
      <c r="J95" s="9"/>
      <c r="K95" s="9"/>
      <c r="L95" s="9">
        <f t="shared" si="32"/>
        <v>0</v>
      </c>
      <c r="M95" s="9">
        <f t="shared" si="33"/>
        <v>0</v>
      </c>
      <c r="N95" s="9"/>
      <c r="O95" s="9"/>
      <c r="P95" s="9">
        <v>0</v>
      </c>
      <c r="Q95" s="9"/>
      <c r="R95" s="9"/>
      <c r="S95" s="9">
        <v>0</v>
      </c>
      <c r="T95" s="24"/>
      <c r="U95" s="9">
        <f t="shared" si="34"/>
        <v>0</v>
      </c>
      <c r="V95" s="11"/>
      <c r="W95" s="4">
        <f t="shared" si="36"/>
        <v>0</v>
      </c>
      <c r="X95" s="4"/>
      <c r="Y95" s="28"/>
      <c r="Z95" s="4">
        <f t="shared" si="37"/>
        <v>0</v>
      </c>
      <c r="AA95" s="28"/>
      <c r="AB95" s="8"/>
      <c r="AC95" s="8" t="e">
        <f t="shared" si="38"/>
        <v>#DIV/0!</v>
      </c>
      <c r="AD95" s="9" t="e">
        <f t="shared" si="35"/>
        <v>#DIV/0!</v>
      </c>
      <c r="AE95" s="9">
        <v>0</v>
      </c>
      <c r="AF95" s="9">
        <v>0</v>
      </c>
      <c r="AG95" s="9">
        <v>0</v>
      </c>
      <c r="AH95" s="9">
        <v>0.27200000000000002</v>
      </c>
      <c r="AI95" s="9">
        <v>0.27200000000000002</v>
      </c>
      <c r="AJ95" s="9">
        <v>0</v>
      </c>
      <c r="AK95" s="9">
        <v>0</v>
      </c>
      <c r="AL95" s="9">
        <v>0</v>
      </c>
      <c r="AM95" s="9"/>
      <c r="AN95" s="8">
        <f t="shared" si="39"/>
        <v>0</v>
      </c>
      <c r="AO95" s="8">
        <f t="shared" si="40"/>
        <v>0</v>
      </c>
      <c r="AP95" s="8">
        <f t="shared" si="41"/>
        <v>0</v>
      </c>
      <c r="AQ95" s="8">
        <f t="shared" si="42"/>
        <v>0</v>
      </c>
      <c r="AR95" s="8">
        <f t="shared" si="43"/>
        <v>0</v>
      </c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9" t="s">
        <v>142</v>
      </c>
      <c r="B96" s="9" t="s">
        <v>36</v>
      </c>
      <c r="C96" s="9">
        <v>493.85399999999998</v>
      </c>
      <c r="D96" s="9">
        <v>2.75</v>
      </c>
      <c r="E96" s="9">
        <v>27.02</v>
      </c>
      <c r="F96" s="9">
        <v>380.51900000000001</v>
      </c>
      <c r="G96" s="10">
        <v>0</v>
      </c>
      <c r="H96" s="9"/>
      <c r="I96" s="9" t="s">
        <v>52</v>
      </c>
      <c r="J96" s="9"/>
      <c r="K96" s="9">
        <v>37.5</v>
      </c>
      <c r="L96" s="9">
        <f t="shared" si="32"/>
        <v>-10.48</v>
      </c>
      <c r="M96" s="9">
        <f t="shared" si="33"/>
        <v>27.02</v>
      </c>
      <c r="N96" s="9"/>
      <c r="O96" s="9"/>
      <c r="P96" s="9">
        <v>0</v>
      </c>
      <c r="Q96" s="9"/>
      <c r="R96" s="9"/>
      <c r="S96" s="9">
        <v>0</v>
      </c>
      <c r="T96" s="24"/>
      <c r="U96" s="9">
        <f t="shared" si="34"/>
        <v>5.4039999999999999</v>
      </c>
      <c r="V96" s="11"/>
      <c r="W96" s="4">
        <f t="shared" si="36"/>
        <v>0</v>
      </c>
      <c r="X96" s="4"/>
      <c r="Y96" s="28"/>
      <c r="Z96" s="4">
        <f t="shared" si="37"/>
        <v>0</v>
      </c>
      <c r="AA96" s="28"/>
      <c r="AB96" s="8"/>
      <c r="AC96" s="8">
        <f t="shared" si="38"/>
        <v>70.414322723908214</v>
      </c>
      <c r="AD96" s="9">
        <f t="shared" si="35"/>
        <v>70.414322723908214</v>
      </c>
      <c r="AE96" s="9">
        <v>5.3784000000000001</v>
      </c>
      <c r="AF96" s="9">
        <v>6.8639999999999999</v>
      </c>
      <c r="AG96" s="9">
        <v>3.9003999999999999</v>
      </c>
      <c r="AH96" s="9">
        <v>2.42</v>
      </c>
      <c r="AI96" s="9">
        <v>6.7090000000000014</v>
      </c>
      <c r="AJ96" s="9">
        <v>6.706999999999999</v>
      </c>
      <c r="AK96" s="9">
        <v>13.973000000000001</v>
      </c>
      <c r="AL96" s="9">
        <v>18.044</v>
      </c>
      <c r="AM96" s="13" t="s">
        <v>134</v>
      </c>
      <c r="AN96" s="8">
        <f t="shared" si="39"/>
        <v>0</v>
      </c>
      <c r="AO96" s="8">
        <f t="shared" si="40"/>
        <v>0</v>
      </c>
      <c r="AP96" s="8">
        <f t="shared" si="41"/>
        <v>0</v>
      </c>
      <c r="AQ96" s="8">
        <f t="shared" si="42"/>
        <v>0</v>
      </c>
      <c r="AR96" s="8">
        <f t="shared" si="43"/>
        <v>0</v>
      </c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 t="s">
        <v>143</v>
      </c>
      <c r="B97" s="8" t="s">
        <v>41</v>
      </c>
      <c r="C97" s="8">
        <v>83</v>
      </c>
      <c r="D97" s="8">
        <v>34</v>
      </c>
      <c r="E97" s="8">
        <v>46</v>
      </c>
      <c r="F97" s="8">
        <v>42</v>
      </c>
      <c r="G97" s="6">
        <v>0.3</v>
      </c>
      <c r="H97" s="8">
        <v>40</v>
      </c>
      <c r="I97" s="8" t="s">
        <v>37</v>
      </c>
      <c r="J97" s="8"/>
      <c r="K97" s="8">
        <v>207</v>
      </c>
      <c r="L97" s="8">
        <f t="shared" si="32"/>
        <v>-161</v>
      </c>
      <c r="M97" s="8">
        <f t="shared" si="33"/>
        <v>46</v>
      </c>
      <c r="N97" s="8"/>
      <c r="O97" s="8"/>
      <c r="P97" s="8">
        <v>40.299999999999983</v>
      </c>
      <c r="Q97" s="8"/>
      <c r="R97" s="8"/>
      <c r="S97" s="8">
        <v>68.900000000000006</v>
      </c>
      <c r="T97" s="22"/>
      <c r="U97" s="8">
        <f t="shared" si="34"/>
        <v>9.1999999999999993</v>
      </c>
      <c r="V97" s="4"/>
      <c r="W97" s="4">
        <f t="shared" si="36"/>
        <v>0</v>
      </c>
      <c r="X97" s="4"/>
      <c r="Y97" s="28"/>
      <c r="Z97" s="4">
        <f t="shared" si="37"/>
        <v>0</v>
      </c>
      <c r="AA97" s="28"/>
      <c r="AB97" s="8"/>
      <c r="AC97" s="8">
        <f t="shared" si="38"/>
        <v>16.434782608695652</v>
      </c>
      <c r="AD97" s="8">
        <f t="shared" si="35"/>
        <v>16.434782608695652</v>
      </c>
      <c r="AE97" s="8">
        <v>15.2</v>
      </c>
      <c r="AF97" s="8">
        <v>23.8</v>
      </c>
      <c r="AG97" s="8">
        <v>25.4</v>
      </c>
      <c r="AH97" s="8">
        <v>17.2</v>
      </c>
      <c r="AI97" s="8">
        <v>20.2</v>
      </c>
      <c r="AJ97" s="8">
        <v>22.8</v>
      </c>
      <c r="AK97" s="8">
        <v>24.2</v>
      </c>
      <c r="AL97" s="8">
        <v>18.2</v>
      </c>
      <c r="AM97" s="8"/>
      <c r="AN97" s="8">
        <f t="shared" si="39"/>
        <v>0</v>
      </c>
      <c r="AO97" s="8">
        <f t="shared" si="40"/>
        <v>0</v>
      </c>
      <c r="AP97" s="8">
        <f t="shared" si="41"/>
        <v>0</v>
      </c>
      <c r="AQ97" s="8">
        <f t="shared" si="42"/>
        <v>0</v>
      </c>
      <c r="AR97" s="8">
        <f t="shared" si="43"/>
        <v>0</v>
      </c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 t="s">
        <v>144</v>
      </c>
      <c r="B98" s="8" t="s">
        <v>41</v>
      </c>
      <c r="C98" s="8">
        <v>33</v>
      </c>
      <c r="D98" s="8">
        <v>114</v>
      </c>
      <c r="E98" s="8">
        <v>20</v>
      </c>
      <c r="F98" s="8">
        <v>88</v>
      </c>
      <c r="G98" s="6">
        <v>0.3</v>
      </c>
      <c r="H98" s="8">
        <v>40</v>
      </c>
      <c r="I98" s="8" t="s">
        <v>37</v>
      </c>
      <c r="J98" s="8"/>
      <c r="K98" s="8">
        <v>58</v>
      </c>
      <c r="L98" s="8">
        <f t="shared" si="32"/>
        <v>-38</v>
      </c>
      <c r="M98" s="8">
        <f t="shared" si="33"/>
        <v>20</v>
      </c>
      <c r="N98" s="8"/>
      <c r="O98" s="8"/>
      <c r="P98" s="8">
        <v>0</v>
      </c>
      <c r="Q98" s="8"/>
      <c r="R98" s="8"/>
      <c r="S98" s="8">
        <v>45.999999999999993</v>
      </c>
      <c r="T98" s="22"/>
      <c r="U98" s="8">
        <f t="shared" si="34"/>
        <v>4</v>
      </c>
      <c r="V98" s="4"/>
      <c r="W98" s="4">
        <f t="shared" si="36"/>
        <v>0</v>
      </c>
      <c r="X98" s="4"/>
      <c r="Y98" s="28"/>
      <c r="Z98" s="4">
        <f t="shared" si="37"/>
        <v>0</v>
      </c>
      <c r="AA98" s="28"/>
      <c r="AB98" s="8"/>
      <c r="AC98" s="8">
        <f t="shared" si="38"/>
        <v>33.5</v>
      </c>
      <c r="AD98" s="8">
        <f t="shared" si="35"/>
        <v>33.5</v>
      </c>
      <c r="AE98" s="8">
        <v>9.6</v>
      </c>
      <c r="AF98" s="8">
        <v>11</v>
      </c>
      <c r="AG98" s="8">
        <v>12.4</v>
      </c>
      <c r="AH98" s="8">
        <v>6.8</v>
      </c>
      <c r="AI98" s="8">
        <v>6.4</v>
      </c>
      <c r="AJ98" s="8">
        <v>1.4</v>
      </c>
      <c r="AK98" s="8">
        <v>2</v>
      </c>
      <c r="AL98" s="8">
        <v>2.4</v>
      </c>
      <c r="AM98" s="8"/>
      <c r="AN98" s="8">
        <f t="shared" si="39"/>
        <v>0</v>
      </c>
      <c r="AO98" s="8">
        <f t="shared" si="40"/>
        <v>0</v>
      </c>
      <c r="AP98" s="8">
        <f t="shared" si="41"/>
        <v>0</v>
      </c>
      <c r="AQ98" s="8">
        <f t="shared" si="42"/>
        <v>0</v>
      </c>
      <c r="AR98" s="8">
        <f t="shared" si="43"/>
        <v>0</v>
      </c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 t="s">
        <v>145</v>
      </c>
      <c r="B99" s="8" t="s">
        <v>41</v>
      </c>
      <c r="C99" s="8">
        <v>119</v>
      </c>
      <c r="D99" s="8">
        <v>250</v>
      </c>
      <c r="E99" s="8">
        <v>145</v>
      </c>
      <c r="F99" s="8">
        <v>195</v>
      </c>
      <c r="G99" s="6">
        <v>7.0000000000000007E-2</v>
      </c>
      <c r="H99" s="8">
        <v>90</v>
      </c>
      <c r="I99" s="8" t="s">
        <v>37</v>
      </c>
      <c r="J99" s="8"/>
      <c r="K99" s="8">
        <v>179</v>
      </c>
      <c r="L99" s="8">
        <f t="shared" si="32"/>
        <v>-34</v>
      </c>
      <c r="M99" s="8">
        <f t="shared" si="33"/>
        <v>145</v>
      </c>
      <c r="N99" s="8"/>
      <c r="O99" s="8"/>
      <c r="P99" s="8">
        <v>90.299999999999955</v>
      </c>
      <c r="Q99" s="8"/>
      <c r="R99" s="8"/>
      <c r="S99" s="8">
        <v>330</v>
      </c>
      <c r="T99" s="22"/>
      <c r="U99" s="8">
        <f t="shared" si="34"/>
        <v>29</v>
      </c>
      <c r="V99" s="4"/>
      <c r="W99" s="4">
        <f t="shared" si="36"/>
        <v>0</v>
      </c>
      <c r="X99" s="4"/>
      <c r="Y99" s="28"/>
      <c r="Z99" s="4">
        <f t="shared" si="37"/>
        <v>0</v>
      </c>
      <c r="AA99" s="28"/>
      <c r="AB99" s="8"/>
      <c r="AC99" s="8">
        <f t="shared" si="38"/>
        <v>21.217241379310344</v>
      </c>
      <c r="AD99" s="8">
        <f t="shared" si="35"/>
        <v>21.217241379310344</v>
      </c>
      <c r="AE99" s="8">
        <v>32.4</v>
      </c>
      <c r="AF99" s="8">
        <v>33.4</v>
      </c>
      <c r="AG99" s="8">
        <v>34.799999999999997</v>
      </c>
      <c r="AH99" s="8">
        <v>22.2</v>
      </c>
      <c r="AI99" s="8">
        <v>22.6</v>
      </c>
      <c r="AJ99" s="8">
        <v>26.8</v>
      </c>
      <c r="AK99" s="8">
        <v>31.2</v>
      </c>
      <c r="AL99" s="8">
        <v>29.2</v>
      </c>
      <c r="AM99" s="8" t="s">
        <v>146</v>
      </c>
      <c r="AN99" s="8">
        <f t="shared" si="39"/>
        <v>0</v>
      </c>
      <c r="AO99" s="8">
        <f t="shared" si="40"/>
        <v>0</v>
      </c>
      <c r="AP99" s="8">
        <f t="shared" si="41"/>
        <v>0</v>
      </c>
      <c r="AQ99" s="8">
        <f t="shared" si="42"/>
        <v>0</v>
      </c>
      <c r="AR99" s="8">
        <f t="shared" si="43"/>
        <v>0</v>
      </c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 t="s">
        <v>147</v>
      </c>
      <c r="B100" s="8" t="s">
        <v>41</v>
      </c>
      <c r="C100" s="8">
        <v>161</v>
      </c>
      <c r="D100" s="8">
        <v>232</v>
      </c>
      <c r="E100" s="8">
        <v>158</v>
      </c>
      <c r="F100" s="8">
        <v>163</v>
      </c>
      <c r="G100" s="6">
        <v>7.0000000000000007E-2</v>
      </c>
      <c r="H100" s="8">
        <v>90</v>
      </c>
      <c r="I100" s="8" t="s">
        <v>37</v>
      </c>
      <c r="J100" s="8"/>
      <c r="K100" s="8">
        <v>231</v>
      </c>
      <c r="L100" s="8">
        <f t="shared" si="32"/>
        <v>-73</v>
      </c>
      <c r="M100" s="8">
        <f t="shared" si="33"/>
        <v>158</v>
      </c>
      <c r="N100" s="8"/>
      <c r="O100" s="8"/>
      <c r="P100" s="8">
        <v>0</v>
      </c>
      <c r="Q100" s="8"/>
      <c r="R100" s="8"/>
      <c r="S100" s="8">
        <v>390</v>
      </c>
      <c r="T100" s="22"/>
      <c r="U100" s="8">
        <f t="shared" si="34"/>
        <v>31.6</v>
      </c>
      <c r="V100" s="4"/>
      <c r="W100" s="4">
        <f t="shared" si="36"/>
        <v>0</v>
      </c>
      <c r="X100" s="4"/>
      <c r="Y100" s="28"/>
      <c r="Z100" s="4">
        <f t="shared" si="37"/>
        <v>0</v>
      </c>
      <c r="AA100" s="28"/>
      <c r="AB100" s="8"/>
      <c r="AC100" s="8">
        <f t="shared" si="38"/>
        <v>17.5</v>
      </c>
      <c r="AD100" s="8">
        <f t="shared" si="35"/>
        <v>17.5</v>
      </c>
      <c r="AE100" s="8">
        <v>28.2</v>
      </c>
      <c r="AF100" s="8">
        <v>29.6</v>
      </c>
      <c r="AG100" s="8">
        <v>31.2</v>
      </c>
      <c r="AH100" s="8">
        <v>22.8</v>
      </c>
      <c r="AI100" s="8">
        <v>26.2</v>
      </c>
      <c r="AJ100" s="8">
        <v>20.399999999999999</v>
      </c>
      <c r="AK100" s="8">
        <v>22</v>
      </c>
      <c r="AL100" s="8">
        <v>23.4</v>
      </c>
      <c r="AM100" s="8" t="s">
        <v>146</v>
      </c>
      <c r="AN100" s="8">
        <f t="shared" si="39"/>
        <v>0</v>
      </c>
      <c r="AO100" s="8">
        <f t="shared" si="40"/>
        <v>0</v>
      </c>
      <c r="AP100" s="8">
        <f t="shared" si="41"/>
        <v>0</v>
      </c>
      <c r="AQ100" s="8">
        <f t="shared" si="42"/>
        <v>0</v>
      </c>
      <c r="AR100" s="8">
        <f t="shared" si="43"/>
        <v>0</v>
      </c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 t="s">
        <v>148</v>
      </c>
      <c r="B101" s="8" t="s">
        <v>41</v>
      </c>
      <c r="C101" s="8">
        <v>114</v>
      </c>
      <c r="D101" s="8">
        <v>192</v>
      </c>
      <c r="E101" s="8">
        <v>111</v>
      </c>
      <c r="F101" s="8">
        <v>161</v>
      </c>
      <c r="G101" s="6">
        <v>7.0000000000000007E-2</v>
      </c>
      <c r="H101" s="8">
        <v>90</v>
      </c>
      <c r="I101" s="8" t="s">
        <v>37</v>
      </c>
      <c r="J101" s="8"/>
      <c r="K101" s="8">
        <v>145</v>
      </c>
      <c r="L101" s="8">
        <f t="shared" si="32"/>
        <v>-34</v>
      </c>
      <c r="M101" s="8">
        <f t="shared" si="33"/>
        <v>111</v>
      </c>
      <c r="N101" s="8"/>
      <c r="O101" s="8"/>
      <c r="P101" s="8">
        <v>36.100000000000023</v>
      </c>
      <c r="Q101" s="8"/>
      <c r="R101" s="8"/>
      <c r="S101" s="8">
        <v>320</v>
      </c>
      <c r="T101" s="22"/>
      <c r="U101" s="8">
        <f t="shared" si="34"/>
        <v>22.2</v>
      </c>
      <c r="V101" s="4"/>
      <c r="W101" s="4">
        <f t="shared" si="36"/>
        <v>0</v>
      </c>
      <c r="X101" s="4"/>
      <c r="Y101" s="28"/>
      <c r="Z101" s="4">
        <f t="shared" si="37"/>
        <v>0</v>
      </c>
      <c r="AA101" s="28"/>
      <c r="AB101" s="8"/>
      <c r="AC101" s="8">
        <f t="shared" si="38"/>
        <v>23.292792792792795</v>
      </c>
      <c r="AD101" s="8">
        <f t="shared" si="35"/>
        <v>23.292792792792795</v>
      </c>
      <c r="AE101" s="8">
        <v>23.2</v>
      </c>
      <c r="AF101" s="8">
        <v>24.6</v>
      </c>
      <c r="AG101" s="8">
        <v>27.4</v>
      </c>
      <c r="AH101" s="8">
        <v>18.8</v>
      </c>
      <c r="AI101" s="8">
        <v>18.399999999999999</v>
      </c>
      <c r="AJ101" s="8">
        <v>20.6</v>
      </c>
      <c r="AK101" s="8">
        <v>22.8</v>
      </c>
      <c r="AL101" s="8">
        <v>20.6</v>
      </c>
      <c r="AM101" s="8" t="s">
        <v>146</v>
      </c>
      <c r="AN101" s="8">
        <f t="shared" si="39"/>
        <v>0</v>
      </c>
      <c r="AO101" s="8">
        <f t="shared" si="40"/>
        <v>0</v>
      </c>
      <c r="AP101" s="8">
        <f t="shared" si="41"/>
        <v>0</v>
      </c>
      <c r="AQ101" s="8">
        <f t="shared" si="42"/>
        <v>0</v>
      </c>
      <c r="AR101" s="8">
        <f t="shared" si="43"/>
        <v>0</v>
      </c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9" t="s">
        <v>149</v>
      </c>
      <c r="B102" s="9" t="s">
        <v>41</v>
      </c>
      <c r="C102" s="9">
        <v>53</v>
      </c>
      <c r="D102" s="9">
        <v>4</v>
      </c>
      <c r="E102" s="9">
        <v>46</v>
      </c>
      <c r="F102" s="9">
        <v>6</v>
      </c>
      <c r="G102" s="10">
        <v>0</v>
      </c>
      <c r="H102" s="9">
        <v>90</v>
      </c>
      <c r="I102" s="9" t="s">
        <v>52</v>
      </c>
      <c r="J102" s="9"/>
      <c r="K102" s="9">
        <v>135</v>
      </c>
      <c r="L102" s="9">
        <f t="shared" ref="L102:L133" si="48">E102-K102</f>
        <v>-89</v>
      </c>
      <c r="M102" s="9">
        <f t="shared" ref="M102:M133" si="49">E102-N102</f>
        <v>46</v>
      </c>
      <c r="N102" s="9"/>
      <c r="O102" s="9"/>
      <c r="P102" s="9">
        <v>0</v>
      </c>
      <c r="Q102" s="9"/>
      <c r="R102" s="9"/>
      <c r="S102" s="9">
        <v>0</v>
      </c>
      <c r="T102" s="24"/>
      <c r="U102" s="9">
        <f t="shared" ref="U102:U136" si="50">M102/5</f>
        <v>9.1999999999999993</v>
      </c>
      <c r="V102" s="11"/>
      <c r="W102" s="4">
        <f t="shared" si="36"/>
        <v>0</v>
      </c>
      <c r="X102" s="4"/>
      <c r="Y102" s="28"/>
      <c r="Z102" s="4">
        <f t="shared" si="37"/>
        <v>0</v>
      </c>
      <c r="AA102" s="28"/>
      <c r="AB102" s="8"/>
      <c r="AC102" s="8">
        <f t="shared" si="38"/>
        <v>0.65217391304347827</v>
      </c>
      <c r="AD102" s="9">
        <f t="shared" ref="AD102:AD136" si="51">(F102+O102+P102+Q102+R102+S102)/U102</f>
        <v>0.65217391304347827</v>
      </c>
      <c r="AE102" s="9">
        <v>15.4</v>
      </c>
      <c r="AF102" s="9">
        <v>13.6</v>
      </c>
      <c r="AG102" s="9">
        <v>20.2</v>
      </c>
      <c r="AH102" s="9">
        <v>19</v>
      </c>
      <c r="AI102" s="9">
        <v>9.8000000000000007</v>
      </c>
      <c r="AJ102" s="9">
        <v>11</v>
      </c>
      <c r="AK102" s="9">
        <v>12</v>
      </c>
      <c r="AL102" s="9">
        <v>19.8</v>
      </c>
      <c r="AM102" s="9"/>
      <c r="AN102" s="8">
        <f t="shared" si="39"/>
        <v>0</v>
      </c>
      <c r="AO102" s="8">
        <f t="shared" si="40"/>
        <v>0</v>
      </c>
      <c r="AP102" s="8">
        <f t="shared" si="41"/>
        <v>0</v>
      </c>
      <c r="AQ102" s="8">
        <f t="shared" si="42"/>
        <v>0</v>
      </c>
      <c r="AR102" s="8">
        <f t="shared" si="43"/>
        <v>0</v>
      </c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 t="s">
        <v>150</v>
      </c>
      <c r="B103" s="8" t="s">
        <v>41</v>
      </c>
      <c r="C103" s="8">
        <v>10</v>
      </c>
      <c r="D103" s="8"/>
      <c r="E103" s="8">
        <v>3</v>
      </c>
      <c r="F103" s="8">
        <v>7</v>
      </c>
      <c r="G103" s="6">
        <v>0.3</v>
      </c>
      <c r="H103" s="8">
        <v>40</v>
      </c>
      <c r="I103" s="8" t="s">
        <v>37</v>
      </c>
      <c r="J103" s="8"/>
      <c r="K103" s="8">
        <v>5</v>
      </c>
      <c r="L103" s="8">
        <f t="shared" si="48"/>
        <v>-2</v>
      </c>
      <c r="M103" s="8">
        <f t="shared" si="49"/>
        <v>3</v>
      </c>
      <c r="N103" s="8"/>
      <c r="O103" s="8"/>
      <c r="P103" s="8">
        <v>0</v>
      </c>
      <c r="Q103" s="8"/>
      <c r="R103" s="8"/>
      <c r="S103" s="8">
        <v>27.2</v>
      </c>
      <c r="T103" s="22"/>
      <c r="U103" s="8">
        <f t="shared" si="50"/>
        <v>0.6</v>
      </c>
      <c r="V103" s="4"/>
      <c r="W103" s="4">
        <f t="shared" si="36"/>
        <v>0</v>
      </c>
      <c r="X103" s="4"/>
      <c r="Y103" s="28"/>
      <c r="Z103" s="4">
        <f t="shared" si="37"/>
        <v>0</v>
      </c>
      <c r="AA103" s="28"/>
      <c r="AB103" s="8"/>
      <c r="AC103" s="8">
        <f t="shared" si="38"/>
        <v>57.000000000000007</v>
      </c>
      <c r="AD103" s="8">
        <f t="shared" si="51"/>
        <v>57.000000000000007</v>
      </c>
      <c r="AE103" s="8">
        <v>4.4000000000000004</v>
      </c>
      <c r="AF103" s="8">
        <v>4.8</v>
      </c>
      <c r="AG103" s="8">
        <v>1.6</v>
      </c>
      <c r="AH103" s="8">
        <v>2.8</v>
      </c>
      <c r="AI103" s="8">
        <v>1.6</v>
      </c>
      <c r="AJ103" s="8">
        <v>1.2</v>
      </c>
      <c r="AK103" s="8">
        <v>-0.2</v>
      </c>
      <c r="AL103" s="8">
        <v>-0.4</v>
      </c>
      <c r="AM103" s="8"/>
      <c r="AN103" s="8">
        <f t="shared" si="39"/>
        <v>0</v>
      </c>
      <c r="AO103" s="8">
        <f t="shared" si="40"/>
        <v>0</v>
      </c>
      <c r="AP103" s="8">
        <f t="shared" si="41"/>
        <v>0</v>
      </c>
      <c r="AQ103" s="8">
        <f t="shared" si="42"/>
        <v>0</v>
      </c>
      <c r="AR103" s="8">
        <f t="shared" si="43"/>
        <v>0</v>
      </c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 t="s">
        <v>151</v>
      </c>
      <c r="B104" s="8" t="s">
        <v>36</v>
      </c>
      <c r="C104" s="8">
        <v>26.312999999999999</v>
      </c>
      <c r="D104" s="8">
        <v>27.521000000000001</v>
      </c>
      <c r="E104" s="8">
        <v>10.593</v>
      </c>
      <c r="F104" s="8">
        <v>41.384999999999998</v>
      </c>
      <c r="G104" s="6">
        <v>1</v>
      </c>
      <c r="H104" s="8">
        <v>55</v>
      </c>
      <c r="I104" s="8" t="s">
        <v>37</v>
      </c>
      <c r="J104" s="8"/>
      <c r="K104" s="8">
        <v>11.4</v>
      </c>
      <c r="L104" s="8">
        <f t="shared" si="48"/>
        <v>-0.80700000000000038</v>
      </c>
      <c r="M104" s="8">
        <f t="shared" si="49"/>
        <v>10.593</v>
      </c>
      <c r="N104" s="8"/>
      <c r="O104" s="8"/>
      <c r="P104" s="8">
        <v>0</v>
      </c>
      <c r="Q104" s="8"/>
      <c r="R104" s="8"/>
      <c r="S104" s="8">
        <v>0</v>
      </c>
      <c r="T104" s="22"/>
      <c r="U104" s="8">
        <f t="shared" si="50"/>
        <v>2.1185999999999998</v>
      </c>
      <c r="V104" s="4"/>
      <c r="W104" s="4">
        <f t="shared" si="36"/>
        <v>0</v>
      </c>
      <c r="X104" s="4"/>
      <c r="Y104" s="28"/>
      <c r="Z104" s="4">
        <f t="shared" si="37"/>
        <v>0</v>
      </c>
      <c r="AA104" s="28"/>
      <c r="AB104" s="8"/>
      <c r="AC104" s="8">
        <f t="shared" si="38"/>
        <v>19.534126309827244</v>
      </c>
      <c r="AD104" s="8">
        <f t="shared" si="51"/>
        <v>19.534126309827244</v>
      </c>
      <c r="AE104" s="8">
        <v>2.1888000000000001</v>
      </c>
      <c r="AF104" s="8">
        <v>1.9019999999999999</v>
      </c>
      <c r="AG104" s="8">
        <v>2.5404</v>
      </c>
      <c r="AH104" s="8">
        <v>2.8206000000000002</v>
      </c>
      <c r="AI104" s="8">
        <v>3.2389999999999999</v>
      </c>
      <c r="AJ104" s="8">
        <v>3.242</v>
      </c>
      <c r="AK104" s="8">
        <v>2.7948</v>
      </c>
      <c r="AL104" s="8">
        <v>2.4352</v>
      </c>
      <c r="AM104" s="8"/>
      <c r="AN104" s="8">
        <f t="shared" si="39"/>
        <v>0</v>
      </c>
      <c r="AO104" s="8">
        <f t="shared" si="40"/>
        <v>0</v>
      </c>
      <c r="AP104" s="8">
        <f t="shared" si="41"/>
        <v>0</v>
      </c>
      <c r="AQ104" s="8">
        <f t="shared" si="42"/>
        <v>0</v>
      </c>
      <c r="AR104" s="8">
        <f t="shared" si="43"/>
        <v>0</v>
      </c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 t="s">
        <v>152</v>
      </c>
      <c r="B105" s="8" t="s">
        <v>41</v>
      </c>
      <c r="C105" s="8">
        <v>-8</v>
      </c>
      <c r="D105" s="8"/>
      <c r="E105" s="8"/>
      <c r="F105" s="8">
        <v>-13</v>
      </c>
      <c r="G105" s="6">
        <v>0.11</v>
      </c>
      <c r="H105" s="8">
        <v>30</v>
      </c>
      <c r="I105" s="8" t="s">
        <v>37</v>
      </c>
      <c r="J105" s="8"/>
      <c r="K105" s="8">
        <v>178</v>
      </c>
      <c r="L105" s="8">
        <f t="shared" si="48"/>
        <v>-178</v>
      </c>
      <c r="M105" s="8">
        <f t="shared" si="49"/>
        <v>0</v>
      </c>
      <c r="N105" s="8"/>
      <c r="O105" s="8"/>
      <c r="P105" s="8">
        <v>0</v>
      </c>
      <c r="Q105" s="8"/>
      <c r="R105" s="8"/>
      <c r="S105" s="8">
        <v>315</v>
      </c>
      <c r="T105" s="22"/>
      <c r="U105" s="8">
        <f t="shared" si="50"/>
        <v>0</v>
      </c>
      <c r="V105" s="4"/>
      <c r="W105" s="4">
        <f t="shared" si="36"/>
        <v>0</v>
      </c>
      <c r="X105" s="4"/>
      <c r="Y105" s="28"/>
      <c r="Z105" s="4">
        <f t="shared" si="37"/>
        <v>0</v>
      </c>
      <c r="AA105" s="28"/>
      <c r="AB105" s="8"/>
      <c r="AC105" s="8" t="e">
        <f t="shared" si="38"/>
        <v>#DIV/0!</v>
      </c>
      <c r="AD105" s="8" t="e">
        <f t="shared" si="51"/>
        <v>#DIV/0!</v>
      </c>
      <c r="AE105" s="8">
        <v>0</v>
      </c>
      <c r="AF105" s="8">
        <v>0</v>
      </c>
      <c r="AG105" s="8">
        <v>0</v>
      </c>
      <c r="AH105" s="8">
        <v>0</v>
      </c>
      <c r="AI105" s="8">
        <v>0.8</v>
      </c>
      <c r="AJ105" s="8">
        <v>0.4</v>
      </c>
      <c r="AK105" s="8">
        <v>0.4</v>
      </c>
      <c r="AL105" s="8">
        <v>0.6</v>
      </c>
      <c r="AM105" s="8" t="s">
        <v>146</v>
      </c>
      <c r="AN105" s="8">
        <f t="shared" si="39"/>
        <v>0</v>
      </c>
      <c r="AO105" s="8">
        <f t="shared" si="40"/>
        <v>0</v>
      </c>
      <c r="AP105" s="8">
        <f t="shared" si="41"/>
        <v>0</v>
      </c>
      <c r="AQ105" s="8">
        <f t="shared" si="42"/>
        <v>0</v>
      </c>
      <c r="AR105" s="8">
        <f t="shared" si="43"/>
        <v>0</v>
      </c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9" t="s">
        <v>153</v>
      </c>
      <c r="B106" s="9" t="s">
        <v>41</v>
      </c>
      <c r="C106" s="9"/>
      <c r="D106" s="9"/>
      <c r="E106" s="9"/>
      <c r="F106" s="9"/>
      <c r="G106" s="10">
        <v>0</v>
      </c>
      <c r="H106" s="9"/>
      <c r="I106" s="9" t="s">
        <v>37</v>
      </c>
      <c r="J106" s="9"/>
      <c r="K106" s="9"/>
      <c r="L106" s="9">
        <f t="shared" si="48"/>
        <v>0</v>
      </c>
      <c r="M106" s="9">
        <f t="shared" si="49"/>
        <v>0</v>
      </c>
      <c r="N106" s="9"/>
      <c r="O106" s="9"/>
      <c r="P106" s="9">
        <v>0</v>
      </c>
      <c r="Q106" s="9"/>
      <c r="R106" s="9"/>
      <c r="S106" s="9">
        <v>0</v>
      </c>
      <c r="T106" s="24"/>
      <c r="U106" s="9">
        <f t="shared" si="50"/>
        <v>0</v>
      </c>
      <c r="V106" s="11"/>
      <c r="W106" s="4">
        <f t="shared" si="36"/>
        <v>0</v>
      </c>
      <c r="X106" s="4"/>
      <c r="Y106" s="28"/>
      <c r="Z106" s="4">
        <f t="shared" si="37"/>
        <v>0</v>
      </c>
      <c r="AA106" s="28"/>
      <c r="AB106" s="8"/>
      <c r="AC106" s="8" t="e">
        <f t="shared" si="38"/>
        <v>#DIV/0!</v>
      </c>
      <c r="AD106" s="9" t="e">
        <f t="shared" si="51"/>
        <v>#DIV/0!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 t="s">
        <v>60</v>
      </c>
      <c r="AN106" s="8">
        <f t="shared" si="39"/>
        <v>0</v>
      </c>
      <c r="AO106" s="8">
        <f t="shared" si="40"/>
        <v>0</v>
      </c>
      <c r="AP106" s="8">
        <f t="shared" si="41"/>
        <v>0</v>
      </c>
      <c r="AQ106" s="8">
        <f t="shared" si="42"/>
        <v>0</v>
      </c>
      <c r="AR106" s="8">
        <f t="shared" si="43"/>
        <v>0</v>
      </c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 t="s">
        <v>154</v>
      </c>
      <c r="B107" s="8" t="s">
        <v>41</v>
      </c>
      <c r="C107" s="8">
        <v>185</v>
      </c>
      <c r="D107" s="8">
        <v>449</v>
      </c>
      <c r="E107" s="8">
        <v>271</v>
      </c>
      <c r="F107" s="8">
        <v>282</v>
      </c>
      <c r="G107" s="6">
        <v>0.08</v>
      </c>
      <c r="H107" s="8">
        <v>45</v>
      </c>
      <c r="I107" s="8" t="s">
        <v>37</v>
      </c>
      <c r="J107" s="8"/>
      <c r="K107" s="8">
        <v>354</v>
      </c>
      <c r="L107" s="8">
        <f t="shared" si="48"/>
        <v>-83</v>
      </c>
      <c r="M107" s="8">
        <f t="shared" si="49"/>
        <v>271</v>
      </c>
      <c r="N107" s="8"/>
      <c r="O107" s="8"/>
      <c r="P107" s="8">
        <v>182.9</v>
      </c>
      <c r="Q107" s="8"/>
      <c r="R107" s="8"/>
      <c r="S107" s="8">
        <v>300</v>
      </c>
      <c r="T107" s="22"/>
      <c r="U107" s="8">
        <f t="shared" si="50"/>
        <v>54.2</v>
      </c>
      <c r="V107" s="4"/>
      <c r="W107" s="4">
        <f t="shared" si="36"/>
        <v>0</v>
      </c>
      <c r="X107" s="4"/>
      <c r="Y107" s="28"/>
      <c r="Z107" s="4">
        <f t="shared" si="37"/>
        <v>0</v>
      </c>
      <c r="AA107" s="28"/>
      <c r="AB107" s="8"/>
      <c r="AC107" s="8">
        <f t="shared" si="38"/>
        <v>14.112546125461254</v>
      </c>
      <c r="AD107" s="8">
        <f t="shared" si="51"/>
        <v>14.112546125461254</v>
      </c>
      <c r="AE107" s="8">
        <v>46.4</v>
      </c>
      <c r="AF107" s="8">
        <v>59</v>
      </c>
      <c r="AG107" s="8">
        <v>58.6</v>
      </c>
      <c r="AH107" s="8">
        <v>35.6</v>
      </c>
      <c r="AI107" s="8">
        <v>40.4</v>
      </c>
      <c r="AJ107" s="8">
        <v>39</v>
      </c>
      <c r="AK107" s="8">
        <v>49</v>
      </c>
      <c r="AL107" s="8">
        <v>45.4</v>
      </c>
      <c r="AM107" s="8" t="s">
        <v>146</v>
      </c>
      <c r="AN107" s="8">
        <f t="shared" si="39"/>
        <v>0</v>
      </c>
      <c r="AO107" s="8">
        <f t="shared" si="40"/>
        <v>0</v>
      </c>
      <c r="AP107" s="8">
        <f t="shared" si="41"/>
        <v>0</v>
      </c>
      <c r="AQ107" s="8">
        <f t="shared" si="42"/>
        <v>0</v>
      </c>
      <c r="AR107" s="8">
        <f t="shared" si="43"/>
        <v>0</v>
      </c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 t="s">
        <v>155</v>
      </c>
      <c r="B108" s="8" t="s">
        <v>41</v>
      </c>
      <c r="C108" s="8">
        <v>47</v>
      </c>
      <c r="D108" s="8">
        <v>15</v>
      </c>
      <c r="E108" s="8">
        <v>22</v>
      </c>
      <c r="F108" s="8">
        <v>36</v>
      </c>
      <c r="G108" s="6">
        <v>0.08</v>
      </c>
      <c r="H108" s="8">
        <v>45</v>
      </c>
      <c r="I108" s="8" t="s">
        <v>37</v>
      </c>
      <c r="J108" s="8"/>
      <c r="K108" s="8">
        <v>217</v>
      </c>
      <c r="L108" s="8">
        <f t="shared" si="48"/>
        <v>-195</v>
      </c>
      <c r="M108" s="8">
        <f t="shared" si="49"/>
        <v>22</v>
      </c>
      <c r="N108" s="8"/>
      <c r="O108" s="8"/>
      <c r="P108" s="8">
        <v>141.80000000000001</v>
      </c>
      <c r="Q108" s="8"/>
      <c r="R108" s="8"/>
      <c r="S108" s="8">
        <v>400</v>
      </c>
      <c r="T108" s="22"/>
      <c r="U108" s="8">
        <f t="shared" si="50"/>
        <v>4.4000000000000004</v>
      </c>
      <c r="V108" s="4"/>
      <c r="W108" s="4">
        <f t="shared" si="36"/>
        <v>0</v>
      </c>
      <c r="X108" s="4"/>
      <c r="Y108" s="28"/>
      <c r="Z108" s="4">
        <f t="shared" si="37"/>
        <v>0</v>
      </c>
      <c r="AA108" s="28"/>
      <c r="AB108" s="8"/>
      <c r="AC108" s="8">
        <f t="shared" si="38"/>
        <v>131.31818181818178</v>
      </c>
      <c r="AD108" s="8">
        <f t="shared" si="51"/>
        <v>131.31818181818178</v>
      </c>
      <c r="AE108" s="8">
        <v>25.8</v>
      </c>
      <c r="AF108" s="8">
        <v>24.4</v>
      </c>
      <c r="AG108" s="8">
        <v>2.2000000000000002</v>
      </c>
      <c r="AH108" s="8">
        <v>12.4</v>
      </c>
      <c r="AI108" s="8">
        <v>32</v>
      </c>
      <c r="AJ108" s="8">
        <v>30.4</v>
      </c>
      <c r="AK108" s="8">
        <v>36.200000000000003</v>
      </c>
      <c r="AL108" s="8">
        <v>26.6</v>
      </c>
      <c r="AM108" s="8" t="s">
        <v>146</v>
      </c>
      <c r="AN108" s="8">
        <f t="shared" si="39"/>
        <v>0</v>
      </c>
      <c r="AO108" s="8">
        <f t="shared" si="40"/>
        <v>0</v>
      </c>
      <c r="AP108" s="8">
        <f t="shared" si="41"/>
        <v>0</v>
      </c>
      <c r="AQ108" s="8">
        <f t="shared" si="42"/>
        <v>0</v>
      </c>
      <c r="AR108" s="8">
        <f t="shared" si="43"/>
        <v>0</v>
      </c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 t="s">
        <v>156</v>
      </c>
      <c r="B109" s="8" t="s">
        <v>41</v>
      </c>
      <c r="C109" s="8">
        <v>18</v>
      </c>
      <c r="D109" s="8">
        <v>135</v>
      </c>
      <c r="E109" s="8">
        <v>73</v>
      </c>
      <c r="F109" s="8">
        <v>30</v>
      </c>
      <c r="G109" s="6">
        <v>0.17</v>
      </c>
      <c r="H109" s="8">
        <v>30</v>
      </c>
      <c r="I109" s="8" t="s">
        <v>37</v>
      </c>
      <c r="J109" s="8"/>
      <c r="K109" s="8">
        <v>152</v>
      </c>
      <c r="L109" s="8">
        <f t="shared" si="48"/>
        <v>-79</v>
      </c>
      <c r="M109" s="8">
        <f t="shared" si="49"/>
        <v>73</v>
      </c>
      <c r="N109" s="8"/>
      <c r="O109" s="8"/>
      <c r="P109" s="8">
        <v>106.6</v>
      </c>
      <c r="Q109" s="8"/>
      <c r="R109" s="8"/>
      <c r="S109" s="8">
        <v>300</v>
      </c>
      <c r="T109" s="22"/>
      <c r="U109" s="8">
        <f t="shared" si="50"/>
        <v>14.6</v>
      </c>
      <c r="V109" s="4"/>
      <c r="W109" s="4">
        <f t="shared" si="36"/>
        <v>0</v>
      </c>
      <c r="X109" s="4"/>
      <c r="Y109" s="28"/>
      <c r="Z109" s="4">
        <f t="shared" si="37"/>
        <v>0</v>
      </c>
      <c r="AA109" s="28"/>
      <c r="AB109" s="8"/>
      <c r="AC109" s="8">
        <f t="shared" si="38"/>
        <v>29.904109589041099</v>
      </c>
      <c r="AD109" s="8">
        <f t="shared" si="51"/>
        <v>29.904109589041099</v>
      </c>
      <c r="AE109" s="8">
        <v>10.8</v>
      </c>
      <c r="AF109" s="8">
        <v>15.6</v>
      </c>
      <c r="AG109" s="8">
        <v>14</v>
      </c>
      <c r="AH109" s="8">
        <v>2.4</v>
      </c>
      <c r="AI109" s="8">
        <v>3.2</v>
      </c>
      <c r="AJ109" s="8">
        <v>8</v>
      </c>
      <c r="AK109" s="8">
        <v>9.1999999999999993</v>
      </c>
      <c r="AL109" s="8">
        <v>7.8</v>
      </c>
      <c r="AM109" s="8" t="s">
        <v>146</v>
      </c>
      <c r="AN109" s="8">
        <f t="shared" si="39"/>
        <v>0</v>
      </c>
      <c r="AO109" s="8">
        <f t="shared" si="40"/>
        <v>0</v>
      </c>
      <c r="AP109" s="8">
        <f t="shared" si="41"/>
        <v>0</v>
      </c>
      <c r="AQ109" s="8">
        <f t="shared" si="42"/>
        <v>0</v>
      </c>
      <c r="AR109" s="8">
        <f t="shared" si="43"/>
        <v>0</v>
      </c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 t="s">
        <v>157</v>
      </c>
      <c r="B110" s="8" t="s">
        <v>36</v>
      </c>
      <c r="C110" s="8">
        <v>254.39</v>
      </c>
      <c r="D110" s="8">
        <v>268.34800000000001</v>
      </c>
      <c r="E110" s="8">
        <v>182.58199999999999</v>
      </c>
      <c r="F110" s="8">
        <v>310.51600000000002</v>
      </c>
      <c r="G110" s="6">
        <v>1</v>
      </c>
      <c r="H110" s="8">
        <v>40</v>
      </c>
      <c r="I110" s="8" t="s">
        <v>37</v>
      </c>
      <c r="J110" s="8"/>
      <c r="K110" s="8">
        <v>205.5</v>
      </c>
      <c r="L110" s="8">
        <f t="shared" si="48"/>
        <v>-22.918000000000006</v>
      </c>
      <c r="M110" s="8">
        <f t="shared" si="49"/>
        <v>182.58199999999999</v>
      </c>
      <c r="N110" s="8"/>
      <c r="O110" s="8"/>
      <c r="P110" s="8">
        <v>79.633900000000011</v>
      </c>
      <c r="Q110" s="8"/>
      <c r="R110" s="8"/>
      <c r="S110" s="8">
        <v>0</v>
      </c>
      <c r="T110" s="22"/>
      <c r="U110" s="8">
        <f t="shared" si="50"/>
        <v>36.516399999999997</v>
      </c>
      <c r="V110" s="4">
        <f t="shared" ref="V110:V118" si="52">12*U110-S110-R110-Q110-P110-O110-F110</f>
        <v>48.04689999999988</v>
      </c>
      <c r="W110" s="4">
        <f t="shared" si="36"/>
        <v>48.04689999999988</v>
      </c>
      <c r="X110" s="4"/>
      <c r="Y110" s="28"/>
      <c r="Z110" s="4">
        <f t="shared" si="37"/>
        <v>48.04689999999988</v>
      </c>
      <c r="AA110" s="28"/>
      <c r="AB110" s="8"/>
      <c r="AC110" s="8">
        <f t="shared" si="38"/>
        <v>11.999999999999998</v>
      </c>
      <c r="AD110" s="8">
        <f t="shared" si="51"/>
        <v>10.684237767140244</v>
      </c>
      <c r="AE110" s="8">
        <v>39.003799999999998</v>
      </c>
      <c r="AF110" s="8">
        <v>47.948999999999998</v>
      </c>
      <c r="AG110" s="8">
        <v>50.321599999999997</v>
      </c>
      <c r="AH110" s="8">
        <v>34.956800000000001</v>
      </c>
      <c r="AI110" s="8">
        <v>41.598399999999998</v>
      </c>
      <c r="AJ110" s="8">
        <v>45.939</v>
      </c>
      <c r="AK110" s="8">
        <v>53.251199999999997</v>
      </c>
      <c r="AL110" s="8">
        <v>53.023000000000003</v>
      </c>
      <c r="AM110" s="8"/>
      <c r="AN110" s="8">
        <f t="shared" si="39"/>
        <v>0</v>
      </c>
      <c r="AO110" s="8">
        <f t="shared" si="40"/>
        <v>0</v>
      </c>
      <c r="AP110" s="8">
        <f t="shared" si="41"/>
        <v>48</v>
      </c>
      <c r="AQ110" s="8">
        <f t="shared" si="42"/>
        <v>0</v>
      </c>
      <c r="AR110" s="8">
        <f t="shared" si="43"/>
        <v>0</v>
      </c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 t="s">
        <v>158</v>
      </c>
      <c r="B111" s="8" t="s">
        <v>36</v>
      </c>
      <c r="C111" s="8">
        <v>17.722999999999999</v>
      </c>
      <c r="D111" s="8">
        <v>87.106999999999999</v>
      </c>
      <c r="E111" s="8">
        <v>23.513000000000002</v>
      </c>
      <c r="F111" s="8">
        <v>74.088999999999999</v>
      </c>
      <c r="G111" s="6">
        <v>1</v>
      </c>
      <c r="H111" s="8">
        <v>40</v>
      </c>
      <c r="I111" s="8" t="s">
        <v>37</v>
      </c>
      <c r="J111" s="8"/>
      <c r="K111" s="8">
        <v>39.6</v>
      </c>
      <c r="L111" s="8">
        <f t="shared" si="48"/>
        <v>-16.087</v>
      </c>
      <c r="M111" s="8">
        <f t="shared" si="49"/>
        <v>23.513000000000002</v>
      </c>
      <c r="N111" s="8"/>
      <c r="O111" s="8"/>
      <c r="P111" s="8">
        <v>147.78360000000001</v>
      </c>
      <c r="Q111" s="8"/>
      <c r="R111" s="8"/>
      <c r="S111" s="8">
        <v>0</v>
      </c>
      <c r="T111" s="22"/>
      <c r="U111" s="8">
        <f t="shared" si="50"/>
        <v>4.7026000000000003</v>
      </c>
      <c r="V111" s="4"/>
      <c r="W111" s="4">
        <f t="shared" si="36"/>
        <v>0</v>
      </c>
      <c r="X111" s="4"/>
      <c r="Y111" s="28"/>
      <c r="Z111" s="4">
        <f t="shared" si="37"/>
        <v>0</v>
      </c>
      <c r="AA111" s="28"/>
      <c r="AB111" s="8"/>
      <c r="AC111" s="8">
        <f t="shared" si="38"/>
        <v>47.180836133202909</v>
      </c>
      <c r="AD111" s="8">
        <f t="shared" si="51"/>
        <v>47.180836133202909</v>
      </c>
      <c r="AE111" s="8">
        <v>14.215400000000001</v>
      </c>
      <c r="AF111" s="8">
        <v>21.378</v>
      </c>
      <c r="AG111" s="8">
        <v>13.5524</v>
      </c>
      <c r="AH111" s="8">
        <v>5.1452</v>
      </c>
      <c r="AI111" s="8">
        <v>6.1728000000000014</v>
      </c>
      <c r="AJ111" s="8">
        <v>6.9261999999999997</v>
      </c>
      <c r="AK111" s="8">
        <v>11.025399999999999</v>
      </c>
      <c r="AL111" s="8">
        <v>19.4436</v>
      </c>
      <c r="AM111" s="8"/>
      <c r="AN111" s="8">
        <f t="shared" si="39"/>
        <v>0</v>
      </c>
      <c r="AO111" s="8">
        <f t="shared" si="40"/>
        <v>0</v>
      </c>
      <c r="AP111" s="8">
        <f t="shared" si="41"/>
        <v>0</v>
      </c>
      <c r="AQ111" s="8">
        <f t="shared" si="42"/>
        <v>0</v>
      </c>
      <c r="AR111" s="8">
        <f t="shared" si="43"/>
        <v>0</v>
      </c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 t="s">
        <v>159</v>
      </c>
      <c r="B112" s="8" t="s">
        <v>36</v>
      </c>
      <c r="C112" s="8">
        <v>131.76400000000001</v>
      </c>
      <c r="D112" s="8">
        <v>268.23099999999999</v>
      </c>
      <c r="E112" s="8">
        <v>156.48400000000001</v>
      </c>
      <c r="F112" s="8">
        <v>206.74199999999999</v>
      </c>
      <c r="G112" s="6">
        <v>1</v>
      </c>
      <c r="H112" s="8">
        <v>40</v>
      </c>
      <c r="I112" s="8" t="s">
        <v>37</v>
      </c>
      <c r="J112" s="8"/>
      <c r="K112" s="8">
        <v>182.35599999999999</v>
      </c>
      <c r="L112" s="8">
        <f t="shared" si="48"/>
        <v>-25.871999999999986</v>
      </c>
      <c r="M112" s="8">
        <f t="shared" si="49"/>
        <v>156.48400000000001</v>
      </c>
      <c r="N112" s="8"/>
      <c r="O112" s="8"/>
      <c r="P112" s="8">
        <v>160.9256</v>
      </c>
      <c r="Q112" s="8"/>
      <c r="R112" s="8"/>
      <c r="S112" s="8">
        <v>0</v>
      </c>
      <c r="T112" s="22"/>
      <c r="U112" s="8">
        <f t="shared" si="50"/>
        <v>31.296800000000001</v>
      </c>
      <c r="V112" s="4">
        <f t="shared" si="52"/>
        <v>7.8940000000000055</v>
      </c>
      <c r="W112" s="4">
        <f t="shared" si="36"/>
        <v>7.8940000000000055</v>
      </c>
      <c r="X112" s="4"/>
      <c r="Y112" s="28"/>
      <c r="Z112" s="4">
        <f t="shared" si="37"/>
        <v>7.8940000000000055</v>
      </c>
      <c r="AA112" s="28"/>
      <c r="AB112" s="8"/>
      <c r="AC112" s="8">
        <f t="shared" si="38"/>
        <v>12</v>
      </c>
      <c r="AD112" s="8">
        <f t="shared" si="51"/>
        <v>11.74776974003732</v>
      </c>
      <c r="AE112" s="8">
        <v>35.985399999999998</v>
      </c>
      <c r="AF112" s="8">
        <v>43.4876</v>
      </c>
      <c r="AG112" s="8">
        <v>38.700800000000001</v>
      </c>
      <c r="AH112" s="8">
        <v>22.611000000000001</v>
      </c>
      <c r="AI112" s="8">
        <v>27.788799999999998</v>
      </c>
      <c r="AJ112" s="8">
        <v>32.3598</v>
      </c>
      <c r="AK112" s="8">
        <v>36.879600000000003</v>
      </c>
      <c r="AL112" s="8">
        <v>41.132800000000003</v>
      </c>
      <c r="AM112" s="8"/>
      <c r="AN112" s="8">
        <f t="shared" si="39"/>
        <v>0</v>
      </c>
      <c r="AO112" s="8">
        <f t="shared" si="40"/>
        <v>0</v>
      </c>
      <c r="AP112" s="8">
        <f t="shared" si="41"/>
        <v>8</v>
      </c>
      <c r="AQ112" s="8">
        <f t="shared" si="42"/>
        <v>0</v>
      </c>
      <c r="AR112" s="8">
        <f t="shared" si="43"/>
        <v>0</v>
      </c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 t="s">
        <v>160</v>
      </c>
      <c r="B113" s="8" t="s">
        <v>41</v>
      </c>
      <c r="C113" s="8">
        <v>34</v>
      </c>
      <c r="D113" s="8">
        <v>2</v>
      </c>
      <c r="E113" s="8">
        <v>19</v>
      </c>
      <c r="F113" s="8">
        <v>15</v>
      </c>
      <c r="G113" s="6">
        <v>0.3</v>
      </c>
      <c r="H113" s="8">
        <v>45</v>
      </c>
      <c r="I113" s="8" t="s">
        <v>37</v>
      </c>
      <c r="J113" s="8"/>
      <c r="K113" s="8">
        <v>105</v>
      </c>
      <c r="L113" s="8">
        <f t="shared" si="48"/>
        <v>-86</v>
      </c>
      <c r="M113" s="8">
        <f t="shared" si="49"/>
        <v>19</v>
      </c>
      <c r="N113" s="8"/>
      <c r="O113" s="8"/>
      <c r="P113" s="8">
        <v>53.099999999999987</v>
      </c>
      <c r="Q113" s="8"/>
      <c r="R113" s="8"/>
      <c r="S113" s="8">
        <v>0</v>
      </c>
      <c r="T113" s="22"/>
      <c r="U113" s="8">
        <f t="shared" si="50"/>
        <v>3.8</v>
      </c>
      <c r="V113" s="4"/>
      <c r="W113" s="4">
        <f t="shared" si="36"/>
        <v>0</v>
      </c>
      <c r="X113" s="4"/>
      <c r="Y113" s="28"/>
      <c r="Z113" s="4">
        <f t="shared" si="37"/>
        <v>0</v>
      </c>
      <c r="AA113" s="28"/>
      <c r="AB113" s="8"/>
      <c r="AC113" s="8">
        <f t="shared" si="38"/>
        <v>17.921052631578945</v>
      </c>
      <c r="AD113" s="8">
        <f t="shared" si="51"/>
        <v>17.921052631578945</v>
      </c>
      <c r="AE113" s="8">
        <v>7.4</v>
      </c>
      <c r="AF113" s="8">
        <v>15.4</v>
      </c>
      <c r="AG113" s="8">
        <v>15.2</v>
      </c>
      <c r="AH113" s="8">
        <v>5.8</v>
      </c>
      <c r="AI113" s="8">
        <v>0.6</v>
      </c>
      <c r="AJ113" s="8">
        <v>0.6</v>
      </c>
      <c r="AK113" s="8">
        <v>3.8</v>
      </c>
      <c r="AL113" s="8">
        <v>12.4</v>
      </c>
      <c r="AM113" s="8"/>
      <c r="AN113" s="8">
        <f t="shared" si="39"/>
        <v>0</v>
      </c>
      <c r="AO113" s="8">
        <f t="shared" si="40"/>
        <v>0</v>
      </c>
      <c r="AP113" s="8">
        <f t="shared" si="41"/>
        <v>0</v>
      </c>
      <c r="AQ113" s="8">
        <f t="shared" si="42"/>
        <v>0</v>
      </c>
      <c r="AR113" s="8">
        <f t="shared" si="43"/>
        <v>0</v>
      </c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 t="s">
        <v>161</v>
      </c>
      <c r="B114" s="8" t="s">
        <v>36</v>
      </c>
      <c r="C114" s="8">
        <v>19.007000000000001</v>
      </c>
      <c r="D114" s="8">
        <v>4.17</v>
      </c>
      <c r="E114" s="8"/>
      <c r="F114" s="8">
        <v>0.55600000000000005</v>
      </c>
      <c r="G114" s="6">
        <v>1</v>
      </c>
      <c r="H114" s="8">
        <v>55</v>
      </c>
      <c r="I114" s="8" t="s">
        <v>37</v>
      </c>
      <c r="J114" s="8"/>
      <c r="K114" s="8">
        <v>3.8</v>
      </c>
      <c r="L114" s="8">
        <f t="shared" si="48"/>
        <v>-3.8</v>
      </c>
      <c r="M114" s="8">
        <f t="shared" si="49"/>
        <v>0</v>
      </c>
      <c r="N114" s="8"/>
      <c r="O114" s="8"/>
      <c r="P114" s="8">
        <v>7.1803999999999997</v>
      </c>
      <c r="Q114" s="8"/>
      <c r="R114" s="8"/>
      <c r="S114" s="8">
        <v>4</v>
      </c>
      <c r="T114" s="22"/>
      <c r="U114" s="8">
        <f t="shared" si="50"/>
        <v>0</v>
      </c>
      <c r="V114" s="4"/>
      <c r="W114" s="4">
        <f t="shared" si="36"/>
        <v>0</v>
      </c>
      <c r="X114" s="4"/>
      <c r="Y114" s="28"/>
      <c r="Z114" s="4">
        <f t="shared" si="37"/>
        <v>0</v>
      </c>
      <c r="AA114" s="28"/>
      <c r="AB114" s="8"/>
      <c r="AC114" s="8" t="e">
        <f t="shared" si="38"/>
        <v>#DIV/0!</v>
      </c>
      <c r="AD114" s="8" t="e">
        <f t="shared" si="51"/>
        <v>#DIV/0!</v>
      </c>
      <c r="AE114" s="8">
        <v>0.82919999999999994</v>
      </c>
      <c r="AF114" s="8">
        <v>1.1052</v>
      </c>
      <c r="AG114" s="8">
        <v>0.27600000000000002</v>
      </c>
      <c r="AH114" s="8">
        <v>0</v>
      </c>
      <c r="AI114" s="8">
        <v>0.40500000000000003</v>
      </c>
      <c r="AJ114" s="8">
        <v>0.40500000000000003</v>
      </c>
      <c r="AK114" s="8">
        <v>1.224</v>
      </c>
      <c r="AL114" s="8">
        <v>0.5544</v>
      </c>
      <c r="AM114" s="8"/>
      <c r="AN114" s="8">
        <f t="shared" si="39"/>
        <v>0</v>
      </c>
      <c r="AO114" s="8">
        <f t="shared" si="40"/>
        <v>0</v>
      </c>
      <c r="AP114" s="8">
        <f t="shared" si="41"/>
        <v>0</v>
      </c>
      <c r="AQ114" s="8">
        <f t="shared" si="42"/>
        <v>0</v>
      </c>
      <c r="AR114" s="8">
        <f t="shared" si="43"/>
        <v>0</v>
      </c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 t="s">
        <v>162</v>
      </c>
      <c r="B115" s="8" t="s">
        <v>41</v>
      </c>
      <c r="C115" s="8">
        <v>227</v>
      </c>
      <c r="D115" s="8">
        <v>570</v>
      </c>
      <c r="E115" s="8">
        <v>342</v>
      </c>
      <c r="F115" s="8">
        <v>345</v>
      </c>
      <c r="G115" s="6">
        <v>0.28000000000000003</v>
      </c>
      <c r="H115" s="8">
        <v>40</v>
      </c>
      <c r="I115" s="8" t="s">
        <v>37</v>
      </c>
      <c r="J115" s="8"/>
      <c r="K115" s="8">
        <v>472</v>
      </c>
      <c r="L115" s="8">
        <f t="shared" si="48"/>
        <v>-130</v>
      </c>
      <c r="M115" s="8">
        <f t="shared" si="49"/>
        <v>342</v>
      </c>
      <c r="N115" s="8"/>
      <c r="O115" s="8"/>
      <c r="P115" s="8">
        <v>0</v>
      </c>
      <c r="Q115" s="8"/>
      <c r="R115" s="8"/>
      <c r="S115" s="8">
        <v>75.004000000000019</v>
      </c>
      <c r="T115" s="22"/>
      <c r="U115" s="8">
        <f t="shared" si="50"/>
        <v>68.400000000000006</v>
      </c>
      <c r="V115" s="4">
        <f t="shared" si="52"/>
        <v>400.79600000000005</v>
      </c>
      <c r="W115" s="4">
        <f>V115+$W$1*U115</f>
        <v>579.38840000000005</v>
      </c>
      <c r="X115" s="4">
        <f>W115*$X$1</f>
        <v>220.16759200000001</v>
      </c>
      <c r="Y115" s="28"/>
      <c r="Z115" s="4">
        <f t="shared" si="37"/>
        <v>359.22080800000003</v>
      </c>
      <c r="AA115" s="28"/>
      <c r="AB115" s="8"/>
      <c r="AC115" s="8">
        <f t="shared" si="38"/>
        <v>14.610999999999999</v>
      </c>
      <c r="AD115" s="8">
        <f t="shared" si="51"/>
        <v>6.1404093567251463</v>
      </c>
      <c r="AE115" s="8">
        <v>58.2</v>
      </c>
      <c r="AF115" s="8">
        <v>83.8</v>
      </c>
      <c r="AG115" s="8">
        <v>89</v>
      </c>
      <c r="AH115" s="8">
        <v>60.4</v>
      </c>
      <c r="AI115" s="8">
        <v>51.8</v>
      </c>
      <c r="AJ115" s="8">
        <v>57</v>
      </c>
      <c r="AK115" s="8">
        <v>70</v>
      </c>
      <c r="AL115" s="8">
        <v>76.8</v>
      </c>
      <c r="AM115" s="8"/>
      <c r="AN115" s="8">
        <f t="shared" si="39"/>
        <v>62</v>
      </c>
      <c r="AO115" s="8">
        <f t="shared" si="40"/>
        <v>0</v>
      </c>
      <c r="AP115" s="8">
        <f t="shared" si="41"/>
        <v>101</v>
      </c>
      <c r="AQ115" s="8">
        <f t="shared" si="42"/>
        <v>0</v>
      </c>
      <c r="AR115" s="8">
        <f t="shared" si="43"/>
        <v>0</v>
      </c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 t="s">
        <v>163</v>
      </c>
      <c r="B116" s="8" t="s">
        <v>41</v>
      </c>
      <c r="C116" s="8">
        <v>50.725999999999999</v>
      </c>
      <c r="D116" s="8">
        <v>599</v>
      </c>
      <c r="E116" s="8">
        <v>281</v>
      </c>
      <c r="F116" s="8">
        <v>299.726</v>
      </c>
      <c r="G116" s="6">
        <v>0.28000000000000003</v>
      </c>
      <c r="H116" s="8">
        <v>40</v>
      </c>
      <c r="I116" s="8" t="s">
        <v>37</v>
      </c>
      <c r="J116" s="8"/>
      <c r="K116" s="8">
        <v>393</v>
      </c>
      <c r="L116" s="8">
        <f t="shared" si="48"/>
        <v>-112</v>
      </c>
      <c r="M116" s="8">
        <f t="shared" si="49"/>
        <v>281</v>
      </c>
      <c r="N116" s="8"/>
      <c r="O116" s="8"/>
      <c r="P116" s="8">
        <v>0</v>
      </c>
      <c r="Q116" s="8">
        <v>498.42033120000002</v>
      </c>
      <c r="R116" s="8"/>
      <c r="S116" s="8">
        <v>0</v>
      </c>
      <c r="T116" s="22"/>
      <c r="U116" s="8">
        <f t="shared" si="50"/>
        <v>56.2</v>
      </c>
      <c r="V116" s="4"/>
      <c r="W116" s="4">
        <f t="shared" si="36"/>
        <v>0</v>
      </c>
      <c r="X116" s="4"/>
      <c r="Y116" s="28"/>
      <c r="Z116" s="4">
        <f t="shared" si="37"/>
        <v>0</v>
      </c>
      <c r="AA116" s="28"/>
      <c r="AB116" s="8"/>
      <c r="AC116" s="8">
        <f t="shared" si="38"/>
        <v>14.201892014234875</v>
      </c>
      <c r="AD116" s="8">
        <f t="shared" si="51"/>
        <v>14.201892014234875</v>
      </c>
      <c r="AE116" s="8">
        <v>63.6</v>
      </c>
      <c r="AF116" s="8">
        <v>109</v>
      </c>
      <c r="AG116" s="8">
        <v>91.4</v>
      </c>
      <c r="AH116" s="8">
        <v>49.0548</v>
      </c>
      <c r="AI116" s="8">
        <v>24.854800000000001</v>
      </c>
      <c r="AJ116" s="8">
        <v>32.654800000000002</v>
      </c>
      <c r="AK116" s="8">
        <v>50.4</v>
      </c>
      <c r="AL116" s="8">
        <v>91.8</v>
      </c>
      <c r="AM116" s="8"/>
      <c r="AN116" s="8">
        <f t="shared" si="39"/>
        <v>0</v>
      </c>
      <c r="AO116" s="8">
        <f t="shared" si="40"/>
        <v>0</v>
      </c>
      <c r="AP116" s="8">
        <f t="shared" si="41"/>
        <v>0</v>
      </c>
      <c r="AQ116" s="8">
        <f t="shared" si="42"/>
        <v>0</v>
      </c>
      <c r="AR116" s="8">
        <f t="shared" si="43"/>
        <v>0</v>
      </c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 t="s">
        <v>164</v>
      </c>
      <c r="B117" s="8" t="s">
        <v>41</v>
      </c>
      <c r="C117" s="8">
        <v>332.5</v>
      </c>
      <c r="D117" s="8">
        <v>916</v>
      </c>
      <c r="E117" s="8">
        <v>558</v>
      </c>
      <c r="F117" s="8">
        <v>541.5</v>
      </c>
      <c r="G117" s="6">
        <v>0.28000000000000003</v>
      </c>
      <c r="H117" s="8">
        <v>40</v>
      </c>
      <c r="I117" s="8" t="s">
        <v>37</v>
      </c>
      <c r="J117" s="8"/>
      <c r="K117" s="8">
        <v>694</v>
      </c>
      <c r="L117" s="8">
        <f t="shared" si="48"/>
        <v>-136</v>
      </c>
      <c r="M117" s="8">
        <f t="shared" si="49"/>
        <v>558</v>
      </c>
      <c r="N117" s="8"/>
      <c r="O117" s="8"/>
      <c r="P117" s="8">
        <v>477.19299999999981</v>
      </c>
      <c r="Q117" s="8"/>
      <c r="R117" s="8"/>
      <c r="S117" s="8">
        <v>0</v>
      </c>
      <c r="T117" s="22"/>
      <c r="U117" s="8">
        <f t="shared" si="50"/>
        <v>111.6</v>
      </c>
      <c r="V117" s="4">
        <f t="shared" si="52"/>
        <v>320.50700000000006</v>
      </c>
      <c r="W117" s="4">
        <f>V117+$W$1*U117</f>
        <v>611.89460000000008</v>
      </c>
      <c r="X117" s="4">
        <f>W117*$X$1</f>
        <v>232.51994800000003</v>
      </c>
      <c r="Y117" s="28"/>
      <c r="Z117" s="4">
        <f t="shared" si="37"/>
        <v>379.37465200000008</v>
      </c>
      <c r="AA117" s="28"/>
      <c r="AB117" s="8"/>
      <c r="AC117" s="8">
        <f t="shared" si="38"/>
        <v>14.610999999999999</v>
      </c>
      <c r="AD117" s="8">
        <f t="shared" si="51"/>
        <v>9.1280734767025073</v>
      </c>
      <c r="AE117" s="8">
        <v>95.6</v>
      </c>
      <c r="AF117" s="8">
        <v>123.2</v>
      </c>
      <c r="AG117" s="8">
        <v>137</v>
      </c>
      <c r="AH117" s="8">
        <v>87.1</v>
      </c>
      <c r="AI117" s="8">
        <v>78.7</v>
      </c>
      <c r="AJ117" s="8">
        <v>78.5</v>
      </c>
      <c r="AK117" s="8">
        <v>103.2</v>
      </c>
      <c r="AL117" s="8">
        <v>101.8</v>
      </c>
      <c r="AM117" s="8"/>
      <c r="AN117" s="8">
        <f t="shared" si="39"/>
        <v>65</v>
      </c>
      <c r="AO117" s="8">
        <f t="shared" si="40"/>
        <v>0</v>
      </c>
      <c r="AP117" s="8">
        <f t="shared" si="41"/>
        <v>106</v>
      </c>
      <c r="AQ117" s="8">
        <f t="shared" si="42"/>
        <v>0</v>
      </c>
      <c r="AR117" s="8">
        <f t="shared" si="43"/>
        <v>0</v>
      </c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 t="s">
        <v>165</v>
      </c>
      <c r="B118" s="8" t="s">
        <v>41</v>
      </c>
      <c r="C118" s="8">
        <v>67</v>
      </c>
      <c r="D118" s="8">
        <v>123</v>
      </c>
      <c r="E118" s="8">
        <v>78</v>
      </c>
      <c r="F118" s="8">
        <v>65</v>
      </c>
      <c r="G118" s="6">
        <v>0.09</v>
      </c>
      <c r="H118" s="8">
        <v>45</v>
      </c>
      <c r="I118" s="8" t="s">
        <v>37</v>
      </c>
      <c r="J118" s="8"/>
      <c r="K118" s="8">
        <v>170</v>
      </c>
      <c r="L118" s="8">
        <f t="shared" si="48"/>
        <v>-92</v>
      </c>
      <c r="M118" s="8">
        <f t="shared" si="49"/>
        <v>78</v>
      </c>
      <c r="N118" s="8"/>
      <c r="O118" s="8"/>
      <c r="P118" s="8">
        <v>14</v>
      </c>
      <c r="Q118" s="8"/>
      <c r="R118" s="8"/>
      <c r="S118" s="8">
        <v>52.02000000000001</v>
      </c>
      <c r="T118" s="22"/>
      <c r="U118" s="8">
        <f t="shared" si="50"/>
        <v>15.6</v>
      </c>
      <c r="V118" s="4">
        <f t="shared" si="52"/>
        <v>56.179999999999978</v>
      </c>
      <c r="W118" s="4">
        <f t="shared" si="36"/>
        <v>56.179999999999978</v>
      </c>
      <c r="X118" s="4"/>
      <c r="Y118" s="28"/>
      <c r="Z118" s="4">
        <f t="shared" si="37"/>
        <v>56.179999999999978</v>
      </c>
      <c r="AA118" s="28"/>
      <c r="AB118" s="8"/>
      <c r="AC118" s="8">
        <f t="shared" si="38"/>
        <v>12</v>
      </c>
      <c r="AD118" s="8">
        <f t="shared" si="51"/>
        <v>8.39871794871795</v>
      </c>
      <c r="AE118" s="8">
        <v>14.2</v>
      </c>
      <c r="AF118" s="8">
        <v>12.2</v>
      </c>
      <c r="AG118" s="8">
        <v>13.2</v>
      </c>
      <c r="AH118" s="8">
        <v>5.4</v>
      </c>
      <c r="AI118" s="8">
        <v>9.8000000000000007</v>
      </c>
      <c r="AJ118" s="8">
        <v>6.6</v>
      </c>
      <c r="AK118" s="8">
        <v>10</v>
      </c>
      <c r="AL118" s="8">
        <v>8.1999999999999993</v>
      </c>
      <c r="AM118" s="8"/>
      <c r="AN118" s="8">
        <f t="shared" si="39"/>
        <v>0</v>
      </c>
      <c r="AO118" s="8">
        <f t="shared" si="40"/>
        <v>0</v>
      </c>
      <c r="AP118" s="8">
        <f t="shared" si="41"/>
        <v>5</v>
      </c>
      <c r="AQ118" s="8">
        <f t="shared" si="42"/>
        <v>0</v>
      </c>
      <c r="AR118" s="8">
        <f t="shared" si="43"/>
        <v>0</v>
      </c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9" t="s">
        <v>166</v>
      </c>
      <c r="B119" s="9" t="s">
        <v>36</v>
      </c>
      <c r="C119" s="9">
        <v>53.927999999999997</v>
      </c>
      <c r="D119" s="9">
        <v>5.532</v>
      </c>
      <c r="E119" s="9">
        <v>10.927</v>
      </c>
      <c r="F119" s="9">
        <v>43.000999999999998</v>
      </c>
      <c r="G119" s="10">
        <v>0</v>
      </c>
      <c r="H119" s="9">
        <v>55</v>
      </c>
      <c r="I119" s="9" t="s">
        <v>52</v>
      </c>
      <c r="J119" s="9"/>
      <c r="K119" s="9">
        <v>18.5</v>
      </c>
      <c r="L119" s="9">
        <f t="shared" si="48"/>
        <v>-7.5730000000000004</v>
      </c>
      <c r="M119" s="9">
        <f t="shared" si="49"/>
        <v>10.927</v>
      </c>
      <c r="N119" s="9"/>
      <c r="O119" s="9"/>
      <c r="P119" s="9">
        <v>0</v>
      </c>
      <c r="Q119" s="9"/>
      <c r="R119" s="9"/>
      <c r="S119" s="9">
        <v>0</v>
      </c>
      <c r="T119" s="24"/>
      <c r="U119" s="9">
        <f t="shared" si="50"/>
        <v>2.1854</v>
      </c>
      <c r="V119" s="11"/>
      <c r="W119" s="4">
        <f t="shared" si="36"/>
        <v>0</v>
      </c>
      <c r="X119" s="4"/>
      <c r="Y119" s="28"/>
      <c r="Z119" s="4">
        <f t="shared" si="37"/>
        <v>0</v>
      </c>
      <c r="AA119" s="28"/>
      <c r="AB119" s="8"/>
      <c r="AC119" s="8">
        <f t="shared" si="38"/>
        <v>19.676489429852658</v>
      </c>
      <c r="AD119" s="9">
        <f t="shared" si="51"/>
        <v>19.676489429852658</v>
      </c>
      <c r="AE119" s="9">
        <v>1.3512</v>
      </c>
      <c r="AF119" s="9">
        <v>2.4342000000000001</v>
      </c>
      <c r="AG119" s="9">
        <v>1.6259999999999999</v>
      </c>
      <c r="AH119" s="9">
        <v>1.085</v>
      </c>
      <c r="AI119" s="9">
        <v>1.8994</v>
      </c>
      <c r="AJ119" s="9">
        <v>2.1669999999999998</v>
      </c>
      <c r="AK119" s="9">
        <v>2.1669999999999998</v>
      </c>
      <c r="AL119" s="9">
        <v>0.80959999999999999</v>
      </c>
      <c r="AM119" s="13" t="s">
        <v>134</v>
      </c>
      <c r="AN119" s="8">
        <f t="shared" si="39"/>
        <v>0</v>
      </c>
      <c r="AO119" s="8">
        <f t="shared" si="40"/>
        <v>0</v>
      </c>
      <c r="AP119" s="8">
        <f t="shared" si="41"/>
        <v>0</v>
      </c>
      <c r="AQ119" s="8">
        <f t="shared" si="42"/>
        <v>0</v>
      </c>
      <c r="AR119" s="8">
        <f t="shared" si="43"/>
        <v>0</v>
      </c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 t="s">
        <v>167</v>
      </c>
      <c r="B120" s="8" t="s">
        <v>36</v>
      </c>
      <c r="C120" s="8">
        <v>45.003</v>
      </c>
      <c r="D120" s="8">
        <v>91.668000000000006</v>
      </c>
      <c r="E120" s="8">
        <v>31.373999999999999</v>
      </c>
      <c r="F120" s="8">
        <v>101.86199999999999</v>
      </c>
      <c r="G120" s="6">
        <v>1</v>
      </c>
      <c r="H120" s="8">
        <v>60</v>
      </c>
      <c r="I120" s="8" t="s">
        <v>37</v>
      </c>
      <c r="J120" s="8"/>
      <c r="K120" s="8">
        <v>37.5</v>
      </c>
      <c r="L120" s="8">
        <f t="shared" si="48"/>
        <v>-6.1260000000000012</v>
      </c>
      <c r="M120" s="8">
        <f t="shared" si="49"/>
        <v>31.373999999999999</v>
      </c>
      <c r="N120" s="8"/>
      <c r="O120" s="8"/>
      <c r="P120" s="8">
        <v>60.118000000000031</v>
      </c>
      <c r="Q120" s="8"/>
      <c r="R120" s="8"/>
      <c r="S120" s="8">
        <v>0</v>
      </c>
      <c r="T120" s="22"/>
      <c r="U120" s="8">
        <f t="shared" si="50"/>
        <v>6.2747999999999999</v>
      </c>
      <c r="V120" s="4"/>
      <c r="W120" s="4">
        <f t="shared" si="36"/>
        <v>0</v>
      </c>
      <c r="X120" s="4"/>
      <c r="Y120" s="28"/>
      <c r="Z120" s="4">
        <f t="shared" si="37"/>
        <v>0</v>
      </c>
      <c r="AA120" s="28"/>
      <c r="AB120" s="8"/>
      <c r="AC120" s="8">
        <f t="shared" si="38"/>
        <v>25.814368585452925</v>
      </c>
      <c r="AD120" s="8">
        <f t="shared" si="51"/>
        <v>25.814368585452925</v>
      </c>
      <c r="AE120" s="8">
        <v>10.271599999999999</v>
      </c>
      <c r="AF120" s="8">
        <v>16.718</v>
      </c>
      <c r="AG120" s="8">
        <v>14.504</v>
      </c>
      <c r="AH120" s="8">
        <v>5.6520000000000001</v>
      </c>
      <c r="AI120" s="8">
        <v>6.5449999999999999</v>
      </c>
      <c r="AJ120" s="8">
        <v>9.0909999999999993</v>
      </c>
      <c r="AK120" s="8">
        <v>11.584199999999999</v>
      </c>
      <c r="AL120" s="8">
        <v>9.4443999999999999</v>
      </c>
      <c r="AM120" s="13" t="s">
        <v>134</v>
      </c>
      <c r="AN120" s="8">
        <f t="shared" si="39"/>
        <v>0</v>
      </c>
      <c r="AO120" s="8">
        <f t="shared" si="40"/>
        <v>0</v>
      </c>
      <c r="AP120" s="8">
        <f t="shared" si="41"/>
        <v>0</v>
      </c>
      <c r="AQ120" s="8">
        <f t="shared" si="42"/>
        <v>0</v>
      </c>
      <c r="AR120" s="8">
        <f t="shared" si="43"/>
        <v>0</v>
      </c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 t="s">
        <v>168</v>
      </c>
      <c r="B121" s="8" t="s">
        <v>36</v>
      </c>
      <c r="C121" s="8">
        <v>9.0009999999999994</v>
      </c>
      <c r="D121" s="8">
        <v>76.989999999999995</v>
      </c>
      <c r="E121" s="8">
        <v>24.067</v>
      </c>
      <c r="F121" s="8">
        <v>58.584000000000003</v>
      </c>
      <c r="G121" s="6">
        <v>1</v>
      </c>
      <c r="H121" s="8">
        <v>50</v>
      </c>
      <c r="I121" s="8" t="s">
        <v>37</v>
      </c>
      <c r="J121" s="8"/>
      <c r="K121" s="8">
        <v>27.5</v>
      </c>
      <c r="L121" s="8">
        <f t="shared" si="48"/>
        <v>-3.4329999999999998</v>
      </c>
      <c r="M121" s="8">
        <f t="shared" si="49"/>
        <v>24.067</v>
      </c>
      <c r="N121" s="8"/>
      <c r="O121" s="8"/>
      <c r="P121" s="8">
        <v>0</v>
      </c>
      <c r="Q121" s="8"/>
      <c r="R121" s="8"/>
      <c r="S121" s="8">
        <v>0</v>
      </c>
      <c r="T121" s="22"/>
      <c r="U121" s="8">
        <f t="shared" si="50"/>
        <v>4.8133999999999997</v>
      </c>
      <c r="V121" s="4"/>
      <c r="W121" s="4">
        <f t="shared" si="36"/>
        <v>0</v>
      </c>
      <c r="X121" s="4"/>
      <c r="Y121" s="28"/>
      <c r="Z121" s="4">
        <f t="shared" si="37"/>
        <v>0</v>
      </c>
      <c r="AA121" s="28"/>
      <c r="AB121" s="8"/>
      <c r="AC121" s="8">
        <f t="shared" si="38"/>
        <v>12.171022562014379</v>
      </c>
      <c r="AD121" s="8">
        <f t="shared" si="51"/>
        <v>12.171022562014379</v>
      </c>
      <c r="AE121" s="8">
        <v>2.9209999999999998</v>
      </c>
      <c r="AF121" s="8">
        <v>5.9039999999999999</v>
      </c>
      <c r="AG121" s="8">
        <v>10.317399999999999</v>
      </c>
      <c r="AH121" s="8">
        <v>4.4803999999999977</v>
      </c>
      <c r="AI121" s="8">
        <v>3.0777999999999999</v>
      </c>
      <c r="AJ121" s="8">
        <v>4.9722</v>
      </c>
      <c r="AK121" s="8">
        <v>7.1712000000000007</v>
      </c>
      <c r="AL121" s="8">
        <v>8.8970000000000002</v>
      </c>
      <c r="AM121" s="8"/>
      <c r="AN121" s="8">
        <f t="shared" si="39"/>
        <v>0</v>
      </c>
      <c r="AO121" s="8">
        <f t="shared" si="40"/>
        <v>0</v>
      </c>
      <c r="AP121" s="8">
        <f t="shared" si="41"/>
        <v>0</v>
      </c>
      <c r="AQ121" s="8">
        <f t="shared" si="42"/>
        <v>0</v>
      </c>
      <c r="AR121" s="8">
        <f t="shared" si="43"/>
        <v>0</v>
      </c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 t="s">
        <v>169</v>
      </c>
      <c r="B122" s="8" t="s">
        <v>41</v>
      </c>
      <c r="C122" s="8">
        <v>68</v>
      </c>
      <c r="D122" s="8">
        <v>110</v>
      </c>
      <c r="E122" s="8">
        <v>97</v>
      </c>
      <c r="F122" s="8">
        <v>50</v>
      </c>
      <c r="G122" s="6">
        <v>0.09</v>
      </c>
      <c r="H122" s="8">
        <v>45</v>
      </c>
      <c r="I122" s="8" t="s">
        <v>37</v>
      </c>
      <c r="J122" s="8"/>
      <c r="K122" s="8">
        <v>135</v>
      </c>
      <c r="L122" s="8">
        <f t="shared" si="48"/>
        <v>-38</v>
      </c>
      <c r="M122" s="8">
        <f t="shared" si="49"/>
        <v>97</v>
      </c>
      <c r="N122" s="8"/>
      <c r="O122" s="8"/>
      <c r="P122" s="8">
        <v>0</v>
      </c>
      <c r="Q122" s="8"/>
      <c r="R122" s="8"/>
      <c r="S122" s="8">
        <v>360</v>
      </c>
      <c r="T122" s="22"/>
      <c r="U122" s="8">
        <f t="shared" si="50"/>
        <v>19.399999999999999</v>
      </c>
      <c r="V122" s="4"/>
      <c r="W122" s="4">
        <f t="shared" si="36"/>
        <v>0</v>
      </c>
      <c r="X122" s="4"/>
      <c r="Y122" s="28"/>
      <c r="Z122" s="4">
        <f t="shared" si="37"/>
        <v>0</v>
      </c>
      <c r="AA122" s="28"/>
      <c r="AB122" s="8"/>
      <c r="AC122" s="8">
        <f t="shared" si="38"/>
        <v>21.134020618556704</v>
      </c>
      <c r="AD122" s="8">
        <f t="shared" si="51"/>
        <v>21.134020618556704</v>
      </c>
      <c r="AE122" s="8">
        <v>14.4</v>
      </c>
      <c r="AF122" s="8">
        <v>11.6</v>
      </c>
      <c r="AG122" s="8">
        <v>13.8</v>
      </c>
      <c r="AH122" s="8">
        <v>8.8000000000000007</v>
      </c>
      <c r="AI122" s="8">
        <v>6.4</v>
      </c>
      <c r="AJ122" s="8">
        <v>4.8</v>
      </c>
      <c r="AK122" s="8">
        <v>6.4</v>
      </c>
      <c r="AL122" s="8">
        <v>8.1999999999999993</v>
      </c>
      <c r="AM122" s="8" t="s">
        <v>146</v>
      </c>
      <c r="AN122" s="8">
        <f t="shared" si="39"/>
        <v>0</v>
      </c>
      <c r="AO122" s="8">
        <f t="shared" si="40"/>
        <v>0</v>
      </c>
      <c r="AP122" s="8">
        <f t="shared" si="41"/>
        <v>0</v>
      </c>
      <c r="AQ122" s="8">
        <f t="shared" si="42"/>
        <v>0</v>
      </c>
      <c r="AR122" s="8">
        <f t="shared" si="43"/>
        <v>0</v>
      </c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 t="s">
        <v>170</v>
      </c>
      <c r="B123" s="8" t="s">
        <v>41</v>
      </c>
      <c r="C123" s="8">
        <v>63</v>
      </c>
      <c r="D123" s="8">
        <v>127</v>
      </c>
      <c r="E123" s="8">
        <v>81</v>
      </c>
      <c r="F123" s="8">
        <v>92</v>
      </c>
      <c r="G123" s="6">
        <v>0.09</v>
      </c>
      <c r="H123" s="8">
        <v>45</v>
      </c>
      <c r="I123" s="8" t="s">
        <v>37</v>
      </c>
      <c r="J123" s="8"/>
      <c r="K123" s="8">
        <v>99</v>
      </c>
      <c r="L123" s="8">
        <f t="shared" si="48"/>
        <v>-18</v>
      </c>
      <c r="M123" s="8">
        <f t="shared" si="49"/>
        <v>81</v>
      </c>
      <c r="N123" s="8"/>
      <c r="O123" s="8"/>
      <c r="P123" s="8">
        <v>0</v>
      </c>
      <c r="Q123" s="8"/>
      <c r="R123" s="8"/>
      <c r="S123" s="8">
        <v>300</v>
      </c>
      <c r="T123" s="22"/>
      <c r="U123" s="8">
        <f t="shared" si="50"/>
        <v>16.2</v>
      </c>
      <c r="V123" s="4"/>
      <c r="W123" s="4">
        <f t="shared" si="36"/>
        <v>0</v>
      </c>
      <c r="X123" s="4"/>
      <c r="Y123" s="28"/>
      <c r="Z123" s="4">
        <f t="shared" si="37"/>
        <v>0</v>
      </c>
      <c r="AA123" s="28"/>
      <c r="AB123" s="8"/>
      <c r="AC123" s="8">
        <f t="shared" si="38"/>
        <v>24.197530864197532</v>
      </c>
      <c r="AD123" s="8">
        <f t="shared" si="51"/>
        <v>24.197530864197532</v>
      </c>
      <c r="AE123" s="8">
        <v>9</v>
      </c>
      <c r="AF123" s="8">
        <v>10.199999999999999</v>
      </c>
      <c r="AG123" s="8">
        <v>17.399999999999999</v>
      </c>
      <c r="AH123" s="8">
        <v>9.8000000000000007</v>
      </c>
      <c r="AI123" s="8">
        <v>1.8</v>
      </c>
      <c r="AJ123" s="8">
        <v>1.4</v>
      </c>
      <c r="AK123" s="8">
        <v>0.2</v>
      </c>
      <c r="AL123" s="8">
        <v>6</v>
      </c>
      <c r="AM123" s="8" t="s">
        <v>146</v>
      </c>
      <c r="AN123" s="8">
        <f t="shared" si="39"/>
        <v>0</v>
      </c>
      <c r="AO123" s="8">
        <f t="shared" si="40"/>
        <v>0</v>
      </c>
      <c r="AP123" s="8">
        <f t="shared" si="41"/>
        <v>0</v>
      </c>
      <c r="AQ123" s="8">
        <f t="shared" si="42"/>
        <v>0</v>
      </c>
      <c r="AR123" s="8">
        <f t="shared" si="43"/>
        <v>0</v>
      </c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 t="s">
        <v>171</v>
      </c>
      <c r="B124" s="8" t="s">
        <v>36</v>
      </c>
      <c r="C124" s="8">
        <v>90.576999999999998</v>
      </c>
      <c r="D124" s="8">
        <v>92.938000000000002</v>
      </c>
      <c r="E124" s="8">
        <v>47.186</v>
      </c>
      <c r="F124" s="8">
        <v>133.50899999999999</v>
      </c>
      <c r="G124" s="6">
        <v>1</v>
      </c>
      <c r="H124" s="8">
        <v>60</v>
      </c>
      <c r="I124" s="8" t="s">
        <v>37</v>
      </c>
      <c r="J124" s="8"/>
      <c r="K124" s="8">
        <v>46.033000000000001</v>
      </c>
      <c r="L124" s="8">
        <f t="shared" si="48"/>
        <v>1.1529999999999987</v>
      </c>
      <c r="M124" s="8">
        <f t="shared" si="49"/>
        <v>47.186</v>
      </c>
      <c r="N124" s="8"/>
      <c r="O124" s="8"/>
      <c r="P124" s="8">
        <v>0</v>
      </c>
      <c r="Q124" s="8"/>
      <c r="R124" s="8"/>
      <c r="S124" s="8">
        <v>0</v>
      </c>
      <c r="T124" s="22"/>
      <c r="U124" s="8">
        <f t="shared" si="50"/>
        <v>9.4372000000000007</v>
      </c>
      <c r="V124" s="4"/>
      <c r="W124" s="4">
        <v>50</v>
      </c>
      <c r="X124" s="4"/>
      <c r="Y124" s="28"/>
      <c r="Z124" s="4">
        <f t="shared" si="37"/>
        <v>50</v>
      </c>
      <c r="AA124" s="28"/>
      <c r="AB124" s="8">
        <v>100</v>
      </c>
      <c r="AC124" s="8">
        <f t="shared" si="38"/>
        <v>19.44528037977366</v>
      </c>
      <c r="AD124" s="8">
        <f t="shared" si="51"/>
        <v>14.147098715720762</v>
      </c>
      <c r="AE124" s="8">
        <v>6.8977999999999993</v>
      </c>
      <c r="AF124" s="8">
        <v>9.4394000000000009</v>
      </c>
      <c r="AG124" s="8">
        <v>15.491400000000001</v>
      </c>
      <c r="AH124" s="8">
        <v>11.78399999999999</v>
      </c>
      <c r="AI124" s="8">
        <v>8.2132000000000005</v>
      </c>
      <c r="AJ124" s="8">
        <v>7.9378000000000002</v>
      </c>
      <c r="AK124" s="8">
        <v>9.9105999999999987</v>
      </c>
      <c r="AL124" s="8">
        <v>11.642799999999999</v>
      </c>
      <c r="AM124" s="8" t="s">
        <v>172</v>
      </c>
      <c r="AN124" s="8">
        <f t="shared" si="39"/>
        <v>0</v>
      </c>
      <c r="AO124" s="8">
        <f t="shared" si="40"/>
        <v>0</v>
      </c>
      <c r="AP124" s="8">
        <f t="shared" si="41"/>
        <v>50</v>
      </c>
      <c r="AQ124" s="8">
        <f t="shared" si="42"/>
        <v>0</v>
      </c>
      <c r="AR124" s="8">
        <f t="shared" si="43"/>
        <v>0</v>
      </c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 t="s">
        <v>173</v>
      </c>
      <c r="B125" s="8" t="s">
        <v>36</v>
      </c>
      <c r="C125" s="8">
        <v>404.66399999999999</v>
      </c>
      <c r="D125" s="8">
        <v>807.11300000000006</v>
      </c>
      <c r="E125" s="8">
        <v>382.57400000000001</v>
      </c>
      <c r="F125" s="8">
        <v>758.01800000000003</v>
      </c>
      <c r="G125" s="6">
        <v>1</v>
      </c>
      <c r="H125" s="8">
        <v>60</v>
      </c>
      <c r="I125" s="8" t="s">
        <v>37</v>
      </c>
      <c r="J125" s="8"/>
      <c r="K125" s="8">
        <v>444.48399999999998</v>
      </c>
      <c r="L125" s="8">
        <f t="shared" si="48"/>
        <v>-61.909999999999968</v>
      </c>
      <c r="M125" s="8">
        <f t="shared" si="49"/>
        <v>382.57400000000001</v>
      </c>
      <c r="N125" s="8"/>
      <c r="O125" s="8"/>
      <c r="P125" s="8">
        <v>387.87812200000008</v>
      </c>
      <c r="Q125" s="8"/>
      <c r="R125" s="8"/>
      <c r="S125" s="8">
        <v>0</v>
      </c>
      <c r="T125" s="22"/>
      <c r="U125" s="8">
        <f t="shared" si="50"/>
        <v>76.514800000000008</v>
      </c>
      <c r="V125" s="4"/>
      <c r="W125" s="4">
        <f t="shared" si="36"/>
        <v>0</v>
      </c>
      <c r="X125" s="4"/>
      <c r="Y125" s="28"/>
      <c r="Z125" s="4">
        <f t="shared" si="37"/>
        <v>0</v>
      </c>
      <c r="AA125" s="28"/>
      <c r="AB125" s="8"/>
      <c r="AC125" s="8">
        <f t="shared" si="38"/>
        <v>14.97613693037164</v>
      </c>
      <c r="AD125" s="8">
        <f t="shared" si="51"/>
        <v>14.97613693037164</v>
      </c>
      <c r="AE125" s="8">
        <v>92.683799999999991</v>
      </c>
      <c r="AF125" s="8">
        <v>121.5682</v>
      </c>
      <c r="AG125" s="8">
        <v>123.7212</v>
      </c>
      <c r="AH125" s="8">
        <v>82.874800000000008</v>
      </c>
      <c r="AI125" s="8">
        <v>81.725400000000008</v>
      </c>
      <c r="AJ125" s="8">
        <v>95.796599999999998</v>
      </c>
      <c r="AK125" s="8">
        <v>110.8334</v>
      </c>
      <c r="AL125" s="8">
        <v>111.65</v>
      </c>
      <c r="AM125" s="8"/>
      <c r="AN125" s="8">
        <f t="shared" si="39"/>
        <v>0</v>
      </c>
      <c r="AO125" s="8">
        <f t="shared" si="40"/>
        <v>0</v>
      </c>
      <c r="AP125" s="8">
        <f t="shared" si="41"/>
        <v>0</v>
      </c>
      <c r="AQ125" s="8">
        <f t="shared" si="42"/>
        <v>0</v>
      </c>
      <c r="AR125" s="8">
        <f t="shared" si="43"/>
        <v>0</v>
      </c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 t="s">
        <v>174</v>
      </c>
      <c r="B126" s="8" t="s">
        <v>36</v>
      </c>
      <c r="C126" s="8">
        <v>325.58999999999997</v>
      </c>
      <c r="D126" s="8">
        <v>13.925000000000001</v>
      </c>
      <c r="E126" s="8">
        <v>61.923999999999999</v>
      </c>
      <c r="F126" s="8">
        <v>263.70800000000003</v>
      </c>
      <c r="G126" s="6">
        <v>1</v>
      </c>
      <c r="H126" s="8">
        <v>60</v>
      </c>
      <c r="I126" s="8" t="s">
        <v>37</v>
      </c>
      <c r="J126" s="8"/>
      <c r="K126" s="8">
        <v>75.099999999999994</v>
      </c>
      <c r="L126" s="8">
        <f t="shared" si="48"/>
        <v>-13.175999999999995</v>
      </c>
      <c r="M126" s="8">
        <f t="shared" si="49"/>
        <v>61.923999999999999</v>
      </c>
      <c r="N126" s="8"/>
      <c r="O126" s="8"/>
      <c r="P126" s="8">
        <v>0</v>
      </c>
      <c r="Q126" s="8"/>
      <c r="R126" s="8"/>
      <c r="S126" s="8">
        <v>0</v>
      </c>
      <c r="T126" s="22"/>
      <c r="U126" s="8">
        <f t="shared" si="50"/>
        <v>12.3848</v>
      </c>
      <c r="V126" s="4"/>
      <c r="W126" s="4">
        <f t="shared" si="36"/>
        <v>0</v>
      </c>
      <c r="X126" s="4"/>
      <c r="Y126" s="28"/>
      <c r="Z126" s="4">
        <f t="shared" si="37"/>
        <v>0</v>
      </c>
      <c r="AA126" s="28"/>
      <c r="AB126" s="8"/>
      <c r="AC126" s="8">
        <f t="shared" si="38"/>
        <v>21.292875137265035</v>
      </c>
      <c r="AD126" s="8">
        <f t="shared" si="51"/>
        <v>21.292875137265035</v>
      </c>
      <c r="AE126" s="8">
        <v>9.4190000000000005</v>
      </c>
      <c r="AF126" s="8">
        <v>12.1662</v>
      </c>
      <c r="AG126" s="8">
        <v>14.089600000000001</v>
      </c>
      <c r="AH126" s="8">
        <v>13.230600000000001</v>
      </c>
      <c r="AI126" s="8">
        <v>9.9158000000000008</v>
      </c>
      <c r="AJ126" s="8">
        <v>6.5962000000000014</v>
      </c>
      <c r="AK126" s="8">
        <v>6.8528000000000002</v>
      </c>
      <c r="AL126" s="8">
        <v>7.9191999999999991</v>
      </c>
      <c r="AM126" s="19" t="s">
        <v>187</v>
      </c>
      <c r="AN126" s="8">
        <f t="shared" si="39"/>
        <v>0</v>
      </c>
      <c r="AO126" s="8">
        <f t="shared" si="40"/>
        <v>0</v>
      </c>
      <c r="AP126" s="8">
        <f t="shared" si="41"/>
        <v>0</v>
      </c>
      <c r="AQ126" s="8">
        <f t="shared" si="42"/>
        <v>0</v>
      </c>
      <c r="AR126" s="8">
        <f t="shared" si="43"/>
        <v>0</v>
      </c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 t="s">
        <v>58</v>
      </c>
      <c r="B127" s="8" t="s">
        <v>36</v>
      </c>
      <c r="C127" s="8">
        <v>2469.5419999999999</v>
      </c>
      <c r="D127" s="8">
        <v>724.74800000000005</v>
      </c>
      <c r="E127" s="14">
        <f>854.113+E19</f>
        <v>853.37300000000005</v>
      </c>
      <c r="F127" s="14">
        <f>2225.114+F19</f>
        <v>2220.14</v>
      </c>
      <c r="G127" s="6">
        <v>1</v>
      </c>
      <c r="H127" s="8">
        <v>60</v>
      </c>
      <c r="I127" s="8" t="s">
        <v>37</v>
      </c>
      <c r="J127" s="8"/>
      <c r="K127" s="8">
        <v>974</v>
      </c>
      <c r="L127" s="8">
        <f t="shared" si="48"/>
        <v>-120.62699999999995</v>
      </c>
      <c r="M127" s="8">
        <f t="shared" si="49"/>
        <v>853.37300000000005</v>
      </c>
      <c r="N127" s="8"/>
      <c r="O127" s="8"/>
      <c r="P127" s="8">
        <v>0</v>
      </c>
      <c r="Q127" s="8"/>
      <c r="R127" s="8"/>
      <c r="S127" s="8">
        <v>0</v>
      </c>
      <c r="T127" s="22"/>
      <c r="U127" s="8">
        <f t="shared" si="50"/>
        <v>170.6746</v>
      </c>
      <c r="V127" s="4"/>
      <c r="W127" s="4">
        <f t="shared" si="36"/>
        <v>0</v>
      </c>
      <c r="X127" s="4"/>
      <c r="Y127" s="28"/>
      <c r="Z127" s="4">
        <f t="shared" si="37"/>
        <v>0</v>
      </c>
      <c r="AA127" s="28"/>
      <c r="AB127" s="8"/>
      <c r="AC127" s="8">
        <f t="shared" si="38"/>
        <v>13.008028142441816</v>
      </c>
      <c r="AD127" s="8">
        <f t="shared" si="51"/>
        <v>13.008028142441816</v>
      </c>
      <c r="AE127" s="8">
        <v>196.4392</v>
      </c>
      <c r="AF127" s="8">
        <v>182.04040000000001</v>
      </c>
      <c r="AG127" s="8">
        <v>202.87360000000001</v>
      </c>
      <c r="AH127" s="8">
        <v>154.0368</v>
      </c>
      <c r="AI127" s="8">
        <v>145.78739999999999</v>
      </c>
      <c r="AJ127" s="8">
        <v>165.05019999999999</v>
      </c>
      <c r="AK127" s="8">
        <v>223.18119999999999</v>
      </c>
      <c r="AL127" s="8">
        <v>152.50559999999999</v>
      </c>
      <c r="AM127" s="8"/>
      <c r="AN127" s="8">
        <f t="shared" si="39"/>
        <v>0</v>
      </c>
      <c r="AO127" s="8">
        <f t="shared" si="40"/>
        <v>0</v>
      </c>
      <c r="AP127" s="8">
        <f t="shared" si="41"/>
        <v>0</v>
      </c>
      <c r="AQ127" s="8">
        <f t="shared" si="42"/>
        <v>0</v>
      </c>
      <c r="AR127" s="8">
        <f t="shared" si="43"/>
        <v>0</v>
      </c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 t="s">
        <v>175</v>
      </c>
      <c r="B128" s="8" t="s">
        <v>41</v>
      </c>
      <c r="C128" s="8">
        <v>204</v>
      </c>
      <c r="D128" s="8">
        <v>1</v>
      </c>
      <c r="E128" s="8">
        <v>93</v>
      </c>
      <c r="F128" s="8">
        <v>111</v>
      </c>
      <c r="G128" s="6">
        <v>0.25</v>
      </c>
      <c r="H128" s="8"/>
      <c r="I128" s="8" t="s">
        <v>37</v>
      </c>
      <c r="J128" s="8"/>
      <c r="K128" s="8">
        <v>94</v>
      </c>
      <c r="L128" s="8">
        <f t="shared" si="48"/>
        <v>-1</v>
      </c>
      <c r="M128" s="8">
        <f t="shared" si="49"/>
        <v>93</v>
      </c>
      <c r="N128" s="8"/>
      <c r="O128" s="8"/>
      <c r="P128" s="8">
        <v>0</v>
      </c>
      <c r="Q128" s="8"/>
      <c r="R128" s="8"/>
      <c r="S128" s="8">
        <v>55.199999999999989</v>
      </c>
      <c r="T128" s="22"/>
      <c r="U128" s="8">
        <f t="shared" si="50"/>
        <v>18.600000000000001</v>
      </c>
      <c r="V128" s="4">
        <f t="shared" ref="V128:V135" si="53">12*U128-S128-R128-Q128-P128-O128-F128</f>
        <v>57.000000000000028</v>
      </c>
      <c r="W128" s="4">
        <f t="shared" si="36"/>
        <v>57.000000000000028</v>
      </c>
      <c r="X128" s="4"/>
      <c r="Y128" s="28"/>
      <c r="Z128" s="4">
        <f t="shared" si="37"/>
        <v>57.000000000000028</v>
      </c>
      <c r="AA128" s="28"/>
      <c r="AB128" s="8"/>
      <c r="AC128" s="8">
        <f t="shared" si="38"/>
        <v>12</v>
      </c>
      <c r="AD128" s="8">
        <f t="shared" si="51"/>
        <v>8.9354838709677402</v>
      </c>
      <c r="AE128" s="8">
        <v>16.2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 t="s">
        <v>176</v>
      </c>
      <c r="AN128" s="8">
        <f t="shared" si="39"/>
        <v>0</v>
      </c>
      <c r="AO128" s="8">
        <f t="shared" si="40"/>
        <v>0</v>
      </c>
      <c r="AP128" s="8">
        <f t="shared" si="41"/>
        <v>14</v>
      </c>
      <c r="AQ128" s="8">
        <f t="shared" si="42"/>
        <v>0</v>
      </c>
      <c r="AR128" s="8">
        <f t="shared" si="43"/>
        <v>0</v>
      </c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 t="s">
        <v>177</v>
      </c>
      <c r="B129" s="8" t="s">
        <v>41</v>
      </c>
      <c r="C129" s="8">
        <v>204</v>
      </c>
      <c r="D129" s="8"/>
      <c r="E129" s="8">
        <v>51</v>
      </c>
      <c r="F129" s="14">
        <f>78+F136</f>
        <v>153</v>
      </c>
      <c r="G129" s="6">
        <v>0.32500000000000001</v>
      </c>
      <c r="H129" s="8"/>
      <c r="I129" s="8" t="s">
        <v>37</v>
      </c>
      <c r="J129" s="8"/>
      <c r="K129" s="8">
        <v>51</v>
      </c>
      <c r="L129" s="8">
        <f t="shared" si="48"/>
        <v>0</v>
      </c>
      <c r="M129" s="8">
        <f t="shared" si="49"/>
        <v>51</v>
      </c>
      <c r="N129" s="8"/>
      <c r="O129" s="8"/>
      <c r="P129" s="8">
        <v>0</v>
      </c>
      <c r="Q129" s="8"/>
      <c r="R129" s="8"/>
      <c r="S129" s="8">
        <v>0</v>
      </c>
      <c r="T129" s="22"/>
      <c r="U129" s="8">
        <f t="shared" si="50"/>
        <v>10.199999999999999</v>
      </c>
      <c r="V129" s="4"/>
      <c r="W129" s="4">
        <f t="shared" si="36"/>
        <v>0</v>
      </c>
      <c r="X129" s="4"/>
      <c r="Y129" s="28"/>
      <c r="Z129" s="4">
        <f t="shared" si="37"/>
        <v>0</v>
      </c>
      <c r="AA129" s="28"/>
      <c r="AB129" s="8"/>
      <c r="AC129" s="8">
        <f t="shared" si="38"/>
        <v>15.000000000000002</v>
      </c>
      <c r="AD129" s="8">
        <f t="shared" si="51"/>
        <v>15.000000000000002</v>
      </c>
      <c r="AE129" s="8">
        <v>9.8000000000000007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 t="s">
        <v>176</v>
      </c>
      <c r="AN129" s="8">
        <f t="shared" si="39"/>
        <v>0</v>
      </c>
      <c r="AO129" s="8">
        <f t="shared" si="40"/>
        <v>0</v>
      </c>
      <c r="AP129" s="8">
        <f t="shared" si="41"/>
        <v>0</v>
      </c>
      <c r="AQ129" s="8">
        <f t="shared" si="42"/>
        <v>0</v>
      </c>
      <c r="AR129" s="8">
        <f t="shared" si="43"/>
        <v>0</v>
      </c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 t="s">
        <v>178</v>
      </c>
      <c r="B130" s="8" t="s">
        <v>41</v>
      </c>
      <c r="C130" s="8">
        <v>204</v>
      </c>
      <c r="D130" s="8"/>
      <c r="E130" s="8">
        <v>72</v>
      </c>
      <c r="F130" s="8">
        <v>132</v>
      </c>
      <c r="G130" s="6">
        <v>0.25</v>
      </c>
      <c r="H130" s="8"/>
      <c r="I130" s="8" t="s">
        <v>37</v>
      </c>
      <c r="J130" s="8"/>
      <c r="K130" s="8">
        <v>72</v>
      </c>
      <c r="L130" s="8">
        <f t="shared" si="48"/>
        <v>0</v>
      </c>
      <c r="M130" s="8">
        <f t="shared" si="49"/>
        <v>72</v>
      </c>
      <c r="N130" s="8"/>
      <c r="O130" s="8"/>
      <c r="P130" s="8">
        <v>0</v>
      </c>
      <c r="Q130" s="8"/>
      <c r="R130" s="8"/>
      <c r="S130" s="8">
        <v>7.1999999999999886</v>
      </c>
      <c r="T130" s="22"/>
      <c r="U130" s="8">
        <f t="shared" si="50"/>
        <v>14.4</v>
      </c>
      <c r="V130" s="4">
        <f t="shared" si="53"/>
        <v>33.600000000000023</v>
      </c>
      <c r="W130" s="4">
        <f t="shared" si="36"/>
        <v>33.600000000000023</v>
      </c>
      <c r="X130" s="4"/>
      <c r="Y130" s="28"/>
      <c r="Z130" s="4">
        <f t="shared" si="37"/>
        <v>33.600000000000023</v>
      </c>
      <c r="AA130" s="28"/>
      <c r="AB130" s="8"/>
      <c r="AC130" s="8">
        <f t="shared" si="38"/>
        <v>12</v>
      </c>
      <c r="AD130" s="8">
        <f t="shared" si="51"/>
        <v>9.6666666666666661</v>
      </c>
      <c r="AE130" s="8">
        <v>13.2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 t="s">
        <v>176</v>
      </c>
      <c r="AN130" s="8">
        <f t="shared" si="39"/>
        <v>0</v>
      </c>
      <c r="AO130" s="8">
        <f t="shared" si="40"/>
        <v>0</v>
      </c>
      <c r="AP130" s="8">
        <f t="shared" si="41"/>
        <v>8</v>
      </c>
      <c r="AQ130" s="8">
        <f t="shared" si="42"/>
        <v>0</v>
      </c>
      <c r="AR130" s="8">
        <f t="shared" si="43"/>
        <v>0</v>
      </c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 t="s">
        <v>179</v>
      </c>
      <c r="B131" s="8" t="s">
        <v>41</v>
      </c>
      <c r="C131" s="8">
        <v>76</v>
      </c>
      <c r="D131" s="8">
        <v>264</v>
      </c>
      <c r="E131" s="8">
        <v>96</v>
      </c>
      <c r="F131" s="8">
        <v>205</v>
      </c>
      <c r="G131" s="6">
        <v>0.3</v>
      </c>
      <c r="H131" s="8">
        <v>40</v>
      </c>
      <c r="I131" s="8" t="s">
        <v>37</v>
      </c>
      <c r="J131" s="8"/>
      <c r="K131" s="8">
        <v>208</v>
      </c>
      <c r="L131" s="8">
        <f t="shared" si="48"/>
        <v>-112</v>
      </c>
      <c r="M131" s="8">
        <f t="shared" si="49"/>
        <v>96</v>
      </c>
      <c r="N131" s="8"/>
      <c r="O131" s="8"/>
      <c r="P131" s="8">
        <v>105.40600000000011</v>
      </c>
      <c r="Q131" s="8"/>
      <c r="R131" s="8"/>
      <c r="S131" s="8">
        <v>0</v>
      </c>
      <c r="T131" s="22"/>
      <c r="U131" s="8">
        <f t="shared" si="50"/>
        <v>19.2</v>
      </c>
      <c r="V131" s="4"/>
      <c r="W131" s="4">
        <f t="shared" si="36"/>
        <v>0</v>
      </c>
      <c r="X131" s="4"/>
      <c r="Y131" s="28"/>
      <c r="Z131" s="4">
        <f t="shared" si="37"/>
        <v>0</v>
      </c>
      <c r="AA131" s="28"/>
      <c r="AB131" s="8"/>
      <c r="AC131" s="8">
        <f t="shared" si="38"/>
        <v>16.166979166666675</v>
      </c>
      <c r="AD131" s="8">
        <f t="shared" si="51"/>
        <v>16.166979166666675</v>
      </c>
      <c r="AE131" s="8">
        <v>19</v>
      </c>
      <c r="AF131" s="8">
        <v>33.6</v>
      </c>
      <c r="AG131" s="8">
        <v>39.4</v>
      </c>
      <c r="AH131" s="8">
        <v>30.6</v>
      </c>
      <c r="AI131" s="8">
        <v>24.4</v>
      </c>
      <c r="AJ131" s="8">
        <v>27</v>
      </c>
      <c r="AK131" s="8">
        <v>31.4</v>
      </c>
      <c r="AL131" s="8">
        <v>32.799999999999997</v>
      </c>
      <c r="AM131" s="8"/>
      <c r="AN131" s="8">
        <f t="shared" si="39"/>
        <v>0</v>
      </c>
      <c r="AO131" s="8">
        <f t="shared" si="40"/>
        <v>0</v>
      </c>
      <c r="AP131" s="8">
        <f t="shared" si="41"/>
        <v>0</v>
      </c>
      <c r="AQ131" s="8">
        <f t="shared" si="42"/>
        <v>0</v>
      </c>
      <c r="AR131" s="8">
        <f t="shared" si="43"/>
        <v>0</v>
      </c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 t="s">
        <v>180</v>
      </c>
      <c r="B132" s="8" t="s">
        <v>41</v>
      </c>
      <c r="C132" s="8">
        <v>179</v>
      </c>
      <c r="D132" s="8">
        <v>79</v>
      </c>
      <c r="E132" s="8">
        <v>136</v>
      </c>
      <c r="F132" s="8">
        <v>84</v>
      </c>
      <c r="G132" s="6">
        <v>0.3</v>
      </c>
      <c r="H132" s="8">
        <v>40</v>
      </c>
      <c r="I132" s="8" t="s">
        <v>37</v>
      </c>
      <c r="J132" s="8"/>
      <c r="K132" s="8">
        <v>176</v>
      </c>
      <c r="L132" s="8">
        <f t="shared" si="48"/>
        <v>-40</v>
      </c>
      <c r="M132" s="8">
        <f t="shared" si="49"/>
        <v>136</v>
      </c>
      <c r="N132" s="8"/>
      <c r="O132" s="8"/>
      <c r="P132" s="8">
        <v>30.80000000000004</v>
      </c>
      <c r="Q132" s="8"/>
      <c r="R132" s="8"/>
      <c r="S132" s="8">
        <v>119.6</v>
      </c>
      <c r="T132" s="22"/>
      <c r="U132" s="8">
        <f t="shared" si="50"/>
        <v>27.2</v>
      </c>
      <c r="V132" s="4">
        <f t="shared" si="53"/>
        <v>91.999999999999943</v>
      </c>
      <c r="W132" s="4">
        <f t="shared" si="36"/>
        <v>91.999999999999943</v>
      </c>
      <c r="X132" s="4"/>
      <c r="Y132" s="28"/>
      <c r="Z132" s="4">
        <f t="shared" si="37"/>
        <v>91.999999999999943</v>
      </c>
      <c r="AA132" s="28"/>
      <c r="AB132" s="8"/>
      <c r="AC132" s="8">
        <f t="shared" si="38"/>
        <v>12</v>
      </c>
      <c r="AD132" s="8">
        <f t="shared" si="51"/>
        <v>8.6176470588235308</v>
      </c>
      <c r="AE132" s="8">
        <v>25.8</v>
      </c>
      <c r="AF132" s="8">
        <v>20.8</v>
      </c>
      <c r="AG132" s="8">
        <v>23.6</v>
      </c>
      <c r="AH132" s="8">
        <v>23.6</v>
      </c>
      <c r="AI132" s="8">
        <v>23</v>
      </c>
      <c r="AJ132" s="8">
        <v>22</v>
      </c>
      <c r="AK132" s="8">
        <v>25.8</v>
      </c>
      <c r="AL132" s="8">
        <v>23.2</v>
      </c>
      <c r="AM132" s="8"/>
      <c r="AN132" s="8">
        <f t="shared" si="39"/>
        <v>0</v>
      </c>
      <c r="AO132" s="8">
        <f t="shared" si="40"/>
        <v>0</v>
      </c>
      <c r="AP132" s="8">
        <f t="shared" si="41"/>
        <v>28</v>
      </c>
      <c r="AQ132" s="8">
        <f t="shared" si="42"/>
        <v>0</v>
      </c>
      <c r="AR132" s="8">
        <f t="shared" si="43"/>
        <v>0</v>
      </c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 t="s">
        <v>181</v>
      </c>
      <c r="B133" s="8" t="s">
        <v>36</v>
      </c>
      <c r="C133" s="8">
        <v>51.55</v>
      </c>
      <c r="D133" s="8">
        <v>120.093</v>
      </c>
      <c r="E133" s="8">
        <v>37.753999999999998</v>
      </c>
      <c r="F133" s="8">
        <v>120.426</v>
      </c>
      <c r="G133" s="6">
        <v>1</v>
      </c>
      <c r="H133" s="8">
        <v>50</v>
      </c>
      <c r="I133" s="8" t="s">
        <v>37</v>
      </c>
      <c r="J133" s="8"/>
      <c r="K133" s="8">
        <v>65.2</v>
      </c>
      <c r="L133" s="8">
        <f t="shared" si="48"/>
        <v>-27.446000000000005</v>
      </c>
      <c r="M133" s="8">
        <f t="shared" si="49"/>
        <v>37.753999999999998</v>
      </c>
      <c r="N133" s="8"/>
      <c r="O133" s="8"/>
      <c r="P133" s="8">
        <v>34.629300000000022</v>
      </c>
      <c r="Q133" s="8"/>
      <c r="R133" s="8"/>
      <c r="S133" s="8">
        <v>0</v>
      </c>
      <c r="T133" s="22"/>
      <c r="U133" s="8">
        <f t="shared" si="50"/>
        <v>7.5507999999999997</v>
      </c>
      <c r="V133" s="4"/>
      <c r="W133" s="4">
        <f t="shared" si="36"/>
        <v>0</v>
      </c>
      <c r="X133" s="4"/>
      <c r="Y133" s="28"/>
      <c r="Z133" s="4">
        <f t="shared" si="37"/>
        <v>0</v>
      </c>
      <c r="AA133" s="28"/>
      <c r="AB133" s="8"/>
      <c r="AC133" s="8">
        <f t="shared" si="38"/>
        <v>20.534949939079304</v>
      </c>
      <c r="AD133" s="8">
        <f t="shared" si="51"/>
        <v>20.534949939079304</v>
      </c>
      <c r="AE133" s="8">
        <v>9.7211999999999996</v>
      </c>
      <c r="AF133" s="8">
        <v>14.6806</v>
      </c>
      <c r="AG133" s="8">
        <v>16.251000000000001</v>
      </c>
      <c r="AH133" s="8">
        <v>9.7181999999999995</v>
      </c>
      <c r="AI133" s="8">
        <v>8.9572000000000003</v>
      </c>
      <c r="AJ133" s="8">
        <v>9.7802000000000007</v>
      </c>
      <c r="AK133" s="8">
        <v>11.72</v>
      </c>
      <c r="AL133" s="8">
        <v>12.3124</v>
      </c>
      <c r="AM133" s="8"/>
      <c r="AN133" s="8">
        <f t="shared" si="39"/>
        <v>0</v>
      </c>
      <c r="AO133" s="8">
        <f t="shared" si="40"/>
        <v>0</v>
      </c>
      <c r="AP133" s="8">
        <f t="shared" si="41"/>
        <v>0</v>
      </c>
      <c r="AQ133" s="8">
        <f t="shared" si="42"/>
        <v>0</v>
      </c>
      <c r="AR133" s="8">
        <f t="shared" si="43"/>
        <v>0</v>
      </c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 t="s">
        <v>182</v>
      </c>
      <c r="B134" s="8" t="s">
        <v>41</v>
      </c>
      <c r="C134" s="8">
        <v>61</v>
      </c>
      <c r="D134" s="8">
        <v>8</v>
      </c>
      <c r="E134" s="8">
        <v>46</v>
      </c>
      <c r="F134" s="8">
        <v>9</v>
      </c>
      <c r="G134" s="6">
        <v>0.3</v>
      </c>
      <c r="H134" s="8">
        <v>40</v>
      </c>
      <c r="I134" s="16" t="s">
        <v>73</v>
      </c>
      <c r="J134" s="8"/>
      <c r="K134" s="8">
        <v>73</v>
      </c>
      <c r="L134" s="8">
        <f t="shared" ref="L134:L136" si="54">E134-K134</f>
        <v>-27</v>
      </c>
      <c r="M134" s="8">
        <f t="shared" ref="M134:M136" si="55">E134-N134</f>
        <v>46</v>
      </c>
      <c r="N134" s="8"/>
      <c r="O134" s="8"/>
      <c r="P134" s="8">
        <v>0</v>
      </c>
      <c r="Q134" s="8"/>
      <c r="R134" s="8"/>
      <c r="S134" s="8">
        <v>20</v>
      </c>
      <c r="T134" s="22"/>
      <c r="U134" s="8">
        <f t="shared" si="50"/>
        <v>9.1999999999999993</v>
      </c>
      <c r="V134" s="17">
        <v>30</v>
      </c>
      <c r="W134" s="4">
        <f t="shared" si="36"/>
        <v>30</v>
      </c>
      <c r="X134" s="4"/>
      <c r="Y134" s="28"/>
      <c r="Z134" s="4">
        <f t="shared" si="37"/>
        <v>30</v>
      </c>
      <c r="AA134" s="28"/>
      <c r="AB134" s="8"/>
      <c r="AC134" s="8">
        <f t="shared" si="38"/>
        <v>6.4130434782608701</v>
      </c>
      <c r="AD134" s="8">
        <f t="shared" si="51"/>
        <v>3.1521739130434785</v>
      </c>
      <c r="AE134" s="8">
        <v>12</v>
      </c>
      <c r="AF134" s="8">
        <v>10.6</v>
      </c>
      <c r="AG134" s="8">
        <v>11.8</v>
      </c>
      <c r="AH134" s="8">
        <v>9</v>
      </c>
      <c r="AI134" s="8">
        <v>7.4</v>
      </c>
      <c r="AJ134" s="8">
        <v>8.1999999999999993</v>
      </c>
      <c r="AK134" s="8">
        <v>10.4</v>
      </c>
      <c r="AL134" s="8">
        <v>9</v>
      </c>
      <c r="AM134" s="8"/>
      <c r="AN134" s="8">
        <f t="shared" si="39"/>
        <v>0</v>
      </c>
      <c r="AO134" s="8">
        <f t="shared" si="40"/>
        <v>0</v>
      </c>
      <c r="AP134" s="8">
        <f t="shared" si="41"/>
        <v>9</v>
      </c>
      <c r="AQ134" s="8">
        <f t="shared" si="42"/>
        <v>0</v>
      </c>
      <c r="AR134" s="8">
        <f t="shared" si="43"/>
        <v>0</v>
      </c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 t="s">
        <v>183</v>
      </c>
      <c r="B135" s="8" t="s">
        <v>41</v>
      </c>
      <c r="C135" s="8">
        <v>103</v>
      </c>
      <c r="D135" s="8">
        <v>47</v>
      </c>
      <c r="E135" s="8">
        <v>46</v>
      </c>
      <c r="F135" s="8">
        <v>85</v>
      </c>
      <c r="G135" s="6">
        <v>0.12</v>
      </c>
      <c r="H135" s="8">
        <v>45</v>
      </c>
      <c r="I135" s="8" t="s">
        <v>37</v>
      </c>
      <c r="J135" s="8"/>
      <c r="K135" s="8">
        <v>64</v>
      </c>
      <c r="L135" s="8">
        <f t="shared" si="54"/>
        <v>-18</v>
      </c>
      <c r="M135" s="8">
        <f t="shared" si="55"/>
        <v>46</v>
      </c>
      <c r="N135" s="8"/>
      <c r="O135" s="8"/>
      <c r="P135" s="8">
        <v>0</v>
      </c>
      <c r="Q135" s="8"/>
      <c r="R135" s="8"/>
      <c r="S135" s="8">
        <v>0</v>
      </c>
      <c r="T135" s="22"/>
      <c r="U135" s="8">
        <f t="shared" si="50"/>
        <v>9.1999999999999993</v>
      </c>
      <c r="V135" s="4">
        <f t="shared" si="53"/>
        <v>25.399999999999991</v>
      </c>
      <c r="W135" s="4">
        <f t="shared" ref="W135:W136" si="56">V135</f>
        <v>25.399999999999991</v>
      </c>
      <c r="X135" s="4"/>
      <c r="Y135" s="28"/>
      <c r="Z135" s="4">
        <f t="shared" ref="Z135:Z136" si="57">W135-X135</f>
        <v>25.399999999999991</v>
      </c>
      <c r="AA135" s="28"/>
      <c r="AB135" s="8"/>
      <c r="AC135" s="8">
        <f t="shared" ref="AC135:AC136" si="58">(F135+O135+P135+Q135+R135+S135+W135+T135+Y135+AA135)/U135</f>
        <v>12</v>
      </c>
      <c r="AD135" s="8">
        <f t="shared" si="51"/>
        <v>9.2391304347826093</v>
      </c>
      <c r="AE135" s="8">
        <v>6.6</v>
      </c>
      <c r="AF135" s="8">
        <v>6</v>
      </c>
      <c r="AG135" s="8">
        <v>11.4</v>
      </c>
      <c r="AH135" s="8">
        <v>10.4</v>
      </c>
      <c r="AI135" s="8">
        <v>2.2000000000000002</v>
      </c>
      <c r="AJ135" s="8">
        <v>3.6</v>
      </c>
      <c r="AK135" s="8">
        <v>6.6</v>
      </c>
      <c r="AL135" s="8">
        <v>11.8</v>
      </c>
      <c r="AM135" s="8"/>
      <c r="AN135" s="8">
        <f t="shared" ref="AN135:AN136" si="59">ROUND(G135*X135,0)</f>
        <v>0</v>
      </c>
      <c r="AO135" s="8">
        <f t="shared" ref="AO135:AO136" si="60">ROUND(G135*Y135,0)</f>
        <v>0</v>
      </c>
      <c r="AP135" s="8">
        <f t="shared" ref="AP135:AP136" si="61">ROUND(G135*Z135,0)</f>
        <v>3</v>
      </c>
      <c r="AQ135" s="8">
        <f t="shared" ref="AQ135:AQ136" si="62">ROUND(G135*AA135,0)</f>
        <v>0</v>
      </c>
      <c r="AR135" s="8">
        <f t="shared" ref="AR135:AR136" si="63">ROUND(G135*T135,0)</f>
        <v>0</v>
      </c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9" t="s">
        <v>184</v>
      </c>
      <c r="B136" s="9" t="s">
        <v>41</v>
      </c>
      <c r="C136" s="9"/>
      <c r="D136" s="9">
        <v>75</v>
      </c>
      <c r="E136" s="9"/>
      <c r="F136" s="14">
        <v>75</v>
      </c>
      <c r="G136" s="10">
        <v>0</v>
      </c>
      <c r="H136" s="9"/>
      <c r="I136" s="9" t="s">
        <v>185</v>
      </c>
      <c r="J136" s="9" t="s">
        <v>177</v>
      </c>
      <c r="K136" s="9"/>
      <c r="L136" s="9">
        <f t="shared" si="54"/>
        <v>0</v>
      </c>
      <c r="M136" s="9">
        <f t="shared" si="55"/>
        <v>0</v>
      </c>
      <c r="N136" s="9"/>
      <c r="O136" s="9"/>
      <c r="P136" s="9"/>
      <c r="Q136" s="9"/>
      <c r="R136" s="9"/>
      <c r="S136" s="9"/>
      <c r="T136" s="24"/>
      <c r="U136" s="9">
        <f t="shared" si="50"/>
        <v>0</v>
      </c>
      <c r="V136" s="11"/>
      <c r="W136" s="4">
        <f t="shared" si="56"/>
        <v>0</v>
      </c>
      <c r="X136" s="4"/>
      <c r="Y136" s="28"/>
      <c r="Z136" s="4">
        <f t="shared" si="57"/>
        <v>0</v>
      </c>
      <c r="AA136" s="28"/>
      <c r="AB136" s="8"/>
      <c r="AC136" s="8" t="e">
        <f t="shared" si="58"/>
        <v>#DIV/0!</v>
      </c>
      <c r="AD136" s="9" t="e">
        <f t="shared" si="51"/>
        <v>#DIV/0!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/>
      <c r="AN136" s="8">
        <f t="shared" si="59"/>
        <v>0</v>
      </c>
      <c r="AO136" s="8">
        <f t="shared" si="60"/>
        <v>0</v>
      </c>
      <c r="AP136" s="8">
        <f t="shared" si="61"/>
        <v>0</v>
      </c>
      <c r="AQ136" s="8">
        <f t="shared" si="62"/>
        <v>0</v>
      </c>
      <c r="AR136" s="8">
        <f t="shared" si="63"/>
        <v>0</v>
      </c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22"/>
      <c r="U137" s="8"/>
      <c r="V137" s="8"/>
      <c r="W137" s="8"/>
      <c r="X137" s="8"/>
      <c r="Y137" s="22"/>
      <c r="Z137" s="8"/>
      <c r="AA137" s="22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22"/>
      <c r="AP137" s="8"/>
      <c r="AQ137" s="22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22"/>
      <c r="U138" s="8"/>
      <c r="V138" s="8"/>
      <c r="W138" s="8"/>
      <c r="X138" s="8"/>
      <c r="Y138" s="22"/>
      <c r="Z138" s="8"/>
      <c r="AA138" s="22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22"/>
      <c r="AP138" s="8"/>
      <c r="AQ138" s="22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22"/>
      <c r="U139" s="8"/>
      <c r="V139" s="8"/>
      <c r="W139" s="8"/>
      <c r="X139" s="8"/>
      <c r="Y139" s="22"/>
      <c r="Z139" s="8"/>
      <c r="AA139" s="22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22"/>
      <c r="AP139" s="8"/>
      <c r="AQ139" s="22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22"/>
      <c r="U140" s="8"/>
      <c r="V140" s="8"/>
      <c r="W140" s="8"/>
      <c r="X140" s="8"/>
      <c r="Y140" s="22"/>
      <c r="Z140" s="8"/>
      <c r="AA140" s="22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22"/>
      <c r="AP140" s="8"/>
      <c r="AQ140" s="22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22"/>
      <c r="U141" s="8"/>
      <c r="V141" s="8"/>
      <c r="W141" s="8"/>
      <c r="X141" s="8"/>
      <c r="Y141" s="22"/>
      <c r="Z141" s="8"/>
      <c r="AA141" s="22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22"/>
      <c r="AP141" s="8"/>
      <c r="AQ141" s="22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22"/>
      <c r="U142" s="8"/>
      <c r="V142" s="8"/>
      <c r="W142" s="8"/>
      <c r="X142" s="8"/>
      <c r="Y142" s="22"/>
      <c r="Z142" s="8"/>
      <c r="AA142" s="22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22"/>
      <c r="AP142" s="8"/>
      <c r="AQ142" s="22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22"/>
      <c r="U143" s="8"/>
      <c r="V143" s="8"/>
      <c r="W143" s="8"/>
      <c r="X143" s="8"/>
      <c r="Y143" s="22"/>
      <c r="Z143" s="8"/>
      <c r="AA143" s="22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22"/>
      <c r="AP143" s="8"/>
      <c r="AQ143" s="22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22"/>
      <c r="U144" s="8"/>
      <c r="V144" s="8"/>
      <c r="W144" s="8"/>
      <c r="X144" s="8"/>
      <c r="Y144" s="22"/>
      <c r="Z144" s="8"/>
      <c r="AA144" s="22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22"/>
      <c r="AP144" s="8"/>
      <c r="AQ144" s="22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22"/>
      <c r="U145" s="8"/>
      <c r="V145" s="8"/>
      <c r="W145" s="8"/>
      <c r="X145" s="8"/>
      <c r="Y145" s="22"/>
      <c r="Z145" s="8"/>
      <c r="AA145" s="22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22"/>
      <c r="AP145" s="8"/>
      <c r="AQ145" s="22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22"/>
      <c r="U146" s="8"/>
      <c r="V146" s="8"/>
      <c r="W146" s="8"/>
      <c r="X146" s="8"/>
      <c r="Y146" s="22"/>
      <c r="Z146" s="8"/>
      <c r="AA146" s="22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22"/>
      <c r="AP146" s="8"/>
      <c r="AQ146" s="22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22"/>
      <c r="U147" s="8"/>
      <c r="V147" s="8"/>
      <c r="W147" s="8"/>
      <c r="X147" s="8"/>
      <c r="Y147" s="22"/>
      <c r="Z147" s="8"/>
      <c r="AA147" s="22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22"/>
      <c r="AP147" s="8"/>
      <c r="AQ147" s="22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22"/>
      <c r="U148" s="8"/>
      <c r="V148" s="8"/>
      <c r="W148" s="8"/>
      <c r="X148" s="8"/>
      <c r="Y148" s="22"/>
      <c r="Z148" s="8"/>
      <c r="AA148" s="22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22"/>
      <c r="AP148" s="8"/>
      <c r="AQ148" s="22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22"/>
      <c r="U149" s="8"/>
      <c r="V149" s="8"/>
      <c r="W149" s="8"/>
      <c r="X149" s="8"/>
      <c r="Y149" s="22"/>
      <c r="Z149" s="8"/>
      <c r="AA149" s="22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22"/>
      <c r="AP149" s="8"/>
      <c r="AQ149" s="22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22"/>
      <c r="U150" s="8"/>
      <c r="V150" s="8"/>
      <c r="W150" s="8"/>
      <c r="X150" s="8"/>
      <c r="Y150" s="22"/>
      <c r="Z150" s="8"/>
      <c r="AA150" s="22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22"/>
      <c r="AP150" s="8"/>
      <c r="AQ150" s="22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22"/>
      <c r="U151" s="8"/>
      <c r="V151" s="8"/>
      <c r="W151" s="8"/>
      <c r="X151" s="8"/>
      <c r="Y151" s="22"/>
      <c r="Z151" s="8"/>
      <c r="AA151" s="22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22"/>
      <c r="AP151" s="8"/>
      <c r="AQ151" s="22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22"/>
      <c r="U152" s="8"/>
      <c r="V152" s="8"/>
      <c r="W152" s="8"/>
      <c r="X152" s="8"/>
      <c r="Y152" s="22"/>
      <c r="Z152" s="8"/>
      <c r="AA152" s="22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22"/>
      <c r="AP152" s="8"/>
      <c r="AQ152" s="22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22"/>
      <c r="U153" s="8"/>
      <c r="V153" s="8"/>
      <c r="W153" s="8"/>
      <c r="X153" s="8"/>
      <c r="Y153" s="22"/>
      <c r="Z153" s="8"/>
      <c r="AA153" s="22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22"/>
      <c r="AP153" s="8"/>
      <c r="AQ153" s="22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22"/>
      <c r="U154" s="8"/>
      <c r="V154" s="8"/>
      <c r="W154" s="8"/>
      <c r="X154" s="8"/>
      <c r="Y154" s="22"/>
      <c r="Z154" s="8"/>
      <c r="AA154" s="22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22"/>
      <c r="AP154" s="8"/>
      <c r="AQ154" s="22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22"/>
      <c r="U155" s="8"/>
      <c r="V155" s="8"/>
      <c r="W155" s="8"/>
      <c r="X155" s="8"/>
      <c r="Y155" s="22"/>
      <c r="Z155" s="8"/>
      <c r="AA155" s="22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22"/>
      <c r="AP155" s="8"/>
      <c r="AQ155" s="22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22"/>
      <c r="U156" s="8"/>
      <c r="V156" s="8"/>
      <c r="W156" s="8"/>
      <c r="X156" s="8"/>
      <c r="Y156" s="22"/>
      <c r="Z156" s="8"/>
      <c r="AA156" s="22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22"/>
      <c r="AP156" s="8"/>
      <c r="AQ156" s="22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22"/>
      <c r="U157" s="8"/>
      <c r="V157" s="8"/>
      <c r="W157" s="8"/>
      <c r="X157" s="8"/>
      <c r="Y157" s="22"/>
      <c r="Z157" s="8"/>
      <c r="AA157" s="22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22"/>
      <c r="AP157" s="8"/>
      <c r="AQ157" s="22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22"/>
      <c r="U158" s="8"/>
      <c r="V158" s="8"/>
      <c r="W158" s="8"/>
      <c r="X158" s="8"/>
      <c r="Y158" s="22"/>
      <c r="Z158" s="8"/>
      <c r="AA158" s="22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22"/>
      <c r="AP158" s="8"/>
      <c r="AQ158" s="22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22"/>
      <c r="U159" s="8"/>
      <c r="V159" s="8"/>
      <c r="W159" s="8"/>
      <c r="X159" s="8"/>
      <c r="Y159" s="22"/>
      <c r="Z159" s="8"/>
      <c r="AA159" s="22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22"/>
      <c r="AP159" s="8"/>
      <c r="AQ159" s="22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22"/>
      <c r="U160" s="8"/>
      <c r="V160" s="8"/>
      <c r="W160" s="8"/>
      <c r="X160" s="8"/>
      <c r="Y160" s="22"/>
      <c r="Z160" s="8"/>
      <c r="AA160" s="22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22"/>
      <c r="AP160" s="8"/>
      <c r="AQ160" s="22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22"/>
      <c r="U161" s="8"/>
      <c r="V161" s="8"/>
      <c r="W161" s="8"/>
      <c r="X161" s="8"/>
      <c r="Y161" s="22"/>
      <c r="Z161" s="8"/>
      <c r="AA161" s="22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22"/>
      <c r="AP161" s="8"/>
      <c r="AQ161" s="22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22"/>
      <c r="U162" s="8"/>
      <c r="V162" s="8"/>
      <c r="W162" s="8"/>
      <c r="X162" s="8"/>
      <c r="Y162" s="22"/>
      <c r="Z162" s="8"/>
      <c r="AA162" s="22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22"/>
      <c r="AP162" s="8"/>
      <c r="AQ162" s="22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22"/>
      <c r="U163" s="8"/>
      <c r="V163" s="8"/>
      <c r="W163" s="8"/>
      <c r="X163" s="8"/>
      <c r="Y163" s="22"/>
      <c r="Z163" s="8"/>
      <c r="AA163" s="22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22"/>
      <c r="AP163" s="8"/>
      <c r="AQ163" s="22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22"/>
      <c r="U164" s="8"/>
      <c r="V164" s="8"/>
      <c r="W164" s="8"/>
      <c r="X164" s="8"/>
      <c r="Y164" s="22"/>
      <c r="Z164" s="8"/>
      <c r="AA164" s="22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22"/>
      <c r="AP164" s="8"/>
      <c r="AQ164" s="22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22"/>
      <c r="U165" s="8"/>
      <c r="V165" s="8"/>
      <c r="W165" s="8"/>
      <c r="X165" s="8"/>
      <c r="Y165" s="22"/>
      <c r="Z165" s="8"/>
      <c r="AA165" s="22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22"/>
      <c r="AP165" s="8"/>
      <c r="AQ165" s="22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22"/>
      <c r="U166" s="8"/>
      <c r="V166" s="8"/>
      <c r="W166" s="8"/>
      <c r="X166" s="8"/>
      <c r="Y166" s="22"/>
      <c r="Z166" s="8"/>
      <c r="AA166" s="22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22"/>
      <c r="AP166" s="8"/>
      <c r="AQ166" s="22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22"/>
      <c r="U167" s="8"/>
      <c r="V167" s="8"/>
      <c r="W167" s="8"/>
      <c r="X167" s="8"/>
      <c r="Y167" s="22"/>
      <c r="Z167" s="8"/>
      <c r="AA167" s="22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22"/>
      <c r="AP167" s="8"/>
      <c r="AQ167" s="22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22"/>
      <c r="U168" s="8"/>
      <c r="V168" s="8"/>
      <c r="W168" s="8"/>
      <c r="X168" s="8"/>
      <c r="Y168" s="22"/>
      <c r="Z168" s="8"/>
      <c r="AA168" s="22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22"/>
      <c r="AP168" s="8"/>
      <c r="AQ168" s="22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22"/>
      <c r="U169" s="8"/>
      <c r="V169" s="8"/>
      <c r="W169" s="8"/>
      <c r="X169" s="8"/>
      <c r="Y169" s="22"/>
      <c r="Z169" s="8"/>
      <c r="AA169" s="22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22"/>
      <c r="AP169" s="8"/>
      <c r="AQ169" s="22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22"/>
      <c r="U170" s="8"/>
      <c r="V170" s="8"/>
      <c r="W170" s="8"/>
      <c r="X170" s="8"/>
      <c r="Y170" s="22"/>
      <c r="Z170" s="8"/>
      <c r="AA170" s="22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22"/>
      <c r="AP170" s="8"/>
      <c r="AQ170" s="22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22"/>
      <c r="U171" s="8"/>
      <c r="V171" s="8"/>
      <c r="W171" s="8"/>
      <c r="X171" s="8"/>
      <c r="Y171" s="22"/>
      <c r="Z171" s="8"/>
      <c r="AA171" s="22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22"/>
      <c r="AP171" s="8"/>
      <c r="AQ171" s="22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22"/>
      <c r="U172" s="8"/>
      <c r="V172" s="8"/>
      <c r="W172" s="8"/>
      <c r="X172" s="8"/>
      <c r="Y172" s="22"/>
      <c r="Z172" s="8"/>
      <c r="AA172" s="22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22"/>
      <c r="AP172" s="8"/>
      <c r="AQ172" s="22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22"/>
      <c r="U173" s="8"/>
      <c r="V173" s="8"/>
      <c r="W173" s="8"/>
      <c r="X173" s="8"/>
      <c r="Y173" s="22"/>
      <c r="Z173" s="8"/>
      <c r="AA173" s="22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22"/>
      <c r="AP173" s="8"/>
      <c r="AQ173" s="22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22"/>
      <c r="U174" s="8"/>
      <c r="V174" s="8"/>
      <c r="W174" s="8"/>
      <c r="X174" s="8"/>
      <c r="Y174" s="22"/>
      <c r="Z174" s="8"/>
      <c r="AA174" s="22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22"/>
      <c r="AP174" s="8"/>
      <c r="AQ174" s="22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22"/>
      <c r="U175" s="8"/>
      <c r="V175" s="8"/>
      <c r="W175" s="8"/>
      <c r="X175" s="8"/>
      <c r="Y175" s="22"/>
      <c r="Z175" s="8"/>
      <c r="AA175" s="22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22"/>
      <c r="AP175" s="8"/>
      <c r="AQ175" s="22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22"/>
      <c r="U176" s="8"/>
      <c r="V176" s="8"/>
      <c r="W176" s="8"/>
      <c r="X176" s="8"/>
      <c r="Y176" s="22"/>
      <c r="Z176" s="8"/>
      <c r="AA176" s="22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22"/>
      <c r="AP176" s="8"/>
      <c r="AQ176" s="22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22"/>
      <c r="U177" s="8"/>
      <c r="V177" s="8"/>
      <c r="W177" s="8"/>
      <c r="X177" s="8"/>
      <c r="Y177" s="22"/>
      <c r="Z177" s="8"/>
      <c r="AA177" s="22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22"/>
      <c r="AP177" s="8"/>
      <c r="AQ177" s="22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22"/>
      <c r="U178" s="8"/>
      <c r="V178" s="8"/>
      <c r="W178" s="8"/>
      <c r="X178" s="8"/>
      <c r="Y178" s="22"/>
      <c r="Z178" s="8"/>
      <c r="AA178" s="22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22"/>
      <c r="AP178" s="8"/>
      <c r="AQ178" s="22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22"/>
      <c r="U179" s="8"/>
      <c r="V179" s="8"/>
      <c r="W179" s="8"/>
      <c r="X179" s="8"/>
      <c r="Y179" s="22"/>
      <c r="Z179" s="8"/>
      <c r="AA179" s="22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22"/>
      <c r="AP179" s="8"/>
      <c r="AQ179" s="22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22"/>
      <c r="U180" s="8"/>
      <c r="V180" s="8"/>
      <c r="W180" s="8"/>
      <c r="X180" s="8"/>
      <c r="Y180" s="22"/>
      <c r="Z180" s="8"/>
      <c r="AA180" s="22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22"/>
      <c r="AP180" s="8"/>
      <c r="AQ180" s="22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22"/>
      <c r="U181" s="8"/>
      <c r="V181" s="8"/>
      <c r="W181" s="8"/>
      <c r="X181" s="8"/>
      <c r="Y181" s="22"/>
      <c r="Z181" s="8"/>
      <c r="AA181" s="22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22"/>
      <c r="AP181" s="8"/>
      <c r="AQ181" s="22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22"/>
      <c r="U182" s="8"/>
      <c r="V182" s="8"/>
      <c r="W182" s="8"/>
      <c r="X182" s="8"/>
      <c r="Y182" s="22"/>
      <c r="Z182" s="8"/>
      <c r="AA182" s="22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22"/>
      <c r="AP182" s="8"/>
      <c r="AQ182" s="22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22"/>
      <c r="U183" s="8"/>
      <c r="V183" s="8"/>
      <c r="W183" s="8"/>
      <c r="X183" s="8"/>
      <c r="Y183" s="22"/>
      <c r="Z183" s="8"/>
      <c r="AA183" s="22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22"/>
      <c r="AP183" s="8"/>
      <c r="AQ183" s="22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22"/>
      <c r="U184" s="8"/>
      <c r="V184" s="8"/>
      <c r="W184" s="8"/>
      <c r="X184" s="8"/>
      <c r="Y184" s="22"/>
      <c r="Z184" s="8"/>
      <c r="AA184" s="22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22"/>
      <c r="AP184" s="8"/>
      <c r="AQ184" s="22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22"/>
      <c r="U185" s="8"/>
      <c r="V185" s="8"/>
      <c r="W185" s="8"/>
      <c r="X185" s="8"/>
      <c r="Y185" s="22"/>
      <c r="Z185" s="8"/>
      <c r="AA185" s="22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22"/>
      <c r="AP185" s="8"/>
      <c r="AQ185" s="22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22"/>
      <c r="U186" s="8"/>
      <c r="V186" s="8"/>
      <c r="W186" s="8"/>
      <c r="X186" s="8"/>
      <c r="Y186" s="22"/>
      <c r="Z186" s="8"/>
      <c r="AA186" s="22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22"/>
      <c r="AP186" s="8"/>
      <c r="AQ186" s="22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22"/>
      <c r="U187" s="8"/>
      <c r="V187" s="8"/>
      <c r="W187" s="8"/>
      <c r="X187" s="8"/>
      <c r="Y187" s="22"/>
      <c r="Z187" s="8"/>
      <c r="AA187" s="22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22"/>
      <c r="AP187" s="8"/>
      <c r="AQ187" s="22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22"/>
      <c r="U188" s="8"/>
      <c r="V188" s="8"/>
      <c r="W188" s="8"/>
      <c r="X188" s="8"/>
      <c r="Y188" s="22"/>
      <c r="Z188" s="8"/>
      <c r="AA188" s="22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22"/>
      <c r="AP188" s="8"/>
      <c r="AQ188" s="22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22"/>
      <c r="U189" s="8"/>
      <c r="V189" s="8"/>
      <c r="W189" s="8"/>
      <c r="X189" s="8"/>
      <c r="Y189" s="22"/>
      <c r="Z189" s="8"/>
      <c r="AA189" s="22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22"/>
      <c r="AP189" s="8"/>
      <c r="AQ189" s="22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22"/>
      <c r="U190" s="8"/>
      <c r="V190" s="8"/>
      <c r="W190" s="8"/>
      <c r="X190" s="8"/>
      <c r="Y190" s="22"/>
      <c r="Z190" s="8"/>
      <c r="AA190" s="22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22"/>
      <c r="AP190" s="8"/>
      <c r="AQ190" s="22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22"/>
      <c r="U191" s="8"/>
      <c r="V191" s="8"/>
      <c r="W191" s="8"/>
      <c r="X191" s="8"/>
      <c r="Y191" s="22"/>
      <c r="Z191" s="8"/>
      <c r="AA191" s="22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22"/>
      <c r="AP191" s="8"/>
      <c r="AQ191" s="22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22"/>
      <c r="U192" s="8"/>
      <c r="V192" s="8"/>
      <c r="W192" s="8"/>
      <c r="X192" s="8"/>
      <c r="Y192" s="22"/>
      <c r="Z192" s="8"/>
      <c r="AA192" s="22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22"/>
      <c r="AP192" s="8"/>
      <c r="AQ192" s="22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2"/>
      <c r="U193" s="8"/>
      <c r="V193" s="8"/>
      <c r="W193" s="8"/>
      <c r="X193" s="8"/>
      <c r="Y193" s="22"/>
      <c r="Z193" s="8"/>
      <c r="AA193" s="22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22"/>
      <c r="AP193" s="8"/>
      <c r="AQ193" s="22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22"/>
      <c r="U194" s="8"/>
      <c r="V194" s="8"/>
      <c r="W194" s="8"/>
      <c r="X194" s="8"/>
      <c r="Y194" s="22"/>
      <c r="Z194" s="8"/>
      <c r="AA194" s="22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22"/>
      <c r="AP194" s="8"/>
      <c r="AQ194" s="22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22"/>
      <c r="U195" s="8"/>
      <c r="V195" s="8"/>
      <c r="W195" s="8"/>
      <c r="X195" s="8"/>
      <c r="Y195" s="22"/>
      <c r="Z195" s="8"/>
      <c r="AA195" s="22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22"/>
      <c r="AP195" s="8"/>
      <c r="AQ195" s="22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22"/>
      <c r="U196" s="8"/>
      <c r="V196" s="8"/>
      <c r="W196" s="8"/>
      <c r="X196" s="8"/>
      <c r="Y196" s="22"/>
      <c r="Z196" s="8"/>
      <c r="AA196" s="22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22"/>
      <c r="AP196" s="8"/>
      <c r="AQ196" s="22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22"/>
      <c r="U197" s="8"/>
      <c r="V197" s="8"/>
      <c r="W197" s="8"/>
      <c r="X197" s="8"/>
      <c r="Y197" s="22"/>
      <c r="Z197" s="8"/>
      <c r="AA197" s="22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22"/>
      <c r="AP197" s="8"/>
      <c r="AQ197" s="22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22"/>
      <c r="U198" s="8"/>
      <c r="V198" s="8"/>
      <c r="W198" s="8"/>
      <c r="X198" s="8"/>
      <c r="Y198" s="22"/>
      <c r="Z198" s="8"/>
      <c r="AA198" s="22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22"/>
      <c r="AP198" s="8"/>
      <c r="AQ198" s="22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22"/>
      <c r="U199" s="8"/>
      <c r="V199" s="8"/>
      <c r="W199" s="8"/>
      <c r="X199" s="8"/>
      <c r="Y199" s="22"/>
      <c r="Z199" s="8"/>
      <c r="AA199" s="22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22"/>
      <c r="AP199" s="8"/>
      <c r="AQ199" s="22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22"/>
      <c r="U200" s="8"/>
      <c r="V200" s="8"/>
      <c r="W200" s="8"/>
      <c r="X200" s="8"/>
      <c r="Y200" s="22"/>
      <c r="Z200" s="8"/>
      <c r="AA200" s="22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22"/>
      <c r="AP200" s="8"/>
      <c r="AQ200" s="22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22"/>
      <c r="U201" s="8"/>
      <c r="V201" s="8"/>
      <c r="W201" s="8"/>
      <c r="X201" s="8"/>
      <c r="Y201" s="22"/>
      <c r="Z201" s="8"/>
      <c r="AA201" s="22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22"/>
      <c r="AP201" s="8"/>
      <c r="AQ201" s="22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22"/>
      <c r="U202" s="8"/>
      <c r="V202" s="8"/>
      <c r="W202" s="8"/>
      <c r="X202" s="8"/>
      <c r="Y202" s="22"/>
      <c r="Z202" s="8"/>
      <c r="AA202" s="22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22"/>
      <c r="AP202" s="8"/>
      <c r="AQ202" s="22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22"/>
      <c r="U203" s="8"/>
      <c r="V203" s="8"/>
      <c r="W203" s="8"/>
      <c r="X203" s="8"/>
      <c r="Y203" s="22"/>
      <c r="Z203" s="8"/>
      <c r="AA203" s="22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22"/>
      <c r="AP203" s="8"/>
      <c r="AQ203" s="22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22"/>
      <c r="U204" s="8"/>
      <c r="V204" s="8"/>
      <c r="W204" s="8"/>
      <c r="X204" s="8"/>
      <c r="Y204" s="22"/>
      <c r="Z204" s="8"/>
      <c r="AA204" s="22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22"/>
      <c r="AP204" s="8"/>
      <c r="AQ204" s="22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22"/>
      <c r="U205" s="8"/>
      <c r="V205" s="8"/>
      <c r="W205" s="8"/>
      <c r="X205" s="8"/>
      <c r="Y205" s="22"/>
      <c r="Z205" s="8"/>
      <c r="AA205" s="22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22"/>
      <c r="AP205" s="8"/>
      <c r="AQ205" s="22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22"/>
      <c r="U206" s="8"/>
      <c r="V206" s="8"/>
      <c r="W206" s="8"/>
      <c r="X206" s="8"/>
      <c r="Y206" s="22"/>
      <c r="Z206" s="8"/>
      <c r="AA206" s="22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22"/>
      <c r="AP206" s="8"/>
      <c r="AQ206" s="22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22"/>
      <c r="U207" s="8"/>
      <c r="V207" s="8"/>
      <c r="W207" s="8"/>
      <c r="X207" s="8"/>
      <c r="Y207" s="22"/>
      <c r="Z207" s="8"/>
      <c r="AA207" s="22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22"/>
      <c r="AP207" s="8"/>
      <c r="AQ207" s="22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22"/>
      <c r="U208" s="8"/>
      <c r="V208" s="8"/>
      <c r="W208" s="8"/>
      <c r="X208" s="8"/>
      <c r="Y208" s="22"/>
      <c r="Z208" s="8"/>
      <c r="AA208" s="22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22"/>
      <c r="AP208" s="8"/>
      <c r="AQ208" s="22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22"/>
      <c r="U209" s="8"/>
      <c r="V209" s="8"/>
      <c r="W209" s="8"/>
      <c r="X209" s="8"/>
      <c r="Y209" s="22"/>
      <c r="Z209" s="8"/>
      <c r="AA209" s="22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22"/>
      <c r="AP209" s="8"/>
      <c r="AQ209" s="22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22"/>
      <c r="U210" s="8"/>
      <c r="V210" s="8"/>
      <c r="W210" s="8"/>
      <c r="X210" s="8"/>
      <c r="Y210" s="22"/>
      <c r="Z210" s="8"/>
      <c r="AA210" s="22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22"/>
      <c r="AP210" s="8"/>
      <c r="AQ210" s="22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22"/>
      <c r="U211" s="8"/>
      <c r="V211" s="8"/>
      <c r="W211" s="8"/>
      <c r="X211" s="8"/>
      <c r="Y211" s="22"/>
      <c r="Z211" s="8"/>
      <c r="AA211" s="22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22"/>
      <c r="AP211" s="8"/>
      <c r="AQ211" s="22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22"/>
      <c r="U212" s="8"/>
      <c r="V212" s="8"/>
      <c r="W212" s="8"/>
      <c r="X212" s="8"/>
      <c r="Y212" s="22"/>
      <c r="Z212" s="8"/>
      <c r="AA212" s="22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22"/>
      <c r="AP212" s="8"/>
      <c r="AQ212" s="22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22"/>
      <c r="U213" s="8"/>
      <c r="V213" s="8"/>
      <c r="W213" s="8"/>
      <c r="X213" s="8"/>
      <c r="Y213" s="22"/>
      <c r="Z213" s="8"/>
      <c r="AA213" s="22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22"/>
      <c r="AP213" s="8"/>
      <c r="AQ213" s="22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22"/>
      <c r="U214" s="8"/>
      <c r="V214" s="8"/>
      <c r="W214" s="8"/>
      <c r="X214" s="8"/>
      <c r="Y214" s="22"/>
      <c r="Z214" s="8"/>
      <c r="AA214" s="22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22"/>
      <c r="AP214" s="8"/>
      <c r="AQ214" s="22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22"/>
      <c r="U215" s="8"/>
      <c r="V215" s="8"/>
      <c r="W215" s="8"/>
      <c r="X215" s="8"/>
      <c r="Y215" s="22"/>
      <c r="Z215" s="8"/>
      <c r="AA215" s="22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22"/>
      <c r="AP215" s="8"/>
      <c r="AQ215" s="22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22"/>
      <c r="U216" s="8"/>
      <c r="V216" s="8"/>
      <c r="W216" s="8"/>
      <c r="X216" s="8"/>
      <c r="Y216" s="22"/>
      <c r="Z216" s="8"/>
      <c r="AA216" s="22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22"/>
      <c r="AP216" s="8"/>
      <c r="AQ216" s="22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22"/>
      <c r="U217" s="8"/>
      <c r="V217" s="8"/>
      <c r="W217" s="8"/>
      <c r="X217" s="8"/>
      <c r="Y217" s="22"/>
      <c r="Z217" s="8"/>
      <c r="AA217" s="22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22"/>
      <c r="AP217" s="8"/>
      <c r="AQ217" s="22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22"/>
      <c r="U218" s="8"/>
      <c r="V218" s="8"/>
      <c r="W218" s="8"/>
      <c r="X218" s="8"/>
      <c r="Y218" s="22"/>
      <c r="Z218" s="8"/>
      <c r="AA218" s="22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22"/>
      <c r="AP218" s="8"/>
      <c r="AQ218" s="22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22"/>
      <c r="U219" s="8"/>
      <c r="V219" s="8"/>
      <c r="W219" s="8"/>
      <c r="X219" s="8"/>
      <c r="Y219" s="22"/>
      <c r="Z219" s="8"/>
      <c r="AA219" s="22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22"/>
      <c r="AP219" s="8"/>
      <c r="AQ219" s="22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22"/>
      <c r="U220" s="8"/>
      <c r="V220" s="8"/>
      <c r="W220" s="8"/>
      <c r="X220" s="8"/>
      <c r="Y220" s="22"/>
      <c r="Z220" s="8"/>
      <c r="AA220" s="22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22"/>
      <c r="AP220" s="8"/>
      <c r="AQ220" s="22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22"/>
      <c r="U221" s="8"/>
      <c r="V221" s="8"/>
      <c r="W221" s="8"/>
      <c r="X221" s="8"/>
      <c r="Y221" s="22"/>
      <c r="Z221" s="8"/>
      <c r="AA221" s="22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22"/>
      <c r="AP221" s="8"/>
      <c r="AQ221" s="22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22"/>
      <c r="U222" s="8"/>
      <c r="V222" s="8"/>
      <c r="W222" s="8"/>
      <c r="X222" s="8"/>
      <c r="Y222" s="22"/>
      <c r="Z222" s="8"/>
      <c r="AA222" s="22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22"/>
      <c r="AP222" s="8"/>
      <c r="AQ222" s="22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22"/>
      <c r="U223" s="8"/>
      <c r="V223" s="8"/>
      <c r="W223" s="8"/>
      <c r="X223" s="8"/>
      <c r="Y223" s="22"/>
      <c r="Z223" s="8"/>
      <c r="AA223" s="22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22"/>
      <c r="AP223" s="8"/>
      <c r="AQ223" s="22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22"/>
      <c r="U224" s="8"/>
      <c r="V224" s="8"/>
      <c r="W224" s="8"/>
      <c r="X224" s="8"/>
      <c r="Y224" s="22"/>
      <c r="Z224" s="8"/>
      <c r="AA224" s="22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22"/>
      <c r="AP224" s="8"/>
      <c r="AQ224" s="22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22"/>
      <c r="U225" s="8"/>
      <c r="V225" s="8"/>
      <c r="W225" s="8"/>
      <c r="X225" s="8"/>
      <c r="Y225" s="22"/>
      <c r="Z225" s="8"/>
      <c r="AA225" s="22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22"/>
      <c r="AP225" s="8"/>
      <c r="AQ225" s="22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22"/>
      <c r="U226" s="8"/>
      <c r="V226" s="8"/>
      <c r="W226" s="8"/>
      <c r="X226" s="8"/>
      <c r="Y226" s="22"/>
      <c r="Z226" s="8"/>
      <c r="AA226" s="22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22"/>
      <c r="AP226" s="8"/>
      <c r="AQ226" s="22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22"/>
      <c r="U227" s="8"/>
      <c r="V227" s="8"/>
      <c r="W227" s="8"/>
      <c r="X227" s="8"/>
      <c r="Y227" s="22"/>
      <c r="Z227" s="8"/>
      <c r="AA227" s="22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22"/>
      <c r="AP227" s="8"/>
      <c r="AQ227" s="22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22"/>
      <c r="U228" s="8"/>
      <c r="V228" s="8"/>
      <c r="W228" s="8"/>
      <c r="X228" s="8"/>
      <c r="Y228" s="22"/>
      <c r="Z228" s="8"/>
      <c r="AA228" s="22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22"/>
      <c r="AP228" s="8"/>
      <c r="AQ228" s="22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22"/>
      <c r="U229" s="8"/>
      <c r="V229" s="8"/>
      <c r="W229" s="8"/>
      <c r="X229" s="8"/>
      <c r="Y229" s="22"/>
      <c r="Z229" s="8"/>
      <c r="AA229" s="22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22"/>
      <c r="AP229" s="8"/>
      <c r="AQ229" s="22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22"/>
      <c r="U230" s="8"/>
      <c r="V230" s="8"/>
      <c r="W230" s="8"/>
      <c r="X230" s="8"/>
      <c r="Y230" s="22"/>
      <c r="Z230" s="8"/>
      <c r="AA230" s="22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22"/>
      <c r="AP230" s="8"/>
      <c r="AQ230" s="22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22"/>
      <c r="U231" s="8"/>
      <c r="V231" s="8"/>
      <c r="W231" s="8"/>
      <c r="X231" s="8"/>
      <c r="Y231" s="22"/>
      <c r="Z231" s="8"/>
      <c r="AA231" s="22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22"/>
      <c r="AP231" s="8"/>
      <c r="AQ231" s="22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22"/>
      <c r="U232" s="8"/>
      <c r="V232" s="8"/>
      <c r="W232" s="8"/>
      <c r="X232" s="8"/>
      <c r="Y232" s="22"/>
      <c r="Z232" s="8"/>
      <c r="AA232" s="22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22"/>
      <c r="AP232" s="8"/>
      <c r="AQ232" s="22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22"/>
      <c r="U233" s="8"/>
      <c r="V233" s="8"/>
      <c r="W233" s="8"/>
      <c r="X233" s="8"/>
      <c r="Y233" s="22"/>
      <c r="Z233" s="8"/>
      <c r="AA233" s="22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22"/>
      <c r="AP233" s="8"/>
      <c r="AQ233" s="22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22"/>
      <c r="U234" s="8"/>
      <c r="V234" s="8"/>
      <c r="W234" s="8"/>
      <c r="X234" s="8"/>
      <c r="Y234" s="22"/>
      <c r="Z234" s="8"/>
      <c r="AA234" s="22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22"/>
      <c r="AP234" s="8"/>
      <c r="AQ234" s="22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22"/>
      <c r="U235" s="8"/>
      <c r="V235" s="8"/>
      <c r="W235" s="8"/>
      <c r="X235" s="8"/>
      <c r="Y235" s="22"/>
      <c r="Z235" s="8"/>
      <c r="AA235" s="22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22"/>
      <c r="AP235" s="8"/>
      <c r="AQ235" s="22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22"/>
      <c r="U236" s="8"/>
      <c r="V236" s="8"/>
      <c r="W236" s="8"/>
      <c r="X236" s="8"/>
      <c r="Y236" s="22"/>
      <c r="Z236" s="8"/>
      <c r="AA236" s="22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22"/>
      <c r="AP236" s="8"/>
      <c r="AQ236" s="22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22"/>
      <c r="U237" s="8"/>
      <c r="V237" s="8"/>
      <c r="W237" s="8"/>
      <c r="X237" s="8"/>
      <c r="Y237" s="22"/>
      <c r="Z237" s="8"/>
      <c r="AA237" s="22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22"/>
      <c r="AP237" s="8"/>
      <c r="AQ237" s="22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22"/>
      <c r="U238" s="8"/>
      <c r="V238" s="8"/>
      <c r="W238" s="8"/>
      <c r="X238" s="8"/>
      <c r="Y238" s="22"/>
      <c r="Z238" s="8"/>
      <c r="AA238" s="22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22"/>
      <c r="AP238" s="8"/>
      <c r="AQ238" s="22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22"/>
      <c r="U239" s="8"/>
      <c r="V239" s="8"/>
      <c r="W239" s="8"/>
      <c r="X239" s="8"/>
      <c r="Y239" s="22"/>
      <c r="Z239" s="8"/>
      <c r="AA239" s="22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22"/>
      <c r="AP239" s="8"/>
      <c r="AQ239" s="22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22"/>
      <c r="U240" s="8"/>
      <c r="V240" s="8"/>
      <c r="W240" s="8"/>
      <c r="X240" s="8"/>
      <c r="Y240" s="22"/>
      <c r="Z240" s="8"/>
      <c r="AA240" s="22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22"/>
      <c r="AP240" s="8"/>
      <c r="AQ240" s="22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22"/>
      <c r="U241" s="8"/>
      <c r="V241" s="8"/>
      <c r="W241" s="8"/>
      <c r="X241" s="8"/>
      <c r="Y241" s="22"/>
      <c r="Z241" s="8"/>
      <c r="AA241" s="22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22"/>
      <c r="AP241" s="8"/>
      <c r="AQ241" s="22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22"/>
      <c r="U242" s="8"/>
      <c r="V242" s="8"/>
      <c r="W242" s="8"/>
      <c r="X242" s="8"/>
      <c r="Y242" s="22"/>
      <c r="Z242" s="8"/>
      <c r="AA242" s="22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22"/>
      <c r="AP242" s="8"/>
      <c r="AQ242" s="22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22"/>
      <c r="U243" s="8"/>
      <c r="V243" s="8"/>
      <c r="W243" s="8"/>
      <c r="X243" s="8"/>
      <c r="Y243" s="22"/>
      <c r="Z243" s="8"/>
      <c r="AA243" s="22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22"/>
      <c r="AP243" s="8"/>
      <c r="AQ243" s="22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22"/>
      <c r="U244" s="8"/>
      <c r="V244" s="8"/>
      <c r="W244" s="8"/>
      <c r="X244" s="8"/>
      <c r="Y244" s="22"/>
      <c r="Z244" s="8"/>
      <c r="AA244" s="22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22"/>
      <c r="AP244" s="8"/>
      <c r="AQ244" s="22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22"/>
      <c r="U245" s="8"/>
      <c r="V245" s="8"/>
      <c r="W245" s="8"/>
      <c r="X245" s="8"/>
      <c r="Y245" s="22"/>
      <c r="Z245" s="8"/>
      <c r="AA245" s="22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22"/>
      <c r="AP245" s="8"/>
      <c r="AQ245" s="22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22"/>
      <c r="U246" s="8"/>
      <c r="V246" s="8"/>
      <c r="W246" s="8"/>
      <c r="X246" s="8"/>
      <c r="Y246" s="22"/>
      <c r="Z246" s="8"/>
      <c r="AA246" s="22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22"/>
      <c r="AP246" s="8"/>
      <c r="AQ246" s="22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22"/>
      <c r="U247" s="8"/>
      <c r="V247" s="8"/>
      <c r="W247" s="8"/>
      <c r="X247" s="8"/>
      <c r="Y247" s="22"/>
      <c r="Z247" s="8"/>
      <c r="AA247" s="22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22"/>
      <c r="AP247" s="8"/>
      <c r="AQ247" s="22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22"/>
      <c r="U248" s="8"/>
      <c r="V248" s="8"/>
      <c r="W248" s="8"/>
      <c r="X248" s="8"/>
      <c r="Y248" s="22"/>
      <c r="Z248" s="8"/>
      <c r="AA248" s="22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22"/>
      <c r="AP248" s="8"/>
      <c r="AQ248" s="22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22"/>
      <c r="U249" s="8"/>
      <c r="V249" s="8"/>
      <c r="W249" s="8"/>
      <c r="X249" s="8"/>
      <c r="Y249" s="22"/>
      <c r="Z249" s="8"/>
      <c r="AA249" s="22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22"/>
      <c r="AP249" s="8"/>
      <c r="AQ249" s="22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22"/>
      <c r="U250" s="8"/>
      <c r="V250" s="8"/>
      <c r="W250" s="8"/>
      <c r="X250" s="8"/>
      <c r="Y250" s="22"/>
      <c r="Z250" s="8"/>
      <c r="AA250" s="22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22"/>
      <c r="AP250" s="8"/>
      <c r="AQ250" s="22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22"/>
      <c r="U251" s="8"/>
      <c r="V251" s="8"/>
      <c r="W251" s="8"/>
      <c r="X251" s="8"/>
      <c r="Y251" s="22"/>
      <c r="Z251" s="8"/>
      <c r="AA251" s="22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22"/>
      <c r="AP251" s="8"/>
      <c r="AQ251" s="22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22"/>
      <c r="U252" s="8"/>
      <c r="V252" s="8"/>
      <c r="W252" s="8"/>
      <c r="X252" s="8"/>
      <c r="Y252" s="22"/>
      <c r="Z252" s="8"/>
      <c r="AA252" s="22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22"/>
      <c r="AP252" s="8"/>
      <c r="AQ252" s="22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22"/>
      <c r="U253" s="8"/>
      <c r="V253" s="8"/>
      <c r="W253" s="8"/>
      <c r="X253" s="8"/>
      <c r="Y253" s="22"/>
      <c r="Z253" s="8"/>
      <c r="AA253" s="22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22"/>
      <c r="AP253" s="8"/>
      <c r="AQ253" s="22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22"/>
      <c r="U254" s="8"/>
      <c r="V254" s="8"/>
      <c r="W254" s="8"/>
      <c r="X254" s="8"/>
      <c r="Y254" s="22"/>
      <c r="Z254" s="8"/>
      <c r="AA254" s="22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22"/>
      <c r="AP254" s="8"/>
      <c r="AQ254" s="22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22"/>
      <c r="U255" s="8"/>
      <c r="V255" s="8"/>
      <c r="W255" s="8"/>
      <c r="X255" s="8"/>
      <c r="Y255" s="22"/>
      <c r="Z255" s="8"/>
      <c r="AA255" s="22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22"/>
      <c r="AP255" s="8"/>
      <c r="AQ255" s="22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22"/>
      <c r="U256" s="8"/>
      <c r="V256" s="8"/>
      <c r="W256" s="8"/>
      <c r="X256" s="8"/>
      <c r="Y256" s="22"/>
      <c r="Z256" s="8"/>
      <c r="AA256" s="22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22"/>
      <c r="AP256" s="8"/>
      <c r="AQ256" s="22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22"/>
      <c r="U257" s="8"/>
      <c r="V257" s="8"/>
      <c r="W257" s="8"/>
      <c r="X257" s="8"/>
      <c r="Y257" s="22"/>
      <c r="Z257" s="8"/>
      <c r="AA257" s="22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22"/>
      <c r="AP257" s="8"/>
      <c r="AQ257" s="22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22"/>
      <c r="U258" s="8"/>
      <c r="V258" s="8"/>
      <c r="W258" s="8"/>
      <c r="X258" s="8"/>
      <c r="Y258" s="22"/>
      <c r="Z258" s="8"/>
      <c r="AA258" s="22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22"/>
      <c r="AP258" s="8"/>
      <c r="AQ258" s="22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22"/>
      <c r="U259" s="8"/>
      <c r="V259" s="8"/>
      <c r="W259" s="8"/>
      <c r="X259" s="8"/>
      <c r="Y259" s="22"/>
      <c r="Z259" s="8"/>
      <c r="AA259" s="22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22"/>
      <c r="AP259" s="8"/>
      <c r="AQ259" s="22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22"/>
      <c r="U260" s="8"/>
      <c r="V260" s="8"/>
      <c r="W260" s="8"/>
      <c r="X260" s="8"/>
      <c r="Y260" s="22"/>
      <c r="Z260" s="8"/>
      <c r="AA260" s="22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22"/>
      <c r="AP260" s="8"/>
      <c r="AQ260" s="22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22"/>
      <c r="U261" s="8"/>
      <c r="V261" s="8"/>
      <c r="W261" s="8"/>
      <c r="X261" s="8"/>
      <c r="Y261" s="22"/>
      <c r="Z261" s="8"/>
      <c r="AA261" s="22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22"/>
      <c r="AP261" s="8"/>
      <c r="AQ261" s="22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22"/>
      <c r="U262" s="8"/>
      <c r="V262" s="8"/>
      <c r="W262" s="8"/>
      <c r="X262" s="8"/>
      <c r="Y262" s="22"/>
      <c r="Z262" s="8"/>
      <c r="AA262" s="22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22"/>
      <c r="AP262" s="8"/>
      <c r="AQ262" s="22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22"/>
      <c r="U263" s="8"/>
      <c r="V263" s="8"/>
      <c r="W263" s="8"/>
      <c r="X263" s="8"/>
      <c r="Y263" s="22"/>
      <c r="Z263" s="8"/>
      <c r="AA263" s="22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22"/>
      <c r="AP263" s="8"/>
      <c r="AQ263" s="22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22"/>
      <c r="U264" s="8"/>
      <c r="V264" s="8"/>
      <c r="W264" s="8"/>
      <c r="X264" s="8"/>
      <c r="Y264" s="22"/>
      <c r="Z264" s="8"/>
      <c r="AA264" s="22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22"/>
      <c r="AP264" s="8"/>
      <c r="AQ264" s="22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22"/>
      <c r="U265" s="8"/>
      <c r="V265" s="8"/>
      <c r="W265" s="8"/>
      <c r="X265" s="8"/>
      <c r="Y265" s="22"/>
      <c r="Z265" s="8"/>
      <c r="AA265" s="22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22"/>
      <c r="AP265" s="8"/>
      <c r="AQ265" s="22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22"/>
      <c r="U266" s="8"/>
      <c r="V266" s="8"/>
      <c r="W266" s="8"/>
      <c r="X266" s="8"/>
      <c r="Y266" s="22"/>
      <c r="Z266" s="8"/>
      <c r="AA266" s="22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22"/>
      <c r="AP266" s="8"/>
      <c r="AQ266" s="22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22"/>
      <c r="U267" s="8"/>
      <c r="V267" s="8"/>
      <c r="W267" s="8"/>
      <c r="X267" s="8"/>
      <c r="Y267" s="22"/>
      <c r="Z267" s="8"/>
      <c r="AA267" s="22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22"/>
      <c r="AP267" s="8"/>
      <c r="AQ267" s="22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22"/>
      <c r="U268" s="8"/>
      <c r="V268" s="8"/>
      <c r="W268" s="8"/>
      <c r="X268" s="8"/>
      <c r="Y268" s="22"/>
      <c r="Z268" s="8"/>
      <c r="AA268" s="22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22"/>
      <c r="AP268" s="8"/>
      <c r="AQ268" s="22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22"/>
      <c r="U269" s="8"/>
      <c r="V269" s="8"/>
      <c r="W269" s="8"/>
      <c r="X269" s="8"/>
      <c r="Y269" s="22"/>
      <c r="Z269" s="8"/>
      <c r="AA269" s="22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22"/>
      <c r="AP269" s="8"/>
      <c r="AQ269" s="22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22"/>
      <c r="U270" s="8"/>
      <c r="V270" s="8"/>
      <c r="W270" s="8"/>
      <c r="X270" s="8"/>
      <c r="Y270" s="22"/>
      <c r="Z270" s="8"/>
      <c r="AA270" s="22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22"/>
      <c r="AP270" s="8"/>
      <c r="AQ270" s="22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22"/>
      <c r="U271" s="8"/>
      <c r="V271" s="8"/>
      <c r="W271" s="8"/>
      <c r="X271" s="8"/>
      <c r="Y271" s="22"/>
      <c r="Z271" s="8"/>
      <c r="AA271" s="22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22"/>
      <c r="AP271" s="8"/>
      <c r="AQ271" s="22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22"/>
      <c r="U272" s="8"/>
      <c r="V272" s="8"/>
      <c r="W272" s="8"/>
      <c r="X272" s="8"/>
      <c r="Y272" s="22"/>
      <c r="Z272" s="8"/>
      <c r="AA272" s="22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22"/>
      <c r="AP272" s="8"/>
      <c r="AQ272" s="22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22"/>
      <c r="U273" s="8"/>
      <c r="V273" s="8"/>
      <c r="W273" s="8"/>
      <c r="X273" s="8"/>
      <c r="Y273" s="22"/>
      <c r="Z273" s="8"/>
      <c r="AA273" s="22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22"/>
      <c r="AP273" s="8"/>
      <c r="AQ273" s="22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22"/>
      <c r="U274" s="8"/>
      <c r="V274" s="8"/>
      <c r="W274" s="8"/>
      <c r="X274" s="8"/>
      <c r="Y274" s="22"/>
      <c r="Z274" s="8"/>
      <c r="AA274" s="22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22"/>
      <c r="AP274" s="8"/>
      <c r="AQ274" s="22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22"/>
      <c r="U275" s="8"/>
      <c r="V275" s="8"/>
      <c r="W275" s="8"/>
      <c r="X275" s="8"/>
      <c r="Y275" s="22"/>
      <c r="Z275" s="8"/>
      <c r="AA275" s="22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22"/>
      <c r="AP275" s="8"/>
      <c r="AQ275" s="22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22"/>
      <c r="U276" s="8"/>
      <c r="V276" s="8"/>
      <c r="W276" s="8"/>
      <c r="X276" s="8"/>
      <c r="Y276" s="22"/>
      <c r="Z276" s="8"/>
      <c r="AA276" s="22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22"/>
      <c r="AP276" s="8"/>
      <c r="AQ276" s="22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22"/>
      <c r="U277" s="8"/>
      <c r="V277" s="8"/>
      <c r="W277" s="8"/>
      <c r="X277" s="8"/>
      <c r="Y277" s="22"/>
      <c r="Z277" s="8"/>
      <c r="AA277" s="22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22"/>
      <c r="AP277" s="8"/>
      <c r="AQ277" s="22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22"/>
      <c r="U278" s="8"/>
      <c r="V278" s="8"/>
      <c r="W278" s="8"/>
      <c r="X278" s="8"/>
      <c r="Y278" s="22"/>
      <c r="Z278" s="8"/>
      <c r="AA278" s="22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22"/>
      <c r="AP278" s="8"/>
      <c r="AQ278" s="22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22"/>
      <c r="U279" s="8"/>
      <c r="V279" s="8"/>
      <c r="W279" s="8"/>
      <c r="X279" s="8"/>
      <c r="Y279" s="22"/>
      <c r="Z279" s="8"/>
      <c r="AA279" s="22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22"/>
      <c r="AP279" s="8"/>
      <c r="AQ279" s="22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22"/>
      <c r="U280" s="8"/>
      <c r="V280" s="8"/>
      <c r="W280" s="8"/>
      <c r="X280" s="8"/>
      <c r="Y280" s="22"/>
      <c r="Z280" s="8"/>
      <c r="AA280" s="22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22"/>
      <c r="AP280" s="8"/>
      <c r="AQ280" s="22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22"/>
      <c r="U281" s="8"/>
      <c r="V281" s="8"/>
      <c r="W281" s="8"/>
      <c r="X281" s="8"/>
      <c r="Y281" s="22"/>
      <c r="Z281" s="8"/>
      <c r="AA281" s="22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22"/>
      <c r="AP281" s="8"/>
      <c r="AQ281" s="22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22"/>
      <c r="U282" s="8"/>
      <c r="V282" s="8"/>
      <c r="W282" s="8"/>
      <c r="X282" s="8"/>
      <c r="Y282" s="22"/>
      <c r="Z282" s="8"/>
      <c r="AA282" s="22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22"/>
      <c r="AP282" s="8"/>
      <c r="AQ282" s="22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22"/>
      <c r="U283" s="8"/>
      <c r="V283" s="8"/>
      <c r="W283" s="8"/>
      <c r="X283" s="8"/>
      <c r="Y283" s="22"/>
      <c r="Z283" s="8"/>
      <c r="AA283" s="22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22"/>
      <c r="AP283" s="8"/>
      <c r="AQ283" s="22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22"/>
      <c r="U284" s="8"/>
      <c r="V284" s="8"/>
      <c r="W284" s="8"/>
      <c r="X284" s="8"/>
      <c r="Y284" s="22"/>
      <c r="Z284" s="8"/>
      <c r="AA284" s="22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22"/>
      <c r="AP284" s="8"/>
      <c r="AQ284" s="22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22"/>
      <c r="U285" s="8"/>
      <c r="V285" s="8"/>
      <c r="W285" s="8"/>
      <c r="X285" s="8"/>
      <c r="Y285" s="22"/>
      <c r="Z285" s="8"/>
      <c r="AA285" s="22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22"/>
      <c r="AP285" s="8"/>
      <c r="AQ285" s="22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22"/>
      <c r="U286" s="8"/>
      <c r="V286" s="8"/>
      <c r="W286" s="8"/>
      <c r="X286" s="8"/>
      <c r="Y286" s="22"/>
      <c r="Z286" s="8"/>
      <c r="AA286" s="22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22"/>
      <c r="AP286" s="8"/>
      <c r="AQ286" s="22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22"/>
      <c r="U287" s="8"/>
      <c r="V287" s="8"/>
      <c r="W287" s="8"/>
      <c r="X287" s="8"/>
      <c r="Y287" s="22"/>
      <c r="Z287" s="8"/>
      <c r="AA287" s="22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22"/>
      <c r="AP287" s="8"/>
      <c r="AQ287" s="22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22"/>
      <c r="U288" s="8"/>
      <c r="V288" s="8"/>
      <c r="W288" s="8"/>
      <c r="X288" s="8"/>
      <c r="Y288" s="22"/>
      <c r="Z288" s="8"/>
      <c r="AA288" s="22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22"/>
      <c r="AP288" s="8"/>
      <c r="AQ288" s="22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22"/>
      <c r="U289" s="8"/>
      <c r="V289" s="8"/>
      <c r="W289" s="8"/>
      <c r="X289" s="8"/>
      <c r="Y289" s="22"/>
      <c r="Z289" s="8"/>
      <c r="AA289" s="22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22"/>
      <c r="AP289" s="8"/>
      <c r="AQ289" s="22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22"/>
      <c r="U290" s="8"/>
      <c r="V290" s="8"/>
      <c r="W290" s="8"/>
      <c r="X290" s="8"/>
      <c r="Y290" s="22"/>
      <c r="Z290" s="8"/>
      <c r="AA290" s="22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22"/>
      <c r="AP290" s="8"/>
      <c r="AQ290" s="22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22"/>
      <c r="U291" s="8"/>
      <c r="V291" s="8"/>
      <c r="W291" s="8"/>
      <c r="X291" s="8"/>
      <c r="Y291" s="22"/>
      <c r="Z291" s="8"/>
      <c r="AA291" s="22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22"/>
      <c r="AP291" s="8"/>
      <c r="AQ291" s="22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22"/>
      <c r="U292" s="8"/>
      <c r="V292" s="8"/>
      <c r="W292" s="8"/>
      <c r="X292" s="8"/>
      <c r="Y292" s="22"/>
      <c r="Z292" s="8"/>
      <c r="AA292" s="22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22"/>
      <c r="AP292" s="8"/>
      <c r="AQ292" s="22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22"/>
      <c r="U293" s="8"/>
      <c r="V293" s="8"/>
      <c r="W293" s="8"/>
      <c r="X293" s="8"/>
      <c r="Y293" s="22"/>
      <c r="Z293" s="8"/>
      <c r="AA293" s="22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22"/>
      <c r="AP293" s="8"/>
      <c r="AQ293" s="22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22"/>
      <c r="U294" s="8"/>
      <c r="V294" s="8"/>
      <c r="W294" s="8"/>
      <c r="X294" s="8"/>
      <c r="Y294" s="22"/>
      <c r="Z294" s="8"/>
      <c r="AA294" s="22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22"/>
      <c r="AP294" s="8"/>
      <c r="AQ294" s="22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22"/>
      <c r="U295" s="8"/>
      <c r="V295" s="8"/>
      <c r="W295" s="8"/>
      <c r="X295" s="8"/>
      <c r="Y295" s="22"/>
      <c r="Z295" s="8"/>
      <c r="AA295" s="22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22"/>
      <c r="AP295" s="8"/>
      <c r="AQ295" s="22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22"/>
      <c r="U296" s="8"/>
      <c r="V296" s="8"/>
      <c r="W296" s="8"/>
      <c r="X296" s="8"/>
      <c r="Y296" s="22"/>
      <c r="Z296" s="8"/>
      <c r="AA296" s="22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22"/>
      <c r="AP296" s="8"/>
      <c r="AQ296" s="22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22"/>
      <c r="U297" s="8"/>
      <c r="V297" s="8"/>
      <c r="W297" s="8"/>
      <c r="X297" s="8"/>
      <c r="Y297" s="22"/>
      <c r="Z297" s="8"/>
      <c r="AA297" s="22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22"/>
      <c r="AP297" s="8"/>
      <c r="AQ297" s="22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22"/>
      <c r="U298" s="8"/>
      <c r="V298" s="8"/>
      <c r="W298" s="8"/>
      <c r="X298" s="8"/>
      <c r="Y298" s="22"/>
      <c r="Z298" s="8"/>
      <c r="AA298" s="22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22"/>
      <c r="AP298" s="8"/>
      <c r="AQ298" s="22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22"/>
      <c r="U299" s="8"/>
      <c r="V299" s="8"/>
      <c r="W299" s="8"/>
      <c r="X299" s="8"/>
      <c r="Y299" s="22"/>
      <c r="Z299" s="8"/>
      <c r="AA299" s="22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22"/>
      <c r="AP299" s="8"/>
      <c r="AQ299" s="22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22"/>
      <c r="U300" s="8"/>
      <c r="V300" s="8"/>
      <c r="W300" s="8"/>
      <c r="X300" s="8"/>
      <c r="Y300" s="22"/>
      <c r="Z300" s="8"/>
      <c r="AA300" s="22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22"/>
      <c r="AP300" s="8"/>
      <c r="AQ300" s="22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22"/>
      <c r="U301" s="8"/>
      <c r="V301" s="8"/>
      <c r="W301" s="8"/>
      <c r="X301" s="8"/>
      <c r="Y301" s="22"/>
      <c r="Z301" s="8"/>
      <c r="AA301" s="22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22"/>
      <c r="AP301" s="8"/>
      <c r="AQ301" s="22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22"/>
      <c r="U302" s="8"/>
      <c r="V302" s="8"/>
      <c r="W302" s="8"/>
      <c r="X302" s="8"/>
      <c r="Y302" s="22"/>
      <c r="Z302" s="8"/>
      <c r="AA302" s="22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22"/>
      <c r="AP302" s="8"/>
      <c r="AQ302" s="22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22"/>
      <c r="U303" s="8"/>
      <c r="V303" s="8"/>
      <c r="W303" s="8"/>
      <c r="X303" s="8"/>
      <c r="Y303" s="22"/>
      <c r="Z303" s="8"/>
      <c r="AA303" s="22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22"/>
      <c r="AP303" s="8"/>
      <c r="AQ303" s="22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22"/>
      <c r="U304" s="8"/>
      <c r="V304" s="8"/>
      <c r="W304" s="8"/>
      <c r="X304" s="8"/>
      <c r="Y304" s="22"/>
      <c r="Z304" s="8"/>
      <c r="AA304" s="22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22"/>
      <c r="AP304" s="8"/>
      <c r="AQ304" s="22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22"/>
      <c r="U305" s="8"/>
      <c r="V305" s="8"/>
      <c r="W305" s="8"/>
      <c r="X305" s="8"/>
      <c r="Y305" s="22"/>
      <c r="Z305" s="8"/>
      <c r="AA305" s="22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22"/>
      <c r="AP305" s="8"/>
      <c r="AQ305" s="22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22"/>
      <c r="U306" s="8"/>
      <c r="V306" s="8"/>
      <c r="W306" s="8"/>
      <c r="X306" s="8"/>
      <c r="Y306" s="22"/>
      <c r="Z306" s="8"/>
      <c r="AA306" s="22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22"/>
      <c r="AP306" s="8"/>
      <c r="AQ306" s="22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22"/>
      <c r="U307" s="8"/>
      <c r="V307" s="8"/>
      <c r="W307" s="8"/>
      <c r="X307" s="8"/>
      <c r="Y307" s="22"/>
      <c r="Z307" s="8"/>
      <c r="AA307" s="22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22"/>
      <c r="AP307" s="8"/>
      <c r="AQ307" s="22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22"/>
      <c r="U308" s="8"/>
      <c r="V308" s="8"/>
      <c r="W308" s="8"/>
      <c r="X308" s="8"/>
      <c r="Y308" s="22"/>
      <c r="Z308" s="8"/>
      <c r="AA308" s="22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22"/>
      <c r="AP308" s="8"/>
      <c r="AQ308" s="22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22"/>
      <c r="U309" s="8"/>
      <c r="V309" s="8"/>
      <c r="W309" s="8"/>
      <c r="X309" s="8"/>
      <c r="Y309" s="22"/>
      <c r="Z309" s="8"/>
      <c r="AA309" s="22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22"/>
      <c r="AP309" s="8"/>
      <c r="AQ309" s="22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22"/>
      <c r="U310" s="8"/>
      <c r="V310" s="8"/>
      <c r="W310" s="8"/>
      <c r="X310" s="8"/>
      <c r="Y310" s="22"/>
      <c r="Z310" s="8"/>
      <c r="AA310" s="22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22"/>
      <c r="AP310" s="8"/>
      <c r="AQ310" s="22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22"/>
      <c r="U311" s="8"/>
      <c r="V311" s="8"/>
      <c r="W311" s="8"/>
      <c r="X311" s="8"/>
      <c r="Y311" s="22"/>
      <c r="Z311" s="8"/>
      <c r="AA311" s="22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22"/>
      <c r="AP311" s="8"/>
      <c r="AQ311" s="22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22"/>
      <c r="U312" s="8"/>
      <c r="V312" s="8"/>
      <c r="W312" s="8"/>
      <c r="X312" s="8"/>
      <c r="Y312" s="22"/>
      <c r="Z312" s="8"/>
      <c r="AA312" s="22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22"/>
      <c r="AP312" s="8"/>
      <c r="AQ312" s="22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22"/>
      <c r="U313" s="8"/>
      <c r="V313" s="8"/>
      <c r="W313" s="8"/>
      <c r="X313" s="8"/>
      <c r="Y313" s="22"/>
      <c r="Z313" s="8"/>
      <c r="AA313" s="22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22"/>
      <c r="AP313" s="8"/>
      <c r="AQ313" s="22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22"/>
      <c r="U314" s="8"/>
      <c r="V314" s="8"/>
      <c r="W314" s="8"/>
      <c r="X314" s="8"/>
      <c r="Y314" s="22"/>
      <c r="Z314" s="8"/>
      <c r="AA314" s="22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22"/>
      <c r="AP314" s="8"/>
      <c r="AQ314" s="22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22"/>
      <c r="U315" s="8"/>
      <c r="V315" s="8"/>
      <c r="W315" s="8"/>
      <c r="X315" s="8"/>
      <c r="Y315" s="22"/>
      <c r="Z315" s="8"/>
      <c r="AA315" s="22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22"/>
      <c r="AP315" s="8"/>
      <c r="AQ315" s="22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22"/>
      <c r="U316" s="8"/>
      <c r="V316" s="8"/>
      <c r="W316" s="8"/>
      <c r="X316" s="8"/>
      <c r="Y316" s="22"/>
      <c r="Z316" s="8"/>
      <c r="AA316" s="22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22"/>
      <c r="AP316" s="8"/>
      <c r="AQ316" s="22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22"/>
      <c r="U317" s="8"/>
      <c r="V317" s="8"/>
      <c r="W317" s="8"/>
      <c r="X317" s="8"/>
      <c r="Y317" s="22"/>
      <c r="Z317" s="8"/>
      <c r="AA317" s="22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22"/>
      <c r="AP317" s="8"/>
      <c r="AQ317" s="22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22"/>
      <c r="U318" s="8"/>
      <c r="V318" s="8"/>
      <c r="W318" s="8"/>
      <c r="X318" s="8"/>
      <c r="Y318" s="22"/>
      <c r="Z318" s="8"/>
      <c r="AA318" s="22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22"/>
      <c r="AP318" s="8"/>
      <c r="AQ318" s="22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22"/>
      <c r="U319" s="8"/>
      <c r="V319" s="8"/>
      <c r="W319" s="8"/>
      <c r="X319" s="8"/>
      <c r="Y319" s="22"/>
      <c r="Z319" s="8"/>
      <c r="AA319" s="22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22"/>
      <c r="AP319" s="8"/>
      <c r="AQ319" s="22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22"/>
      <c r="U320" s="8"/>
      <c r="V320" s="8"/>
      <c r="W320" s="8"/>
      <c r="X320" s="8"/>
      <c r="Y320" s="22"/>
      <c r="Z320" s="8"/>
      <c r="AA320" s="22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22"/>
      <c r="AP320" s="8"/>
      <c r="AQ320" s="22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22"/>
      <c r="U321" s="8"/>
      <c r="V321" s="8"/>
      <c r="W321" s="8"/>
      <c r="X321" s="8"/>
      <c r="Y321" s="22"/>
      <c r="Z321" s="8"/>
      <c r="AA321" s="22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22"/>
      <c r="AP321" s="8"/>
      <c r="AQ321" s="22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22"/>
      <c r="U322" s="8"/>
      <c r="V322" s="8"/>
      <c r="W322" s="8"/>
      <c r="X322" s="8"/>
      <c r="Y322" s="22"/>
      <c r="Z322" s="8"/>
      <c r="AA322" s="22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22"/>
      <c r="AP322" s="8"/>
      <c r="AQ322" s="22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22"/>
      <c r="U323" s="8"/>
      <c r="V323" s="8"/>
      <c r="W323" s="8"/>
      <c r="X323" s="8"/>
      <c r="Y323" s="22"/>
      <c r="Z323" s="8"/>
      <c r="AA323" s="22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22"/>
      <c r="AP323" s="8"/>
      <c r="AQ323" s="22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22"/>
      <c r="U324" s="8"/>
      <c r="V324" s="8"/>
      <c r="W324" s="8"/>
      <c r="X324" s="8"/>
      <c r="Y324" s="22"/>
      <c r="Z324" s="8"/>
      <c r="AA324" s="22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22"/>
      <c r="AP324" s="8"/>
      <c r="AQ324" s="22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22"/>
      <c r="U325" s="8"/>
      <c r="V325" s="8"/>
      <c r="W325" s="8"/>
      <c r="X325" s="8"/>
      <c r="Y325" s="22"/>
      <c r="Z325" s="8"/>
      <c r="AA325" s="22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22"/>
      <c r="AP325" s="8"/>
      <c r="AQ325" s="22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22"/>
      <c r="U326" s="8"/>
      <c r="V326" s="8"/>
      <c r="W326" s="8"/>
      <c r="X326" s="8"/>
      <c r="Y326" s="22"/>
      <c r="Z326" s="8"/>
      <c r="AA326" s="22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22"/>
      <c r="AP326" s="8"/>
      <c r="AQ326" s="22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22"/>
      <c r="U327" s="8"/>
      <c r="V327" s="8"/>
      <c r="W327" s="8"/>
      <c r="X327" s="8"/>
      <c r="Y327" s="22"/>
      <c r="Z327" s="8"/>
      <c r="AA327" s="22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22"/>
      <c r="AP327" s="8"/>
      <c r="AQ327" s="22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22"/>
      <c r="U328" s="8"/>
      <c r="V328" s="8"/>
      <c r="W328" s="8"/>
      <c r="X328" s="8"/>
      <c r="Y328" s="22"/>
      <c r="Z328" s="8"/>
      <c r="AA328" s="22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22"/>
      <c r="AP328" s="8"/>
      <c r="AQ328" s="22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22"/>
      <c r="U329" s="8"/>
      <c r="V329" s="8"/>
      <c r="W329" s="8"/>
      <c r="X329" s="8"/>
      <c r="Y329" s="22"/>
      <c r="Z329" s="8"/>
      <c r="AA329" s="22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22"/>
      <c r="AP329" s="8"/>
      <c r="AQ329" s="22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22"/>
      <c r="U330" s="8"/>
      <c r="V330" s="8"/>
      <c r="W330" s="8"/>
      <c r="X330" s="8"/>
      <c r="Y330" s="22"/>
      <c r="Z330" s="8"/>
      <c r="AA330" s="22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22"/>
      <c r="AP330" s="8"/>
      <c r="AQ330" s="22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22"/>
      <c r="U331" s="8"/>
      <c r="V331" s="8"/>
      <c r="W331" s="8"/>
      <c r="X331" s="8"/>
      <c r="Y331" s="22"/>
      <c r="Z331" s="8"/>
      <c r="AA331" s="22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22"/>
      <c r="AP331" s="8"/>
      <c r="AQ331" s="22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22"/>
      <c r="U332" s="8"/>
      <c r="V332" s="8"/>
      <c r="W332" s="8"/>
      <c r="X332" s="8"/>
      <c r="Y332" s="22"/>
      <c r="Z332" s="8"/>
      <c r="AA332" s="22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22"/>
      <c r="AP332" s="8"/>
      <c r="AQ332" s="22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22"/>
      <c r="U333" s="8"/>
      <c r="V333" s="8"/>
      <c r="W333" s="8"/>
      <c r="X333" s="8"/>
      <c r="Y333" s="22"/>
      <c r="Z333" s="8"/>
      <c r="AA333" s="22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22"/>
      <c r="AP333" s="8"/>
      <c r="AQ333" s="22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22"/>
      <c r="U334" s="8"/>
      <c r="V334" s="8"/>
      <c r="W334" s="8"/>
      <c r="X334" s="8"/>
      <c r="Y334" s="22"/>
      <c r="Z334" s="8"/>
      <c r="AA334" s="22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22"/>
      <c r="AP334" s="8"/>
      <c r="AQ334" s="22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22"/>
      <c r="U335" s="8"/>
      <c r="V335" s="8"/>
      <c r="W335" s="8"/>
      <c r="X335" s="8"/>
      <c r="Y335" s="22"/>
      <c r="Z335" s="8"/>
      <c r="AA335" s="22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22"/>
      <c r="AP335" s="8"/>
      <c r="AQ335" s="22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22"/>
      <c r="U336" s="8"/>
      <c r="V336" s="8"/>
      <c r="W336" s="8"/>
      <c r="X336" s="8"/>
      <c r="Y336" s="22"/>
      <c r="Z336" s="8"/>
      <c r="AA336" s="22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22"/>
      <c r="AP336" s="8"/>
      <c r="AQ336" s="22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22"/>
      <c r="U337" s="8"/>
      <c r="V337" s="8"/>
      <c r="W337" s="8"/>
      <c r="X337" s="8"/>
      <c r="Y337" s="22"/>
      <c r="Z337" s="8"/>
      <c r="AA337" s="22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22"/>
      <c r="AP337" s="8"/>
      <c r="AQ337" s="22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22"/>
      <c r="U338" s="8"/>
      <c r="V338" s="8"/>
      <c r="W338" s="8"/>
      <c r="X338" s="8"/>
      <c r="Y338" s="22"/>
      <c r="Z338" s="8"/>
      <c r="AA338" s="22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22"/>
      <c r="AP338" s="8"/>
      <c r="AQ338" s="22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22"/>
      <c r="U339" s="8"/>
      <c r="V339" s="8"/>
      <c r="W339" s="8"/>
      <c r="X339" s="8"/>
      <c r="Y339" s="22"/>
      <c r="Z339" s="8"/>
      <c r="AA339" s="22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22"/>
      <c r="AP339" s="8"/>
      <c r="AQ339" s="22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22"/>
      <c r="U340" s="8"/>
      <c r="V340" s="8"/>
      <c r="W340" s="8"/>
      <c r="X340" s="8"/>
      <c r="Y340" s="22"/>
      <c r="Z340" s="8"/>
      <c r="AA340" s="22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22"/>
      <c r="AP340" s="8"/>
      <c r="AQ340" s="22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22"/>
      <c r="U341" s="8"/>
      <c r="V341" s="8"/>
      <c r="W341" s="8"/>
      <c r="X341" s="8"/>
      <c r="Y341" s="22"/>
      <c r="Z341" s="8"/>
      <c r="AA341" s="22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22"/>
      <c r="AP341" s="8"/>
      <c r="AQ341" s="22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22"/>
      <c r="U342" s="8"/>
      <c r="V342" s="8"/>
      <c r="W342" s="8"/>
      <c r="X342" s="8"/>
      <c r="Y342" s="22"/>
      <c r="Z342" s="8"/>
      <c r="AA342" s="22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22"/>
      <c r="AP342" s="8"/>
      <c r="AQ342" s="22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22"/>
      <c r="U343" s="8"/>
      <c r="V343" s="8"/>
      <c r="W343" s="8"/>
      <c r="X343" s="8"/>
      <c r="Y343" s="22"/>
      <c r="Z343" s="8"/>
      <c r="AA343" s="22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22"/>
      <c r="AP343" s="8"/>
      <c r="AQ343" s="22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22"/>
      <c r="U344" s="8"/>
      <c r="V344" s="8"/>
      <c r="W344" s="8"/>
      <c r="X344" s="8"/>
      <c r="Y344" s="22"/>
      <c r="Z344" s="8"/>
      <c r="AA344" s="22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22"/>
      <c r="AP344" s="8"/>
      <c r="AQ344" s="22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22"/>
      <c r="U345" s="8"/>
      <c r="V345" s="8"/>
      <c r="W345" s="8"/>
      <c r="X345" s="8"/>
      <c r="Y345" s="22"/>
      <c r="Z345" s="8"/>
      <c r="AA345" s="22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22"/>
      <c r="AP345" s="8"/>
      <c r="AQ345" s="22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22"/>
      <c r="U346" s="8"/>
      <c r="V346" s="8"/>
      <c r="W346" s="8"/>
      <c r="X346" s="8"/>
      <c r="Y346" s="22"/>
      <c r="Z346" s="8"/>
      <c r="AA346" s="22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22"/>
      <c r="AP346" s="8"/>
      <c r="AQ346" s="22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22"/>
      <c r="U347" s="8"/>
      <c r="V347" s="8"/>
      <c r="W347" s="8"/>
      <c r="X347" s="8"/>
      <c r="Y347" s="22"/>
      <c r="Z347" s="8"/>
      <c r="AA347" s="22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22"/>
      <c r="AP347" s="8"/>
      <c r="AQ347" s="22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22"/>
      <c r="U348" s="8"/>
      <c r="V348" s="8"/>
      <c r="W348" s="8"/>
      <c r="X348" s="8"/>
      <c r="Y348" s="22"/>
      <c r="Z348" s="8"/>
      <c r="AA348" s="22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22"/>
      <c r="AP348" s="8"/>
      <c r="AQ348" s="22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22"/>
      <c r="U349" s="8"/>
      <c r="V349" s="8"/>
      <c r="W349" s="8"/>
      <c r="X349" s="8"/>
      <c r="Y349" s="22"/>
      <c r="Z349" s="8"/>
      <c r="AA349" s="22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22"/>
      <c r="AP349" s="8"/>
      <c r="AQ349" s="22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22"/>
      <c r="U350" s="8"/>
      <c r="V350" s="8"/>
      <c r="W350" s="8"/>
      <c r="X350" s="8"/>
      <c r="Y350" s="22"/>
      <c r="Z350" s="8"/>
      <c r="AA350" s="22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22"/>
      <c r="AP350" s="8"/>
      <c r="AQ350" s="22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22"/>
      <c r="U351" s="8"/>
      <c r="V351" s="8"/>
      <c r="W351" s="8"/>
      <c r="X351" s="8"/>
      <c r="Y351" s="22"/>
      <c r="Z351" s="8"/>
      <c r="AA351" s="22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22"/>
      <c r="AP351" s="8"/>
      <c r="AQ351" s="22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22"/>
      <c r="U352" s="8"/>
      <c r="V352" s="8"/>
      <c r="W352" s="8"/>
      <c r="X352" s="8"/>
      <c r="Y352" s="22"/>
      <c r="Z352" s="8"/>
      <c r="AA352" s="22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22"/>
      <c r="AP352" s="8"/>
      <c r="AQ352" s="22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22"/>
      <c r="U353" s="8"/>
      <c r="V353" s="8"/>
      <c r="W353" s="8"/>
      <c r="X353" s="8"/>
      <c r="Y353" s="22"/>
      <c r="Z353" s="8"/>
      <c r="AA353" s="22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22"/>
      <c r="AP353" s="8"/>
      <c r="AQ353" s="22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22"/>
      <c r="U354" s="8"/>
      <c r="V354" s="8"/>
      <c r="W354" s="8"/>
      <c r="X354" s="8"/>
      <c r="Y354" s="22"/>
      <c r="Z354" s="8"/>
      <c r="AA354" s="22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22"/>
      <c r="AP354" s="8"/>
      <c r="AQ354" s="22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22"/>
      <c r="U355" s="8"/>
      <c r="V355" s="8"/>
      <c r="W355" s="8"/>
      <c r="X355" s="8"/>
      <c r="Y355" s="22"/>
      <c r="Z355" s="8"/>
      <c r="AA355" s="22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22"/>
      <c r="AP355" s="8"/>
      <c r="AQ355" s="22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22"/>
      <c r="U356" s="8"/>
      <c r="V356" s="8"/>
      <c r="W356" s="8"/>
      <c r="X356" s="8"/>
      <c r="Y356" s="22"/>
      <c r="Z356" s="8"/>
      <c r="AA356" s="22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22"/>
      <c r="AP356" s="8"/>
      <c r="AQ356" s="22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22"/>
      <c r="U357" s="8"/>
      <c r="V357" s="8"/>
      <c r="W357" s="8"/>
      <c r="X357" s="8"/>
      <c r="Y357" s="22"/>
      <c r="Z357" s="8"/>
      <c r="AA357" s="22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22"/>
      <c r="AP357" s="8"/>
      <c r="AQ357" s="22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22"/>
      <c r="U358" s="8"/>
      <c r="V358" s="8"/>
      <c r="W358" s="8"/>
      <c r="X358" s="8"/>
      <c r="Y358" s="22"/>
      <c r="Z358" s="8"/>
      <c r="AA358" s="22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22"/>
      <c r="AP358" s="8"/>
      <c r="AQ358" s="22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22"/>
      <c r="U359" s="8"/>
      <c r="V359" s="8"/>
      <c r="W359" s="8"/>
      <c r="X359" s="8"/>
      <c r="Y359" s="22"/>
      <c r="Z359" s="8"/>
      <c r="AA359" s="22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22"/>
      <c r="AP359" s="8"/>
      <c r="AQ359" s="22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22"/>
      <c r="U360" s="8"/>
      <c r="V360" s="8"/>
      <c r="W360" s="8"/>
      <c r="X360" s="8"/>
      <c r="Y360" s="22"/>
      <c r="Z360" s="8"/>
      <c r="AA360" s="22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22"/>
      <c r="AP360" s="8"/>
      <c r="AQ360" s="22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22"/>
      <c r="U361" s="8"/>
      <c r="V361" s="8"/>
      <c r="W361" s="8"/>
      <c r="X361" s="8"/>
      <c r="Y361" s="22"/>
      <c r="Z361" s="8"/>
      <c r="AA361" s="22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22"/>
      <c r="AP361" s="8"/>
      <c r="AQ361" s="22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22"/>
      <c r="U362" s="8"/>
      <c r="V362" s="8"/>
      <c r="W362" s="8"/>
      <c r="X362" s="8"/>
      <c r="Y362" s="22"/>
      <c r="Z362" s="8"/>
      <c r="AA362" s="22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22"/>
      <c r="AP362" s="8"/>
      <c r="AQ362" s="22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22"/>
      <c r="U363" s="8"/>
      <c r="V363" s="8"/>
      <c r="W363" s="8"/>
      <c r="X363" s="8"/>
      <c r="Y363" s="22"/>
      <c r="Z363" s="8"/>
      <c r="AA363" s="22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22"/>
      <c r="AP363" s="8"/>
      <c r="AQ363" s="22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22"/>
      <c r="U364" s="8"/>
      <c r="V364" s="8"/>
      <c r="W364" s="8"/>
      <c r="X364" s="8"/>
      <c r="Y364" s="22"/>
      <c r="Z364" s="8"/>
      <c r="AA364" s="22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22"/>
      <c r="AP364" s="8"/>
      <c r="AQ364" s="22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22"/>
      <c r="U365" s="8"/>
      <c r="V365" s="8"/>
      <c r="W365" s="8"/>
      <c r="X365" s="8"/>
      <c r="Y365" s="22"/>
      <c r="Z365" s="8"/>
      <c r="AA365" s="22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22"/>
      <c r="AP365" s="8"/>
      <c r="AQ365" s="22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22"/>
      <c r="U366" s="8"/>
      <c r="V366" s="8"/>
      <c r="W366" s="8"/>
      <c r="X366" s="8"/>
      <c r="Y366" s="22"/>
      <c r="Z366" s="8"/>
      <c r="AA366" s="22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22"/>
      <c r="AP366" s="8"/>
      <c r="AQ366" s="22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22"/>
      <c r="U367" s="8"/>
      <c r="V367" s="8"/>
      <c r="W367" s="8"/>
      <c r="X367" s="8"/>
      <c r="Y367" s="22"/>
      <c r="Z367" s="8"/>
      <c r="AA367" s="22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22"/>
      <c r="AP367" s="8"/>
      <c r="AQ367" s="22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22"/>
      <c r="U368" s="8"/>
      <c r="V368" s="8"/>
      <c r="W368" s="8"/>
      <c r="X368" s="8"/>
      <c r="Y368" s="22"/>
      <c r="Z368" s="8"/>
      <c r="AA368" s="22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22"/>
      <c r="AP368" s="8"/>
      <c r="AQ368" s="22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22"/>
      <c r="U369" s="8"/>
      <c r="V369" s="8"/>
      <c r="W369" s="8"/>
      <c r="X369" s="8"/>
      <c r="Y369" s="22"/>
      <c r="Z369" s="8"/>
      <c r="AA369" s="22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22"/>
      <c r="AP369" s="8"/>
      <c r="AQ369" s="22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22"/>
      <c r="U370" s="8"/>
      <c r="V370" s="8"/>
      <c r="W370" s="8"/>
      <c r="X370" s="8"/>
      <c r="Y370" s="22"/>
      <c r="Z370" s="8"/>
      <c r="AA370" s="22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22"/>
      <c r="AP370" s="8"/>
      <c r="AQ370" s="22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22"/>
      <c r="U371" s="8"/>
      <c r="V371" s="8"/>
      <c r="W371" s="8"/>
      <c r="X371" s="8"/>
      <c r="Y371" s="22"/>
      <c r="Z371" s="8"/>
      <c r="AA371" s="22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22"/>
      <c r="AP371" s="8"/>
      <c r="AQ371" s="22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22"/>
      <c r="U372" s="8"/>
      <c r="V372" s="8"/>
      <c r="W372" s="8"/>
      <c r="X372" s="8"/>
      <c r="Y372" s="22"/>
      <c r="Z372" s="8"/>
      <c r="AA372" s="22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22"/>
      <c r="AP372" s="8"/>
      <c r="AQ372" s="22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22"/>
      <c r="U373" s="8"/>
      <c r="V373" s="8"/>
      <c r="W373" s="8"/>
      <c r="X373" s="8"/>
      <c r="Y373" s="22"/>
      <c r="Z373" s="8"/>
      <c r="AA373" s="22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22"/>
      <c r="AP373" s="8"/>
      <c r="AQ373" s="22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22"/>
      <c r="U374" s="8"/>
      <c r="V374" s="8"/>
      <c r="W374" s="8"/>
      <c r="X374" s="8"/>
      <c r="Y374" s="22"/>
      <c r="Z374" s="8"/>
      <c r="AA374" s="22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22"/>
      <c r="AP374" s="8"/>
      <c r="AQ374" s="22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22"/>
      <c r="U375" s="8"/>
      <c r="V375" s="8"/>
      <c r="W375" s="8"/>
      <c r="X375" s="8"/>
      <c r="Y375" s="22"/>
      <c r="Z375" s="8"/>
      <c r="AA375" s="22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22"/>
      <c r="AP375" s="8"/>
      <c r="AQ375" s="22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22"/>
      <c r="U376" s="8"/>
      <c r="V376" s="8"/>
      <c r="W376" s="8"/>
      <c r="X376" s="8"/>
      <c r="Y376" s="22"/>
      <c r="Z376" s="8"/>
      <c r="AA376" s="22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22"/>
      <c r="AP376" s="8"/>
      <c r="AQ376" s="22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22"/>
      <c r="U377" s="8"/>
      <c r="V377" s="8"/>
      <c r="W377" s="8"/>
      <c r="X377" s="8"/>
      <c r="Y377" s="22"/>
      <c r="Z377" s="8"/>
      <c r="AA377" s="22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22"/>
      <c r="AP377" s="8"/>
      <c r="AQ377" s="22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22"/>
      <c r="U378" s="8"/>
      <c r="V378" s="8"/>
      <c r="W378" s="8"/>
      <c r="X378" s="8"/>
      <c r="Y378" s="22"/>
      <c r="Z378" s="8"/>
      <c r="AA378" s="22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22"/>
      <c r="AP378" s="8"/>
      <c r="AQ378" s="22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22"/>
      <c r="U379" s="8"/>
      <c r="V379" s="8"/>
      <c r="W379" s="8"/>
      <c r="X379" s="8"/>
      <c r="Y379" s="22"/>
      <c r="Z379" s="8"/>
      <c r="AA379" s="22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22"/>
      <c r="AP379" s="8"/>
      <c r="AQ379" s="22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22"/>
      <c r="U380" s="8"/>
      <c r="V380" s="8"/>
      <c r="W380" s="8"/>
      <c r="X380" s="8"/>
      <c r="Y380" s="22"/>
      <c r="Z380" s="8"/>
      <c r="AA380" s="22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22"/>
      <c r="AP380" s="8"/>
      <c r="AQ380" s="22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22"/>
      <c r="U381" s="8"/>
      <c r="V381" s="8"/>
      <c r="W381" s="8"/>
      <c r="X381" s="8"/>
      <c r="Y381" s="22"/>
      <c r="Z381" s="8"/>
      <c r="AA381" s="22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22"/>
      <c r="AP381" s="8"/>
      <c r="AQ381" s="22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22"/>
      <c r="U382" s="8"/>
      <c r="V382" s="8"/>
      <c r="W382" s="8"/>
      <c r="X382" s="8"/>
      <c r="Y382" s="22"/>
      <c r="Z382" s="8"/>
      <c r="AA382" s="22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22"/>
      <c r="AP382" s="8"/>
      <c r="AQ382" s="22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22"/>
      <c r="U383" s="8"/>
      <c r="V383" s="8"/>
      <c r="W383" s="8"/>
      <c r="X383" s="8"/>
      <c r="Y383" s="22"/>
      <c r="Z383" s="8"/>
      <c r="AA383" s="22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22"/>
      <c r="AP383" s="8"/>
      <c r="AQ383" s="22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22"/>
      <c r="U384" s="8"/>
      <c r="V384" s="8"/>
      <c r="W384" s="8"/>
      <c r="X384" s="8"/>
      <c r="Y384" s="22"/>
      <c r="Z384" s="8"/>
      <c r="AA384" s="22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22"/>
      <c r="AP384" s="8"/>
      <c r="AQ384" s="22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22"/>
      <c r="U385" s="8"/>
      <c r="V385" s="8"/>
      <c r="W385" s="8"/>
      <c r="X385" s="8"/>
      <c r="Y385" s="22"/>
      <c r="Z385" s="8"/>
      <c r="AA385" s="22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22"/>
      <c r="AP385" s="8"/>
      <c r="AQ385" s="22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22"/>
      <c r="U386" s="8"/>
      <c r="V386" s="8"/>
      <c r="W386" s="8"/>
      <c r="X386" s="8"/>
      <c r="Y386" s="22"/>
      <c r="Z386" s="8"/>
      <c r="AA386" s="22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22"/>
      <c r="AP386" s="8"/>
      <c r="AQ386" s="22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22"/>
      <c r="U387" s="8"/>
      <c r="V387" s="8"/>
      <c r="W387" s="8"/>
      <c r="X387" s="8"/>
      <c r="Y387" s="22"/>
      <c r="Z387" s="8"/>
      <c r="AA387" s="22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22"/>
      <c r="AP387" s="8"/>
      <c r="AQ387" s="22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22"/>
      <c r="U388" s="8"/>
      <c r="V388" s="8"/>
      <c r="W388" s="8"/>
      <c r="X388" s="8"/>
      <c r="Y388" s="22"/>
      <c r="Z388" s="8"/>
      <c r="AA388" s="22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22"/>
      <c r="AP388" s="8"/>
      <c r="AQ388" s="22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22"/>
      <c r="U389" s="8"/>
      <c r="V389" s="8"/>
      <c r="W389" s="8"/>
      <c r="X389" s="8"/>
      <c r="Y389" s="22"/>
      <c r="Z389" s="8"/>
      <c r="AA389" s="22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22"/>
      <c r="AP389" s="8"/>
      <c r="AQ389" s="22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22"/>
      <c r="U390" s="8"/>
      <c r="V390" s="8"/>
      <c r="W390" s="8"/>
      <c r="X390" s="8"/>
      <c r="Y390" s="22"/>
      <c r="Z390" s="8"/>
      <c r="AA390" s="22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22"/>
      <c r="AP390" s="8"/>
      <c r="AQ390" s="22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22"/>
      <c r="U391" s="8"/>
      <c r="V391" s="8"/>
      <c r="W391" s="8"/>
      <c r="X391" s="8"/>
      <c r="Y391" s="22"/>
      <c r="Z391" s="8"/>
      <c r="AA391" s="22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22"/>
      <c r="AP391" s="8"/>
      <c r="AQ391" s="22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22"/>
      <c r="U392" s="8"/>
      <c r="V392" s="8"/>
      <c r="W392" s="8"/>
      <c r="X392" s="8"/>
      <c r="Y392" s="22"/>
      <c r="Z392" s="8"/>
      <c r="AA392" s="22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22"/>
      <c r="AP392" s="8"/>
      <c r="AQ392" s="22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22"/>
      <c r="U393" s="8"/>
      <c r="V393" s="8"/>
      <c r="W393" s="8"/>
      <c r="X393" s="8"/>
      <c r="Y393" s="22"/>
      <c r="Z393" s="8"/>
      <c r="AA393" s="22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22"/>
      <c r="AP393" s="8"/>
      <c r="AQ393" s="22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22"/>
      <c r="U394" s="8"/>
      <c r="V394" s="8"/>
      <c r="W394" s="8"/>
      <c r="X394" s="8"/>
      <c r="Y394" s="22"/>
      <c r="Z394" s="8"/>
      <c r="AA394" s="22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22"/>
      <c r="AP394" s="8"/>
      <c r="AQ394" s="22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22"/>
      <c r="U395" s="8"/>
      <c r="V395" s="8"/>
      <c r="W395" s="8"/>
      <c r="X395" s="8"/>
      <c r="Y395" s="22"/>
      <c r="Z395" s="8"/>
      <c r="AA395" s="22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22"/>
      <c r="AP395" s="8"/>
      <c r="AQ395" s="22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22"/>
      <c r="U396" s="8"/>
      <c r="V396" s="8"/>
      <c r="W396" s="8"/>
      <c r="X396" s="8"/>
      <c r="Y396" s="22"/>
      <c r="Z396" s="8"/>
      <c r="AA396" s="22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22"/>
      <c r="AP396" s="8"/>
      <c r="AQ396" s="22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22"/>
      <c r="U397" s="8"/>
      <c r="V397" s="8"/>
      <c r="W397" s="8"/>
      <c r="X397" s="8"/>
      <c r="Y397" s="22"/>
      <c r="Z397" s="8"/>
      <c r="AA397" s="22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22"/>
      <c r="AP397" s="8"/>
      <c r="AQ397" s="22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22"/>
      <c r="U398" s="8"/>
      <c r="V398" s="8"/>
      <c r="W398" s="8"/>
      <c r="X398" s="8"/>
      <c r="Y398" s="22"/>
      <c r="Z398" s="8"/>
      <c r="AA398" s="22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22"/>
      <c r="AP398" s="8"/>
      <c r="AQ398" s="22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22"/>
      <c r="U399" s="8"/>
      <c r="V399" s="8"/>
      <c r="W399" s="8"/>
      <c r="X399" s="8"/>
      <c r="Y399" s="22"/>
      <c r="Z399" s="8"/>
      <c r="AA399" s="22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22"/>
      <c r="AP399" s="8"/>
      <c r="AQ399" s="22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22"/>
      <c r="U400" s="8"/>
      <c r="V400" s="8"/>
      <c r="W400" s="8"/>
      <c r="X400" s="8"/>
      <c r="Y400" s="22"/>
      <c r="Z400" s="8"/>
      <c r="AA400" s="22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22"/>
      <c r="AP400" s="8"/>
      <c r="AQ400" s="22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22"/>
      <c r="U401" s="8"/>
      <c r="V401" s="8"/>
      <c r="W401" s="8"/>
      <c r="X401" s="8"/>
      <c r="Y401" s="22"/>
      <c r="Z401" s="8"/>
      <c r="AA401" s="22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22"/>
      <c r="AP401" s="8"/>
      <c r="AQ401" s="22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22"/>
      <c r="U402" s="8"/>
      <c r="V402" s="8"/>
      <c r="W402" s="8"/>
      <c r="X402" s="8"/>
      <c r="Y402" s="22"/>
      <c r="Z402" s="8"/>
      <c r="AA402" s="22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22"/>
      <c r="AP402" s="8"/>
      <c r="AQ402" s="22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22"/>
      <c r="U403" s="8"/>
      <c r="V403" s="8"/>
      <c r="W403" s="8"/>
      <c r="X403" s="8"/>
      <c r="Y403" s="22"/>
      <c r="Z403" s="8"/>
      <c r="AA403" s="22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22"/>
      <c r="AP403" s="8"/>
      <c r="AQ403" s="22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22"/>
      <c r="U404" s="8"/>
      <c r="V404" s="8"/>
      <c r="W404" s="8"/>
      <c r="X404" s="8"/>
      <c r="Y404" s="22"/>
      <c r="Z404" s="8"/>
      <c r="AA404" s="22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22"/>
      <c r="AP404" s="8"/>
      <c r="AQ404" s="22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22"/>
      <c r="U405" s="8"/>
      <c r="V405" s="8"/>
      <c r="W405" s="8"/>
      <c r="X405" s="8"/>
      <c r="Y405" s="22"/>
      <c r="Z405" s="8"/>
      <c r="AA405" s="22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22"/>
      <c r="AP405" s="8"/>
      <c r="AQ405" s="22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22"/>
      <c r="U406" s="8"/>
      <c r="V406" s="8"/>
      <c r="W406" s="8"/>
      <c r="X406" s="8"/>
      <c r="Y406" s="22"/>
      <c r="Z406" s="8"/>
      <c r="AA406" s="22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22"/>
      <c r="AP406" s="8"/>
      <c r="AQ406" s="22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22"/>
      <c r="U407" s="8"/>
      <c r="V407" s="8"/>
      <c r="W407" s="8"/>
      <c r="X407" s="8"/>
      <c r="Y407" s="22"/>
      <c r="Z407" s="8"/>
      <c r="AA407" s="22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22"/>
      <c r="AP407" s="8"/>
      <c r="AQ407" s="22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22"/>
      <c r="U408" s="8"/>
      <c r="V408" s="8"/>
      <c r="W408" s="8"/>
      <c r="X408" s="8"/>
      <c r="Y408" s="22"/>
      <c r="Z408" s="8"/>
      <c r="AA408" s="22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22"/>
      <c r="AP408" s="8"/>
      <c r="AQ408" s="22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22"/>
      <c r="U409" s="8"/>
      <c r="V409" s="8"/>
      <c r="W409" s="8"/>
      <c r="X409" s="8"/>
      <c r="Y409" s="22"/>
      <c r="Z409" s="8"/>
      <c r="AA409" s="22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22"/>
      <c r="AP409" s="8"/>
      <c r="AQ409" s="22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22"/>
      <c r="U410" s="8"/>
      <c r="V410" s="8"/>
      <c r="W410" s="8"/>
      <c r="X410" s="8"/>
      <c r="Y410" s="22"/>
      <c r="Z410" s="8"/>
      <c r="AA410" s="22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22"/>
      <c r="AP410" s="8"/>
      <c r="AQ410" s="22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22"/>
      <c r="U411" s="8"/>
      <c r="V411" s="8"/>
      <c r="W411" s="8"/>
      <c r="X411" s="8"/>
      <c r="Y411" s="22"/>
      <c r="Z411" s="8"/>
      <c r="AA411" s="22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22"/>
      <c r="AP411" s="8"/>
      <c r="AQ411" s="22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22"/>
      <c r="U412" s="8"/>
      <c r="V412" s="8"/>
      <c r="W412" s="8"/>
      <c r="X412" s="8"/>
      <c r="Y412" s="22"/>
      <c r="Z412" s="8"/>
      <c r="AA412" s="22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22"/>
      <c r="AP412" s="8"/>
      <c r="AQ412" s="22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22"/>
      <c r="U413" s="8"/>
      <c r="V413" s="8"/>
      <c r="W413" s="8"/>
      <c r="X413" s="8"/>
      <c r="Y413" s="22"/>
      <c r="Z413" s="8"/>
      <c r="AA413" s="22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22"/>
      <c r="AP413" s="8"/>
      <c r="AQ413" s="22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22"/>
      <c r="U414" s="8"/>
      <c r="V414" s="8"/>
      <c r="W414" s="8"/>
      <c r="X414" s="8"/>
      <c r="Y414" s="22"/>
      <c r="Z414" s="8"/>
      <c r="AA414" s="22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22"/>
      <c r="AP414" s="8"/>
      <c r="AQ414" s="22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22"/>
      <c r="U415" s="8"/>
      <c r="V415" s="8"/>
      <c r="W415" s="8"/>
      <c r="X415" s="8"/>
      <c r="Y415" s="22"/>
      <c r="Z415" s="8"/>
      <c r="AA415" s="22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22"/>
      <c r="AP415" s="8"/>
      <c r="AQ415" s="22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22"/>
      <c r="U416" s="8"/>
      <c r="V416" s="8"/>
      <c r="W416" s="8"/>
      <c r="X416" s="8"/>
      <c r="Y416" s="22"/>
      <c r="Z416" s="8"/>
      <c r="AA416" s="22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22"/>
      <c r="AP416" s="8"/>
      <c r="AQ416" s="22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22"/>
      <c r="U417" s="8"/>
      <c r="V417" s="8"/>
      <c r="W417" s="8"/>
      <c r="X417" s="8"/>
      <c r="Y417" s="22"/>
      <c r="Z417" s="8"/>
      <c r="AA417" s="22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22"/>
      <c r="AP417" s="8"/>
      <c r="AQ417" s="22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22"/>
      <c r="U418" s="8"/>
      <c r="V418" s="8"/>
      <c r="W418" s="8"/>
      <c r="X418" s="8"/>
      <c r="Y418" s="22"/>
      <c r="Z418" s="8"/>
      <c r="AA418" s="22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22"/>
      <c r="AP418" s="8"/>
      <c r="AQ418" s="22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22"/>
      <c r="U419" s="8"/>
      <c r="V419" s="8"/>
      <c r="W419" s="8"/>
      <c r="X419" s="8"/>
      <c r="Y419" s="22"/>
      <c r="Z419" s="8"/>
      <c r="AA419" s="22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22"/>
      <c r="AP419" s="8"/>
      <c r="AQ419" s="22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22"/>
      <c r="U420" s="8"/>
      <c r="V420" s="8"/>
      <c r="W420" s="8"/>
      <c r="X420" s="8"/>
      <c r="Y420" s="22"/>
      <c r="Z420" s="8"/>
      <c r="AA420" s="22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22"/>
      <c r="AP420" s="8"/>
      <c r="AQ420" s="22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22"/>
      <c r="U421" s="8"/>
      <c r="V421" s="8"/>
      <c r="W421" s="8"/>
      <c r="X421" s="8"/>
      <c r="Y421" s="22"/>
      <c r="Z421" s="8"/>
      <c r="AA421" s="22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22"/>
      <c r="AP421" s="8"/>
      <c r="AQ421" s="22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22"/>
      <c r="U422" s="8"/>
      <c r="V422" s="8"/>
      <c r="W422" s="8"/>
      <c r="X422" s="8"/>
      <c r="Y422" s="22"/>
      <c r="Z422" s="8"/>
      <c r="AA422" s="22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22"/>
      <c r="AP422" s="8"/>
      <c r="AQ422" s="22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22"/>
      <c r="U423" s="8"/>
      <c r="V423" s="8"/>
      <c r="W423" s="8"/>
      <c r="X423" s="8"/>
      <c r="Y423" s="22"/>
      <c r="Z423" s="8"/>
      <c r="AA423" s="22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22"/>
      <c r="AP423" s="8"/>
      <c r="AQ423" s="22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22"/>
      <c r="U424" s="8"/>
      <c r="V424" s="8"/>
      <c r="W424" s="8"/>
      <c r="X424" s="8"/>
      <c r="Y424" s="22"/>
      <c r="Z424" s="8"/>
      <c r="AA424" s="22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22"/>
      <c r="AP424" s="8"/>
      <c r="AQ424" s="22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22"/>
      <c r="U425" s="8"/>
      <c r="V425" s="8"/>
      <c r="W425" s="8"/>
      <c r="X425" s="8"/>
      <c r="Y425" s="22"/>
      <c r="Z425" s="8"/>
      <c r="AA425" s="22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22"/>
      <c r="AP425" s="8"/>
      <c r="AQ425" s="22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22"/>
      <c r="U426" s="8"/>
      <c r="V426" s="8"/>
      <c r="W426" s="8"/>
      <c r="X426" s="8"/>
      <c r="Y426" s="22"/>
      <c r="Z426" s="8"/>
      <c r="AA426" s="22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22"/>
      <c r="AP426" s="8"/>
      <c r="AQ426" s="22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22"/>
      <c r="U427" s="8"/>
      <c r="V427" s="8"/>
      <c r="W427" s="8"/>
      <c r="X427" s="8"/>
      <c r="Y427" s="22"/>
      <c r="Z427" s="8"/>
      <c r="AA427" s="22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22"/>
      <c r="AP427" s="8"/>
      <c r="AQ427" s="22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22"/>
      <c r="U428" s="8"/>
      <c r="V428" s="8"/>
      <c r="W428" s="8"/>
      <c r="X428" s="8"/>
      <c r="Y428" s="22"/>
      <c r="Z428" s="8"/>
      <c r="AA428" s="22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22"/>
      <c r="AP428" s="8"/>
      <c r="AQ428" s="22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22"/>
      <c r="U429" s="8"/>
      <c r="V429" s="8"/>
      <c r="W429" s="8"/>
      <c r="X429" s="8"/>
      <c r="Y429" s="22"/>
      <c r="Z429" s="8"/>
      <c r="AA429" s="22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22"/>
      <c r="AP429" s="8"/>
      <c r="AQ429" s="22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22"/>
      <c r="U430" s="8"/>
      <c r="V430" s="8"/>
      <c r="W430" s="8"/>
      <c r="X430" s="8"/>
      <c r="Y430" s="22"/>
      <c r="Z430" s="8"/>
      <c r="AA430" s="22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22"/>
      <c r="AP430" s="8"/>
      <c r="AQ430" s="22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22"/>
      <c r="U431" s="8"/>
      <c r="V431" s="8"/>
      <c r="W431" s="8"/>
      <c r="X431" s="8"/>
      <c r="Y431" s="22"/>
      <c r="Z431" s="8"/>
      <c r="AA431" s="22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22"/>
      <c r="AP431" s="8"/>
      <c r="AQ431" s="22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22"/>
      <c r="U432" s="8"/>
      <c r="V432" s="8"/>
      <c r="W432" s="8"/>
      <c r="X432" s="8"/>
      <c r="Y432" s="22"/>
      <c r="Z432" s="8"/>
      <c r="AA432" s="22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22"/>
      <c r="AP432" s="8"/>
      <c r="AQ432" s="22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22"/>
      <c r="U433" s="8"/>
      <c r="V433" s="8"/>
      <c r="W433" s="8"/>
      <c r="X433" s="8"/>
      <c r="Y433" s="22"/>
      <c r="Z433" s="8"/>
      <c r="AA433" s="22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22"/>
      <c r="AP433" s="8"/>
      <c r="AQ433" s="22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22"/>
      <c r="U434" s="8"/>
      <c r="V434" s="8"/>
      <c r="W434" s="8"/>
      <c r="X434" s="8"/>
      <c r="Y434" s="22"/>
      <c r="Z434" s="8"/>
      <c r="AA434" s="22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22"/>
      <c r="AP434" s="8"/>
      <c r="AQ434" s="22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22"/>
      <c r="U435" s="8"/>
      <c r="V435" s="8"/>
      <c r="W435" s="8"/>
      <c r="X435" s="8"/>
      <c r="Y435" s="22"/>
      <c r="Z435" s="8"/>
      <c r="AA435" s="22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22"/>
      <c r="AP435" s="8"/>
      <c r="AQ435" s="22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22"/>
      <c r="U436" s="8"/>
      <c r="V436" s="8"/>
      <c r="W436" s="8"/>
      <c r="X436" s="8"/>
      <c r="Y436" s="22"/>
      <c r="Z436" s="8"/>
      <c r="AA436" s="22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22"/>
      <c r="AP436" s="8"/>
      <c r="AQ436" s="22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22"/>
      <c r="U437" s="8"/>
      <c r="V437" s="8"/>
      <c r="W437" s="8"/>
      <c r="X437" s="8"/>
      <c r="Y437" s="22"/>
      <c r="Z437" s="8"/>
      <c r="AA437" s="22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22"/>
      <c r="AP437" s="8"/>
      <c r="AQ437" s="22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22"/>
      <c r="U438" s="8"/>
      <c r="V438" s="8"/>
      <c r="W438" s="8"/>
      <c r="X438" s="8"/>
      <c r="Y438" s="22"/>
      <c r="Z438" s="8"/>
      <c r="AA438" s="22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22"/>
      <c r="AP438" s="8"/>
      <c r="AQ438" s="22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22"/>
      <c r="U439" s="8"/>
      <c r="V439" s="8"/>
      <c r="W439" s="8"/>
      <c r="X439" s="8"/>
      <c r="Y439" s="22"/>
      <c r="Z439" s="8"/>
      <c r="AA439" s="22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22"/>
      <c r="AP439" s="8"/>
      <c r="AQ439" s="22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22"/>
      <c r="U440" s="8"/>
      <c r="V440" s="8"/>
      <c r="W440" s="8"/>
      <c r="X440" s="8"/>
      <c r="Y440" s="22"/>
      <c r="Z440" s="8"/>
      <c r="AA440" s="22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22"/>
      <c r="AP440" s="8"/>
      <c r="AQ440" s="22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22"/>
      <c r="U441" s="8"/>
      <c r="V441" s="8"/>
      <c r="W441" s="8"/>
      <c r="X441" s="8"/>
      <c r="Y441" s="22"/>
      <c r="Z441" s="8"/>
      <c r="AA441" s="22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22"/>
      <c r="AP441" s="8"/>
      <c r="AQ441" s="22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22"/>
      <c r="U442" s="8"/>
      <c r="V442" s="8"/>
      <c r="W442" s="8"/>
      <c r="X442" s="8"/>
      <c r="Y442" s="22"/>
      <c r="Z442" s="8"/>
      <c r="AA442" s="22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22"/>
      <c r="AP442" s="8"/>
      <c r="AQ442" s="22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22"/>
      <c r="U443" s="8"/>
      <c r="V443" s="8"/>
      <c r="W443" s="8"/>
      <c r="X443" s="8"/>
      <c r="Y443" s="22"/>
      <c r="Z443" s="8"/>
      <c r="AA443" s="22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22"/>
      <c r="AP443" s="8"/>
      <c r="AQ443" s="22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22"/>
      <c r="U444" s="8"/>
      <c r="V444" s="8"/>
      <c r="W444" s="8"/>
      <c r="X444" s="8"/>
      <c r="Y444" s="22"/>
      <c r="Z444" s="8"/>
      <c r="AA444" s="22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22"/>
      <c r="AP444" s="8"/>
      <c r="AQ444" s="22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22"/>
      <c r="U445" s="8"/>
      <c r="V445" s="8"/>
      <c r="W445" s="8"/>
      <c r="X445" s="8"/>
      <c r="Y445" s="22"/>
      <c r="Z445" s="8"/>
      <c r="AA445" s="22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22"/>
      <c r="AP445" s="8"/>
      <c r="AQ445" s="22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22"/>
      <c r="U446" s="8"/>
      <c r="V446" s="8"/>
      <c r="W446" s="8"/>
      <c r="X446" s="8"/>
      <c r="Y446" s="22"/>
      <c r="Z446" s="8"/>
      <c r="AA446" s="22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22"/>
      <c r="AP446" s="8"/>
      <c r="AQ446" s="22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22"/>
      <c r="U447" s="8"/>
      <c r="V447" s="8"/>
      <c r="W447" s="8"/>
      <c r="X447" s="8"/>
      <c r="Y447" s="22"/>
      <c r="Z447" s="8"/>
      <c r="AA447" s="22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22"/>
      <c r="AP447" s="8"/>
      <c r="AQ447" s="22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22"/>
      <c r="U448" s="8"/>
      <c r="V448" s="8"/>
      <c r="W448" s="8"/>
      <c r="X448" s="8"/>
      <c r="Y448" s="22"/>
      <c r="Z448" s="8"/>
      <c r="AA448" s="22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22"/>
      <c r="AP448" s="8"/>
      <c r="AQ448" s="22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22"/>
      <c r="U449" s="8"/>
      <c r="V449" s="8"/>
      <c r="W449" s="8"/>
      <c r="X449" s="8"/>
      <c r="Y449" s="22"/>
      <c r="Z449" s="8"/>
      <c r="AA449" s="22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22"/>
      <c r="AP449" s="8"/>
      <c r="AQ449" s="22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22"/>
      <c r="U450" s="8"/>
      <c r="V450" s="8"/>
      <c r="W450" s="8"/>
      <c r="X450" s="8"/>
      <c r="Y450" s="22"/>
      <c r="Z450" s="8"/>
      <c r="AA450" s="22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22"/>
      <c r="AP450" s="8"/>
      <c r="AQ450" s="22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22"/>
      <c r="U451" s="8"/>
      <c r="V451" s="8"/>
      <c r="W451" s="8"/>
      <c r="X451" s="8"/>
      <c r="Y451" s="22"/>
      <c r="Z451" s="8"/>
      <c r="AA451" s="22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22"/>
      <c r="AP451" s="8"/>
      <c r="AQ451" s="22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22"/>
      <c r="U452" s="8"/>
      <c r="V452" s="8"/>
      <c r="W452" s="8"/>
      <c r="X452" s="8"/>
      <c r="Y452" s="22"/>
      <c r="Z452" s="8"/>
      <c r="AA452" s="22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22"/>
      <c r="AP452" s="8"/>
      <c r="AQ452" s="22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22"/>
      <c r="U453" s="8"/>
      <c r="V453" s="8"/>
      <c r="W453" s="8"/>
      <c r="X453" s="8"/>
      <c r="Y453" s="22"/>
      <c r="Z453" s="8"/>
      <c r="AA453" s="22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22"/>
      <c r="AP453" s="8"/>
      <c r="AQ453" s="22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22"/>
      <c r="U454" s="8"/>
      <c r="V454" s="8"/>
      <c r="W454" s="8"/>
      <c r="X454" s="8"/>
      <c r="Y454" s="22"/>
      <c r="Z454" s="8"/>
      <c r="AA454" s="22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22"/>
      <c r="AP454" s="8"/>
      <c r="AQ454" s="22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22"/>
      <c r="U455" s="8"/>
      <c r="V455" s="8"/>
      <c r="W455" s="8"/>
      <c r="X455" s="8"/>
      <c r="Y455" s="22"/>
      <c r="Z455" s="8"/>
      <c r="AA455" s="22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22"/>
      <c r="AP455" s="8"/>
      <c r="AQ455" s="22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22"/>
      <c r="U456" s="8"/>
      <c r="V456" s="8"/>
      <c r="W456" s="8"/>
      <c r="X456" s="8"/>
      <c r="Y456" s="22"/>
      <c r="Z456" s="8"/>
      <c r="AA456" s="22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22"/>
      <c r="AP456" s="8"/>
      <c r="AQ456" s="22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22"/>
      <c r="U457" s="8"/>
      <c r="V457" s="8"/>
      <c r="W457" s="8"/>
      <c r="X457" s="8"/>
      <c r="Y457" s="22"/>
      <c r="Z457" s="8"/>
      <c r="AA457" s="22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22"/>
      <c r="AP457" s="8"/>
      <c r="AQ457" s="22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22"/>
      <c r="U458" s="8"/>
      <c r="V458" s="8"/>
      <c r="W458" s="8"/>
      <c r="X458" s="8"/>
      <c r="Y458" s="22"/>
      <c r="Z458" s="8"/>
      <c r="AA458" s="22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22"/>
      <c r="AP458" s="8"/>
      <c r="AQ458" s="22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22"/>
      <c r="U459" s="8"/>
      <c r="V459" s="8"/>
      <c r="W459" s="8"/>
      <c r="X459" s="8"/>
      <c r="Y459" s="22"/>
      <c r="Z459" s="8"/>
      <c r="AA459" s="22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22"/>
      <c r="AP459" s="8"/>
      <c r="AQ459" s="22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22"/>
      <c r="U460" s="8"/>
      <c r="V460" s="8"/>
      <c r="W460" s="8"/>
      <c r="X460" s="8"/>
      <c r="Y460" s="22"/>
      <c r="Z460" s="8"/>
      <c r="AA460" s="22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22"/>
      <c r="AP460" s="8"/>
      <c r="AQ460" s="22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22"/>
      <c r="U461" s="8"/>
      <c r="V461" s="8"/>
      <c r="W461" s="8"/>
      <c r="X461" s="8"/>
      <c r="Y461" s="22"/>
      <c r="Z461" s="8"/>
      <c r="AA461" s="22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22"/>
      <c r="AP461" s="8"/>
      <c r="AQ461" s="22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22"/>
      <c r="U462" s="8"/>
      <c r="V462" s="8"/>
      <c r="W462" s="8"/>
      <c r="X462" s="8"/>
      <c r="Y462" s="22"/>
      <c r="Z462" s="8"/>
      <c r="AA462" s="22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22"/>
      <c r="AP462" s="8"/>
      <c r="AQ462" s="22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22"/>
      <c r="U463" s="8"/>
      <c r="V463" s="8"/>
      <c r="W463" s="8"/>
      <c r="X463" s="8"/>
      <c r="Y463" s="22"/>
      <c r="Z463" s="8"/>
      <c r="AA463" s="22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22"/>
      <c r="AP463" s="8"/>
      <c r="AQ463" s="22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22"/>
      <c r="U464" s="8"/>
      <c r="V464" s="8"/>
      <c r="W464" s="8"/>
      <c r="X464" s="8"/>
      <c r="Y464" s="22"/>
      <c r="Z464" s="8"/>
      <c r="AA464" s="22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22"/>
      <c r="AP464" s="8"/>
      <c r="AQ464" s="22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22"/>
      <c r="U465" s="8"/>
      <c r="V465" s="8"/>
      <c r="W465" s="8"/>
      <c r="X465" s="8"/>
      <c r="Y465" s="22"/>
      <c r="Z465" s="8"/>
      <c r="AA465" s="22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22"/>
      <c r="AP465" s="8"/>
      <c r="AQ465" s="22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22"/>
      <c r="U466" s="8"/>
      <c r="V466" s="8"/>
      <c r="W466" s="8"/>
      <c r="X466" s="8"/>
      <c r="Y466" s="22"/>
      <c r="Z466" s="8"/>
      <c r="AA466" s="22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22"/>
      <c r="AP466" s="8"/>
      <c r="AQ466" s="22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22"/>
      <c r="U467" s="8"/>
      <c r="V467" s="8"/>
      <c r="W467" s="8"/>
      <c r="X467" s="8"/>
      <c r="Y467" s="22"/>
      <c r="Z467" s="8"/>
      <c r="AA467" s="22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22"/>
      <c r="AP467" s="8"/>
      <c r="AQ467" s="22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22"/>
      <c r="U468" s="8"/>
      <c r="V468" s="8"/>
      <c r="W468" s="8"/>
      <c r="X468" s="8"/>
      <c r="Y468" s="22"/>
      <c r="Z468" s="8"/>
      <c r="AA468" s="22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22"/>
      <c r="AP468" s="8"/>
      <c r="AQ468" s="22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22"/>
      <c r="U469" s="8"/>
      <c r="V469" s="8"/>
      <c r="W469" s="8"/>
      <c r="X469" s="8"/>
      <c r="Y469" s="22"/>
      <c r="Z469" s="8"/>
      <c r="AA469" s="22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22"/>
      <c r="AP469" s="8"/>
      <c r="AQ469" s="22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22"/>
      <c r="U470" s="8"/>
      <c r="V470" s="8"/>
      <c r="W470" s="8"/>
      <c r="X470" s="8"/>
      <c r="Y470" s="22"/>
      <c r="Z470" s="8"/>
      <c r="AA470" s="22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22"/>
      <c r="AP470" s="8"/>
      <c r="AQ470" s="22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22"/>
      <c r="U471" s="8"/>
      <c r="V471" s="8"/>
      <c r="W471" s="8"/>
      <c r="X471" s="8"/>
      <c r="Y471" s="22"/>
      <c r="Z471" s="8"/>
      <c r="AA471" s="22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22"/>
      <c r="AP471" s="8"/>
      <c r="AQ471" s="22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22"/>
      <c r="U472" s="8"/>
      <c r="V472" s="8"/>
      <c r="W472" s="8"/>
      <c r="X472" s="8"/>
      <c r="Y472" s="22"/>
      <c r="Z472" s="8"/>
      <c r="AA472" s="22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22"/>
      <c r="AP472" s="8"/>
      <c r="AQ472" s="22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22"/>
      <c r="U473" s="8"/>
      <c r="V473" s="8"/>
      <c r="W473" s="8"/>
      <c r="X473" s="8"/>
      <c r="Y473" s="22"/>
      <c r="Z473" s="8"/>
      <c r="AA473" s="22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22"/>
      <c r="AP473" s="8"/>
      <c r="AQ473" s="22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22"/>
      <c r="U474" s="8"/>
      <c r="V474" s="8"/>
      <c r="W474" s="8"/>
      <c r="X474" s="8"/>
      <c r="Y474" s="22"/>
      <c r="Z474" s="8"/>
      <c r="AA474" s="22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22"/>
      <c r="AP474" s="8"/>
      <c r="AQ474" s="22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22"/>
      <c r="U475" s="8"/>
      <c r="V475" s="8"/>
      <c r="W475" s="8"/>
      <c r="X475" s="8"/>
      <c r="Y475" s="22"/>
      <c r="Z475" s="8"/>
      <c r="AA475" s="22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22"/>
      <c r="AP475" s="8"/>
      <c r="AQ475" s="22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22"/>
      <c r="U476" s="8"/>
      <c r="V476" s="8"/>
      <c r="W476" s="8"/>
      <c r="X476" s="8"/>
      <c r="Y476" s="22"/>
      <c r="Z476" s="8"/>
      <c r="AA476" s="22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22"/>
      <c r="AP476" s="8"/>
      <c r="AQ476" s="22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22"/>
      <c r="U477" s="8"/>
      <c r="V477" s="8"/>
      <c r="W477" s="8"/>
      <c r="X477" s="8"/>
      <c r="Y477" s="22"/>
      <c r="Z477" s="8"/>
      <c r="AA477" s="22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22"/>
      <c r="AP477" s="8"/>
      <c r="AQ477" s="22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22"/>
      <c r="U478" s="8"/>
      <c r="V478" s="8"/>
      <c r="W478" s="8"/>
      <c r="X478" s="8"/>
      <c r="Y478" s="22"/>
      <c r="Z478" s="8"/>
      <c r="AA478" s="22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22"/>
      <c r="AP478" s="8"/>
      <c r="AQ478" s="22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22"/>
      <c r="U479" s="8"/>
      <c r="V479" s="8"/>
      <c r="W479" s="8"/>
      <c r="X479" s="8"/>
      <c r="Y479" s="22"/>
      <c r="Z479" s="8"/>
      <c r="AA479" s="22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22"/>
      <c r="AP479" s="8"/>
      <c r="AQ479" s="22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22"/>
      <c r="U480" s="8"/>
      <c r="V480" s="8"/>
      <c r="W480" s="8"/>
      <c r="X480" s="8"/>
      <c r="Y480" s="22"/>
      <c r="Z480" s="8"/>
      <c r="AA480" s="22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22"/>
      <c r="AP480" s="8"/>
      <c r="AQ480" s="22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22"/>
      <c r="U481" s="8"/>
      <c r="V481" s="8"/>
      <c r="W481" s="8"/>
      <c r="X481" s="8"/>
      <c r="Y481" s="22"/>
      <c r="Z481" s="8"/>
      <c r="AA481" s="22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22"/>
      <c r="AP481" s="8"/>
      <c r="AQ481" s="22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22"/>
      <c r="U482" s="8"/>
      <c r="V482" s="8"/>
      <c r="W482" s="8"/>
      <c r="X482" s="8"/>
      <c r="Y482" s="22"/>
      <c r="Z482" s="8"/>
      <c r="AA482" s="22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22"/>
      <c r="AP482" s="8"/>
      <c r="AQ482" s="22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22"/>
      <c r="U483" s="8"/>
      <c r="V483" s="8"/>
      <c r="W483" s="8"/>
      <c r="X483" s="8"/>
      <c r="Y483" s="22"/>
      <c r="Z483" s="8"/>
      <c r="AA483" s="22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22"/>
      <c r="AP483" s="8"/>
      <c r="AQ483" s="22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22"/>
      <c r="U484" s="8"/>
      <c r="V484" s="8"/>
      <c r="W484" s="8"/>
      <c r="X484" s="8"/>
      <c r="Y484" s="22"/>
      <c r="Z484" s="8"/>
      <c r="AA484" s="22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22"/>
      <c r="AP484" s="8"/>
      <c r="AQ484" s="22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22"/>
      <c r="U485" s="8"/>
      <c r="V485" s="8"/>
      <c r="W485" s="8"/>
      <c r="X485" s="8"/>
      <c r="Y485" s="22"/>
      <c r="Z485" s="8"/>
      <c r="AA485" s="22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22"/>
      <c r="AP485" s="8"/>
      <c r="AQ485" s="22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22"/>
      <c r="U486" s="8"/>
      <c r="V486" s="8"/>
      <c r="W486" s="8"/>
      <c r="X486" s="8"/>
      <c r="Y486" s="22"/>
      <c r="Z486" s="8"/>
      <c r="AA486" s="22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22"/>
      <c r="AP486" s="8"/>
      <c r="AQ486" s="22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22"/>
      <c r="U487" s="8"/>
      <c r="V487" s="8"/>
      <c r="W487" s="8"/>
      <c r="X487" s="8"/>
      <c r="Y487" s="22"/>
      <c r="Z487" s="8"/>
      <c r="AA487" s="22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22"/>
      <c r="AP487" s="8"/>
      <c r="AQ487" s="22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22"/>
      <c r="U488" s="8"/>
      <c r="V488" s="8"/>
      <c r="W488" s="8"/>
      <c r="X488" s="8"/>
      <c r="Y488" s="22"/>
      <c r="Z488" s="8"/>
      <c r="AA488" s="22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22"/>
      <c r="AP488" s="8"/>
      <c r="AQ488" s="22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22"/>
      <c r="U489" s="8"/>
      <c r="V489" s="8"/>
      <c r="W489" s="8"/>
      <c r="X489" s="8"/>
      <c r="Y489" s="22"/>
      <c r="Z489" s="8"/>
      <c r="AA489" s="22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22"/>
      <c r="AP489" s="8"/>
      <c r="AQ489" s="22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22"/>
      <c r="U490" s="8"/>
      <c r="V490" s="8"/>
      <c r="W490" s="8"/>
      <c r="X490" s="8"/>
      <c r="Y490" s="22"/>
      <c r="Z490" s="8"/>
      <c r="AA490" s="22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22"/>
      <c r="AP490" s="8"/>
      <c r="AQ490" s="22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22"/>
      <c r="U491" s="8"/>
      <c r="V491" s="8"/>
      <c r="W491" s="8"/>
      <c r="X491" s="8"/>
      <c r="Y491" s="22"/>
      <c r="Z491" s="8"/>
      <c r="AA491" s="22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22"/>
      <c r="AP491" s="8"/>
      <c r="AQ491" s="22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22"/>
      <c r="U492" s="8"/>
      <c r="V492" s="8"/>
      <c r="W492" s="8"/>
      <c r="X492" s="8"/>
      <c r="Y492" s="22"/>
      <c r="Z492" s="8"/>
      <c r="AA492" s="22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22"/>
      <c r="AP492" s="8"/>
      <c r="AQ492" s="22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22"/>
      <c r="U493" s="8"/>
      <c r="V493" s="8"/>
      <c r="W493" s="8"/>
      <c r="X493" s="8"/>
      <c r="Y493" s="22"/>
      <c r="Z493" s="8"/>
      <c r="AA493" s="22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22"/>
      <c r="AP493" s="8"/>
      <c r="AQ493" s="22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22"/>
      <c r="U494" s="8"/>
      <c r="V494" s="8"/>
      <c r="W494" s="8"/>
      <c r="X494" s="8"/>
      <c r="Y494" s="22"/>
      <c r="Z494" s="8"/>
      <c r="AA494" s="22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22"/>
      <c r="AP494" s="8"/>
      <c r="AQ494" s="22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22"/>
      <c r="U495" s="8"/>
      <c r="V495" s="8"/>
      <c r="W495" s="8"/>
      <c r="X495" s="8"/>
      <c r="Y495" s="22"/>
      <c r="Z495" s="8"/>
      <c r="AA495" s="22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22"/>
      <c r="AP495" s="8"/>
      <c r="AQ495" s="22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22"/>
      <c r="U496" s="8"/>
      <c r="V496" s="8"/>
      <c r="W496" s="8"/>
      <c r="X496" s="8"/>
      <c r="Y496" s="22"/>
      <c r="Z496" s="8"/>
      <c r="AA496" s="22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22"/>
      <c r="AP496" s="8"/>
      <c r="AQ496" s="22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22"/>
      <c r="U497" s="8"/>
      <c r="V497" s="8"/>
      <c r="W497" s="8"/>
      <c r="X497" s="8"/>
      <c r="Y497" s="22"/>
      <c r="Z497" s="8"/>
      <c r="AA497" s="22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22"/>
      <c r="AP497" s="8"/>
      <c r="AQ497" s="22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22"/>
      <c r="U498" s="8"/>
      <c r="V498" s="8"/>
      <c r="W498" s="8"/>
      <c r="X498" s="8"/>
      <c r="Y498" s="22"/>
      <c r="Z498" s="8"/>
      <c r="AA498" s="22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22"/>
      <c r="AP498" s="8"/>
      <c r="AQ498" s="22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22"/>
      <c r="U499" s="8"/>
      <c r="V499" s="8"/>
      <c r="W499" s="8"/>
      <c r="X499" s="8"/>
      <c r="Y499" s="22"/>
      <c r="Z499" s="8"/>
      <c r="AA499" s="22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22"/>
      <c r="AP499" s="8"/>
      <c r="AQ499" s="22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22"/>
      <c r="U500" s="8"/>
      <c r="V500" s="8"/>
      <c r="W500" s="8"/>
      <c r="X500" s="8"/>
      <c r="Y500" s="22"/>
      <c r="Z500" s="8"/>
      <c r="AA500" s="22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22"/>
      <c r="AP500" s="8"/>
      <c r="AQ500" s="22"/>
      <c r="AR500" s="8"/>
      <c r="AS500" s="8"/>
      <c r="AT500" s="8"/>
      <c r="AU500" s="8"/>
      <c r="AV500" s="8"/>
      <c r="AW500" s="8"/>
      <c r="AX500" s="8"/>
      <c r="AY500" s="8"/>
      <c r="AZ500" s="8"/>
    </row>
  </sheetData>
  <autoFilter ref="A3:AN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2026-08-06T11:07:24Z</dcterms:created>
  <dcterms:modified xsi:type="dcterms:W3CDTF">2026-08-10T10:39:21Z</dcterms:modified>
</cp:coreProperties>
</file>