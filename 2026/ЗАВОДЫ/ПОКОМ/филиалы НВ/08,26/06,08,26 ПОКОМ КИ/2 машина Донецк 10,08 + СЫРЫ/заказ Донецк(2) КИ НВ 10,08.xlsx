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D281F0E-A4B1-4D08-974D-FEEF436632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259" i="1" l="1"/>
  <c r="F9" i="1"/>
  <c r="J9" i="1"/>
  <c r="F10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555" i="1" s="1"/>
  <c r="Y557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94" i="1" l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559" i="1" s="1"/>
  <c r="Z42" i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<sst xmlns="http://schemas.openxmlformats.org/spreadsheetml/2006/main" count="2515" uniqueCount="912">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</sst>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4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1108</v>
      </c>
      <c r="Y47" s="634">
        <f>IFERROR(IF(X47="",0,CEILING((X47/$H47),1)*$H47),"")</f>
        <v>1112.4000000000001</v>
      </c>
      <c r="Z47" s="36">
        <f>IFERROR(IF(Y47=0,"",ROUNDUP(Y47/H47,0)*0.01898),"")</f>
        <v>1.9549400000000001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1150.062962962963</v>
      </c>
      <c r="BN47" s="64">
        <f>IFERROR(Y47*I47/H47,"0")</f>
        <v>1154.6300000000001</v>
      </c>
      <c r="BO47" s="64">
        <f>IFERROR(1/J47*(X47/H47),"0")</f>
        <v>1.6030092592592591</v>
      </c>
      <c r="BP47" s="64">
        <f>IFERROR(1/J47*(Y47/H47),"0")</f>
        <v>1.609375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54</v>
      </c>
      <c r="Y50" s="63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56.772972972972973</v>
      </c>
      <c r="BN50" s="64">
        <f>IFERROR(Y50*I50/H50,"0")</f>
        <v>58.35</v>
      </c>
      <c r="BO50" s="64">
        <f>IFERROR(1/J50*(X50/H50),"0")</f>
        <v>0.11056511056511056</v>
      </c>
      <c r="BP50" s="64">
        <f>IFERROR(1/J50*(Y50/H50),"0")</f>
        <v>0.11363636363636365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117.18718718718718</v>
      </c>
      <c r="Y51" s="635">
        <f>IFERROR(Y47/H47,"0")+IFERROR(Y48/H48,"0")+IFERROR(Y49/H49,"0")+IFERROR(Y50/H50,"0")</f>
        <v>118</v>
      </c>
      <c r="Z51" s="635">
        <f>IFERROR(IF(Z47="",0,Z47),"0")+IFERROR(IF(Z48="",0,Z48),"0")+IFERROR(IF(Z49="",0,Z49),"0")+IFERROR(IF(Z50="",0,Z50),"0")</f>
        <v>2.0902400000000001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1162</v>
      </c>
      <c r="Y52" s="635">
        <f>IFERROR(SUM(Y47:Y50),"0")</f>
        <v>1167.9000000000001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311</v>
      </c>
      <c r="Y57" s="634">
        <f t="shared" si="0"/>
        <v>313.20000000000005</v>
      </c>
      <c r="Z57" s="36">
        <f>IFERROR(IF(Y57=0,"",ROUNDUP(Y57/H57,0)*0.01898),"")</f>
        <v>0.55042000000000002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322.80648148148151</v>
      </c>
      <c r="BN57" s="64">
        <f t="shared" si="2"/>
        <v>325.09000000000003</v>
      </c>
      <c r="BO57" s="64">
        <f t="shared" si="3"/>
        <v>0.44994212962962959</v>
      </c>
      <c r="BP57" s="64">
        <f t="shared" si="4"/>
        <v>0.45312500000000006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3</v>
      </c>
      <c r="Y60" s="634">
        <f t="shared" si="0"/>
        <v>4</v>
      </c>
      <c r="Z60" s="36">
        <f>IFERROR(IF(Y60=0,"",ROUNDUP(Y60/H60,0)*0.00902),"")</f>
        <v>9.0200000000000002E-3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3.1425000000000001</v>
      </c>
      <c r="BN60" s="64">
        <f t="shared" si="2"/>
        <v>4.1900000000000004</v>
      </c>
      <c r="BO60" s="64">
        <f t="shared" si="3"/>
        <v>5.681818181818182E-3</v>
      </c>
      <c r="BP60" s="64">
        <f t="shared" si="4"/>
        <v>7.575757575757576E-3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170</v>
      </c>
      <c r="Y62" s="634">
        <f t="shared" si="0"/>
        <v>171</v>
      </c>
      <c r="Z62" s="36">
        <f>IFERROR(IF(Y62=0,"",ROUNDUP(Y62/H62,0)*0.00902),"")</f>
        <v>0.34276000000000001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177.17777777777781</v>
      </c>
      <c r="BN62" s="64">
        <f t="shared" si="2"/>
        <v>178.22000000000003</v>
      </c>
      <c r="BO62" s="64">
        <f t="shared" si="3"/>
        <v>0.28619528619528622</v>
      </c>
      <c r="BP62" s="64">
        <f t="shared" si="4"/>
        <v>0.2878787878787879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67.324074074074076</v>
      </c>
      <c r="Y63" s="635">
        <f>IFERROR(Y55/H55,"0")+IFERROR(Y56/H56,"0")+IFERROR(Y57/H57,"0")+IFERROR(Y58/H58,"0")+IFERROR(Y59/H59,"0")+IFERROR(Y60/H60,"0")+IFERROR(Y61/H61,"0")+IFERROR(Y62/H62,"0")</f>
        <v>68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0.90220000000000011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484</v>
      </c>
      <c r="Y64" s="635">
        <f>IFERROR(SUM(Y55:Y62),"0")</f>
        <v>488.20000000000005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13</v>
      </c>
      <c r="Y66" s="634">
        <f>IFERROR(IF(X66="",0,CEILING((X66/$H66),1)*$H66),"")</f>
        <v>21.6</v>
      </c>
      <c r="Z66" s="36">
        <f>IFERROR(IF(Y66=0,"",ROUNDUP(Y66/H66,0)*0.01898),"")</f>
        <v>3.7960000000000001E-2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13.493518518518519</v>
      </c>
      <c r="BN66" s="64">
        <f>IFERROR(Y66*I66/H66,"0")</f>
        <v>22.42</v>
      </c>
      <c r="BO66" s="64">
        <f>IFERROR(1/J66*(X66/H66),"0")</f>
        <v>1.8807870370370371E-2</v>
      </c>
      <c r="BP66" s="64">
        <f>IFERROR(1/J66*(Y66/H66),"0")</f>
        <v>3.125E-2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1.2037037037037037</v>
      </c>
      <c r="Y70" s="635">
        <f>IFERROR(Y66/H66,"0")+IFERROR(Y67/H67,"0")+IFERROR(Y68/H68,"0")+IFERROR(Y69/H69,"0")</f>
        <v>2</v>
      </c>
      <c r="Z70" s="635">
        <f>IFERROR(IF(Z66="",0,Z66),"0")+IFERROR(IF(Z67="",0,Z67),"0")+IFERROR(IF(Z68="",0,Z68),"0")+IFERROR(IF(Z69="",0,Z69),"0")</f>
        <v>3.7960000000000001E-2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13</v>
      </c>
      <c r="Y71" s="635">
        <f>IFERROR(SUM(Y66:Y69),"0")</f>
        <v>21.6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17</v>
      </c>
      <c r="Y73" s="634">
        <f>IFERROR(IF(X73="",0,CEILING((X73/$H73),1)*$H73),"")</f>
        <v>18</v>
      </c>
      <c r="Z73" s="36">
        <f>IFERROR(IF(Y73=0,"",ROUNDUP(Y73/H73,0)*0.00651),"")</f>
        <v>6.5100000000000005E-2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19.323333333333331</v>
      </c>
      <c r="BN73" s="64">
        <f>IFERROR(Y73*I73/H73,"0")</f>
        <v>20.459999999999997</v>
      </c>
      <c r="BO73" s="64">
        <f>IFERROR(1/J73*(X73/H73),"0")</f>
        <v>5.1892551892551896E-2</v>
      </c>
      <c r="BP73" s="64">
        <f>IFERROR(1/J73*(Y73/H73),"0")</f>
        <v>5.4945054945054951E-2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9.4444444444444446</v>
      </c>
      <c r="Y75" s="635">
        <f>IFERROR(Y73/H73,"0")+IFERROR(Y74/H74,"0")</f>
        <v>10</v>
      </c>
      <c r="Z75" s="635">
        <f>IFERROR(IF(Z73="",0,Z73),"0")+IFERROR(IF(Z74="",0,Z74),"0")</f>
        <v>6.5100000000000005E-2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17</v>
      </c>
      <c r="Y76" s="635">
        <f>IFERROR(SUM(Y73:Y74),"0")</f>
        <v>18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657</v>
      </c>
      <c r="Y84" s="634">
        <f>IFERROR(IF(X84="",0,CEILING((X84/$H84),1)*$H84),"")</f>
        <v>658.80000000000007</v>
      </c>
      <c r="Z84" s="36">
        <f>IFERROR(IF(Y84=0,"",ROUNDUP(Y84/H84,0)*0.01898),"")</f>
        <v>1.15778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681.94166666666661</v>
      </c>
      <c r="BN84" s="64">
        <f>IFERROR(Y84*I84/H84,"0")</f>
        <v>683.81000000000006</v>
      </c>
      <c r="BO84" s="64">
        <f>IFERROR(1/J84*(X84/H84),"0")</f>
        <v>0.95052083333333326</v>
      </c>
      <c r="BP84" s="64">
        <f>IFERROR(1/J84*(Y84/H84),"0")</f>
        <v>0.953125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173</v>
      </c>
      <c r="Y87" s="634">
        <f>IFERROR(IF(X87="",0,CEILING((X87/$H87),1)*$H87),"")</f>
        <v>175.5</v>
      </c>
      <c r="Z87" s="36">
        <f>IFERROR(IF(Y87=0,"",ROUNDUP(Y87/H87,0)*0.00902),"")</f>
        <v>0.35177999999999998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180.30444444444447</v>
      </c>
      <c r="BN87" s="64">
        <f>IFERROR(Y87*I87/H87,"0")</f>
        <v>182.91</v>
      </c>
      <c r="BO87" s="64">
        <f>IFERROR(1/J87*(X87/H87),"0")</f>
        <v>0.29124579124579125</v>
      </c>
      <c r="BP87" s="64">
        <f>IFERROR(1/J87*(Y87/H87),"0")</f>
        <v>0.29545454545454547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99.277777777777771</v>
      </c>
      <c r="Y88" s="635">
        <f>IFERROR(Y84/H84,"0")+IFERROR(Y85/H85,"0")+IFERROR(Y86/H86,"0")+IFERROR(Y87/H87,"0")</f>
        <v>100</v>
      </c>
      <c r="Z88" s="635">
        <f>IFERROR(IF(Z84="",0,Z84),"0")+IFERROR(IF(Z85="",0,Z85),"0")+IFERROR(IF(Z86="",0,Z86),"0")+IFERROR(IF(Z87="",0,Z87),"0")</f>
        <v>1.50956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830</v>
      </c>
      <c r="Y89" s="635">
        <f>IFERROR(SUM(Y84:Y87),"0")</f>
        <v>834.30000000000007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500</v>
      </c>
      <c r="Y91" s="634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61.728395061728399</v>
      </c>
      <c r="Y95" s="635">
        <f>IFERROR(Y91/H91,"0")+IFERROR(Y92/H92,"0")+IFERROR(Y93/H93,"0")+IFERROR(Y94/H94,"0")</f>
        <v>62</v>
      </c>
      <c r="Z95" s="635">
        <f>IFERROR(IF(Z91="",0,Z91),"0")+IFERROR(IF(Z92="",0,Z92),"0")+IFERROR(IF(Z93="",0,Z93),"0")+IFERROR(IF(Z94="",0,Z94),"0")</f>
        <v>1.17676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500</v>
      </c>
      <c r="Y96" s="635">
        <f>IFERROR(SUM(Y91:Y94),"0")</f>
        <v>502.2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369</v>
      </c>
      <c r="Y99" s="634">
        <f t="shared" ref="Y99:Y105" si="5">IFERROR(IF(X99="",0,CEILING((X99/$H99),1)*$H99),"")</f>
        <v>378</v>
      </c>
      <c r="Z99" s="36">
        <f>IFERROR(IF(Y99=0,"",ROUNDUP(Y99/H99,0)*0.01898),"")</f>
        <v>0.6643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383.00833333333338</v>
      </c>
      <c r="BN99" s="64">
        <f t="shared" ref="BN99:BN105" si="7">IFERROR(Y99*I99/H99,"0")</f>
        <v>392.34999999999997</v>
      </c>
      <c r="BO99" s="64">
        <f t="shared" ref="BO99:BO105" si="8">IFERROR(1/J99*(X99/H99),"0")</f>
        <v>0.53385416666666663</v>
      </c>
      <c r="BP99" s="64">
        <f t="shared" ref="BP99:BP105" si="9">IFERROR(1/J99*(Y99/H99),"0")</f>
        <v>0.546875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34.166666666666664</v>
      </c>
      <c r="Y106" s="635">
        <f>IFERROR(Y99/H99,"0")+IFERROR(Y100/H100,"0")+IFERROR(Y101/H101,"0")+IFERROR(Y102/H102,"0")+IFERROR(Y103/H103,"0")+IFERROR(Y104/H104,"0")+IFERROR(Y105/H105,"0")</f>
        <v>35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0.6643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369</v>
      </c>
      <c r="Y107" s="635">
        <f>IFERROR(SUM(Y99:Y105),"0")</f>
        <v>378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3</v>
      </c>
      <c r="Y113" s="634">
        <f>IFERROR(IF(X113="",0,CEILING((X113/$H113),1)*$H113),"")</f>
        <v>4.8</v>
      </c>
      <c r="Z113" s="36">
        <f>IFERROR(IF(Y113=0,"",ROUNDUP(Y113/H113,0)*0.00651),"")</f>
        <v>1.302E-2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3.2250000000000001</v>
      </c>
      <c r="BN113" s="64">
        <f>IFERROR(Y113*I113/H113,"0")</f>
        <v>5.16</v>
      </c>
      <c r="BO113" s="64">
        <f>IFERROR(1/J113*(X113/H113),"0")</f>
        <v>6.8681318681318689E-3</v>
      </c>
      <c r="BP113" s="64">
        <f>IFERROR(1/J113*(Y113/H113),"0")</f>
        <v>1.098901098901099E-2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1.25</v>
      </c>
      <c r="Y114" s="635">
        <f>IFERROR(Y109/H109,"0")+IFERROR(Y110/H110,"0")+IFERROR(Y111/H111,"0")+IFERROR(Y112/H112,"0")+IFERROR(Y113/H113,"0")</f>
        <v>2</v>
      </c>
      <c r="Z114" s="635">
        <f>IFERROR(IF(Z109="",0,Z109),"0")+IFERROR(IF(Z110="",0,Z110),"0")+IFERROR(IF(Z111="",0,Z111),"0")+IFERROR(IF(Z112="",0,Z112),"0")+IFERROR(IF(Z113="",0,Z113),"0")</f>
        <v>1.302E-2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3</v>
      </c>
      <c r="Y115" s="635">
        <f>IFERROR(SUM(Y109:Y113),"0")</f>
        <v>4.8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1062</v>
      </c>
      <c r="Y117" s="634">
        <f>IFERROR(IF(X117="",0,CEILING((X117/$H117),1)*$H117),"")</f>
        <v>1069.2</v>
      </c>
      <c r="Z117" s="36">
        <f>IFERROR(IF(Y117=0,"",ROUNDUP(Y117/H117,0)*0.01898),"")</f>
        <v>2.50536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1125.9822222222222</v>
      </c>
      <c r="BN117" s="64">
        <f>IFERROR(Y117*I117/H117,"0")</f>
        <v>1133.616</v>
      </c>
      <c r="BO117" s="64">
        <f>IFERROR(1/J117*(X117/H117),"0")</f>
        <v>2.0486111111111112</v>
      </c>
      <c r="BP117" s="64">
        <f>IFERROR(1/J117*(Y117/H117),"0")</f>
        <v>2.0625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381</v>
      </c>
      <c r="Y119" s="634">
        <f>IFERROR(IF(X119="",0,CEILING((X119/$H119),1)*$H119),"")</f>
        <v>383.40000000000003</v>
      </c>
      <c r="Z119" s="36">
        <f>IFERROR(IF(Y119=0,"",ROUNDUP(Y119/H119,0)*0.00651),"")</f>
        <v>0.92442000000000002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416.55999999999995</v>
      </c>
      <c r="BN119" s="64">
        <f>IFERROR(Y119*I119/H119,"0")</f>
        <v>419.18400000000003</v>
      </c>
      <c r="BO119" s="64">
        <f>IFERROR(1/J119*(X119/H119),"0")</f>
        <v>0.77533577533577547</v>
      </c>
      <c r="BP119" s="64">
        <f>IFERROR(1/J119*(Y119/H119),"0")</f>
        <v>0.78021978021978033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272.22222222222223</v>
      </c>
      <c r="Y121" s="635">
        <f>IFERROR(Y117/H117,"0")+IFERROR(Y118/H118,"0")+IFERROR(Y119/H119,"0")+IFERROR(Y120/H120,"0")</f>
        <v>274</v>
      </c>
      <c r="Z121" s="635">
        <f>IFERROR(IF(Z117="",0,Z117),"0")+IFERROR(IF(Z118="",0,Z118),"0")+IFERROR(IF(Z119="",0,Z119),"0")+IFERROR(IF(Z120="",0,Z120),"0")</f>
        <v>3.4297800000000001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1443</v>
      </c>
      <c r="Y122" s="635">
        <f>IFERROR(SUM(Y117:Y120),"0")</f>
        <v>1452.6000000000001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45</v>
      </c>
      <c r="Y124" s="634">
        <f>IFERROR(IF(X124="",0,CEILING((X124/$H124),1)*$H124),"")</f>
        <v>45.54</v>
      </c>
      <c r="Z124" s="36">
        <f>IFERROR(IF(Y124=0,"",ROUNDUP(Y124/H124,0)*0.00651),"")</f>
        <v>0.14973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50.86363636363636</v>
      </c>
      <c r="BN124" s="64">
        <f>IFERROR(Y124*I124/H124,"0")</f>
        <v>51.474000000000004</v>
      </c>
      <c r="BO124" s="64">
        <f>IFERROR(1/J124*(X124/H124),"0")</f>
        <v>0.12487512487512488</v>
      </c>
      <c r="BP124" s="64">
        <f>IFERROR(1/J124*(Y124/H124),"0")</f>
        <v>0.1263736263736264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22.727272727272727</v>
      </c>
      <c r="Y125" s="635">
        <f>IFERROR(Y124/H124,"0")</f>
        <v>23</v>
      </c>
      <c r="Z125" s="635">
        <f>IFERROR(IF(Z124="",0,Z124),"0")</f>
        <v>0.14973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45</v>
      </c>
      <c r="Y126" s="635">
        <f>IFERROR(SUM(Y124:Y124),"0")</f>
        <v>45.54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5</v>
      </c>
      <c r="Y136" s="634">
        <f>IFERROR(IF(X136="",0,CEILING((X136/$H136),1)*$H136),"")</f>
        <v>5.6</v>
      </c>
      <c r="Z136" s="36">
        <f>IFERROR(IF(Y136=0,"",ROUNDUP(Y136/H136,0)*0.00651),"")</f>
        <v>1.302E-2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5.4785714285714286</v>
      </c>
      <c r="BN136" s="64">
        <f>IFERROR(Y136*I136/H136,"0")</f>
        <v>6.1359999999999992</v>
      </c>
      <c r="BO136" s="64">
        <f>IFERROR(1/J136*(X136/H136),"0")</f>
        <v>9.8116169544740992E-3</v>
      </c>
      <c r="BP136" s="64">
        <f>IFERROR(1/J136*(Y136/H136),"0")</f>
        <v>1.098901098901099E-2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1.7857142857142858</v>
      </c>
      <c r="Y139" s="635">
        <f>IFERROR(Y135/H135,"0")+IFERROR(Y136/H136,"0")+IFERROR(Y137/H137,"0")+IFERROR(Y138/H138,"0")</f>
        <v>2</v>
      </c>
      <c r="Z139" s="635">
        <f>IFERROR(IF(Z135="",0,Z135),"0")+IFERROR(IF(Z136="",0,Z136),"0")+IFERROR(IF(Z137="",0,Z137),"0")+IFERROR(IF(Z138="",0,Z138),"0")</f>
        <v>1.302E-2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5</v>
      </c>
      <c r="Y140" s="635">
        <f>IFERROR(SUM(Y135:Y138),"0")</f>
        <v>5.6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8</v>
      </c>
      <c r="Y175" s="634">
        <f t="shared" ref="Y175:Y185" si="16">IFERROR(IF(X175="",0,CEILING((X175/$H175),1)*$H175),"")</f>
        <v>10.5</v>
      </c>
      <c r="Z175" s="36">
        <f>IFERROR(IF(Y175=0,"",ROUNDUP(Y175/H175,0)*0.00902),"")</f>
        <v>2.7060000000000001E-2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8.4342857142857142</v>
      </c>
      <c r="BN175" s="64">
        <f t="shared" ref="BN175:BN185" si="18">IFERROR(Y175*I175/H175,"0")</f>
        <v>11.069999999999999</v>
      </c>
      <c r="BO175" s="64">
        <f t="shared" ref="BO175:BO185" si="19">IFERROR(1/J175*(X175/H175),"0")</f>
        <v>1.7316017316017316E-2</v>
      </c>
      <c r="BP175" s="64">
        <f t="shared" ref="BP175:BP185" si="20">IFERROR(1/J175*(Y175/H175),"0")</f>
        <v>2.2727272727272728E-2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48</v>
      </c>
      <c r="Y178" s="634">
        <f t="shared" si="16"/>
        <v>49</v>
      </c>
      <c r="Z178" s="36">
        <f>IFERROR(IF(Y178=0,"",ROUNDUP(Y178/H178,0)*0.00902),"")</f>
        <v>0.12628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50.605714285714285</v>
      </c>
      <c r="BN178" s="64">
        <f t="shared" si="18"/>
        <v>51.660000000000004</v>
      </c>
      <c r="BO178" s="64">
        <f t="shared" si="19"/>
        <v>0.10389610389610389</v>
      </c>
      <c r="BP178" s="64">
        <f t="shared" si="20"/>
        <v>0.10606060606060606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101</v>
      </c>
      <c r="Y180" s="634">
        <f t="shared" si="16"/>
        <v>102.47999999999999</v>
      </c>
      <c r="Z180" s="36">
        <f>IFERROR(IF(Y180=0,"",ROUNDUP(Y180/H180,0)*0.00502),"")</f>
        <v>0.30621999999999999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107.01190476190477</v>
      </c>
      <c r="BN180" s="64">
        <f t="shared" si="18"/>
        <v>108.57999999999998</v>
      </c>
      <c r="BO180" s="64">
        <f t="shared" si="19"/>
        <v>0.25691900691900693</v>
      </c>
      <c r="BP180" s="64">
        <f t="shared" si="20"/>
        <v>0.2606837606837607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5</v>
      </c>
      <c r="Y181" s="634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106</v>
      </c>
      <c r="Y185" s="634">
        <f t="shared" si="16"/>
        <v>107.52</v>
      </c>
      <c r="Z185" s="36">
        <f>IFERROR(IF(Y185=0,"",ROUNDUP(Y185/H185,0)*0.00502),"")</f>
        <v>0.32128000000000001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112.30952380952382</v>
      </c>
      <c r="BN185" s="64">
        <f t="shared" si="18"/>
        <v>113.91999999999999</v>
      </c>
      <c r="BO185" s="64">
        <f t="shared" si="19"/>
        <v>0.26963776963776964</v>
      </c>
      <c r="BP185" s="64">
        <f t="shared" si="20"/>
        <v>0.27350427350427353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144.76984126984127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148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0.80586000000000002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268</v>
      </c>
      <c r="Y187" s="635">
        <f>IFERROR(SUM(Y175:Y185),"0")</f>
        <v>274.89999999999998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23</v>
      </c>
      <c r="Y221" s="634">
        <f t="shared" ref="Y221:Y234" si="27">IFERROR(IF(X221="",0,CEILING((X221/$H221),1)*$H221),"")</f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24.36904761904762</v>
      </c>
      <c r="BN221" s="64">
        <f t="shared" ref="BN221:BN234" si="29">IFERROR(Y221*I221/H221,"0")</f>
        <v>26.700000000000003</v>
      </c>
      <c r="BO221" s="64">
        <f t="shared" ref="BO221:BO234" si="30">IFERROR(1/J221*(X221/H221),"0")</f>
        <v>4.1486291486291488E-2</v>
      </c>
      <c r="BP221" s="64">
        <f t="shared" ref="BP221:BP234" si="31">IFERROR(1/J221*(Y221/H221),"0")</f>
        <v>4.5454545454545456E-2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11</v>
      </c>
      <c r="Y225" s="634">
        <f t="shared" si="27"/>
        <v>12.600000000000001</v>
      </c>
      <c r="Z225" s="36">
        <f t="shared" ref="Z225:Z230" si="32">IFERROR(IF(Y225=0,"",ROUNDUP(Y225/H225,0)*0.00502),"")</f>
        <v>3.0120000000000001E-2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11.68095238095238</v>
      </c>
      <c r="BN225" s="64">
        <f t="shared" si="29"/>
        <v>13.38</v>
      </c>
      <c r="BO225" s="64">
        <f t="shared" si="30"/>
        <v>2.2385022385022386E-2</v>
      </c>
      <c r="BP225" s="64">
        <f t="shared" si="31"/>
        <v>2.5641025641025644E-2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9</v>
      </c>
      <c r="Y230" s="634">
        <f t="shared" si="27"/>
        <v>9</v>
      </c>
      <c r="Z230" s="36">
        <f t="shared" si="32"/>
        <v>2.5100000000000001E-2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9.65</v>
      </c>
      <c r="BN230" s="64">
        <f t="shared" si="29"/>
        <v>9.65</v>
      </c>
      <c r="BO230" s="64">
        <f t="shared" si="30"/>
        <v>2.1367521367521368E-2</v>
      </c>
      <c r="BP230" s="64">
        <f t="shared" si="31"/>
        <v>2.1367521367521368E-2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15.714285714285715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0.10934000000000001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43</v>
      </c>
      <c r="Y236" s="635">
        <f>IFERROR(SUM(Y221:Y234),"0")</f>
        <v>46.800000000000004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49</v>
      </c>
      <c r="Y268" s="634">
        <f t="shared" si="33"/>
        <v>54</v>
      </c>
      <c r="Z268" s="36">
        <f>IFERROR(IF(Y268=0,"",ROUNDUP(Y268/H268,0)*0.00902),"")</f>
        <v>9.0200000000000002E-2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50.724074074074068</v>
      </c>
      <c r="BN268" s="64">
        <f t="shared" si="35"/>
        <v>55.9</v>
      </c>
      <c r="BO268" s="64">
        <f t="shared" si="36"/>
        <v>6.8742985409652069E-2</v>
      </c>
      <c r="BP268" s="64">
        <f t="shared" si="37"/>
        <v>7.575757575757576E-2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233</v>
      </c>
      <c r="Y269" s="634">
        <f t="shared" si="33"/>
        <v>237.60000000000002</v>
      </c>
      <c r="Z269" s="36">
        <f>IFERROR(IF(Y269=0,"",ROUNDUP(Y269/H269,0)*0.00902),"")</f>
        <v>0.39688000000000001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241.19814814814814</v>
      </c>
      <c r="BN269" s="64">
        <f t="shared" si="35"/>
        <v>245.96</v>
      </c>
      <c r="BO269" s="64">
        <f t="shared" si="36"/>
        <v>0.32687991021324353</v>
      </c>
      <c r="BP269" s="64">
        <f t="shared" si="37"/>
        <v>0.33333333333333337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44</v>
      </c>
      <c r="Y270" s="634">
        <f t="shared" si="33"/>
        <v>48.6</v>
      </c>
      <c r="Z270" s="36">
        <f>IFERROR(IF(Y270=0,"",ROUNDUP(Y270/H270,0)*0.00902),"")</f>
        <v>8.1180000000000002E-2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45.548148148148144</v>
      </c>
      <c r="BN270" s="64">
        <f t="shared" si="35"/>
        <v>50.309999999999995</v>
      </c>
      <c r="BO270" s="64">
        <f t="shared" si="36"/>
        <v>6.1728395061728392E-2</v>
      </c>
      <c r="BP270" s="64">
        <f t="shared" si="37"/>
        <v>6.8181818181818177E-2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28</v>
      </c>
      <c r="Y272" s="634">
        <f t="shared" si="33"/>
        <v>28.8</v>
      </c>
      <c r="Z272" s="36">
        <f>IFERROR(IF(Y272=0,"",ROUNDUP(Y272/H272,0)*0.00502),"")</f>
        <v>8.0320000000000003E-2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29.555555555555554</v>
      </c>
      <c r="BN272" s="64">
        <f t="shared" si="35"/>
        <v>30.4</v>
      </c>
      <c r="BO272" s="64">
        <f t="shared" si="36"/>
        <v>6.6476733143399816E-2</v>
      </c>
      <c r="BP272" s="64">
        <f t="shared" si="37"/>
        <v>6.8376068376068383E-2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75.92592592592591</v>
      </c>
      <c r="Y275" s="635">
        <f>IFERROR(Y267/H267,"0")+IFERROR(Y268/H268,"0")+IFERROR(Y269/H269,"0")+IFERROR(Y270/H270,"0")+IFERROR(Y271/H271,"0")+IFERROR(Y272/H272,"0")+IFERROR(Y273/H273,"0")+IFERROR(Y274/H274,"0")</f>
        <v>79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0.64857999999999993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354</v>
      </c>
      <c r="Y276" s="635">
        <f>IFERROR(SUM(Y267:Y274),"0")</f>
        <v>369.00000000000006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343</v>
      </c>
      <c r="Y281" s="634">
        <f t="shared" si="38"/>
        <v>343.2</v>
      </c>
      <c r="Z281" s="36">
        <f>IFERROR(IF(Y281=0,"",ROUNDUP(Y281/H281,0)*0.00651),"")</f>
        <v>0.93093000000000004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381.58749999999998</v>
      </c>
      <c r="BN281" s="64">
        <f t="shared" si="40"/>
        <v>381.81</v>
      </c>
      <c r="BO281" s="64">
        <f t="shared" si="41"/>
        <v>0.78525641025641046</v>
      </c>
      <c r="BP281" s="64">
        <f t="shared" si="42"/>
        <v>0.78571428571428581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397</v>
      </c>
      <c r="Y284" s="634">
        <f t="shared" si="38"/>
        <v>398.4</v>
      </c>
      <c r="Z284" s="36">
        <f>IFERROR(IF(Y284=0,"",ROUNDUP(Y284/H284,0)*0.00651),"")</f>
        <v>1.08066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438.68500000000006</v>
      </c>
      <c r="BN284" s="64">
        <f t="shared" si="40"/>
        <v>440.23200000000003</v>
      </c>
      <c r="BO284" s="64">
        <f t="shared" si="41"/>
        <v>0.9088827838827841</v>
      </c>
      <c r="BP284" s="64">
        <f t="shared" si="42"/>
        <v>0.91208791208791218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60</v>
      </c>
      <c r="Y288" s="634">
        <f t="shared" si="38"/>
        <v>60</v>
      </c>
      <c r="Z288" s="36">
        <f>IFERROR(IF(Y288=0,"",ROUNDUP(Y288/H288,0)*0.00651),"")</f>
        <v>0.16275000000000001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66.45</v>
      </c>
      <c r="BN288" s="64">
        <f t="shared" si="40"/>
        <v>66.45</v>
      </c>
      <c r="BO288" s="64">
        <f t="shared" si="41"/>
        <v>0.13736263736263737</v>
      </c>
      <c r="BP288" s="64">
        <f t="shared" si="42"/>
        <v>0.13736263736263737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441.66666666666674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443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2.8839299999999999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1060</v>
      </c>
      <c r="Y291" s="635">
        <f>IFERROR(SUM(Y278:Y289),"0")</f>
        <v>1063.1999999999998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3.3333333333333335</v>
      </c>
      <c r="Y295" s="635">
        <f>IFERROR(Y293/H293,"0")+IFERROR(Y294/H294,"0")</f>
        <v>4</v>
      </c>
      <c r="Z295" s="635">
        <f>IFERROR(IF(Z293="",0,Z293),"0")+IFERROR(IF(Z294="",0,Z294),"0")</f>
        <v>2.6040000000000001E-2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8</v>
      </c>
      <c r="Y296" s="635">
        <f>IFERROR(SUM(Y293:Y294),"0")</f>
        <v>9.6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3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3.291666666666667</v>
      </c>
      <c r="BN313" s="64">
        <f>IFERROR(Y313*I313/H313,"0")</f>
        <v>3.95</v>
      </c>
      <c r="BO313" s="64">
        <f>IFERROR(1/J313*(X313/H313),"0")</f>
        <v>7.7160493827160481E-3</v>
      </c>
      <c r="BP313" s="64">
        <f>IFERROR(1/J313*(Y313/H313),"0")</f>
        <v>9.2592592592592587E-3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1.6666666666666665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3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60</v>
      </c>
      <c r="Y334" s="634">
        <f>IFERROR(IF(X334="",0,CEILING((X334/$H334),1)*$H334),"")</f>
        <v>60</v>
      </c>
      <c r="Z334" s="36">
        <f>IFERROR(IF(Y334=0,"",ROUNDUP(Y334/H334,0)*0.00651),"")</f>
        <v>0.16275000000000001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66.300000000000011</v>
      </c>
      <c r="BN334" s="64">
        <f>IFERROR(Y334*I334/H334,"0")</f>
        <v>66.300000000000011</v>
      </c>
      <c r="BO334" s="64">
        <f>IFERROR(1/J334*(X334/H334),"0")</f>
        <v>0.13736263736263737</v>
      </c>
      <c r="BP334" s="64">
        <f>IFERROR(1/J334*(Y334/H334),"0")</f>
        <v>0.13736263736263737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41.666666666666671</v>
      </c>
      <c r="Y336" s="635">
        <f>IFERROR(Y333/H333,"0")+IFERROR(Y334/H334,"0")+IFERROR(Y335/H335,"0")</f>
        <v>42</v>
      </c>
      <c r="Z336" s="635">
        <f>IFERROR(IF(Z333="",0,Z333),"0")+IFERROR(IF(Z334="",0,Z334),"0")+IFERROR(IF(Z335="",0,Z335),"0")</f>
        <v>0.27342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100</v>
      </c>
      <c r="Y337" s="635">
        <f>IFERROR(SUM(Y333:Y335),"0")</f>
        <v>100.8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50</v>
      </c>
      <c r="Y354" s="634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52.628205128205138</v>
      </c>
      <c r="BN354" s="64">
        <f>IFERROR(Y354*I354/H354,"0")</f>
        <v>57.470000000000013</v>
      </c>
      <c r="BO354" s="64">
        <f>IFERROR(1/J354*(X354/H354),"0")</f>
        <v>0.10016025641025642</v>
      </c>
      <c r="BP354" s="64">
        <f>IFERROR(1/J354*(Y354/H354),"0")</f>
        <v>0.109375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6.4102564102564106</v>
      </c>
      <c r="Y357" s="635">
        <f>IFERROR(Y354/H354,"0")+IFERROR(Y355/H355,"0")+IFERROR(Y356/H356,"0")</f>
        <v>7</v>
      </c>
      <c r="Z357" s="635">
        <f>IFERROR(IF(Z354="",0,Z354),"0")+IFERROR(IF(Z355="",0,Z355),"0")+IFERROR(IF(Z356="",0,Z356),"0")</f>
        <v>0.13286000000000001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50</v>
      </c>
      <c r="Y358" s="635">
        <f>IFERROR(SUM(Y354:Y356),"0")</f>
        <v>54.6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434</v>
      </c>
      <c r="Y387" s="634">
        <f>IFERROR(IF(X387="",0,CEILING((X387/$H387),1)*$H387),"")</f>
        <v>436.8</v>
      </c>
      <c r="Z387" s="36">
        <f>IFERROR(IF(Y387=0,"",ROUNDUP(Y387/H387,0)*0.01898),"")</f>
        <v>1.06288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461.48666666666668</v>
      </c>
      <c r="BN387" s="64">
        <f>IFERROR(Y387*I387/H387,"0")</f>
        <v>464.46400000000006</v>
      </c>
      <c r="BO387" s="64">
        <f>IFERROR(1/J387*(X387/H387),"0")</f>
        <v>0.86939102564102566</v>
      </c>
      <c r="BP387" s="64">
        <f>IFERROR(1/J387*(Y387/H387),"0")</f>
        <v>0.875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55.641025641025642</v>
      </c>
      <c r="Y389" s="635">
        <f>IFERROR(Y386/H386,"0")+IFERROR(Y387/H387,"0")+IFERROR(Y388/H388,"0")</f>
        <v>56</v>
      </c>
      <c r="Z389" s="635">
        <f>IFERROR(IF(Z386="",0,Z386),"0")+IFERROR(IF(Z387="",0,Z387),"0")+IFERROR(IF(Z388="",0,Z388),"0")</f>
        <v>1.06288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434</v>
      </c>
      <c r="Y390" s="635">
        <f>IFERROR(SUM(Y386:Y388),"0")</f>
        <v>436.8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13</v>
      </c>
      <c r="Y399" s="634">
        <f>IFERROR(IF(X399="",0,CEILING((X399/$H399),1)*$H399),"")</f>
        <v>14</v>
      </c>
      <c r="Z399" s="36">
        <f>IFERROR(IF(Y399=0,"",ROUNDUP(Y399/H399,0)*0.00474),"")</f>
        <v>3.3180000000000001E-2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14.560000000000002</v>
      </c>
      <c r="BN399" s="64">
        <f>IFERROR(Y399*I399/H399,"0")</f>
        <v>15.680000000000001</v>
      </c>
      <c r="BO399" s="64">
        <f>IFERROR(1/J399*(X399/H399),"0")</f>
        <v>2.7310924369747899E-2</v>
      </c>
      <c r="BP399" s="64">
        <f>IFERROR(1/J399*(Y399/H399),"0")</f>
        <v>2.9411764705882353E-2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8</v>
      </c>
      <c r="Y400" s="634">
        <f>IFERROR(IF(X400="",0,CEILING((X400/$H400),1)*$H400),"")</f>
        <v>8</v>
      </c>
      <c r="Z400" s="36">
        <f>IFERROR(IF(Y400=0,"",ROUNDUP(Y400/H400,0)*0.00474),"")</f>
        <v>1.8960000000000001E-2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8.9600000000000009</v>
      </c>
      <c r="BN400" s="64">
        <f>IFERROR(Y400*I400/H400,"0")</f>
        <v>8.9600000000000009</v>
      </c>
      <c r="BO400" s="64">
        <f>IFERROR(1/J400*(X400/H400),"0")</f>
        <v>1.680672268907563E-2</v>
      </c>
      <c r="BP400" s="64">
        <f>IFERROR(1/J400*(Y400/H400),"0")</f>
        <v>1.680672268907563E-2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10.5</v>
      </c>
      <c r="Y402" s="635">
        <f>IFERROR(Y399/H399,"0")+IFERROR(Y400/H400,"0")+IFERROR(Y401/H401,"0")</f>
        <v>11</v>
      </c>
      <c r="Z402" s="635">
        <f>IFERROR(IF(Z399="",0,Z399),"0")+IFERROR(IF(Z400="",0,Z400),"0")+IFERROR(IF(Z401="",0,Z401),"0")</f>
        <v>5.2140000000000006E-2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21</v>
      </c>
      <c r="Y403" s="635">
        <f>IFERROR(SUM(Y399:Y401),"0")</f>
        <v>22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14</v>
      </c>
      <c r="Y405" s="634">
        <f>IFERROR(IF(X405="",0,CEILING((X405/$H405),1)*$H405),"")</f>
        <v>15</v>
      </c>
      <c r="Z405" s="36">
        <f>IFERROR(IF(Y405=0,"",ROUNDUP(Y405/H405,0)*0.0045),"")</f>
        <v>2.2499999999999999E-2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15.026666666666669</v>
      </c>
      <c r="BN405" s="64">
        <f>IFERROR(Y405*I405/H405,"0")</f>
        <v>16.100000000000001</v>
      </c>
      <c r="BO405" s="64">
        <f>IFERROR(1/J405*(X405/H405),"0")</f>
        <v>2.0833333333333332E-2</v>
      </c>
      <c r="BP405" s="64">
        <f>IFERROR(1/J405*(Y405/H405),"0")</f>
        <v>2.2321428571428568E-2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8</v>
      </c>
      <c r="Y407" s="634">
        <f>IFERROR(IF(X407="",0,CEILING((X407/$H407),1)*$H407),"")</f>
        <v>9</v>
      </c>
      <c r="Z407" s="36">
        <f>IFERROR(IF(Y407=0,"",ROUNDUP(Y407/H407,0)*0.0045),"")</f>
        <v>1.3499999999999998E-2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8.5866666666666678</v>
      </c>
      <c r="BN407" s="64">
        <f>IFERROR(Y407*I407/H407,"0")</f>
        <v>9.66</v>
      </c>
      <c r="BO407" s="64">
        <f>IFERROR(1/J407*(X407/H407),"0")</f>
        <v>1.1904761904761904E-2</v>
      </c>
      <c r="BP407" s="64">
        <f>IFERROR(1/J407*(Y407/H407),"0")</f>
        <v>1.3392857142857142E-2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7.3333333333333339</v>
      </c>
      <c r="Y408" s="635">
        <f>IFERROR(Y405/H405,"0")+IFERROR(Y406/H406,"0")+IFERROR(Y407/H407,"0")</f>
        <v>8</v>
      </c>
      <c r="Z408" s="635">
        <f>IFERROR(IF(Z405="",0,Z405),"0")+IFERROR(IF(Z406="",0,Z406),"0")+IFERROR(IF(Z407="",0,Z407),"0")</f>
        <v>3.5999999999999997E-2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22</v>
      </c>
      <c r="Y409" s="635">
        <f>IFERROR(SUM(Y405:Y407),"0")</f>
        <v>24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136</v>
      </c>
      <c r="Y419" s="634">
        <f>IFERROR(IF(X419="",0,CEILING((X419/$H419),1)*$H419),"")</f>
        <v>136.5</v>
      </c>
      <c r="Z419" s="36">
        <f>IFERROR(IF(Y419=0,"",ROUNDUP(Y419/H419,0)*0.00651),"")</f>
        <v>0.42315000000000003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152.31999999999996</v>
      </c>
      <c r="BN419" s="64">
        <f>IFERROR(Y419*I419/H419,"0")</f>
        <v>152.88</v>
      </c>
      <c r="BO419" s="64">
        <f>IFERROR(1/J419*(X419/H419),"0")</f>
        <v>0.3558346415489273</v>
      </c>
      <c r="BP419" s="64">
        <f>IFERROR(1/J419*(Y419/H419),"0")</f>
        <v>0.35714285714285715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64.761904761904759</v>
      </c>
      <c r="Y421" s="635">
        <f>IFERROR(Y418/H418,"0")+IFERROR(Y419/H419,"0")+IFERROR(Y420/H420,"0")</f>
        <v>65</v>
      </c>
      <c r="Z421" s="635">
        <f>IFERROR(IF(Z418="",0,Z418),"0")+IFERROR(IF(Z419="",0,Z419),"0")+IFERROR(IF(Z420="",0,Z420),"0")</f>
        <v>0.42315000000000003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136</v>
      </c>
      <c r="Y422" s="635">
        <f>IFERROR(SUM(Y418:Y420),"0")</f>
        <v>136.5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363</v>
      </c>
      <c r="Y428" s="634">
        <f t="shared" si="53"/>
        <v>375</v>
      </c>
      <c r="Z428" s="36">
        <f>IFERROR(IF(Y428=0,"",ROUNDUP(Y428/H428,0)*0.02175),"")</f>
        <v>0.54374999999999996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374.37400000000002</v>
      </c>
      <c r="BN428" s="64">
        <f t="shared" si="55"/>
        <v>386.75</v>
      </c>
      <c r="BO428" s="64">
        <f t="shared" si="56"/>
        <v>0.50416666666666665</v>
      </c>
      <c r="BP428" s="64">
        <f t="shared" si="57"/>
        <v>0.52083333333333326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1186</v>
      </c>
      <c r="Y429" s="634">
        <f t="shared" si="53"/>
        <v>1200</v>
      </c>
      <c r="Z429" s="36">
        <f>IFERROR(IF(Y429=0,"",ROUNDUP(Y429/H429,0)*0.02175),"")</f>
        <v>1.7399999999999998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1223.1613333333335</v>
      </c>
      <c r="BN429" s="64">
        <f t="shared" si="55"/>
        <v>1237.5999999999999</v>
      </c>
      <c r="BO429" s="64">
        <f t="shared" si="56"/>
        <v>1.6472222222222221</v>
      </c>
      <c r="BP429" s="64">
        <f t="shared" si="57"/>
        <v>1.6666666666666665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103.26666666666667</v>
      </c>
      <c r="Y434" s="635">
        <f>IFERROR(Y426/H426,"0")+IFERROR(Y427/H427,"0")+IFERROR(Y428/H428,"0")+IFERROR(Y429/H429,"0")+IFERROR(Y430/H430,"0")+IFERROR(Y431/H431,"0")+IFERROR(Y432/H432,"0")+IFERROR(Y433/H433,"0")</f>
        <v>105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2.2837499999999995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1549</v>
      </c>
      <c r="Y435" s="635">
        <f>IFERROR(SUM(Y426:Y433),"0")</f>
        <v>1575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903</v>
      </c>
      <c r="Y437" s="634">
        <f>IFERROR(IF(X437="",0,CEILING((X437/$H437),1)*$H437),"")</f>
        <v>915</v>
      </c>
      <c r="Z437" s="36">
        <f>IFERROR(IF(Y437=0,"",ROUNDUP(Y437/H437,0)*0.02175),"")</f>
        <v>1.3267499999999999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931.29399999999998</v>
      </c>
      <c r="BN437" s="64">
        <f>IFERROR(Y437*I437/H437,"0")</f>
        <v>943.67000000000007</v>
      </c>
      <c r="BO437" s="64">
        <f>IFERROR(1/J437*(X437/H437),"0")</f>
        <v>1.2541666666666667</v>
      </c>
      <c r="BP437" s="64">
        <f>IFERROR(1/J437*(Y437/H437),"0")</f>
        <v>1.2708333333333333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60.2</v>
      </c>
      <c r="Y440" s="635">
        <f>IFERROR(Y437/H437,"0")+IFERROR(Y438/H438,"0")+IFERROR(Y439/H439,"0")</f>
        <v>61</v>
      </c>
      <c r="Z440" s="635">
        <f>IFERROR(IF(Z437="",0,Z437),"0")+IFERROR(IF(Z438="",0,Z438),"0")+IFERROR(IF(Z439="",0,Z439),"0")</f>
        <v>1.3267499999999999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903</v>
      </c>
      <c r="Y441" s="635">
        <f>IFERROR(SUM(Y437:Y439),"0")</f>
        <v>915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930</v>
      </c>
      <c r="Y464" s="634">
        <f>IFERROR(IF(X464="",0,CEILING((X464/$H464),1)*$H464),"")</f>
        <v>936</v>
      </c>
      <c r="Z464" s="36">
        <f>IFERROR(IF(Y464=0,"",ROUNDUP(Y464/H464,0)*0.01898),"")</f>
        <v>1.9739200000000001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981.04666666666662</v>
      </c>
      <c r="BN464" s="64">
        <f>IFERROR(Y464*I464/H464,"0")</f>
        <v>987.37599999999998</v>
      </c>
      <c r="BO464" s="64">
        <f>IFERROR(1/J464*(X464/H464),"0")</f>
        <v>1.6145833333333333</v>
      </c>
      <c r="BP464" s="64">
        <f>IFERROR(1/J464*(Y464/H464),"0")</f>
        <v>1.625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160</v>
      </c>
      <c r="Y465" s="634">
        <f>IFERROR(IF(X465="",0,CEILING((X465/$H465),1)*$H465),"")</f>
        <v>160.79999999999998</v>
      </c>
      <c r="Z465" s="36">
        <f>IFERROR(IF(Y465=0,"",ROUNDUP(Y465/H465,0)*0.00651),"")</f>
        <v>0.43617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177.60000000000002</v>
      </c>
      <c r="BN465" s="64">
        <f>IFERROR(Y465*I465/H465,"0")</f>
        <v>178.488</v>
      </c>
      <c r="BO465" s="64">
        <f>IFERROR(1/J465*(X465/H465),"0")</f>
        <v>0.36630036630036633</v>
      </c>
      <c r="BP465" s="64">
        <f>IFERROR(1/J465*(Y465/H465),"0")</f>
        <v>0.36813186813186816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170</v>
      </c>
      <c r="Y467" s="635">
        <f>IFERROR(Y464/H464,"0")+IFERROR(Y465/H465,"0")+IFERROR(Y466/H466,"0")</f>
        <v>171</v>
      </c>
      <c r="Z467" s="635">
        <f>IFERROR(IF(Z464="",0,Z464),"0")+IFERROR(IF(Z465="",0,Z465),"0")+IFERROR(IF(Z466="",0,Z466),"0")</f>
        <v>2.4100900000000003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1090</v>
      </c>
      <c r="Y468" s="635">
        <f>IFERROR(SUM(Y464:Y466),"0")</f>
        <v>1096.8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2598</v>
      </c>
      <c r="Y502" s="634">
        <f t="shared" si="63"/>
        <v>2603.04</v>
      </c>
      <c r="Z502" s="36">
        <f t="shared" si="64"/>
        <v>5.89628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2770.215909090909</v>
      </c>
      <c r="BN502" s="64">
        <f t="shared" si="66"/>
        <v>2775.5899999999997</v>
      </c>
      <c r="BO502" s="64">
        <f t="shared" si="67"/>
        <v>4.7312062937062933</v>
      </c>
      <c r="BP502" s="64">
        <f t="shared" si="68"/>
        <v>4.740384615384615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492.0454545454545</v>
      </c>
      <c r="Y508" s="635">
        <f>IFERROR(Y499/H499,"0")+IFERROR(Y500/H500,"0")+IFERROR(Y501/H501,"0")+IFERROR(Y502/H502,"0")+IFERROR(Y503/H503,"0")+IFERROR(Y504/H504,"0")+IFERROR(Y505/H505,"0")+IFERROR(Y506/H506,"0")+IFERROR(Y507/H507,"0")</f>
        <v>492.99999999999994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5.89628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2598</v>
      </c>
      <c r="Y509" s="635">
        <f>IFERROR(SUM(Y499:Y507),"0")</f>
        <v>2603.04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1202</v>
      </c>
      <c r="Y511" s="634">
        <f>IFERROR(IF(X511="",0,CEILING((X511/$H511),1)*$H511),"")</f>
        <v>1203.8400000000001</v>
      </c>
      <c r="Z511" s="36">
        <f>IFERROR(IF(Y511=0,"",ROUNDUP(Y511/H511,0)*0.01196),"")</f>
        <v>2.72688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1281.6780303030303</v>
      </c>
      <c r="BN511" s="64">
        <f>IFERROR(Y511*I511/H511,"0")</f>
        <v>1283.6400000000001</v>
      </c>
      <c r="BO511" s="64">
        <f>IFERROR(1/J511*(X511/H511),"0")</f>
        <v>2.1889568764568765</v>
      </c>
      <c r="BP511" s="64">
        <f>IFERROR(1/J511*(Y511/H511),"0")</f>
        <v>2.1923076923076925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227.65151515151513</v>
      </c>
      <c r="Y514" s="635">
        <f>IFERROR(Y511/H511,"0")+IFERROR(Y512/H512,"0")+IFERROR(Y513/H513,"0")</f>
        <v>228.00000000000003</v>
      </c>
      <c r="Z514" s="635">
        <f>IFERROR(IF(Z511="",0,Z511),"0")+IFERROR(IF(Z512="",0,Z512),"0")+IFERROR(IF(Z513="",0,Z513),"0")</f>
        <v>2.72688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1202</v>
      </c>
      <c r="Y515" s="635">
        <f>IFERROR(SUM(Y511:Y513),"0")</f>
        <v>1203.8400000000001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347</v>
      </c>
      <c r="Y517" s="634">
        <f t="shared" ref="Y517:Y523" si="69">IFERROR(IF(X517="",0,CEILING((X517/$H517),1)*$H517),"")</f>
        <v>348.48</v>
      </c>
      <c r="Z517" s="36">
        <f>IFERROR(IF(Y517=0,"",ROUNDUP(Y517/H517,0)*0.01196),"")</f>
        <v>0.78936000000000006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370.00189393939388</v>
      </c>
      <c r="BN517" s="64">
        <f t="shared" ref="BN517:BN523" si="71">IFERROR(Y517*I517/H517,"0")</f>
        <v>371.58</v>
      </c>
      <c r="BO517" s="64">
        <f t="shared" ref="BO517:BO523" si="72">IFERROR(1/J517*(X517/H517),"0")</f>
        <v>0.6319201631701632</v>
      </c>
      <c r="BP517" s="64">
        <f t="shared" ref="BP517:BP523" si="73">IFERROR(1/J517*(Y517/H517),"0")</f>
        <v>0.63461538461538469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320</v>
      </c>
      <c r="Y518" s="634">
        <f t="shared" si="69"/>
        <v>322.08000000000004</v>
      </c>
      <c r="Z518" s="36">
        <f>IFERROR(IF(Y518=0,"",ROUNDUP(Y518/H518,0)*0.01196),"")</f>
        <v>0.72955999999999999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341.21212121212119</v>
      </c>
      <c r="BN518" s="64">
        <f t="shared" si="71"/>
        <v>343.43000000000006</v>
      </c>
      <c r="BO518" s="64">
        <f t="shared" si="72"/>
        <v>0.58275058275058278</v>
      </c>
      <c r="BP518" s="64">
        <f t="shared" si="73"/>
        <v>0.58653846153846168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1635</v>
      </c>
      <c r="Y519" s="634">
        <f t="shared" si="69"/>
        <v>1636.8000000000002</v>
      </c>
      <c r="Z519" s="36">
        <f>IFERROR(IF(Y519=0,"",ROUNDUP(Y519/H519,0)*0.01196),"")</f>
        <v>3.7076000000000002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1743.3806818181815</v>
      </c>
      <c r="BN519" s="64">
        <f t="shared" si="71"/>
        <v>1745.3000000000002</v>
      </c>
      <c r="BO519" s="64">
        <f t="shared" si="72"/>
        <v>2.9774912587412588</v>
      </c>
      <c r="BP519" s="64">
        <f t="shared" si="73"/>
        <v>2.9807692307692308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435.98484848484844</v>
      </c>
      <c r="Y524" s="635">
        <f>IFERROR(Y517/H517,"0")+IFERROR(Y518/H518,"0")+IFERROR(Y519/H519,"0")+IFERROR(Y520/H520,"0")+IFERROR(Y521/H521,"0")+IFERROR(Y522/H522,"0")+IFERROR(Y523/H523,"0")</f>
        <v>437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5.2265200000000007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2302</v>
      </c>
      <c r="Y525" s="635">
        <f>IFERROR(SUM(Y517:Y523),"0")</f>
        <v>2307.36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17014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17161.580000000002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18020.878277988948</v>
      </c>
      <c r="Y555" s="635">
        <f>IFERROR(SUM(BN22:BN551),"0")</f>
        <v>18175.933999999997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18795.878277988948</v>
      </c>
      <c r="Y557" s="635">
        <f>GrossWeightTotalR+PalletQtyTotalR*25</f>
        <v>18950.933999999997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3046.8558493891828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3073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36.38794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1167.9000000000001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527.80000000000007</v>
      </c>
      <c r="F564" s="46">
        <f>IFERROR(Y84*1,"0")+IFERROR(Y85*1,"0")+IFERROR(Y86*1,"0")+IFERROR(Y87*1,"0")+IFERROR(Y91*1,"0")+IFERROR(Y92*1,"0")+IFERROR(Y93*1,"0")+IFERROR(Y94*1,"0")</f>
        <v>1336.5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1880.94</v>
      </c>
      <c r="H564" s="46">
        <f>IFERROR(Y129*1,"0")+IFERROR(Y130*1,"0")+IFERROR(Y131*1,"0")+IFERROR(Y135*1,"0")+IFERROR(Y136*1,"0")+IFERROR(Y137*1,"0")+IFERROR(Y138*1,"0")+IFERROR(Y142*1,"0")+IFERROR(Y143*1,"0")+IFERROR(Y144*1,"0")</f>
        <v>5.6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274.89999999999998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46.800000000000004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1441.7999999999997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3.6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100.8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54.6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482.8</v>
      </c>
      <c r="U564" s="46">
        <f>IFERROR(Y412*1,"0")+IFERROR(Y413*1,"0")</f>
        <v>0</v>
      </c>
      <c r="V564" s="46">
        <f>IFERROR(Y418*1,"0")+IFERROR(Y419*1,"0")+IFERROR(Y420*1,"0")</f>
        <v>136.5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2490</v>
      </c>
      <c r="X564" s="46">
        <f>IFERROR(Y455*1,"0")+IFERROR(Y456*1,"0")+IFERROR(Y460*1,"0")+IFERROR(Y464*1,"0")+IFERROR(Y465*1,"0")+IFERROR(Y466*1,"0")</f>
        <v>1096.8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6114.2400000000007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2026-08-07T09:21:55Z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