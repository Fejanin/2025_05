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2F941BE-E438-48C4-A19B-07943C89F1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6" i="1" l="1"/>
  <c r="Z197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<sst xmlns="http://schemas.openxmlformats.org/spreadsheetml/2006/main" count="2515" uniqueCount="912">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</sst>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1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1803</v>
      </c>
      <c r="Y47" s="634">
        <f>IFERROR(IF(X47="",0,CEILING((X47/$H47),1)*$H47),"")</f>
        <v>1803.6000000000001</v>
      </c>
      <c r="Z47" s="36">
        <f>IFERROR(IF(Y47=0,"",ROUNDUP(Y47/H47,0)*0.01898),"")</f>
        <v>3.1696599999999999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1871.4472222222221</v>
      </c>
      <c r="BN47" s="64">
        <f>IFERROR(Y47*I47/H47,"0")</f>
        <v>1872.0700000000002</v>
      </c>
      <c r="BO47" s="64">
        <f>IFERROR(1/J47*(X47/H47),"0")</f>
        <v>2.6085069444444442</v>
      </c>
      <c r="BP47" s="64">
        <f>IFERROR(1/J47*(Y47/H47),"0")</f>
        <v>2.609375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169</v>
      </c>
      <c r="Y50" s="634">
        <f>IFERROR(IF(X50="",0,CEILING((X50/$H50),1)*$H50),"")</f>
        <v>170.20000000000002</v>
      </c>
      <c r="Z50" s="36">
        <f>IFERROR(IF(Y50=0,"",ROUNDUP(Y50/H50,0)*0.00902),"")</f>
        <v>0.41492000000000001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177.67837837837837</v>
      </c>
      <c r="BN50" s="64">
        <f>IFERROR(Y50*I50/H50,"0")</f>
        <v>178.94000000000003</v>
      </c>
      <c r="BO50" s="64">
        <f>IFERROR(1/J50*(X50/H50),"0")</f>
        <v>0.34602784602784598</v>
      </c>
      <c r="BP50" s="64">
        <f>IFERROR(1/J50*(Y50/H50),"0")</f>
        <v>0.34848484848484851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212.62012012012011</v>
      </c>
      <c r="Y51" s="635">
        <f>IFERROR(Y47/H47,"0")+IFERROR(Y48/H48,"0")+IFERROR(Y49/H49,"0")+IFERROR(Y50/H50,"0")</f>
        <v>213</v>
      </c>
      <c r="Z51" s="635">
        <f>IFERROR(IF(Z47="",0,Z47),"0")+IFERROR(IF(Z48="",0,Z48),"0")+IFERROR(IF(Z49="",0,Z49),"0")+IFERROR(IF(Z50="",0,Z50),"0")</f>
        <v>3.5845799999999999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1972</v>
      </c>
      <c r="Y52" s="635">
        <f>IFERROR(SUM(Y47:Y50),"0")</f>
        <v>1973.8000000000002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156</v>
      </c>
      <c r="Y55" s="634">
        <f t="shared" ref="Y55:Y62" si="0">IFERROR(IF(X55="",0,CEILING((X55/$H55),1)*$H55),"")</f>
        <v>156.79999999999998</v>
      </c>
      <c r="Z55" s="36">
        <f>IFERROR(IF(Y55=0,"",ROUNDUP(Y55/H55,0)*0.01898),"")</f>
        <v>0.26572000000000001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161.71071428571429</v>
      </c>
      <c r="BN55" s="64">
        <f t="shared" ref="BN55:BN62" si="2">IFERROR(Y55*I55/H55,"0")</f>
        <v>162.54</v>
      </c>
      <c r="BO55" s="64">
        <f t="shared" ref="BO55:BO62" si="3">IFERROR(1/J55*(X55/H55),"0")</f>
        <v>0.21763392857142858</v>
      </c>
      <c r="BP55" s="64">
        <f t="shared" ref="BP55:BP62" si="4">IFERROR(1/J55*(Y55/H55),"0")</f>
        <v>0.21875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318</v>
      </c>
      <c r="Y57" s="634">
        <f t="shared" si="0"/>
        <v>324</v>
      </c>
      <c r="Z57" s="36">
        <f>IFERROR(IF(Y57=0,"",ROUNDUP(Y57/H57,0)*0.01898),"")</f>
        <v>0.56940000000000002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330.07222222222219</v>
      </c>
      <c r="BN57" s="64">
        <f t="shared" si="2"/>
        <v>336.3</v>
      </c>
      <c r="BO57" s="64">
        <f t="shared" si="3"/>
        <v>0.46006944444444442</v>
      </c>
      <c r="BP57" s="64">
        <f t="shared" si="4"/>
        <v>0.46874999999999994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100</v>
      </c>
      <c r="Y60" s="634">
        <f t="shared" si="0"/>
        <v>100</v>
      </c>
      <c r="Z60" s="36">
        <f>IFERROR(IF(Y60=0,"",ROUNDUP(Y60/H60,0)*0.00902),"")</f>
        <v>0.22550000000000001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104.75000000000001</v>
      </c>
      <c r="BN60" s="64">
        <f t="shared" si="2"/>
        <v>104.75000000000001</v>
      </c>
      <c r="BO60" s="64">
        <f t="shared" si="3"/>
        <v>0.18939393939393939</v>
      </c>
      <c r="BP60" s="64">
        <f t="shared" si="4"/>
        <v>0.18939393939393939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6</v>
      </c>
      <c r="Y62" s="63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6.2533333333333339</v>
      </c>
      <c r="BN62" s="64">
        <f t="shared" si="2"/>
        <v>9.3800000000000008</v>
      </c>
      <c r="BO62" s="64">
        <f t="shared" si="3"/>
        <v>1.01010101010101E-2</v>
      </c>
      <c r="BP62" s="64">
        <f t="shared" si="4"/>
        <v>1.5151515151515152E-2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69.706349206349202</v>
      </c>
      <c r="Y63" s="635">
        <f>IFERROR(Y55/H55,"0")+IFERROR(Y56/H56,"0")+IFERROR(Y57/H57,"0")+IFERROR(Y58/H58,"0")+IFERROR(Y59/H59,"0")+IFERROR(Y60/H60,"0")+IFERROR(Y61/H61,"0")+IFERROR(Y62/H62,"0")</f>
        <v>71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1.0786600000000002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580</v>
      </c>
      <c r="Y64" s="635">
        <f>IFERROR(SUM(Y55:Y62),"0")</f>
        <v>589.79999999999995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285</v>
      </c>
      <c r="Y66" s="634">
        <f>IFERROR(IF(X66="",0,CEILING((X66/$H66),1)*$H66),"")</f>
        <v>291.60000000000002</v>
      </c>
      <c r="Z66" s="36">
        <f>IFERROR(IF(Y66=0,"",ROUNDUP(Y66/H66,0)*0.01898),"")</f>
        <v>0.51246000000000003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295.81944444444446</v>
      </c>
      <c r="BN66" s="64">
        <f>IFERROR(Y66*I66/H66,"0")</f>
        <v>302.67000000000007</v>
      </c>
      <c r="BO66" s="64">
        <f>IFERROR(1/J66*(X66/H66),"0")</f>
        <v>0.41232638888888884</v>
      </c>
      <c r="BP66" s="64">
        <f>IFERROR(1/J66*(Y66/H66),"0")</f>
        <v>0.421875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26.388888888888886</v>
      </c>
      <c r="Y70" s="635">
        <f>IFERROR(Y66/H66,"0")+IFERROR(Y67/H67,"0")+IFERROR(Y68/H68,"0")+IFERROR(Y69/H69,"0")</f>
        <v>27</v>
      </c>
      <c r="Z70" s="635">
        <f>IFERROR(IF(Z66="",0,Z66),"0")+IFERROR(IF(Z67="",0,Z67),"0")+IFERROR(IF(Z68="",0,Z68),"0")+IFERROR(IF(Z69="",0,Z69),"0")</f>
        <v>0.51246000000000003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285</v>
      </c>
      <c r="Y71" s="635">
        <f>IFERROR(SUM(Y66:Y69),"0")</f>
        <v>291.60000000000002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294</v>
      </c>
      <c r="Y84" s="634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305.1611111111111</v>
      </c>
      <c r="BN84" s="64">
        <f>IFERROR(Y84*I84/H84,"0")</f>
        <v>313.88</v>
      </c>
      <c r="BO84" s="64">
        <f>IFERROR(1/J84*(X84/H84),"0")</f>
        <v>0.42534722222222221</v>
      </c>
      <c r="BP84" s="64">
        <f>IFERROR(1/J84*(Y84/H84),"0")</f>
        <v>0.4375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164</v>
      </c>
      <c r="Y87" s="634">
        <f>IFERROR(IF(X87="",0,CEILING((X87/$H87),1)*$H87),"")</f>
        <v>166.5</v>
      </c>
      <c r="Z87" s="36">
        <f>IFERROR(IF(Y87=0,"",ROUNDUP(Y87/H87,0)*0.00902),"")</f>
        <v>0.33374000000000004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170.92444444444448</v>
      </c>
      <c r="BN87" s="64">
        <f>IFERROR(Y87*I87/H87,"0")</f>
        <v>173.53000000000003</v>
      </c>
      <c r="BO87" s="64">
        <f>IFERROR(1/J87*(X87/H87),"0")</f>
        <v>0.27609427609427611</v>
      </c>
      <c r="BP87" s="64">
        <f>IFERROR(1/J87*(Y87/H87),"0")</f>
        <v>0.28030303030303033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63.666666666666664</v>
      </c>
      <c r="Y88" s="635">
        <f>IFERROR(Y84/H84,"0")+IFERROR(Y85/H85,"0")+IFERROR(Y86/H86,"0")+IFERROR(Y87/H87,"0")</f>
        <v>65</v>
      </c>
      <c r="Z88" s="635">
        <f>IFERROR(IF(Z84="",0,Z84),"0")+IFERROR(IF(Z85="",0,Z85),"0")+IFERROR(IF(Z86="",0,Z86),"0")+IFERROR(IF(Z87="",0,Z87),"0")</f>
        <v>0.86518000000000006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458</v>
      </c>
      <c r="Y89" s="635">
        <f>IFERROR(SUM(Y84:Y87),"0")</f>
        <v>468.90000000000003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708</v>
      </c>
      <c r="Y91" s="634">
        <f>IFERROR(IF(X91="",0,CEILING((X91/$H91),1)*$H91),"")</f>
        <v>712.8</v>
      </c>
      <c r="Z91" s="36">
        <f>IFERROR(IF(Y91=0,"",ROUNDUP(Y91/H91,0)*0.01898),"")</f>
        <v>1.6702399999999999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751.1792592592592</v>
      </c>
      <c r="BN91" s="64">
        <f>IFERROR(Y91*I91/H91,"0")</f>
        <v>756.27199999999993</v>
      </c>
      <c r="BO91" s="64">
        <f>IFERROR(1/J91*(X91/H91),"0")</f>
        <v>1.3657407407407407</v>
      </c>
      <c r="BP91" s="64">
        <f>IFERROR(1/J91*(Y91/H91),"0")</f>
        <v>1.375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231</v>
      </c>
      <c r="Y93" s="634">
        <f>IFERROR(IF(X93="",0,CEILING((X93/$H93),1)*$H93),"")</f>
        <v>232.20000000000002</v>
      </c>
      <c r="Z93" s="36">
        <f>IFERROR(IF(Y93=0,"",ROUNDUP(Y93/H93,0)*0.00651),"")</f>
        <v>0.55986000000000002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252.56</v>
      </c>
      <c r="BN93" s="64">
        <f>IFERROR(Y93*I93/H93,"0")</f>
        <v>253.87200000000001</v>
      </c>
      <c r="BO93" s="64">
        <f>IFERROR(1/J93*(X93/H93),"0")</f>
        <v>0.47008547008547003</v>
      </c>
      <c r="BP93" s="64">
        <f>IFERROR(1/J93*(Y93/H93),"0")</f>
        <v>0.47252747252747257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172.96296296296293</v>
      </c>
      <c r="Y95" s="635">
        <f>IFERROR(Y91/H91,"0")+IFERROR(Y92/H92,"0")+IFERROR(Y93/H93,"0")+IFERROR(Y94/H94,"0")</f>
        <v>174</v>
      </c>
      <c r="Z95" s="635">
        <f>IFERROR(IF(Z91="",0,Z91),"0")+IFERROR(IF(Z92="",0,Z92),"0")+IFERROR(IF(Z93="",0,Z93),"0")+IFERROR(IF(Z94="",0,Z94),"0")</f>
        <v>2.2301000000000002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939</v>
      </c>
      <c r="Y96" s="635">
        <f>IFERROR(SUM(Y91:Y94),"0")</f>
        <v>945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578</v>
      </c>
      <c r="Y99" s="634">
        <f t="shared" ref="Y99:Y105" si="5">IFERROR(IF(X99="",0,CEILING((X99/$H99),1)*$H99),"")</f>
        <v>583.20000000000005</v>
      </c>
      <c r="Z99" s="36">
        <f>IFERROR(IF(Y99=0,"",ROUNDUP(Y99/H99,0)*0.01898),"")</f>
        <v>1.0249200000000001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599.94259259259252</v>
      </c>
      <c r="BN99" s="64">
        <f t="shared" ref="BN99:BN105" si="7">IFERROR(Y99*I99/H99,"0")</f>
        <v>605.34000000000015</v>
      </c>
      <c r="BO99" s="64">
        <f t="shared" ref="BO99:BO105" si="8">IFERROR(1/J99*(X99/H99),"0")</f>
        <v>0.83622685185185175</v>
      </c>
      <c r="BP99" s="64">
        <f t="shared" ref="BP99:BP105" si="9">IFERROR(1/J99*(Y99/H99),"0")</f>
        <v>0.84375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73.518518518518505</v>
      </c>
      <c r="Y106" s="635">
        <f>IFERROR(Y99/H99,"0")+IFERROR(Y100/H100,"0")+IFERROR(Y101/H101,"0")+IFERROR(Y102/H102,"0")+IFERROR(Y103/H103,"0")+IFERROR(Y104/H104,"0")+IFERROR(Y105/H105,"0")</f>
        <v>74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1.2053199999999999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668</v>
      </c>
      <c r="Y107" s="635">
        <f>IFERROR(SUM(Y99:Y105),"0")</f>
        <v>673.2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15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15.569444444444445</v>
      </c>
      <c r="BN109" s="64">
        <f>IFERROR(Y109*I109/H109,"0")</f>
        <v>22.42</v>
      </c>
      <c r="BO109" s="64">
        <f>IFERROR(1/J109*(X109/H109),"0")</f>
        <v>2.1701388888888888E-2</v>
      </c>
      <c r="BP109" s="64">
        <f>IFERROR(1/J109*(Y109/H109),"0")</f>
        <v>3.125E-2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2</v>
      </c>
      <c r="Y110" s="634">
        <f>IFERROR(IF(X110="",0,CEILING((X110/$H110),1)*$H110),"")</f>
        <v>2</v>
      </c>
      <c r="Z110" s="36">
        <f>IFERROR(IF(Y110=0,"",ROUNDUP(Y110/H110,0)*0.00358),"")</f>
        <v>7.1599999999999997E-3</v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2.42</v>
      </c>
      <c r="BN110" s="64">
        <f>IFERROR(Y110*I110/H110,"0")</f>
        <v>2.42</v>
      </c>
      <c r="BO110" s="64">
        <f>IFERROR(1/J110*(X110/H110),"0")</f>
        <v>5.1020408163265302E-3</v>
      </c>
      <c r="BP110" s="64">
        <f>IFERROR(1/J110*(Y110/H110),"0")</f>
        <v>5.1020408163265302E-3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13</v>
      </c>
      <c r="Y113" s="634">
        <f>IFERROR(IF(X113="",0,CEILING((X113/$H113),1)*$H113),"")</f>
        <v>14.399999999999999</v>
      </c>
      <c r="Z113" s="36">
        <f>IFERROR(IF(Y113=0,"",ROUNDUP(Y113/H113,0)*0.00651),"")</f>
        <v>3.9059999999999997E-2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13.975</v>
      </c>
      <c r="BN113" s="64">
        <f>IFERROR(Y113*I113/H113,"0")</f>
        <v>15.479999999999999</v>
      </c>
      <c r="BO113" s="64">
        <f>IFERROR(1/J113*(X113/H113),"0")</f>
        <v>2.9761904761904767E-2</v>
      </c>
      <c r="BP113" s="64">
        <f>IFERROR(1/J113*(Y113/H113),"0")</f>
        <v>3.2967032967032968E-2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8.8055555555555554</v>
      </c>
      <c r="Y114" s="635">
        <f>IFERROR(Y109/H109,"0")+IFERROR(Y110/H110,"0")+IFERROR(Y111/H111,"0")+IFERROR(Y112/H112,"0")+IFERROR(Y113/H113,"0")</f>
        <v>10</v>
      </c>
      <c r="Z114" s="635">
        <f>IFERROR(IF(Z109="",0,Z109),"0")+IFERROR(IF(Z110="",0,Z110),"0")+IFERROR(IF(Z111="",0,Z111),"0")+IFERROR(IF(Z112="",0,Z112),"0")+IFERROR(IF(Z113="",0,Z113),"0")</f>
        <v>8.4180000000000005E-2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30</v>
      </c>
      <c r="Y115" s="635">
        <f>IFERROR(SUM(Y109:Y113),"0")</f>
        <v>38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756</v>
      </c>
      <c r="Y117" s="634">
        <f>IFERROR(IF(X117="",0,CEILING((X117/$H117),1)*$H117),"")</f>
        <v>761.4</v>
      </c>
      <c r="Z117" s="36">
        <f>IFERROR(IF(Y117=0,"",ROUNDUP(Y117/H117,0)*0.01898),"")</f>
        <v>1.7841199999999999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801.54666666666662</v>
      </c>
      <c r="BN117" s="64">
        <f>IFERROR(Y117*I117/H117,"0")</f>
        <v>807.27199999999993</v>
      </c>
      <c r="BO117" s="64">
        <f>IFERROR(1/J117*(X117/H117),"0")</f>
        <v>1.4583333333333335</v>
      </c>
      <c r="BP117" s="64">
        <f>IFERROR(1/J117*(Y117/H117),"0")</f>
        <v>1.46875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391</v>
      </c>
      <c r="Y119" s="634">
        <f>IFERROR(IF(X119="",0,CEILING((X119/$H119),1)*$H119),"")</f>
        <v>391.5</v>
      </c>
      <c r="Z119" s="36">
        <f>IFERROR(IF(Y119=0,"",ROUNDUP(Y119/H119,0)*0.00651),"")</f>
        <v>0.94395000000000007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427.49333333333328</v>
      </c>
      <c r="BN119" s="64">
        <f>IFERROR(Y119*I119/H119,"0")</f>
        <v>428.04</v>
      </c>
      <c r="BO119" s="64">
        <f>IFERROR(1/J119*(X119/H119),"0")</f>
        <v>0.79568579568579567</v>
      </c>
      <c r="BP119" s="64">
        <f>IFERROR(1/J119*(Y119/H119),"0")</f>
        <v>0.79670329670329676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238.14814814814815</v>
      </c>
      <c r="Y121" s="635">
        <f>IFERROR(Y117/H117,"0")+IFERROR(Y118/H118,"0")+IFERROR(Y119/H119,"0")+IFERROR(Y120/H120,"0")</f>
        <v>239</v>
      </c>
      <c r="Z121" s="635">
        <f>IFERROR(IF(Z117="",0,Z117),"0")+IFERROR(IF(Z118="",0,Z118),"0")+IFERROR(IF(Z119="",0,Z119),"0")+IFERROR(IF(Z120="",0,Z120),"0")</f>
        <v>2.7280699999999998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1147</v>
      </c>
      <c r="Y122" s="635">
        <f>IFERROR(SUM(Y117:Y120),"0")</f>
        <v>1152.9000000000001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22</v>
      </c>
      <c r="Y124" s="634">
        <f>IFERROR(IF(X124="",0,CEILING((X124/$H124),1)*$H124),"")</f>
        <v>23.759999999999998</v>
      </c>
      <c r="Z124" s="36">
        <f>IFERROR(IF(Y124=0,"",ROUNDUP(Y124/H124,0)*0.00651),"")</f>
        <v>7.8119999999999995E-2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24.866666666666667</v>
      </c>
      <c r="BN124" s="64">
        <f>IFERROR(Y124*I124/H124,"0")</f>
        <v>26.855999999999998</v>
      </c>
      <c r="BO124" s="64">
        <f>IFERROR(1/J124*(X124/H124),"0")</f>
        <v>6.1050061050061055E-2</v>
      </c>
      <c r="BP124" s="64">
        <f>IFERROR(1/J124*(Y124/H124),"0")</f>
        <v>6.5934065934065936E-2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11.111111111111111</v>
      </c>
      <c r="Y125" s="635">
        <f>IFERROR(Y124/H124,"0")</f>
        <v>11.999999999999998</v>
      </c>
      <c r="Z125" s="635">
        <f>IFERROR(IF(Z124="",0,Z124),"0")</f>
        <v>7.8119999999999995E-2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22</v>
      </c>
      <c r="Y126" s="635">
        <f>IFERROR(SUM(Y124:Y124),"0")</f>
        <v>23.759999999999998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15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15.843749999999998</v>
      </c>
      <c r="BN130" s="64">
        <f>IFERROR(Y130*I130/H130,"0")</f>
        <v>16.899999999999999</v>
      </c>
      <c r="BO130" s="64">
        <f>IFERROR(1/J130*(X130/H130),"0")</f>
        <v>2.5755494505494508E-2</v>
      </c>
      <c r="BP130" s="64">
        <f>IFERROR(1/J130*(Y130/H130),"0")</f>
        <v>2.7472527472527476E-2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4.6875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15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9</v>
      </c>
      <c r="Y136" s="634">
        <f>IFERROR(IF(X136="",0,CEILING((X136/$H136),1)*$H136),"")</f>
        <v>11.2</v>
      </c>
      <c r="Z136" s="36">
        <f>IFERROR(IF(Y136=0,"",ROUNDUP(Y136/H136,0)*0.00651),"")</f>
        <v>2.6040000000000001E-2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9.8614285714285721</v>
      </c>
      <c r="BN136" s="64">
        <f>IFERROR(Y136*I136/H136,"0")</f>
        <v>12.271999999999998</v>
      </c>
      <c r="BO136" s="64">
        <f>IFERROR(1/J136*(X136/H136),"0")</f>
        <v>1.7660910518053376E-2</v>
      </c>
      <c r="BP136" s="64">
        <f>IFERROR(1/J136*(Y136/H136),"0")</f>
        <v>2.197802197802198E-2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3.2142857142857144</v>
      </c>
      <c r="Y139" s="635">
        <f>IFERROR(Y135/H135,"0")+IFERROR(Y136/H136,"0")+IFERROR(Y137/H137,"0")+IFERROR(Y138/H138,"0")</f>
        <v>4</v>
      </c>
      <c r="Z139" s="635">
        <f>IFERROR(IF(Z135="",0,Z135),"0")+IFERROR(IF(Z136="",0,Z136),"0")+IFERROR(IF(Z137="",0,Z137),"0")+IFERROR(IF(Z138="",0,Z138),"0")</f>
        <v>2.6040000000000001E-2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9</v>
      </c>
      <c r="Y140" s="635">
        <f>IFERROR(SUM(Y135:Y138),"0")</f>
        <v>11.2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32</v>
      </c>
      <c r="Y143" s="634">
        <f>IFERROR(IF(X143="",0,CEILING((X143/$H143),1)*$H143),"")</f>
        <v>34.32</v>
      </c>
      <c r="Z143" s="36">
        <f>IFERROR(IF(Y143=0,"",ROUNDUP(Y143/H143,0)*0.00651),"")</f>
        <v>8.4629999999999997E-2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35.248484848484843</v>
      </c>
      <c r="BN143" s="64">
        <f>IFERROR(Y143*I143/H143,"0")</f>
        <v>37.803999999999995</v>
      </c>
      <c r="BO143" s="64">
        <f>IFERROR(1/J143*(X143/H143),"0")</f>
        <v>6.6600066600066607E-2</v>
      </c>
      <c r="BP143" s="64">
        <f>IFERROR(1/J143*(Y143/H143),"0")</f>
        <v>7.1428571428571438E-2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12.121212121212121</v>
      </c>
      <c r="Y145" s="635">
        <f>IFERROR(Y142/H142,"0")+IFERROR(Y143/H143,"0")+IFERROR(Y144/H144,"0")</f>
        <v>13</v>
      </c>
      <c r="Z145" s="635">
        <f>IFERROR(IF(Z142="",0,Z142),"0")+IFERROR(IF(Z143="",0,Z143),"0")+IFERROR(IF(Z144="",0,Z144),"0")</f>
        <v>8.4629999999999997E-2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32</v>
      </c>
      <c r="Y146" s="635">
        <f>IFERROR(SUM(Y142:Y144),"0")</f>
        <v>34.32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35</v>
      </c>
      <c r="Y164" s="634">
        <f>IFERROR(IF(X164="",0,CEILING((X164/$H164),1)*$H164),"")</f>
        <v>36</v>
      </c>
      <c r="Z164" s="36">
        <f>IFERROR(IF(Y164=0,"",ROUNDUP(Y164/H164,0)*0.01196),"")</f>
        <v>7.1760000000000004E-2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37.041666666666664</v>
      </c>
      <c r="BN164" s="64">
        <f>IFERROR(Y164*I164/H164,"0")</f>
        <v>38.1</v>
      </c>
      <c r="BO164" s="64">
        <f>IFERROR(1/J164*(X164/H164),"0")</f>
        <v>5.6089743589743592E-2</v>
      </c>
      <c r="BP164" s="64">
        <f>IFERROR(1/J164*(Y164/H164),"0")</f>
        <v>5.7692307692307696E-2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5.833333333333333</v>
      </c>
      <c r="Y167" s="635">
        <f>IFERROR(Y164/H164,"0")+IFERROR(Y165/H165,"0")+IFERROR(Y166/H166,"0")</f>
        <v>6</v>
      </c>
      <c r="Z167" s="635">
        <f>IFERROR(IF(Z164="",0,Z164),"0")+IFERROR(IF(Z165="",0,Z165),"0")+IFERROR(IF(Z166="",0,Z166),"0")</f>
        <v>7.1760000000000004E-2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35</v>
      </c>
      <c r="Y168" s="635">
        <f>IFERROR(SUM(Y164:Y166),"0")</f>
        <v>36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558</v>
      </c>
      <c r="Y175" s="634">
        <f t="shared" ref="Y175:Y185" si="16">IFERROR(IF(X175="",0,CEILING((X175/$H175),1)*$H175),"")</f>
        <v>560</v>
      </c>
      <c r="Z175" s="36">
        <f>IFERROR(IF(Y175=0,"",ROUNDUP(Y175/H175,0)*0.00902),"")</f>
        <v>1.4432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588.29142857142858</v>
      </c>
      <c r="BN175" s="64">
        <f t="shared" ref="BN175:BN185" si="18">IFERROR(Y175*I175/H175,"0")</f>
        <v>590.4</v>
      </c>
      <c r="BO175" s="64">
        <f t="shared" ref="BO175:BO185" si="19">IFERROR(1/J175*(X175/H175),"0")</f>
        <v>1.2077922077922076</v>
      </c>
      <c r="BP175" s="64">
        <f t="shared" ref="BP175:BP185" si="20">IFERROR(1/J175*(Y175/H175),"0")</f>
        <v>1.2121212121212122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349</v>
      </c>
      <c r="Y178" s="634">
        <f t="shared" si="16"/>
        <v>350</v>
      </c>
      <c r="Z178" s="36">
        <f>IFERROR(IF(Y178=0,"",ROUNDUP(Y178/H178,0)*0.00902),"")</f>
        <v>0.90200000000000002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367.94571428571425</v>
      </c>
      <c r="BN178" s="64">
        <f t="shared" si="18"/>
        <v>369</v>
      </c>
      <c r="BO178" s="64">
        <f t="shared" si="19"/>
        <v>0.75541125541125542</v>
      </c>
      <c r="BP178" s="64">
        <f t="shared" si="20"/>
        <v>0.75757575757575757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140</v>
      </c>
      <c r="Y180" s="634">
        <f t="shared" si="16"/>
        <v>141.12</v>
      </c>
      <c r="Z180" s="36">
        <f>IFERROR(IF(Y180=0,"",ROUNDUP(Y180/H180,0)*0.00502),"")</f>
        <v>0.42168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148.33333333333334</v>
      </c>
      <c r="BN180" s="64">
        <f t="shared" si="18"/>
        <v>149.52000000000001</v>
      </c>
      <c r="BO180" s="64">
        <f t="shared" si="19"/>
        <v>0.35612535612535623</v>
      </c>
      <c r="BP180" s="64">
        <f t="shared" si="20"/>
        <v>0.35897435897435903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43</v>
      </c>
      <c r="Y185" s="634">
        <f t="shared" si="16"/>
        <v>43.68</v>
      </c>
      <c r="Z185" s="36">
        <f>IFERROR(IF(Y185=0,"",ROUNDUP(Y185/H185,0)*0.00502),"")</f>
        <v>0.13052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45.559523809523817</v>
      </c>
      <c r="BN185" s="64">
        <f t="shared" si="18"/>
        <v>46.28</v>
      </c>
      <c r="BO185" s="64">
        <f t="shared" si="19"/>
        <v>0.10938135938135939</v>
      </c>
      <c r="BP185" s="64">
        <f t="shared" si="20"/>
        <v>0.11111111111111112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368.07142857142856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370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2.8974000000000002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1090</v>
      </c>
      <c r="Y187" s="635">
        <f>IFERROR(SUM(Y175:Y185),"0")</f>
        <v>1094.8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19</v>
      </c>
      <c r="Y224" s="634">
        <f t="shared" si="27"/>
        <v>19.200000000000003</v>
      </c>
      <c r="Z224" s="36">
        <f>IFERROR(IF(Y224=0,"",ROUNDUP(Y224/H224,0)*0.00556),"")</f>
        <v>0.13344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22.087500000000002</v>
      </c>
      <c r="BN224" s="64">
        <f t="shared" si="29"/>
        <v>22.320000000000004</v>
      </c>
      <c r="BO224" s="64">
        <f t="shared" si="30"/>
        <v>9.4246031746031744E-2</v>
      </c>
      <c r="BP224" s="64">
        <f t="shared" si="31"/>
        <v>9.5238095238095247E-2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9</v>
      </c>
      <c r="Y225" s="634">
        <f t="shared" si="27"/>
        <v>10.5</v>
      </c>
      <c r="Z225" s="36">
        <f t="shared" ref="Z225:Z230" si="32">IFERROR(IF(Y225=0,"",ROUNDUP(Y225/H225,0)*0.00502),"")</f>
        <v>2.5100000000000001E-2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9.5571428571428569</v>
      </c>
      <c r="BN225" s="64">
        <f t="shared" si="29"/>
        <v>11.149999999999999</v>
      </c>
      <c r="BO225" s="64">
        <f t="shared" si="30"/>
        <v>1.8315018315018316E-2</v>
      </c>
      <c r="BP225" s="64">
        <f t="shared" si="31"/>
        <v>2.1367521367521368E-2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60</v>
      </c>
      <c r="Y230" s="634">
        <f t="shared" si="27"/>
        <v>61.2</v>
      </c>
      <c r="Z230" s="36">
        <f t="shared" si="32"/>
        <v>0.17068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64.333333333333329</v>
      </c>
      <c r="BN230" s="64">
        <f t="shared" si="29"/>
        <v>65.62</v>
      </c>
      <c r="BO230" s="64">
        <f t="shared" si="30"/>
        <v>0.14245014245014248</v>
      </c>
      <c r="BP230" s="64">
        <f t="shared" si="31"/>
        <v>0.14529914529914531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5</v>
      </c>
      <c r="Y231" s="634">
        <f t="shared" si="27"/>
        <v>5.6000000000000005</v>
      </c>
      <c r="Z231" s="36">
        <f>IFERROR(IF(Y231=0,"",ROUNDUP(Y231/H231,0)*0.00417),"")</f>
        <v>2.9190000000000001E-2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6.3124999999999991</v>
      </c>
      <c r="BN231" s="64">
        <f t="shared" si="29"/>
        <v>7.07</v>
      </c>
      <c r="BO231" s="64">
        <f t="shared" si="30"/>
        <v>1.8601190476190476E-2</v>
      </c>
      <c r="BP231" s="64">
        <f t="shared" si="31"/>
        <v>2.0833333333333332E-2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302</v>
      </c>
      <c r="Y232" s="634">
        <f t="shared" si="27"/>
        <v>302.40000000000003</v>
      </c>
      <c r="Z232" s="36">
        <f>IFERROR(IF(Y232=0,"",ROUNDUP(Y232/H232,0)*0.00502),"")</f>
        <v>0.72287999999999997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316.38095238095241</v>
      </c>
      <c r="BN232" s="64">
        <f t="shared" si="29"/>
        <v>316.8</v>
      </c>
      <c r="BO232" s="64">
        <f t="shared" si="30"/>
        <v>0.61457061457061457</v>
      </c>
      <c r="BP232" s="64">
        <f t="shared" si="31"/>
        <v>0.61538461538461542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211.42857142857142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214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1.0812900000000001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395</v>
      </c>
      <c r="Y236" s="635">
        <f>IFERROR(SUM(Y221:Y234),"0")</f>
        <v>398.90000000000003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12</v>
      </c>
      <c r="Y248" s="634">
        <f>IFERROR(IF(X248="",0,CEILING((X248/$H248),1)*$H248),"")</f>
        <v>12.6</v>
      </c>
      <c r="Z248" s="36">
        <f>IFERROR(IF(Y248=0,"",ROUNDUP(Y248/H248,0)*0.0059),"")</f>
        <v>5.8999999999999997E-2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13.809523809523808</v>
      </c>
      <c r="BN248" s="64">
        <f>IFERROR(Y248*I248/H248,"0")</f>
        <v>14.5</v>
      </c>
      <c r="BO248" s="64">
        <f>IFERROR(1/J248*(X248/H248),"0")</f>
        <v>4.4091710758377423E-2</v>
      </c>
      <c r="BP248" s="64">
        <f>IFERROR(1/J248*(Y248/H248),"0")</f>
        <v>4.6296296296296294E-2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9.5238095238095237</v>
      </c>
      <c r="Y249" s="635">
        <f>IFERROR(Y246/H246,"0")+IFERROR(Y247/H247,"0")+IFERROR(Y248/H248,"0")</f>
        <v>10</v>
      </c>
      <c r="Z249" s="635">
        <f>IFERROR(IF(Z246="",0,Z246),"0")+IFERROR(IF(Z247="",0,Z247),"0")+IFERROR(IF(Z248="",0,Z248),"0")</f>
        <v>5.8999999999999997E-2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12</v>
      </c>
      <c r="Y250" s="635">
        <f>IFERROR(SUM(Y246:Y248),"0")</f>
        <v>12.6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7</v>
      </c>
      <c r="Y252" s="63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5.5555555555555554</v>
      </c>
      <c r="Y253" s="635">
        <f>IFERROR(Y252/H252,"0")</f>
        <v>6</v>
      </c>
      <c r="Z253" s="635">
        <f>IFERROR(IF(Z252="",0,Z252),"0")</f>
        <v>3.5400000000000001E-2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7</v>
      </c>
      <c r="Y254" s="635">
        <f>IFERROR(SUM(Y252:Y252),"0")</f>
        <v>7.5600000000000005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181</v>
      </c>
      <c r="Y267" s="634">
        <f t="shared" ref="Y267:Y274" si="33">IFERROR(IF(X267="",0,CEILING((X267/$H267),1)*$H267),"")</f>
        <v>183.60000000000002</v>
      </c>
      <c r="Z267" s="36">
        <f>IFERROR(IF(Y267=0,"",ROUNDUP(Y267/H267,0)*0.00902),"")</f>
        <v>0.30668000000000001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187.3685185185185</v>
      </c>
      <c r="BN267" s="64">
        <f t="shared" ref="BN267:BN274" si="35">IFERROR(Y267*I267/H267,"0")</f>
        <v>190.06</v>
      </c>
      <c r="BO267" s="64">
        <f t="shared" ref="BO267:BO274" si="36">IFERROR(1/J267*(X267/H267),"0")</f>
        <v>0.2539281705948373</v>
      </c>
      <c r="BP267" s="64">
        <f t="shared" ref="BP267:BP274" si="37">IFERROR(1/J267*(Y267/H267),"0")</f>
        <v>0.25757575757575757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309</v>
      </c>
      <c r="Y268" s="634">
        <f t="shared" si="33"/>
        <v>313.20000000000005</v>
      </c>
      <c r="Z268" s="36">
        <f>IFERROR(IF(Y268=0,"",ROUNDUP(Y268/H268,0)*0.00902),"")</f>
        <v>0.52316000000000007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319.87222222222221</v>
      </c>
      <c r="BN268" s="64">
        <f t="shared" si="35"/>
        <v>324.22000000000003</v>
      </c>
      <c r="BO268" s="64">
        <f t="shared" si="36"/>
        <v>0.4335016835016835</v>
      </c>
      <c r="BP268" s="64">
        <f t="shared" si="37"/>
        <v>0.43939393939393945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122</v>
      </c>
      <c r="Y270" s="634">
        <f t="shared" si="33"/>
        <v>124.2</v>
      </c>
      <c r="Z270" s="36">
        <f>IFERROR(IF(Y270=0,"",ROUNDUP(Y270/H270,0)*0.00902),"")</f>
        <v>0.20746000000000001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126.29259259259258</v>
      </c>
      <c r="BN270" s="64">
        <f t="shared" si="35"/>
        <v>128.57</v>
      </c>
      <c r="BO270" s="64">
        <f t="shared" si="36"/>
        <v>0.17115600448933782</v>
      </c>
      <c r="BP270" s="64">
        <f t="shared" si="37"/>
        <v>0.17424242424242425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156</v>
      </c>
      <c r="Y272" s="634">
        <f t="shared" si="33"/>
        <v>156.6</v>
      </c>
      <c r="Z272" s="36">
        <f>IFERROR(IF(Y272=0,"",ROUNDUP(Y272/H272,0)*0.00502),"")</f>
        <v>0.43674000000000002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164.66666666666666</v>
      </c>
      <c r="BN272" s="64">
        <f t="shared" si="35"/>
        <v>165.29999999999998</v>
      </c>
      <c r="BO272" s="64">
        <f t="shared" si="36"/>
        <v>0.37037037037037041</v>
      </c>
      <c r="BP272" s="64">
        <f t="shared" si="37"/>
        <v>0.37179487179487181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61</v>
      </c>
      <c r="Y274" s="634">
        <f t="shared" si="33"/>
        <v>61.2</v>
      </c>
      <c r="Z274" s="36">
        <f>IFERROR(IF(Y274=0,"",ROUNDUP(Y274/H274,0)*0.00502),"")</f>
        <v>0.17068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64.388888888888886</v>
      </c>
      <c r="BN274" s="64">
        <f t="shared" si="35"/>
        <v>64.599999999999994</v>
      </c>
      <c r="BO274" s="64">
        <f t="shared" si="36"/>
        <v>0.14482431149097816</v>
      </c>
      <c r="BP274" s="64">
        <f t="shared" si="37"/>
        <v>0.14529914529914531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233.88888888888889</v>
      </c>
      <c r="Y275" s="635">
        <f>IFERROR(Y267/H267,"0")+IFERROR(Y268/H268,"0")+IFERROR(Y269/H269,"0")+IFERROR(Y270/H270,"0")+IFERROR(Y271/H271,"0")+IFERROR(Y272/H272,"0")+IFERROR(Y273/H273,"0")+IFERROR(Y274/H274,"0")</f>
        <v>236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1.64472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829</v>
      </c>
      <c r="Y276" s="635">
        <f>IFERROR(SUM(Y267:Y274),"0")</f>
        <v>838.80000000000018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450</v>
      </c>
      <c r="Y278" s="634">
        <f t="shared" ref="Y278:Y289" si="38">IFERROR(IF(X278="",0,CEILING((X278/$H278),1)*$H278),"")</f>
        <v>453.59999999999997</v>
      </c>
      <c r="Z278" s="36">
        <f>IFERROR(IF(Y278=0,"",ROUNDUP(Y278/H278,0)*0.01898),"")</f>
        <v>1.06288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477.44444444444446</v>
      </c>
      <c r="BN278" s="64">
        <f t="shared" ref="BN278:BN289" si="40">IFERROR(Y278*I278/H278,"0")</f>
        <v>481.26399999999995</v>
      </c>
      <c r="BO278" s="64">
        <f t="shared" ref="BO278:BO289" si="41">IFERROR(1/J278*(X278/H278),"0")</f>
        <v>0.86805555555555558</v>
      </c>
      <c r="BP278" s="64">
        <f t="shared" ref="BP278:BP289" si="42">IFERROR(1/J278*(Y278/H278),"0")</f>
        <v>0.875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450</v>
      </c>
      <c r="Y279" s="634">
        <f t="shared" si="38"/>
        <v>453.59999999999997</v>
      </c>
      <c r="Z279" s="36">
        <f>IFERROR(IF(Y279=0,"",ROUNDUP(Y279/H279,0)*0.01898),"")</f>
        <v>1.06288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476.44444444444451</v>
      </c>
      <c r="BN279" s="64">
        <f t="shared" si="40"/>
        <v>480.25599999999997</v>
      </c>
      <c r="BO279" s="64">
        <f t="shared" si="41"/>
        <v>0.86805555555555558</v>
      </c>
      <c r="BP279" s="64">
        <f t="shared" si="42"/>
        <v>0.875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250</v>
      </c>
      <c r="Y280" s="634">
        <f t="shared" si="38"/>
        <v>252.29999999999998</v>
      </c>
      <c r="Z280" s="36">
        <f>IFERROR(IF(Y280=0,"",ROUNDUP(Y280/H280,0)*0.01898),"")</f>
        <v>0.55042000000000002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264.19540229885058</v>
      </c>
      <c r="BN280" s="64">
        <f t="shared" si="40"/>
        <v>266.62600000000003</v>
      </c>
      <c r="BO280" s="64">
        <f t="shared" si="41"/>
        <v>0.44899425287356326</v>
      </c>
      <c r="BP280" s="64">
        <f t="shared" si="42"/>
        <v>0.453125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280</v>
      </c>
      <c r="Y281" s="634">
        <f t="shared" si="38"/>
        <v>280.8</v>
      </c>
      <c r="Z281" s="36">
        <f>IFERROR(IF(Y281=0,"",ROUNDUP(Y281/H281,0)*0.00651),"")</f>
        <v>0.76167000000000007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311.5</v>
      </c>
      <c r="BN281" s="64">
        <f t="shared" si="40"/>
        <v>312.39</v>
      </c>
      <c r="BO281" s="64">
        <f t="shared" si="41"/>
        <v>0.64102564102564108</v>
      </c>
      <c r="BP281" s="64">
        <f t="shared" si="42"/>
        <v>0.64285714285714302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480</v>
      </c>
      <c r="Y284" s="634">
        <f t="shared" si="38"/>
        <v>480</v>
      </c>
      <c r="Z284" s="36">
        <f>IFERROR(IF(Y284=0,"",ROUNDUP(Y284/H284,0)*0.00651),"")</f>
        <v>1.302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530.40000000000009</v>
      </c>
      <c r="BN284" s="64">
        <f t="shared" si="40"/>
        <v>530.40000000000009</v>
      </c>
      <c r="BO284" s="64">
        <f t="shared" si="41"/>
        <v>1.098901098901099</v>
      </c>
      <c r="BP284" s="64">
        <f t="shared" si="42"/>
        <v>1.098901098901099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120</v>
      </c>
      <c r="Y286" s="634">
        <f t="shared" si="38"/>
        <v>120</v>
      </c>
      <c r="Z286" s="36">
        <f>IFERROR(IF(Y286=0,"",ROUNDUP(Y286/H286,0)*0.00651),"")</f>
        <v>0.32550000000000001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132.60000000000002</v>
      </c>
      <c r="BN286" s="64">
        <f t="shared" si="40"/>
        <v>132.60000000000002</v>
      </c>
      <c r="BO286" s="64">
        <f t="shared" si="41"/>
        <v>0.27472527472527475</v>
      </c>
      <c r="BP286" s="64">
        <f t="shared" si="42"/>
        <v>0.27472527472527475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120</v>
      </c>
      <c r="Y288" s="634">
        <f t="shared" si="38"/>
        <v>120</v>
      </c>
      <c r="Z288" s="36">
        <f>IFERROR(IF(Y288=0,"",ROUNDUP(Y288/H288,0)*0.00651),"")</f>
        <v>0.32550000000000001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132.9</v>
      </c>
      <c r="BN288" s="64">
        <f t="shared" si="40"/>
        <v>132.9</v>
      </c>
      <c r="BO288" s="64">
        <f t="shared" si="41"/>
        <v>0.27472527472527475</v>
      </c>
      <c r="BP288" s="64">
        <f t="shared" si="42"/>
        <v>0.27472527472527475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589.84674329501922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592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5.61219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2230</v>
      </c>
      <c r="Y291" s="635">
        <f>IFERROR(SUM(Y278:Y289),"0")</f>
        <v>2241.9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40</v>
      </c>
      <c r="Y293" s="634">
        <f>IFERROR(IF(X293="",0,CEILING((X293/$H293),1)*$H293),"")</f>
        <v>40.799999999999997</v>
      </c>
      <c r="Z293" s="36">
        <f>IFERROR(IF(Y293=0,"",ROUNDUP(Y293/H293,0)*0.00651),"")</f>
        <v>0.11067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44.20000000000001</v>
      </c>
      <c r="BN293" s="64">
        <f>IFERROR(Y293*I293/H293,"0")</f>
        <v>45.084000000000003</v>
      </c>
      <c r="BO293" s="64">
        <f>IFERROR(1/J293*(X293/H293),"0")</f>
        <v>9.1575091575091583E-2</v>
      </c>
      <c r="BP293" s="64">
        <f>IFERROR(1/J293*(Y293/H293),"0")</f>
        <v>9.3406593406593408E-2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61</v>
      </c>
      <c r="Y294" s="634">
        <f>IFERROR(IF(X294="",0,CEILING((X294/$H294),1)*$H294),"")</f>
        <v>62.4</v>
      </c>
      <c r="Z294" s="36">
        <f>IFERROR(IF(Y294=0,"",ROUNDUP(Y294/H294,0)*0.00651),"")</f>
        <v>0.16925999999999999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67.405000000000015</v>
      </c>
      <c r="BN294" s="64">
        <f>IFERROR(Y294*I294/H294,"0")</f>
        <v>68.952000000000012</v>
      </c>
      <c r="BO294" s="64">
        <f>IFERROR(1/J294*(X294/H294),"0")</f>
        <v>0.13965201465201468</v>
      </c>
      <c r="BP294" s="64">
        <f>IFERROR(1/J294*(Y294/H294),"0")</f>
        <v>0.14285714285714288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42.083333333333336</v>
      </c>
      <c r="Y295" s="635">
        <f>IFERROR(Y293/H293,"0")+IFERROR(Y294/H294,"0")</f>
        <v>43</v>
      </c>
      <c r="Z295" s="635">
        <f>IFERROR(IF(Z293="",0,Z293),"0")+IFERROR(IF(Z294="",0,Z294),"0")</f>
        <v>0.27993000000000001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101</v>
      </c>
      <c r="Y296" s="635">
        <f>IFERROR(SUM(Y293:Y294),"0")</f>
        <v>103.19999999999999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6</v>
      </c>
      <c r="Y299" s="634">
        <f t="shared" ref="Y299:Y305" si="43">IFERROR(IF(X299="",0,CEILING((X299/$H299),1)*$H299),"")</f>
        <v>11.6</v>
      </c>
      <c r="Z299" s="36">
        <f>IFERROR(IF(Y299=0,"",ROUNDUP(Y299/H299,0)*0.01898),"")</f>
        <v>1.898E-2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6.2120689655172416</v>
      </c>
      <c r="BN299" s="64">
        <f t="shared" ref="BN299:BN305" si="45">IFERROR(Y299*I299/H299,"0")</f>
        <v>12.01</v>
      </c>
      <c r="BO299" s="64">
        <f t="shared" ref="BO299:BO305" si="46">IFERROR(1/J299*(X299/H299),"0")</f>
        <v>8.0818965517241385E-3</v>
      </c>
      <c r="BP299" s="64">
        <f t="shared" ref="BP299:BP305" si="47">IFERROR(1/J299*(Y299/H299),"0")</f>
        <v>1.5625E-2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26</v>
      </c>
      <c r="Y305" s="634">
        <f t="shared" si="43"/>
        <v>28</v>
      </c>
      <c r="Z305" s="36">
        <f>IFERROR(IF(Y305=0,"",ROUNDUP(Y305/H305,0)*0.00902),"")</f>
        <v>6.3140000000000002E-2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27.235000000000003</v>
      </c>
      <c r="BN305" s="64">
        <f t="shared" si="45"/>
        <v>29.330000000000002</v>
      </c>
      <c r="BO305" s="64">
        <f t="shared" si="46"/>
        <v>4.924242424242424E-2</v>
      </c>
      <c r="BP305" s="64">
        <f t="shared" si="47"/>
        <v>5.3030303030303032E-2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7.0172413793103452</v>
      </c>
      <c r="Y306" s="635">
        <f>IFERROR(Y299/H299,"0")+IFERROR(Y300/H300,"0")+IFERROR(Y301/H301,"0")+IFERROR(Y302/H302,"0")+IFERROR(Y303/H303,"0")+IFERROR(Y304/H304,"0")+IFERROR(Y305/H305,"0")</f>
        <v>8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8.2119999999999999E-2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32</v>
      </c>
      <c r="Y307" s="635">
        <f>IFERROR(SUM(Y299:Y305),"0")</f>
        <v>39.6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8</v>
      </c>
      <c r="Y313" s="634">
        <f>IFERROR(IF(X313="",0,CEILING((X313/$H313),1)*$H313),"")</f>
        <v>9</v>
      </c>
      <c r="Z313" s="36">
        <f>IFERROR(IF(Y313=0,"",ROUNDUP(Y313/H313,0)*0.0059),"")</f>
        <v>2.9499999999999998E-2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8.7777777777777786</v>
      </c>
      <c r="BN313" s="64">
        <f>IFERROR(Y313*I313/H313,"0")</f>
        <v>9.8750000000000018</v>
      </c>
      <c r="BO313" s="64">
        <f>IFERROR(1/J313*(X313/H313),"0")</f>
        <v>2.0576131687242798E-2</v>
      </c>
      <c r="BP313" s="64">
        <f>IFERROR(1/J313*(Y313/H313),"0")</f>
        <v>2.3148148148148147E-2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4.4444444444444446</v>
      </c>
      <c r="Y314" s="635">
        <f>IFERROR(Y313/H313,"0")</f>
        <v>5</v>
      </c>
      <c r="Z314" s="635">
        <f>IFERROR(IF(Z313="",0,Z313),"0")</f>
        <v>2.9499999999999998E-2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8</v>
      </c>
      <c r="Y315" s="635">
        <f>IFERROR(SUM(Y313:Y313),"0")</f>
        <v>9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29</v>
      </c>
      <c r="Y356" s="634">
        <f>IFERROR(IF(X356="",0,CEILING((X356/$H356),1)*$H356),"")</f>
        <v>31.2</v>
      </c>
      <c r="Z356" s="36">
        <f>IFERROR(IF(Y356=0,"",ROUNDUP(Y356/H356,0)*0.01898),"")</f>
        <v>7.5920000000000001E-2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30.524358974358979</v>
      </c>
      <c r="BN356" s="64">
        <f>IFERROR(Y356*I356/H356,"0")</f>
        <v>32.840000000000003</v>
      </c>
      <c r="BO356" s="64">
        <f>IFERROR(1/J356*(X356/H356),"0")</f>
        <v>5.809294871794872E-2</v>
      </c>
      <c r="BP356" s="64">
        <f>IFERROR(1/J356*(Y356/H356),"0")</f>
        <v>6.25E-2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3.7179487179487181</v>
      </c>
      <c r="Y357" s="635">
        <f>IFERROR(Y354/H354,"0")+IFERROR(Y355/H355,"0")+IFERROR(Y356/H356,"0")</f>
        <v>4</v>
      </c>
      <c r="Z357" s="635">
        <f>IFERROR(IF(Z354="",0,Z354),"0")+IFERROR(IF(Z355="",0,Z355),"0")+IFERROR(IF(Z356="",0,Z356),"0")</f>
        <v>7.5920000000000001E-2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29</v>
      </c>
      <c r="Y358" s="635">
        <f>IFERROR(SUM(Y354:Y356),"0")</f>
        <v>31.2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5</v>
      </c>
      <c r="Y370" s="634">
        <f t="shared" si="48"/>
        <v>8.4</v>
      </c>
      <c r="Z370" s="36">
        <f>IFERROR(IF(Y370=0,"",ROUNDUP(Y370/H370,0)*0.00902),"")</f>
        <v>1.804E-2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5.2976190476190474</v>
      </c>
      <c r="BN370" s="64">
        <f t="shared" si="50"/>
        <v>8.9</v>
      </c>
      <c r="BO370" s="64">
        <f t="shared" si="51"/>
        <v>9.0187590187590181E-3</v>
      </c>
      <c r="BP370" s="64">
        <f t="shared" si="52"/>
        <v>1.5151515151515152E-2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4</v>
      </c>
      <c r="Y375" s="634">
        <f t="shared" si="48"/>
        <v>5.4</v>
      </c>
      <c r="Z375" s="36">
        <f>IFERROR(IF(Y375=0,"",ROUNDUP(Y375/H375,0)*0.00651),"")</f>
        <v>1.9529999999999999E-2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4.5066666666666668</v>
      </c>
      <c r="BN375" s="64">
        <f t="shared" si="50"/>
        <v>6.0839999999999996</v>
      </c>
      <c r="BO375" s="64">
        <f t="shared" si="51"/>
        <v>1.2210012210012212E-2</v>
      </c>
      <c r="BP375" s="64">
        <f t="shared" si="52"/>
        <v>1.6483516483516484E-2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3.412698412698413</v>
      </c>
      <c r="Y376" s="635">
        <f>IFERROR(Y369/H369,"0")+IFERROR(Y370/H370,"0")+IFERROR(Y371/H371,"0")+IFERROR(Y372/H372,"0")+IFERROR(Y373/H373,"0")+IFERROR(Y374/H374,"0")+IFERROR(Y375/H375,"0")</f>
        <v>5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3.7569999999999999E-2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9</v>
      </c>
      <c r="Y377" s="635">
        <f>IFERROR(SUM(Y369:Y375),"0")</f>
        <v>13.8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600</v>
      </c>
      <c r="Y387" s="634">
        <f>IFERROR(IF(X387="",0,CEILING((X387/$H387),1)*$H387),"")</f>
        <v>600.6</v>
      </c>
      <c r="Z387" s="36">
        <f>IFERROR(IF(Y387=0,"",ROUNDUP(Y387/H387,0)*0.01898),"")</f>
        <v>1.46146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638.00000000000011</v>
      </c>
      <c r="BN387" s="64">
        <f>IFERROR(Y387*I387/H387,"0")</f>
        <v>638.63800000000003</v>
      </c>
      <c r="BO387" s="64">
        <f>IFERROR(1/J387*(X387/H387),"0")</f>
        <v>1.2019230769230769</v>
      </c>
      <c r="BP387" s="64">
        <f>IFERROR(1/J387*(Y387/H387),"0")</f>
        <v>1.203125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62</v>
      </c>
      <c r="Y388" s="634">
        <f>IFERROR(IF(X388="",0,CEILING((X388/$H388),1)*$H388),"")</f>
        <v>67.2</v>
      </c>
      <c r="Z388" s="36">
        <f>IFERROR(IF(Y388=0,"",ROUNDUP(Y388/H388,0)*0.01898),"")</f>
        <v>0.15184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65.646190476190469</v>
      </c>
      <c r="BN388" s="64">
        <f>IFERROR(Y388*I388/H388,"0")</f>
        <v>71.152000000000001</v>
      </c>
      <c r="BO388" s="64">
        <f>IFERROR(1/J388*(X388/H388),"0")</f>
        <v>0.11532738095238095</v>
      </c>
      <c r="BP388" s="64">
        <f>IFERROR(1/J388*(Y388/H388),"0")</f>
        <v>0.125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84.304029304029299</v>
      </c>
      <c r="Y389" s="635">
        <f>IFERROR(Y386/H386,"0")+IFERROR(Y387/H387,"0")+IFERROR(Y388/H388,"0")</f>
        <v>85</v>
      </c>
      <c r="Z389" s="635">
        <f>IFERROR(IF(Z386="",0,Z386),"0")+IFERROR(IF(Z387="",0,Z387),"0")+IFERROR(IF(Z388="",0,Z388),"0")</f>
        <v>1.6133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662</v>
      </c>
      <c r="Y390" s="635">
        <f>IFERROR(SUM(Y386:Y388),"0")</f>
        <v>667.80000000000007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4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4.3026315789473681</v>
      </c>
      <c r="BN393" s="64">
        <f>IFERROR(Y393*I393/H393,"0")</f>
        <v>6.5399999999999991</v>
      </c>
      <c r="BO393" s="64">
        <f>IFERROR(1/J393*(X393/H393),"0")</f>
        <v>9.9681020733652318E-3</v>
      </c>
      <c r="BP393" s="64">
        <f>IFERROR(1/J393*(Y393/H393),"0")</f>
        <v>1.5151515151515152E-2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8</v>
      </c>
      <c r="Y394" s="634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31</v>
      </c>
      <c r="Y395" s="634">
        <f>IFERROR(IF(X395="",0,CEILING((X395/$H395),1)*$H395),"")</f>
        <v>33.15</v>
      </c>
      <c r="Z395" s="36">
        <f>IFERROR(IF(Y395=0,"",ROUNDUP(Y395/H395,0)*0.00651),"")</f>
        <v>8.4629999999999997E-2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35.011764705882356</v>
      </c>
      <c r="BN395" s="64">
        <f>IFERROR(Y395*I395/H395,"0")</f>
        <v>37.44</v>
      </c>
      <c r="BO395" s="64">
        <f>IFERROR(1/J395*(X395/H395),"0")</f>
        <v>6.6795949148890338E-2</v>
      </c>
      <c r="BP395" s="64">
        <f>IFERROR(1/J395*(Y395/H395),"0")</f>
        <v>7.1428571428571438E-2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16.609907120743035</v>
      </c>
      <c r="Y396" s="635">
        <f>IFERROR(Y392/H392,"0")+IFERROR(Y393/H393,"0")+IFERROR(Y394/H394,"0")+IFERROR(Y395/H395,"0")</f>
        <v>19</v>
      </c>
      <c r="Z396" s="635">
        <f>IFERROR(IF(Z392="",0,Z392),"0")+IFERROR(IF(Z393="",0,Z393),"0")+IFERROR(IF(Z394="",0,Z394),"0")+IFERROR(IF(Z395="",0,Z395),"0")</f>
        <v>0.12870999999999999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43</v>
      </c>
      <c r="Y397" s="635">
        <f>IFERROR(SUM(Y392:Y395),"0")</f>
        <v>49.43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18</v>
      </c>
      <c r="Y399" s="634">
        <f>IFERROR(IF(X399="",0,CEILING((X399/$H399),1)*$H399),"")</f>
        <v>18</v>
      </c>
      <c r="Z399" s="36">
        <f>IFERROR(IF(Y399=0,"",ROUNDUP(Y399/H399,0)*0.00474),"")</f>
        <v>4.2660000000000003E-2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20.160000000000004</v>
      </c>
      <c r="BN399" s="64">
        <f>IFERROR(Y399*I399/H399,"0")</f>
        <v>20.160000000000004</v>
      </c>
      <c r="BO399" s="64">
        <f>IFERROR(1/J399*(X399/H399),"0")</f>
        <v>3.7815126050420166E-2</v>
      </c>
      <c r="BP399" s="64">
        <f>IFERROR(1/J399*(Y399/H399),"0")</f>
        <v>3.7815126050420166E-2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15</v>
      </c>
      <c r="Y400" s="634">
        <f>IFERROR(IF(X400="",0,CEILING((X400/$H400),1)*$H400),"")</f>
        <v>16</v>
      </c>
      <c r="Z400" s="36">
        <f>IFERROR(IF(Y400=0,"",ROUNDUP(Y400/H400,0)*0.00474),"")</f>
        <v>3.7920000000000002E-2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16.8</v>
      </c>
      <c r="BN400" s="64">
        <f>IFERROR(Y400*I400/H400,"0")</f>
        <v>17.920000000000002</v>
      </c>
      <c r="BO400" s="64">
        <f>IFERROR(1/J400*(X400/H400),"0")</f>
        <v>3.1512605042016806E-2</v>
      </c>
      <c r="BP400" s="64">
        <f>IFERROR(1/J400*(Y400/H400),"0")</f>
        <v>3.3613445378151259E-2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48</v>
      </c>
      <c r="Y401" s="634">
        <f>IFERROR(IF(X401="",0,CEILING((X401/$H401),1)*$H401),"")</f>
        <v>48</v>
      </c>
      <c r="Z401" s="36">
        <f>IFERROR(IF(Y401=0,"",ROUNDUP(Y401/H401,0)*0.00474),"")</f>
        <v>0.11376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53.760000000000005</v>
      </c>
      <c r="BN401" s="64">
        <f>IFERROR(Y401*I401/H401,"0")</f>
        <v>53.760000000000005</v>
      </c>
      <c r="BO401" s="64">
        <f>IFERROR(1/J401*(X401/H401),"0")</f>
        <v>0.10084033613445378</v>
      </c>
      <c r="BP401" s="64">
        <f>IFERROR(1/J401*(Y401/H401),"0")</f>
        <v>0.10084033613445378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40.5</v>
      </c>
      <c r="Y402" s="635">
        <f>IFERROR(Y399/H399,"0")+IFERROR(Y400/H400,"0")+IFERROR(Y401/H401,"0")</f>
        <v>41</v>
      </c>
      <c r="Z402" s="635">
        <f>IFERROR(IF(Z399="",0,Z399),"0")+IFERROR(IF(Z400="",0,Z400),"0")+IFERROR(IF(Z401="",0,Z401),"0")</f>
        <v>0.19434000000000001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81</v>
      </c>
      <c r="Y403" s="635">
        <f>IFERROR(SUM(Y399:Y401),"0")</f>
        <v>82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4</v>
      </c>
      <c r="Y405" s="634">
        <f>IFERROR(IF(X405="",0,CEILING((X405/$H405),1)*$H405),"")</f>
        <v>6</v>
      </c>
      <c r="Z405" s="36">
        <f>IFERROR(IF(Y405=0,"",ROUNDUP(Y405/H405,0)*0.0045),"")</f>
        <v>8.9999999999999993E-3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4.2933333333333339</v>
      </c>
      <c r="BN405" s="64">
        <f>IFERROR(Y405*I405/H405,"0")</f>
        <v>6.44</v>
      </c>
      <c r="BO405" s="64">
        <f>IFERROR(1/J405*(X405/H405),"0")</f>
        <v>5.9523809523809521E-3</v>
      </c>
      <c r="BP405" s="64">
        <f>IFERROR(1/J405*(Y405/H405),"0")</f>
        <v>8.9285714285714281E-3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15</v>
      </c>
      <c r="Y406" s="634">
        <f>IFERROR(IF(X406="",0,CEILING((X406/$H406),1)*$H406),"")</f>
        <v>15.6</v>
      </c>
      <c r="Z406" s="36">
        <f>IFERROR(IF(Y406=0,"",ROUNDUP(Y406/H406,0)*0.006),"")</f>
        <v>2.4E-2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16.038461538461537</v>
      </c>
      <c r="BN406" s="64">
        <f>IFERROR(Y406*I406/H406,"0")</f>
        <v>16.68</v>
      </c>
      <c r="BO406" s="64">
        <f>IFERROR(1/J406*(X406/H406),"0")</f>
        <v>2.6709401709401708E-2</v>
      </c>
      <c r="BP406" s="64">
        <f>IFERROR(1/J406*(Y406/H406),"0")</f>
        <v>2.7777777777777776E-2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38</v>
      </c>
      <c r="Y407" s="634">
        <f>IFERROR(IF(X407="",0,CEILING((X407/$H407),1)*$H407),"")</f>
        <v>39</v>
      </c>
      <c r="Z407" s="36">
        <f>IFERROR(IF(Y407=0,"",ROUNDUP(Y407/H407,0)*0.0045),"")</f>
        <v>5.8499999999999996E-2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40.786666666666669</v>
      </c>
      <c r="BN407" s="64">
        <f>IFERROR(Y407*I407/H407,"0")</f>
        <v>41.860000000000007</v>
      </c>
      <c r="BO407" s="64">
        <f>IFERROR(1/J407*(X407/H407),"0")</f>
        <v>5.6547619047619041E-2</v>
      </c>
      <c r="BP407" s="64">
        <f>IFERROR(1/J407*(Y407/H407),"0")</f>
        <v>5.8035714285714281E-2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17.846153846153847</v>
      </c>
      <c r="Y408" s="635">
        <f>IFERROR(Y405/H405,"0")+IFERROR(Y406/H406,"0")+IFERROR(Y407/H407,"0")</f>
        <v>19</v>
      </c>
      <c r="Z408" s="635">
        <f>IFERROR(IF(Z405="",0,Z405),"0")+IFERROR(IF(Z406="",0,Z406),"0")+IFERROR(IF(Z407="",0,Z407),"0")</f>
        <v>9.1499999999999998E-2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57</v>
      </c>
      <c r="Y409" s="635">
        <f>IFERROR(SUM(Y405:Y407),"0")</f>
        <v>60.6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122</v>
      </c>
      <c r="Y419" s="634">
        <f>IFERROR(IF(X419="",0,CEILING((X419/$H419),1)*$H419),"")</f>
        <v>123.9</v>
      </c>
      <c r="Z419" s="36">
        <f>IFERROR(IF(Y419=0,"",ROUNDUP(Y419/H419,0)*0.00651),"")</f>
        <v>0.38408999999999999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136.63999999999999</v>
      </c>
      <c r="BN419" s="64">
        <f>IFERROR(Y419*I419/H419,"0")</f>
        <v>138.768</v>
      </c>
      <c r="BO419" s="64">
        <f>IFERROR(1/J419*(X419/H419),"0")</f>
        <v>0.31920460491889063</v>
      </c>
      <c r="BP419" s="64">
        <f>IFERROR(1/J419*(Y419/H419),"0")</f>
        <v>0.32417582417582419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14</v>
      </c>
      <c r="Y420" s="634">
        <f>IFERROR(IF(X420="",0,CEILING((X420/$H420),1)*$H420),"")</f>
        <v>14.700000000000001</v>
      </c>
      <c r="Z420" s="36">
        <f>IFERROR(IF(Y420=0,"",ROUNDUP(Y420/H420,0)*0.00651),"")</f>
        <v>4.5569999999999999E-2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15.599999999999998</v>
      </c>
      <c r="BN420" s="64">
        <f>IFERROR(Y420*I420/H420,"0")</f>
        <v>16.380000000000003</v>
      </c>
      <c r="BO420" s="64">
        <f>IFERROR(1/J420*(X420/H420),"0")</f>
        <v>3.6630036630036632E-2</v>
      </c>
      <c r="BP420" s="64">
        <f>IFERROR(1/J420*(Y420/H420),"0")</f>
        <v>3.8461538461538464E-2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64.761904761904759</v>
      </c>
      <c r="Y421" s="635">
        <f>IFERROR(Y418/H418,"0")+IFERROR(Y419/H419,"0")+IFERROR(Y420/H420,"0")</f>
        <v>66</v>
      </c>
      <c r="Z421" s="635">
        <f>IFERROR(IF(Z418="",0,Z418),"0")+IFERROR(IF(Z419="",0,Z419),"0")+IFERROR(IF(Z420="",0,Z420),"0")</f>
        <v>0.42965999999999999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136</v>
      </c>
      <c r="Y422" s="635">
        <f>IFERROR(SUM(Y418:Y420),"0")</f>
        <v>138.6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93</v>
      </c>
      <c r="Y426" s="634">
        <f t="shared" ref="Y426:Y433" si="53">IFERROR(IF(X426="",0,CEILING((X426/$H426),1)*$H426),"")</f>
        <v>105</v>
      </c>
      <c r="Z426" s="36">
        <f>IFERROR(IF(Y426=0,"",ROUNDUP(Y426/H426,0)*0.02175),"")</f>
        <v>0.15225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95.914000000000001</v>
      </c>
      <c r="BN426" s="64">
        <f t="shared" ref="BN426:BN433" si="55">IFERROR(Y426*I426/H426,"0")</f>
        <v>108.29</v>
      </c>
      <c r="BO426" s="64">
        <f t="shared" ref="BO426:BO433" si="56">IFERROR(1/J426*(X426/H426),"0")</f>
        <v>0.12916666666666665</v>
      </c>
      <c r="BP426" s="64">
        <f t="shared" ref="BP426:BP433" si="57">IFERROR(1/J426*(Y426/H426),"0")</f>
        <v>0.14583333333333331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717</v>
      </c>
      <c r="Y428" s="634">
        <f t="shared" si="53"/>
        <v>720</v>
      </c>
      <c r="Z428" s="36">
        <f>IFERROR(IF(Y428=0,"",ROUNDUP(Y428/H428,0)*0.02175),"")</f>
        <v>1.044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739.46600000000001</v>
      </c>
      <c r="BN428" s="64">
        <f t="shared" si="55"/>
        <v>742.56</v>
      </c>
      <c r="BO428" s="64">
        <f t="shared" si="56"/>
        <v>0.99583333333333324</v>
      </c>
      <c r="BP428" s="64">
        <f t="shared" si="57"/>
        <v>1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54</v>
      </c>
      <c r="Y434" s="635">
        <f>IFERROR(Y426/H426,"0")+IFERROR(Y427/H427,"0")+IFERROR(Y428/H428,"0")+IFERROR(Y429/H429,"0")+IFERROR(Y430/H430,"0")+IFERROR(Y431/H431,"0")+IFERROR(Y432/H432,"0")+IFERROR(Y433/H433,"0")</f>
        <v>55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1.19625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810</v>
      </c>
      <c r="Y435" s="635">
        <f>IFERROR(SUM(Y426:Y433),"0")</f>
        <v>825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120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126.58666666666666</v>
      </c>
      <c r="BN450" s="64">
        <f>IFERROR(Y450*I450/H450,"0")</f>
        <v>132.916</v>
      </c>
      <c r="BO450" s="64">
        <f>IFERROR(1/J450*(X450/H450),"0")</f>
        <v>0.20833333333333334</v>
      </c>
      <c r="BP450" s="64">
        <f>IFERROR(1/J450*(Y450/H450),"0")</f>
        <v>0.21875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13.333333333333334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120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56</v>
      </c>
      <c r="Y499" s="634">
        <f t="shared" ref="Y499:Y507" si="63">IFERROR(IF(X499="",0,CEILING((X499/$H499),1)*$H499),"")</f>
        <v>58.080000000000005</v>
      </c>
      <c r="Z499" s="36">
        <f t="shared" ref="Z499:Z504" si="64">IFERROR(IF(Y499=0,"",ROUNDUP(Y499/H499,0)*0.01196),"")</f>
        <v>0.13156000000000001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59.712121212121204</v>
      </c>
      <c r="BN499" s="64">
        <f t="shared" ref="BN499:BN507" si="66">IFERROR(Y499*I499/H499,"0")</f>
        <v>61.93</v>
      </c>
      <c r="BO499" s="64">
        <f t="shared" ref="BO499:BO507" si="67">IFERROR(1/J499*(X499/H499),"0")</f>
        <v>0.10198135198135198</v>
      </c>
      <c r="BP499" s="64">
        <f t="shared" ref="BP499:BP507" si="68">IFERROR(1/J499*(Y499/H499),"0")</f>
        <v>0.10576923076923078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11</v>
      </c>
      <c r="Y501" s="634">
        <f t="shared" si="63"/>
        <v>15.84</v>
      </c>
      <c r="Z501" s="36">
        <f t="shared" si="64"/>
        <v>3.5880000000000002E-2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11.729166666666666</v>
      </c>
      <c r="BN501" s="64">
        <f t="shared" si="66"/>
        <v>16.889999999999997</v>
      </c>
      <c r="BO501" s="64">
        <f t="shared" si="67"/>
        <v>2.003205128205128E-2</v>
      </c>
      <c r="BP501" s="64">
        <f t="shared" si="68"/>
        <v>2.8846153846153848E-2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272</v>
      </c>
      <c r="Y502" s="634">
        <f t="shared" si="63"/>
        <v>274.56</v>
      </c>
      <c r="Z502" s="36">
        <f t="shared" si="64"/>
        <v>0.62192000000000003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290.030303030303</v>
      </c>
      <c r="BN502" s="64">
        <f t="shared" si="66"/>
        <v>292.76</v>
      </c>
      <c r="BO502" s="64">
        <f t="shared" si="67"/>
        <v>0.49533799533799538</v>
      </c>
      <c r="BP502" s="64">
        <f t="shared" si="68"/>
        <v>0.5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882</v>
      </c>
      <c r="Y504" s="634">
        <f t="shared" si="63"/>
        <v>887.04000000000008</v>
      </c>
      <c r="Z504" s="36">
        <f t="shared" si="64"/>
        <v>2.00928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940.46590909090901</v>
      </c>
      <c r="BN504" s="64">
        <f t="shared" si="66"/>
        <v>945.84</v>
      </c>
      <c r="BO504" s="64">
        <f t="shared" si="67"/>
        <v>1.6062062937062938</v>
      </c>
      <c r="BP504" s="64">
        <f t="shared" si="68"/>
        <v>1.6153846153846154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21</v>
      </c>
      <c r="Y506" s="634">
        <f t="shared" si="63"/>
        <v>24</v>
      </c>
      <c r="Z506" s="36">
        <f>IFERROR(IF(Y506=0,"",ROUNDUP(Y506/H506,0)*0.00902),"")</f>
        <v>4.5100000000000001E-2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30.231250000000003</v>
      </c>
      <c r="BN506" s="64">
        <f t="shared" si="66"/>
        <v>34.550000000000004</v>
      </c>
      <c r="BO506" s="64">
        <f t="shared" si="67"/>
        <v>3.3143939393939392E-2</v>
      </c>
      <c r="BP506" s="64">
        <f t="shared" si="68"/>
        <v>3.787878787878788E-2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4</v>
      </c>
      <c r="Y507" s="634">
        <f t="shared" si="63"/>
        <v>4.8</v>
      </c>
      <c r="Z507" s="36">
        <f>IFERROR(IF(Y507=0,"",ROUNDUP(Y507/H507,0)*0.00902),"")</f>
        <v>9.0200000000000002E-3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5.7583333333333337</v>
      </c>
      <c r="BN507" s="64">
        <f t="shared" si="66"/>
        <v>6.91</v>
      </c>
      <c r="BO507" s="64">
        <f t="shared" si="67"/>
        <v>6.3131313131313139E-3</v>
      </c>
      <c r="BP507" s="64">
        <f t="shared" si="68"/>
        <v>7.575757575757576E-3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236.45833333333334</v>
      </c>
      <c r="Y508" s="635">
        <f>IFERROR(Y499/H499,"0")+IFERROR(Y500/H500,"0")+IFERROR(Y501/H501,"0")+IFERROR(Y502/H502,"0")+IFERROR(Y503/H503,"0")+IFERROR(Y504/H504,"0")+IFERROR(Y505/H505,"0")+IFERROR(Y506/H506,"0")+IFERROR(Y507/H507,"0")</f>
        <v>240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2.85276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1246</v>
      </c>
      <c r="Y509" s="635">
        <f>IFERROR(SUM(Y499:Y507),"0")</f>
        <v>1264.32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431</v>
      </c>
      <c r="Y511" s="634">
        <f>IFERROR(IF(X511="",0,CEILING((X511/$H511),1)*$H511),"")</f>
        <v>432.96000000000004</v>
      </c>
      <c r="Z511" s="36">
        <f>IFERROR(IF(Y511=0,"",ROUNDUP(Y511/H511,0)*0.01196),"")</f>
        <v>0.98072000000000004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459.57007575757569</v>
      </c>
      <c r="BN511" s="64">
        <f>IFERROR(Y511*I511/H511,"0")</f>
        <v>461.66</v>
      </c>
      <c r="BO511" s="64">
        <f>IFERROR(1/J511*(X511/H511),"0")</f>
        <v>0.78489219114219111</v>
      </c>
      <c r="BP511" s="64">
        <f>IFERROR(1/J511*(Y511/H511),"0")</f>
        <v>0.78846153846153855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5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7.1979166666666661</v>
      </c>
      <c r="BN513" s="64">
        <f>IFERROR(Y513*I513/H513,"0")</f>
        <v>13.82</v>
      </c>
      <c r="BO513" s="64">
        <f>IFERROR(1/J513*(X513/H513),"0")</f>
        <v>7.8914141414141419E-3</v>
      </c>
      <c r="BP513" s="64">
        <f>IFERROR(1/J513*(Y513/H513),"0")</f>
        <v>1.5151515151515152E-2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82.670454545454547</v>
      </c>
      <c r="Y514" s="635">
        <f>IFERROR(Y511/H511,"0")+IFERROR(Y512/H512,"0")+IFERROR(Y513/H513,"0")</f>
        <v>84</v>
      </c>
      <c r="Z514" s="635">
        <f>IFERROR(IF(Z511="",0,Z511),"0")+IFERROR(IF(Z512="",0,Z512),"0")+IFERROR(IF(Z513="",0,Z513),"0")</f>
        <v>0.99876000000000009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436</v>
      </c>
      <c r="Y515" s="635">
        <f>IFERROR(SUM(Y511:Y513),"0")</f>
        <v>442.56000000000006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61</v>
      </c>
      <c r="Y517" s="634">
        <f t="shared" ref="Y517:Y523" si="69">IFERROR(IF(X517="",0,CEILING((X517/$H517),1)*$H517),"")</f>
        <v>63.36</v>
      </c>
      <c r="Z517" s="36">
        <f>IFERROR(IF(Y517=0,"",ROUNDUP(Y517/H517,0)*0.01196),"")</f>
        <v>0.14352000000000001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65.043560606060609</v>
      </c>
      <c r="BN517" s="64">
        <f t="shared" ref="BN517:BN523" si="71">IFERROR(Y517*I517/H517,"0")</f>
        <v>67.559999999999988</v>
      </c>
      <c r="BO517" s="64">
        <f t="shared" ref="BO517:BO523" si="72">IFERROR(1/J517*(X517/H517),"0")</f>
        <v>0.11108682983682984</v>
      </c>
      <c r="BP517" s="64">
        <f t="shared" ref="BP517:BP523" si="73">IFERROR(1/J517*(Y517/H517),"0")</f>
        <v>0.11538461538461539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187</v>
      </c>
      <c r="Y518" s="634">
        <f t="shared" si="69"/>
        <v>190.08</v>
      </c>
      <c r="Z518" s="36">
        <f>IFERROR(IF(Y518=0,"",ROUNDUP(Y518/H518,0)*0.01196),"")</f>
        <v>0.43056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199.39583333333331</v>
      </c>
      <c r="BN518" s="64">
        <f t="shared" si="71"/>
        <v>202.67999999999998</v>
      </c>
      <c r="BO518" s="64">
        <f t="shared" si="72"/>
        <v>0.34054487179487181</v>
      </c>
      <c r="BP518" s="64">
        <f t="shared" si="73"/>
        <v>0.34615384615384615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546</v>
      </c>
      <c r="Y519" s="634">
        <f t="shared" si="69"/>
        <v>549.12</v>
      </c>
      <c r="Z519" s="36">
        <f>IFERROR(IF(Y519=0,"",ROUNDUP(Y519/H519,0)*0.01196),"")</f>
        <v>1.2438400000000001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582.19318181818176</v>
      </c>
      <c r="BN519" s="64">
        <f t="shared" si="71"/>
        <v>585.52</v>
      </c>
      <c r="BO519" s="64">
        <f t="shared" si="72"/>
        <v>0.99431818181818188</v>
      </c>
      <c r="BP519" s="64">
        <f t="shared" si="73"/>
        <v>1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150.37878787878788</v>
      </c>
      <c r="Y524" s="635">
        <f>IFERROR(Y517/H517,"0")+IFERROR(Y518/H518,"0")+IFERROR(Y519/H519,"0")+IFERROR(Y520/H520,"0")+IFERROR(Y521/H521,"0")+IFERROR(Y522/H522,"0")+IFERROR(Y523/H523,"0")</f>
        <v>152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1.81792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794</v>
      </c>
      <c r="Y525" s="635">
        <f>IFERROR(SUM(Y517:Y523),"0")</f>
        <v>802.56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107</v>
      </c>
      <c r="Y541" s="634">
        <f>IFERROR(IF(X541="",0,CEILING((X541/$H541),1)*$H541),"")</f>
        <v>108</v>
      </c>
      <c r="Z541" s="36">
        <f>IFERROR(IF(Y541=0,"",ROUNDUP(Y541/H541,0)*0.01898),"")</f>
        <v>0.22776000000000002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112.8731111111111</v>
      </c>
      <c r="BN541" s="64">
        <f>IFERROR(Y541*I541/H541,"0")</f>
        <v>113.92799999999998</v>
      </c>
      <c r="BO541" s="64">
        <f>IFERROR(1/J541*(X541/H541),"0")</f>
        <v>0.1857638888888889</v>
      </c>
      <c r="BP541" s="64">
        <f>IFERROR(1/J541*(Y541/H541),"0")</f>
        <v>0.1875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11.888888888888889</v>
      </c>
      <c r="Y542" s="635">
        <f>IFERROR(Y541/H541,"0")</f>
        <v>12</v>
      </c>
      <c r="Z542" s="635">
        <f>IFERROR(IF(Z541="",0,Z541),"0")</f>
        <v>0.22776000000000002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107</v>
      </c>
      <c r="Y543" s="635">
        <f>IFERROR(SUM(Y541:Y541),"0")</f>
        <v>108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16506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16702.310000000001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17491.02929765308</v>
      </c>
      <c r="Y555" s="635">
        <f>IFERROR(SUM(BN22:BN551),"0")</f>
        <v>17702.341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18266.02929765308</v>
      </c>
      <c r="Y557" s="635">
        <f>GrossWeightTotalR+PalletQtyTotalR*25</f>
        <v>18477.341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3298.9715533552344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3339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36.580469999999998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1973.8000000000002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881.4</v>
      </c>
      <c r="F564" s="46">
        <f>IFERROR(Y84*1,"0")+IFERROR(Y85*1,"0")+IFERROR(Y86*1,"0")+IFERROR(Y87*1,"0")+IFERROR(Y91*1,"0")+IFERROR(Y92*1,"0")+IFERROR(Y93*1,"0")+IFERROR(Y94*1,"0")</f>
        <v>1413.9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1887.86</v>
      </c>
      <c r="H564" s="46">
        <f>IFERROR(Y129*1,"0")+IFERROR(Y130*1,"0")+IFERROR(Y131*1,"0")+IFERROR(Y135*1,"0")+IFERROR(Y136*1,"0")+IFERROR(Y137*1,"0")+IFERROR(Y138*1,"0")+IFERROR(Y142*1,"0")+IFERROR(Y143*1,"0")+IFERROR(Y144*1,"0")</f>
        <v>61.519999999999996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1130.8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419.06000000000006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3183.9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48.6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31.2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873.63000000000011</v>
      </c>
      <c r="U564" s="46">
        <f>IFERROR(Y412*1,"0")+IFERROR(Y413*1,"0")</f>
        <v>0</v>
      </c>
      <c r="V564" s="46">
        <f>IFERROR(Y418*1,"0")+IFERROR(Y419*1,"0")+IFERROR(Y420*1,"0")</f>
        <v>138.6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951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2509.4399999999996</v>
      </c>
      <c r="AB564" s="46">
        <f>IFERROR(Y529*1,"0")+IFERROR(Y533*1,"0")+IFERROR(Y537*1,"0")+IFERROR(Y541*1,"0")+IFERROR(Y545*1,"0")+IFERROR(Y546*1,"0")</f>
        <v>108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