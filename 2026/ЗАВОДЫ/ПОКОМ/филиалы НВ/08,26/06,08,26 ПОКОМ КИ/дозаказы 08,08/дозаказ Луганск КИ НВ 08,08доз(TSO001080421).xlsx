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F93DC6E-0A18-402F-A869-2B38EB5142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Y421" i="1" s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Y403" i="1" s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Y389" i="1" s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Y358" i="1" s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Y320" i="1" s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Y260" i="1" s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0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Y244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8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BO136" i="1"/>
  <c r="BM136" i="1"/>
  <c r="Y136" i="1"/>
  <c r="BP136" i="1" s="1"/>
  <c r="P136" i="1"/>
  <c r="BP135" i="1"/>
  <c r="BO135" i="1"/>
  <c r="BN135" i="1"/>
  <c r="BM135" i="1"/>
  <c r="Z135" i="1"/>
  <c r="Y135" i="1"/>
  <c r="Y139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G56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F564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4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4" i="1" s="1"/>
  <c r="X24" i="1"/>
  <c r="BP23" i="1"/>
  <c r="BO23" i="1"/>
  <c r="BN23" i="1"/>
  <c r="BM23" i="1"/>
  <c r="Z23" i="1"/>
  <c r="Y23" i="1"/>
  <c r="P23" i="1"/>
  <c r="BO22" i="1"/>
  <c r="X556" i="1" s="1"/>
  <c r="BM22" i="1"/>
  <c r="X555" i="1" s="1"/>
  <c r="X557" i="1" s="1"/>
  <c r="Y22" i="1"/>
  <c r="B564" i="1" s="1"/>
  <c r="P22" i="1"/>
  <c r="H10" i="1"/>
  <c r="A9" i="1"/>
  <c r="F10" i="1" s="1"/>
  <c r="D7" i="1"/>
  <c r="Q6" i="1"/>
  <c r="P2" i="1"/>
  <c r="Z42" i="1" l="1"/>
  <c r="H9" i="1"/>
  <c r="A10" i="1"/>
  <c r="Y32" i="1"/>
  <c r="Y42" i="1"/>
  <c r="Y52" i="1"/>
  <c r="Y63" i="1"/>
  <c r="Y71" i="1"/>
  <c r="Y75" i="1"/>
  <c r="Y107" i="1"/>
  <c r="Y115" i="1"/>
  <c r="Y121" i="1"/>
  <c r="Y132" i="1"/>
  <c r="Y140" i="1"/>
  <c r="Y146" i="1"/>
  <c r="Y24" i="1"/>
  <c r="Y81" i="1"/>
  <c r="Y88" i="1"/>
  <c r="Y96" i="1"/>
  <c r="I564" i="1"/>
  <c r="Y156" i="1"/>
  <c r="BP155" i="1"/>
  <c r="BN155" i="1"/>
  <c r="BP166" i="1"/>
  <c r="BN166" i="1"/>
  <c r="Z166" i="1"/>
  <c r="Y168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Z192" i="1"/>
  <c r="BP190" i="1"/>
  <c r="BN190" i="1"/>
  <c r="Z190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Z457" i="1"/>
  <c r="F9" i="1"/>
  <c r="J9" i="1"/>
  <c r="Z22" i="1"/>
  <c r="Z24" i="1" s="1"/>
  <c r="BN22" i="1"/>
  <c r="BP22" i="1"/>
  <c r="X558" i="1"/>
  <c r="Y25" i="1"/>
  <c r="Z28" i="1"/>
  <c r="Z32" i="1" s="1"/>
  <c r="BN28" i="1"/>
  <c r="Z30" i="1"/>
  <c r="BN30" i="1"/>
  <c r="C564" i="1"/>
  <c r="Z38" i="1"/>
  <c r="BN38" i="1"/>
  <c r="Z40" i="1"/>
  <c r="BN40" i="1"/>
  <c r="Y43" i="1"/>
  <c r="D564" i="1"/>
  <c r="Z48" i="1"/>
  <c r="Z51" i="1" s="1"/>
  <c r="BN48" i="1"/>
  <c r="Z50" i="1"/>
  <c r="BN50" i="1"/>
  <c r="Y51" i="1"/>
  <c r="Z55" i="1"/>
  <c r="Z63" i="1" s="1"/>
  <c r="BN55" i="1"/>
  <c r="BP55" i="1"/>
  <c r="Z57" i="1"/>
  <c r="BN57" i="1"/>
  <c r="Z59" i="1"/>
  <c r="BN59" i="1"/>
  <c r="Z61" i="1"/>
  <c r="BN61" i="1"/>
  <c r="Y64" i="1"/>
  <c r="Z67" i="1"/>
  <c r="Z70" i="1" s="1"/>
  <c r="BN67" i="1"/>
  <c r="Z69" i="1"/>
  <c r="BN69" i="1"/>
  <c r="Z73" i="1"/>
  <c r="Z75" i="1" s="1"/>
  <c r="BN73" i="1"/>
  <c r="BP73" i="1"/>
  <c r="Z79" i="1"/>
  <c r="Z80" i="1" s="1"/>
  <c r="BN79" i="1"/>
  <c r="Z84" i="1"/>
  <c r="BN84" i="1"/>
  <c r="BP84" i="1"/>
  <c r="Z86" i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Z121" i="1" s="1"/>
  <c r="BN117" i="1"/>
  <c r="BP117" i="1"/>
  <c r="Z119" i="1"/>
  <c r="BN119" i="1"/>
  <c r="H564" i="1"/>
  <c r="Z130" i="1"/>
  <c r="Z132" i="1" s="1"/>
  <c r="BN130" i="1"/>
  <c r="Y133" i="1"/>
  <c r="Z136" i="1"/>
  <c r="Z139" i="1" s="1"/>
  <c r="BN136" i="1"/>
  <c r="Z138" i="1"/>
  <c r="BN138" i="1"/>
  <c r="Z142" i="1"/>
  <c r="BN142" i="1"/>
  <c r="BP142" i="1"/>
  <c r="Z144" i="1"/>
  <c r="BN144" i="1"/>
  <c r="Z149" i="1"/>
  <c r="Z156" i="1" s="1"/>
  <c r="BN149" i="1"/>
  <c r="BP149" i="1"/>
  <c r="Z151" i="1"/>
  <c r="BN151" i="1"/>
  <c r="Z153" i="1"/>
  <c r="BN153" i="1"/>
  <c r="Z15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Z167" i="1" s="1"/>
  <c r="Y172" i="1"/>
  <c r="BP176" i="1"/>
  <c r="BN176" i="1"/>
  <c r="Z176" i="1"/>
  <c r="BP180" i="1"/>
  <c r="BN180" i="1"/>
  <c r="Z180" i="1"/>
  <c r="Z186" i="1" s="1"/>
  <c r="BP184" i="1"/>
  <c r="BN184" i="1"/>
  <c r="Z184" i="1"/>
  <c r="Y193" i="1"/>
  <c r="Y192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Z243" i="1" s="1"/>
  <c r="Y243" i="1"/>
  <c r="Y249" i="1"/>
  <c r="BP247" i="1"/>
  <c r="BN247" i="1"/>
  <c r="Z247" i="1"/>
  <c r="Z249" i="1" s="1"/>
  <c r="Z483" i="1"/>
  <c r="M564" i="1"/>
  <c r="Z258" i="1"/>
  <c r="Z259" i="1" s="1"/>
  <c r="BN258" i="1"/>
  <c r="BP258" i="1"/>
  <c r="Y259" i="1"/>
  <c r="Z262" i="1"/>
  <c r="Z264" i="1" s="1"/>
  <c r="BN262" i="1"/>
  <c r="BP262" i="1"/>
  <c r="Y265" i="1"/>
  <c r="Y276" i="1"/>
  <c r="Z268" i="1"/>
  <c r="BN268" i="1"/>
  <c r="Z270" i="1"/>
  <c r="BN270" i="1"/>
  <c r="Z272" i="1"/>
  <c r="BN272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Z494" i="1" s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Z275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Z320" i="1"/>
  <c r="BP318" i="1"/>
  <c r="BN318" i="1"/>
  <c r="Z318" i="1"/>
  <c r="BP327" i="1"/>
  <c r="BN327" i="1"/>
  <c r="Z327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Z357" i="1" s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Z383" i="1" s="1"/>
  <c r="Y383" i="1"/>
  <c r="Z389" i="1"/>
  <c r="BP387" i="1"/>
  <c r="BN387" i="1"/>
  <c r="Z387" i="1"/>
  <c r="BP395" i="1"/>
  <c r="BN395" i="1"/>
  <c r="Z395" i="1"/>
  <c r="Y397" i="1"/>
  <c r="Y402" i="1"/>
  <c r="BP399" i="1"/>
  <c r="BN399" i="1"/>
  <c r="Z399" i="1"/>
  <c r="BP407" i="1"/>
  <c r="BN407" i="1"/>
  <c r="Z407" i="1"/>
  <c r="Y409" i="1"/>
  <c r="Z421" i="1"/>
  <c r="BP419" i="1"/>
  <c r="BN419" i="1"/>
  <c r="Z419" i="1"/>
  <c r="BP429" i="1"/>
  <c r="BN429" i="1"/>
  <c r="Z429" i="1"/>
  <c r="P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Z478" i="1" s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508" i="1" l="1"/>
  <c r="Z408" i="1"/>
  <c r="Z290" i="1"/>
  <c r="Y555" i="1"/>
  <c r="Z235" i="1"/>
  <c r="Z514" i="1"/>
  <c r="Z402" i="1"/>
  <c r="Z524" i="1"/>
  <c r="Z467" i="1"/>
  <c r="Z446" i="1"/>
  <c r="Z396" i="1"/>
  <c r="Z376" i="1"/>
  <c r="Z366" i="1"/>
  <c r="Z213" i="1"/>
  <c r="Z145" i="1"/>
  <c r="Z114" i="1"/>
  <c r="Z106" i="1"/>
  <c r="Z88" i="1"/>
  <c r="Y554" i="1"/>
  <c r="Y556" i="1"/>
  <c r="Z559" i="1"/>
  <c r="Y558" i="1"/>
  <c r="Y557" i="1" l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<sst xmlns="http://schemas.openxmlformats.org/spreadsheetml/2006/main" count="2515" uniqueCount="912">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</sst>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1500</v>
      </c>
      <c r="Y47" s="634">
        <f>IFERROR(IF(X47="",0,CEILING((X47/$H47),1)*$H47),"")</f>
        <v>1501.2</v>
      </c>
      <c r="Z47" s="36">
        <f>IFERROR(IF(Y47=0,"",ROUNDUP(Y47/H47,0)*0.01898),"")</f>
        <v>2.63822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1556.9444444444443</v>
      </c>
      <c r="BN47" s="64">
        <f>IFERROR(Y47*I47/H47,"0")</f>
        <v>1558.19</v>
      </c>
      <c r="BO47" s="64">
        <f>IFERROR(1/J47*(X47/H47),"0")</f>
        <v>2.1701388888888888</v>
      </c>
      <c r="BP47" s="64">
        <f>IFERROR(1/J47*(Y47/H47),"0")</f>
        <v>2.171875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138.88888888888889</v>
      </c>
      <c r="Y51" s="635">
        <f>IFERROR(Y47/H47,"0")+IFERROR(Y48/H48,"0")+IFERROR(Y49/H49,"0")+IFERROR(Y50/H50,"0")</f>
        <v>139</v>
      </c>
      <c r="Z51" s="635">
        <f>IFERROR(IF(Z47="",0,Z47),"0")+IFERROR(IF(Z48="",0,Z48),"0")+IFERROR(IF(Z49="",0,Z49),"0")+IFERROR(IF(Z50="",0,Z50),"0")</f>
        <v>2.63822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1500</v>
      </c>
      <c r="Y52" s="635">
        <f>IFERROR(SUM(Y47:Y50),"0")</f>
        <v>1501.2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300</v>
      </c>
      <c r="Y430" s="634">
        <f t="shared" si="53"/>
        <v>300</v>
      </c>
      <c r="Z430" s="36">
        <f>IFERROR(IF(Y430=0,"",ROUNDUP(Y430/H430,0)*0.02175),"")</f>
        <v>0.43499999999999994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309.39999999999998</v>
      </c>
      <c r="BN430" s="64">
        <f t="shared" si="55"/>
        <v>309.39999999999998</v>
      </c>
      <c r="BO430" s="64">
        <f t="shared" si="56"/>
        <v>0.41666666666666663</v>
      </c>
      <c r="BP430" s="64">
        <f t="shared" si="57"/>
        <v>0.41666666666666663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20</v>
      </c>
      <c r="Y434" s="635">
        <f>IFERROR(Y426/H426,"0")+IFERROR(Y427/H427,"0")+IFERROR(Y428/H428,"0")+IFERROR(Y429/H429,"0")+IFERROR(Y430/H430,"0")+IFERROR(Y431/H431,"0")+IFERROR(Y432/H432,"0")+IFERROR(Y433/H433,"0")</f>
        <v>20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0.43499999999999994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300</v>
      </c>
      <c r="Y435" s="635">
        <f>IFERROR(SUM(Y426:Y433),"0")</f>
        <v>300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300</v>
      </c>
      <c r="Y502" s="634">
        <f t="shared" si="63"/>
        <v>300.96000000000004</v>
      </c>
      <c r="Z502" s="36">
        <f t="shared" si="64"/>
        <v>0.68171999999999999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319.88636363636363</v>
      </c>
      <c r="BN502" s="64">
        <f t="shared" si="66"/>
        <v>320.91000000000003</v>
      </c>
      <c r="BO502" s="64">
        <f t="shared" si="67"/>
        <v>0.54632867132867136</v>
      </c>
      <c r="BP502" s="64">
        <f t="shared" si="68"/>
        <v>0.54807692307692313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900</v>
      </c>
      <c r="Y504" s="634">
        <f t="shared" si="63"/>
        <v>902.88</v>
      </c>
      <c r="Z504" s="36">
        <f t="shared" si="64"/>
        <v>2.0451600000000001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959.65909090909088</v>
      </c>
      <c r="BN504" s="64">
        <f t="shared" si="66"/>
        <v>962.7299999999999</v>
      </c>
      <c r="BO504" s="64">
        <f t="shared" si="67"/>
        <v>1.638986013986014</v>
      </c>
      <c r="BP504" s="64">
        <f t="shared" si="68"/>
        <v>1.6442307692307694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227.27272727272725</v>
      </c>
      <c r="Y508" s="635">
        <f>IFERROR(Y499/H499,"0")+IFERROR(Y500/H500,"0")+IFERROR(Y501/H501,"0")+IFERROR(Y502/H502,"0")+IFERROR(Y503/H503,"0")+IFERROR(Y504/H504,"0")+IFERROR(Y505/H505,"0")+IFERROR(Y506/H506,"0")+IFERROR(Y507/H507,"0")</f>
        <v>228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2.72688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1200</v>
      </c>
      <c r="Y509" s="635">
        <f>IFERROR(SUM(Y499:Y507),"0")</f>
        <v>1203.8400000000001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3000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3005.04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3145.8898989898989</v>
      </c>
      <c r="Y555" s="635">
        <f>IFERROR(SUM(BN22:BN551),"0")</f>
        <v>3151.23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5</v>
      </c>
      <c r="Y556" s="38">
        <f>ROUNDUP(SUM(BP22:BP551),0)</f>
        <v>5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3270.8898989898989</v>
      </c>
      <c r="Y557" s="635">
        <f>GrossWeightTotalR+PalletQtyTotalR*25</f>
        <v>3276.23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386.16161616161617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387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5.8001000000000005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1501.2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1203.8400000000001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