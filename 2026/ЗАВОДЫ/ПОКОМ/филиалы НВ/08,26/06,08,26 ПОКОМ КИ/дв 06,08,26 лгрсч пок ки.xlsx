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8,26\06,08,26 ПОКОМ КИ\"/>
    </mc:Choice>
  </mc:AlternateContent>
  <xr:revisionPtr revIDLastSave="0" documentId="13_ncr:1_{38437BC7-57F5-4E57-A916-6653A3E4EDC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Sheet!$A$3:$AH$136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7" i="1" l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6" i="1"/>
  <c r="P5" i="1"/>
  <c r="AH32" i="1" l="1"/>
  <c r="AH41" i="1"/>
  <c r="AH64" i="1"/>
  <c r="AH65" i="1"/>
  <c r="S9" i="1"/>
  <c r="AH9" i="1" s="1"/>
  <c r="S15" i="1"/>
  <c r="S17" i="1"/>
  <c r="AH17" i="1" s="1"/>
  <c r="S20" i="1"/>
  <c r="S24" i="1"/>
  <c r="S27" i="1"/>
  <c r="S28" i="1"/>
  <c r="S29" i="1"/>
  <c r="AH29" i="1" s="1"/>
  <c r="S30" i="1"/>
  <c r="S31" i="1"/>
  <c r="S33" i="1"/>
  <c r="AH33" i="1" s="1"/>
  <c r="S35" i="1"/>
  <c r="S36" i="1"/>
  <c r="AH36" i="1" s="1"/>
  <c r="S37" i="1"/>
  <c r="AH37" i="1" s="1"/>
  <c r="S39" i="1"/>
  <c r="S40" i="1"/>
  <c r="S44" i="1"/>
  <c r="S45" i="1"/>
  <c r="AH45" i="1" s="1"/>
  <c r="S46" i="1"/>
  <c r="S47" i="1"/>
  <c r="S49" i="1"/>
  <c r="AH49" i="1" s="1"/>
  <c r="S56" i="1"/>
  <c r="S58" i="1"/>
  <c r="S67" i="1"/>
  <c r="AH67" i="1" s="1"/>
  <c r="S70" i="1"/>
  <c r="S72" i="1"/>
  <c r="S73" i="1"/>
  <c r="AH73" i="1" s="1"/>
  <c r="S75" i="1"/>
  <c r="AH75" i="1" s="1"/>
  <c r="S86" i="1"/>
  <c r="S87" i="1"/>
  <c r="AH87" i="1" s="1"/>
  <c r="S90" i="1"/>
  <c r="S92" i="1"/>
  <c r="S93" i="1"/>
  <c r="AH93" i="1" s="1"/>
  <c r="S94" i="1"/>
  <c r="S95" i="1"/>
  <c r="AH95" i="1" s="1"/>
  <c r="S96" i="1"/>
  <c r="S98" i="1"/>
  <c r="S99" i="1"/>
  <c r="AH99" i="1" s="1"/>
  <c r="S102" i="1"/>
  <c r="S103" i="1"/>
  <c r="AH103" i="1" s="1"/>
  <c r="S105" i="1"/>
  <c r="AH105" i="1" s="1"/>
  <c r="S109" i="1"/>
  <c r="AH109" i="1" s="1"/>
  <c r="S111" i="1"/>
  <c r="AH111" i="1" s="1"/>
  <c r="S113" i="1"/>
  <c r="AH113" i="1" s="1"/>
  <c r="S114" i="1"/>
  <c r="S116" i="1"/>
  <c r="S118" i="1"/>
  <c r="S120" i="1"/>
  <c r="S121" i="1"/>
  <c r="AH121" i="1" s="1"/>
  <c r="S122" i="1"/>
  <c r="S123" i="1"/>
  <c r="AH123" i="1" s="1"/>
  <c r="S124" i="1"/>
  <c r="S126" i="1"/>
  <c r="S130" i="1"/>
  <c r="S133" i="1"/>
  <c r="AH133" i="1" s="1"/>
  <c r="S135" i="1"/>
  <c r="AH135" i="1" s="1"/>
  <c r="S136" i="1"/>
  <c r="AH130" i="1" l="1"/>
  <c r="AH126" i="1"/>
  <c r="AH136" i="1"/>
  <c r="AH124" i="1"/>
  <c r="AH122" i="1"/>
  <c r="AH118" i="1"/>
  <c r="AH114" i="1"/>
  <c r="AH102" i="1"/>
  <c r="AH98" i="1"/>
  <c r="AH94" i="1"/>
  <c r="AH90" i="1"/>
  <c r="AH86" i="1"/>
  <c r="AH70" i="1"/>
  <c r="AH56" i="1"/>
  <c r="AH44" i="1"/>
  <c r="AH39" i="1"/>
  <c r="AH35" i="1"/>
  <c r="AH30" i="1"/>
  <c r="AH120" i="1"/>
  <c r="AH96" i="1"/>
  <c r="AH72" i="1"/>
  <c r="AH46" i="1"/>
  <c r="AH28" i="1"/>
  <c r="AH20" i="1"/>
  <c r="AH47" i="1"/>
  <c r="AH31" i="1"/>
  <c r="AH27" i="1"/>
  <c r="AH15" i="1"/>
  <c r="AH116" i="1"/>
  <c r="AH92" i="1"/>
  <c r="AH58" i="1"/>
  <c r="AH40" i="1"/>
  <c r="AH24" i="1"/>
  <c r="Q136" i="1"/>
  <c r="V136" i="1" s="1"/>
  <c r="L136" i="1"/>
  <c r="Q135" i="1"/>
  <c r="L135" i="1"/>
  <c r="Q134" i="1"/>
  <c r="L134" i="1"/>
  <c r="Q133" i="1"/>
  <c r="L133" i="1"/>
  <c r="Q132" i="1"/>
  <c r="L132" i="1"/>
  <c r="Q131" i="1"/>
  <c r="R131" i="1" s="1"/>
  <c r="S131" i="1" s="1"/>
  <c r="L131" i="1"/>
  <c r="Q130" i="1"/>
  <c r="L130" i="1"/>
  <c r="Q129" i="1"/>
  <c r="L129" i="1"/>
  <c r="F128" i="1"/>
  <c r="E128" i="1"/>
  <c r="L128" i="1" s="1"/>
  <c r="Q127" i="1"/>
  <c r="L127" i="1"/>
  <c r="Q126" i="1"/>
  <c r="L126" i="1"/>
  <c r="Q125" i="1"/>
  <c r="L125" i="1"/>
  <c r="Q124" i="1"/>
  <c r="L124" i="1"/>
  <c r="Q123" i="1"/>
  <c r="L123" i="1"/>
  <c r="Q122" i="1"/>
  <c r="V122" i="1" s="1"/>
  <c r="L122" i="1"/>
  <c r="Q121" i="1"/>
  <c r="L121" i="1"/>
  <c r="Q120" i="1"/>
  <c r="L120" i="1"/>
  <c r="Q119" i="1"/>
  <c r="L119" i="1"/>
  <c r="Q118" i="1"/>
  <c r="L118" i="1"/>
  <c r="Q117" i="1"/>
  <c r="L117" i="1"/>
  <c r="Q116" i="1"/>
  <c r="L116" i="1"/>
  <c r="Q115" i="1"/>
  <c r="L115" i="1"/>
  <c r="Q114" i="1"/>
  <c r="V114" i="1" s="1"/>
  <c r="L114" i="1"/>
  <c r="Q113" i="1"/>
  <c r="L113" i="1"/>
  <c r="Q112" i="1"/>
  <c r="L112" i="1"/>
  <c r="F112" i="1"/>
  <c r="Q111" i="1"/>
  <c r="L111" i="1"/>
  <c r="Q110" i="1"/>
  <c r="L110" i="1"/>
  <c r="Q109" i="1"/>
  <c r="L109" i="1"/>
  <c r="Q108" i="1"/>
  <c r="L108" i="1"/>
  <c r="Q107" i="1"/>
  <c r="L107" i="1"/>
  <c r="Q106" i="1"/>
  <c r="L106" i="1"/>
  <c r="Q105" i="1"/>
  <c r="L105" i="1"/>
  <c r="Q104" i="1"/>
  <c r="L104" i="1"/>
  <c r="Q103" i="1"/>
  <c r="L103" i="1"/>
  <c r="Q102" i="1"/>
  <c r="L102" i="1"/>
  <c r="Q101" i="1"/>
  <c r="L101" i="1"/>
  <c r="Q100" i="1"/>
  <c r="L100" i="1"/>
  <c r="Q99" i="1"/>
  <c r="L99" i="1"/>
  <c r="Q98" i="1"/>
  <c r="L98" i="1"/>
  <c r="Q97" i="1"/>
  <c r="L97" i="1"/>
  <c r="Q96" i="1"/>
  <c r="L96" i="1"/>
  <c r="Q95" i="1"/>
  <c r="L95" i="1"/>
  <c r="Q94" i="1"/>
  <c r="L94" i="1"/>
  <c r="Q93" i="1"/>
  <c r="L93" i="1"/>
  <c r="Q92" i="1"/>
  <c r="L92" i="1"/>
  <c r="Q91" i="1"/>
  <c r="L91" i="1"/>
  <c r="Q90" i="1"/>
  <c r="L90" i="1"/>
  <c r="Q89" i="1"/>
  <c r="L89" i="1"/>
  <c r="Q88" i="1"/>
  <c r="L88" i="1"/>
  <c r="Q87" i="1"/>
  <c r="L87" i="1"/>
  <c r="Q86" i="1"/>
  <c r="L86" i="1"/>
  <c r="Q85" i="1"/>
  <c r="L85" i="1"/>
  <c r="Q84" i="1"/>
  <c r="R84" i="1" s="1"/>
  <c r="S84" i="1" s="1"/>
  <c r="L84" i="1"/>
  <c r="Q83" i="1"/>
  <c r="L83" i="1"/>
  <c r="Q82" i="1"/>
  <c r="L82" i="1"/>
  <c r="Q81" i="1"/>
  <c r="R81" i="1" s="1"/>
  <c r="S81" i="1" s="1"/>
  <c r="L81" i="1"/>
  <c r="Q80" i="1"/>
  <c r="L80" i="1"/>
  <c r="Q79" i="1"/>
  <c r="L79" i="1"/>
  <c r="Q78" i="1"/>
  <c r="L78" i="1"/>
  <c r="Q77" i="1"/>
  <c r="L77" i="1"/>
  <c r="Q76" i="1"/>
  <c r="L76" i="1"/>
  <c r="Q75" i="1"/>
  <c r="L75" i="1"/>
  <c r="Q74" i="1"/>
  <c r="L74" i="1"/>
  <c r="Q73" i="1"/>
  <c r="L73" i="1"/>
  <c r="Q72" i="1"/>
  <c r="L72" i="1"/>
  <c r="Q71" i="1"/>
  <c r="L71" i="1"/>
  <c r="Q70" i="1"/>
  <c r="L70" i="1"/>
  <c r="Q69" i="1"/>
  <c r="L69" i="1"/>
  <c r="Q68" i="1"/>
  <c r="L68" i="1"/>
  <c r="Q67" i="1"/>
  <c r="L67" i="1"/>
  <c r="Q66" i="1"/>
  <c r="L66" i="1"/>
  <c r="Q65" i="1"/>
  <c r="L65" i="1"/>
  <c r="Q64" i="1"/>
  <c r="L64" i="1"/>
  <c r="Q63" i="1"/>
  <c r="L63" i="1"/>
  <c r="Q62" i="1"/>
  <c r="L62" i="1"/>
  <c r="Q61" i="1"/>
  <c r="L61" i="1"/>
  <c r="Q60" i="1"/>
  <c r="L60" i="1"/>
  <c r="Q59" i="1"/>
  <c r="L59" i="1"/>
  <c r="Q58" i="1"/>
  <c r="L58" i="1"/>
  <c r="Q57" i="1"/>
  <c r="L57" i="1"/>
  <c r="Q56" i="1"/>
  <c r="L56" i="1"/>
  <c r="Q55" i="1"/>
  <c r="L55" i="1"/>
  <c r="Q54" i="1"/>
  <c r="L54" i="1"/>
  <c r="Q53" i="1"/>
  <c r="L53" i="1"/>
  <c r="Q52" i="1"/>
  <c r="R52" i="1" s="1"/>
  <c r="S52" i="1" s="1"/>
  <c r="L52" i="1"/>
  <c r="Q51" i="1"/>
  <c r="L51" i="1"/>
  <c r="Q50" i="1"/>
  <c r="L50" i="1"/>
  <c r="Q49" i="1"/>
  <c r="L49" i="1"/>
  <c r="Q48" i="1"/>
  <c r="L48" i="1"/>
  <c r="Q47" i="1"/>
  <c r="L47" i="1"/>
  <c r="Q46" i="1"/>
  <c r="L46" i="1"/>
  <c r="Q45" i="1"/>
  <c r="L45" i="1"/>
  <c r="Q44" i="1"/>
  <c r="L44" i="1"/>
  <c r="Q43" i="1"/>
  <c r="L43" i="1"/>
  <c r="Q42" i="1"/>
  <c r="L42" i="1"/>
  <c r="Q41" i="1"/>
  <c r="L41" i="1"/>
  <c r="Q40" i="1"/>
  <c r="L40" i="1"/>
  <c r="Q39" i="1"/>
  <c r="L39" i="1"/>
  <c r="Q38" i="1"/>
  <c r="L38" i="1"/>
  <c r="Q37" i="1"/>
  <c r="L37" i="1"/>
  <c r="Q36" i="1"/>
  <c r="V36" i="1" s="1"/>
  <c r="L36" i="1"/>
  <c r="Q35" i="1"/>
  <c r="V35" i="1" s="1"/>
  <c r="L35" i="1"/>
  <c r="Q34" i="1"/>
  <c r="V34" i="1" s="1"/>
  <c r="L34" i="1"/>
  <c r="Q33" i="1"/>
  <c r="L33" i="1"/>
  <c r="Q32" i="1"/>
  <c r="L32" i="1"/>
  <c r="Q31" i="1"/>
  <c r="V31" i="1" s="1"/>
  <c r="L31" i="1"/>
  <c r="Q30" i="1"/>
  <c r="V30" i="1" s="1"/>
  <c r="L30" i="1"/>
  <c r="Q29" i="1"/>
  <c r="L29" i="1"/>
  <c r="Q28" i="1"/>
  <c r="L28" i="1"/>
  <c r="Q27" i="1"/>
  <c r="L27" i="1"/>
  <c r="Q26" i="1"/>
  <c r="L26" i="1"/>
  <c r="Q25" i="1"/>
  <c r="L25" i="1"/>
  <c r="Q24" i="1"/>
  <c r="L24" i="1"/>
  <c r="Q23" i="1"/>
  <c r="L23" i="1"/>
  <c r="Q22" i="1"/>
  <c r="L22" i="1"/>
  <c r="Q21" i="1"/>
  <c r="L21" i="1"/>
  <c r="Q20" i="1"/>
  <c r="L20" i="1"/>
  <c r="Q19" i="1"/>
  <c r="L19" i="1"/>
  <c r="Q18" i="1"/>
  <c r="L18" i="1"/>
  <c r="Q17" i="1"/>
  <c r="L17" i="1"/>
  <c r="Q16" i="1"/>
  <c r="L16" i="1"/>
  <c r="Q15" i="1"/>
  <c r="L15" i="1"/>
  <c r="Q14" i="1"/>
  <c r="L14" i="1"/>
  <c r="Q13" i="1"/>
  <c r="L13" i="1"/>
  <c r="Q12" i="1"/>
  <c r="L12" i="1"/>
  <c r="Q11" i="1"/>
  <c r="L11" i="1"/>
  <c r="Q10" i="1"/>
  <c r="L10" i="1"/>
  <c r="Q9" i="1"/>
  <c r="V9" i="1" s="1"/>
  <c r="L9" i="1"/>
  <c r="Q8" i="1"/>
  <c r="L8" i="1"/>
  <c r="Q7" i="1"/>
  <c r="L7" i="1"/>
  <c r="Q6" i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S16" i="1" l="1"/>
  <c r="AH16" i="1" s="1"/>
  <c r="S89" i="1"/>
  <c r="AH89" i="1" s="1"/>
  <c r="S91" i="1"/>
  <c r="AH91" i="1" s="1"/>
  <c r="AH52" i="1"/>
  <c r="AH81" i="1"/>
  <c r="AH84" i="1"/>
  <c r="V112" i="1"/>
  <c r="AH131" i="1"/>
  <c r="E5" i="1"/>
  <c r="V116" i="1"/>
  <c r="V7" i="1"/>
  <c r="R7" i="1"/>
  <c r="S7" i="1" s="1"/>
  <c r="V10" i="1"/>
  <c r="R10" i="1"/>
  <c r="S10" i="1" s="1"/>
  <c r="V12" i="1"/>
  <c r="R12" i="1"/>
  <c r="S12" i="1" s="1"/>
  <c r="V14" i="1"/>
  <c r="R14" i="1"/>
  <c r="S14" i="1" s="1"/>
  <c r="V17" i="1"/>
  <c r="R18" i="1"/>
  <c r="S18" i="1" s="1"/>
  <c r="V19" i="1"/>
  <c r="R19" i="1"/>
  <c r="S19" i="1" s="1"/>
  <c r="V21" i="1"/>
  <c r="R21" i="1"/>
  <c r="S21" i="1" s="1"/>
  <c r="R22" i="1"/>
  <c r="S22" i="1" s="1"/>
  <c r="V23" i="1"/>
  <c r="R23" i="1"/>
  <c r="S23" i="1" s="1"/>
  <c r="V26" i="1"/>
  <c r="R26" i="1"/>
  <c r="S26" i="1" s="1"/>
  <c r="V37" i="1"/>
  <c r="V39" i="1"/>
  <c r="V41" i="1"/>
  <c r="R41" i="1"/>
  <c r="V43" i="1"/>
  <c r="R43" i="1"/>
  <c r="S43" i="1" s="1"/>
  <c r="R48" i="1"/>
  <c r="S48" i="1" s="1"/>
  <c r="R50" i="1"/>
  <c r="S50" i="1" s="1"/>
  <c r="V53" i="1"/>
  <c r="R53" i="1"/>
  <c r="S53" i="1" s="1"/>
  <c r="V55" i="1"/>
  <c r="R55" i="1"/>
  <c r="S55" i="1" s="1"/>
  <c r="V57" i="1"/>
  <c r="R57" i="1"/>
  <c r="S57" i="1" s="1"/>
  <c r="V60" i="1"/>
  <c r="R60" i="1"/>
  <c r="S60" i="1" s="1"/>
  <c r="V62" i="1"/>
  <c r="R62" i="1"/>
  <c r="S62" i="1" s="1"/>
  <c r="V64" i="1"/>
  <c r="V66" i="1"/>
  <c r="R66" i="1"/>
  <c r="S66" i="1" s="1"/>
  <c r="R69" i="1"/>
  <c r="S69" i="1" s="1"/>
  <c r="R71" i="1"/>
  <c r="S71" i="1" s="1"/>
  <c r="V76" i="1"/>
  <c r="R76" i="1"/>
  <c r="S76" i="1" s="1"/>
  <c r="V78" i="1"/>
  <c r="R78" i="1"/>
  <c r="S78" i="1" s="1"/>
  <c r="V80" i="1"/>
  <c r="R80" i="1"/>
  <c r="S80" i="1" s="1"/>
  <c r="V82" i="1"/>
  <c r="R82" i="1"/>
  <c r="S82" i="1" s="1"/>
  <c r="R83" i="1"/>
  <c r="S83" i="1" s="1"/>
  <c r="R85" i="1"/>
  <c r="S85" i="1" s="1"/>
  <c r="R88" i="1"/>
  <c r="S88" i="1" s="1"/>
  <c r="R97" i="1"/>
  <c r="S97" i="1" s="1"/>
  <c r="R100" i="1"/>
  <c r="S100" i="1" s="1"/>
  <c r="R106" i="1"/>
  <c r="S106" i="1" s="1"/>
  <c r="R108" i="1"/>
  <c r="S108" i="1" s="1"/>
  <c r="R110" i="1"/>
  <c r="S110" i="1" s="1"/>
  <c r="R117" i="1"/>
  <c r="S117" i="1" s="1"/>
  <c r="V120" i="1"/>
  <c r="V123" i="1"/>
  <c r="V125" i="1"/>
  <c r="R125" i="1"/>
  <c r="S125" i="1" s="1"/>
  <c r="V127" i="1"/>
  <c r="R127" i="1"/>
  <c r="S127" i="1" s="1"/>
  <c r="V129" i="1"/>
  <c r="R129" i="1"/>
  <c r="S129" i="1" s="1"/>
  <c r="V131" i="1"/>
  <c r="R132" i="1"/>
  <c r="S132" i="1" s="1"/>
  <c r="R134" i="1"/>
  <c r="S134" i="1" s="1"/>
  <c r="R6" i="1"/>
  <c r="S6" i="1" s="1"/>
  <c r="R8" i="1"/>
  <c r="S8" i="1" s="1"/>
  <c r="R11" i="1"/>
  <c r="S11" i="1" s="1"/>
  <c r="R13" i="1"/>
  <c r="S13" i="1" s="1"/>
  <c r="V16" i="1"/>
  <c r="V18" i="1"/>
  <c r="V20" i="1"/>
  <c r="V22" i="1"/>
  <c r="V24" i="1"/>
  <c r="R25" i="1"/>
  <c r="S25" i="1" s="1"/>
  <c r="V28" i="1"/>
  <c r="V32" i="1"/>
  <c r="R34" i="1"/>
  <c r="S34" i="1" s="1"/>
  <c r="R38" i="1"/>
  <c r="S38" i="1" s="1"/>
  <c r="R42" i="1"/>
  <c r="S42" i="1" s="1"/>
  <c r="V45" i="1"/>
  <c r="V47" i="1"/>
  <c r="V49" i="1"/>
  <c r="V51" i="1"/>
  <c r="R51" i="1"/>
  <c r="S51" i="1" s="1"/>
  <c r="R54" i="1"/>
  <c r="S54" i="1" s="1"/>
  <c r="R59" i="1"/>
  <c r="S59" i="1" s="1"/>
  <c r="R61" i="1"/>
  <c r="S61" i="1" s="1"/>
  <c r="R63" i="1"/>
  <c r="S63" i="1" s="1"/>
  <c r="V68" i="1"/>
  <c r="R68" i="1"/>
  <c r="S68" i="1" s="1"/>
  <c r="V70" i="1"/>
  <c r="V72" i="1"/>
  <c r="V74" i="1"/>
  <c r="R74" i="1"/>
  <c r="S74" i="1" s="1"/>
  <c r="R77" i="1"/>
  <c r="S77" i="1" s="1"/>
  <c r="R79" i="1"/>
  <c r="S79" i="1" s="1"/>
  <c r="V84" i="1"/>
  <c r="V86" i="1"/>
  <c r="V89" i="1"/>
  <c r="V92" i="1"/>
  <c r="V94" i="1"/>
  <c r="V98" i="1"/>
  <c r="V101" i="1"/>
  <c r="R101" i="1"/>
  <c r="S101" i="1" s="1"/>
  <c r="V104" i="1"/>
  <c r="R104" i="1"/>
  <c r="S104" i="1" s="1"/>
  <c r="V107" i="1"/>
  <c r="R107" i="1"/>
  <c r="S107" i="1" s="1"/>
  <c r="V109" i="1"/>
  <c r="V111" i="1"/>
  <c r="R112" i="1"/>
  <c r="V115" i="1"/>
  <c r="R115" i="1"/>
  <c r="S115" i="1" s="1"/>
  <c r="V118" i="1"/>
  <c r="R119" i="1"/>
  <c r="S119" i="1" s="1"/>
  <c r="F5" i="1"/>
  <c r="V133" i="1"/>
  <c r="V135" i="1"/>
  <c r="V38" i="1"/>
  <c r="V88" i="1"/>
  <c r="V90" i="1"/>
  <c r="V6" i="1"/>
  <c r="L5" i="1"/>
  <c r="V8" i="1"/>
  <c r="V54" i="1"/>
  <c r="V56" i="1"/>
  <c r="V58" i="1"/>
  <c r="V96" i="1"/>
  <c r="V100" i="1"/>
  <c r="V102" i="1"/>
  <c r="V106" i="1"/>
  <c r="V108" i="1"/>
  <c r="V110" i="1"/>
  <c r="V124" i="1"/>
  <c r="V126" i="1"/>
  <c r="Q128" i="1"/>
  <c r="Q5" i="1" s="1"/>
  <c r="V11" i="1"/>
  <c r="V13" i="1"/>
  <c r="V15" i="1"/>
  <c r="V25" i="1"/>
  <c r="V27" i="1"/>
  <c r="V29" i="1"/>
  <c r="V33" i="1"/>
  <c r="V40" i="1"/>
  <c r="V42" i="1"/>
  <c r="V44" i="1"/>
  <c r="V46" i="1"/>
  <c r="V48" i="1"/>
  <c r="V50" i="1"/>
  <c r="V52" i="1"/>
  <c r="V59" i="1"/>
  <c r="V61" i="1"/>
  <c r="V63" i="1"/>
  <c r="V65" i="1"/>
  <c r="V67" i="1"/>
  <c r="V69" i="1"/>
  <c r="V71" i="1"/>
  <c r="V73" i="1"/>
  <c r="V75" i="1"/>
  <c r="V77" i="1"/>
  <c r="V79" i="1"/>
  <c r="V81" i="1"/>
  <c r="V83" i="1"/>
  <c r="V85" i="1"/>
  <c r="V87" i="1"/>
  <c r="V91" i="1"/>
  <c r="V93" i="1"/>
  <c r="V95" i="1"/>
  <c r="V97" i="1"/>
  <c r="V99" i="1"/>
  <c r="V103" i="1"/>
  <c r="V105" i="1"/>
  <c r="V113" i="1"/>
  <c r="V117" i="1"/>
  <c r="V119" i="1"/>
  <c r="V121" i="1"/>
  <c r="V130" i="1"/>
  <c r="V132" i="1"/>
  <c r="V134" i="1"/>
  <c r="S112" i="1" l="1"/>
  <c r="AH112" i="1" s="1"/>
  <c r="AH119" i="1"/>
  <c r="AH115" i="1"/>
  <c r="AH77" i="1"/>
  <c r="AH61" i="1"/>
  <c r="AH54" i="1"/>
  <c r="AH42" i="1"/>
  <c r="AH34" i="1"/>
  <c r="AH11" i="1"/>
  <c r="AH6" i="1"/>
  <c r="AH132" i="1"/>
  <c r="AH129" i="1"/>
  <c r="AH127" i="1"/>
  <c r="AH125" i="1"/>
  <c r="AH117" i="1"/>
  <c r="AH108" i="1"/>
  <c r="AH100" i="1"/>
  <c r="AH88" i="1"/>
  <c r="AH83" i="1"/>
  <c r="AH69" i="1"/>
  <c r="AH62" i="1"/>
  <c r="AH60" i="1"/>
  <c r="AH57" i="1"/>
  <c r="AH55" i="1"/>
  <c r="AH53" i="1"/>
  <c r="AH50" i="1"/>
  <c r="AH43" i="1"/>
  <c r="AH26" i="1"/>
  <c r="AH23" i="1"/>
  <c r="AH22" i="1"/>
  <c r="AH107" i="1"/>
  <c r="AH104" i="1"/>
  <c r="AH101" i="1"/>
  <c r="AH79" i="1"/>
  <c r="AH74" i="1"/>
  <c r="AH68" i="1"/>
  <c r="AH63" i="1"/>
  <c r="AH59" i="1"/>
  <c r="AH51" i="1"/>
  <c r="AH38" i="1"/>
  <c r="AH25" i="1"/>
  <c r="AH13" i="1"/>
  <c r="AH8" i="1"/>
  <c r="AH134" i="1"/>
  <c r="AH110" i="1"/>
  <c r="AH106" i="1"/>
  <c r="AH97" i="1"/>
  <c r="AH85" i="1"/>
  <c r="AH82" i="1"/>
  <c r="AH80" i="1"/>
  <c r="AH78" i="1"/>
  <c r="AH76" i="1"/>
  <c r="AH71" i="1"/>
  <c r="AH66" i="1"/>
  <c r="AH48" i="1"/>
  <c r="AH21" i="1"/>
  <c r="AH19" i="1"/>
  <c r="AH18" i="1"/>
  <c r="AH14" i="1"/>
  <c r="AH12" i="1"/>
  <c r="AH10" i="1"/>
  <c r="AH7" i="1"/>
  <c r="V128" i="1"/>
  <c r="R128" i="1"/>
  <c r="S128" i="1" s="1"/>
  <c r="S5" i="1" l="1"/>
  <c r="AH128" i="1"/>
  <c r="AH5" i="1"/>
  <c r="AH1" i="1" s="1"/>
  <c r="R5" i="1"/>
</calcChain>
</file>

<file path=xl/sharedStrings.xml><?xml version="1.0" encoding="utf-8"?>
<sst xmlns="http://schemas.openxmlformats.org/spreadsheetml/2006/main" count="470" uniqueCount="188">
  <si>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</si>
  <si>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</si>
  <si>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</si>
  <si>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</si>
  <si>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</si>
  <si>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</si>
  <si>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</si>
  <si>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</si>
  <si>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</si>
  <si>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</si>
  <si>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</si>
  <si>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</si>
  <si>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</si>
  <si>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</si>
  <si>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</si>
  <si>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</si>
  <si>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</si>
  <si>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</si>
  <si>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</si>
  <si>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</si>
  <si>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</si>
  <si>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</si>
  <si>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08,08,</t>
  </si>
  <si>
    <t>06,08,</t>
  </si>
  <si>
    <t>04,08,</t>
  </si>
  <si>
    <t>30,07,</t>
  </si>
  <si>
    <t>28,07,</t>
  </si>
  <si>
    <t>23,07,</t>
  </si>
  <si>
    <t>21,07,</t>
  </si>
  <si>
    <t>16,07,</t>
  </si>
  <si>
    <t>14,07,</t>
  </si>
  <si>
    <t>09,07,</t>
  </si>
  <si>
    <t>07,07,</t>
  </si>
  <si>
    <t>02,07,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</si>
  <si>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</si>
  <si>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</si>
  <si>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</si>
  <si>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</si>
  <si>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</si>
  <si>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</si>
  <si>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</si>
  <si>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</si>
  <si>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</si>
  <si>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</si>
  <si>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</si>
  <si>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</si>
  <si>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</si>
  <si>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104  Сосиски Молочные по-стародворски, амицел МГС 0.45кг, ТМ Стародворье    ПОКОМ</t>
  </si>
  <si>
    <t>не в матрице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</si>
  <si>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</si>
  <si>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</si>
  <si>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</si>
  <si>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</si>
  <si>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</si>
  <si>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</si>
  <si>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</si>
  <si>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</si>
  <si>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</si>
  <si>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</si>
  <si>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</si>
  <si>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</si>
  <si>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</si>
  <si>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>НЕДОГРУЗ / матрица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</si>
  <si>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</si>
  <si>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</si>
  <si>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</si>
  <si>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</si>
  <si>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</si>
  <si>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</si>
  <si>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</si>
  <si>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</si>
  <si>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</si>
  <si>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</si>
  <si>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</si>
  <si>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</si>
  <si>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</si>
  <si>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</si>
  <si>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</si>
  <si>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</si>
  <si>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</si>
  <si>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</si>
  <si>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</si>
  <si>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>нужно увеличить продажи!!!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</si>
  <si>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</si>
  <si>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</si>
  <si>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</si>
  <si>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</si>
  <si>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</si>
  <si>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</si>
  <si>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</si>
  <si>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</si>
  <si>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</si>
  <si>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</si>
  <si>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</si>
  <si>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>дубль</t>
  </si>
  <si>
    <t xml:space="preserve"> 558  Колбаса Балыковая НОВАЯ ВЕС Вязанка фиброуз в/у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</si>
  <si>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</si>
  <si>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</si>
  <si>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</si>
  <si>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</si>
  <si>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</si>
  <si>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</si>
  <si>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120кг под задачи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</si>
  <si>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</si>
  <si>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</si>
  <si>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</si>
  <si>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</si>
  <si>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</si>
  <si>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</si>
  <si>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</si>
  <si>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</si>
  <si>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</si>
  <si>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</si>
  <si>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</si>
  <si>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</si>
  <si>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</si>
  <si>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</si>
  <si>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</si>
  <si>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</si>
  <si>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</si>
  <si>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</si>
  <si>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</si>
  <si>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</si>
  <si>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</si>
  <si>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</si>
  <si>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</si>
  <si>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</si>
  <si>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</si>
  <si>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</si>
  <si>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</si>
  <si>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</si>
  <si>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</si>
  <si>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</si>
  <si>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</si>
  <si>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485  Колбаса Молочная по-стародворски ТМ Стародворье в оболочке полиамид. ВЕС ПОКОМ </t>
  </si>
  <si>
    <t>помощь Донецку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</si>
  <si>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</si>
  <si>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</si>
  <si>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</si>
  <si>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</si>
  <si>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</si>
  <si>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</si>
  <si>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</si>
  <si>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</si>
  <si>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</si>
  <si>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</si>
  <si>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</si>
  <si>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</si>
  <si>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</si>
  <si>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</si>
  <si>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</si>
  <si>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</si>
  <si>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</si>
  <si>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</si>
  <si>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>нужно увеличить продажи / 57кг в уценку (30,06,26)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</si>
  <si>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</si>
  <si>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</si>
  <si>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</si>
  <si>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</si>
  <si>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30шт под сеть Молоко (05,08,26) / заказываем с 05,08,26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</si>
  <si>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</si>
  <si>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</si>
  <si>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</si>
  <si>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</si>
  <si>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</si>
  <si>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</si>
  <si>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</si>
  <si>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</si>
  <si>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вместо 219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</si>
  <si>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</si>
  <si>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</si>
  <si>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</si>
  <si>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</si>
  <si>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</si>
  <si>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</si>
  <si>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</si>
  <si>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</si>
  <si>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</si>
  <si>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А_ 485  Колбаса Молочная по-стародворски ТМ Стародворье в оболочке полиамид. ВЕС ПОКОМ</t>
  </si>
  <si>
    <t>БОНУС_615  Гречка по-купечески с говядиной и овощами 0,325кг ТМ Стародворье  ПОКОМ</t>
  </si>
  <si>
    <t>бонус</t>
  </si>
  <si>
    <t>акция</t>
  </si>
  <si>
    <t>ТК</t>
  </si>
  <si>
    <t>Воронков</t>
  </si>
  <si>
    <t>заказ</t>
  </si>
  <si>
    <t>11,08,</t>
  </si>
  <si>
    <t>дн</t>
  </si>
  <si>
    <t>08,08,доз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</si>
</sst>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0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4" borderId="1" xfId="1" applyNumberFormat="1" applyFont="1" applyFill="1"/>
    <xf numFmtId="164" fontId="1" fillId="0" borderId="1" xfId="1" applyNumberFormat="1" applyBorder="1"/>
    <xf numFmtId="164" fontId="1" fillId="4" borderId="1" xfId="1" applyNumberFormat="1" applyFill="1" applyBorder="1"/>
    <xf numFmtId="164" fontId="1" fillId="6" borderId="1" xfId="1" applyNumberFormat="1" applyFill="1" applyBorder="1"/>
    <xf numFmtId="0" fontId="0" fillId="0" borderId="1" xfId="0" applyBorder="1"/>
    <xf numFmtId="165" fontId="1" fillId="0" borderId="1" xfId="1" applyNumberFormat="1"/>
    <xf numFmtId="164" fontId="1" fillId="8" borderId="1" xfId="1" applyNumberFormat="1" applyFill="1"/>
    <xf numFmtId="164" fontId="8" fillId="0" borderId="1" xfId="1" applyNumberFormat="1" applyFont="1"/>
    <xf numFmtId="164" fontId="9" fillId="2" borderId="1" xfId="1" applyNumberFormat="1" applyFont="1" applyFill="1"/>
    <xf numFmtId="164" fontId="8" fillId="3" borderId="1" xfId="1" applyNumberFormat="1" applyFont="1" applyFill="1"/>
    <xf numFmtId="164" fontId="8" fillId="4" borderId="1" xfId="1" applyNumberFormat="1" applyFont="1" applyFill="1"/>
    <xf numFmtId="0" fontId="7" fillId="0" borderId="1" xfId="0" applyFon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P17" sqref="P1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5" width="7" customWidth="1"/>
    <col min="16" max="16" width="7" style="29" customWidth="1"/>
    <col min="17" max="19" width="7" customWidth="1"/>
    <col min="20" max="20" width="7" style="22" customWidth="1"/>
    <col min="21" max="22" width="5" customWidth="1"/>
    <col min="23" max="32" width="6.85546875" customWidth="1"/>
    <col min="33" max="33" width="38.7109375" customWidth="1"/>
    <col min="34" max="34" width="7" customWidth="1"/>
    <col min="35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25"/>
      <c r="Q1" s="1"/>
      <c r="R1" s="1"/>
      <c r="S1" s="23">
        <v>1.8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>
        <f>AH2-AH5</f>
        <v>-6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25">
        <v>3000</v>
      </c>
      <c r="Q2" s="1"/>
      <c r="R2" s="1"/>
      <c r="S2" s="1" t="s">
        <v>186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>
        <v>16500</v>
      </c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6" t="s">
        <v>14</v>
      </c>
      <c r="Q3" s="2" t="s">
        <v>15</v>
      </c>
      <c r="R3" s="3" t="s">
        <v>16</v>
      </c>
      <c r="S3" s="3" t="s">
        <v>184</v>
      </c>
      <c r="T3" s="3" t="s">
        <v>182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25" t="s">
        <v>187</v>
      </c>
      <c r="Q4" s="1" t="s">
        <v>23</v>
      </c>
      <c r="R4" s="1"/>
      <c r="S4" s="1" t="s">
        <v>185</v>
      </c>
      <c r="T4" s="1" t="s">
        <v>183</v>
      </c>
      <c r="U4" s="1"/>
      <c r="V4" s="1"/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54056.687999999995</v>
      </c>
      <c r="F5" s="4">
        <f>SUM(F6:F500)</f>
        <v>91231.61000000003</v>
      </c>
      <c r="G5" s="7"/>
      <c r="H5" s="1"/>
      <c r="I5" s="1"/>
      <c r="J5" s="1"/>
      <c r="K5" s="4">
        <f t="shared" ref="K5:S5" si="0">SUM(K6:K500)</f>
        <v>57151.984000000004</v>
      </c>
      <c r="L5" s="4">
        <f t="shared" si="0"/>
        <v>-3095.2960000000003</v>
      </c>
      <c r="M5" s="4">
        <f t="shared" si="0"/>
        <v>0</v>
      </c>
      <c r="N5" s="4">
        <f t="shared" si="0"/>
        <v>0</v>
      </c>
      <c r="O5" s="4">
        <f t="shared" si="0"/>
        <v>10556.680250000001</v>
      </c>
      <c r="P5" s="27">
        <f t="shared" ref="P5" si="1">SUM(P6:P500)</f>
        <v>3000</v>
      </c>
      <c r="Q5" s="4">
        <f t="shared" si="0"/>
        <v>10811.337600000001</v>
      </c>
      <c r="R5" s="4">
        <f t="shared" si="0"/>
        <v>15141.629650000004</v>
      </c>
      <c r="S5" s="4">
        <f t="shared" si="0"/>
        <v>23785.309210000003</v>
      </c>
      <c r="T5" s="4"/>
      <c r="U5" s="1"/>
      <c r="V5" s="1"/>
      <c r="W5" s="4">
        <f t="shared" ref="W5:AF5" si="2">SUM(W6:W500)</f>
        <v>10814.749599999994</v>
      </c>
      <c r="X5" s="4">
        <f t="shared" si="2"/>
        <v>9814.5397999999986</v>
      </c>
      <c r="Y5" s="4">
        <f t="shared" si="2"/>
        <v>10673.229199999996</v>
      </c>
      <c r="Z5" s="4">
        <f t="shared" si="2"/>
        <v>11337.38639999999</v>
      </c>
      <c r="AA5" s="4">
        <f t="shared" si="2"/>
        <v>10928.520799999995</v>
      </c>
      <c r="AB5" s="4">
        <f t="shared" si="2"/>
        <v>11001.886399999999</v>
      </c>
      <c r="AC5" s="4">
        <f t="shared" si="2"/>
        <v>11305.235399999998</v>
      </c>
      <c r="AD5" s="4">
        <f t="shared" si="2"/>
        <v>10846.147799999995</v>
      </c>
      <c r="AE5" s="4">
        <f t="shared" si="2"/>
        <v>10204.899000000001</v>
      </c>
      <c r="AF5" s="4">
        <f t="shared" si="2"/>
        <v>10527.4108</v>
      </c>
      <c r="AG5" s="1"/>
      <c r="AH5" s="4">
        <f>SUM(AH6:AH500)</f>
        <v>16506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24" t="s">
        <v>34</v>
      </c>
      <c r="B6" s="1" t="s">
        <v>35</v>
      </c>
      <c r="C6" s="1">
        <v>3154.335</v>
      </c>
      <c r="D6" s="1">
        <v>3196.2260000000001</v>
      </c>
      <c r="E6" s="1">
        <v>2389.5140000000001</v>
      </c>
      <c r="F6" s="1">
        <v>3673.7539999999999</v>
      </c>
      <c r="G6" s="7">
        <v>1</v>
      </c>
      <c r="H6" s="1">
        <v>50</v>
      </c>
      <c r="I6" s="1" t="s">
        <v>36</v>
      </c>
      <c r="J6" s="1"/>
      <c r="K6" s="1">
        <v>2339.31</v>
      </c>
      <c r="L6" s="1">
        <f t="shared" ref="L6:L37" si="3">E6-K6</f>
        <v>50.204000000000178</v>
      </c>
      <c r="M6" s="1"/>
      <c r="N6" s="1"/>
      <c r="O6" s="1">
        <v>640.79170000000022</v>
      </c>
      <c r="P6" s="25">
        <v>1500</v>
      </c>
      <c r="Q6" s="1">
        <f t="shared" ref="Q6:Q37" si="4">E6/5</f>
        <v>477.90280000000001</v>
      </c>
      <c r="R6" s="5">
        <f>11*Q6-O6-F6</f>
        <v>942.38510000000042</v>
      </c>
      <c r="S6" s="5">
        <f>R6+Q6*$S$1</f>
        <v>1802.6101400000005</v>
      </c>
      <c r="T6" s="19"/>
      <c r="U6" s="1">
        <f>(F6+O6+S6+P6)/Q6</f>
        <v>15.938713562674254</v>
      </c>
      <c r="V6" s="1">
        <f t="shared" ref="V6:V37" si="5">(F6+O6)/Q6</f>
        <v>9.0280820702452473</v>
      </c>
      <c r="W6" s="1">
        <v>497.21940000000012</v>
      </c>
      <c r="X6" s="1">
        <v>462.68740000000003</v>
      </c>
      <c r="Y6" s="1">
        <v>504.16359999999997</v>
      </c>
      <c r="Z6" s="1">
        <v>475.59160000000003</v>
      </c>
      <c r="AA6" s="1">
        <v>485.4896</v>
      </c>
      <c r="AB6" s="1">
        <v>548.13580000000002</v>
      </c>
      <c r="AC6" s="1">
        <v>531.78219999999999</v>
      </c>
      <c r="AD6" s="1">
        <v>520.48940000000005</v>
      </c>
      <c r="AE6" s="1">
        <v>518.05520000000001</v>
      </c>
      <c r="AF6" s="1">
        <v>649.26400000000001</v>
      </c>
      <c r="AG6" s="1"/>
      <c r="AH6" s="1">
        <f>ROUND(G6*S6,0)</f>
        <v>1803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35</v>
      </c>
      <c r="C7" s="1">
        <v>1341.44</v>
      </c>
      <c r="D7" s="1">
        <v>2790.0450000000001</v>
      </c>
      <c r="E7" s="1">
        <v>1331.66</v>
      </c>
      <c r="F7" s="1">
        <v>2701.5419999999999</v>
      </c>
      <c r="G7" s="7">
        <v>1</v>
      </c>
      <c r="H7" s="1">
        <v>45</v>
      </c>
      <c r="I7" s="1" t="s">
        <v>36</v>
      </c>
      <c r="J7" s="1"/>
      <c r="K7" s="1">
        <v>1279.23</v>
      </c>
      <c r="L7" s="1">
        <f t="shared" si="3"/>
        <v>52.430000000000064</v>
      </c>
      <c r="M7" s="1"/>
      <c r="N7" s="1"/>
      <c r="O7" s="1">
        <v>0</v>
      </c>
      <c r="P7" s="25"/>
      <c r="Q7" s="1">
        <f t="shared" si="4"/>
        <v>266.33199999999999</v>
      </c>
      <c r="R7" s="5">
        <f t="shared" ref="R7:R8" si="6">11*Q7-O7-F7</f>
        <v>228.11000000000013</v>
      </c>
      <c r="S7" s="5">
        <f t="shared" ref="S7:S8" si="7">R7+Q7*$S$1</f>
        <v>707.50760000000014</v>
      </c>
      <c r="T7" s="19"/>
      <c r="U7" s="1">
        <f t="shared" ref="U7:U70" si="8">(F7+O7+S7+P7)/Q7</f>
        <v>12.8</v>
      </c>
      <c r="V7" s="1">
        <f t="shared" si="5"/>
        <v>10.143512608323446</v>
      </c>
      <c r="W7" s="1">
        <v>285.43920000000003</v>
      </c>
      <c r="X7" s="1">
        <v>272.41820000000001</v>
      </c>
      <c r="Y7" s="1">
        <v>253.45859999999999</v>
      </c>
      <c r="Z7" s="1">
        <v>242.8768</v>
      </c>
      <c r="AA7" s="1">
        <v>235.5034</v>
      </c>
      <c r="AB7" s="1">
        <v>220.28479999999999</v>
      </c>
      <c r="AC7" s="1">
        <v>230.947</v>
      </c>
      <c r="AD7" s="1">
        <v>231.88659999999999</v>
      </c>
      <c r="AE7" s="1">
        <v>229.16200000000001</v>
      </c>
      <c r="AF7" s="1">
        <v>245.24719999999999</v>
      </c>
      <c r="AG7" s="1"/>
      <c r="AH7" s="1">
        <f t="shared" ref="AH7:AH70" si="9">ROUND(G7*S7,0)</f>
        <v>708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38</v>
      </c>
      <c r="B8" s="1" t="s">
        <v>35</v>
      </c>
      <c r="C8" s="1">
        <v>1383.9059999999999</v>
      </c>
      <c r="D8" s="1">
        <v>2438.6559999999999</v>
      </c>
      <c r="E8" s="1">
        <v>1249.454</v>
      </c>
      <c r="F8" s="1">
        <v>2442.8890000000001</v>
      </c>
      <c r="G8" s="7">
        <v>1</v>
      </c>
      <c r="H8" s="1">
        <v>45</v>
      </c>
      <c r="I8" s="1" t="s">
        <v>36</v>
      </c>
      <c r="J8" s="1"/>
      <c r="K8" s="1">
        <v>1224.9000000000001</v>
      </c>
      <c r="L8" s="1">
        <f t="shared" si="3"/>
        <v>24.55399999999986</v>
      </c>
      <c r="M8" s="1"/>
      <c r="N8" s="1"/>
      <c r="O8" s="1">
        <v>0</v>
      </c>
      <c r="P8" s="25"/>
      <c r="Q8" s="1">
        <f t="shared" si="4"/>
        <v>249.89079999999998</v>
      </c>
      <c r="R8" s="5">
        <f t="shared" si="6"/>
        <v>305.9097999999999</v>
      </c>
      <c r="S8" s="5">
        <f t="shared" si="7"/>
        <v>755.71323999999981</v>
      </c>
      <c r="T8" s="19"/>
      <c r="U8" s="1">
        <f t="shared" si="8"/>
        <v>12.8</v>
      </c>
      <c r="V8" s="1">
        <f t="shared" si="5"/>
        <v>9.7758260808321094</v>
      </c>
      <c r="W8" s="1">
        <v>251.58420000000001</v>
      </c>
      <c r="X8" s="1">
        <v>216.3372</v>
      </c>
      <c r="Y8" s="1">
        <v>214.10339999999999</v>
      </c>
      <c r="Z8" s="1">
        <v>227.751</v>
      </c>
      <c r="AA8" s="1">
        <v>235.30099999999999</v>
      </c>
      <c r="AB8" s="1">
        <v>231.13040000000001</v>
      </c>
      <c r="AC8" s="1">
        <v>232.49080000000001</v>
      </c>
      <c r="AD8" s="1">
        <v>229.34979999999999</v>
      </c>
      <c r="AE8" s="1">
        <v>233.9804</v>
      </c>
      <c r="AF8" s="1">
        <v>252.5744</v>
      </c>
      <c r="AG8" s="1"/>
      <c r="AH8" s="1">
        <f t="shared" si="9"/>
        <v>756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9" t="s">
        <v>39</v>
      </c>
      <c r="B9" s="9" t="s">
        <v>40</v>
      </c>
      <c r="C9" s="9"/>
      <c r="D9" s="9"/>
      <c r="E9" s="9"/>
      <c r="F9" s="9"/>
      <c r="G9" s="10">
        <v>0</v>
      </c>
      <c r="H9" s="9"/>
      <c r="I9" s="9" t="s">
        <v>36</v>
      </c>
      <c r="J9" s="9"/>
      <c r="K9" s="9"/>
      <c r="L9" s="9">
        <f t="shared" si="3"/>
        <v>0</v>
      </c>
      <c r="M9" s="9"/>
      <c r="N9" s="9"/>
      <c r="O9" s="9">
        <v>0</v>
      </c>
      <c r="P9" s="28"/>
      <c r="Q9" s="9">
        <f t="shared" si="4"/>
        <v>0</v>
      </c>
      <c r="R9" s="11"/>
      <c r="S9" s="5">
        <f t="shared" ref="S9:S70" si="10">R9</f>
        <v>0</v>
      </c>
      <c r="T9" s="20"/>
      <c r="U9" s="1" t="e">
        <f t="shared" si="8"/>
        <v>#DIV/0!</v>
      </c>
      <c r="V9" s="9" t="e">
        <f t="shared" si="5"/>
        <v>#DIV/0!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 t="s">
        <v>41</v>
      </c>
      <c r="AH9" s="1">
        <f t="shared" si="9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42</v>
      </c>
      <c r="B10" s="1" t="s">
        <v>40</v>
      </c>
      <c r="C10" s="1">
        <v>609</v>
      </c>
      <c r="D10" s="1">
        <v>1122</v>
      </c>
      <c r="E10" s="1">
        <v>602</v>
      </c>
      <c r="F10" s="1">
        <v>1027</v>
      </c>
      <c r="G10" s="7">
        <v>0.45</v>
      </c>
      <c r="H10" s="1">
        <v>45</v>
      </c>
      <c r="I10" s="1" t="s">
        <v>36</v>
      </c>
      <c r="J10" s="1"/>
      <c r="K10" s="1">
        <v>618</v>
      </c>
      <c r="L10" s="1">
        <f t="shared" si="3"/>
        <v>-16</v>
      </c>
      <c r="M10" s="1"/>
      <c r="N10" s="1"/>
      <c r="O10" s="1">
        <v>0</v>
      </c>
      <c r="P10" s="25"/>
      <c r="Q10" s="1">
        <f t="shared" si="4"/>
        <v>120.4</v>
      </c>
      <c r="R10" s="5">
        <f t="shared" ref="R10:R14" si="11">11*Q10-O10-F10</f>
        <v>297.40000000000009</v>
      </c>
      <c r="S10" s="5">
        <f t="shared" ref="S10:S11" si="12">R10+Q10*$S$1</f>
        <v>514.12000000000012</v>
      </c>
      <c r="T10" s="19"/>
      <c r="U10" s="1">
        <f t="shared" si="8"/>
        <v>12.8</v>
      </c>
      <c r="V10" s="1">
        <f t="shared" si="5"/>
        <v>8.5299003322259139</v>
      </c>
      <c r="W10" s="1">
        <v>117.2</v>
      </c>
      <c r="X10" s="1">
        <v>118.2</v>
      </c>
      <c r="Y10" s="1">
        <v>139</v>
      </c>
      <c r="Z10" s="1">
        <v>136.80000000000001</v>
      </c>
      <c r="AA10" s="1">
        <v>124.8</v>
      </c>
      <c r="AB10" s="1">
        <v>110.6</v>
      </c>
      <c r="AC10" s="1">
        <v>109</v>
      </c>
      <c r="AD10" s="1">
        <v>123.6</v>
      </c>
      <c r="AE10" s="1">
        <v>123.8</v>
      </c>
      <c r="AF10" s="1">
        <v>115.4</v>
      </c>
      <c r="AG10" s="1"/>
      <c r="AH10" s="1">
        <f t="shared" si="9"/>
        <v>231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40</v>
      </c>
      <c r="C11" s="1">
        <v>1331</v>
      </c>
      <c r="D11" s="1">
        <v>1968</v>
      </c>
      <c r="E11" s="1">
        <v>1122.24</v>
      </c>
      <c r="F11" s="1">
        <v>2003.76</v>
      </c>
      <c r="G11" s="7">
        <v>0.45</v>
      </c>
      <c r="H11" s="1">
        <v>45</v>
      </c>
      <c r="I11" s="1" t="s">
        <v>36</v>
      </c>
      <c r="J11" s="1"/>
      <c r="K11" s="1">
        <v>1168</v>
      </c>
      <c r="L11" s="1">
        <f t="shared" si="3"/>
        <v>-45.759999999999991</v>
      </c>
      <c r="M11" s="1"/>
      <c r="N11" s="1"/>
      <c r="O11" s="1">
        <v>0</v>
      </c>
      <c r="P11" s="25"/>
      <c r="Q11" s="1">
        <f t="shared" si="4"/>
        <v>224.44800000000001</v>
      </c>
      <c r="R11" s="5">
        <f t="shared" si="11"/>
        <v>465.16799999999989</v>
      </c>
      <c r="S11" s="5">
        <f t="shared" si="12"/>
        <v>869.17439999999988</v>
      </c>
      <c r="T11" s="19"/>
      <c r="U11" s="1">
        <f t="shared" si="8"/>
        <v>12.8</v>
      </c>
      <c r="V11" s="1">
        <f t="shared" si="5"/>
        <v>8.9275021385799818</v>
      </c>
      <c r="W11" s="1">
        <v>225.648</v>
      </c>
      <c r="X11" s="1">
        <v>230.6</v>
      </c>
      <c r="Y11" s="1">
        <v>273.39999999999998</v>
      </c>
      <c r="Z11" s="1">
        <v>246.4</v>
      </c>
      <c r="AA11" s="1">
        <v>230.2</v>
      </c>
      <c r="AB11" s="1">
        <v>217</v>
      </c>
      <c r="AC11" s="1">
        <v>207.6</v>
      </c>
      <c r="AD11" s="1">
        <v>228.4</v>
      </c>
      <c r="AE11" s="1">
        <v>239.6</v>
      </c>
      <c r="AF11" s="1">
        <v>198.8</v>
      </c>
      <c r="AG11" s="1"/>
      <c r="AH11" s="1">
        <f t="shared" si="9"/>
        <v>391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40</v>
      </c>
      <c r="C12" s="1">
        <v>214</v>
      </c>
      <c r="D12" s="1">
        <v>2</v>
      </c>
      <c r="E12" s="1">
        <v>91</v>
      </c>
      <c r="F12" s="1">
        <v>115</v>
      </c>
      <c r="G12" s="7">
        <v>0.17</v>
      </c>
      <c r="H12" s="1">
        <v>180</v>
      </c>
      <c r="I12" s="1" t="s">
        <v>36</v>
      </c>
      <c r="J12" s="1"/>
      <c r="K12" s="1">
        <v>93</v>
      </c>
      <c r="L12" s="1">
        <f t="shared" si="3"/>
        <v>-2</v>
      </c>
      <c r="M12" s="1"/>
      <c r="N12" s="1"/>
      <c r="O12" s="1">
        <v>38.599999999999987</v>
      </c>
      <c r="P12" s="25"/>
      <c r="Q12" s="1">
        <f t="shared" si="4"/>
        <v>18.2</v>
      </c>
      <c r="R12" s="5">
        <f t="shared" si="11"/>
        <v>46.599999999999994</v>
      </c>
      <c r="S12" s="5">
        <f t="shared" si="10"/>
        <v>46.599999999999994</v>
      </c>
      <c r="T12" s="19"/>
      <c r="U12" s="1">
        <f t="shared" si="8"/>
        <v>11</v>
      </c>
      <c r="V12" s="1">
        <f t="shared" si="5"/>
        <v>8.4395604395604398</v>
      </c>
      <c r="W12" s="1">
        <v>17.2</v>
      </c>
      <c r="X12" s="1">
        <v>10.199999999999999</v>
      </c>
      <c r="Y12" s="1">
        <v>14.6</v>
      </c>
      <c r="Z12" s="1">
        <v>20.2</v>
      </c>
      <c r="AA12" s="1">
        <v>15.2</v>
      </c>
      <c r="AB12" s="1">
        <v>11.8</v>
      </c>
      <c r="AC12" s="1">
        <v>12.8</v>
      </c>
      <c r="AD12" s="1">
        <v>7.4</v>
      </c>
      <c r="AE12" s="1">
        <v>8.6</v>
      </c>
      <c r="AF12" s="1">
        <v>18.2</v>
      </c>
      <c r="AG12" s="1"/>
      <c r="AH12" s="1">
        <f t="shared" si="9"/>
        <v>8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45</v>
      </c>
      <c r="B13" s="1" t="s">
        <v>40</v>
      </c>
      <c r="C13" s="1">
        <v>136</v>
      </c>
      <c r="D13" s="1">
        <v>172</v>
      </c>
      <c r="E13" s="1">
        <v>95</v>
      </c>
      <c r="F13" s="1">
        <v>186</v>
      </c>
      <c r="G13" s="7">
        <v>0.3</v>
      </c>
      <c r="H13" s="1">
        <v>40</v>
      </c>
      <c r="I13" s="1" t="s">
        <v>36</v>
      </c>
      <c r="J13" s="1"/>
      <c r="K13" s="1">
        <v>107</v>
      </c>
      <c r="L13" s="1">
        <f t="shared" si="3"/>
        <v>-12</v>
      </c>
      <c r="M13" s="1"/>
      <c r="N13" s="1"/>
      <c r="O13" s="1">
        <v>8.5000000000000284</v>
      </c>
      <c r="P13" s="25"/>
      <c r="Q13" s="1">
        <f t="shared" si="4"/>
        <v>19</v>
      </c>
      <c r="R13" s="5">
        <f t="shared" si="11"/>
        <v>14.499999999999972</v>
      </c>
      <c r="S13" s="5">
        <f t="shared" si="10"/>
        <v>14.499999999999972</v>
      </c>
      <c r="T13" s="19"/>
      <c r="U13" s="1">
        <f t="shared" si="8"/>
        <v>11</v>
      </c>
      <c r="V13" s="1">
        <f t="shared" si="5"/>
        <v>10.236842105263159</v>
      </c>
      <c r="W13" s="1">
        <v>21</v>
      </c>
      <c r="X13" s="1">
        <v>22.2</v>
      </c>
      <c r="Y13" s="1">
        <v>22.8</v>
      </c>
      <c r="Z13" s="1">
        <v>17.600000000000001</v>
      </c>
      <c r="AA13" s="1">
        <v>17.8</v>
      </c>
      <c r="AB13" s="1">
        <v>9.1999999999999993</v>
      </c>
      <c r="AC13" s="1">
        <v>19.399999999999999</v>
      </c>
      <c r="AD13" s="1">
        <v>23</v>
      </c>
      <c r="AE13" s="1">
        <v>10.8</v>
      </c>
      <c r="AF13" s="1">
        <v>11.6</v>
      </c>
      <c r="AG13" s="1"/>
      <c r="AH13" s="1">
        <f t="shared" si="9"/>
        <v>4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46</v>
      </c>
      <c r="B14" s="1" t="s">
        <v>40</v>
      </c>
      <c r="C14" s="1">
        <v>551</v>
      </c>
      <c r="D14" s="1">
        <v>2</v>
      </c>
      <c r="E14" s="1">
        <v>286</v>
      </c>
      <c r="F14" s="1">
        <v>243</v>
      </c>
      <c r="G14" s="7">
        <v>0.17</v>
      </c>
      <c r="H14" s="1">
        <v>180</v>
      </c>
      <c r="I14" s="1" t="s">
        <v>36</v>
      </c>
      <c r="J14" s="1"/>
      <c r="K14" s="1">
        <v>293</v>
      </c>
      <c r="L14" s="1">
        <f t="shared" si="3"/>
        <v>-7</v>
      </c>
      <c r="M14" s="1"/>
      <c r="N14" s="1"/>
      <c r="O14" s="1">
        <v>206.4</v>
      </c>
      <c r="P14" s="25"/>
      <c r="Q14" s="1">
        <f t="shared" si="4"/>
        <v>57.2</v>
      </c>
      <c r="R14" s="5">
        <f t="shared" si="11"/>
        <v>179.80000000000007</v>
      </c>
      <c r="S14" s="5">
        <f t="shared" si="10"/>
        <v>179.80000000000007</v>
      </c>
      <c r="T14" s="19"/>
      <c r="U14" s="1">
        <f t="shared" si="8"/>
        <v>11</v>
      </c>
      <c r="V14" s="1">
        <f t="shared" si="5"/>
        <v>7.8566433566433558</v>
      </c>
      <c r="W14" s="1">
        <v>52.8</v>
      </c>
      <c r="X14" s="1">
        <v>33.6</v>
      </c>
      <c r="Y14" s="1">
        <v>38.4</v>
      </c>
      <c r="Z14" s="1">
        <v>56</v>
      </c>
      <c r="AA14" s="1">
        <v>56.2</v>
      </c>
      <c r="AB14" s="1">
        <v>45</v>
      </c>
      <c r="AC14" s="1">
        <v>39.4</v>
      </c>
      <c r="AD14" s="1">
        <v>40.6</v>
      </c>
      <c r="AE14" s="1">
        <v>41</v>
      </c>
      <c r="AF14" s="1">
        <v>51</v>
      </c>
      <c r="AG14" s="1"/>
      <c r="AH14" s="1">
        <f t="shared" si="9"/>
        <v>31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9" t="s">
        <v>47</v>
      </c>
      <c r="B15" s="9" t="s">
        <v>40</v>
      </c>
      <c r="C15" s="9">
        <v>-1</v>
      </c>
      <c r="D15" s="9"/>
      <c r="E15" s="9"/>
      <c r="F15" s="9">
        <v>-1</v>
      </c>
      <c r="G15" s="10">
        <v>0</v>
      </c>
      <c r="H15" s="9"/>
      <c r="I15" s="9" t="s">
        <v>48</v>
      </c>
      <c r="J15" s="9"/>
      <c r="K15" s="9"/>
      <c r="L15" s="9">
        <f t="shared" si="3"/>
        <v>0</v>
      </c>
      <c r="M15" s="9"/>
      <c r="N15" s="9"/>
      <c r="O15" s="9">
        <v>0</v>
      </c>
      <c r="P15" s="28"/>
      <c r="Q15" s="9">
        <f t="shared" si="4"/>
        <v>0</v>
      </c>
      <c r="R15" s="11"/>
      <c r="S15" s="5">
        <f t="shared" si="10"/>
        <v>0</v>
      </c>
      <c r="T15" s="20"/>
      <c r="U15" s="1" t="e">
        <f t="shared" si="8"/>
        <v>#DIV/0!</v>
      </c>
      <c r="V15" s="9" t="e">
        <f t="shared" si="5"/>
        <v>#DIV/0!</v>
      </c>
      <c r="W15" s="9">
        <v>0.2</v>
      </c>
      <c r="X15" s="9">
        <v>0.2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/>
      <c r="AH15" s="1">
        <f t="shared" si="9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49</v>
      </c>
      <c r="B16" s="1" t="s">
        <v>35</v>
      </c>
      <c r="C16" s="1">
        <v>1232.0050000000001</v>
      </c>
      <c r="D16" s="1">
        <v>2217.5810000000001</v>
      </c>
      <c r="E16" s="1">
        <v>1198.5139999999999</v>
      </c>
      <c r="F16" s="1">
        <v>2095.2559999999999</v>
      </c>
      <c r="G16" s="7">
        <v>1</v>
      </c>
      <c r="H16" s="1">
        <v>70</v>
      </c>
      <c r="I16" s="1" t="s">
        <v>36</v>
      </c>
      <c r="J16" s="1"/>
      <c r="K16" s="1">
        <v>1166.886</v>
      </c>
      <c r="L16" s="1">
        <f t="shared" si="3"/>
        <v>31.627999999999929</v>
      </c>
      <c r="M16" s="1"/>
      <c r="N16" s="1"/>
      <c r="O16" s="1">
        <v>650</v>
      </c>
      <c r="P16" s="25"/>
      <c r="Q16" s="1">
        <f t="shared" si="4"/>
        <v>239.70279999999997</v>
      </c>
      <c r="R16" s="5"/>
      <c r="S16" s="5">
        <f>R16+Q16*$S$1</f>
        <v>431.46503999999993</v>
      </c>
      <c r="T16" s="19"/>
      <c r="U16" s="1">
        <f t="shared" si="8"/>
        <v>13.252748987496185</v>
      </c>
      <c r="V16" s="1">
        <f t="shared" si="5"/>
        <v>11.452748987496184</v>
      </c>
      <c r="W16" s="1">
        <v>236.7696</v>
      </c>
      <c r="X16" s="1">
        <v>224.553</v>
      </c>
      <c r="Y16" s="1">
        <v>226.56899999999999</v>
      </c>
      <c r="Z16" s="1">
        <v>227.60939999999999</v>
      </c>
      <c r="AA16" s="1">
        <v>217.93199999999999</v>
      </c>
      <c r="AB16" s="1">
        <v>228.4726</v>
      </c>
      <c r="AC16" s="1">
        <v>235.23580000000001</v>
      </c>
      <c r="AD16" s="1">
        <v>236.49680000000001</v>
      </c>
      <c r="AE16" s="1">
        <v>223.6362</v>
      </c>
      <c r="AF16" s="1">
        <v>225.66139999999999</v>
      </c>
      <c r="AG16" s="1"/>
      <c r="AH16" s="1">
        <f t="shared" si="9"/>
        <v>431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50</v>
      </c>
      <c r="B17" s="1" t="s">
        <v>35</v>
      </c>
      <c r="C17" s="1">
        <v>4643.5119999999997</v>
      </c>
      <c r="D17" s="1">
        <v>7248.4610000000002</v>
      </c>
      <c r="E17" s="1">
        <v>3372.163</v>
      </c>
      <c r="F17" s="1">
        <v>8207.3709999999992</v>
      </c>
      <c r="G17" s="7">
        <v>1</v>
      </c>
      <c r="H17" s="1">
        <v>50</v>
      </c>
      <c r="I17" s="1" t="s">
        <v>36</v>
      </c>
      <c r="J17" s="1"/>
      <c r="K17" s="1">
        <v>3385.2</v>
      </c>
      <c r="L17" s="1">
        <f t="shared" si="3"/>
        <v>-13.036999999999807</v>
      </c>
      <c r="M17" s="1"/>
      <c r="N17" s="1"/>
      <c r="O17" s="1">
        <v>700</v>
      </c>
      <c r="P17" s="25"/>
      <c r="Q17" s="1">
        <f t="shared" si="4"/>
        <v>674.43259999999998</v>
      </c>
      <c r="R17" s="5"/>
      <c r="S17" s="5">
        <f t="shared" si="10"/>
        <v>0</v>
      </c>
      <c r="T17" s="19"/>
      <c r="U17" s="1">
        <f t="shared" si="8"/>
        <v>13.207207065613375</v>
      </c>
      <c r="V17" s="1">
        <f t="shared" si="5"/>
        <v>13.207207065613375</v>
      </c>
      <c r="W17" s="1">
        <v>703.17060000000004</v>
      </c>
      <c r="X17" s="1">
        <v>753.43720000000008</v>
      </c>
      <c r="Y17" s="1">
        <v>789.19159999999999</v>
      </c>
      <c r="Z17" s="1">
        <v>779.79539999999997</v>
      </c>
      <c r="AA17" s="1">
        <v>746.61940000000004</v>
      </c>
      <c r="AB17" s="1">
        <v>740.76059999999995</v>
      </c>
      <c r="AC17" s="1">
        <v>725.36279999999999</v>
      </c>
      <c r="AD17" s="1">
        <v>627.70680000000004</v>
      </c>
      <c r="AE17" s="1">
        <v>599.94200000000001</v>
      </c>
      <c r="AF17" s="1">
        <v>727.9</v>
      </c>
      <c r="AG17" s="1"/>
      <c r="AH17" s="1">
        <f t="shared" si="9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51</v>
      </c>
      <c r="B18" s="1" t="s">
        <v>35</v>
      </c>
      <c r="C18" s="1">
        <v>158.27799999999999</v>
      </c>
      <c r="D18" s="1">
        <v>110.611</v>
      </c>
      <c r="E18" s="1">
        <v>124.477</v>
      </c>
      <c r="F18" s="1">
        <v>133.518</v>
      </c>
      <c r="G18" s="7">
        <v>1</v>
      </c>
      <c r="H18" s="1">
        <v>60</v>
      </c>
      <c r="I18" s="1" t="s">
        <v>36</v>
      </c>
      <c r="J18" s="1"/>
      <c r="K18" s="1">
        <v>119</v>
      </c>
      <c r="L18" s="1">
        <f t="shared" si="3"/>
        <v>5.4770000000000039</v>
      </c>
      <c r="M18" s="1"/>
      <c r="N18" s="1"/>
      <c r="O18" s="1">
        <v>84.243200000000016</v>
      </c>
      <c r="P18" s="25"/>
      <c r="Q18" s="1">
        <f t="shared" si="4"/>
        <v>24.895400000000002</v>
      </c>
      <c r="R18" s="5">
        <f t="shared" ref="R18:R23" si="13">11*Q18-O18-F18</f>
        <v>56.088200000000001</v>
      </c>
      <c r="S18" s="5">
        <f t="shared" si="10"/>
        <v>56.088200000000001</v>
      </c>
      <c r="T18" s="19"/>
      <c r="U18" s="1">
        <f t="shared" si="8"/>
        <v>11.000000000000002</v>
      </c>
      <c r="V18" s="1">
        <f t="shared" si="5"/>
        <v>8.7470456389533808</v>
      </c>
      <c r="W18" s="1">
        <v>24.598400000000002</v>
      </c>
      <c r="X18" s="1">
        <v>18.6858</v>
      </c>
      <c r="Y18" s="1">
        <v>21.406600000000001</v>
      </c>
      <c r="Z18" s="1">
        <v>20.923999999999999</v>
      </c>
      <c r="AA18" s="1">
        <v>19.589400000000001</v>
      </c>
      <c r="AB18" s="1">
        <v>22.287800000000001</v>
      </c>
      <c r="AC18" s="1">
        <v>21.7728</v>
      </c>
      <c r="AD18" s="1">
        <v>17.471399999999999</v>
      </c>
      <c r="AE18" s="1">
        <v>18.394600000000001</v>
      </c>
      <c r="AF18" s="1">
        <v>18.616199999999999</v>
      </c>
      <c r="AG18" s="1"/>
      <c r="AH18" s="1">
        <f t="shared" si="9"/>
        <v>56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52</v>
      </c>
      <c r="B19" s="1" t="s">
        <v>35</v>
      </c>
      <c r="C19" s="1">
        <v>108.28</v>
      </c>
      <c r="D19" s="1">
        <v>125.905</v>
      </c>
      <c r="E19" s="1">
        <v>74.221000000000004</v>
      </c>
      <c r="F19" s="1">
        <v>148.00800000000001</v>
      </c>
      <c r="G19" s="7">
        <v>1</v>
      </c>
      <c r="H19" s="1">
        <v>60</v>
      </c>
      <c r="I19" s="1" t="s">
        <v>36</v>
      </c>
      <c r="J19" s="1"/>
      <c r="K19" s="1">
        <v>74.48</v>
      </c>
      <c r="L19" s="1">
        <f t="shared" si="3"/>
        <v>-0.25900000000000034</v>
      </c>
      <c r="M19" s="1"/>
      <c r="N19" s="1"/>
      <c r="O19" s="1">
        <v>4</v>
      </c>
      <c r="P19" s="25"/>
      <c r="Q19" s="1">
        <f t="shared" si="4"/>
        <v>14.844200000000001</v>
      </c>
      <c r="R19" s="5">
        <f t="shared" si="13"/>
        <v>11.278199999999998</v>
      </c>
      <c r="S19" s="5">
        <f t="shared" si="10"/>
        <v>11.278199999999998</v>
      </c>
      <c r="T19" s="19"/>
      <c r="U19" s="1">
        <f t="shared" si="8"/>
        <v>11</v>
      </c>
      <c r="V19" s="1">
        <f t="shared" si="5"/>
        <v>10.240228506756848</v>
      </c>
      <c r="W19" s="1">
        <v>17.3218</v>
      </c>
      <c r="X19" s="1">
        <v>17.478400000000001</v>
      </c>
      <c r="Y19" s="1">
        <v>13.7256</v>
      </c>
      <c r="Z19" s="1">
        <v>14.416600000000001</v>
      </c>
      <c r="AA19" s="1">
        <v>16.773</v>
      </c>
      <c r="AB19" s="1">
        <v>16.835999999999999</v>
      </c>
      <c r="AC19" s="1">
        <v>15.0814</v>
      </c>
      <c r="AD19" s="1">
        <v>11.555400000000001</v>
      </c>
      <c r="AE19" s="1">
        <v>13.023999999999999</v>
      </c>
      <c r="AF19" s="1">
        <v>16.781600000000001</v>
      </c>
      <c r="AG19" s="1"/>
      <c r="AH19" s="1">
        <f t="shared" si="9"/>
        <v>11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53</v>
      </c>
      <c r="B20" s="1" t="s">
        <v>35</v>
      </c>
      <c r="C20" s="1">
        <v>15.551</v>
      </c>
      <c r="D20" s="1">
        <v>12.746</v>
      </c>
      <c r="E20" s="1">
        <v>10.451000000000001</v>
      </c>
      <c r="F20" s="1">
        <v>16.449000000000002</v>
      </c>
      <c r="G20" s="7">
        <v>1</v>
      </c>
      <c r="H20" s="1">
        <v>180</v>
      </c>
      <c r="I20" s="1" t="s">
        <v>36</v>
      </c>
      <c r="J20" s="1"/>
      <c r="K20" s="1">
        <v>13.321999999999999</v>
      </c>
      <c r="L20" s="1">
        <f t="shared" si="3"/>
        <v>-2.8709999999999987</v>
      </c>
      <c r="M20" s="1"/>
      <c r="N20" s="1"/>
      <c r="O20" s="1">
        <v>5.4963000000000051</v>
      </c>
      <c r="P20" s="25"/>
      <c r="Q20" s="1">
        <f t="shared" si="4"/>
        <v>2.0902000000000003</v>
      </c>
      <c r="R20" s="5">
        <v>4</v>
      </c>
      <c r="S20" s="5">
        <f t="shared" si="10"/>
        <v>4</v>
      </c>
      <c r="T20" s="19"/>
      <c r="U20" s="1">
        <f t="shared" si="8"/>
        <v>12.412831308008805</v>
      </c>
      <c r="V20" s="1">
        <f t="shared" si="5"/>
        <v>10.499138838388673</v>
      </c>
      <c r="W20" s="1">
        <v>2.1625999999999999</v>
      </c>
      <c r="X20" s="1">
        <v>1.7310000000000001</v>
      </c>
      <c r="Y20" s="1">
        <v>1.6870000000000001</v>
      </c>
      <c r="Z20" s="1">
        <v>1.4314</v>
      </c>
      <c r="AA20" s="1">
        <v>1.4481999999999999</v>
      </c>
      <c r="AB20" s="1">
        <v>1.9716</v>
      </c>
      <c r="AC20" s="1">
        <v>1.2405999999999999</v>
      </c>
      <c r="AD20" s="1">
        <v>0.79459999999999997</v>
      </c>
      <c r="AE20" s="1">
        <v>0.72240000000000004</v>
      </c>
      <c r="AF20" s="1">
        <v>1.2132000000000001</v>
      </c>
      <c r="AG20" s="1"/>
      <c r="AH20" s="1">
        <f t="shared" si="9"/>
        <v>4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24" t="s">
        <v>54</v>
      </c>
      <c r="B21" s="1" t="s">
        <v>35</v>
      </c>
      <c r="C21" s="1">
        <v>1552.518</v>
      </c>
      <c r="D21" s="1">
        <v>2627.259</v>
      </c>
      <c r="E21" s="1">
        <v>1384.3309999999999</v>
      </c>
      <c r="F21" s="1">
        <v>2662.0369999999998</v>
      </c>
      <c r="G21" s="7">
        <v>1</v>
      </c>
      <c r="H21" s="1">
        <v>60</v>
      </c>
      <c r="I21" s="1" t="s">
        <v>36</v>
      </c>
      <c r="J21" s="1"/>
      <c r="K21" s="1">
        <v>1340.385</v>
      </c>
      <c r="L21" s="1">
        <f t="shared" si="3"/>
        <v>43.945999999999913</v>
      </c>
      <c r="M21" s="1"/>
      <c r="N21" s="1"/>
      <c r="O21" s="1">
        <v>0</v>
      </c>
      <c r="P21" s="25">
        <v>900</v>
      </c>
      <c r="Q21" s="1">
        <f t="shared" si="4"/>
        <v>276.86619999999999</v>
      </c>
      <c r="R21" s="5">
        <f t="shared" si="13"/>
        <v>383.49119999999994</v>
      </c>
      <c r="S21" s="5">
        <f>R21+Q21*$S$1</f>
        <v>881.85035999999991</v>
      </c>
      <c r="T21" s="19"/>
      <c r="U21" s="1">
        <f t="shared" si="8"/>
        <v>16.05066765101699</v>
      </c>
      <c r="V21" s="1">
        <f t="shared" si="5"/>
        <v>9.6148861796781251</v>
      </c>
      <c r="W21" s="1">
        <v>268.45139999999998</v>
      </c>
      <c r="X21" s="1">
        <v>275.91120000000001</v>
      </c>
      <c r="Y21" s="1">
        <v>284.72680000000003</v>
      </c>
      <c r="Z21" s="1">
        <v>282.6728</v>
      </c>
      <c r="AA21" s="1">
        <v>268.63920000000002</v>
      </c>
      <c r="AB21" s="1">
        <v>285.46140000000003</v>
      </c>
      <c r="AC21" s="1">
        <v>300.20659999999998</v>
      </c>
      <c r="AD21" s="1">
        <v>291.22340000000003</v>
      </c>
      <c r="AE21" s="1">
        <v>269.3802</v>
      </c>
      <c r="AF21" s="1">
        <v>282.6694</v>
      </c>
      <c r="AG21" s="1"/>
      <c r="AH21" s="1">
        <f t="shared" si="9"/>
        <v>882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55</v>
      </c>
      <c r="B22" s="1" t="s">
        <v>35</v>
      </c>
      <c r="C22" s="1">
        <v>448.13499999999999</v>
      </c>
      <c r="D22" s="1"/>
      <c r="E22" s="1">
        <v>179.917</v>
      </c>
      <c r="F22" s="1">
        <v>254.03899999999999</v>
      </c>
      <c r="G22" s="7">
        <v>1</v>
      </c>
      <c r="H22" s="1">
        <v>70</v>
      </c>
      <c r="I22" s="1" t="s">
        <v>36</v>
      </c>
      <c r="J22" s="1"/>
      <c r="K22" s="1">
        <v>170.61</v>
      </c>
      <c r="L22" s="1">
        <f t="shared" si="3"/>
        <v>9.3069999999999879</v>
      </c>
      <c r="M22" s="1"/>
      <c r="N22" s="1"/>
      <c r="O22" s="1">
        <v>81.236300000000028</v>
      </c>
      <c r="P22" s="25"/>
      <c r="Q22" s="1">
        <f t="shared" si="4"/>
        <v>35.983400000000003</v>
      </c>
      <c r="R22" s="5">
        <f t="shared" si="13"/>
        <v>60.542100000000005</v>
      </c>
      <c r="S22" s="5">
        <f t="shared" si="10"/>
        <v>60.542100000000005</v>
      </c>
      <c r="T22" s="19"/>
      <c r="U22" s="1">
        <f t="shared" si="8"/>
        <v>11</v>
      </c>
      <c r="V22" s="1">
        <f t="shared" si="5"/>
        <v>9.317499180177526</v>
      </c>
      <c r="W22" s="1">
        <v>37.6586</v>
      </c>
      <c r="X22" s="1">
        <v>29.225200000000001</v>
      </c>
      <c r="Y22" s="1">
        <v>30.331199999999999</v>
      </c>
      <c r="Z22" s="1">
        <v>41.240400000000001</v>
      </c>
      <c r="AA22" s="1">
        <v>40.357600000000012</v>
      </c>
      <c r="AB22" s="1">
        <v>31.3566</v>
      </c>
      <c r="AC22" s="1">
        <v>32.416400000000003</v>
      </c>
      <c r="AD22" s="1">
        <v>50.782600000000002</v>
      </c>
      <c r="AE22" s="1">
        <v>51.17</v>
      </c>
      <c r="AF22" s="1">
        <v>32.328000000000003</v>
      </c>
      <c r="AG22" s="1"/>
      <c r="AH22" s="1">
        <f t="shared" si="9"/>
        <v>61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56</v>
      </c>
      <c r="B23" s="1" t="s">
        <v>35</v>
      </c>
      <c r="C23" s="1">
        <v>408.50299999999999</v>
      </c>
      <c r="D23" s="1">
        <v>965.14300000000003</v>
      </c>
      <c r="E23" s="1">
        <v>427.89800000000002</v>
      </c>
      <c r="F23" s="1">
        <v>908.851</v>
      </c>
      <c r="G23" s="7">
        <v>1</v>
      </c>
      <c r="H23" s="1">
        <v>70</v>
      </c>
      <c r="I23" s="1" t="s">
        <v>36</v>
      </c>
      <c r="J23" s="1"/>
      <c r="K23" s="1">
        <v>410.79500000000002</v>
      </c>
      <c r="L23" s="1">
        <f t="shared" si="3"/>
        <v>17.103000000000009</v>
      </c>
      <c r="M23" s="1"/>
      <c r="N23" s="1"/>
      <c r="O23" s="1">
        <v>0</v>
      </c>
      <c r="P23" s="25"/>
      <c r="Q23" s="1">
        <f t="shared" si="4"/>
        <v>85.579599999999999</v>
      </c>
      <c r="R23" s="5">
        <f t="shared" si="13"/>
        <v>32.524599999999964</v>
      </c>
      <c r="S23" s="5">
        <f>R23+Q23*$S$1</f>
        <v>186.56787999999997</v>
      </c>
      <c r="T23" s="19"/>
      <c r="U23" s="1">
        <f t="shared" si="8"/>
        <v>12.799999999999999</v>
      </c>
      <c r="V23" s="1">
        <f t="shared" si="5"/>
        <v>10.619949146759275</v>
      </c>
      <c r="W23" s="1">
        <v>89.1798</v>
      </c>
      <c r="X23" s="1">
        <v>90.862200000000001</v>
      </c>
      <c r="Y23" s="1">
        <v>89.53540000000001</v>
      </c>
      <c r="Z23" s="1">
        <v>90.167400000000001</v>
      </c>
      <c r="AA23" s="1">
        <v>90.783199999999994</v>
      </c>
      <c r="AB23" s="1">
        <v>90.342600000000004</v>
      </c>
      <c r="AC23" s="1">
        <v>100.7072</v>
      </c>
      <c r="AD23" s="1">
        <v>100.1114</v>
      </c>
      <c r="AE23" s="1">
        <v>93.316600000000008</v>
      </c>
      <c r="AF23" s="1">
        <v>89.801999999999992</v>
      </c>
      <c r="AG23" s="1"/>
      <c r="AH23" s="1">
        <f t="shared" si="9"/>
        <v>187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9" t="s">
        <v>57</v>
      </c>
      <c r="B24" s="9" t="s">
        <v>35</v>
      </c>
      <c r="C24" s="9"/>
      <c r="D24" s="9"/>
      <c r="E24" s="9"/>
      <c r="F24" s="9"/>
      <c r="G24" s="10">
        <v>0</v>
      </c>
      <c r="H24" s="9"/>
      <c r="I24" s="9" t="s">
        <v>36</v>
      </c>
      <c r="J24" s="9"/>
      <c r="K24" s="9"/>
      <c r="L24" s="9">
        <f t="shared" si="3"/>
        <v>0</v>
      </c>
      <c r="M24" s="9"/>
      <c r="N24" s="9"/>
      <c r="O24" s="9">
        <v>0</v>
      </c>
      <c r="P24" s="28"/>
      <c r="Q24" s="9">
        <f t="shared" si="4"/>
        <v>0</v>
      </c>
      <c r="R24" s="11"/>
      <c r="S24" s="5">
        <f t="shared" si="10"/>
        <v>0</v>
      </c>
      <c r="T24" s="20"/>
      <c r="U24" s="1" t="e">
        <f t="shared" si="8"/>
        <v>#DIV/0!</v>
      </c>
      <c r="V24" s="9" t="e">
        <f t="shared" si="5"/>
        <v>#DIV/0!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 t="s">
        <v>41</v>
      </c>
      <c r="AH24" s="1">
        <f t="shared" si="9"/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58</v>
      </c>
      <c r="B25" s="1" t="s">
        <v>35</v>
      </c>
      <c r="C25" s="1">
        <v>897.61699999999996</v>
      </c>
      <c r="D25" s="1">
        <v>880.17</v>
      </c>
      <c r="E25" s="1">
        <v>636.90200000000004</v>
      </c>
      <c r="F25" s="1">
        <v>1084.683</v>
      </c>
      <c r="G25" s="7">
        <v>1</v>
      </c>
      <c r="H25" s="1">
        <v>70</v>
      </c>
      <c r="I25" s="1" t="s">
        <v>36</v>
      </c>
      <c r="J25" s="1"/>
      <c r="K25" s="1">
        <v>618.27</v>
      </c>
      <c r="L25" s="1">
        <f t="shared" si="3"/>
        <v>18.632000000000062</v>
      </c>
      <c r="M25" s="1"/>
      <c r="N25" s="1"/>
      <c r="O25" s="1">
        <v>0</v>
      </c>
      <c r="P25" s="25"/>
      <c r="Q25" s="1">
        <f t="shared" si="4"/>
        <v>127.38040000000001</v>
      </c>
      <c r="R25" s="5">
        <f t="shared" ref="R25:R26" si="14">11*Q25-O25-F25</f>
        <v>316.5014000000001</v>
      </c>
      <c r="S25" s="5">
        <f>R25+Q25*$S$1</f>
        <v>545.7861200000001</v>
      </c>
      <c r="T25" s="19"/>
      <c r="U25" s="1">
        <f t="shared" si="8"/>
        <v>12.8</v>
      </c>
      <c r="V25" s="1">
        <f t="shared" si="5"/>
        <v>8.5153053373988463</v>
      </c>
      <c r="W25" s="1">
        <v>123.4118</v>
      </c>
      <c r="X25" s="1">
        <v>117.6122</v>
      </c>
      <c r="Y25" s="1">
        <v>125.7372</v>
      </c>
      <c r="Z25" s="1">
        <v>138.38999999999999</v>
      </c>
      <c r="AA25" s="1">
        <v>139.70419999999999</v>
      </c>
      <c r="AB25" s="1">
        <v>135.19220000000001</v>
      </c>
      <c r="AC25" s="1">
        <v>130.17939999999999</v>
      </c>
      <c r="AD25" s="1">
        <v>121.59180000000001</v>
      </c>
      <c r="AE25" s="1">
        <v>124.3712</v>
      </c>
      <c r="AF25" s="1">
        <v>128.39340000000001</v>
      </c>
      <c r="AG25" s="1"/>
      <c r="AH25" s="1">
        <f t="shared" si="9"/>
        <v>546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59</v>
      </c>
      <c r="B26" s="1" t="s">
        <v>35</v>
      </c>
      <c r="C26" s="1">
        <v>343.19400000000002</v>
      </c>
      <c r="D26" s="1"/>
      <c r="E26" s="1">
        <v>146.67099999999999</v>
      </c>
      <c r="F26" s="1">
        <v>195.80699999999999</v>
      </c>
      <c r="G26" s="7">
        <v>1</v>
      </c>
      <c r="H26" s="1">
        <v>40</v>
      </c>
      <c r="I26" s="1" t="s">
        <v>36</v>
      </c>
      <c r="J26" s="1"/>
      <c r="K26" s="1">
        <v>146.4</v>
      </c>
      <c r="L26" s="1">
        <f t="shared" si="3"/>
        <v>0.27099999999998658</v>
      </c>
      <c r="M26" s="1"/>
      <c r="N26" s="1"/>
      <c r="O26" s="1">
        <v>122.2486</v>
      </c>
      <c r="P26" s="25"/>
      <c r="Q26" s="1">
        <f t="shared" si="4"/>
        <v>29.334199999999999</v>
      </c>
      <c r="R26" s="5">
        <f t="shared" si="14"/>
        <v>4.620599999999996</v>
      </c>
      <c r="S26" s="5">
        <f t="shared" si="10"/>
        <v>4.620599999999996</v>
      </c>
      <c r="T26" s="19"/>
      <c r="U26" s="1">
        <f t="shared" si="8"/>
        <v>11</v>
      </c>
      <c r="V26" s="1">
        <f t="shared" si="5"/>
        <v>10.842484199330473</v>
      </c>
      <c r="W26" s="1">
        <v>30.359200000000001</v>
      </c>
      <c r="X26" s="1">
        <v>1.6180000000000001</v>
      </c>
      <c r="Y26" s="1">
        <v>0.88819999999999999</v>
      </c>
      <c r="Z26" s="1">
        <v>28.8462</v>
      </c>
      <c r="AA26" s="1">
        <v>28.550999999999998</v>
      </c>
      <c r="AB26" s="1">
        <v>16.459599999999998</v>
      </c>
      <c r="AC26" s="1">
        <v>16.6052</v>
      </c>
      <c r="AD26" s="1">
        <v>15.1754</v>
      </c>
      <c r="AE26" s="1">
        <v>15.175800000000001</v>
      </c>
      <c r="AF26" s="1">
        <v>1.0192000000000001</v>
      </c>
      <c r="AG26" s="1"/>
      <c r="AH26" s="1">
        <f t="shared" si="9"/>
        <v>5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60</v>
      </c>
      <c r="B27" s="1" t="s">
        <v>35</v>
      </c>
      <c r="C27" s="1">
        <v>451.67500000000001</v>
      </c>
      <c r="D27" s="1">
        <v>473.90600000000001</v>
      </c>
      <c r="E27" s="1">
        <v>253.77099999999999</v>
      </c>
      <c r="F27" s="1">
        <v>641.48699999999997</v>
      </c>
      <c r="G27" s="7">
        <v>1</v>
      </c>
      <c r="H27" s="1">
        <v>30</v>
      </c>
      <c r="I27" s="1" t="s">
        <v>36</v>
      </c>
      <c r="J27" s="1"/>
      <c r="K27" s="1">
        <v>256.5</v>
      </c>
      <c r="L27" s="1">
        <f t="shared" si="3"/>
        <v>-2.7290000000000134</v>
      </c>
      <c r="M27" s="1"/>
      <c r="N27" s="1"/>
      <c r="O27" s="1">
        <v>0</v>
      </c>
      <c r="P27" s="25"/>
      <c r="Q27" s="1">
        <f t="shared" si="4"/>
        <v>50.754199999999997</v>
      </c>
      <c r="R27" s="5"/>
      <c r="S27" s="5">
        <f t="shared" si="10"/>
        <v>0</v>
      </c>
      <c r="T27" s="19"/>
      <c r="U27" s="1">
        <f t="shared" si="8"/>
        <v>12.639091937218989</v>
      </c>
      <c r="V27" s="1">
        <f t="shared" si="5"/>
        <v>12.639091937218989</v>
      </c>
      <c r="W27" s="1">
        <v>52.681199999999997</v>
      </c>
      <c r="X27" s="1">
        <v>61.315399999999997</v>
      </c>
      <c r="Y27" s="1">
        <v>65.999600000000001</v>
      </c>
      <c r="Z27" s="1">
        <v>56.640599999999992</v>
      </c>
      <c r="AA27" s="1">
        <v>57.695599999999999</v>
      </c>
      <c r="AB27" s="1">
        <v>53.313800000000001</v>
      </c>
      <c r="AC27" s="1">
        <v>47.676200000000001</v>
      </c>
      <c r="AD27" s="1">
        <v>38.641599999999997</v>
      </c>
      <c r="AE27" s="1">
        <v>41.4846</v>
      </c>
      <c r="AF27" s="1">
        <v>49.220399999999998</v>
      </c>
      <c r="AG27" s="1"/>
      <c r="AH27" s="1">
        <f t="shared" si="9"/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61</v>
      </c>
      <c r="B28" s="1" t="s">
        <v>35</v>
      </c>
      <c r="C28" s="1">
        <v>233.09899999999999</v>
      </c>
      <c r="D28" s="1">
        <v>3.016</v>
      </c>
      <c r="E28" s="1">
        <v>213.715</v>
      </c>
      <c r="F28" s="1">
        <v>0.23499999999999999</v>
      </c>
      <c r="G28" s="7">
        <v>1</v>
      </c>
      <c r="H28" s="1">
        <v>40</v>
      </c>
      <c r="I28" s="13" t="s">
        <v>62</v>
      </c>
      <c r="J28" s="1"/>
      <c r="K28" s="1">
        <v>205.9</v>
      </c>
      <c r="L28" s="1">
        <f t="shared" si="3"/>
        <v>7.8149999999999977</v>
      </c>
      <c r="M28" s="1"/>
      <c r="N28" s="1"/>
      <c r="O28" s="1">
        <v>100</v>
      </c>
      <c r="P28" s="25"/>
      <c r="Q28" s="1">
        <f t="shared" si="4"/>
        <v>42.743000000000002</v>
      </c>
      <c r="R28" s="14">
        <v>120</v>
      </c>
      <c r="S28" s="5">
        <f t="shared" si="10"/>
        <v>120</v>
      </c>
      <c r="T28" s="21"/>
      <c r="U28" s="1">
        <f t="shared" si="8"/>
        <v>5.1525395971270154</v>
      </c>
      <c r="V28" s="1">
        <f t="shared" si="5"/>
        <v>2.3450623493905431</v>
      </c>
      <c r="W28" s="1">
        <v>41.494799999999998</v>
      </c>
      <c r="X28" s="1">
        <v>42.447800000000001</v>
      </c>
      <c r="Y28" s="1">
        <v>46.859200000000001</v>
      </c>
      <c r="Z28" s="1">
        <v>44.1312</v>
      </c>
      <c r="AA28" s="1">
        <v>43.206599999999987</v>
      </c>
      <c r="AB28" s="1">
        <v>39.3598</v>
      </c>
      <c r="AC28" s="1">
        <v>38.984400000000001</v>
      </c>
      <c r="AD28" s="1">
        <v>38.6952</v>
      </c>
      <c r="AE28" s="1">
        <v>38.327599999999997</v>
      </c>
      <c r="AF28" s="1">
        <v>37.422600000000003</v>
      </c>
      <c r="AG28" s="1"/>
      <c r="AH28" s="1">
        <f t="shared" si="9"/>
        <v>120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63</v>
      </c>
      <c r="B29" s="1" t="s">
        <v>35</v>
      </c>
      <c r="C29" s="1">
        <v>2195.7469999999998</v>
      </c>
      <c r="D29" s="1">
        <v>2039.287</v>
      </c>
      <c r="E29" s="1">
        <v>2356.692</v>
      </c>
      <c r="F29" s="1">
        <v>1608.0039999999999</v>
      </c>
      <c r="G29" s="7">
        <v>1</v>
      </c>
      <c r="H29" s="1">
        <v>30</v>
      </c>
      <c r="I29" s="13" t="s">
        <v>62</v>
      </c>
      <c r="J29" s="1"/>
      <c r="K29" s="1">
        <v>2334.65</v>
      </c>
      <c r="L29" s="1">
        <f t="shared" si="3"/>
        <v>22.041999999999916</v>
      </c>
      <c r="M29" s="1"/>
      <c r="N29" s="1"/>
      <c r="O29" s="1">
        <v>500</v>
      </c>
      <c r="P29" s="25"/>
      <c r="Q29" s="1">
        <f t="shared" si="4"/>
        <v>471.33839999999998</v>
      </c>
      <c r="R29" s="14">
        <v>600</v>
      </c>
      <c r="S29" s="5">
        <f t="shared" si="10"/>
        <v>600</v>
      </c>
      <c r="T29" s="21"/>
      <c r="U29" s="1">
        <f t="shared" si="8"/>
        <v>5.7453498378235253</v>
      </c>
      <c r="V29" s="1">
        <f t="shared" si="5"/>
        <v>4.4723790805077623</v>
      </c>
      <c r="W29" s="1">
        <v>480.87979999999999</v>
      </c>
      <c r="X29" s="1">
        <v>213.43700000000001</v>
      </c>
      <c r="Y29" s="1">
        <v>215.16399999999999</v>
      </c>
      <c r="Z29" s="1">
        <v>450.7</v>
      </c>
      <c r="AA29" s="1">
        <v>450.23039999999997</v>
      </c>
      <c r="AB29" s="1">
        <v>427.48280000000011</v>
      </c>
      <c r="AC29" s="1">
        <v>418.57639999999998</v>
      </c>
      <c r="AD29" s="1">
        <v>396.39859999999999</v>
      </c>
      <c r="AE29" s="1">
        <v>378.3732</v>
      </c>
      <c r="AF29" s="1">
        <v>434.29799999999989</v>
      </c>
      <c r="AG29" s="1"/>
      <c r="AH29" s="1">
        <f t="shared" si="9"/>
        <v>600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9" t="s">
        <v>64</v>
      </c>
      <c r="B30" s="9" t="s">
        <v>35</v>
      </c>
      <c r="C30" s="9">
        <v>9.51</v>
      </c>
      <c r="D30" s="9"/>
      <c r="E30" s="9">
        <v>7.7729999999999997</v>
      </c>
      <c r="F30" s="9">
        <v>0.437</v>
      </c>
      <c r="G30" s="10">
        <v>0</v>
      </c>
      <c r="H30" s="9">
        <v>45</v>
      </c>
      <c r="I30" s="9" t="s">
        <v>48</v>
      </c>
      <c r="J30" s="9"/>
      <c r="K30" s="9">
        <v>13</v>
      </c>
      <c r="L30" s="9">
        <f t="shared" si="3"/>
        <v>-5.2270000000000003</v>
      </c>
      <c r="M30" s="9"/>
      <c r="N30" s="9"/>
      <c r="O30" s="9">
        <v>0</v>
      </c>
      <c r="P30" s="28"/>
      <c r="Q30" s="9">
        <f t="shared" si="4"/>
        <v>1.5546</v>
      </c>
      <c r="R30" s="11"/>
      <c r="S30" s="5">
        <f t="shared" si="10"/>
        <v>0</v>
      </c>
      <c r="T30" s="20"/>
      <c r="U30" s="1">
        <f t="shared" si="8"/>
        <v>0.28110124790943009</v>
      </c>
      <c r="V30" s="9">
        <f t="shared" si="5"/>
        <v>0.28110124790943009</v>
      </c>
      <c r="W30" s="9">
        <v>4.6036000000000001</v>
      </c>
      <c r="X30" s="9">
        <v>4.6284000000000001</v>
      </c>
      <c r="Y30" s="9">
        <v>3.6878000000000002</v>
      </c>
      <c r="Z30" s="9">
        <v>5.8213999999999997</v>
      </c>
      <c r="AA30" s="9">
        <v>3.9933999999999998</v>
      </c>
      <c r="AB30" s="9">
        <v>2.5615999999999999</v>
      </c>
      <c r="AC30" s="9">
        <v>5.5739999999999998</v>
      </c>
      <c r="AD30" s="9">
        <v>5.3944000000000001</v>
      </c>
      <c r="AE30" s="9">
        <v>2.9910000000000001</v>
      </c>
      <c r="AF30" s="9">
        <v>3.278</v>
      </c>
      <c r="AG30" s="9"/>
      <c r="AH30" s="1">
        <f t="shared" si="9"/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9" t="s">
        <v>65</v>
      </c>
      <c r="B31" s="9" t="s">
        <v>35</v>
      </c>
      <c r="C31" s="9">
        <v>3.948</v>
      </c>
      <c r="D31" s="9"/>
      <c r="E31" s="9">
        <v>3.6989999999999998</v>
      </c>
      <c r="F31" s="9">
        <v>-0.25700000000000001</v>
      </c>
      <c r="G31" s="10">
        <v>0</v>
      </c>
      <c r="H31" s="9">
        <v>40</v>
      </c>
      <c r="I31" s="9" t="s">
        <v>48</v>
      </c>
      <c r="J31" s="9"/>
      <c r="K31" s="9">
        <v>149.6</v>
      </c>
      <c r="L31" s="9">
        <f t="shared" si="3"/>
        <v>-145.90099999999998</v>
      </c>
      <c r="M31" s="9"/>
      <c r="N31" s="9"/>
      <c r="O31" s="9">
        <v>0</v>
      </c>
      <c r="P31" s="28"/>
      <c r="Q31" s="9">
        <f t="shared" si="4"/>
        <v>0.73980000000000001</v>
      </c>
      <c r="R31" s="11"/>
      <c r="S31" s="5">
        <f t="shared" si="10"/>
        <v>0</v>
      </c>
      <c r="T31" s="20"/>
      <c r="U31" s="1">
        <f t="shared" si="8"/>
        <v>-0.34739118680724518</v>
      </c>
      <c r="V31" s="9">
        <f t="shared" si="5"/>
        <v>-0.34739118680724518</v>
      </c>
      <c r="W31" s="9">
        <v>1.2958000000000001</v>
      </c>
      <c r="X31" s="9">
        <v>12.6168</v>
      </c>
      <c r="Y31" s="9">
        <v>11.9848</v>
      </c>
      <c r="Z31" s="9">
        <v>17.542200000000001</v>
      </c>
      <c r="AA31" s="9">
        <v>20.3004</v>
      </c>
      <c r="AB31" s="9">
        <v>11.212</v>
      </c>
      <c r="AC31" s="9">
        <v>8.2512000000000008</v>
      </c>
      <c r="AD31" s="9">
        <v>7.6128</v>
      </c>
      <c r="AE31" s="9">
        <v>9.6614000000000004</v>
      </c>
      <c r="AF31" s="9">
        <v>3.0419999999999998</v>
      </c>
      <c r="AG31" s="9"/>
      <c r="AH31" s="1">
        <f t="shared" si="9"/>
        <v>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66</v>
      </c>
      <c r="B32" s="1" t="s">
        <v>35</v>
      </c>
      <c r="C32" s="1"/>
      <c r="D32" s="1">
        <v>2338.44</v>
      </c>
      <c r="E32" s="1">
        <v>2334.7739999999999</v>
      </c>
      <c r="F32" s="1">
        <v>3.7480000000000002</v>
      </c>
      <c r="G32" s="7">
        <v>1</v>
      </c>
      <c r="H32" s="1">
        <v>40</v>
      </c>
      <c r="I32" s="13" t="s">
        <v>62</v>
      </c>
      <c r="J32" s="1"/>
      <c r="K32" s="1">
        <v>3058.57</v>
      </c>
      <c r="L32" s="1">
        <f t="shared" si="3"/>
        <v>-723.79600000000028</v>
      </c>
      <c r="M32" s="1"/>
      <c r="N32" s="1"/>
      <c r="O32" s="1">
        <v>700</v>
      </c>
      <c r="P32" s="25"/>
      <c r="Q32" s="1">
        <f t="shared" si="4"/>
        <v>466.95479999999998</v>
      </c>
      <c r="R32" s="14">
        <v>800</v>
      </c>
      <c r="S32" s="5">
        <v>1000</v>
      </c>
      <c r="T32" s="21">
        <v>1000</v>
      </c>
      <c r="U32" s="1">
        <f t="shared" si="8"/>
        <v>3.6486357994392606</v>
      </c>
      <c r="V32" s="1">
        <f t="shared" si="5"/>
        <v>1.5071009014148695</v>
      </c>
      <c r="W32" s="1">
        <v>466.65679999999998</v>
      </c>
      <c r="X32" s="1">
        <v>-1.0442</v>
      </c>
      <c r="Y32" s="1">
        <v>170.2936</v>
      </c>
      <c r="Z32" s="1">
        <v>540.2518</v>
      </c>
      <c r="AA32" s="1">
        <v>543.82479999999998</v>
      </c>
      <c r="AB32" s="1">
        <v>632.09960000000001</v>
      </c>
      <c r="AC32" s="1">
        <v>771.26760000000002</v>
      </c>
      <c r="AD32" s="1">
        <v>511.33100000000002</v>
      </c>
      <c r="AE32" s="1">
        <v>199.14580000000001</v>
      </c>
      <c r="AF32" s="1">
        <v>179.42859999999999</v>
      </c>
      <c r="AG32" s="1"/>
      <c r="AH32" s="1">
        <f t="shared" si="9"/>
        <v>1000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9" t="s">
        <v>67</v>
      </c>
      <c r="B33" s="9" t="s">
        <v>35</v>
      </c>
      <c r="C33" s="9"/>
      <c r="D33" s="9"/>
      <c r="E33" s="9"/>
      <c r="F33" s="9"/>
      <c r="G33" s="10">
        <v>0</v>
      </c>
      <c r="H33" s="9"/>
      <c r="I33" s="9" t="s">
        <v>36</v>
      </c>
      <c r="J33" s="9"/>
      <c r="K33" s="9">
        <v>2.6</v>
      </c>
      <c r="L33" s="9">
        <f t="shared" si="3"/>
        <v>-2.6</v>
      </c>
      <c r="M33" s="9"/>
      <c r="N33" s="9"/>
      <c r="O33" s="9">
        <v>0</v>
      </c>
      <c r="P33" s="28"/>
      <c r="Q33" s="9">
        <f t="shared" si="4"/>
        <v>0</v>
      </c>
      <c r="R33" s="11"/>
      <c r="S33" s="5">
        <f t="shared" si="10"/>
        <v>0</v>
      </c>
      <c r="T33" s="20"/>
      <c r="U33" s="1" t="e">
        <f t="shared" si="8"/>
        <v>#DIV/0!</v>
      </c>
      <c r="V33" s="9" t="e">
        <f t="shared" si="5"/>
        <v>#DIV/0!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 t="s">
        <v>41</v>
      </c>
      <c r="AH33" s="1">
        <f t="shared" si="9"/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68</v>
      </c>
      <c r="B34" s="1" t="s">
        <v>35</v>
      </c>
      <c r="C34" s="1">
        <v>359.95699999999999</v>
      </c>
      <c r="D34" s="1">
        <v>200.05199999999999</v>
      </c>
      <c r="E34" s="1">
        <v>234.78800000000001</v>
      </c>
      <c r="F34" s="1">
        <v>283.47300000000001</v>
      </c>
      <c r="G34" s="7">
        <v>1</v>
      </c>
      <c r="H34" s="1">
        <v>30</v>
      </c>
      <c r="I34" s="1" t="s">
        <v>36</v>
      </c>
      <c r="J34" s="1"/>
      <c r="K34" s="1">
        <v>235.6</v>
      </c>
      <c r="L34" s="1">
        <f t="shared" si="3"/>
        <v>-0.8119999999999834</v>
      </c>
      <c r="M34" s="1"/>
      <c r="N34" s="1"/>
      <c r="O34" s="1">
        <v>170.95990000000009</v>
      </c>
      <c r="P34" s="25"/>
      <c r="Q34" s="1">
        <f t="shared" si="4"/>
        <v>46.957599999999999</v>
      </c>
      <c r="R34" s="5">
        <f>11*Q34-O34-F34</f>
        <v>62.100699999999904</v>
      </c>
      <c r="S34" s="5">
        <f t="shared" si="10"/>
        <v>62.100699999999904</v>
      </c>
      <c r="T34" s="19"/>
      <c r="U34" s="1">
        <f t="shared" si="8"/>
        <v>11</v>
      </c>
      <c r="V34" s="1">
        <f t="shared" si="5"/>
        <v>9.6775154607560889</v>
      </c>
      <c r="W34" s="1">
        <v>52.282200000000003</v>
      </c>
      <c r="X34" s="1">
        <v>40.8566</v>
      </c>
      <c r="Y34" s="1">
        <v>32.737400000000001</v>
      </c>
      <c r="Z34" s="1">
        <v>46.584200000000003</v>
      </c>
      <c r="AA34" s="1">
        <v>55.434800000000003</v>
      </c>
      <c r="AB34" s="1">
        <v>52.496000000000002</v>
      </c>
      <c r="AC34" s="1">
        <v>46.775199999999998</v>
      </c>
      <c r="AD34" s="1">
        <v>42.855600000000003</v>
      </c>
      <c r="AE34" s="1">
        <v>50.501600000000003</v>
      </c>
      <c r="AF34" s="1">
        <v>53.412799999999997</v>
      </c>
      <c r="AG34" s="1"/>
      <c r="AH34" s="1">
        <f t="shared" si="9"/>
        <v>62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9" t="s">
        <v>69</v>
      </c>
      <c r="B35" s="9" t="s">
        <v>35</v>
      </c>
      <c r="C35" s="9"/>
      <c r="D35" s="9"/>
      <c r="E35" s="9"/>
      <c r="F35" s="9"/>
      <c r="G35" s="10">
        <v>0</v>
      </c>
      <c r="H35" s="9"/>
      <c r="I35" s="9" t="s">
        <v>36</v>
      </c>
      <c r="J35" s="9"/>
      <c r="K35" s="9"/>
      <c r="L35" s="9">
        <f t="shared" si="3"/>
        <v>0</v>
      </c>
      <c r="M35" s="9"/>
      <c r="N35" s="9"/>
      <c r="O35" s="9">
        <v>0</v>
      </c>
      <c r="P35" s="28"/>
      <c r="Q35" s="9">
        <f t="shared" si="4"/>
        <v>0</v>
      </c>
      <c r="R35" s="11"/>
      <c r="S35" s="5">
        <f t="shared" si="10"/>
        <v>0</v>
      </c>
      <c r="T35" s="20"/>
      <c r="U35" s="1" t="e">
        <f t="shared" si="8"/>
        <v>#DIV/0!</v>
      </c>
      <c r="V35" s="9" t="e">
        <f t="shared" si="5"/>
        <v>#DIV/0!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 t="s">
        <v>41</v>
      </c>
      <c r="AH35" s="1">
        <f t="shared" si="9"/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9" t="s">
        <v>70</v>
      </c>
      <c r="B36" s="9" t="s">
        <v>35</v>
      </c>
      <c r="C36" s="9"/>
      <c r="D36" s="9"/>
      <c r="E36" s="9"/>
      <c r="F36" s="9"/>
      <c r="G36" s="10">
        <v>0</v>
      </c>
      <c r="H36" s="9"/>
      <c r="I36" s="9" t="s">
        <v>36</v>
      </c>
      <c r="J36" s="9"/>
      <c r="K36" s="9"/>
      <c r="L36" s="9">
        <f t="shared" si="3"/>
        <v>0</v>
      </c>
      <c r="M36" s="9"/>
      <c r="N36" s="9"/>
      <c r="O36" s="9">
        <v>0</v>
      </c>
      <c r="P36" s="28"/>
      <c r="Q36" s="9">
        <f t="shared" si="4"/>
        <v>0</v>
      </c>
      <c r="R36" s="11"/>
      <c r="S36" s="5">
        <f t="shared" si="10"/>
        <v>0</v>
      </c>
      <c r="T36" s="20"/>
      <c r="U36" s="1" t="e">
        <f t="shared" si="8"/>
        <v>#DIV/0!</v>
      </c>
      <c r="V36" s="9" t="e">
        <f t="shared" si="5"/>
        <v>#DIV/0!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 t="s">
        <v>41</v>
      </c>
      <c r="AH36" s="1">
        <f t="shared" si="9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71</v>
      </c>
      <c r="B37" s="1" t="s">
        <v>40</v>
      </c>
      <c r="C37" s="1">
        <v>3646</v>
      </c>
      <c r="D37" s="1">
        <v>6086</v>
      </c>
      <c r="E37" s="1">
        <v>4949.0600000000004</v>
      </c>
      <c r="F37" s="1">
        <v>4244.9399999999996</v>
      </c>
      <c r="G37" s="7">
        <v>0.4</v>
      </c>
      <c r="H37" s="1">
        <v>45</v>
      </c>
      <c r="I37" s="13" t="s">
        <v>62</v>
      </c>
      <c r="J37" s="1"/>
      <c r="K37" s="1">
        <v>4972</v>
      </c>
      <c r="L37" s="1">
        <f t="shared" si="3"/>
        <v>-22.9399999999996</v>
      </c>
      <c r="M37" s="1"/>
      <c r="N37" s="1"/>
      <c r="O37" s="1">
        <v>1000</v>
      </c>
      <c r="P37" s="25"/>
      <c r="Q37" s="1">
        <f t="shared" si="4"/>
        <v>989.81200000000013</v>
      </c>
      <c r="R37" s="14">
        <v>1200</v>
      </c>
      <c r="S37" s="5">
        <f t="shared" si="10"/>
        <v>1200</v>
      </c>
      <c r="T37" s="21"/>
      <c r="U37" s="1">
        <f t="shared" si="8"/>
        <v>6.5112768889445665</v>
      </c>
      <c r="V37" s="1">
        <f t="shared" si="5"/>
        <v>5.298925452510173</v>
      </c>
      <c r="W37" s="1">
        <v>974.61200000000008</v>
      </c>
      <c r="X37" s="1">
        <v>922.4</v>
      </c>
      <c r="Y37" s="1">
        <v>935.8</v>
      </c>
      <c r="Z37" s="1">
        <v>879.4</v>
      </c>
      <c r="AA37" s="1">
        <v>846.35859999999991</v>
      </c>
      <c r="AB37" s="1">
        <v>867.75859999999989</v>
      </c>
      <c r="AC37" s="1">
        <v>893.8</v>
      </c>
      <c r="AD37" s="1">
        <v>890.8</v>
      </c>
      <c r="AE37" s="1">
        <v>822.8</v>
      </c>
      <c r="AF37" s="1">
        <v>878.2</v>
      </c>
      <c r="AG37" s="1"/>
      <c r="AH37" s="1">
        <f t="shared" si="9"/>
        <v>480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72</v>
      </c>
      <c r="B38" s="1" t="s">
        <v>40</v>
      </c>
      <c r="C38" s="1">
        <v>770</v>
      </c>
      <c r="D38" s="1">
        <v>351</v>
      </c>
      <c r="E38" s="1">
        <v>389</v>
      </c>
      <c r="F38" s="1">
        <v>656</v>
      </c>
      <c r="G38" s="7">
        <v>0.45</v>
      </c>
      <c r="H38" s="1">
        <v>50</v>
      </c>
      <c r="I38" s="1" t="s">
        <v>36</v>
      </c>
      <c r="J38" s="1"/>
      <c r="K38" s="1">
        <v>404</v>
      </c>
      <c r="L38" s="1">
        <f t="shared" ref="L38:L69" si="15">E38-K38</f>
        <v>-15</v>
      </c>
      <c r="M38" s="1"/>
      <c r="N38" s="1"/>
      <c r="O38" s="1">
        <v>0</v>
      </c>
      <c r="P38" s="25"/>
      <c r="Q38" s="1">
        <f t="shared" ref="Q38:Q69" si="16">E38/5</f>
        <v>77.8</v>
      </c>
      <c r="R38" s="5">
        <f t="shared" ref="R38:R57" si="17">11*Q38-O38-F38</f>
        <v>199.79999999999995</v>
      </c>
      <c r="S38" s="5">
        <f t="shared" si="10"/>
        <v>199.79999999999995</v>
      </c>
      <c r="T38" s="19"/>
      <c r="U38" s="1">
        <f t="shared" si="8"/>
        <v>11</v>
      </c>
      <c r="V38" s="1">
        <f t="shared" ref="V38:V69" si="18">(F38+O38)/Q38</f>
        <v>8.4318766066838045</v>
      </c>
      <c r="W38" s="1">
        <v>75</v>
      </c>
      <c r="X38" s="1">
        <v>65</v>
      </c>
      <c r="Y38" s="1">
        <v>95.6</v>
      </c>
      <c r="Z38" s="1">
        <v>101.8</v>
      </c>
      <c r="AA38" s="1">
        <v>92.4</v>
      </c>
      <c r="AB38" s="1">
        <v>96.2</v>
      </c>
      <c r="AC38" s="1">
        <v>96</v>
      </c>
      <c r="AD38" s="1">
        <v>109.6</v>
      </c>
      <c r="AE38" s="1">
        <v>100.2</v>
      </c>
      <c r="AF38" s="1">
        <v>83.2</v>
      </c>
      <c r="AG38" s="1"/>
      <c r="AH38" s="1">
        <f t="shared" si="9"/>
        <v>90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73</v>
      </c>
      <c r="B39" s="1" t="s">
        <v>40</v>
      </c>
      <c r="C39" s="1">
        <v>567</v>
      </c>
      <c r="D39" s="1">
        <v>1525</v>
      </c>
      <c r="E39" s="1">
        <v>1226</v>
      </c>
      <c r="F39" s="1">
        <v>633</v>
      </c>
      <c r="G39" s="7">
        <v>0.4</v>
      </c>
      <c r="H39" s="1">
        <v>45</v>
      </c>
      <c r="I39" s="13" t="s">
        <v>62</v>
      </c>
      <c r="J39" s="1"/>
      <c r="K39" s="1">
        <v>1259</v>
      </c>
      <c r="L39" s="1">
        <f t="shared" si="15"/>
        <v>-33</v>
      </c>
      <c r="M39" s="1"/>
      <c r="N39" s="1"/>
      <c r="O39" s="1">
        <v>200</v>
      </c>
      <c r="P39" s="25"/>
      <c r="Q39" s="1">
        <f t="shared" si="16"/>
        <v>245.2</v>
      </c>
      <c r="R39" s="14">
        <v>300</v>
      </c>
      <c r="S39" s="5">
        <f t="shared" si="10"/>
        <v>300</v>
      </c>
      <c r="T39" s="21"/>
      <c r="U39" s="1">
        <f t="shared" si="8"/>
        <v>4.620717781402937</v>
      </c>
      <c r="V39" s="1">
        <f t="shared" si="18"/>
        <v>3.3972267536704734</v>
      </c>
      <c r="W39" s="1">
        <v>165.6</v>
      </c>
      <c r="X39" s="1">
        <v>105.6</v>
      </c>
      <c r="Y39" s="1">
        <v>196.2</v>
      </c>
      <c r="Z39" s="1">
        <v>218.8</v>
      </c>
      <c r="AA39" s="1">
        <v>207.2</v>
      </c>
      <c r="AB39" s="1">
        <v>223</v>
      </c>
      <c r="AC39" s="1">
        <v>237.2</v>
      </c>
      <c r="AD39" s="1">
        <v>222</v>
      </c>
      <c r="AE39" s="1">
        <v>213.2</v>
      </c>
      <c r="AF39" s="1">
        <v>223.6</v>
      </c>
      <c r="AG39" s="1"/>
      <c r="AH39" s="1">
        <f t="shared" si="9"/>
        <v>120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74</v>
      </c>
      <c r="B40" s="1" t="s">
        <v>40</v>
      </c>
      <c r="C40" s="1">
        <v>30</v>
      </c>
      <c r="D40" s="1">
        <v>30</v>
      </c>
      <c r="E40" s="1">
        <v>18</v>
      </c>
      <c r="F40" s="1">
        <v>42</v>
      </c>
      <c r="G40" s="7">
        <v>0.4</v>
      </c>
      <c r="H40" s="1">
        <v>40</v>
      </c>
      <c r="I40" s="13" t="s">
        <v>62</v>
      </c>
      <c r="J40" s="1"/>
      <c r="K40" s="1">
        <v>20</v>
      </c>
      <c r="L40" s="1">
        <f t="shared" si="15"/>
        <v>-2</v>
      </c>
      <c r="M40" s="1"/>
      <c r="N40" s="1"/>
      <c r="O40" s="1">
        <v>0</v>
      </c>
      <c r="P40" s="25"/>
      <c r="Q40" s="1">
        <f t="shared" si="16"/>
        <v>3.6</v>
      </c>
      <c r="R40" s="5"/>
      <c r="S40" s="5">
        <f t="shared" si="10"/>
        <v>0</v>
      </c>
      <c r="T40" s="19"/>
      <c r="U40" s="1">
        <f t="shared" si="8"/>
        <v>11.666666666666666</v>
      </c>
      <c r="V40" s="1">
        <f t="shared" si="18"/>
        <v>11.666666666666666</v>
      </c>
      <c r="W40" s="1">
        <v>2.2000000000000002</v>
      </c>
      <c r="X40" s="1">
        <v>2.6</v>
      </c>
      <c r="Y40" s="1">
        <v>5.4</v>
      </c>
      <c r="Z40" s="1">
        <v>4</v>
      </c>
      <c r="AA40" s="1">
        <v>1.4</v>
      </c>
      <c r="AB40" s="1">
        <v>2.8</v>
      </c>
      <c r="AC40" s="1">
        <v>2.6</v>
      </c>
      <c r="AD40" s="1">
        <v>0.2</v>
      </c>
      <c r="AE40" s="1">
        <v>0.4</v>
      </c>
      <c r="AF40" s="1">
        <v>1</v>
      </c>
      <c r="AG40" s="1"/>
      <c r="AH40" s="1">
        <f t="shared" si="9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75</v>
      </c>
      <c r="B41" s="1" t="s">
        <v>35</v>
      </c>
      <c r="C41" s="1">
        <v>56.887</v>
      </c>
      <c r="D41" s="1">
        <v>1.444</v>
      </c>
      <c r="E41" s="1">
        <v>45.829000000000001</v>
      </c>
      <c r="F41" s="1">
        <v>0.64700000000000002</v>
      </c>
      <c r="G41" s="7">
        <v>1</v>
      </c>
      <c r="H41" s="1">
        <v>45</v>
      </c>
      <c r="I41" s="1" t="s">
        <v>36</v>
      </c>
      <c r="J41" s="1"/>
      <c r="K41" s="1">
        <v>150.6</v>
      </c>
      <c r="L41" s="1">
        <f t="shared" si="15"/>
        <v>-104.77099999999999</v>
      </c>
      <c r="M41" s="1"/>
      <c r="N41" s="1"/>
      <c r="O41" s="1">
        <v>0</v>
      </c>
      <c r="P41" s="25"/>
      <c r="Q41" s="1">
        <f t="shared" si="16"/>
        <v>9.1658000000000008</v>
      </c>
      <c r="R41" s="5">
        <f t="shared" si="17"/>
        <v>100.1768</v>
      </c>
      <c r="S41" s="5">
        <v>250</v>
      </c>
      <c r="T41" s="21">
        <v>350</v>
      </c>
      <c r="U41" s="1">
        <f t="shared" si="8"/>
        <v>27.345894520936522</v>
      </c>
      <c r="V41" s="1">
        <f t="shared" si="18"/>
        <v>7.0588492002880268E-2</v>
      </c>
      <c r="W41" s="1">
        <v>37.942599999999999</v>
      </c>
      <c r="X41" s="1">
        <v>58.043199999999999</v>
      </c>
      <c r="Y41" s="1">
        <v>60.015799999999999</v>
      </c>
      <c r="Z41" s="1">
        <v>55.129399999999997</v>
      </c>
      <c r="AA41" s="1">
        <v>48.190600000000003</v>
      </c>
      <c r="AB41" s="1">
        <v>52.069800000000001</v>
      </c>
      <c r="AC41" s="1">
        <v>54.658799999999999</v>
      </c>
      <c r="AD41" s="1">
        <v>61.988999999999997</v>
      </c>
      <c r="AE41" s="1">
        <v>65.972999999999999</v>
      </c>
      <c r="AF41" s="1">
        <v>63.581400000000002</v>
      </c>
      <c r="AG41" s="1"/>
      <c r="AH41" s="1">
        <f t="shared" si="9"/>
        <v>250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76</v>
      </c>
      <c r="B42" s="1" t="s">
        <v>40</v>
      </c>
      <c r="C42" s="1">
        <v>921</v>
      </c>
      <c r="D42" s="1">
        <v>200</v>
      </c>
      <c r="E42" s="1">
        <v>432</v>
      </c>
      <c r="F42" s="1">
        <v>601</v>
      </c>
      <c r="G42" s="7">
        <v>0.1</v>
      </c>
      <c r="H42" s="1">
        <v>731</v>
      </c>
      <c r="I42" s="1" t="s">
        <v>36</v>
      </c>
      <c r="J42" s="1"/>
      <c r="K42" s="1">
        <v>432</v>
      </c>
      <c r="L42" s="1">
        <f t="shared" si="15"/>
        <v>0</v>
      </c>
      <c r="M42" s="1"/>
      <c r="N42" s="1"/>
      <c r="O42" s="1">
        <v>23.311000000000039</v>
      </c>
      <c r="P42" s="25"/>
      <c r="Q42" s="1">
        <f t="shared" si="16"/>
        <v>86.4</v>
      </c>
      <c r="R42" s="5">
        <f t="shared" si="17"/>
        <v>326.08900000000006</v>
      </c>
      <c r="S42" s="5">
        <f>R42+Q42*$S$1</f>
        <v>481.60900000000004</v>
      </c>
      <c r="T42" s="19"/>
      <c r="U42" s="1">
        <f t="shared" si="8"/>
        <v>12.8</v>
      </c>
      <c r="V42" s="1">
        <f t="shared" si="18"/>
        <v>7.2258217592592588</v>
      </c>
      <c r="W42" s="1">
        <v>78.599999999999994</v>
      </c>
      <c r="X42" s="1">
        <v>70.599999999999994</v>
      </c>
      <c r="Y42" s="1">
        <v>80.599999999999994</v>
      </c>
      <c r="Z42" s="1">
        <v>60.2</v>
      </c>
      <c r="AA42" s="1">
        <v>46.4</v>
      </c>
      <c r="AB42" s="1">
        <v>46.8</v>
      </c>
      <c r="AC42" s="1">
        <v>53.2</v>
      </c>
      <c r="AD42" s="1">
        <v>56.4</v>
      </c>
      <c r="AE42" s="1">
        <v>54</v>
      </c>
      <c r="AF42" s="1">
        <v>48.6</v>
      </c>
      <c r="AG42" s="1"/>
      <c r="AH42" s="1">
        <f t="shared" si="9"/>
        <v>48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77</v>
      </c>
      <c r="B43" s="1" t="s">
        <v>40</v>
      </c>
      <c r="C43" s="1">
        <v>46</v>
      </c>
      <c r="D43" s="1"/>
      <c r="E43" s="1">
        <v>34</v>
      </c>
      <c r="F43" s="1"/>
      <c r="G43" s="7">
        <v>0.35</v>
      </c>
      <c r="H43" s="1">
        <v>40</v>
      </c>
      <c r="I43" s="1" t="s">
        <v>36</v>
      </c>
      <c r="J43" s="1"/>
      <c r="K43" s="1">
        <v>115</v>
      </c>
      <c r="L43" s="1">
        <f t="shared" si="15"/>
        <v>-81</v>
      </c>
      <c r="M43" s="1"/>
      <c r="N43" s="1"/>
      <c r="O43" s="1">
        <v>49.855999999999881</v>
      </c>
      <c r="P43" s="25"/>
      <c r="Q43" s="1">
        <f t="shared" si="16"/>
        <v>6.8</v>
      </c>
      <c r="R43" s="5">
        <f t="shared" si="17"/>
        <v>24.944000000000116</v>
      </c>
      <c r="S43" s="5">
        <f t="shared" si="10"/>
        <v>24.944000000000116</v>
      </c>
      <c r="T43" s="19"/>
      <c r="U43" s="1">
        <f t="shared" si="8"/>
        <v>11</v>
      </c>
      <c r="V43" s="1">
        <f t="shared" si="18"/>
        <v>7.3317647058823354</v>
      </c>
      <c r="W43" s="1">
        <v>28.4</v>
      </c>
      <c r="X43" s="1">
        <v>45</v>
      </c>
      <c r="Y43" s="1">
        <v>43.6</v>
      </c>
      <c r="Z43" s="1">
        <v>47.6</v>
      </c>
      <c r="AA43" s="1">
        <v>44.6</v>
      </c>
      <c r="AB43" s="1">
        <v>46.4</v>
      </c>
      <c r="AC43" s="1">
        <v>55.6</v>
      </c>
      <c r="AD43" s="1">
        <v>56.6</v>
      </c>
      <c r="AE43" s="1">
        <v>52.8</v>
      </c>
      <c r="AF43" s="1">
        <v>57</v>
      </c>
      <c r="AG43" s="1"/>
      <c r="AH43" s="1">
        <f t="shared" si="9"/>
        <v>9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78</v>
      </c>
      <c r="B44" s="1" t="s">
        <v>35</v>
      </c>
      <c r="C44" s="1">
        <v>67.284999999999997</v>
      </c>
      <c r="D44" s="1">
        <v>70.578999999999994</v>
      </c>
      <c r="E44" s="1">
        <v>38.689</v>
      </c>
      <c r="F44" s="1">
        <v>89.025000000000006</v>
      </c>
      <c r="G44" s="7">
        <v>1</v>
      </c>
      <c r="H44" s="1">
        <v>40</v>
      </c>
      <c r="I44" s="1" t="s">
        <v>36</v>
      </c>
      <c r="J44" s="1"/>
      <c r="K44" s="1">
        <v>45.4</v>
      </c>
      <c r="L44" s="1">
        <f t="shared" si="15"/>
        <v>-6.7109999999999985</v>
      </c>
      <c r="M44" s="1"/>
      <c r="N44" s="1"/>
      <c r="O44" s="1">
        <v>0</v>
      </c>
      <c r="P44" s="25"/>
      <c r="Q44" s="1">
        <f t="shared" si="16"/>
        <v>7.7378</v>
      </c>
      <c r="R44" s="5"/>
      <c r="S44" s="5">
        <f t="shared" si="10"/>
        <v>0</v>
      </c>
      <c r="T44" s="19"/>
      <c r="U44" s="1">
        <f t="shared" si="8"/>
        <v>11.505208198712813</v>
      </c>
      <c r="V44" s="1">
        <f t="shared" si="18"/>
        <v>11.505208198712813</v>
      </c>
      <c r="W44" s="1">
        <v>8.1522000000000006</v>
      </c>
      <c r="X44" s="1">
        <v>10.566599999999999</v>
      </c>
      <c r="Y44" s="1">
        <v>9.1028000000000002</v>
      </c>
      <c r="Z44" s="1">
        <v>7.556</v>
      </c>
      <c r="AA44" s="1">
        <v>7.9702000000000002</v>
      </c>
      <c r="AB44" s="1">
        <v>9.6010000000000009</v>
      </c>
      <c r="AC44" s="1">
        <v>10.6218</v>
      </c>
      <c r="AD44" s="1">
        <v>8.5141999999999989</v>
      </c>
      <c r="AE44" s="1">
        <v>5.8933999999999997</v>
      </c>
      <c r="AF44" s="1">
        <v>7.8151999999999999</v>
      </c>
      <c r="AG44" s="1"/>
      <c r="AH44" s="1">
        <f t="shared" si="9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79</v>
      </c>
      <c r="B45" s="1" t="s">
        <v>40</v>
      </c>
      <c r="C45" s="1">
        <v>231</v>
      </c>
      <c r="D45" s="1"/>
      <c r="E45" s="1">
        <v>223</v>
      </c>
      <c r="F45" s="1">
        <v>-4</v>
      </c>
      <c r="G45" s="7">
        <v>0.4</v>
      </c>
      <c r="H45" s="1">
        <v>40</v>
      </c>
      <c r="I45" s="13" t="s">
        <v>62</v>
      </c>
      <c r="J45" s="1"/>
      <c r="K45" s="1">
        <v>337</v>
      </c>
      <c r="L45" s="1">
        <f t="shared" si="15"/>
        <v>-114</v>
      </c>
      <c r="M45" s="1"/>
      <c r="N45" s="1"/>
      <c r="O45" s="1">
        <v>50</v>
      </c>
      <c r="P45" s="25"/>
      <c r="Q45" s="1">
        <f t="shared" si="16"/>
        <v>44.6</v>
      </c>
      <c r="R45" s="14">
        <v>100</v>
      </c>
      <c r="S45" s="5">
        <f t="shared" si="10"/>
        <v>100</v>
      </c>
      <c r="T45" s="21"/>
      <c r="U45" s="1">
        <f t="shared" si="8"/>
        <v>3.2735426008968607</v>
      </c>
      <c r="V45" s="1">
        <f t="shared" si="18"/>
        <v>1.0313901345291479</v>
      </c>
      <c r="W45" s="1">
        <v>42.4</v>
      </c>
      <c r="X45" s="1">
        <v>-0.8</v>
      </c>
      <c r="Y45" s="1">
        <v>17.2</v>
      </c>
      <c r="Z45" s="1">
        <v>30.2</v>
      </c>
      <c r="AA45" s="1">
        <v>32.799999999999997</v>
      </c>
      <c r="AB45" s="1">
        <v>44.6</v>
      </c>
      <c r="AC45" s="1">
        <v>38.6</v>
      </c>
      <c r="AD45" s="1">
        <v>36.200000000000003</v>
      </c>
      <c r="AE45" s="1">
        <v>42.2</v>
      </c>
      <c r="AF45" s="1">
        <v>47.8</v>
      </c>
      <c r="AG45" s="1"/>
      <c r="AH45" s="1">
        <f t="shared" si="9"/>
        <v>40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80</v>
      </c>
      <c r="B46" s="1" t="s">
        <v>40</v>
      </c>
      <c r="C46" s="1">
        <v>282</v>
      </c>
      <c r="D46" s="1"/>
      <c r="E46" s="1">
        <v>262</v>
      </c>
      <c r="F46" s="1">
        <v>12</v>
      </c>
      <c r="G46" s="7">
        <v>0.4</v>
      </c>
      <c r="H46" s="1">
        <v>45</v>
      </c>
      <c r="I46" s="13" t="s">
        <v>62</v>
      </c>
      <c r="J46" s="1"/>
      <c r="K46" s="1">
        <v>293</v>
      </c>
      <c r="L46" s="1">
        <f t="shared" si="15"/>
        <v>-31</v>
      </c>
      <c r="M46" s="1"/>
      <c r="N46" s="1"/>
      <c r="O46" s="1">
        <v>0</v>
      </c>
      <c r="P46" s="25"/>
      <c r="Q46" s="1">
        <f t="shared" si="16"/>
        <v>52.4</v>
      </c>
      <c r="R46" s="14">
        <v>100</v>
      </c>
      <c r="S46" s="5">
        <f t="shared" si="10"/>
        <v>100</v>
      </c>
      <c r="T46" s="21"/>
      <c r="U46" s="1">
        <f t="shared" si="8"/>
        <v>2.1374045801526718</v>
      </c>
      <c r="V46" s="1">
        <f t="shared" si="18"/>
        <v>0.22900763358778625</v>
      </c>
      <c r="W46" s="1">
        <v>27.8</v>
      </c>
      <c r="X46" s="1">
        <v>-0.8</v>
      </c>
      <c r="Y46" s="1">
        <v>6.6</v>
      </c>
      <c r="Z46" s="1">
        <v>42.6</v>
      </c>
      <c r="AA46" s="1">
        <v>57.4</v>
      </c>
      <c r="AB46" s="1">
        <v>39.6</v>
      </c>
      <c r="AC46" s="1">
        <v>35.4</v>
      </c>
      <c r="AD46" s="1">
        <v>36</v>
      </c>
      <c r="AE46" s="1">
        <v>40</v>
      </c>
      <c r="AF46" s="1">
        <v>40.200000000000003</v>
      </c>
      <c r="AG46" s="1"/>
      <c r="AH46" s="1">
        <f t="shared" si="9"/>
        <v>40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81</v>
      </c>
      <c r="B47" s="1" t="s">
        <v>35</v>
      </c>
      <c r="C47" s="1">
        <v>422.536</v>
      </c>
      <c r="D47" s="1">
        <v>0.73199999999999998</v>
      </c>
      <c r="E47" s="1">
        <v>89.052000000000007</v>
      </c>
      <c r="F47" s="1">
        <v>320.33199999999999</v>
      </c>
      <c r="G47" s="7">
        <v>1</v>
      </c>
      <c r="H47" s="1">
        <v>40</v>
      </c>
      <c r="I47" s="1" t="s">
        <v>36</v>
      </c>
      <c r="J47" s="1"/>
      <c r="K47" s="1">
        <v>100.25</v>
      </c>
      <c r="L47" s="1">
        <f t="shared" si="15"/>
        <v>-11.197999999999993</v>
      </c>
      <c r="M47" s="1"/>
      <c r="N47" s="1"/>
      <c r="O47" s="1">
        <v>0</v>
      </c>
      <c r="P47" s="25"/>
      <c r="Q47" s="1">
        <f t="shared" si="16"/>
        <v>17.810400000000001</v>
      </c>
      <c r="R47" s="5"/>
      <c r="S47" s="5">
        <f t="shared" si="10"/>
        <v>0</v>
      </c>
      <c r="T47" s="19"/>
      <c r="U47" s="1">
        <f t="shared" si="8"/>
        <v>17.985671293177017</v>
      </c>
      <c r="V47" s="1">
        <f t="shared" si="18"/>
        <v>17.985671293177017</v>
      </c>
      <c r="W47" s="1">
        <v>16.632000000000001</v>
      </c>
      <c r="X47" s="1">
        <v>22.530799999999999</v>
      </c>
      <c r="Y47" s="1">
        <v>20.517600000000002</v>
      </c>
      <c r="Z47" s="1">
        <v>24.51</v>
      </c>
      <c r="AA47" s="1">
        <v>25.950800000000001</v>
      </c>
      <c r="AB47" s="1">
        <v>25.9468</v>
      </c>
      <c r="AC47" s="1">
        <v>25.837199999999999</v>
      </c>
      <c r="AD47" s="1">
        <v>21.918800000000001</v>
      </c>
      <c r="AE47" s="1">
        <v>21.019200000000001</v>
      </c>
      <c r="AF47" s="1">
        <v>27.880800000000001</v>
      </c>
      <c r="AG47" s="17" t="s">
        <v>82</v>
      </c>
      <c r="AH47" s="1">
        <f t="shared" si="9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83</v>
      </c>
      <c r="B48" s="1" t="s">
        <v>40</v>
      </c>
      <c r="C48" s="1">
        <v>1739</v>
      </c>
      <c r="D48" s="1">
        <v>2059</v>
      </c>
      <c r="E48" s="1">
        <v>1270</v>
      </c>
      <c r="F48" s="1">
        <v>2387</v>
      </c>
      <c r="G48" s="7">
        <v>0.35</v>
      </c>
      <c r="H48" s="1">
        <v>40</v>
      </c>
      <c r="I48" s="1" t="s">
        <v>36</v>
      </c>
      <c r="J48" s="1"/>
      <c r="K48" s="1">
        <v>1297</v>
      </c>
      <c r="L48" s="1">
        <f t="shared" si="15"/>
        <v>-27</v>
      </c>
      <c r="M48" s="1"/>
      <c r="N48" s="1"/>
      <c r="O48" s="1">
        <v>0</v>
      </c>
      <c r="P48" s="25"/>
      <c r="Q48" s="1">
        <f t="shared" si="16"/>
        <v>254</v>
      </c>
      <c r="R48" s="5">
        <f t="shared" si="17"/>
        <v>407</v>
      </c>
      <c r="S48" s="5">
        <f>R48+Q48*$S$1</f>
        <v>864.2</v>
      </c>
      <c r="T48" s="19"/>
      <c r="U48" s="1">
        <f t="shared" si="8"/>
        <v>12.799999999999999</v>
      </c>
      <c r="V48" s="1">
        <f t="shared" si="18"/>
        <v>9.3976377952755907</v>
      </c>
      <c r="W48" s="1">
        <v>261.39999999999998</v>
      </c>
      <c r="X48" s="1">
        <v>234</v>
      </c>
      <c r="Y48" s="1">
        <v>230.6</v>
      </c>
      <c r="Z48" s="1">
        <v>272.2</v>
      </c>
      <c r="AA48" s="1">
        <v>290.39999999999998</v>
      </c>
      <c r="AB48" s="1">
        <v>282.2</v>
      </c>
      <c r="AC48" s="1">
        <v>295</v>
      </c>
      <c r="AD48" s="1">
        <v>315.2</v>
      </c>
      <c r="AE48" s="1">
        <v>312.39999999999998</v>
      </c>
      <c r="AF48" s="1">
        <v>340.2</v>
      </c>
      <c r="AG48" s="1"/>
      <c r="AH48" s="1">
        <f t="shared" si="9"/>
        <v>302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84</v>
      </c>
      <c r="B49" s="1" t="s">
        <v>40</v>
      </c>
      <c r="C49" s="1">
        <v>-13</v>
      </c>
      <c r="D49" s="1">
        <v>1503</v>
      </c>
      <c r="E49" s="1">
        <v>515</v>
      </c>
      <c r="F49" s="1">
        <v>897</v>
      </c>
      <c r="G49" s="7">
        <v>0.4</v>
      </c>
      <c r="H49" s="1">
        <v>40</v>
      </c>
      <c r="I49" s="13" t="s">
        <v>62</v>
      </c>
      <c r="J49" s="1"/>
      <c r="K49" s="1">
        <v>534</v>
      </c>
      <c r="L49" s="1">
        <f t="shared" si="15"/>
        <v>-19</v>
      </c>
      <c r="M49" s="1"/>
      <c r="N49" s="1"/>
      <c r="O49" s="1">
        <v>0</v>
      </c>
      <c r="P49" s="25"/>
      <c r="Q49" s="1">
        <f t="shared" si="16"/>
        <v>103</v>
      </c>
      <c r="R49" s="14">
        <v>200</v>
      </c>
      <c r="S49" s="5">
        <f t="shared" si="10"/>
        <v>200</v>
      </c>
      <c r="T49" s="21"/>
      <c r="U49" s="1">
        <f t="shared" si="8"/>
        <v>10.650485436893204</v>
      </c>
      <c r="V49" s="1">
        <f t="shared" si="18"/>
        <v>8.7087378640776691</v>
      </c>
      <c r="W49" s="1">
        <v>49.8</v>
      </c>
      <c r="X49" s="1">
        <v>86</v>
      </c>
      <c r="Y49" s="1">
        <v>134.4</v>
      </c>
      <c r="Z49" s="1">
        <v>143.4</v>
      </c>
      <c r="AA49" s="1">
        <v>127.4</v>
      </c>
      <c r="AB49" s="1">
        <v>113.8</v>
      </c>
      <c r="AC49" s="1">
        <v>119.2</v>
      </c>
      <c r="AD49" s="1">
        <v>124</v>
      </c>
      <c r="AE49" s="1">
        <v>124</v>
      </c>
      <c r="AF49" s="1">
        <v>125.6</v>
      </c>
      <c r="AG49" s="1"/>
      <c r="AH49" s="1">
        <f t="shared" si="9"/>
        <v>80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85</v>
      </c>
      <c r="B50" s="1" t="s">
        <v>35</v>
      </c>
      <c r="C50" s="1">
        <v>1080.722</v>
      </c>
      <c r="D50" s="1">
        <v>302.73700000000002</v>
      </c>
      <c r="E50" s="1">
        <v>473.21600000000001</v>
      </c>
      <c r="F50" s="1">
        <v>880.803</v>
      </c>
      <c r="G50" s="7">
        <v>1</v>
      </c>
      <c r="H50" s="1">
        <v>50</v>
      </c>
      <c r="I50" s="1" t="s">
        <v>36</v>
      </c>
      <c r="J50" s="1"/>
      <c r="K50" s="1">
        <v>457.15</v>
      </c>
      <c r="L50" s="1">
        <f t="shared" si="15"/>
        <v>16.066000000000031</v>
      </c>
      <c r="M50" s="1"/>
      <c r="N50" s="1"/>
      <c r="O50" s="1">
        <v>45.375512000000192</v>
      </c>
      <c r="P50" s="25"/>
      <c r="Q50" s="1">
        <f t="shared" si="16"/>
        <v>94.643200000000007</v>
      </c>
      <c r="R50" s="5">
        <f t="shared" si="17"/>
        <v>114.89668799999981</v>
      </c>
      <c r="S50" s="5">
        <f t="shared" ref="S50:S51" si="19">R50+Q50*$S$1</f>
        <v>285.2544479999998</v>
      </c>
      <c r="T50" s="19"/>
      <c r="U50" s="1">
        <f t="shared" si="8"/>
        <v>12.8</v>
      </c>
      <c r="V50" s="1">
        <f t="shared" si="18"/>
        <v>9.7860016567487165</v>
      </c>
      <c r="W50" s="1">
        <v>101.782</v>
      </c>
      <c r="X50" s="1">
        <v>92.1952</v>
      </c>
      <c r="Y50" s="1">
        <v>85.624400000000009</v>
      </c>
      <c r="Z50" s="1">
        <v>98.405999999999992</v>
      </c>
      <c r="AA50" s="1">
        <v>105.60339999999999</v>
      </c>
      <c r="AB50" s="1">
        <v>102.15940000000001</v>
      </c>
      <c r="AC50" s="1">
        <v>104.79640000000001</v>
      </c>
      <c r="AD50" s="1">
        <v>96.198999999999998</v>
      </c>
      <c r="AE50" s="1">
        <v>92.049199999999999</v>
      </c>
      <c r="AF50" s="1">
        <v>107.1942</v>
      </c>
      <c r="AG50" s="1"/>
      <c r="AH50" s="1">
        <f t="shared" si="9"/>
        <v>285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86</v>
      </c>
      <c r="B51" s="1" t="s">
        <v>35</v>
      </c>
      <c r="C51" s="1">
        <v>1055.2059999999999</v>
      </c>
      <c r="D51" s="1">
        <v>573.43200000000002</v>
      </c>
      <c r="E51" s="1">
        <v>524.28300000000002</v>
      </c>
      <c r="F51" s="1">
        <v>1048.6179999999999</v>
      </c>
      <c r="G51" s="7">
        <v>1</v>
      </c>
      <c r="H51" s="1">
        <v>50</v>
      </c>
      <c r="I51" s="1" t="s">
        <v>36</v>
      </c>
      <c r="J51" s="1"/>
      <c r="K51" s="1">
        <v>505.3</v>
      </c>
      <c r="L51" s="1">
        <f t="shared" si="15"/>
        <v>18.983000000000004</v>
      </c>
      <c r="M51" s="1"/>
      <c r="N51" s="1"/>
      <c r="O51" s="1">
        <v>0</v>
      </c>
      <c r="P51" s="25"/>
      <c r="Q51" s="1">
        <f t="shared" si="16"/>
        <v>104.8566</v>
      </c>
      <c r="R51" s="5">
        <f t="shared" si="17"/>
        <v>104.80460000000016</v>
      </c>
      <c r="S51" s="5">
        <f t="shared" si="19"/>
        <v>293.5464800000002</v>
      </c>
      <c r="T51" s="19"/>
      <c r="U51" s="1">
        <f t="shared" si="8"/>
        <v>12.8</v>
      </c>
      <c r="V51" s="1">
        <f t="shared" si="18"/>
        <v>10.000495915373948</v>
      </c>
      <c r="W51" s="1">
        <v>106.93259999999999</v>
      </c>
      <c r="X51" s="1">
        <v>107.8848</v>
      </c>
      <c r="Y51" s="1">
        <v>115.07080000000001</v>
      </c>
      <c r="Z51" s="1">
        <v>121.9318</v>
      </c>
      <c r="AA51" s="1">
        <v>115.127</v>
      </c>
      <c r="AB51" s="1">
        <v>112.86660000000001</v>
      </c>
      <c r="AC51" s="1">
        <v>117.1014</v>
      </c>
      <c r="AD51" s="1">
        <v>120.026</v>
      </c>
      <c r="AE51" s="1">
        <v>114.6662</v>
      </c>
      <c r="AF51" s="1">
        <v>108.624</v>
      </c>
      <c r="AG51" s="1"/>
      <c r="AH51" s="1">
        <f t="shared" si="9"/>
        <v>294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87</v>
      </c>
      <c r="B52" s="1" t="s">
        <v>35</v>
      </c>
      <c r="C52" s="1">
        <v>124.803</v>
      </c>
      <c r="D52" s="1"/>
      <c r="E52" s="1">
        <v>89.307000000000002</v>
      </c>
      <c r="F52" s="1">
        <v>34.031999999999996</v>
      </c>
      <c r="G52" s="7">
        <v>1</v>
      </c>
      <c r="H52" s="1">
        <v>45</v>
      </c>
      <c r="I52" s="1" t="s">
        <v>36</v>
      </c>
      <c r="J52" s="1"/>
      <c r="K52" s="1">
        <v>88.2</v>
      </c>
      <c r="L52" s="1">
        <f t="shared" si="15"/>
        <v>1.1069999999999993</v>
      </c>
      <c r="M52" s="1"/>
      <c r="N52" s="1"/>
      <c r="O52" s="1">
        <v>19.720699999999979</v>
      </c>
      <c r="P52" s="25"/>
      <c r="Q52" s="1">
        <f t="shared" si="16"/>
        <v>17.8614</v>
      </c>
      <c r="R52" s="5">
        <f>9*Q52-O52-F52</f>
        <v>106.99990000000001</v>
      </c>
      <c r="S52" s="5">
        <f t="shared" si="10"/>
        <v>106.99990000000001</v>
      </c>
      <c r="T52" s="19"/>
      <c r="U52" s="1">
        <f t="shared" si="8"/>
        <v>8.9999999999999982</v>
      </c>
      <c r="V52" s="1">
        <f t="shared" si="18"/>
        <v>3.0094337509937619</v>
      </c>
      <c r="W52" s="1">
        <v>19.946200000000001</v>
      </c>
      <c r="X52" s="1">
        <v>17.854199999999999</v>
      </c>
      <c r="Y52" s="1">
        <v>15.411</v>
      </c>
      <c r="Z52" s="1">
        <v>11.0654</v>
      </c>
      <c r="AA52" s="1">
        <v>9.3583999999999996</v>
      </c>
      <c r="AB52" s="1">
        <v>8.730599999999999</v>
      </c>
      <c r="AC52" s="1">
        <v>4.0386000000000006</v>
      </c>
      <c r="AD52" s="1">
        <v>8.4756</v>
      </c>
      <c r="AE52" s="1">
        <v>8.1896000000000004</v>
      </c>
      <c r="AF52" s="1">
        <v>1.7692000000000001</v>
      </c>
      <c r="AG52" s="1"/>
      <c r="AH52" s="1">
        <f t="shared" si="9"/>
        <v>107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88</v>
      </c>
      <c r="B53" s="1" t="s">
        <v>40</v>
      </c>
      <c r="C53" s="1">
        <v>558</v>
      </c>
      <c r="D53" s="1">
        <v>1</v>
      </c>
      <c r="E53" s="1">
        <v>175</v>
      </c>
      <c r="F53" s="1">
        <v>367</v>
      </c>
      <c r="G53" s="7">
        <v>0.45</v>
      </c>
      <c r="H53" s="1">
        <v>50</v>
      </c>
      <c r="I53" s="1" t="s">
        <v>36</v>
      </c>
      <c r="J53" s="1"/>
      <c r="K53" s="1">
        <v>179</v>
      </c>
      <c r="L53" s="1">
        <f t="shared" si="15"/>
        <v>-4</v>
      </c>
      <c r="M53" s="1"/>
      <c r="N53" s="1"/>
      <c r="O53" s="1">
        <v>5.6999999999999886</v>
      </c>
      <c r="P53" s="25"/>
      <c r="Q53" s="1">
        <f t="shared" si="16"/>
        <v>35</v>
      </c>
      <c r="R53" s="5">
        <f t="shared" si="17"/>
        <v>12.300000000000011</v>
      </c>
      <c r="S53" s="5">
        <f t="shared" si="10"/>
        <v>12.300000000000011</v>
      </c>
      <c r="T53" s="19"/>
      <c r="U53" s="1">
        <f t="shared" si="8"/>
        <v>11</v>
      </c>
      <c r="V53" s="1">
        <f t="shared" si="18"/>
        <v>10.648571428571428</v>
      </c>
      <c r="W53" s="1">
        <v>41.4</v>
      </c>
      <c r="X53" s="1">
        <v>38.799999999999997</v>
      </c>
      <c r="Y53" s="1">
        <v>36.6</v>
      </c>
      <c r="Z53" s="1">
        <v>46.2</v>
      </c>
      <c r="AA53" s="1">
        <v>56</v>
      </c>
      <c r="AB53" s="1">
        <v>66.599999999999994</v>
      </c>
      <c r="AC53" s="1">
        <v>68</v>
      </c>
      <c r="AD53" s="1">
        <v>62</v>
      </c>
      <c r="AE53" s="1">
        <v>67.599999999999994</v>
      </c>
      <c r="AF53" s="1">
        <v>61.8</v>
      </c>
      <c r="AG53" s="1"/>
      <c r="AH53" s="1">
        <f t="shared" si="9"/>
        <v>6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89</v>
      </c>
      <c r="B54" s="1" t="s">
        <v>40</v>
      </c>
      <c r="C54" s="1">
        <v>678</v>
      </c>
      <c r="D54" s="1">
        <v>721</v>
      </c>
      <c r="E54" s="1">
        <v>479</v>
      </c>
      <c r="F54" s="1">
        <v>862</v>
      </c>
      <c r="G54" s="7">
        <v>0.45</v>
      </c>
      <c r="H54" s="1">
        <v>50</v>
      </c>
      <c r="I54" s="1" t="s">
        <v>36</v>
      </c>
      <c r="J54" s="1"/>
      <c r="K54" s="1">
        <v>496</v>
      </c>
      <c r="L54" s="1">
        <f t="shared" si="15"/>
        <v>-17</v>
      </c>
      <c r="M54" s="1"/>
      <c r="N54" s="1"/>
      <c r="O54" s="1">
        <v>0</v>
      </c>
      <c r="P54" s="25"/>
      <c r="Q54" s="1">
        <f t="shared" si="16"/>
        <v>95.8</v>
      </c>
      <c r="R54" s="5">
        <f t="shared" si="17"/>
        <v>191.79999999999995</v>
      </c>
      <c r="S54" s="5">
        <f>R54+Q54*$S$1</f>
        <v>364.23999999999995</v>
      </c>
      <c r="T54" s="19"/>
      <c r="U54" s="1">
        <f t="shared" si="8"/>
        <v>12.8</v>
      </c>
      <c r="V54" s="1">
        <f t="shared" si="18"/>
        <v>8.9979123173277671</v>
      </c>
      <c r="W54" s="1">
        <v>91.6</v>
      </c>
      <c r="X54" s="1">
        <v>94.4</v>
      </c>
      <c r="Y54" s="1">
        <v>114.6</v>
      </c>
      <c r="Z54" s="1">
        <v>103.4</v>
      </c>
      <c r="AA54" s="1">
        <v>94</v>
      </c>
      <c r="AB54" s="1">
        <v>111.2</v>
      </c>
      <c r="AC54" s="1">
        <v>109</v>
      </c>
      <c r="AD54" s="1">
        <v>109</v>
      </c>
      <c r="AE54" s="1">
        <v>103.8</v>
      </c>
      <c r="AF54" s="1">
        <v>93</v>
      </c>
      <c r="AG54" s="1"/>
      <c r="AH54" s="1">
        <f t="shared" si="9"/>
        <v>164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90</v>
      </c>
      <c r="B55" s="1" t="s">
        <v>40</v>
      </c>
      <c r="C55" s="1">
        <v>258</v>
      </c>
      <c r="D55" s="1"/>
      <c r="E55" s="1">
        <v>128</v>
      </c>
      <c r="F55" s="1">
        <v>128</v>
      </c>
      <c r="G55" s="7">
        <v>0.4</v>
      </c>
      <c r="H55" s="1">
        <v>40</v>
      </c>
      <c r="I55" s="1" t="s">
        <v>36</v>
      </c>
      <c r="J55" s="1"/>
      <c r="K55" s="1">
        <v>134</v>
      </c>
      <c r="L55" s="1">
        <f t="shared" si="15"/>
        <v>-6</v>
      </c>
      <c r="M55" s="1"/>
      <c r="N55" s="1"/>
      <c r="O55" s="1">
        <v>0</v>
      </c>
      <c r="P55" s="25"/>
      <c r="Q55" s="1">
        <f t="shared" si="16"/>
        <v>25.6</v>
      </c>
      <c r="R55" s="5">
        <f t="shared" si="17"/>
        <v>153.60000000000002</v>
      </c>
      <c r="S55" s="5">
        <f t="shared" si="10"/>
        <v>153.60000000000002</v>
      </c>
      <c r="T55" s="19"/>
      <c r="U55" s="1">
        <f t="shared" si="8"/>
        <v>11</v>
      </c>
      <c r="V55" s="1">
        <f t="shared" si="18"/>
        <v>5</v>
      </c>
      <c r="W55" s="1">
        <v>30.8</v>
      </c>
      <c r="X55" s="1">
        <v>30.8</v>
      </c>
      <c r="Y55" s="1">
        <v>25.8</v>
      </c>
      <c r="Z55" s="1">
        <v>27.4</v>
      </c>
      <c r="AA55" s="1">
        <v>37.200000000000003</v>
      </c>
      <c r="AB55" s="1">
        <v>33.6</v>
      </c>
      <c r="AC55" s="1">
        <v>27.6</v>
      </c>
      <c r="AD55" s="1">
        <v>19.600000000000001</v>
      </c>
      <c r="AE55" s="1">
        <v>18.600000000000001</v>
      </c>
      <c r="AF55" s="1">
        <v>31.4</v>
      </c>
      <c r="AG55" s="1"/>
      <c r="AH55" s="1">
        <f t="shared" si="9"/>
        <v>61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91</v>
      </c>
      <c r="B56" s="1" t="s">
        <v>40</v>
      </c>
      <c r="C56" s="1">
        <v>167</v>
      </c>
      <c r="D56" s="1"/>
      <c r="E56" s="1">
        <v>100</v>
      </c>
      <c r="F56" s="1">
        <v>62</v>
      </c>
      <c r="G56" s="7">
        <v>0.4</v>
      </c>
      <c r="H56" s="1">
        <v>40</v>
      </c>
      <c r="I56" s="13" t="s">
        <v>62</v>
      </c>
      <c r="J56" s="1"/>
      <c r="K56" s="1">
        <v>105</v>
      </c>
      <c r="L56" s="1">
        <f t="shared" si="15"/>
        <v>-5</v>
      </c>
      <c r="M56" s="1"/>
      <c r="N56" s="1"/>
      <c r="O56" s="1">
        <v>20</v>
      </c>
      <c r="P56" s="25"/>
      <c r="Q56" s="1">
        <f t="shared" si="16"/>
        <v>20</v>
      </c>
      <c r="R56" s="14">
        <v>100</v>
      </c>
      <c r="S56" s="5">
        <f t="shared" si="10"/>
        <v>100</v>
      </c>
      <c r="T56" s="21"/>
      <c r="U56" s="1">
        <f t="shared" si="8"/>
        <v>9.1</v>
      </c>
      <c r="V56" s="1">
        <f t="shared" si="18"/>
        <v>4.0999999999999996</v>
      </c>
      <c r="W56" s="1">
        <v>17.2</v>
      </c>
      <c r="X56" s="1">
        <v>12.4</v>
      </c>
      <c r="Y56" s="1">
        <v>13</v>
      </c>
      <c r="Z56" s="1">
        <v>17.2</v>
      </c>
      <c r="AA56" s="1">
        <v>11.2</v>
      </c>
      <c r="AB56" s="1">
        <v>7.8</v>
      </c>
      <c r="AC56" s="1">
        <v>11.2</v>
      </c>
      <c r="AD56" s="1">
        <v>12.4</v>
      </c>
      <c r="AE56" s="1">
        <v>14.4</v>
      </c>
      <c r="AF56" s="1">
        <v>12.8</v>
      </c>
      <c r="AG56" s="1"/>
      <c r="AH56" s="1">
        <f t="shared" si="9"/>
        <v>40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92</v>
      </c>
      <c r="B57" s="1" t="s">
        <v>35</v>
      </c>
      <c r="C57" s="1">
        <v>976.78200000000004</v>
      </c>
      <c r="D57" s="1">
        <v>1263.3150000000001</v>
      </c>
      <c r="E57" s="1">
        <v>697.23599999999999</v>
      </c>
      <c r="F57" s="1">
        <v>1466.5139999999999</v>
      </c>
      <c r="G57" s="7">
        <v>1</v>
      </c>
      <c r="H57" s="1">
        <v>50</v>
      </c>
      <c r="I57" s="1" t="s">
        <v>36</v>
      </c>
      <c r="J57" s="1"/>
      <c r="K57" s="1">
        <v>676.35</v>
      </c>
      <c r="L57" s="1">
        <f t="shared" si="15"/>
        <v>20.885999999999967</v>
      </c>
      <c r="M57" s="1"/>
      <c r="N57" s="1"/>
      <c r="O57" s="1">
        <v>0</v>
      </c>
      <c r="P57" s="25"/>
      <c r="Q57" s="1">
        <f t="shared" si="16"/>
        <v>139.44720000000001</v>
      </c>
      <c r="R57" s="5">
        <f t="shared" si="17"/>
        <v>67.40520000000015</v>
      </c>
      <c r="S57" s="5">
        <f>R57+Q57*$S$1</f>
        <v>318.41016000000013</v>
      </c>
      <c r="T57" s="19"/>
      <c r="U57" s="1">
        <f t="shared" si="8"/>
        <v>12.799999999999999</v>
      </c>
      <c r="V57" s="1">
        <f t="shared" si="18"/>
        <v>10.516625647556923</v>
      </c>
      <c r="W57" s="1">
        <v>142.02119999999999</v>
      </c>
      <c r="X57" s="1">
        <v>148.81020000000001</v>
      </c>
      <c r="Y57" s="1">
        <v>151.5138</v>
      </c>
      <c r="Z57" s="1">
        <v>152.57759999999999</v>
      </c>
      <c r="AA57" s="1">
        <v>151.32759999999999</v>
      </c>
      <c r="AB57" s="1">
        <v>138.55520000000001</v>
      </c>
      <c r="AC57" s="1">
        <v>142.07140000000001</v>
      </c>
      <c r="AD57" s="1">
        <v>139.2654</v>
      </c>
      <c r="AE57" s="1">
        <v>135.7242</v>
      </c>
      <c r="AF57" s="1">
        <v>150.4196</v>
      </c>
      <c r="AG57" s="1"/>
      <c r="AH57" s="1">
        <f t="shared" si="9"/>
        <v>318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9" t="s">
        <v>93</v>
      </c>
      <c r="B58" s="9" t="s">
        <v>35</v>
      </c>
      <c r="C58" s="9">
        <v>100.54300000000001</v>
      </c>
      <c r="D58" s="9"/>
      <c r="E58" s="9"/>
      <c r="F58" s="12">
        <v>100.54300000000001</v>
      </c>
      <c r="G58" s="10">
        <v>0</v>
      </c>
      <c r="H58" s="9"/>
      <c r="I58" s="9" t="s">
        <v>94</v>
      </c>
      <c r="J58" s="9" t="s">
        <v>95</v>
      </c>
      <c r="K58" s="9"/>
      <c r="L58" s="9">
        <f t="shared" si="15"/>
        <v>0</v>
      </c>
      <c r="M58" s="9"/>
      <c r="N58" s="9"/>
      <c r="O58" s="9">
        <v>0</v>
      </c>
      <c r="P58" s="28"/>
      <c r="Q58" s="9">
        <f t="shared" si="16"/>
        <v>0</v>
      </c>
      <c r="R58" s="11"/>
      <c r="S58" s="5">
        <f t="shared" si="10"/>
        <v>0</v>
      </c>
      <c r="T58" s="20"/>
      <c r="U58" s="1" t="e">
        <f t="shared" si="8"/>
        <v>#DIV/0!</v>
      </c>
      <c r="V58" s="9" t="e">
        <f t="shared" si="18"/>
        <v>#DIV/0!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/>
      <c r="AH58" s="1">
        <f t="shared" si="9"/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96</v>
      </c>
      <c r="B59" s="1" t="s">
        <v>40</v>
      </c>
      <c r="C59" s="1">
        <v>303</v>
      </c>
      <c r="D59" s="1">
        <v>340</v>
      </c>
      <c r="E59" s="1">
        <v>290</v>
      </c>
      <c r="F59" s="1">
        <v>293</v>
      </c>
      <c r="G59" s="7">
        <v>0.1</v>
      </c>
      <c r="H59" s="1">
        <v>731</v>
      </c>
      <c r="I59" s="1" t="s">
        <v>36</v>
      </c>
      <c r="J59" s="1"/>
      <c r="K59" s="1">
        <v>292</v>
      </c>
      <c r="L59" s="1">
        <f t="shared" si="15"/>
        <v>-2</v>
      </c>
      <c r="M59" s="1"/>
      <c r="N59" s="1"/>
      <c r="O59" s="1">
        <v>169.6</v>
      </c>
      <c r="P59" s="25"/>
      <c r="Q59" s="1">
        <f t="shared" si="16"/>
        <v>58</v>
      </c>
      <c r="R59" s="5">
        <f t="shared" ref="R59:R85" si="20">11*Q59-O59-F59</f>
        <v>175.39999999999998</v>
      </c>
      <c r="S59" s="5">
        <f t="shared" si="10"/>
        <v>175.39999999999998</v>
      </c>
      <c r="T59" s="19"/>
      <c r="U59" s="1">
        <f t="shared" si="8"/>
        <v>11</v>
      </c>
      <c r="V59" s="1">
        <f t="shared" si="18"/>
        <v>7.975862068965518</v>
      </c>
      <c r="W59" s="1">
        <v>56.4</v>
      </c>
      <c r="X59" s="1">
        <v>43.8</v>
      </c>
      <c r="Y59" s="1">
        <v>46</v>
      </c>
      <c r="Z59" s="1">
        <v>43</v>
      </c>
      <c r="AA59" s="1">
        <v>32</v>
      </c>
      <c r="AB59" s="1">
        <v>24.4</v>
      </c>
      <c r="AC59" s="1">
        <v>32.4</v>
      </c>
      <c r="AD59" s="1">
        <v>36.4</v>
      </c>
      <c r="AE59" s="1">
        <v>33.4</v>
      </c>
      <c r="AF59" s="1">
        <v>29</v>
      </c>
      <c r="AG59" s="1"/>
      <c r="AH59" s="1">
        <f t="shared" si="9"/>
        <v>18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97</v>
      </c>
      <c r="B60" s="1" t="s">
        <v>35</v>
      </c>
      <c r="C60" s="1">
        <v>1262.414</v>
      </c>
      <c r="D60" s="1">
        <v>1243.009</v>
      </c>
      <c r="E60" s="1">
        <v>848.56</v>
      </c>
      <c r="F60" s="1">
        <v>1594.261</v>
      </c>
      <c r="G60" s="7">
        <v>1</v>
      </c>
      <c r="H60" s="1">
        <v>50</v>
      </c>
      <c r="I60" s="1" t="s">
        <v>36</v>
      </c>
      <c r="J60" s="1"/>
      <c r="K60" s="1">
        <v>834.55</v>
      </c>
      <c r="L60" s="1">
        <f t="shared" si="15"/>
        <v>14.009999999999991</v>
      </c>
      <c r="M60" s="1"/>
      <c r="N60" s="1"/>
      <c r="O60" s="1">
        <v>0</v>
      </c>
      <c r="P60" s="25"/>
      <c r="Q60" s="1">
        <f t="shared" si="16"/>
        <v>169.71199999999999</v>
      </c>
      <c r="R60" s="5">
        <f t="shared" si="20"/>
        <v>272.57099999999991</v>
      </c>
      <c r="S60" s="5">
        <f>R60+Q60*$S$1</f>
        <v>578.05259999999998</v>
      </c>
      <c r="T60" s="19"/>
      <c r="U60" s="1">
        <f t="shared" si="8"/>
        <v>12.8</v>
      </c>
      <c r="V60" s="1">
        <f t="shared" si="18"/>
        <v>9.3939202884887347</v>
      </c>
      <c r="W60" s="1">
        <v>165.36500000000001</v>
      </c>
      <c r="X60" s="1">
        <v>160.84059999999999</v>
      </c>
      <c r="Y60" s="1">
        <v>178.38939999999999</v>
      </c>
      <c r="Z60" s="1">
        <v>198.24420000000001</v>
      </c>
      <c r="AA60" s="1">
        <v>186.80680000000001</v>
      </c>
      <c r="AB60" s="1">
        <v>175.28739999999999</v>
      </c>
      <c r="AC60" s="1">
        <v>181.8802</v>
      </c>
      <c r="AD60" s="1">
        <v>201.43039999999999</v>
      </c>
      <c r="AE60" s="1">
        <v>197.81720000000001</v>
      </c>
      <c r="AF60" s="1">
        <v>133.85419999999999</v>
      </c>
      <c r="AG60" s="1"/>
      <c r="AH60" s="1">
        <f t="shared" si="9"/>
        <v>578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98</v>
      </c>
      <c r="B61" s="1" t="s">
        <v>35</v>
      </c>
      <c r="C61" s="1">
        <v>146.077</v>
      </c>
      <c r="D61" s="1">
        <v>131.483</v>
      </c>
      <c r="E61" s="1">
        <v>89.878</v>
      </c>
      <c r="F61" s="1">
        <v>182.41200000000001</v>
      </c>
      <c r="G61" s="7">
        <v>1</v>
      </c>
      <c r="H61" s="1">
        <v>55</v>
      </c>
      <c r="I61" s="1" t="s">
        <v>36</v>
      </c>
      <c r="J61" s="1"/>
      <c r="K61" s="1">
        <v>91.7</v>
      </c>
      <c r="L61" s="1">
        <f t="shared" si="15"/>
        <v>-1.8220000000000027</v>
      </c>
      <c r="M61" s="1"/>
      <c r="N61" s="1"/>
      <c r="O61" s="1">
        <v>0</v>
      </c>
      <c r="P61" s="25"/>
      <c r="Q61" s="1">
        <f t="shared" si="16"/>
        <v>17.9756</v>
      </c>
      <c r="R61" s="5">
        <f t="shared" si="20"/>
        <v>15.319600000000008</v>
      </c>
      <c r="S61" s="5">
        <f t="shared" si="10"/>
        <v>15.319600000000008</v>
      </c>
      <c r="T61" s="19"/>
      <c r="U61" s="1">
        <f t="shared" si="8"/>
        <v>11</v>
      </c>
      <c r="V61" s="1">
        <f t="shared" si="18"/>
        <v>10.147755846814571</v>
      </c>
      <c r="W61" s="1">
        <v>16.6264</v>
      </c>
      <c r="X61" s="1">
        <v>20.0504</v>
      </c>
      <c r="Y61" s="1">
        <v>20.848199999999999</v>
      </c>
      <c r="Z61" s="1">
        <v>17.22</v>
      </c>
      <c r="AA61" s="1">
        <v>18.130600000000001</v>
      </c>
      <c r="AB61" s="1">
        <v>18.803999999999998</v>
      </c>
      <c r="AC61" s="1">
        <v>19.883600000000001</v>
      </c>
      <c r="AD61" s="1">
        <v>22.8446</v>
      </c>
      <c r="AE61" s="1">
        <v>22.9194</v>
      </c>
      <c r="AF61" s="1">
        <v>20.6586</v>
      </c>
      <c r="AG61" s="1"/>
      <c r="AH61" s="1">
        <f t="shared" si="9"/>
        <v>15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99</v>
      </c>
      <c r="B62" s="1" t="s">
        <v>40</v>
      </c>
      <c r="C62" s="1">
        <v>393</v>
      </c>
      <c r="D62" s="1">
        <v>100</v>
      </c>
      <c r="E62" s="1">
        <v>203</v>
      </c>
      <c r="F62" s="1">
        <v>231</v>
      </c>
      <c r="G62" s="7">
        <v>0.1</v>
      </c>
      <c r="H62" s="1">
        <v>731</v>
      </c>
      <c r="I62" s="1" t="s">
        <v>36</v>
      </c>
      <c r="J62" s="1"/>
      <c r="K62" s="1">
        <v>206</v>
      </c>
      <c r="L62" s="1">
        <f t="shared" si="15"/>
        <v>-3</v>
      </c>
      <c r="M62" s="1"/>
      <c r="N62" s="1"/>
      <c r="O62" s="1">
        <v>63.400000000000027</v>
      </c>
      <c r="P62" s="25"/>
      <c r="Q62" s="1">
        <f t="shared" si="16"/>
        <v>40.6</v>
      </c>
      <c r="R62" s="5">
        <f t="shared" si="20"/>
        <v>152.19999999999999</v>
      </c>
      <c r="S62" s="5">
        <f t="shared" si="10"/>
        <v>152.19999999999999</v>
      </c>
      <c r="T62" s="19"/>
      <c r="U62" s="1">
        <f t="shared" si="8"/>
        <v>11</v>
      </c>
      <c r="V62" s="1">
        <f t="shared" si="18"/>
        <v>7.251231527093597</v>
      </c>
      <c r="W62" s="1">
        <v>37.6</v>
      </c>
      <c r="X62" s="1">
        <v>34</v>
      </c>
      <c r="Y62" s="1">
        <v>46</v>
      </c>
      <c r="Z62" s="1">
        <v>42.2</v>
      </c>
      <c r="AA62" s="1">
        <v>26</v>
      </c>
      <c r="AB62" s="1">
        <v>19</v>
      </c>
      <c r="AC62" s="1">
        <v>26.4</v>
      </c>
      <c r="AD62" s="1">
        <v>35</v>
      </c>
      <c r="AE62" s="1">
        <v>34.4</v>
      </c>
      <c r="AF62" s="1">
        <v>28.6</v>
      </c>
      <c r="AG62" s="1"/>
      <c r="AH62" s="1">
        <f t="shared" si="9"/>
        <v>15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100</v>
      </c>
      <c r="B63" s="1" t="s">
        <v>40</v>
      </c>
      <c r="C63" s="1">
        <v>379</v>
      </c>
      <c r="D63" s="1">
        <v>240</v>
      </c>
      <c r="E63" s="1">
        <v>297</v>
      </c>
      <c r="F63" s="1">
        <v>273</v>
      </c>
      <c r="G63" s="7">
        <v>0.4</v>
      </c>
      <c r="H63" s="1">
        <v>50</v>
      </c>
      <c r="I63" s="1" t="s">
        <v>36</v>
      </c>
      <c r="J63" s="1"/>
      <c r="K63" s="1">
        <v>319</v>
      </c>
      <c r="L63" s="1">
        <f t="shared" si="15"/>
        <v>-22</v>
      </c>
      <c r="M63" s="1"/>
      <c r="N63" s="1"/>
      <c r="O63" s="1">
        <v>131.1</v>
      </c>
      <c r="P63" s="25"/>
      <c r="Q63" s="1">
        <f t="shared" si="16"/>
        <v>59.4</v>
      </c>
      <c r="R63" s="5">
        <f t="shared" si="20"/>
        <v>249.29999999999995</v>
      </c>
      <c r="S63" s="5">
        <f t="shared" si="10"/>
        <v>249.29999999999995</v>
      </c>
      <c r="T63" s="19"/>
      <c r="U63" s="1">
        <f t="shared" si="8"/>
        <v>11</v>
      </c>
      <c r="V63" s="1">
        <f t="shared" si="18"/>
        <v>6.8030303030303036</v>
      </c>
      <c r="W63" s="1">
        <v>52.2</v>
      </c>
      <c r="X63" s="1">
        <v>41</v>
      </c>
      <c r="Y63" s="1">
        <v>60.6</v>
      </c>
      <c r="Z63" s="1">
        <v>49.4</v>
      </c>
      <c r="AA63" s="1">
        <v>42.6</v>
      </c>
      <c r="AB63" s="1">
        <v>47.8</v>
      </c>
      <c r="AC63" s="1">
        <v>52.2</v>
      </c>
      <c r="AD63" s="1">
        <v>44.4</v>
      </c>
      <c r="AE63" s="1">
        <v>44</v>
      </c>
      <c r="AF63" s="1">
        <v>44</v>
      </c>
      <c r="AG63" s="1"/>
      <c r="AH63" s="1">
        <f t="shared" si="9"/>
        <v>100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101</v>
      </c>
      <c r="B64" s="1" t="s">
        <v>35</v>
      </c>
      <c r="C64" s="1">
        <v>94.394999999999996</v>
      </c>
      <c r="D64" s="1">
        <v>135.16200000000001</v>
      </c>
      <c r="E64" s="1">
        <v>95.186999999999998</v>
      </c>
      <c r="F64" s="1">
        <v>133.02500000000001</v>
      </c>
      <c r="G64" s="7">
        <v>1</v>
      </c>
      <c r="H64" s="1">
        <v>40</v>
      </c>
      <c r="I64" s="1" t="s">
        <v>36</v>
      </c>
      <c r="J64" s="1"/>
      <c r="K64" s="1">
        <v>146</v>
      </c>
      <c r="L64" s="1">
        <f t="shared" si="15"/>
        <v>-50.813000000000002</v>
      </c>
      <c r="M64" s="1"/>
      <c r="N64" s="1"/>
      <c r="O64" s="1">
        <v>73.716200000000001</v>
      </c>
      <c r="P64" s="25"/>
      <c r="Q64" s="1">
        <f t="shared" si="16"/>
        <v>19.037399999999998</v>
      </c>
      <c r="R64" s="5">
        <v>4</v>
      </c>
      <c r="S64" s="5">
        <v>450</v>
      </c>
      <c r="T64" s="19">
        <v>450</v>
      </c>
      <c r="U64" s="1">
        <f t="shared" si="8"/>
        <v>34.497420866294767</v>
      </c>
      <c r="V64" s="1">
        <f t="shared" si="18"/>
        <v>10.859739250107683</v>
      </c>
      <c r="W64" s="1">
        <v>20.474399999999999</v>
      </c>
      <c r="X64" s="1">
        <v>10.922000000000001</v>
      </c>
      <c r="Y64" s="1">
        <v>10.8414</v>
      </c>
      <c r="Z64" s="1">
        <v>9.9244000000000003</v>
      </c>
      <c r="AA64" s="1">
        <v>8.3956</v>
      </c>
      <c r="AB64" s="1">
        <v>9.6593999999999998</v>
      </c>
      <c r="AC64" s="1">
        <v>9.9038000000000004</v>
      </c>
      <c r="AD64" s="1">
        <v>9.5695999999999994</v>
      </c>
      <c r="AE64" s="1">
        <v>6.2734000000000014</v>
      </c>
      <c r="AF64" s="1">
        <v>4.3106</v>
      </c>
      <c r="AG64" s="1" t="s">
        <v>102</v>
      </c>
      <c r="AH64" s="1">
        <f t="shared" si="9"/>
        <v>450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103</v>
      </c>
      <c r="B65" s="1" t="s">
        <v>35</v>
      </c>
      <c r="C65" s="1"/>
      <c r="D65" s="1">
        <v>119.27</v>
      </c>
      <c r="E65" s="1"/>
      <c r="F65" s="1">
        <v>117.925</v>
      </c>
      <c r="G65" s="7">
        <v>1</v>
      </c>
      <c r="H65" s="1">
        <v>40</v>
      </c>
      <c r="I65" s="1" t="s">
        <v>36</v>
      </c>
      <c r="J65" s="1"/>
      <c r="K65" s="1">
        <v>2.7</v>
      </c>
      <c r="L65" s="1">
        <f t="shared" si="15"/>
        <v>-2.7</v>
      </c>
      <c r="M65" s="1"/>
      <c r="N65" s="1"/>
      <c r="O65" s="1">
        <v>0</v>
      </c>
      <c r="P65" s="25"/>
      <c r="Q65" s="1">
        <f t="shared" si="16"/>
        <v>0</v>
      </c>
      <c r="R65" s="5"/>
      <c r="S65" s="5">
        <v>450</v>
      </c>
      <c r="T65" s="19">
        <v>450</v>
      </c>
      <c r="U65" s="1" t="e">
        <f t="shared" si="8"/>
        <v>#DIV/0!</v>
      </c>
      <c r="V65" s="1" t="e">
        <f t="shared" si="18"/>
        <v>#DIV/0!</v>
      </c>
      <c r="W65" s="1">
        <v>0</v>
      </c>
      <c r="X65" s="1">
        <v>0.27239999999999998</v>
      </c>
      <c r="Y65" s="1">
        <v>0.27239999999999998</v>
      </c>
      <c r="Z65" s="1">
        <v>0</v>
      </c>
      <c r="AA65" s="1">
        <v>0</v>
      </c>
      <c r="AB65" s="1">
        <v>0</v>
      </c>
      <c r="AC65" s="1">
        <v>0</v>
      </c>
      <c r="AD65" s="1">
        <v>0.27100000000000002</v>
      </c>
      <c r="AE65" s="1">
        <v>0</v>
      </c>
      <c r="AF65" s="1">
        <v>0</v>
      </c>
      <c r="AG65" s="1" t="s">
        <v>102</v>
      </c>
      <c r="AH65" s="1">
        <f t="shared" si="9"/>
        <v>450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104</v>
      </c>
      <c r="B66" s="1" t="s">
        <v>40</v>
      </c>
      <c r="C66" s="1">
        <v>863</v>
      </c>
      <c r="D66" s="1">
        <v>1608</v>
      </c>
      <c r="E66" s="1">
        <v>903</v>
      </c>
      <c r="F66" s="1">
        <v>1429</v>
      </c>
      <c r="G66" s="7">
        <v>0.4</v>
      </c>
      <c r="H66" s="1">
        <v>40</v>
      </c>
      <c r="I66" s="1" t="s">
        <v>36</v>
      </c>
      <c r="J66" s="1"/>
      <c r="K66" s="1">
        <v>966</v>
      </c>
      <c r="L66" s="1">
        <f t="shared" si="15"/>
        <v>-63</v>
      </c>
      <c r="M66" s="1"/>
      <c r="N66" s="1"/>
      <c r="O66" s="1">
        <v>182.952</v>
      </c>
      <c r="P66" s="25"/>
      <c r="Q66" s="1">
        <f t="shared" si="16"/>
        <v>180.6</v>
      </c>
      <c r="R66" s="5">
        <f t="shared" si="20"/>
        <v>374.64799999999991</v>
      </c>
      <c r="S66" s="5">
        <f>R66+Q66*$S$1</f>
        <v>699.72799999999984</v>
      </c>
      <c r="T66" s="19"/>
      <c r="U66" s="1">
        <f t="shared" si="8"/>
        <v>12.799999999999999</v>
      </c>
      <c r="V66" s="1">
        <f t="shared" si="18"/>
        <v>8.9255370985603548</v>
      </c>
      <c r="W66" s="1">
        <v>186.2</v>
      </c>
      <c r="X66" s="1">
        <v>159.19999999999999</v>
      </c>
      <c r="Y66" s="1">
        <v>162.80000000000001</v>
      </c>
      <c r="Z66" s="1">
        <v>187.4</v>
      </c>
      <c r="AA66" s="1">
        <v>170.2</v>
      </c>
      <c r="AB66" s="1">
        <v>152.4</v>
      </c>
      <c r="AC66" s="1">
        <v>164.8</v>
      </c>
      <c r="AD66" s="1">
        <v>173.8</v>
      </c>
      <c r="AE66" s="1">
        <v>160</v>
      </c>
      <c r="AF66" s="1">
        <v>166</v>
      </c>
      <c r="AG66" s="1"/>
      <c r="AH66" s="1">
        <f t="shared" si="9"/>
        <v>280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105</v>
      </c>
      <c r="B67" s="1" t="s">
        <v>40</v>
      </c>
      <c r="C67" s="1">
        <v>13</v>
      </c>
      <c r="D67" s="1">
        <v>300</v>
      </c>
      <c r="E67" s="1">
        <v>11</v>
      </c>
      <c r="F67" s="1">
        <v>304</v>
      </c>
      <c r="G67" s="7">
        <v>0.4</v>
      </c>
      <c r="H67" s="1">
        <v>40</v>
      </c>
      <c r="I67" s="13" t="s">
        <v>62</v>
      </c>
      <c r="J67" s="1"/>
      <c r="K67" s="1">
        <v>589</v>
      </c>
      <c r="L67" s="1">
        <f t="shared" si="15"/>
        <v>-578</v>
      </c>
      <c r="M67" s="1"/>
      <c r="N67" s="1"/>
      <c r="O67" s="1">
        <v>300</v>
      </c>
      <c r="P67" s="25"/>
      <c r="Q67" s="1">
        <f t="shared" si="16"/>
        <v>2.2000000000000002</v>
      </c>
      <c r="R67" s="14">
        <v>300</v>
      </c>
      <c r="S67" s="5">
        <f t="shared" si="10"/>
        <v>300</v>
      </c>
      <c r="T67" s="21"/>
      <c r="U67" s="1">
        <f t="shared" si="8"/>
        <v>410.90909090909088</v>
      </c>
      <c r="V67" s="1">
        <f t="shared" si="18"/>
        <v>274.5454545454545</v>
      </c>
      <c r="W67" s="1">
        <v>1</v>
      </c>
      <c r="X67" s="1">
        <v>50.2</v>
      </c>
      <c r="Y67" s="1">
        <v>102</v>
      </c>
      <c r="Z67" s="1">
        <v>140.80000000000001</v>
      </c>
      <c r="AA67" s="1">
        <v>123.2</v>
      </c>
      <c r="AB67" s="1">
        <v>116.8</v>
      </c>
      <c r="AC67" s="1">
        <v>135.4</v>
      </c>
      <c r="AD67" s="1">
        <v>128.80000000000001</v>
      </c>
      <c r="AE67" s="1">
        <v>117.6</v>
      </c>
      <c r="AF67" s="1">
        <v>112</v>
      </c>
      <c r="AG67" s="1"/>
      <c r="AH67" s="1">
        <f t="shared" si="9"/>
        <v>120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106</v>
      </c>
      <c r="B68" s="1" t="s">
        <v>35</v>
      </c>
      <c r="C68" s="1">
        <v>551.72</v>
      </c>
      <c r="D68" s="1">
        <v>163.661</v>
      </c>
      <c r="E68" s="1">
        <v>289.16899999999998</v>
      </c>
      <c r="F68" s="1">
        <v>379.74400000000003</v>
      </c>
      <c r="G68" s="7">
        <v>1</v>
      </c>
      <c r="H68" s="1">
        <v>40</v>
      </c>
      <c r="I68" s="1" t="s">
        <v>36</v>
      </c>
      <c r="J68" s="1"/>
      <c r="K68" s="1">
        <v>278</v>
      </c>
      <c r="L68" s="1">
        <f t="shared" si="15"/>
        <v>11.168999999999983</v>
      </c>
      <c r="M68" s="1"/>
      <c r="N68" s="1"/>
      <c r="O68" s="1">
        <v>75.094666000000075</v>
      </c>
      <c r="P68" s="25"/>
      <c r="Q68" s="1">
        <f t="shared" si="16"/>
        <v>57.833799999999997</v>
      </c>
      <c r="R68" s="5">
        <f t="shared" si="20"/>
        <v>181.33313399999986</v>
      </c>
      <c r="S68" s="5">
        <f t="shared" si="10"/>
        <v>181.33313399999986</v>
      </c>
      <c r="T68" s="19"/>
      <c r="U68" s="1">
        <f t="shared" si="8"/>
        <v>11</v>
      </c>
      <c r="V68" s="1">
        <f t="shared" si="18"/>
        <v>7.8645820610093082</v>
      </c>
      <c r="W68" s="1">
        <v>55.1432</v>
      </c>
      <c r="X68" s="1">
        <v>54.483400000000003</v>
      </c>
      <c r="Y68" s="1">
        <v>59.456200000000003</v>
      </c>
      <c r="Z68" s="1">
        <v>60.828000000000003</v>
      </c>
      <c r="AA68" s="1">
        <v>57.925600000000003</v>
      </c>
      <c r="AB68" s="1">
        <v>62.245600000000003</v>
      </c>
      <c r="AC68" s="1">
        <v>58.9818</v>
      </c>
      <c r="AD68" s="1">
        <v>54.386400000000002</v>
      </c>
      <c r="AE68" s="1">
        <v>55.517999999999986</v>
      </c>
      <c r="AF68" s="1">
        <v>56.362400000000001</v>
      </c>
      <c r="AG68" s="1"/>
      <c r="AH68" s="1">
        <f t="shared" si="9"/>
        <v>181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107</v>
      </c>
      <c r="B69" s="1" t="s">
        <v>35</v>
      </c>
      <c r="C69" s="1">
        <v>583.07500000000005</v>
      </c>
      <c r="D69" s="1">
        <v>538.94600000000003</v>
      </c>
      <c r="E69" s="1">
        <v>444.399</v>
      </c>
      <c r="F69" s="1">
        <v>630.70500000000004</v>
      </c>
      <c r="G69" s="7">
        <v>1</v>
      </c>
      <c r="H69" s="1">
        <v>40</v>
      </c>
      <c r="I69" s="1" t="s">
        <v>36</v>
      </c>
      <c r="J69" s="1"/>
      <c r="K69" s="1">
        <v>439.15</v>
      </c>
      <c r="L69" s="1">
        <f t="shared" si="15"/>
        <v>5.2490000000000236</v>
      </c>
      <c r="M69" s="1"/>
      <c r="N69" s="1"/>
      <c r="O69" s="1">
        <v>197.86857199999989</v>
      </c>
      <c r="P69" s="25"/>
      <c r="Q69" s="1">
        <f t="shared" si="16"/>
        <v>88.879800000000003</v>
      </c>
      <c r="R69" s="5">
        <f t="shared" si="20"/>
        <v>149.10422800000015</v>
      </c>
      <c r="S69" s="5">
        <f>R69+Q69*$S$1</f>
        <v>309.08786800000019</v>
      </c>
      <c r="T69" s="19"/>
      <c r="U69" s="1">
        <f t="shared" si="8"/>
        <v>12.8</v>
      </c>
      <c r="V69" s="1">
        <f t="shared" si="18"/>
        <v>9.3224059010033766</v>
      </c>
      <c r="W69" s="1">
        <v>87.743600000000001</v>
      </c>
      <c r="X69" s="1">
        <v>69.691200000000009</v>
      </c>
      <c r="Y69" s="1">
        <v>74.162400000000005</v>
      </c>
      <c r="Z69" s="1">
        <v>74.625</v>
      </c>
      <c r="AA69" s="1">
        <v>66.962000000000003</v>
      </c>
      <c r="AB69" s="1">
        <v>73.197400000000002</v>
      </c>
      <c r="AC69" s="1">
        <v>65.809600000000003</v>
      </c>
      <c r="AD69" s="1">
        <v>65.876199999999997</v>
      </c>
      <c r="AE69" s="1">
        <v>82.411199999999994</v>
      </c>
      <c r="AF69" s="1">
        <v>48.477800000000002</v>
      </c>
      <c r="AG69" s="1"/>
      <c r="AH69" s="1">
        <f t="shared" si="9"/>
        <v>309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108</v>
      </c>
      <c r="B70" s="1" t="s">
        <v>35</v>
      </c>
      <c r="C70" s="1">
        <v>954.173</v>
      </c>
      <c r="D70" s="1">
        <v>1647.704</v>
      </c>
      <c r="E70" s="1">
        <v>686.47900000000004</v>
      </c>
      <c r="F70" s="1">
        <v>1805.1790000000001</v>
      </c>
      <c r="G70" s="7">
        <v>1</v>
      </c>
      <c r="H70" s="1">
        <v>40</v>
      </c>
      <c r="I70" s="1" t="s">
        <v>36</v>
      </c>
      <c r="J70" s="1"/>
      <c r="K70" s="1">
        <v>659.25</v>
      </c>
      <c r="L70" s="1">
        <f t="shared" ref="L70:L101" si="21">E70-K70</f>
        <v>27.229000000000042</v>
      </c>
      <c r="M70" s="1"/>
      <c r="N70" s="1"/>
      <c r="O70" s="1">
        <v>0</v>
      </c>
      <c r="P70" s="25"/>
      <c r="Q70" s="1">
        <f t="shared" ref="Q70:Q101" si="22">E70/5</f>
        <v>137.29580000000001</v>
      </c>
      <c r="R70" s="5"/>
      <c r="S70" s="5">
        <f t="shared" si="10"/>
        <v>0</v>
      </c>
      <c r="T70" s="19"/>
      <c r="U70" s="1">
        <f t="shared" si="8"/>
        <v>13.148100670231718</v>
      </c>
      <c r="V70" s="1">
        <f t="shared" ref="V70:V101" si="23">(F70+O70)/Q70</f>
        <v>13.148100670231718</v>
      </c>
      <c r="W70" s="1">
        <v>137.2748</v>
      </c>
      <c r="X70" s="1">
        <v>175.5292</v>
      </c>
      <c r="Y70" s="1">
        <v>172.87260000000001</v>
      </c>
      <c r="Z70" s="1">
        <v>159.3614</v>
      </c>
      <c r="AA70" s="1">
        <v>169.21940000000001</v>
      </c>
      <c r="AB70" s="1">
        <v>161.20079999999999</v>
      </c>
      <c r="AC70" s="1">
        <v>159.1652</v>
      </c>
      <c r="AD70" s="1">
        <v>160.1902</v>
      </c>
      <c r="AE70" s="1">
        <v>149.44159999999999</v>
      </c>
      <c r="AF70" s="1">
        <v>190.0198</v>
      </c>
      <c r="AG70" s="1"/>
      <c r="AH70" s="1">
        <f t="shared" si="9"/>
        <v>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109</v>
      </c>
      <c r="B71" s="1" t="s">
        <v>35</v>
      </c>
      <c r="C71" s="1">
        <v>390.37</v>
      </c>
      <c r="D71" s="1">
        <v>234.107</v>
      </c>
      <c r="E71" s="1">
        <v>228.40799999999999</v>
      </c>
      <c r="F71" s="1">
        <v>360.73099999999999</v>
      </c>
      <c r="G71" s="7">
        <v>1</v>
      </c>
      <c r="H71" s="1">
        <v>40</v>
      </c>
      <c r="I71" s="1" t="s">
        <v>36</v>
      </c>
      <c r="J71" s="1"/>
      <c r="K71" s="1">
        <v>227.2</v>
      </c>
      <c r="L71" s="1">
        <f t="shared" si="21"/>
        <v>1.2079999999999984</v>
      </c>
      <c r="M71" s="1"/>
      <c r="N71" s="1"/>
      <c r="O71" s="1">
        <v>19.839700000000111</v>
      </c>
      <c r="P71" s="25"/>
      <c r="Q71" s="1">
        <f t="shared" si="22"/>
        <v>45.681599999999996</v>
      </c>
      <c r="R71" s="5">
        <f t="shared" si="20"/>
        <v>121.92689999999988</v>
      </c>
      <c r="S71" s="5">
        <f t="shared" ref="S71:S134" si="24">R71</f>
        <v>121.92689999999988</v>
      </c>
      <c r="T71" s="19"/>
      <c r="U71" s="1">
        <f t="shared" ref="U71:U134" si="25">(F71+O71+S71+P71)/Q71</f>
        <v>11</v>
      </c>
      <c r="V71" s="1">
        <f t="shared" si="23"/>
        <v>8.3309406850898426</v>
      </c>
      <c r="W71" s="1">
        <v>44.385399999999997</v>
      </c>
      <c r="X71" s="1">
        <v>47.916400000000003</v>
      </c>
      <c r="Y71" s="1">
        <v>52.795399999999987</v>
      </c>
      <c r="Z71" s="1">
        <v>48.722799999999999</v>
      </c>
      <c r="AA71" s="1">
        <v>50.617800000000003</v>
      </c>
      <c r="AB71" s="1">
        <v>59.919400000000003</v>
      </c>
      <c r="AC71" s="1">
        <v>55.928999999999988</v>
      </c>
      <c r="AD71" s="1">
        <v>43.223999999999997</v>
      </c>
      <c r="AE71" s="1">
        <v>44.775199999999998</v>
      </c>
      <c r="AF71" s="1">
        <v>49.704599999999999</v>
      </c>
      <c r="AG71" s="1"/>
      <c r="AH71" s="1">
        <f t="shared" ref="AH71:AH134" si="26">ROUND(G71*S71,0)</f>
        <v>122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110</v>
      </c>
      <c r="B72" s="1" t="s">
        <v>40</v>
      </c>
      <c r="C72" s="1">
        <v>16</v>
      </c>
      <c r="D72" s="1">
        <v>8</v>
      </c>
      <c r="E72" s="1">
        <v>6</v>
      </c>
      <c r="F72" s="1">
        <v>18</v>
      </c>
      <c r="G72" s="7">
        <v>0.6</v>
      </c>
      <c r="H72" s="1">
        <v>70</v>
      </c>
      <c r="I72" s="1" t="s">
        <v>36</v>
      </c>
      <c r="J72" s="1"/>
      <c r="K72" s="1">
        <v>9</v>
      </c>
      <c r="L72" s="1">
        <f t="shared" si="21"/>
        <v>-3</v>
      </c>
      <c r="M72" s="1"/>
      <c r="N72" s="1"/>
      <c r="O72" s="1">
        <v>0</v>
      </c>
      <c r="P72" s="25"/>
      <c r="Q72" s="1">
        <f t="shared" si="22"/>
        <v>1.2</v>
      </c>
      <c r="R72" s="5"/>
      <c r="S72" s="5">
        <f t="shared" si="24"/>
        <v>0</v>
      </c>
      <c r="T72" s="19"/>
      <c r="U72" s="1">
        <f t="shared" si="25"/>
        <v>15</v>
      </c>
      <c r="V72" s="1">
        <f t="shared" si="23"/>
        <v>15</v>
      </c>
      <c r="W72" s="1">
        <v>0.4</v>
      </c>
      <c r="X72" s="1">
        <v>1.2</v>
      </c>
      <c r="Y72" s="1">
        <v>2</v>
      </c>
      <c r="Z72" s="1">
        <v>2</v>
      </c>
      <c r="AA72" s="1">
        <v>0.8</v>
      </c>
      <c r="AB72" s="1">
        <v>0.8</v>
      </c>
      <c r="AC72" s="1">
        <v>1</v>
      </c>
      <c r="AD72" s="1">
        <v>0.8</v>
      </c>
      <c r="AE72" s="1">
        <v>1.4</v>
      </c>
      <c r="AF72" s="1">
        <v>1.8</v>
      </c>
      <c r="AG72" s="1"/>
      <c r="AH72" s="1">
        <f t="shared" si="26"/>
        <v>0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111</v>
      </c>
      <c r="B73" s="1" t="s">
        <v>35</v>
      </c>
      <c r="C73" s="1">
        <v>414.50200000000001</v>
      </c>
      <c r="D73" s="1">
        <v>765.35</v>
      </c>
      <c r="E73" s="1">
        <v>289.024</v>
      </c>
      <c r="F73" s="1">
        <v>813.58</v>
      </c>
      <c r="G73" s="7">
        <v>1</v>
      </c>
      <c r="H73" s="1">
        <v>30</v>
      </c>
      <c r="I73" s="1" t="s">
        <v>36</v>
      </c>
      <c r="J73" s="1"/>
      <c r="K73" s="1">
        <v>324.38</v>
      </c>
      <c r="L73" s="1">
        <f t="shared" si="21"/>
        <v>-35.355999999999995</v>
      </c>
      <c r="M73" s="1"/>
      <c r="N73" s="1"/>
      <c r="O73" s="1">
        <v>0</v>
      </c>
      <c r="P73" s="25"/>
      <c r="Q73" s="1">
        <f t="shared" si="22"/>
        <v>57.8048</v>
      </c>
      <c r="R73" s="5"/>
      <c r="S73" s="5">
        <f t="shared" si="24"/>
        <v>0</v>
      </c>
      <c r="T73" s="19"/>
      <c r="U73" s="1">
        <f t="shared" si="25"/>
        <v>14.074609720992029</v>
      </c>
      <c r="V73" s="1">
        <f t="shared" si="23"/>
        <v>14.074609720992029</v>
      </c>
      <c r="W73" s="1">
        <v>60.2044</v>
      </c>
      <c r="X73" s="1">
        <v>77.722000000000008</v>
      </c>
      <c r="Y73" s="1">
        <v>80.553599999999989</v>
      </c>
      <c r="Z73" s="1">
        <v>64.354600000000005</v>
      </c>
      <c r="AA73" s="1">
        <v>60.799799999999998</v>
      </c>
      <c r="AB73" s="1">
        <v>58.539200000000008</v>
      </c>
      <c r="AC73" s="1">
        <v>62.701199999999993</v>
      </c>
      <c r="AD73" s="1">
        <v>68.597200000000001</v>
      </c>
      <c r="AE73" s="1">
        <v>68.655000000000001</v>
      </c>
      <c r="AF73" s="1">
        <v>75.647000000000006</v>
      </c>
      <c r="AG73" s="1"/>
      <c r="AH73" s="1">
        <f t="shared" si="26"/>
        <v>0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112</v>
      </c>
      <c r="B74" s="1" t="s">
        <v>40</v>
      </c>
      <c r="C74" s="1">
        <v>217</v>
      </c>
      <c r="D74" s="1">
        <v>112</v>
      </c>
      <c r="E74" s="1">
        <v>117</v>
      </c>
      <c r="F74" s="1">
        <v>194</v>
      </c>
      <c r="G74" s="7">
        <v>0.6</v>
      </c>
      <c r="H74" s="1">
        <v>60</v>
      </c>
      <c r="I74" s="1" t="s">
        <v>36</v>
      </c>
      <c r="J74" s="1"/>
      <c r="K74" s="1">
        <v>123</v>
      </c>
      <c r="L74" s="1">
        <f t="shared" si="21"/>
        <v>-6</v>
      </c>
      <c r="M74" s="1"/>
      <c r="N74" s="1"/>
      <c r="O74" s="1">
        <v>28.699999999999989</v>
      </c>
      <c r="P74" s="25"/>
      <c r="Q74" s="1">
        <f t="shared" si="22"/>
        <v>23.4</v>
      </c>
      <c r="R74" s="5">
        <f t="shared" si="20"/>
        <v>34.699999999999989</v>
      </c>
      <c r="S74" s="5">
        <f t="shared" si="24"/>
        <v>34.699999999999989</v>
      </c>
      <c r="T74" s="19"/>
      <c r="U74" s="1">
        <f t="shared" si="25"/>
        <v>11</v>
      </c>
      <c r="V74" s="1">
        <f t="shared" si="23"/>
        <v>9.517094017094017</v>
      </c>
      <c r="W74" s="1">
        <v>25.4</v>
      </c>
      <c r="X74" s="1">
        <v>18.600000000000001</v>
      </c>
      <c r="Y74" s="1">
        <v>32.6</v>
      </c>
      <c r="Z74" s="1">
        <v>24.6</v>
      </c>
      <c r="AA74" s="1">
        <v>15</v>
      </c>
      <c r="AB74" s="1">
        <v>22.8</v>
      </c>
      <c r="AC74" s="1">
        <v>22.4</v>
      </c>
      <c r="AD74" s="1">
        <v>20.6</v>
      </c>
      <c r="AE74" s="1">
        <v>18.399999999999999</v>
      </c>
      <c r="AF74" s="1">
        <v>20</v>
      </c>
      <c r="AG74" s="1"/>
      <c r="AH74" s="1">
        <f t="shared" si="26"/>
        <v>21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113</v>
      </c>
      <c r="B75" s="1" t="s">
        <v>40</v>
      </c>
      <c r="C75" s="1">
        <v>83</v>
      </c>
      <c r="D75" s="1"/>
      <c r="E75" s="1">
        <v>27</v>
      </c>
      <c r="F75" s="1">
        <v>56</v>
      </c>
      <c r="G75" s="7">
        <v>0.6</v>
      </c>
      <c r="H75" s="1">
        <v>60</v>
      </c>
      <c r="I75" s="1" t="s">
        <v>36</v>
      </c>
      <c r="J75" s="1"/>
      <c r="K75" s="1">
        <v>27</v>
      </c>
      <c r="L75" s="1">
        <f t="shared" si="21"/>
        <v>0</v>
      </c>
      <c r="M75" s="1"/>
      <c r="N75" s="1"/>
      <c r="O75" s="1">
        <v>0</v>
      </c>
      <c r="P75" s="25"/>
      <c r="Q75" s="1">
        <f t="shared" si="22"/>
        <v>5.4</v>
      </c>
      <c r="R75" s="5">
        <v>6</v>
      </c>
      <c r="S75" s="5">
        <f t="shared" si="24"/>
        <v>6</v>
      </c>
      <c r="T75" s="19"/>
      <c r="U75" s="1">
        <f t="shared" si="25"/>
        <v>11.481481481481481</v>
      </c>
      <c r="V75" s="1">
        <f t="shared" si="23"/>
        <v>10.37037037037037</v>
      </c>
      <c r="W75" s="1">
        <v>4.4000000000000004</v>
      </c>
      <c r="X75" s="1">
        <v>4</v>
      </c>
      <c r="Y75" s="1">
        <v>5.4</v>
      </c>
      <c r="Z75" s="1">
        <v>5.8</v>
      </c>
      <c r="AA75" s="1">
        <v>4.2</v>
      </c>
      <c r="AB75" s="1">
        <v>4.4000000000000004</v>
      </c>
      <c r="AC75" s="1">
        <v>7.2</v>
      </c>
      <c r="AD75" s="1">
        <v>6.4</v>
      </c>
      <c r="AE75" s="1">
        <v>5.6</v>
      </c>
      <c r="AF75" s="1">
        <v>5.6</v>
      </c>
      <c r="AG75" s="1"/>
      <c r="AH75" s="1">
        <f t="shared" si="26"/>
        <v>4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114</v>
      </c>
      <c r="B76" s="1" t="s">
        <v>40</v>
      </c>
      <c r="C76" s="1">
        <v>192</v>
      </c>
      <c r="D76" s="1">
        <v>56</v>
      </c>
      <c r="E76" s="1">
        <v>103</v>
      </c>
      <c r="F76" s="1">
        <v>135</v>
      </c>
      <c r="G76" s="7">
        <v>0.4</v>
      </c>
      <c r="H76" s="1">
        <v>90</v>
      </c>
      <c r="I76" s="1" t="s">
        <v>36</v>
      </c>
      <c r="J76" s="1"/>
      <c r="K76" s="1">
        <v>104</v>
      </c>
      <c r="L76" s="1">
        <f t="shared" si="21"/>
        <v>-1</v>
      </c>
      <c r="M76" s="1"/>
      <c r="N76" s="1"/>
      <c r="O76" s="1">
        <v>54.499999999999972</v>
      </c>
      <c r="P76" s="25"/>
      <c r="Q76" s="1">
        <f t="shared" si="22"/>
        <v>20.6</v>
      </c>
      <c r="R76" s="5">
        <f t="shared" si="20"/>
        <v>37.100000000000051</v>
      </c>
      <c r="S76" s="5">
        <f t="shared" si="24"/>
        <v>37.100000000000051</v>
      </c>
      <c r="T76" s="19"/>
      <c r="U76" s="1">
        <f t="shared" si="25"/>
        <v>11</v>
      </c>
      <c r="V76" s="1">
        <f t="shared" si="23"/>
        <v>9.1990291262135901</v>
      </c>
      <c r="W76" s="1">
        <v>22.2</v>
      </c>
      <c r="X76" s="1">
        <v>19.8</v>
      </c>
      <c r="Y76" s="1">
        <v>15.6</v>
      </c>
      <c r="Z76" s="1">
        <v>17.8</v>
      </c>
      <c r="AA76" s="1">
        <v>17.2</v>
      </c>
      <c r="AB76" s="1">
        <v>22.6</v>
      </c>
      <c r="AC76" s="1">
        <v>24.6</v>
      </c>
      <c r="AD76" s="1">
        <v>23.8</v>
      </c>
      <c r="AE76" s="1">
        <v>22.8</v>
      </c>
      <c r="AF76" s="1">
        <v>18.8</v>
      </c>
      <c r="AG76" s="1"/>
      <c r="AH76" s="1">
        <f t="shared" si="26"/>
        <v>15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115</v>
      </c>
      <c r="B77" s="1" t="s">
        <v>40</v>
      </c>
      <c r="C77" s="1">
        <v>215</v>
      </c>
      <c r="D77" s="1">
        <v>88</v>
      </c>
      <c r="E77" s="1">
        <v>145</v>
      </c>
      <c r="F77" s="1">
        <v>138</v>
      </c>
      <c r="G77" s="7">
        <v>0.33</v>
      </c>
      <c r="H77" s="1">
        <v>60</v>
      </c>
      <c r="I77" s="1" t="s">
        <v>36</v>
      </c>
      <c r="J77" s="1"/>
      <c r="K77" s="1">
        <v>146</v>
      </c>
      <c r="L77" s="1">
        <f t="shared" si="21"/>
        <v>-1</v>
      </c>
      <c r="M77" s="1"/>
      <c r="N77" s="1"/>
      <c r="O77" s="1">
        <v>85.300000000000011</v>
      </c>
      <c r="P77" s="25"/>
      <c r="Q77" s="1">
        <f t="shared" si="22"/>
        <v>29</v>
      </c>
      <c r="R77" s="5">
        <f t="shared" si="20"/>
        <v>95.699999999999989</v>
      </c>
      <c r="S77" s="5">
        <f t="shared" si="24"/>
        <v>95.699999999999989</v>
      </c>
      <c r="T77" s="19"/>
      <c r="U77" s="1">
        <f t="shared" si="25"/>
        <v>11</v>
      </c>
      <c r="V77" s="1">
        <f t="shared" si="23"/>
        <v>7.7</v>
      </c>
      <c r="W77" s="1">
        <v>28.6</v>
      </c>
      <c r="X77" s="1">
        <v>23</v>
      </c>
      <c r="Y77" s="1">
        <v>19.2</v>
      </c>
      <c r="Z77" s="1">
        <v>26</v>
      </c>
      <c r="AA77" s="1">
        <v>23.8</v>
      </c>
      <c r="AB77" s="1">
        <v>24.6</v>
      </c>
      <c r="AC77" s="1">
        <v>25.2</v>
      </c>
      <c r="AD77" s="1">
        <v>29</v>
      </c>
      <c r="AE77" s="1">
        <v>31.6</v>
      </c>
      <c r="AF77" s="1">
        <v>21.4</v>
      </c>
      <c r="AG77" s="1"/>
      <c r="AH77" s="1">
        <f t="shared" si="26"/>
        <v>32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116</v>
      </c>
      <c r="B78" s="1" t="s">
        <v>40</v>
      </c>
      <c r="C78" s="1">
        <v>164</v>
      </c>
      <c r="D78" s="1">
        <v>80</v>
      </c>
      <c r="E78" s="1">
        <v>100</v>
      </c>
      <c r="F78" s="1">
        <v>132</v>
      </c>
      <c r="G78" s="7">
        <v>0.35</v>
      </c>
      <c r="H78" s="1">
        <v>90</v>
      </c>
      <c r="I78" s="1" t="s">
        <v>36</v>
      </c>
      <c r="J78" s="1"/>
      <c r="K78" s="1">
        <v>102</v>
      </c>
      <c r="L78" s="1">
        <f t="shared" si="21"/>
        <v>-2</v>
      </c>
      <c r="M78" s="1"/>
      <c r="N78" s="1"/>
      <c r="O78" s="1">
        <v>61.5</v>
      </c>
      <c r="P78" s="25"/>
      <c r="Q78" s="1">
        <f t="shared" si="22"/>
        <v>20</v>
      </c>
      <c r="R78" s="5">
        <f t="shared" si="20"/>
        <v>26.5</v>
      </c>
      <c r="S78" s="5">
        <f t="shared" si="24"/>
        <v>26.5</v>
      </c>
      <c r="T78" s="19"/>
      <c r="U78" s="1">
        <f t="shared" si="25"/>
        <v>11</v>
      </c>
      <c r="V78" s="1">
        <f t="shared" si="23"/>
        <v>9.6750000000000007</v>
      </c>
      <c r="W78" s="1">
        <v>23</v>
      </c>
      <c r="X78" s="1">
        <v>19</v>
      </c>
      <c r="Y78" s="1">
        <v>19.2</v>
      </c>
      <c r="Z78" s="1">
        <v>20.6</v>
      </c>
      <c r="AA78" s="1">
        <v>15.6</v>
      </c>
      <c r="AB78" s="1">
        <v>13.6</v>
      </c>
      <c r="AC78" s="1">
        <v>12.6</v>
      </c>
      <c r="AD78" s="1">
        <v>8.6</v>
      </c>
      <c r="AE78" s="1">
        <v>12.6</v>
      </c>
      <c r="AF78" s="1">
        <v>17</v>
      </c>
      <c r="AG78" s="1"/>
      <c r="AH78" s="1">
        <f t="shared" si="26"/>
        <v>9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117</v>
      </c>
      <c r="B79" s="1" t="s">
        <v>40</v>
      </c>
      <c r="C79" s="1">
        <v>561</v>
      </c>
      <c r="D79" s="1">
        <v>620</v>
      </c>
      <c r="E79" s="1">
        <v>441</v>
      </c>
      <c r="F79" s="1">
        <v>671</v>
      </c>
      <c r="G79" s="7">
        <v>0.37</v>
      </c>
      <c r="H79" s="1">
        <v>50</v>
      </c>
      <c r="I79" s="1" t="s">
        <v>36</v>
      </c>
      <c r="J79" s="1"/>
      <c r="K79" s="1">
        <v>459</v>
      </c>
      <c r="L79" s="1">
        <f t="shared" si="21"/>
        <v>-18</v>
      </c>
      <c r="M79" s="1"/>
      <c r="N79" s="1"/>
      <c r="O79" s="1">
        <v>0</v>
      </c>
      <c r="P79" s="25"/>
      <c r="Q79" s="1">
        <f t="shared" si="22"/>
        <v>88.2</v>
      </c>
      <c r="R79" s="5">
        <f t="shared" si="20"/>
        <v>299.20000000000005</v>
      </c>
      <c r="S79" s="5">
        <f>R79+Q79*$S$1</f>
        <v>457.96000000000004</v>
      </c>
      <c r="T79" s="19"/>
      <c r="U79" s="1">
        <f t="shared" si="25"/>
        <v>12.8</v>
      </c>
      <c r="V79" s="1">
        <f t="shared" si="23"/>
        <v>7.6077097505668929</v>
      </c>
      <c r="W79" s="1">
        <v>79.2</v>
      </c>
      <c r="X79" s="1">
        <v>78.2</v>
      </c>
      <c r="Y79" s="1">
        <v>97.8</v>
      </c>
      <c r="Z79" s="1">
        <v>89.2</v>
      </c>
      <c r="AA79" s="1">
        <v>84.6</v>
      </c>
      <c r="AB79" s="1">
        <v>103.8</v>
      </c>
      <c r="AC79" s="1">
        <v>109.6</v>
      </c>
      <c r="AD79" s="1">
        <v>106.2</v>
      </c>
      <c r="AE79" s="1">
        <v>107.6</v>
      </c>
      <c r="AF79" s="1">
        <v>106.8</v>
      </c>
      <c r="AG79" s="1"/>
      <c r="AH79" s="1">
        <f t="shared" si="26"/>
        <v>169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118</v>
      </c>
      <c r="B80" s="1" t="s">
        <v>40</v>
      </c>
      <c r="C80" s="1">
        <v>218</v>
      </c>
      <c r="D80" s="1">
        <v>56</v>
      </c>
      <c r="E80" s="1">
        <v>84</v>
      </c>
      <c r="F80" s="1">
        <v>176</v>
      </c>
      <c r="G80" s="7">
        <v>0.6</v>
      </c>
      <c r="H80" s="1">
        <v>70</v>
      </c>
      <c r="I80" s="1" t="s">
        <v>36</v>
      </c>
      <c r="J80" s="1"/>
      <c r="K80" s="1">
        <v>89</v>
      </c>
      <c r="L80" s="1">
        <f t="shared" si="21"/>
        <v>-5</v>
      </c>
      <c r="M80" s="1"/>
      <c r="N80" s="1"/>
      <c r="O80" s="1">
        <v>0</v>
      </c>
      <c r="P80" s="25"/>
      <c r="Q80" s="1">
        <f t="shared" si="22"/>
        <v>16.8</v>
      </c>
      <c r="R80" s="5">
        <f t="shared" si="20"/>
        <v>8.8000000000000114</v>
      </c>
      <c r="S80" s="5">
        <f t="shared" si="24"/>
        <v>8.8000000000000114</v>
      </c>
      <c r="T80" s="19"/>
      <c r="U80" s="1">
        <f t="shared" si="25"/>
        <v>11</v>
      </c>
      <c r="V80" s="1">
        <f t="shared" si="23"/>
        <v>10.476190476190476</v>
      </c>
      <c r="W80" s="1">
        <v>15.2</v>
      </c>
      <c r="X80" s="1">
        <v>20.8</v>
      </c>
      <c r="Y80" s="1">
        <v>25.2</v>
      </c>
      <c r="Z80" s="1">
        <v>23</v>
      </c>
      <c r="AA80" s="1">
        <v>22.2</v>
      </c>
      <c r="AB80" s="1">
        <v>20</v>
      </c>
      <c r="AC80" s="1">
        <v>24.4</v>
      </c>
      <c r="AD80" s="1">
        <v>23.6</v>
      </c>
      <c r="AE80" s="1">
        <v>16.2</v>
      </c>
      <c r="AF80" s="1">
        <v>17.600000000000001</v>
      </c>
      <c r="AG80" s="1"/>
      <c r="AH80" s="1">
        <f t="shared" si="26"/>
        <v>5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119</v>
      </c>
      <c r="B81" s="1" t="s">
        <v>40</v>
      </c>
      <c r="C81" s="1">
        <v>94</v>
      </c>
      <c r="D81" s="1"/>
      <c r="E81" s="1">
        <v>53</v>
      </c>
      <c r="F81" s="1">
        <v>33</v>
      </c>
      <c r="G81" s="7">
        <v>0.33</v>
      </c>
      <c r="H81" s="1">
        <v>40</v>
      </c>
      <c r="I81" s="1" t="s">
        <v>36</v>
      </c>
      <c r="J81" s="1"/>
      <c r="K81" s="1">
        <v>57</v>
      </c>
      <c r="L81" s="1">
        <f t="shared" si="21"/>
        <v>-4</v>
      </c>
      <c r="M81" s="1"/>
      <c r="N81" s="1"/>
      <c r="O81" s="1">
        <v>6.4999999999999858</v>
      </c>
      <c r="P81" s="25"/>
      <c r="Q81" s="1">
        <f t="shared" si="22"/>
        <v>10.6</v>
      </c>
      <c r="R81" s="5">
        <f>10*Q81-O81-F81</f>
        <v>66.500000000000014</v>
      </c>
      <c r="S81" s="5">
        <f t="shared" si="24"/>
        <v>66.500000000000014</v>
      </c>
      <c r="T81" s="19"/>
      <c r="U81" s="1">
        <f t="shared" si="25"/>
        <v>10</v>
      </c>
      <c r="V81" s="1">
        <f t="shared" si="23"/>
        <v>3.7264150943396213</v>
      </c>
      <c r="W81" s="1">
        <v>10.6</v>
      </c>
      <c r="X81" s="1">
        <v>10.4</v>
      </c>
      <c r="Y81" s="1">
        <v>9</v>
      </c>
      <c r="Z81" s="1">
        <v>8.6</v>
      </c>
      <c r="AA81" s="1">
        <v>6</v>
      </c>
      <c r="AB81" s="1">
        <v>5.6</v>
      </c>
      <c r="AC81" s="1">
        <v>8.4</v>
      </c>
      <c r="AD81" s="1">
        <v>9.8000000000000007</v>
      </c>
      <c r="AE81" s="1">
        <v>6.4</v>
      </c>
      <c r="AF81" s="1">
        <v>3.8</v>
      </c>
      <c r="AG81" s="1"/>
      <c r="AH81" s="1">
        <f t="shared" si="26"/>
        <v>22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120</v>
      </c>
      <c r="B82" s="1" t="s">
        <v>40</v>
      </c>
      <c r="C82" s="1">
        <v>238</v>
      </c>
      <c r="D82" s="1">
        <v>347</v>
      </c>
      <c r="E82" s="1">
        <v>181</v>
      </c>
      <c r="F82" s="1">
        <v>365</v>
      </c>
      <c r="G82" s="7">
        <v>0.4</v>
      </c>
      <c r="H82" s="1">
        <v>55</v>
      </c>
      <c r="I82" s="1" t="s">
        <v>36</v>
      </c>
      <c r="J82" s="1"/>
      <c r="K82" s="1">
        <v>195</v>
      </c>
      <c r="L82" s="1">
        <f t="shared" si="21"/>
        <v>-14</v>
      </c>
      <c r="M82" s="1"/>
      <c r="N82" s="1"/>
      <c r="O82" s="1">
        <v>0</v>
      </c>
      <c r="P82" s="25"/>
      <c r="Q82" s="1">
        <f t="shared" si="22"/>
        <v>36.200000000000003</v>
      </c>
      <c r="R82" s="5">
        <f t="shared" si="20"/>
        <v>33.200000000000045</v>
      </c>
      <c r="S82" s="5">
        <f t="shared" si="24"/>
        <v>33.200000000000045</v>
      </c>
      <c r="T82" s="19"/>
      <c r="U82" s="1">
        <f t="shared" si="25"/>
        <v>11</v>
      </c>
      <c r="V82" s="1">
        <f t="shared" si="23"/>
        <v>10.082872928176794</v>
      </c>
      <c r="W82" s="1">
        <v>42</v>
      </c>
      <c r="X82" s="1">
        <v>46</v>
      </c>
      <c r="Y82" s="1">
        <v>56.4</v>
      </c>
      <c r="Z82" s="1">
        <v>55.4</v>
      </c>
      <c r="AA82" s="1">
        <v>44.8</v>
      </c>
      <c r="AB82" s="1">
        <v>44.8</v>
      </c>
      <c r="AC82" s="1">
        <v>57.4</v>
      </c>
      <c r="AD82" s="1">
        <v>54</v>
      </c>
      <c r="AE82" s="1">
        <v>51.8</v>
      </c>
      <c r="AF82" s="1">
        <v>54.2</v>
      </c>
      <c r="AG82" s="1"/>
      <c r="AH82" s="1">
        <f t="shared" si="26"/>
        <v>13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121</v>
      </c>
      <c r="B83" s="1" t="s">
        <v>40</v>
      </c>
      <c r="C83" s="1">
        <v>6</v>
      </c>
      <c r="D83" s="1">
        <v>132</v>
      </c>
      <c r="E83" s="1">
        <v>51</v>
      </c>
      <c r="F83" s="1">
        <v>72</v>
      </c>
      <c r="G83" s="7">
        <v>0.35</v>
      </c>
      <c r="H83" s="1">
        <v>40</v>
      </c>
      <c r="I83" s="1" t="s">
        <v>36</v>
      </c>
      <c r="J83" s="1"/>
      <c r="K83" s="1">
        <v>177</v>
      </c>
      <c r="L83" s="1">
        <f t="shared" si="21"/>
        <v>-126</v>
      </c>
      <c r="M83" s="1"/>
      <c r="N83" s="1"/>
      <c r="O83" s="1">
        <v>0</v>
      </c>
      <c r="P83" s="25"/>
      <c r="Q83" s="1">
        <f t="shared" si="22"/>
        <v>10.199999999999999</v>
      </c>
      <c r="R83" s="5">
        <f t="shared" si="20"/>
        <v>40.199999999999989</v>
      </c>
      <c r="S83" s="5">
        <f t="shared" si="24"/>
        <v>40.199999999999989</v>
      </c>
      <c r="T83" s="19"/>
      <c r="U83" s="1">
        <f t="shared" si="25"/>
        <v>11</v>
      </c>
      <c r="V83" s="1">
        <f t="shared" si="23"/>
        <v>7.0588235294117654</v>
      </c>
      <c r="W83" s="1">
        <v>7.2</v>
      </c>
      <c r="X83" s="1">
        <v>14.6</v>
      </c>
      <c r="Y83" s="1">
        <v>29</v>
      </c>
      <c r="Z83" s="1">
        <v>24.2</v>
      </c>
      <c r="AA83" s="1">
        <v>2.6</v>
      </c>
      <c r="AB83" s="1">
        <v>3.6</v>
      </c>
      <c r="AC83" s="1">
        <v>22.4</v>
      </c>
      <c r="AD83" s="1">
        <v>27</v>
      </c>
      <c r="AE83" s="1">
        <v>19.399999999999999</v>
      </c>
      <c r="AF83" s="1">
        <v>20.6</v>
      </c>
      <c r="AG83" s="1"/>
      <c r="AH83" s="1">
        <f t="shared" si="26"/>
        <v>14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122</v>
      </c>
      <c r="B84" s="1" t="s">
        <v>40</v>
      </c>
      <c r="C84" s="1">
        <v>260</v>
      </c>
      <c r="D84" s="1"/>
      <c r="E84" s="1">
        <v>253</v>
      </c>
      <c r="F84" s="1">
        <v>4</v>
      </c>
      <c r="G84" s="7">
        <v>0.35</v>
      </c>
      <c r="H84" s="1">
        <v>45</v>
      </c>
      <c r="I84" s="1" t="s">
        <v>36</v>
      </c>
      <c r="J84" s="1"/>
      <c r="K84" s="1">
        <v>453</v>
      </c>
      <c r="L84" s="1">
        <f t="shared" si="21"/>
        <v>-200</v>
      </c>
      <c r="M84" s="1"/>
      <c r="N84" s="1"/>
      <c r="O84" s="1">
        <v>50.89999999999992</v>
      </c>
      <c r="P84" s="25"/>
      <c r="Q84" s="1">
        <f t="shared" si="22"/>
        <v>50.6</v>
      </c>
      <c r="R84" s="5">
        <f>8*Q84-O84-F84</f>
        <v>349.90000000000009</v>
      </c>
      <c r="S84" s="5">
        <f t="shared" si="24"/>
        <v>349.90000000000009</v>
      </c>
      <c r="T84" s="19"/>
      <c r="U84" s="1">
        <f t="shared" si="25"/>
        <v>8</v>
      </c>
      <c r="V84" s="1">
        <f t="shared" si="23"/>
        <v>1.0849802371541486</v>
      </c>
      <c r="W84" s="1">
        <v>53.4</v>
      </c>
      <c r="X84" s="1">
        <v>61.6</v>
      </c>
      <c r="Y84" s="1">
        <v>61.2</v>
      </c>
      <c r="Z84" s="1">
        <v>44</v>
      </c>
      <c r="AA84" s="1">
        <v>49</v>
      </c>
      <c r="AB84" s="1">
        <v>44.4</v>
      </c>
      <c r="AC84" s="1">
        <v>34.4</v>
      </c>
      <c r="AD84" s="1">
        <v>61.8</v>
      </c>
      <c r="AE84" s="1">
        <v>73.8</v>
      </c>
      <c r="AF84" s="1">
        <v>32.200000000000003</v>
      </c>
      <c r="AG84" s="1"/>
      <c r="AH84" s="1">
        <f t="shared" si="26"/>
        <v>122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123</v>
      </c>
      <c r="B85" s="1" t="s">
        <v>40</v>
      </c>
      <c r="C85" s="1">
        <v>269</v>
      </c>
      <c r="D85" s="1"/>
      <c r="E85" s="1">
        <v>181</v>
      </c>
      <c r="F85" s="1">
        <v>88</v>
      </c>
      <c r="G85" s="7">
        <v>0.4</v>
      </c>
      <c r="H85" s="1">
        <v>55</v>
      </c>
      <c r="I85" s="1" t="s">
        <v>36</v>
      </c>
      <c r="J85" s="1"/>
      <c r="K85" s="1">
        <v>201</v>
      </c>
      <c r="L85" s="1">
        <f t="shared" si="21"/>
        <v>-20</v>
      </c>
      <c r="M85" s="1"/>
      <c r="N85" s="1"/>
      <c r="O85" s="1">
        <v>246.4</v>
      </c>
      <c r="P85" s="25"/>
      <c r="Q85" s="1">
        <f t="shared" si="22"/>
        <v>36.200000000000003</v>
      </c>
      <c r="R85" s="5">
        <f t="shared" si="20"/>
        <v>63.80000000000004</v>
      </c>
      <c r="S85" s="5">
        <f t="shared" si="24"/>
        <v>63.80000000000004</v>
      </c>
      <c r="T85" s="19"/>
      <c r="U85" s="1">
        <f t="shared" si="25"/>
        <v>11</v>
      </c>
      <c r="V85" s="1">
        <f t="shared" si="23"/>
        <v>9.2375690607734793</v>
      </c>
      <c r="W85" s="1">
        <v>39.799999999999997</v>
      </c>
      <c r="X85" s="1">
        <v>15</v>
      </c>
      <c r="Y85" s="1">
        <v>16</v>
      </c>
      <c r="Z85" s="1">
        <v>28</v>
      </c>
      <c r="AA85" s="1">
        <v>29.8</v>
      </c>
      <c r="AB85" s="1">
        <v>24.2</v>
      </c>
      <c r="AC85" s="1">
        <v>24.2</v>
      </c>
      <c r="AD85" s="1">
        <v>23.4</v>
      </c>
      <c r="AE85" s="1">
        <v>22.2</v>
      </c>
      <c r="AF85" s="1">
        <v>1</v>
      </c>
      <c r="AG85" s="1"/>
      <c r="AH85" s="1">
        <f t="shared" si="26"/>
        <v>26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124</v>
      </c>
      <c r="B86" s="1" t="s">
        <v>35</v>
      </c>
      <c r="C86" s="1">
        <v>41.454000000000001</v>
      </c>
      <c r="D86" s="1">
        <v>58.189</v>
      </c>
      <c r="E86" s="1">
        <v>8.4079999999999995</v>
      </c>
      <c r="F86" s="1">
        <v>89.778999999999996</v>
      </c>
      <c r="G86" s="7">
        <v>1</v>
      </c>
      <c r="H86" s="1">
        <v>55</v>
      </c>
      <c r="I86" s="1" t="s">
        <v>36</v>
      </c>
      <c r="J86" s="1"/>
      <c r="K86" s="1">
        <v>7.9</v>
      </c>
      <c r="L86" s="1">
        <f t="shared" si="21"/>
        <v>0.50799999999999912</v>
      </c>
      <c r="M86" s="1"/>
      <c r="N86" s="1"/>
      <c r="O86" s="1">
        <v>0</v>
      </c>
      <c r="P86" s="25"/>
      <c r="Q86" s="1">
        <f t="shared" si="22"/>
        <v>1.6816</v>
      </c>
      <c r="R86" s="5"/>
      <c r="S86" s="5">
        <f t="shared" si="24"/>
        <v>0</v>
      </c>
      <c r="T86" s="19"/>
      <c r="U86" s="1">
        <f t="shared" si="25"/>
        <v>53.389034253092291</v>
      </c>
      <c r="V86" s="1">
        <f t="shared" si="23"/>
        <v>53.389034253092291</v>
      </c>
      <c r="W86" s="1">
        <v>6.2156000000000002</v>
      </c>
      <c r="X86" s="1">
        <v>7.9986000000000006</v>
      </c>
      <c r="Y86" s="1">
        <v>3.4681999999999999</v>
      </c>
      <c r="Z86" s="1">
        <v>1.6208</v>
      </c>
      <c r="AA86" s="1">
        <v>-1.0531999999999999</v>
      </c>
      <c r="AB86" s="1">
        <v>0.1918</v>
      </c>
      <c r="AC86" s="1">
        <v>6.4581999999999997</v>
      </c>
      <c r="AD86" s="1">
        <v>25.799199999999999</v>
      </c>
      <c r="AE86" s="1">
        <v>24.057600000000001</v>
      </c>
      <c r="AF86" s="1">
        <v>4.6172000000000004</v>
      </c>
      <c r="AG86" s="17" t="s">
        <v>82</v>
      </c>
      <c r="AH86" s="1">
        <f t="shared" si="26"/>
        <v>0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9" t="s">
        <v>125</v>
      </c>
      <c r="B87" s="9" t="s">
        <v>40</v>
      </c>
      <c r="C87" s="9">
        <v>17</v>
      </c>
      <c r="D87" s="9"/>
      <c r="E87" s="9">
        <v>10</v>
      </c>
      <c r="F87" s="9">
        <v>7</v>
      </c>
      <c r="G87" s="10">
        <v>0</v>
      </c>
      <c r="H87" s="9">
        <v>55</v>
      </c>
      <c r="I87" s="9" t="s">
        <v>48</v>
      </c>
      <c r="J87" s="9"/>
      <c r="K87" s="9">
        <v>23</v>
      </c>
      <c r="L87" s="9">
        <f t="shared" si="21"/>
        <v>-13</v>
      </c>
      <c r="M87" s="9"/>
      <c r="N87" s="9"/>
      <c r="O87" s="9">
        <v>0</v>
      </c>
      <c r="P87" s="28"/>
      <c r="Q87" s="9">
        <f t="shared" si="22"/>
        <v>2</v>
      </c>
      <c r="R87" s="11"/>
      <c r="S87" s="5">
        <f t="shared" si="24"/>
        <v>0</v>
      </c>
      <c r="T87" s="20"/>
      <c r="U87" s="1">
        <f t="shared" si="25"/>
        <v>3.5</v>
      </c>
      <c r="V87" s="9">
        <f t="shared" si="23"/>
        <v>3.5</v>
      </c>
      <c r="W87" s="9">
        <v>4</v>
      </c>
      <c r="X87" s="9">
        <v>4</v>
      </c>
      <c r="Y87" s="9">
        <v>6</v>
      </c>
      <c r="Z87" s="9">
        <v>4</v>
      </c>
      <c r="AA87" s="9">
        <v>1.2</v>
      </c>
      <c r="AB87" s="9">
        <v>2</v>
      </c>
      <c r="AC87" s="9">
        <v>2.6</v>
      </c>
      <c r="AD87" s="9">
        <v>4.4000000000000004</v>
      </c>
      <c r="AE87" s="9">
        <v>4</v>
      </c>
      <c r="AF87" s="9">
        <v>3.4</v>
      </c>
      <c r="AG87" s="9"/>
      <c r="AH87" s="1">
        <f t="shared" si="26"/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126</v>
      </c>
      <c r="B88" s="1" t="s">
        <v>35</v>
      </c>
      <c r="C88" s="1">
        <v>350.79500000000002</v>
      </c>
      <c r="D88" s="1">
        <v>23.22</v>
      </c>
      <c r="E88" s="1">
        <v>164.79</v>
      </c>
      <c r="F88" s="1">
        <v>158.697</v>
      </c>
      <c r="G88" s="7">
        <v>1</v>
      </c>
      <c r="H88" s="1">
        <v>55</v>
      </c>
      <c r="I88" s="1" t="s">
        <v>36</v>
      </c>
      <c r="J88" s="1"/>
      <c r="K88" s="1">
        <v>159.27000000000001</v>
      </c>
      <c r="L88" s="1">
        <f t="shared" si="21"/>
        <v>5.5199999999999818</v>
      </c>
      <c r="M88" s="1"/>
      <c r="N88" s="1"/>
      <c r="O88" s="1">
        <v>197.90860000000001</v>
      </c>
      <c r="P88" s="25"/>
      <c r="Q88" s="1">
        <f t="shared" si="22"/>
        <v>32.957999999999998</v>
      </c>
      <c r="R88" s="5">
        <f t="shared" ref="R88" si="27">11*Q88-O88-F88</f>
        <v>5.9324000000000012</v>
      </c>
      <c r="S88" s="5">
        <f t="shared" si="24"/>
        <v>5.9324000000000012</v>
      </c>
      <c r="T88" s="19"/>
      <c r="U88" s="1">
        <f t="shared" si="25"/>
        <v>11</v>
      </c>
      <c r="V88" s="1">
        <f t="shared" si="23"/>
        <v>10.820001213665877</v>
      </c>
      <c r="W88" s="1">
        <v>40.682000000000002</v>
      </c>
      <c r="X88" s="1">
        <v>27.418199999999999</v>
      </c>
      <c r="Y88" s="1">
        <v>33.930599999999998</v>
      </c>
      <c r="Z88" s="1">
        <v>31.181999999999999</v>
      </c>
      <c r="AA88" s="1">
        <v>37.124600000000001</v>
      </c>
      <c r="AB88" s="1">
        <v>49.651200000000003</v>
      </c>
      <c r="AC88" s="1">
        <v>45.2958</v>
      </c>
      <c r="AD88" s="1">
        <v>39.439800000000012</v>
      </c>
      <c r="AE88" s="1">
        <v>39.754800000000003</v>
      </c>
      <c r="AF88" s="1">
        <v>43.838200000000001</v>
      </c>
      <c r="AG88" s="1"/>
      <c r="AH88" s="1">
        <f t="shared" si="26"/>
        <v>6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24" t="s">
        <v>127</v>
      </c>
      <c r="B89" s="1" t="s">
        <v>35</v>
      </c>
      <c r="C89" s="1">
        <v>1017.245</v>
      </c>
      <c r="D89" s="1">
        <v>1566.873</v>
      </c>
      <c r="E89" s="1">
        <v>755.67700000000002</v>
      </c>
      <c r="F89" s="1">
        <v>1733.412</v>
      </c>
      <c r="G89" s="7">
        <v>1</v>
      </c>
      <c r="H89" s="1">
        <v>60</v>
      </c>
      <c r="I89" s="1" t="s">
        <v>36</v>
      </c>
      <c r="J89" s="1"/>
      <c r="K89" s="1">
        <v>752.33500000000004</v>
      </c>
      <c r="L89" s="1">
        <f t="shared" si="21"/>
        <v>3.3419999999999845</v>
      </c>
      <c r="M89" s="1"/>
      <c r="N89" s="1"/>
      <c r="O89" s="1">
        <v>0</v>
      </c>
      <c r="P89" s="25">
        <v>300</v>
      </c>
      <c r="Q89" s="1">
        <f t="shared" si="22"/>
        <v>151.1354</v>
      </c>
      <c r="R89" s="5"/>
      <c r="S89" s="5">
        <f>R89+Q89*$S$1</f>
        <v>272.04372000000001</v>
      </c>
      <c r="T89" s="19"/>
      <c r="U89" s="1">
        <f t="shared" si="25"/>
        <v>15.254240369893486</v>
      </c>
      <c r="V89" s="1">
        <f t="shared" si="23"/>
        <v>11.469265307796849</v>
      </c>
      <c r="W89" s="1">
        <v>164.34880000000001</v>
      </c>
      <c r="X89" s="1">
        <v>171.851</v>
      </c>
      <c r="Y89" s="1">
        <v>176.95820000000001</v>
      </c>
      <c r="Z89" s="1">
        <v>182.36699999999999</v>
      </c>
      <c r="AA89" s="1">
        <v>171.1482</v>
      </c>
      <c r="AB89" s="1">
        <v>171.82579999999999</v>
      </c>
      <c r="AC89" s="1">
        <v>171.11279999999999</v>
      </c>
      <c r="AD89" s="1">
        <v>160.2638</v>
      </c>
      <c r="AE89" s="1">
        <v>168.82660000000001</v>
      </c>
      <c r="AF89" s="1">
        <v>205.5204</v>
      </c>
      <c r="AG89" s="1"/>
      <c r="AH89" s="1">
        <f t="shared" si="26"/>
        <v>272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9" t="s">
        <v>128</v>
      </c>
      <c r="B90" s="9" t="s">
        <v>40</v>
      </c>
      <c r="C90" s="9"/>
      <c r="D90" s="9"/>
      <c r="E90" s="9"/>
      <c r="F90" s="9"/>
      <c r="G90" s="10">
        <v>0</v>
      </c>
      <c r="H90" s="9"/>
      <c r="I90" s="9" t="s">
        <v>36</v>
      </c>
      <c r="J90" s="9"/>
      <c r="K90" s="9"/>
      <c r="L90" s="9">
        <f t="shared" si="21"/>
        <v>0</v>
      </c>
      <c r="M90" s="9"/>
      <c r="N90" s="9"/>
      <c r="O90" s="9">
        <v>0</v>
      </c>
      <c r="P90" s="28"/>
      <c r="Q90" s="9">
        <f t="shared" si="22"/>
        <v>0</v>
      </c>
      <c r="R90" s="11"/>
      <c r="S90" s="5">
        <f t="shared" si="24"/>
        <v>0</v>
      </c>
      <c r="T90" s="20"/>
      <c r="U90" s="1" t="e">
        <f t="shared" si="25"/>
        <v>#DIV/0!</v>
      </c>
      <c r="V90" s="9" t="e">
        <f t="shared" si="23"/>
        <v>#DIV/0!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 t="s">
        <v>41</v>
      </c>
      <c r="AH90" s="1">
        <f t="shared" si="26"/>
        <v>0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129</v>
      </c>
      <c r="B91" s="1" t="s">
        <v>35</v>
      </c>
      <c r="C91" s="1">
        <v>2370.2660000000001</v>
      </c>
      <c r="D91" s="1">
        <v>3739.3879999999999</v>
      </c>
      <c r="E91" s="1">
        <v>1992.2270000000001</v>
      </c>
      <c r="F91" s="1">
        <v>3909.4409999999998</v>
      </c>
      <c r="G91" s="7">
        <v>1</v>
      </c>
      <c r="H91" s="1">
        <v>60</v>
      </c>
      <c r="I91" s="1" t="s">
        <v>36</v>
      </c>
      <c r="J91" s="1"/>
      <c r="K91" s="1">
        <v>2001.01</v>
      </c>
      <c r="L91" s="1">
        <f t="shared" si="21"/>
        <v>-8.7829999999999018</v>
      </c>
      <c r="M91" s="1"/>
      <c r="N91" s="1"/>
      <c r="O91" s="1">
        <v>500</v>
      </c>
      <c r="P91" s="25"/>
      <c r="Q91" s="1">
        <f t="shared" si="22"/>
        <v>398.44540000000001</v>
      </c>
      <c r="R91" s="5"/>
      <c r="S91" s="5">
        <f>R91+Q91*$S$1</f>
        <v>717.20172000000002</v>
      </c>
      <c r="T91" s="19"/>
      <c r="U91" s="1">
        <f t="shared" si="25"/>
        <v>12.866612891000875</v>
      </c>
      <c r="V91" s="1">
        <f t="shared" si="23"/>
        <v>11.066612891000874</v>
      </c>
      <c r="W91" s="1">
        <v>391.17919999999998</v>
      </c>
      <c r="X91" s="1">
        <v>446.94080000000002</v>
      </c>
      <c r="Y91" s="1">
        <v>458.49939999999998</v>
      </c>
      <c r="Z91" s="1">
        <v>436.01319999999998</v>
      </c>
      <c r="AA91" s="1">
        <v>426.09260000000012</v>
      </c>
      <c r="AB91" s="1">
        <v>436.69299999999998</v>
      </c>
      <c r="AC91" s="1">
        <v>425.26580000000001</v>
      </c>
      <c r="AD91" s="1">
        <v>383.94839999999999</v>
      </c>
      <c r="AE91" s="1">
        <v>385.58100000000002</v>
      </c>
      <c r="AF91" s="1">
        <v>416.45319999999998</v>
      </c>
      <c r="AG91" s="1"/>
      <c r="AH91" s="1">
        <f t="shared" si="26"/>
        <v>717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24" t="s">
        <v>130</v>
      </c>
      <c r="B92" s="1" t="s">
        <v>35</v>
      </c>
      <c r="C92" s="1">
        <v>5098.7979999999998</v>
      </c>
      <c r="D92" s="1">
        <v>4069.913</v>
      </c>
      <c r="E92" s="1">
        <v>1989.039</v>
      </c>
      <c r="F92" s="1">
        <v>6940.4440000000004</v>
      </c>
      <c r="G92" s="7">
        <v>1</v>
      </c>
      <c r="H92" s="1">
        <v>60</v>
      </c>
      <c r="I92" s="1" t="s">
        <v>36</v>
      </c>
      <c r="J92" s="1"/>
      <c r="K92" s="1">
        <v>2011.8</v>
      </c>
      <c r="L92" s="1">
        <f t="shared" si="21"/>
        <v>-22.760999999999967</v>
      </c>
      <c r="M92" s="1"/>
      <c r="N92" s="1"/>
      <c r="O92" s="1">
        <v>0</v>
      </c>
      <c r="P92" s="25"/>
      <c r="Q92" s="1">
        <f t="shared" si="22"/>
        <v>397.80779999999999</v>
      </c>
      <c r="R92" s="5"/>
      <c r="S92" s="5">
        <f t="shared" si="24"/>
        <v>0</v>
      </c>
      <c r="T92" s="19"/>
      <c r="U92" s="1">
        <f t="shared" si="25"/>
        <v>17.446726786151505</v>
      </c>
      <c r="V92" s="1">
        <f t="shared" si="23"/>
        <v>17.446726786151505</v>
      </c>
      <c r="W92" s="1">
        <v>401.32119999999998</v>
      </c>
      <c r="X92" s="1">
        <v>409.54320000000001</v>
      </c>
      <c r="Y92" s="1">
        <v>447.65519999999998</v>
      </c>
      <c r="Z92" s="1">
        <v>530.02260000000001</v>
      </c>
      <c r="AA92" s="1">
        <v>493.26420000000002</v>
      </c>
      <c r="AB92" s="1">
        <v>455.58280000000002</v>
      </c>
      <c r="AC92" s="1">
        <v>513.62299999999993</v>
      </c>
      <c r="AD92" s="1">
        <v>557.21199999999999</v>
      </c>
      <c r="AE92" s="1">
        <v>534.47</v>
      </c>
      <c r="AF92" s="1">
        <v>581.125</v>
      </c>
      <c r="AG92" s="1"/>
      <c r="AH92" s="1">
        <f t="shared" si="26"/>
        <v>0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24" t="s">
        <v>131</v>
      </c>
      <c r="B93" s="1" t="s">
        <v>35</v>
      </c>
      <c r="C93" s="1">
        <v>6442.0820000000003</v>
      </c>
      <c r="D93" s="1">
        <v>6530.4440000000004</v>
      </c>
      <c r="E93" s="1">
        <v>2856.3820000000001</v>
      </c>
      <c r="F93" s="1">
        <v>9818.0040000000008</v>
      </c>
      <c r="G93" s="7">
        <v>1</v>
      </c>
      <c r="H93" s="1">
        <v>60</v>
      </c>
      <c r="I93" s="1" t="s">
        <v>36</v>
      </c>
      <c r="J93" s="1"/>
      <c r="K93" s="1">
        <v>2907.1</v>
      </c>
      <c r="L93" s="1">
        <f t="shared" si="21"/>
        <v>-50.717999999999847</v>
      </c>
      <c r="M93" s="1"/>
      <c r="N93" s="1"/>
      <c r="O93" s="1">
        <v>0</v>
      </c>
      <c r="P93" s="25"/>
      <c r="Q93" s="1">
        <f t="shared" si="22"/>
        <v>571.27639999999997</v>
      </c>
      <c r="R93" s="5"/>
      <c r="S93" s="5">
        <f t="shared" si="24"/>
        <v>0</v>
      </c>
      <c r="T93" s="19"/>
      <c r="U93" s="1">
        <f t="shared" si="25"/>
        <v>17.186083654077084</v>
      </c>
      <c r="V93" s="1">
        <f t="shared" si="23"/>
        <v>17.186083654077084</v>
      </c>
      <c r="W93" s="1">
        <v>585.21899999999994</v>
      </c>
      <c r="X93" s="1">
        <v>581.18280000000004</v>
      </c>
      <c r="Y93" s="1">
        <v>622.20299999999997</v>
      </c>
      <c r="Z93" s="1">
        <v>586.15959999999995</v>
      </c>
      <c r="AA93" s="1">
        <v>578.34320000000002</v>
      </c>
      <c r="AB93" s="1">
        <v>607.92340000000002</v>
      </c>
      <c r="AC93" s="1">
        <v>613.33459999999991</v>
      </c>
      <c r="AD93" s="1">
        <v>604.15620000000001</v>
      </c>
      <c r="AE93" s="1">
        <v>555.69460000000004</v>
      </c>
      <c r="AF93" s="1">
        <v>579.61239999999998</v>
      </c>
      <c r="AG93" s="1"/>
      <c r="AH93" s="1">
        <f t="shared" si="26"/>
        <v>0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132</v>
      </c>
      <c r="B94" s="1" t="s">
        <v>35</v>
      </c>
      <c r="C94" s="1">
        <v>127.553</v>
      </c>
      <c r="D94" s="1">
        <v>10.768000000000001</v>
      </c>
      <c r="E94" s="1">
        <v>43.273000000000003</v>
      </c>
      <c r="F94" s="1">
        <v>93.694000000000003</v>
      </c>
      <c r="G94" s="7">
        <v>1</v>
      </c>
      <c r="H94" s="1">
        <v>55</v>
      </c>
      <c r="I94" s="1" t="s">
        <v>36</v>
      </c>
      <c r="J94" s="1"/>
      <c r="K94" s="1">
        <v>37.799999999999997</v>
      </c>
      <c r="L94" s="1">
        <f t="shared" si="21"/>
        <v>5.4730000000000061</v>
      </c>
      <c r="M94" s="1"/>
      <c r="N94" s="1"/>
      <c r="O94" s="1">
        <v>10</v>
      </c>
      <c r="P94" s="25"/>
      <c r="Q94" s="1">
        <f t="shared" si="22"/>
        <v>8.6546000000000003</v>
      </c>
      <c r="R94" s="5"/>
      <c r="S94" s="5">
        <f t="shared" si="24"/>
        <v>0</v>
      </c>
      <c r="T94" s="19"/>
      <c r="U94" s="1">
        <f t="shared" si="25"/>
        <v>11.981374066970167</v>
      </c>
      <c r="V94" s="1">
        <f t="shared" si="23"/>
        <v>11.981374066970167</v>
      </c>
      <c r="W94" s="1">
        <v>8.9195999999999991</v>
      </c>
      <c r="X94" s="1">
        <v>9.2284000000000006</v>
      </c>
      <c r="Y94" s="1">
        <v>8.9586000000000006</v>
      </c>
      <c r="Z94" s="1">
        <v>7.3046000000000006</v>
      </c>
      <c r="AA94" s="1">
        <v>6.6986000000000008</v>
      </c>
      <c r="AB94" s="1">
        <v>4.5375999999999994</v>
      </c>
      <c r="AC94" s="1">
        <v>4.6059999999999999</v>
      </c>
      <c r="AD94" s="1">
        <v>19.7072</v>
      </c>
      <c r="AE94" s="1">
        <v>20.521999999999998</v>
      </c>
      <c r="AF94" s="1">
        <v>0.54480000000000006</v>
      </c>
      <c r="AG94" s="1"/>
      <c r="AH94" s="1">
        <f t="shared" si="26"/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9" t="s">
        <v>133</v>
      </c>
      <c r="B95" s="9" t="s">
        <v>35</v>
      </c>
      <c r="C95" s="9">
        <v>43.215000000000003</v>
      </c>
      <c r="D95" s="9"/>
      <c r="E95" s="9">
        <v>21.643000000000001</v>
      </c>
      <c r="F95" s="9">
        <v>18.931999999999999</v>
      </c>
      <c r="G95" s="10">
        <v>0</v>
      </c>
      <c r="H95" s="9">
        <v>55</v>
      </c>
      <c r="I95" s="9" t="s">
        <v>48</v>
      </c>
      <c r="J95" s="9"/>
      <c r="K95" s="9">
        <v>20.9</v>
      </c>
      <c r="L95" s="9">
        <f t="shared" si="21"/>
        <v>0.7430000000000021</v>
      </c>
      <c r="M95" s="9"/>
      <c r="N95" s="9"/>
      <c r="O95" s="9">
        <v>0</v>
      </c>
      <c r="P95" s="28"/>
      <c r="Q95" s="9">
        <f t="shared" si="22"/>
        <v>4.3285999999999998</v>
      </c>
      <c r="R95" s="11"/>
      <c r="S95" s="5">
        <f t="shared" si="24"/>
        <v>0</v>
      </c>
      <c r="T95" s="20"/>
      <c r="U95" s="1">
        <f t="shared" si="25"/>
        <v>4.3737005036270391</v>
      </c>
      <c r="V95" s="9">
        <f t="shared" si="23"/>
        <v>4.3737005036270391</v>
      </c>
      <c r="W95" s="9">
        <v>3.7852000000000001</v>
      </c>
      <c r="X95" s="9">
        <v>3.2425999999999999</v>
      </c>
      <c r="Y95" s="9">
        <v>3.4236</v>
      </c>
      <c r="Z95" s="9">
        <v>2.371</v>
      </c>
      <c r="AA95" s="9">
        <v>2.0373999999999999</v>
      </c>
      <c r="AB95" s="9">
        <v>2.5638000000000001</v>
      </c>
      <c r="AC95" s="9">
        <v>4.1109999999999998</v>
      </c>
      <c r="AD95" s="9">
        <v>5.1212</v>
      </c>
      <c r="AE95" s="9">
        <v>5.0456000000000003</v>
      </c>
      <c r="AF95" s="9">
        <v>4.5573999999999986</v>
      </c>
      <c r="AG95" s="9"/>
      <c r="AH95" s="1">
        <f t="shared" si="26"/>
        <v>0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9" t="s">
        <v>134</v>
      </c>
      <c r="B96" s="9" t="s">
        <v>35</v>
      </c>
      <c r="C96" s="9">
        <v>353.65499999999997</v>
      </c>
      <c r="D96" s="9"/>
      <c r="E96" s="9">
        <v>10.121</v>
      </c>
      <c r="F96" s="9"/>
      <c r="G96" s="10">
        <v>0</v>
      </c>
      <c r="H96" s="9"/>
      <c r="I96" s="9" t="s">
        <v>48</v>
      </c>
      <c r="J96" s="9"/>
      <c r="K96" s="9">
        <v>10.4</v>
      </c>
      <c r="L96" s="9">
        <f t="shared" si="21"/>
        <v>-0.27899999999999991</v>
      </c>
      <c r="M96" s="9"/>
      <c r="N96" s="9"/>
      <c r="O96" s="9">
        <v>0</v>
      </c>
      <c r="P96" s="28"/>
      <c r="Q96" s="9">
        <f t="shared" si="22"/>
        <v>2.0242</v>
      </c>
      <c r="R96" s="11"/>
      <c r="S96" s="5">
        <f t="shared" si="24"/>
        <v>0</v>
      </c>
      <c r="T96" s="20"/>
      <c r="U96" s="1">
        <f t="shared" si="25"/>
        <v>0</v>
      </c>
      <c r="V96" s="9">
        <f t="shared" si="23"/>
        <v>0</v>
      </c>
      <c r="W96" s="9">
        <v>2.0922000000000001</v>
      </c>
      <c r="X96" s="9">
        <v>1.0766</v>
      </c>
      <c r="Y96" s="9">
        <v>1.0766</v>
      </c>
      <c r="Z96" s="9">
        <v>1.8908</v>
      </c>
      <c r="AA96" s="9">
        <v>4.3494000000000002</v>
      </c>
      <c r="AB96" s="9">
        <v>2.9916</v>
      </c>
      <c r="AC96" s="9">
        <v>1.0693999999999999</v>
      </c>
      <c r="AD96" s="9">
        <v>0</v>
      </c>
      <c r="AE96" s="9">
        <v>0</v>
      </c>
      <c r="AF96" s="9">
        <v>0</v>
      </c>
      <c r="AG96" s="9" t="s">
        <v>135</v>
      </c>
      <c r="AH96" s="1">
        <f t="shared" si="26"/>
        <v>0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136</v>
      </c>
      <c r="B97" s="1" t="s">
        <v>40</v>
      </c>
      <c r="C97" s="1">
        <v>-9</v>
      </c>
      <c r="D97" s="1">
        <v>433</v>
      </c>
      <c r="E97" s="1">
        <v>176</v>
      </c>
      <c r="F97" s="1">
        <v>183</v>
      </c>
      <c r="G97" s="7">
        <v>0.3</v>
      </c>
      <c r="H97" s="1">
        <v>40</v>
      </c>
      <c r="I97" s="1" t="s">
        <v>36</v>
      </c>
      <c r="J97" s="1"/>
      <c r="K97" s="1">
        <v>197</v>
      </c>
      <c r="L97" s="1">
        <f t="shared" si="21"/>
        <v>-21</v>
      </c>
      <c r="M97" s="1"/>
      <c r="N97" s="1"/>
      <c r="O97" s="1">
        <v>0</v>
      </c>
      <c r="P97" s="25"/>
      <c r="Q97" s="1">
        <f t="shared" si="22"/>
        <v>35.200000000000003</v>
      </c>
      <c r="R97" s="5">
        <f t="shared" ref="R97" si="28">11*Q97-O97-F97</f>
        <v>204.20000000000005</v>
      </c>
      <c r="S97" s="5">
        <f t="shared" si="24"/>
        <v>204.20000000000005</v>
      </c>
      <c r="T97" s="19"/>
      <c r="U97" s="1">
        <f t="shared" si="25"/>
        <v>11</v>
      </c>
      <c r="V97" s="1">
        <f t="shared" si="23"/>
        <v>5.1988636363636358</v>
      </c>
      <c r="W97" s="1">
        <v>4.8</v>
      </c>
      <c r="X97" s="1">
        <v>28.8</v>
      </c>
      <c r="Y97" s="1">
        <v>65.400000000000006</v>
      </c>
      <c r="Z97" s="1">
        <v>70.8</v>
      </c>
      <c r="AA97" s="1">
        <v>52.8</v>
      </c>
      <c r="AB97" s="1">
        <v>41.2</v>
      </c>
      <c r="AC97" s="1">
        <v>41.8</v>
      </c>
      <c r="AD97" s="1">
        <v>41.6</v>
      </c>
      <c r="AE97" s="1">
        <v>37.4</v>
      </c>
      <c r="AF97" s="1">
        <v>36.6</v>
      </c>
      <c r="AG97" s="1"/>
      <c r="AH97" s="1">
        <f t="shared" si="26"/>
        <v>61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137</v>
      </c>
      <c r="B98" s="1" t="s">
        <v>40</v>
      </c>
      <c r="C98" s="1">
        <v>133</v>
      </c>
      <c r="D98" s="1">
        <v>204</v>
      </c>
      <c r="E98" s="1">
        <v>212</v>
      </c>
      <c r="F98" s="1">
        <v>115</v>
      </c>
      <c r="G98" s="7">
        <v>0.3</v>
      </c>
      <c r="H98" s="1">
        <v>40</v>
      </c>
      <c r="I98" s="1" t="s">
        <v>36</v>
      </c>
      <c r="J98" s="1"/>
      <c r="K98" s="1">
        <v>352</v>
      </c>
      <c r="L98" s="1">
        <f t="shared" si="21"/>
        <v>-140</v>
      </c>
      <c r="M98" s="1"/>
      <c r="N98" s="1"/>
      <c r="O98" s="1">
        <v>429.4</v>
      </c>
      <c r="P98" s="25"/>
      <c r="Q98" s="1">
        <f t="shared" si="22"/>
        <v>42.4</v>
      </c>
      <c r="R98" s="5"/>
      <c r="S98" s="5">
        <f t="shared" si="24"/>
        <v>0</v>
      </c>
      <c r="T98" s="19"/>
      <c r="U98" s="1">
        <f t="shared" si="25"/>
        <v>12.839622641509434</v>
      </c>
      <c r="V98" s="1">
        <f t="shared" si="23"/>
        <v>12.839622641509434</v>
      </c>
      <c r="W98" s="1">
        <v>77.2</v>
      </c>
      <c r="X98" s="1">
        <v>35.6</v>
      </c>
      <c r="Y98" s="1">
        <v>32.200000000000003</v>
      </c>
      <c r="Z98" s="1">
        <v>46.4</v>
      </c>
      <c r="AA98" s="1">
        <v>46.4</v>
      </c>
      <c r="AB98" s="1">
        <v>33.799999999999997</v>
      </c>
      <c r="AC98" s="1">
        <v>35</v>
      </c>
      <c r="AD98" s="1">
        <v>38.799999999999997</v>
      </c>
      <c r="AE98" s="1">
        <v>41.6</v>
      </c>
      <c r="AF98" s="1">
        <v>11.8</v>
      </c>
      <c r="AG98" s="1"/>
      <c r="AH98" s="1">
        <f t="shared" si="26"/>
        <v>0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9" t="s">
        <v>138</v>
      </c>
      <c r="B99" s="9" t="s">
        <v>40</v>
      </c>
      <c r="C99" s="9"/>
      <c r="D99" s="9"/>
      <c r="E99" s="9"/>
      <c r="F99" s="9"/>
      <c r="G99" s="10">
        <v>0</v>
      </c>
      <c r="H99" s="9"/>
      <c r="I99" s="9" t="s">
        <v>36</v>
      </c>
      <c r="J99" s="9"/>
      <c r="K99" s="9">
        <v>5</v>
      </c>
      <c r="L99" s="9">
        <f t="shared" si="21"/>
        <v>-5</v>
      </c>
      <c r="M99" s="9"/>
      <c r="N99" s="9"/>
      <c r="O99" s="9">
        <v>0</v>
      </c>
      <c r="P99" s="28"/>
      <c r="Q99" s="9">
        <f t="shared" si="22"/>
        <v>0</v>
      </c>
      <c r="R99" s="11"/>
      <c r="S99" s="5">
        <f t="shared" si="24"/>
        <v>0</v>
      </c>
      <c r="T99" s="20"/>
      <c r="U99" s="1" t="e">
        <f t="shared" si="25"/>
        <v>#DIV/0!</v>
      </c>
      <c r="V99" s="9" t="e">
        <f t="shared" si="23"/>
        <v>#DIV/0!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 t="s">
        <v>41</v>
      </c>
      <c r="AH99" s="1">
        <f t="shared" si="26"/>
        <v>0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139</v>
      </c>
      <c r="B100" s="1" t="s">
        <v>40</v>
      </c>
      <c r="C100" s="1">
        <v>175</v>
      </c>
      <c r="D100" s="1"/>
      <c r="E100" s="1">
        <v>171</v>
      </c>
      <c r="F100" s="1">
        <v>3</v>
      </c>
      <c r="G100" s="7">
        <v>7.0000000000000007E-2</v>
      </c>
      <c r="H100" s="1">
        <v>90</v>
      </c>
      <c r="I100" s="1" t="s">
        <v>36</v>
      </c>
      <c r="J100" s="1"/>
      <c r="K100" s="1">
        <v>203</v>
      </c>
      <c r="L100" s="1">
        <f t="shared" si="21"/>
        <v>-32</v>
      </c>
      <c r="M100" s="1"/>
      <c r="N100" s="1"/>
      <c r="O100" s="1">
        <v>195</v>
      </c>
      <c r="P100" s="25"/>
      <c r="Q100" s="1">
        <f t="shared" si="22"/>
        <v>34.200000000000003</v>
      </c>
      <c r="R100" s="5">
        <f t="shared" ref="R100:R101" si="29">11*Q100-O100-F100</f>
        <v>178.20000000000005</v>
      </c>
      <c r="S100" s="5">
        <f t="shared" si="24"/>
        <v>178.20000000000005</v>
      </c>
      <c r="T100" s="19"/>
      <c r="U100" s="1">
        <f t="shared" si="25"/>
        <v>11</v>
      </c>
      <c r="V100" s="1">
        <f t="shared" si="23"/>
        <v>5.7894736842105257</v>
      </c>
      <c r="W100" s="1">
        <v>44</v>
      </c>
      <c r="X100" s="1">
        <v>36.6</v>
      </c>
      <c r="Y100" s="1">
        <v>20</v>
      </c>
      <c r="Z100" s="1">
        <v>18.399999999999999</v>
      </c>
      <c r="AA100" s="1">
        <v>31.6</v>
      </c>
      <c r="AB100" s="1">
        <v>34.799999999999997</v>
      </c>
      <c r="AC100" s="1">
        <v>37.4</v>
      </c>
      <c r="AD100" s="1">
        <v>44.8</v>
      </c>
      <c r="AE100" s="1">
        <v>41</v>
      </c>
      <c r="AF100" s="1">
        <v>36.200000000000003</v>
      </c>
      <c r="AG100" s="1"/>
      <c r="AH100" s="1">
        <f t="shared" si="26"/>
        <v>12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140</v>
      </c>
      <c r="B101" s="1" t="s">
        <v>40</v>
      </c>
      <c r="C101" s="1">
        <v>212</v>
      </c>
      <c r="D101" s="1">
        <v>144</v>
      </c>
      <c r="E101" s="1">
        <v>178</v>
      </c>
      <c r="F101" s="1">
        <v>154</v>
      </c>
      <c r="G101" s="7">
        <v>7.0000000000000007E-2</v>
      </c>
      <c r="H101" s="1">
        <v>90</v>
      </c>
      <c r="I101" s="1" t="s">
        <v>36</v>
      </c>
      <c r="J101" s="1"/>
      <c r="K101" s="1">
        <v>188</v>
      </c>
      <c r="L101" s="1">
        <f t="shared" si="21"/>
        <v>-10</v>
      </c>
      <c r="M101" s="1"/>
      <c r="N101" s="1"/>
      <c r="O101" s="1">
        <v>139.88800000000001</v>
      </c>
      <c r="P101" s="25"/>
      <c r="Q101" s="1">
        <f t="shared" si="22"/>
        <v>35.6</v>
      </c>
      <c r="R101" s="5">
        <f t="shared" si="29"/>
        <v>97.712000000000018</v>
      </c>
      <c r="S101" s="5">
        <f t="shared" si="24"/>
        <v>97.712000000000018</v>
      </c>
      <c r="T101" s="19"/>
      <c r="U101" s="1">
        <f t="shared" si="25"/>
        <v>11</v>
      </c>
      <c r="V101" s="1">
        <f t="shared" si="23"/>
        <v>8.2552808988764053</v>
      </c>
      <c r="W101" s="1">
        <v>33.4</v>
      </c>
      <c r="X101" s="1">
        <v>25.8</v>
      </c>
      <c r="Y101" s="1">
        <v>27.4</v>
      </c>
      <c r="Z101" s="1">
        <v>26.6</v>
      </c>
      <c r="AA101" s="1">
        <v>23.6</v>
      </c>
      <c r="AB101" s="1">
        <v>23.2</v>
      </c>
      <c r="AC101" s="1">
        <v>24.4</v>
      </c>
      <c r="AD101" s="1">
        <v>26.8</v>
      </c>
      <c r="AE101" s="1">
        <v>27</v>
      </c>
      <c r="AF101" s="1">
        <v>26.4</v>
      </c>
      <c r="AG101" s="1"/>
      <c r="AH101" s="1">
        <f t="shared" si="26"/>
        <v>7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9" t="s">
        <v>141</v>
      </c>
      <c r="B102" s="9" t="s">
        <v>40</v>
      </c>
      <c r="C102" s="9">
        <v>87</v>
      </c>
      <c r="D102" s="9"/>
      <c r="E102" s="9">
        <v>77</v>
      </c>
      <c r="F102" s="9">
        <v>4</v>
      </c>
      <c r="G102" s="10">
        <v>0</v>
      </c>
      <c r="H102" s="9">
        <v>90</v>
      </c>
      <c r="I102" s="9" t="s">
        <v>48</v>
      </c>
      <c r="J102" s="9"/>
      <c r="K102" s="9">
        <v>109</v>
      </c>
      <c r="L102" s="9">
        <f t="shared" ref="L102:L133" si="30">E102-K102</f>
        <v>-32</v>
      </c>
      <c r="M102" s="9"/>
      <c r="N102" s="9"/>
      <c r="O102" s="9">
        <v>0</v>
      </c>
      <c r="P102" s="28"/>
      <c r="Q102" s="9">
        <f t="shared" ref="Q102:Q136" si="31">E102/5</f>
        <v>15.4</v>
      </c>
      <c r="R102" s="11"/>
      <c r="S102" s="5">
        <f t="shared" si="24"/>
        <v>0</v>
      </c>
      <c r="T102" s="20"/>
      <c r="U102" s="1">
        <f t="shared" si="25"/>
        <v>0.25974025974025972</v>
      </c>
      <c r="V102" s="9">
        <f t="shared" ref="V102:V136" si="32">(F102+O102)/Q102</f>
        <v>0.25974025974025972</v>
      </c>
      <c r="W102" s="9">
        <v>25</v>
      </c>
      <c r="X102" s="9">
        <v>18.2</v>
      </c>
      <c r="Y102" s="9">
        <v>13.4</v>
      </c>
      <c r="Z102" s="9">
        <v>16.8</v>
      </c>
      <c r="AA102" s="9">
        <v>20</v>
      </c>
      <c r="AB102" s="9">
        <v>19.2</v>
      </c>
      <c r="AC102" s="9">
        <v>18.399999999999999</v>
      </c>
      <c r="AD102" s="9">
        <v>18.2</v>
      </c>
      <c r="AE102" s="9">
        <v>16.8</v>
      </c>
      <c r="AF102" s="9">
        <v>18.600000000000001</v>
      </c>
      <c r="AG102" s="9"/>
      <c r="AH102" s="1">
        <f t="shared" si="26"/>
        <v>0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 t="s">
        <v>142</v>
      </c>
      <c r="B103" s="1" t="s">
        <v>40</v>
      </c>
      <c r="C103" s="1">
        <v>1</v>
      </c>
      <c r="D103" s="1">
        <v>144</v>
      </c>
      <c r="E103" s="1">
        <v>9</v>
      </c>
      <c r="F103" s="1">
        <v>117</v>
      </c>
      <c r="G103" s="7">
        <v>0.3</v>
      </c>
      <c r="H103" s="1">
        <v>40</v>
      </c>
      <c r="I103" s="1" t="s">
        <v>36</v>
      </c>
      <c r="J103" s="1"/>
      <c r="K103" s="1">
        <v>211</v>
      </c>
      <c r="L103" s="1">
        <f t="shared" si="30"/>
        <v>-202</v>
      </c>
      <c r="M103" s="1"/>
      <c r="N103" s="1"/>
      <c r="O103" s="1">
        <v>0</v>
      </c>
      <c r="P103" s="25"/>
      <c r="Q103" s="1">
        <f t="shared" si="31"/>
        <v>1.8</v>
      </c>
      <c r="R103" s="5"/>
      <c r="S103" s="5">
        <f t="shared" si="24"/>
        <v>0</v>
      </c>
      <c r="T103" s="19"/>
      <c r="U103" s="1">
        <f t="shared" si="25"/>
        <v>65</v>
      </c>
      <c r="V103" s="1">
        <f t="shared" si="32"/>
        <v>65</v>
      </c>
      <c r="W103" s="1">
        <v>0</v>
      </c>
      <c r="X103" s="1">
        <v>35.200000000000003</v>
      </c>
      <c r="Y103" s="1">
        <v>41.4</v>
      </c>
      <c r="Z103" s="1">
        <v>45.4</v>
      </c>
      <c r="AA103" s="1">
        <v>42</v>
      </c>
      <c r="AB103" s="1">
        <v>32.799999999999997</v>
      </c>
      <c r="AC103" s="1">
        <v>34.200000000000003</v>
      </c>
      <c r="AD103" s="1">
        <v>48.4</v>
      </c>
      <c r="AE103" s="1">
        <v>53.4</v>
      </c>
      <c r="AF103" s="1">
        <v>14.4</v>
      </c>
      <c r="AG103" s="1"/>
      <c r="AH103" s="1">
        <f t="shared" si="26"/>
        <v>0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 t="s">
        <v>143</v>
      </c>
      <c r="B104" s="1" t="s">
        <v>35</v>
      </c>
      <c r="C104" s="1">
        <v>251.82</v>
      </c>
      <c r="D104" s="1">
        <v>5.4749999999999996</v>
      </c>
      <c r="E104" s="1">
        <v>82.641999999999996</v>
      </c>
      <c r="F104" s="1">
        <v>146.41</v>
      </c>
      <c r="G104" s="7">
        <v>1</v>
      </c>
      <c r="H104" s="1">
        <v>55</v>
      </c>
      <c r="I104" s="1" t="s">
        <v>36</v>
      </c>
      <c r="J104" s="1"/>
      <c r="K104" s="1">
        <v>69.2</v>
      </c>
      <c r="L104" s="1">
        <f t="shared" si="30"/>
        <v>13.441999999999993</v>
      </c>
      <c r="M104" s="1"/>
      <c r="N104" s="1"/>
      <c r="O104" s="1">
        <v>0</v>
      </c>
      <c r="P104" s="25"/>
      <c r="Q104" s="1">
        <f t="shared" si="31"/>
        <v>16.528399999999998</v>
      </c>
      <c r="R104" s="5">
        <f t="shared" ref="R104" si="33">11*Q104-O104-F104</f>
        <v>35.402399999999972</v>
      </c>
      <c r="S104" s="5">
        <f t="shared" si="24"/>
        <v>35.402399999999972</v>
      </c>
      <c r="T104" s="19"/>
      <c r="U104" s="1">
        <f t="shared" si="25"/>
        <v>11</v>
      </c>
      <c r="V104" s="1">
        <f t="shared" si="32"/>
        <v>8.8580866871566517</v>
      </c>
      <c r="W104" s="1">
        <v>14.6228</v>
      </c>
      <c r="X104" s="1">
        <v>16.844999999999999</v>
      </c>
      <c r="Y104" s="1">
        <v>18.491800000000001</v>
      </c>
      <c r="Z104" s="1">
        <v>20.605</v>
      </c>
      <c r="AA104" s="1">
        <v>20.893799999999999</v>
      </c>
      <c r="AB104" s="1">
        <v>18.738800000000001</v>
      </c>
      <c r="AC104" s="1">
        <v>20.331600000000002</v>
      </c>
      <c r="AD104" s="1">
        <v>17.024799999999999</v>
      </c>
      <c r="AE104" s="1">
        <v>19.844799999999999</v>
      </c>
      <c r="AF104" s="1">
        <v>21.769400000000001</v>
      </c>
      <c r="AG104" s="1"/>
      <c r="AH104" s="1">
        <f t="shared" si="26"/>
        <v>35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9" t="s">
        <v>144</v>
      </c>
      <c r="B105" s="9" t="s">
        <v>40</v>
      </c>
      <c r="C105" s="9"/>
      <c r="D105" s="9"/>
      <c r="E105" s="9"/>
      <c r="F105" s="9"/>
      <c r="G105" s="10">
        <v>0</v>
      </c>
      <c r="H105" s="9"/>
      <c r="I105" s="9" t="s">
        <v>36</v>
      </c>
      <c r="J105" s="9"/>
      <c r="K105" s="9"/>
      <c r="L105" s="9">
        <f t="shared" si="30"/>
        <v>0</v>
      </c>
      <c r="M105" s="9"/>
      <c r="N105" s="9"/>
      <c r="O105" s="9">
        <v>0</v>
      </c>
      <c r="P105" s="28"/>
      <c r="Q105" s="9">
        <f t="shared" si="31"/>
        <v>0</v>
      </c>
      <c r="R105" s="11"/>
      <c r="S105" s="5">
        <f t="shared" si="24"/>
        <v>0</v>
      </c>
      <c r="T105" s="20"/>
      <c r="U105" s="1" t="e">
        <f t="shared" si="25"/>
        <v>#DIV/0!</v>
      </c>
      <c r="V105" s="9" t="e">
        <f t="shared" si="32"/>
        <v>#DIV/0!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 t="s">
        <v>41</v>
      </c>
      <c r="AH105" s="1">
        <f t="shared" si="26"/>
        <v>0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 t="s">
        <v>145</v>
      </c>
      <c r="B106" s="1" t="s">
        <v>40</v>
      </c>
      <c r="C106" s="1">
        <v>14</v>
      </c>
      <c r="D106" s="1">
        <v>3</v>
      </c>
      <c r="E106" s="1">
        <v>15</v>
      </c>
      <c r="F106" s="1"/>
      <c r="G106" s="7">
        <v>0.1</v>
      </c>
      <c r="H106" s="1">
        <v>30</v>
      </c>
      <c r="I106" s="1" t="s">
        <v>36</v>
      </c>
      <c r="J106" s="1"/>
      <c r="K106" s="1">
        <v>17</v>
      </c>
      <c r="L106" s="1">
        <f t="shared" si="30"/>
        <v>-2</v>
      </c>
      <c r="M106" s="1"/>
      <c r="N106" s="1"/>
      <c r="O106" s="1">
        <v>16.8</v>
      </c>
      <c r="P106" s="25"/>
      <c r="Q106" s="1">
        <f t="shared" si="31"/>
        <v>3</v>
      </c>
      <c r="R106" s="5">
        <f t="shared" ref="R106:R112" si="34">11*Q106-O106-F106</f>
        <v>16.2</v>
      </c>
      <c r="S106" s="5">
        <f t="shared" si="24"/>
        <v>16.2</v>
      </c>
      <c r="T106" s="19"/>
      <c r="U106" s="1">
        <f t="shared" si="25"/>
        <v>11</v>
      </c>
      <c r="V106" s="1">
        <f t="shared" si="32"/>
        <v>5.6000000000000005</v>
      </c>
      <c r="W106" s="1">
        <v>2.8</v>
      </c>
      <c r="X106" s="1">
        <v>0.2</v>
      </c>
      <c r="Y106" s="1">
        <v>1.6</v>
      </c>
      <c r="Z106" s="1">
        <v>1.8</v>
      </c>
      <c r="AA106" s="1">
        <v>2</v>
      </c>
      <c r="AB106" s="1">
        <v>1.4</v>
      </c>
      <c r="AC106" s="1">
        <v>1.6</v>
      </c>
      <c r="AD106" s="1">
        <v>1.4</v>
      </c>
      <c r="AE106" s="1">
        <v>1.4</v>
      </c>
      <c r="AF106" s="1">
        <v>2.2000000000000002</v>
      </c>
      <c r="AG106" s="1"/>
      <c r="AH106" s="1">
        <f t="shared" si="26"/>
        <v>2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 t="s">
        <v>146</v>
      </c>
      <c r="B107" s="1" t="s">
        <v>40</v>
      </c>
      <c r="C107" s="1">
        <v>381</v>
      </c>
      <c r="D107" s="1">
        <v>150</v>
      </c>
      <c r="E107" s="1">
        <v>262</v>
      </c>
      <c r="F107" s="1">
        <v>237</v>
      </c>
      <c r="G107" s="7">
        <v>0.08</v>
      </c>
      <c r="H107" s="1">
        <v>45</v>
      </c>
      <c r="I107" s="1" t="s">
        <v>36</v>
      </c>
      <c r="J107" s="1"/>
      <c r="K107" s="1">
        <v>272</v>
      </c>
      <c r="L107" s="1">
        <f t="shared" si="30"/>
        <v>-10</v>
      </c>
      <c r="M107" s="1"/>
      <c r="N107" s="1"/>
      <c r="O107" s="1">
        <v>96.93200000000013</v>
      </c>
      <c r="P107" s="25"/>
      <c r="Q107" s="1">
        <f t="shared" si="31"/>
        <v>52.4</v>
      </c>
      <c r="R107" s="5">
        <f t="shared" si="34"/>
        <v>242.46799999999985</v>
      </c>
      <c r="S107" s="5">
        <f t="shared" si="24"/>
        <v>242.46799999999985</v>
      </c>
      <c r="T107" s="19"/>
      <c r="U107" s="1">
        <f t="shared" si="25"/>
        <v>11</v>
      </c>
      <c r="V107" s="1">
        <f t="shared" si="32"/>
        <v>6.3727480916030563</v>
      </c>
      <c r="W107" s="1">
        <v>43.2</v>
      </c>
      <c r="X107" s="1">
        <v>38.799999999999997</v>
      </c>
      <c r="Y107" s="1">
        <v>42.2</v>
      </c>
      <c r="Z107" s="1">
        <v>43.2</v>
      </c>
      <c r="AA107" s="1">
        <v>37.6</v>
      </c>
      <c r="AB107" s="1">
        <v>41.6</v>
      </c>
      <c r="AC107" s="1">
        <v>50.8</v>
      </c>
      <c r="AD107" s="1">
        <v>54</v>
      </c>
      <c r="AE107" s="1">
        <v>50</v>
      </c>
      <c r="AF107" s="1">
        <v>41.4</v>
      </c>
      <c r="AG107" s="1"/>
      <c r="AH107" s="1">
        <f t="shared" si="26"/>
        <v>19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 t="s">
        <v>147</v>
      </c>
      <c r="B108" s="1" t="s">
        <v>40</v>
      </c>
      <c r="C108" s="1">
        <v>252</v>
      </c>
      <c r="D108" s="1">
        <v>150</v>
      </c>
      <c r="E108" s="1">
        <v>225</v>
      </c>
      <c r="F108" s="1">
        <v>152</v>
      </c>
      <c r="G108" s="7">
        <v>0.08</v>
      </c>
      <c r="H108" s="1">
        <v>45</v>
      </c>
      <c r="I108" s="1" t="s">
        <v>36</v>
      </c>
      <c r="J108" s="1"/>
      <c r="K108" s="1">
        <v>230</v>
      </c>
      <c r="L108" s="1">
        <f t="shared" si="30"/>
        <v>-5</v>
      </c>
      <c r="M108" s="1"/>
      <c r="N108" s="1"/>
      <c r="O108" s="1">
        <v>278.3</v>
      </c>
      <c r="P108" s="25"/>
      <c r="Q108" s="1">
        <f t="shared" si="31"/>
        <v>45</v>
      </c>
      <c r="R108" s="5">
        <f t="shared" si="34"/>
        <v>64.699999999999989</v>
      </c>
      <c r="S108" s="5">
        <f t="shared" si="24"/>
        <v>64.699999999999989</v>
      </c>
      <c r="T108" s="19"/>
      <c r="U108" s="1">
        <f t="shared" si="25"/>
        <v>11</v>
      </c>
      <c r="V108" s="1">
        <f t="shared" si="32"/>
        <v>9.5622222222222231</v>
      </c>
      <c r="W108" s="1">
        <v>48.6</v>
      </c>
      <c r="X108" s="1">
        <v>29</v>
      </c>
      <c r="Y108" s="1">
        <v>23</v>
      </c>
      <c r="Z108" s="1">
        <v>33.200000000000003</v>
      </c>
      <c r="AA108" s="1">
        <v>35</v>
      </c>
      <c r="AB108" s="1">
        <v>35.6</v>
      </c>
      <c r="AC108" s="1">
        <v>38.6</v>
      </c>
      <c r="AD108" s="1">
        <v>40.6</v>
      </c>
      <c r="AE108" s="1">
        <v>35.200000000000003</v>
      </c>
      <c r="AF108" s="1">
        <v>30.6</v>
      </c>
      <c r="AG108" s="1"/>
      <c r="AH108" s="1">
        <f t="shared" si="26"/>
        <v>5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 t="s">
        <v>148</v>
      </c>
      <c r="B109" s="1" t="s">
        <v>40</v>
      </c>
      <c r="C109" s="1">
        <v>16</v>
      </c>
      <c r="D109" s="1"/>
      <c r="E109" s="1">
        <v>10</v>
      </c>
      <c r="F109" s="1">
        <v>4</v>
      </c>
      <c r="G109" s="7">
        <v>0.17</v>
      </c>
      <c r="H109" s="1">
        <v>30</v>
      </c>
      <c r="I109" s="1" t="s">
        <v>36</v>
      </c>
      <c r="J109" s="1"/>
      <c r="K109" s="1">
        <v>17</v>
      </c>
      <c r="L109" s="1">
        <f t="shared" si="30"/>
        <v>-7</v>
      </c>
      <c r="M109" s="1"/>
      <c r="N109" s="1"/>
      <c r="O109" s="1">
        <v>26.2</v>
      </c>
      <c r="P109" s="25"/>
      <c r="Q109" s="1">
        <f t="shared" si="31"/>
        <v>2</v>
      </c>
      <c r="R109" s="5"/>
      <c r="S109" s="5">
        <f t="shared" si="24"/>
        <v>0</v>
      </c>
      <c r="T109" s="19"/>
      <c r="U109" s="1">
        <f t="shared" si="25"/>
        <v>15.1</v>
      </c>
      <c r="V109" s="1">
        <f t="shared" si="32"/>
        <v>15.1</v>
      </c>
      <c r="W109" s="1">
        <v>4.2</v>
      </c>
      <c r="X109" s="1">
        <v>1.6</v>
      </c>
      <c r="Y109" s="1">
        <v>0.4</v>
      </c>
      <c r="Z109" s="1">
        <v>0.4</v>
      </c>
      <c r="AA109" s="1">
        <v>1.8</v>
      </c>
      <c r="AB109" s="1">
        <v>1.4</v>
      </c>
      <c r="AC109" s="1">
        <v>0.6</v>
      </c>
      <c r="AD109" s="1">
        <v>0.2</v>
      </c>
      <c r="AE109" s="1">
        <v>1</v>
      </c>
      <c r="AF109" s="1">
        <v>2</v>
      </c>
      <c r="AG109" s="1" t="s">
        <v>149</v>
      </c>
      <c r="AH109" s="1">
        <f t="shared" si="26"/>
        <v>0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 t="s">
        <v>150</v>
      </c>
      <c r="B110" s="1" t="s">
        <v>35</v>
      </c>
      <c r="C110" s="1">
        <v>737.90099999999995</v>
      </c>
      <c r="D110" s="1">
        <v>521.39099999999996</v>
      </c>
      <c r="E110" s="1">
        <v>437.00099999999998</v>
      </c>
      <c r="F110" s="1">
        <v>769.24699999999996</v>
      </c>
      <c r="G110" s="7">
        <v>1</v>
      </c>
      <c r="H110" s="1">
        <v>40</v>
      </c>
      <c r="I110" s="1" t="s">
        <v>36</v>
      </c>
      <c r="J110" s="1"/>
      <c r="K110" s="1">
        <v>448.15</v>
      </c>
      <c r="L110" s="1">
        <f t="shared" si="30"/>
        <v>-11.149000000000001</v>
      </c>
      <c r="M110" s="1"/>
      <c r="N110" s="1"/>
      <c r="O110" s="1">
        <v>0</v>
      </c>
      <c r="P110" s="25"/>
      <c r="Q110" s="1">
        <f t="shared" si="31"/>
        <v>87.400199999999998</v>
      </c>
      <c r="R110" s="5">
        <f t="shared" si="34"/>
        <v>192.15520000000004</v>
      </c>
      <c r="S110" s="5">
        <f>R110+Q110*$S$1</f>
        <v>349.47556000000003</v>
      </c>
      <c r="T110" s="19"/>
      <c r="U110" s="1">
        <f t="shared" si="25"/>
        <v>12.799999999999999</v>
      </c>
      <c r="V110" s="1">
        <f t="shared" si="32"/>
        <v>8.8014329486660206</v>
      </c>
      <c r="W110" s="1">
        <v>80.573400000000007</v>
      </c>
      <c r="X110" s="1">
        <v>83.3596</v>
      </c>
      <c r="Y110" s="1">
        <v>84.740200000000002</v>
      </c>
      <c r="Z110" s="1">
        <v>85.5518</v>
      </c>
      <c r="AA110" s="1">
        <v>88.798400000000001</v>
      </c>
      <c r="AB110" s="1">
        <v>81.619799999999998</v>
      </c>
      <c r="AC110" s="1">
        <v>70.697800000000001</v>
      </c>
      <c r="AD110" s="1">
        <v>58.890599999999992</v>
      </c>
      <c r="AE110" s="1">
        <v>61.716999999999999</v>
      </c>
      <c r="AF110" s="1">
        <v>68.288199999999989</v>
      </c>
      <c r="AG110" s="1"/>
      <c r="AH110" s="1">
        <f t="shared" si="26"/>
        <v>349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 t="s">
        <v>151</v>
      </c>
      <c r="B111" s="1" t="s">
        <v>35</v>
      </c>
      <c r="C111" s="1">
        <v>469.18099999999998</v>
      </c>
      <c r="D111" s="1">
        <v>531.29499999999996</v>
      </c>
      <c r="E111" s="1">
        <v>300.95699999999999</v>
      </c>
      <c r="F111" s="1">
        <v>663.27099999999996</v>
      </c>
      <c r="G111" s="7">
        <v>1</v>
      </c>
      <c r="H111" s="1">
        <v>40</v>
      </c>
      <c r="I111" s="1" t="s">
        <v>36</v>
      </c>
      <c r="J111" s="1"/>
      <c r="K111" s="1">
        <v>305</v>
      </c>
      <c r="L111" s="1">
        <f t="shared" si="30"/>
        <v>-4.0430000000000064</v>
      </c>
      <c r="M111" s="1"/>
      <c r="N111" s="1"/>
      <c r="O111" s="1">
        <v>0</v>
      </c>
      <c r="P111" s="25"/>
      <c r="Q111" s="1">
        <f t="shared" si="31"/>
        <v>60.191400000000002</v>
      </c>
      <c r="R111" s="5"/>
      <c r="S111" s="5">
        <f t="shared" si="24"/>
        <v>0</v>
      </c>
      <c r="T111" s="19"/>
      <c r="U111" s="1">
        <f t="shared" si="25"/>
        <v>11.019364892659084</v>
      </c>
      <c r="V111" s="1">
        <f t="shared" si="32"/>
        <v>11.019364892659084</v>
      </c>
      <c r="W111" s="1">
        <v>58.831200000000003</v>
      </c>
      <c r="X111" s="1">
        <v>66.663600000000002</v>
      </c>
      <c r="Y111" s="1">
        <v>64.051199999999994</v>
      </c>
      <c r="Z111" s="1">
        <v>58.3504</v>
      </c>
      <c r="AA111" s="1">
        <v>61.6798</v>
      </c>
      <c r="AB111" s="1">
        <v>49.1038</v>
      </c>
      <c r="AC111" s="1">
        <v>43.895600000000002</v>
      </c>
      <c r="AD111" s="1">
        <v>38.950400000000002</v>
      </c>
      <c r="AE111" s="1">
        <v>37.585000000000001</v>
      </c>
      <c r="AF111" s="1">
        <v>40.150599999999997</v>
      </c>
      <c r="AG111" s="1"/>
      <c r="AH111" s="1">
        <f t="shared" si="26"/>
        <v>0</v>
      </c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 t="s">
        <v>95</v>
      </c>
      <c r="B112" s="1" t="s">
        <v>35</v>
      </c>
      <c r="C112" s="1">
        <v>770.38</v>
      </c>
      <c r="D112" s="1">
        <v>381.67899999999997</v>
      </c>
      <c r="E112" s="1">
        <v>509.48899999999998</v>
      </c>
      <c r="F112" s="12">
        <f>575.731+F58</f>
        <v>676.274</v>
      </c>
      <c r="G112" s="7">
        <v>1</v>
      </c>
      <c r="H112" s="1">
        <v>40</v>
      </c>
      <c r="I112" s="1" t="s">
        <v>36</v>
      </c>
      <c r="J112" s="1"/>
      <c r="K112" s="1">
        <v>538.54999999999995</v>
      </c>
      <c r="L112" s="1">
        <f t="shared" si="30"/>
        <v>-29.060999999999979</v>
      </c>
      <c r="M112" s="1"/>
      <c r="N112" s="1"/>
      <c r="O112" s="1">
        <v>70.279300000000148</v>
      </c>
      <c r="P112" s="25"/>
      <c r="Q112" s="1">
        <f t="shared" si="31"/>
        <v>101.89779999999999</v>
      </c>
      <c r="R112" s="5">
        <f t="shared" si="34"/>
        <v>374.32249999999965</v>
      </c>
      <c r="S112" s="5">
        <f>R112+Q112*$S$1</f>
        <v>557.7385399999996</v>
      </c>
      <c r="T112" s="19"/>
      <c r="U112" s="1">
        <f t="shared" si="25"/>
        <v>12.8</v>
      </c>
      <c r="V112" s="1">
        <f t="shared" si="32"/>
        <v>7.326490856524873</v>
      </c>
      <c r="W112" s="1">
        <v>89.504600000000011</v>
      </c>
      <c r="X112" s="1">
        <v>76.044000000000011</v>
      </c>
      <c r="Y112" s="1">
        <v>82.587199999999996</v>
      </c>
      <c r="Z112" s="1">
        <v>93.196200000000005</v>
      </c>
      <c r="AA112" s="1">
        <v>104.8322</v>
      </c>
      <c r="AB112" s="1">
        <v>101.123</v>
      </c>
      <c r="AC112" s="1">
        <v>92.513999999999996</v>
      </c>
      <c r="AD112" s="1">
        <v>78.795199999999994</v>
      </c>
      <c r="AE112" s="1">
        <v>78.278199999999998</v>
      </c>
      <c r="AF112" s="1">
        <v>85.24199999999999</v>
      </c>
      <c r="AG112" s="1"/>
      <c r="AH112" s="1">
        <f t="shared" si="26"/>
        <v>558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9" t="s">
        <v>152</v>
      </c>
      <c r="B113" s="9" t="s">
        <v>40</v>
      </c>
      <c r="C113" s="9"/>
      <c r="D113" s="9"/>
      <c r="E113" s="9"/>
      <c r="F113" s="9"/>
      <c r="G113" s="10">
        <v>0</v>
      </c>
      <c r="H113" s="9"/>
      <c r="I113" s="9" t="s">
        <v>36</v>
      </c>
      <c r="J113" s="9"/>
      <c r="K113" s="9"/>
      <c r="L113" s="9">
        <f t="shared" si="30"/>
        <v>0</v>
      </c>
      <c r="M113" s="9"/>
      <c r="N113" s="9"/>
      <c r="O113" s="9">
        <v>0</v>
      </c>
      <c r="P113" s="28"/>
      <c r="Q113" s="9">
        <f t="shared" si="31"/>
        <v>0</v>
      </c>
      <c r="R113" s="11"/>
      <c r="S113" s="5">
        <f t="shared" si="24"/>
        <v>0</v>
      </c>
      <c r="T113" s="20"/>
      <c r="U113" s="1" t="e">
        <f t="shared" si="25"/>
        <v>#DIV/0!</v>
      </c>
      <c r="V113" s="9" t="e">
        <f t="shared" si="32"/>
        <v>#DIV/0!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 t="s">
        <v>41</v>
      </c>
      <c r="AH113" s="1">
        <f t="shared" si="26"/>
        <v>0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 t="s">
        <v>153</v>
      </c>
      <c r="B114" s="1" t="s">
        <v>35</v>
      </c>
      <c r="C114" s="1">
        <v>25.32</v>
      </c>
      <c r="D114" s="1"/>
      <c r="E114" s="1">
        <v>8.0749999999999993</v>
      </c>
      <c r="F114" s="1">
        <v>17.245000000000001</v>
      </c>
      <c r="G114" s="7">
        <v>1</v>
      </c>
      <c r="H114" s="1">
        <v>55</v>
      </c>
      <c r="I114" s="1" t="s">
        <v>36</v>
      </c>
      <c r="J114" s="1"/>
      <c r="K114" s="1">
        <v>7.2</v>
      </c>
      <c r="L114" s="1">
        <f t="shared" si="30"/>
        <v>0.87499999999999911</v>
      </c>
      <c r="M114" s="1"/>
      <c r="N114" s="1"/>
      <c r="O114" s="1">
        <v>0</v>
      </c>
      <c r="P114" s="25"/>
      <c r="Q114" s="1">
        <f t="shared" si="31"/>
        <v>1.6149999999999998</v>
      </c>
      <c r="R114" s="5"/>
      <c r="S114" s="5">
        <f t="shared" si="24"/>
        <v>0</v>
      </c>
      <c r="T114" s="19"/>
      <c r="U114" s="1">
        <f t="shared" si="25"/>
        <v>10.678018575851395</v>
      </c>
      <c r="V114" s="1">
        <f t="shared" si="32"/>
        <v>10.678018575851395</v>
      </c>
      <c r="W114" s="1">
        <v>1.3408</v>
      </c>
      <c r="X114" s="1">
        <v>1</v>
      </c>
      <c r="Y114" s="1">
        <v>1.2816000000000001</v>
      </c>
      <c r="Z114" s="1">
        <v>0.28160000000000002</v>
      </c>
      <c r="AA114" s="1">
        <v>0</v>
      </c>
      <c r="AB114" s="1">
        <v>0.29120000000000001</v>
      </c>
      <c r="AC114" s="1">
        <v>0.29120000000000001</v>
      </c>
      <c r="AD114" s="1">
        <v>3.2582</v>
      </c>
      <c r="AE114" s="1">
        <v>3.821800000000001</v>
      </c>
      <c r="AF114" s="1">
        <v>0.56359999999999999</v>
      </c>
      <c r="AG114" s="16" t="s">
        <v>154</v>
      </c>
      <c r="AH114" s="1">
        <f t="shared" si="26"/>
        <v>0</v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 t="s">
        <v>155</v>
      </c>
      <c r="B115" s="1" t="s">
        <v>40</v>
      </c>
      <c r="C115" s="1">
        <v>220</v>
      </c>
      <c r="D115" s="1">
        <v>343</v>
      </c>
      <c r="E115" s="1">
        <v>397</v>
      </c>
      <c r="F115" s="1">
        <v>100</v>
      </c>
      <c r="G115" s="7">
        <v>0.28000000000000003</v>
      </c>
      <c r="H115" s="1">
        <v>40</v>
      </c>
      <c r="I115" s="1" t="s">
        <v>36</v>
      </c>
      <c r="J115" s="1"/>
      <c r="K115" s="1">
        <v>421</v>
      </c>
      <c r="L115" s="1">
        <f t="shared" si="30"/>
        <v>-24</v>
      </c>
      <c r="M115" s="1"/>
      <c r="N115" s="1"/>
      <c r="O115" s="1">
        <v>272.83900000000011</v>
      </c>
      <c r="P115" s="25"/>
      <c r="Q115" s="1">
        <f t="shared" si="31"/>
        <v>79.400000000000006</v>
      </c>
      <c r="R115" s="5">
        <f t="shared" ref="R115" si="35">11*Q115-O115-F115</f>
        <v>500.56099999999992</v>
      </c>
      <c r="S115" s="5">
        <f t="shared" si="24"/>
        <v>500.56099999999992</v>
      </c>
      <c r="T115" s="19"/>
      <c r="U115" s="1">
        <f t="shared" si="25"/>
        <v>11</v>
      </c>
      <c r="V115" s="1">
        <f t="shared" si="32"/>
        <v>4.6957052896725449</v>
      </c>
      <c r="W115" s="1">
        <v>86.4</v>
      </c>
      <c r="X115" s="1">
        <v>61.8</v>
      </c>
      <c r="Y115" s="1">
        <v>64.599999999999994</v>
      </c>
      <c r="Z115" s="1">
        <v>68.400000000000006</v>
      </c>
      <c r="AA115" s="1">
        <v>56</v>
      </c>
      <c r="AB115" s="1">
        <v>64.599999999999994</v>
      </c>
      <c r="AC115" s="1">
        <v>67.400000000000006</v>
      </c>
      <c r="AD115" s="1">
        <v>57.4</v>
      </c>
      <c r="AE115" s="1">
        <v>60.6</v>
      </c>
      <c r="AF115" s="1">
        <v>65.400000000000006</v>
      </c>
      <c r="AG115" s="1"/>
      <c r="AH115" s="1">
        <f t="shared" si="26"/>
        <v>140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9" t="s">
        <v>156</v>
      </c>
      <c r="B116" s="9" t="s">
        <v>40</v>
      </c>
      <c r="C116" s="9"/>
      <c r="D116" s="9"/>
      <c r="E116" s="9"/>
      <c r="F116" s="9"/>
      <c r="G116" s="10">
        <v>0</v>
      </c>
      <c r="H116" s="9"/>
      <c r="I116" s="9" t="s">
        <v>36</v>
      </c>
      <c r="J116" s="9"/>
      <c r="K116" s="9"/>
      <c r="L116" s="9">
        <f t="shared" si="30"/>
        <v>0</v>
      </c>
      <c r="M116" s="9"/>
      <c r="N116" s="9"/>
      <c r="O116" s="9">
        <v>0</v>
      </c>
      <c r="P116" s="28"/>
      <c r="Q116" s="9">
        <f t="shared" si="31"/>
        <v>0</v>
      </c>
      <c r="R116" s="11"/>
      <c r="S116" s="5">
        <f t="shared" si="24"/>
        <v>0</v>
      </c>
      <c r="T116" s="20"/>
      <c r="U116" s="1" t="e">
        <f t="shared" si="25"/>
        <v>#DIV/0!</v>
      </c>
      <c r="V116" s="9" t="e">
        <f t="shared" si="32"/>
        <v>#DIV/0!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 t="s">
        <v>41</v>
      </c>
      <c r="AH116" s="1">
        <f t="shared" si="26"/>
        <v>0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 t="s">
        <v>157</v>
      </c>
      <c r="B117" s="1" t="s">
        <v>40</v>
      </c>
      <c r="C117" s="1">
        <v>243</v>
      </c>
      <c r="D117" s="1">
        <v>733</v>
      </c>
      <c r="E117" s="1">
        <v>335</v>
      </c>
      <c r="F117" s="1">
        <v>582</v>
      </c>
      <c r="G117" s="7">
        <v>0.28000000000000003</v>
      </c>
      <c r="H117" s="1">
        <v>40</v>
      </c>
      <c r="I117" s="1" t="s">
        <v>36</v>
      </c>
      <c r="J117" s="1"/>
      <c r="K117" s="1">
        <v>364</v>
      </c>
      <c r="L117" s="1">
        <f t="shared" si="30"/>
        <v>-29</v>
      </c>
      <c r="M117" s="1"/>
      <c r="N117" s="1"/>
      <c r="O117" s="1">
        <v>0</v>
      </c>
      <c r="P117" s="25"/>
      <c r="Q117" s="1">
        <f t="shared" si="31"/>
        <v>67</v>
      </c>
      <c r="R117" s="5">
        <f t="shared" ref="R117:R119" si="36">11*Q117-O117-F117</f>
        <v>155</v>
      </c>
      <c r="S117" s="5">
        <f t="shared" si="24"/>
        <v>155</v>
      </c>
      <c r="T117" s="19"/>
      <c r="U117" s="1">
        <f t="shared" si="25"/>
        <v>11</v>
      </c>
      <c r="V117" s="1">
        <f t="shared" si="32"/>
        <v>8.6865671641791042</v>
      </c>
      <c r="W117" s="1">
        <v>69</v>
      </c>
      <c r="X117" s="1">
        <v>63</v>
      </c>
      <c r="Y117" s="1">
        <v>66.8</v>
      </c>
      <c r="Z117" s="1">
        <v>66.400000000000006</v>
      </c>
      <c r="AA117" s="1">
        <v>53</v>
      </c>
      <c r="AB117" s="1">
        <v>66.400000000000006</v>
      </c>
      <c r="AC117" s="1">
        <v>72.8</v>
      </c>
      <c r="AD117" s="1">
        <v>61.4</v>
      </c>
      <c r="AE117" s="1">
        <v>55.6</v>
      </c>
      <c r="AF117" s="1">
        <v>59</v>
      </c>
      <c r="AG117" s="1"/>
      <c r="AH117" s="1">
        <f t="shared" si="26"/>
        <v>43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5" t="s">
        <v>158</v>
      </c>
      <c r="B118" s="1" t="s">
        <v>40</v>
      </c>
      <c r="C118" s="1"/>
      <c r="D118" s="1"/>
      <c r="E118" s="1"/>
      <c r="F118" s="1"/>
      <c r="G118" s="7">
        <v>0.09</v>
      </c>
      <c r="H118" s="1"/>
      <c r="I118" s="1" t="s">
        <v>36</v>
      </c>
      <c r="J118" s="1"/>
      <c r="K118" s="1"/>
      <c r="L118" s="1">
        <f t="shared" si="30"/>
        <v>0</v>
      </c>
      <c r="M118" s="1"/>
      <c r="N118" s="1"/>
      <c r="O118" s="1">
        <v>30</v>
      </c>
      <c r="P118" s="25"/>
      <c r="Q118" s="1">
        <f t="shared" si="31"/>
        <v>0</v>
      </c>
      <c r="R118" s="5"/>
      <c r="S118" s="5">
        <f t="shared" si="24"/>
        <v>0</v>
      </c>
      <c r="T118" s="19"/>
      <c r="U118" s="1" t="e">
        <f t="shared" si="25"/>
        <v>#DIV/0!</v>
      </c>
      <c r="V118" s="1" t="e">
        <f t="shared" si="32"/>
        <v>#DIV/0!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 t="s">
        <v>159</v>
      </c>
      <c r="AH118" s="1">
        <f t="shared" si="26"/>
        <v>0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 t="s">
        <v>160</v>
      </c>
      <c r="B119" s="1" t="s">
        <v>35</v>
      </c>
      <c r="C119" s="1">
        <v>301.46499999999997</v>
      </c>
      <c r="D119" s="1">
        <v>44.625999999999998</v>
      </c>
      <c r="E119" s="1">
        <v>131.917</v>
      </c>
      <c r="F119" s="1">
        <v>197.31100000000001</v>
      </c>
      <c r="G119" s="7">
        <v>1</v>
      </c>
      <c r="H119" s="1">
        <v>60</v>
      </c>
      <c r="I119" s="1" t="s">
        <v>36</v>
      </c>
      <c r="J119" s="1"/>
      <c r="K119" s="1">
        <v>137.5</v>
      </c>
      <c r="L119" s="1">
        <f t="shared" si="30"/>
        <v>-5.5829999999999984</v>
      </c>
      <c r="M119" s="1"/>
      <c r="N119" s="1"/>
      <c r="O119" s="1">
        <v>0</v>
      </c>
      <c r="P119" s="25"/>
      <c r="Q119" s="1">
        <f t="shared" si="31"/>
        <v>26.383400000000002</v>
      </c>
      <c r="R119" s="5">
        <f t="shared" si="36"/>
        <v>92.906399999999991</v>
      </c>
      <c r="S119" s="5">
        <f t="shared" si="24"/>
        <v>92.906399999999991</v>
      </c>
      <c r="T119" s="19"/>
      <c r="U119" s="1">
        <f t="shared" si="25"/>
        <v>11</v>
      </c>
      <c r="V119" s="1">
        <f t="shared" si="32"/>
        <v>7.4786039706785328</v>
      </c>
      <c r="W119" s="1">
        <v>17.169599999999999</v>
      </c>
      <c r="X119" s="1">
        <v>17.895399999999999</v>
      </c>
      <c r="Y119" s="1">
        <v>29.697600000000001</v>
      </c>
      <c r="Z119" s="1">
        <v>35.659999999999997</v>
      </c>
      <c r="AA119" s="1">
        <v>26.834399999999999</v>
      </c>
      <c r="AB119" s="1">
        <v>32.64</v>
      </c>
      <c r="AC119" s="1">
        <v>39.406399999999998</v>
      </c>
      <c r="AD119" s="1">
        <v>36.651000000000003</v>
      </c>
      <c r="AE119" s="1">
        <v>34.523000000000003</v>
      </c>
      <c r="AF119" s="1">
        <v>40.992800000000003</v>
      </c>
      <c r="AG119" s="1"/>
      <c r="AH119" s="1">
        <f t="shared" si="26"/>
        <v>93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5" t="s">
        <v>161</v>
      </c>
      <c r="B120" s="1" t="s">
        <v>35</v>
      </c>
      <c r="C120" s="1">
        <v>79.59</v>
      </c>
      <c r="D120" s="1">
        <v>2.5</v>
      </c>
      <c r="E120" s="1">
        <v>-0.91600000000000004</v>
      </c>
      <c r="F120" s="1">
        <v>82.09</v>
      </c>
      <c r="G120" s="7">
        <v>1</v>
      </c>
      <c r="H120" s="1">
        <v>50</v>
      </c>
      <c r="I120" s="1" t="s">
        <v>36</v>
      </c>
      <c r="J120" s="1"/>
      <c r="K120" s="1">
        <v>65</v>
      </c>
      <c r="L120" s="1">
        <f t="shared" si="30"/>
        <v>-65.915999999999997</v>
      </c>
      <c r="M120" s="1"/>
      <c r="N120" s="1"/>
      <c r="O120" s="1">
        <v>0</v>
      </c>
      <c r="P120" s="25"/>
      <c r="Q120" s="1">
        <f t="shared" si="31"/>
        <v>-0.1832</v>
      </c>
      <c r="R120" s="5"/>
      <c r="S120" s="5">
        <f t="shared" si="24"/>
        <v>0</v>
      </c>
      <c r="T120" s="19"/>
      <c r="U120" s="1">
        <f t="shared" si="25"/>
        <v>-448.08951965065506</v>
      </c>
      <c r="V120" s="1">
        <f t="shared" si="32"/>
        <v>-448.08951965065506</v>
      </c>
      <c r="W120" s="1">
        <v>0.36159999999999998</v>
      </c>
      <c r="X120" s="1">
        <v>4.1176000000000004</v>
      </c>
      <c r="Y120" s="1">
        <v>5.7633999999999999</v>
      </c>
      <c r="Z120" s="1">
        <v>15.0108</v>
      </c>
      <c r="AA120" s="1">
        <v>18.382400000000001</v>
      </c>
      <c r="AB120" s="1">
        <v>18.812799999999999</v>
      </c>
      <c r="AC120" s="1">
        <v>18.2974</v>
      </c>
      <c r="AD120" s="1">
        <v>13.1578</v>
      </c>
      <c r="AE120" s="1">
        <v>13.4122</v>
      </c>
      <c r="AF120" s="1">
        <v>14.643800000000001</v>
      </c>
      <c r="AG120" s="17" t="s">
        <v>82</v>
      </c>
      <c r="AH120" s="1">
        <f t="shared" si="26"/>
        <v>0</v>
      </c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5" t="s">
        <v>162</v>
      </c>
      <c r="B121" s="1" t="s">
        <v>40</v>
      </c>
      <c r="C121" s="1"/>
      <c r="D121" s="1"/>
      <c r="E121" s="1"/>
      <c r="F121" s="1"/>
      <c r="G121" s="7">
        <v>0.09</v>
      </c>
      <c r="H121" s="1"/>
      <c r="I121" s="1" t="s">
        <v>36</v>
      </c>
      <c r="J121" s="1"/>
      <c r="K121" s="1"/>
      <c r="L121" s="1">
        <f t="shared" si="30"/>
        <v>0</v>
      </c>
      <c r="M121" s="1"/>
      <c r="N121" s="1"/>
      <c r="O121" s="1">
        <v>30</v>
      </c>
      <c r="P121" s="25"/>
      <c r="Q121" s="1">
        <f t="shared" si="31"/>
        <v>0</v>
      </c>
      <c r="R121" s="5"/>
      <c r="S121" s="5">
        <f t="shared" si="24"/>
        <v>0</v>
      </c>
      <c r="T121" s="19"/>
      <c r="U121" s="1" t="e">
        <f t="shared" si="25"/>
        <v>#DIV/0!</v>
      </c>
      <c r="V121" s="1" t="e">
        <f t="shared" si="32"/>
        <v>#DIV/0!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 t="s">
        <v>159</v>
      </c>
      <c r="AH121" s="1">
        <f t="shared" si="26"/>
        <v>0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9" t="s">
        <v>163</v>
      </c>
      <c r="B122" s="9" t="s">
        <v>40</v>
      </c>
      <c r="C122" s="9"/>
      <c r="D122" s="9"/>
      <c r="E122" s="9"/>
      <c r="F122" s="9"/>
      <c r="G122" s="10">
        <v>0</v>
      </c>
      <c r="H122" s="9"/>
      <c r="I122" s="9" t="s">
        <v>36</v>
      </c>
      <c r="J122" s="9"/>
      <c r="K122" s="9"/>
      <c r="L122" s="9">
        <f t="shared" si="30"/>
        <v>0</v>
      </c>
      <c r="M122" s="9"/>
      <c r="N122" s="9"/>
      <c r="O122" s="9">
        <v>0</v>
      </c>
      <c r="P122" s="28"/>
      <c r="Q122" s="9">
        <f t="shared" si="31"/>
        <v>0</v>
      </c>
      <c r="R122" s="11"/>
      <c r="S122" s="5">
        <f t="shared" si="24"/>
        <v>0</v>
      </c>
      <c r="T122" s="20"/>
      <c r="U122" s="1" t="e">
        <f t="shared" si="25"/>
        <v>#DIV/0!</v>
      </c>
      <c r="V122" s="9" t="e">
        <f t="shared" si="32"/>
        <v>#DIV/0!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9">
        <v>0</v>
      </c>
      <c r="AG122" s="9" t="s">
        <v>41</v>
      </c>
      <c r="AH122" s="1">
        <f t="shared" si="26"/>
        <v>0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5" t="s">
        <v>164</v>
      </c>
      <c r="B123" s="1" t="s">
        <v>35</v>
      </c>
      <c r="C123" s="1">
        <v>655.56100000000004</v>
      </c>
      <c r="D123" s="1">
        <v>345.96100000000001</v>
      </c>
      <c r="E123" s="1">
        <v>282.90800000000002</v>
      </c>
      <c r="F123" s="1">
        <v>677.47400000000005</v>
      </c>
      <c r="G123" s="7">
        <v>1</v>
      </c>
      <c r="H123" s="1">
        <v>60</v>
      </c>
      <c r="I123" s="1" t="s">
        <v>36</v>
      </c>
      <c r="J123" s="1"/>
      <c r="K123" s="1">
        <v>274.38099999999997</v>
      </c>
      <c r="L123" s="1">
        <f t="shared" si="30"/>
        <v>8.5270000000000437</v>
      </c>
      <c r="M123" s="1"/>
      <c r="N123" s="1"/>
      <c r="O123" s="1">
        <v>0</v>
      </c>
      <c r="P123" s="25"/>
      <c r="Q123" s="1">
        <f t="shared" si="31"/>
        <v>56.581600000000002</v>
      </c>
      <c r="R123" s="5"/>
      <c r="S123" s="5">
        <f t="shared" si="24"/>
        <v>0</v>
      </c>
      <c r="T123" s="19"/>
      <c r="U123" s="1">
        <f t="shared" si="25"/>
        <v>11.973397712330511</v>
      </c>
      <c r="V123" s="1">
        <f t="shared" si="32"/>
        <v>11.973397712330511</v>
      </c>
      <c r="W123" s="1">
        <v>54.922800000000002</v>
      </c>
      <c r="X123" s="1">
        <v>66.630399999999995</v>
      </c>
      <c r="Y123" s="1">
        <v>70.855999999999995</v>
      </c>
      <c r="Z123" s="1">
        <v>76.245800000000003</v>
      </c>
      <c r="AA123" s="1">
        <v>71.3352</v>
      </c>
      <c r="AB123" s="1">
        <v>56.040999999999997</v>
      </c>
      <c r="AC123" s="1">
        <v>58.951800000000013</v>
      </c>
      <c r="AD123" s="1">
        <v>56.642000000000003</v>
      </c>
      <c r="AE123" s="1">
        <v>48.368200000000002</v>
      </c>
      <c r="AF123" s="1">
        <v>57.312800000000003</v>
      </c>
      <c r="AG123" s="1"/>
      <c r="AH123" s="1">
        <f t="shared" si="26"/>
        <v>0</v>
      </c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 t="s">
        <v>165</v>
      </c>
      <c r="B124" s="1" t="s">
        <v>35</v>
      </c>
      <c r="C124" s="1">
        <v>524.00199999999995</v>
      </c>
      <c r="D124" s="1">
        <v>829.096</v>
      </c>
      <c r="E124" s="1">
        <v>378.79500000000002</v>
      </c>
      <c r="F124" s="1">
        <v>912.85299999999995</v>
      </c>
      <c r="G124" s="7">
        <v>1</v>
      </c>
      <c r="H124" s="1">
        <v>60</v>
      </c>
      <c r="I124" s="1" t="s">
        <v>36</v>
      </c>
      <c r="J124" s="1"/>
      <c r="K124" s="1">
        <v>370.35</v>
      </c>
      <c r="L124" s="1">
        <f t="shared" si="30"/>
        <v>8.4449999999999932</v>
      </c>
      <c r="M124" s="1"/>
      <c r="N124" s="1"/>
      <c r="O124" s="1">
        <v>0</v>
      </c>
      <c r="P124" s="25"/>
      <c r="Q124" s="1">
        <f t="shared" si="31"/>
        <v>75.759</v>
      </c>
      <c r="R124" s="5"/>
      <c r="S124" s="5">
        <f t="shared" si="24"/>
        <v>0</v>
      </c>
      <c r="T124" s="19"/>
      <c r="U124" s="1">
        <f t="shared" si="25"/>
        <v>12.049433070658271</v>
      </c>
      <c r="V124" s="1">
        <f t="shared" si="32"/>
        <v>12.049433070658271</v>
      </c>
      <c r="W124" s="1">
        <v>77.756200000000007</v>
      </c>
      <c r="X124" s="1">
        <v>88.792600000000007</v>
      </c>
      <c r="Y124" s="1">
        <v>87.907200000000003</v>
      </c>
      <c r="Z124" s="1">
        <v>90.133600000000001</v>
      </c>
      <c r="AA124" s="1">
        <v>88.307600000000008</v>
      </c>
      <c r="AB124" s="1">
        <v>81.408000000000001</v>
      </c>
      <c r="AC124" s="1">
        <v>81.493200000000002</v>
      </c>
      <c r="AD124" s="1">
        <v>70.010400000000004</v>
      </c>
      <c r="AE124" s="1">
        <v>61.485999999999997</v>
      </c>
      <c r="AF124" s="1">
        <v>75.655000000000001</v>
      </c>
      <c r="AG124" s="1"/>
      <c r="AH124" s="1">
        <f t="shared" si="26"/>
        <v>0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 t="s">
        <v>166</v>
      </c>
      <c r="B125" s="1" t="s">
        <v>35</v>
      </c>
      <c r="C125" s="1">
        <v>152.68100000000001</v>
      </c>
      <c r="D125" s="1">
        <v>361.18799999999999</v>
      </c>
      <c r="E125" s="1">
        <v>152.64699999999999</v>
      </c>
      <c r="F125" s="1">
        <v>307.03199999999998</v>
      </c>
      <c r="G125" s="7">
        <v>1</v>
      </c>
      <c r="H125" s="1">
        <v>60</v>
      </c>
      <c r="I125" s="1" t="s">
        <v>36</v>
      </c>
      <c r="J125" s="1"/>
      <c r="K125" s="1">
        <v>185.75</v>
      </c>
      <c r="L125" s="1">
        <f t="shared" si="30"/>
        <v>-33.103000000000009</v>
      </c>
      <c r="M125" s="1"/>
      <c r="N125" s="1"/>
      <c r="O125" s="1">
        <v>0</v>
      </c>
      <c r="P125" s="25"/>
      <c r="Q125" s="1">
        <f t="shared" si="31"/>
        <v>30.529399999999999</v>
      </c>
      <c r="R125" s="5">
        <f t="shared" ref="R125:R134" si="37">11*Q125-O125-F125</f>
        <v>28.79140000000001</v>
      </c>
      <c r="S125" s="5">
        <f t="shared" si="24"/>
        <v>28.79140000000001</v>
      </c>
      <c r="T125" s="19"/>
      <c r="U125" s="1">
        <f t="shared" si="25"/>
        <v>11</v>
      </c>
      <c r="V125" s="1">
        <f t="shared" si="32"/>
        <v>10.056928730993731</v>
      </c>
      <c r="W125" s="1">
        <v>31.781199999999998</v>
      </c>
      <c r="X125" s="1">
        <v>32.8658</v>
      </c>
      <c r="Y125" s="1">
        <v>29.383600000000001</v>
      </c>
      <c r="Z125" s="1">
        <v>24.572399999999998</v>
      </c>
      <c r="AA125" s="1">
        <v>27.509399999999999</v>
      </c>
      <c r="AB125" s="1">
        <v>31.500800000000002</v>
      </c>
      <c r="AC125" s="1">
        <v>33.397000000000013</v>
      </c>
      <c r="AD125" s="1">
        <v>28.143799999999999</v>
      </c>
      <c r="AE125" s="1">
        <v>21.887799999999999</v>
      </c>
      <c r="AF125" s="1">
        <v>25.122</v>
      </c>
      <c r="AG125" s="1"/>
      <c r="AH125" s="1">
        <f t="shared" si="26"/>
        <v>29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24" t="s">
        <v>167</v>
      </c>
      <c r="B126" s="1" t="s">
        <v>35</v>
      </c>
      <c r="C126" s="1">
        <v>1781.0429999999999</v>
      </c>
      <c r="D126" s="1">
        <v>4581.9889999999996</v>
      </c>
      <c r="E126" s="1">
        <v>1450.93</v>
      </c>
      <c r="F126" s="1">
        <v>4698.4049999999997</v>
      </c>
      <c r="G126" s="7">
        <v>1</v>
      </c>
      <c r="H126" s="1">
        <v>60</v>
      </c>
      <c r="I126" s="1" t="s">
        <v>36</v>
      </c>
      <c r="J126" s="1"/>
      <c r="K126" s="1">
        <v>1462.3</v>
      </c>
      <c r="L126" s="1">
        <f t="shared" si="30"/>
        <v>-11.369999999999891</v>
      </c>
      <c r="M126" s="1"/>
      <c r="N126" s="1"/>
      <c r="O126" s="1">
        <v>0</v>
      </c>
      <c r="P126" s="25">
        <v>300</v>
      </c>
      <c r="Q126" s="1">
        <f t="shared" si="31"/>
        <v>290.18600000000004</v>
      </c>
      <c r="R126" s="5"/>
      <c r="S126" s="5">
        <f t="shared" si="24"/>
        <v>0</v>
      </c>
      <c r="T126" s="19"/>
      <c r="U126" s="1">
        <f t="shared" si="25"/>
        <v>17.224831659694125</v>
      </c>
      <c r="V126" s="1">
        <f t="shared" si="32"/>
        <v>16.191011971631983</v>
      </c>
      <c r="W126" s="1">
        <v>287.87099999999998</v>
      </c>
      <c r="X126" s="1">
        <v>292.56079999999997</v>
      </c>
      <c r="Y126" s="1">
        <v>311.30119999999999</v>
      </c>
      <c r="Z126" s="1">
        <v>194.2492</v>
      </c>
      <c r="AA126" s="1">
        <v>172.9366</v>
      </c>
      <c r="AB126" s="1">
        <v>248.2234</v>
      </c>
      <c r="AC126" s="1">
        <v>192.77199999999999</v>
      </c>
      <c r="AD126" s="1">
        <v>106.2038</v>
      </c>
      <c r="AE126" s="1">
        <v>76.627399999999994</v>
      </c>
      <c r="AF126" s="1">
        <v>49.574399999999997</v>
      </c>
      <c r="AG126" s="1" t="s">
        <v>168</v>
      </c>
      <c r="AH126" s="1">
        <f t="shared" si="26"/>
        <v>0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 t="s">
        <v>169</v>
      </c>
      <c r="B127" s="1" t="s">
        <v>40</v>
      </c>
      <c r="C127" s="1">
        <v>118</v>
      </c>
      <c r="D127" s="1"/>
      <c r="E127" s="1">
        <v>116</v>
      </c>
      <c r="F127" s="1">
        <v>2</v>
      </c>
      <c r="G127" s="7">
        <v>0.25</v>
      </c>
      <c r="H127" s="1"/>
      <c r="I127" s="1" t="s">
        <v>36</v>
      </c>
      <c r="J127" s="1"/>
      <c r="K127" s="1">
        <v>159</v>
      </c>
      <c r="L127" s="1">
        <f t="shared" si="30"/>
        <v>-43</v>
      </c>
      <c r="M127" s="1"/>
      <c r="N127" s="1"/>
      <c r="O127" s="1">
        <v>238.2</v>
      </c>
      <c r="P127" s="25"/>
      <c r="Q127" s="1">
        <f t="shared" si="31"/>
        <v>23.2</v>
      </c>
      <c r="R127" s="5">
        <f t="shared" si="37"/>
        <v>15</v>
      </c>
      <c r="S127" s="5">
        <f t="shared" si="24"/>
        <v>15</v>
      </c>
      <c r="T127" s="19"/>
      <c r="U127" s="1">
        <f t="shared" si="25"/>
        <v>11</v>
      </c>
      <c r="V127" s="1">
        <f t="shared" si="32"/>
        <v>10.353448275862069</v>
      </c>
      <c r="W127" s="1">
        <v>40.4</v>
      </c>
      <c r="X127" s="1">
        <v>17.2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 t="s">
        <v>170</v>
      </c>
      <c r="AH127" s="1">
        <f t="shared" si="26"/>
        <v>4</v>
      </c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 t="s">
        <v>171</v>
      </c>
      <c r="B128" s="1" t="s">
        <v>40</v>
      </c>
      <c r="C128" s="1">
        <v>124</v>
      </c>
      <c r="D128" s="1"/>
      <c r="E128" s="12">
        <f>115+E136</f>
        <v>120</v>
      </c>
      <c r="F128" s="12">
        <f>-11+F136</f>
        <v>4</v>
      </c>
      <c r="G128" s="7">
        <v>0.32500000000000001</v>
      </c>
      <c r="H128" s="1"/>
      <c r="I128" s="1" t="s">
        <v>36</v>
      </c>
      <c r="J128" s="1"/>
      <c r="K128" s="1">
        <v>121</v>
      </c>
      <c r="L128" s="1">
        <f t="shared" si="30"/>
        <v>-1</v>
      </c>
      <c r="M128" s="1"/>
      <c r="N128" s="1"/>
      <c r="O128" s="1">
        <v>214.2</v>
      </c>
      <c r="P128" s="25"/>
      <c r="Q128" s="1">
        <f t="shared" si="31"/>
        <v>24</v>
      </c>
      <c r="R128" s="5">
        <f t="shared" si="37"/>
        <v>45.800000000000011</v>
      </c>
      <c r="S128" s="5">
        <f t="shared" si="24"/>
        <v>45.800000000000011</v>
      </c>
      <c r="T128" s="19"/>
      <c r="U128" s="1">
        <f t="shared" si="25"/>
        <v>11</v>
      </c>
      <c r="V128" s="1">
        <f t="shared" si="32"/>
        <v>9.0916666666666668</v>
      </c>
      <c r="W128" s="1">
        <v>36.799999999999997</v>
      </c>
      <c r="X128" s="1">
        <v>16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 t="s">
        <v>170</v>
      </c>
      <c r="AH128" s="1">
        <f t="shared" si="26"/>
        <v>15</v>
      </c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 t="s">
        <v>172</v>
      </c>
      <c r="B129" s="1" t="s">
        <v>40</v>
      </c>
      <c r="C129" s="1">
        <v>157</v>
      </c>
      <c r="D129" s="1"/>
      <c r="E129" s="1">
        <v>149</v>
      </c>
      <c r="F129" s="1">
        <v>6</v>
      </c>
      <c r="G129" s="7">
        <v>0.25</v>
      </c>
      <c r="H129" s="1"/>
      <c r="I129" s="1" t="s">
        <v>36</v>
      </c>
      <c r="J129" s="1"/>
      <c r="K129" s="1">
        <v>149</v>
      </c>
      <c r="L129" s="1">
        <f t="shared" si="30"/>
        <v>0</v>
      </c>
      <c r="M129" s="1"/>
      <c r="N129" s="1"/>
      <c r="O129" s="1">
        <v>170.4</v>
      </c>
      <c r="P129" s="25"/>
      <c r="Q129" s="1">
        <f t="shared" si="31"/>
        <v>29.8</v>
      </c>
      <c r="R129" s="5">
        <f t="shared" si="37"/>
        <v>151.4</v>
      </c>
      <c r="S129" s="5">
        <f t="shared" si="24"/>
        <v>151.4</v>
      </c>
      <c r="T129" s="19"/>
      <c r="U129" s="1">
        <f t="shared" si="25"/>
        <v>11</v>
      </c>
      <c r="V129" s="1">
        <f t="shared" si="32"/>
        <v>5.9194630872483218</v>
      </c>
      <c r="W129" s="1">
        <v>30.2</v>
      </c>
      <c r="X129" s="1">
        <v>9.4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 t="s">
        <v>170</v>
      </c>
      <c r="AH129" s="1">
        <f t="shared" si="26"/>
        <v>38</v>
      </c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 t="s">
        <v>173</v>
      </c>
      <c r="B130" s="1" t="s">
        <v>40</v>
      </c>
      <c r="C130" s="1">
        <v>-4</v>
      </c>
      <c r="D130" s="1">
        <v>1182</v>
      </c>
      <c r="E130" s="1">
        <v>211</v>
      </c>
      <c r="F130" s="1">
        <v>878</v>
      </c>
      <c r="G130" s="7">
        <v>0.3</v>
      </c>
      <c r="H130" s="1">
        <v>40</v>
      </c>
      <c r="I130" s="1" t="s">
        <v>36</v>
      </c>
      <c r="J130" s="1"/>
      <c r="K130" s="1">
        <v>266</v>
      </c>
      <c r="L130" s="1">
        <f t="shared" si="30"/>
        <v>-55</v>
      </c>
      <c r="M130" s="1"/>
      <c r="N130" s="1"/>
      <c r="O130" s="1">
        <v>0</v>
      </c>
      <c r="P130" s="25"/>
      <c r="Q130" s="1">
        <f t="shared" si="31"/>
        <v>42.2</v>
      </c>
      <c r="R130" s="5"/>
      <c r="S130" s="5">
        <f t="shared" si="24"/>
        <v>0</v>
      </c>
      <c r="T130" s="19"/>
      <c r="U130" s="1">
        <f t="shared" si="25"/>
        <v>20.805687203791468</v>
      </c>
      <c r="V130" s="1">
        <f t="shared" si="32"/>
        <v>20.805687203791468</v>
      </c>
      <c r="W130" s="1">
        <v>25.4</v>
      </c>
      <c r="X130" s="1">
        <v>82.8</v>
      </c>
      <c r="Y130" s="1">
        <v>98.6</v>
      </c>
      <c r="Z130" s="1">
        <v>83.8</v>
      </c>
      <c r="AA130" s="1">
        <v>69</v>
      </c>
      <c r="AB130" s="1">
        <v>67.8</v>
      </c>
      <c r="AC130" s="1">
        <v>71.400000000000006</v>
      </c>
      <c r="AD130" s="1">
        <v>66.400000000000006</v>
      </c>
      <c r="AE130" s="1">
        <v>66</v>
      </c>
      <c r="AF130" s="1">
        <v>67.599999999999994</v>
      </c>
      <c r="AG130" s="1"/>
      <c r="AH130" s="1">
        <f t="shared" si="26"/>
        <v>0</v>
      </c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 t="s">
        <v>174</v>
      </c>
      <c r="B131" s="1" t="s">
        <v>40</v>
      </c>
      <c r="C131" s="1">
        <v>163</v>
      </c>
      <c r="D131" s="1">
        <v>447</v>
      </c>
      <c r="E131" s="1">
        <v>447</v>
      </c>
      <c r="F131" s="1">
        <v>92</v>
      </c>
      <c r="G131" s="7">
        <v>0.3</v>
      </c>
      <c r="H131" s="1">
        <v>40</v>
      </c>
      <c r="I131" s="1" t="s">
        <v>36</v>
      </c>
      <c r="J131" s="1"/>
      <c r="K131" s="1">
        <v>471</v>
      </c>
      <c r="L131" s="1">
        <f t="shared" si="30"/>
        <v>-24</v>
      </c>
      <c r="M131" s="1"/>
      <c r="N131" s="1"/>
      <c r="O131" s="1">
        <v>283.62300000000039</v>
      </c>
      <c r="P131" s="25"/>
      <c r="Q131" s="1">
        <f t="shared" si="31"/>
        <v>89.4</v>
      </c>
      <c r="R131" s="5">
        <f>10*Q131-O131-F131</f>
        <v>518.37699999999961</v>
      </c>
      <c r="S131" s="5">
        <f t="shared" si="24"/>
        <v>518.37699999999961</v>
      </c>
      <c r="T131" s="19"/>
      <c r="U131" s="1">
        <f t="shared" si="25"/>
        <v>10</v>
      </c>
      <c r="V131" s="1">
        <f t="shared" si="32"/>
        <v>4.201599552572711</v>
      </c>
      <c r="W131" s="1">
        <v>93</v>
      </c>
      <c r="X131" s="1">
        <v>65.8</v>
      </c>
      <c r="Y131" s="1">
        <v>68.400000000000006</v>
      </c>
      <c r="Z131" s="1">
        <v>71</v>
      </c>
      <c r="AA131" s="1">
        <v>56</v>
      </c>
      <c r="AB131" s="1">
        <v>55.2</v>
      </c>
      <c r="AC131" s="1">
        <v>59.2</v>
      </c>
      <c r="AD131" s="1">
        <v>57</v>
      </c>
      <c r="AE131" s="1">
        <v>54</v>
      </c>
      <c r="AF131" s="1">
        <v>52.6</v>
      </c>
      <c r="AG131" s="1"/>
      <c r="AH131" s="1">
        <f t="shared" si="26"/>
        <v>156</v>
      </c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 t="s">
        <v>175</v>
      </c>
      <c r="B132" s="1" t="s">
        <v>35</v>
      </c>
      <c r="C132" s="1">
        <v>280.28800000000001</v>
      </c>
      <c r="D132" s="1">
        <v>447.15899999999999</v>
      </c>
      <c r="E132" s="1">
        <v>266.28199999999998</v>
      </c>
      <c r="F132" s="1">
        <v>429.858</v>
      </c>
      <c r="G132" s="7">
        <v>1</v>
      </c>
      <c r="H132" s="1">
        <v>50</v>
      </c>
      <c r="I132" s="1" t="s">
        <v>36</v>
      </c>
      <c r="J132" s="1"/>
      <c r="K132" s="1">
        <v>258.39999999999998</v>
      </c>
      <c r="L132" s="1">
        <f t="shared" si="30"/>
        <v>7.882000000000005</v>
      </c>
      <c r="M132" s="1"/>
      <c r="N132" s="1"/>
      <c r="O132" s="1">
        <v>0</v>
      </c>
      <c r="P132" s="25"/>
      <c r="Q132" s="1">
        <f t="shared" si="31"/>
        <v>53.256399999999999</v>
      </c>
      <c r="R132" s="5">
        <f t="shared" si="37"/>
        <v>155.96239999999995</v>
      </c>
      <c r="S132" s="5">
        <f t="shared" si="24"/>
        <v>155.96239999999995</v>
      </c>
      <c r="T132" s="19"/>
      <c r="U132" s="1">
        <f t="shared" si="25"/>
        <v>11</v>
      </c>
      <c r="V132" s="1">
        <f t="shared" si="32"/>
        <v>8.0714806107810517</v>
      </c>
      <c r="W132" s="1">
        <v>58.144799999999996</v>
      </c>
      <c r="X132" s="1">
        <v>62.955399999999997</v>
      </c>
      <c r="Y132" s="1">
        <v>66.096400000000003</v>
      </c>
      <c r="Z132" s="1">
        <v>58.156999999999996</v>
      </c>
      <c r="AA132" s="1">
        <v>49.684600000000003</v>
      </c>
      <c r="AB132" s="1">
        <v>52.064</v>
      </c>
      <c r="AC132" s="1">
        <v>54.797600000000003</v>
      </c>
      <c r="AD132" s="1">
        <v>47.229799999999997</v>
      </c>
      <c r="AE132" s="1">
        <v>50.653799999999997</v>
      </c>
      <c r="AF132" s="1">
        <v>59.935799999999993</v>
      </c>
      <c r="AG132" s="1"/>
      <c r="AH132" s="1">
        <f t="shared" si="26"/>
        <v>156</v>
      </c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 t="s">
        <v>176</v>
      </c>
      <c r="B133" s="1" t="s">
        <v>40</v>
      </c>
      <c r="C133" s="1">
        <v>466</v>
      </c>
      <c r="D133" s="1"/>
      <c r="E133" s="1">
        <v>316</v>
      </c>
      <c r="F133" s="1">
        <v>120</v>
      </c>
      <c r="G133" s="7">
        <v>0.3</v>
      </c>
      <c r="H133" s="1">
        <v>40</v>
      </c>
      <c r="I133" s="13" t="s">
        <v>62</v>
      </c>
      <c r="J133" s="1"/>
      <c r="K133" s="1">
        <v>323</v>
      </c>
      <c r="L133" s="1">
        <f t="shared" si="30"/>
        <v>-7</v>
      </c>
      <c r="M133" s="1"/>
      <c r="N133" s="1"/>
      <c r="O133" s="1">
        <v>120</v>
      </c>
      <c r="P133" s="25"/>
      <c r="Q133" s="1">
        <f t="shared" si="31"/>
        <v>63.2</v>
      </c>
      <c r="R133" s="14">
        <v>200</v>
      </c>
      <c r="S133" s="5">
        <f t="shared" si="24"/>
        <v>200</v>
      </c>
      <c r="T133" s="21"/>
      <c r="U133" s="1">
        <f t="shared" si="25"/>
        <v>6.962025316455696</v>
      </c>
      <c r="V133" s="1">
        <f t="shared" si="32"/>
        <v>3.7974683544303796</v>
      </c>
      <c r="W133" s="1">
        <v>63.4</v>
      </c>
      <c r="X133" s="1">
        <v>55</v>
      </c>
      <c r="Y133" s="1">
        <v>46.8</v>
      </c>
      <c r="Z133" s="1">
        <v>58.4</v>
      </c>
      <c r="AA133" s="1">
        <v>57.6</v>
      </c>
      <c r="AB133" s="1">
        <v>44.2</v>
      </c>
      <c r="AC133" s="1">
        <v>51.6</v>
      </c>
      <c r="AD133" s="1">
        <v>59.6</v>
      </c>
      <c r="AE133" s="1">
        <v>56.6</v>
      </c>
      <c r="AF133" s="1">
        <v>60</v>
      </c>
      <c r="AG133" s="1"/>
      <c r="AH133" s="1">
        <f t="shared" si="26"/>
        <v>60</v>
      </c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 t="s">
        <v>177</v>
      </c>
      <c r="B134" s="1" t="s">
        <v>40</v>
      </c>
      <c r="C134" s="1">
        <v>98</v>
      </c>
      <c r="D134" s="1">
        <v>17</v>
      </c>
      <c r="E134" s="1">
        <v>71</v>
      </c>
      <c r="F134" s="1">
        <v>25</v>
      </c>
      <c r="G134" s="7">
        <v>0.12</v>
      </c>
      <c r="H134" s="1">
        <v>45</v>
      </c>
      <c r="I134" s="1" t="s">
        <v>36</v>
      </c>
      <c r="J134" s="1"/>
      <c r="K134" s="1">
        <v>77</v>
      </c>
      <c r="L134" s="1">
        <f t="shared" ref="L134:L136" si="38">E134-K134</f>
        <v>-6</v>
      </c>
      <c r="M134" s="1"/>
      <c r="N134" s="1"/>
      <c r="O134" s="1">
        <v>62.900000000000013</v>
      </c>
      <c r="P134" s="25"/>
      <c r="Q134" s="1">
        <f t="shared" si="31"/>
        <v>14.2</v>
      </c>
      <c r="R134" s="5">
        <f t="shared" si="37"/>
        <v>68.299999999999983</v>
      </c>
      <c r="S134" s="5">
        <f t="shared" si="24"/>
        <v>68.299999999999983</v>
      </c>
      <c r="T134" s="19"/>
      <c r="U134" s="1">
        <f t="shared" si="25"/>
        <v>11</v>
      </c>
      <c r="V134" s="1">
        <f t="shared" si="32"/>
        <v>6.1901408450704229</v>
      </c>
      <c r="W134" s="1">
        <v>11.8</v>
      </c>
      <c r="X134" s="1">
        <v>8</v>
      </c>
      <c r="Y134" s="1">
        <v>6.8</v>
      </c>
      <c r="Z134" s="1">
        <v>10.199999999999999</v>
      </c>
      <c r="AA134" s="1">
        <v>11.4</v>
      </c>
      <c r="AB134" s="1">
        <v>5.6</v>
      </c>
      <c r="AC134" s="1">
        <v>5.6</v>
      </c>
      <c r="AD134" s="1">
        <v>9.8000000000000007</v>
      </c>
      <c r="AE134" s="1">
        <v>9.6</v>
      </c>
      <c r="AF134" s="1">
        <v>6</v>
      </c>
      <c r="AG134" s="1"/>
      <c r="AH134" s="1">
        <f t="shared" si="26"/>
        <v>8</v>
      </c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9" t="s">
        <v>178</v>
      </c>
      <c r="B135" s="9" t="s">
        <v>35</v>
      </c>
      <c r="C135" s="9"/>
      <c r="D135" s="9"/>
      <c r="E135" s="9"/>
      <c r="F135" s="9">
        <v>-1.37</v>
      </c>
      <c r="G135" s="10">
        <v>0</v>
      </c>
      <c r="H135" s="9"/>
      <c r="I135" s="18" t="s">
        <v>181</v>
      </c>
      <c r="J135" s="9"/>
      <c r="K135" s="9">
        <v>1.3</v>
      </c>
      <c r="L135" s="9">
        <f t="shared" si="38"/>
        <v>-1.3</v>
      </c>
      <c r="M135" s="9"/>
      <c r="N135" s="9"/>
      <c r="O135" s="9"/>
      <c r="P135" s="28"/>
      <c r="Q135" s="9">
        <f t="shared" si="31"/>
        <v>0</v>
      </c>
      <c r="R135" s="11"/>
      <c r="S135" s="5">
        <f t="shared" ref="S135:S136" si="39">R135</f>
        <v>0</v>
      </c>
      <c r="T135" s="20"/>
      <c r="U135" s="1" t="e">
        <f t="shared" ref="U135:U136" si="40">(F135+O135+S135+P135)/Q135</f>
        <v>#DIV/0!</v>
      </c>
      <c r="V135" s="9" t="e">
        <f t="shared" si="32"/>
        <v>#DIV/0!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/>
      <c r="AH135" s="1">
        <f t="shared" ref="AH135:AH136" si="41">ROUND(G135*S135,0)</f>
        <v>0</v>
      </c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9" t="s">
        <v>179</v>
      </c>
      <c r="B136" s="9" t="s">
        <v>40</v>
      </c>
      <c r="C136" s="9"/>
      <c r="D136" s="9">
        <v>20</v>
      </c>
      <c r="E136" s="12">
        <v>5</v>
      </c>
      <c r="F136" s="12">
        <v>15</v>
      </c>
      <c r="G136" s="10">
        <v>0</v>
      </c>
      <c r="H136" s="9"/>
      <c r="I136" s="9" t="s">
        <v>180</v>
      </c>
      <c r="J136" s="9" t="s">
        <v>171</v>
      </c>
      <c r="K136" s="9">
        <v>4</v>
      </c>
      <c r="L136" s="9">
        <f t="shared" si="38"/>
        <v>1</v>
      </c>
      <c r="M136" s="9"/>
      <c r="N136" s="9"/>
      <c r="O136" s="9">
        <v>0</v>
      </c>
      <c r="P136" s="28"/>
      <c r="Q136" s="9">
        <f t="shared" si="31"/>
        <v>1</v>
      </c>
      <c r="R136" s="11"/>
      <c r="S136" s="5">
        <f t="shared" si="39"/>
        <v>0</v>
      </c>
      <c r="T136" s="20"/>
      <c r="U136" s="1">
        <f t="shared" si="40"/>
        <v>15</v>
      </c>
      <c r="V136" s="9">
        <f t="shared" si="32"/>
        <v>15</v>
      </c>
      <c r="W136" s="9">
        <v>1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0</v>
      </c>
      <c r="AF136" s="9">
        <v>0</v>
      </c>
      <c r="AG136" s="9"/>
      <c r="AH136" s="1">
        <f t="shared" si="41"/>
        <v>0</v>
      </c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25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25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25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25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25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25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25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25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25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25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25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25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25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25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25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25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25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25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25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25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25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25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25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25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25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25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25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25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25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25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25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25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25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25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25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25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25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25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25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25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25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25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25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25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25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25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25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25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25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25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25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25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25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25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25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25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25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25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25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25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25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25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25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25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25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25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25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25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25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25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25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25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25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25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25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25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25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25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25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25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25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25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25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25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25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25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25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25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25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25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25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25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25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25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25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25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25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25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25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25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25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25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25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25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25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25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25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25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25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25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25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25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25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25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25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25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25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25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25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25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25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25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25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25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25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25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25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25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25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25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25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25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25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25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25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25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25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25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25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25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25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25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25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25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25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25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25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25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25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25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25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25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25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25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25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25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25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25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25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25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25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25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25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25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25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25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25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25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25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25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25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25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25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25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25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25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25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25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25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25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25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25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25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25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25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25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25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25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25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25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25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25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25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25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25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25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25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25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25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25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25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25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25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25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25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25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25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25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25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25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25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25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25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25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25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25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25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25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25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25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25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25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25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25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25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25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25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25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25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25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25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25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25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25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25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25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25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25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25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25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25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25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25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25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25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25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25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25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25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25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25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25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25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25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25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25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25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25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25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25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25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25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25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25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25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25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25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25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25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25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25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25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25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25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25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25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25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25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25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25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25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25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25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25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25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25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25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25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25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25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25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25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25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25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25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25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25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25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25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25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25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25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25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25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25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25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25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25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25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25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25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25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25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25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25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25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25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25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25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25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25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25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25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25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25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25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25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25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25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25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25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25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25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25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25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25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25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25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25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25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25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25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25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25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25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25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25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25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25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25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25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25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25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25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25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25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25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25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25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25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25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25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25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25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H13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2026-08-06T12:44:01Z</dcterms:created>
  <dcterms:modified xsi:type="dcterms:W3CDTF">2026-08-07T13:36:19Z</dcterms:modified>
</cp:coreProperties>
</file>