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74022913-570E-41BB-AA0C-1545DA6EB1A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P551" i="1"/>
  <c r="X548" i="1"/>
  <c r="X547" i="1"/>
  <c r="BO546" i="1"/>
  <c r="BM546" i="1"/>
  <c r="Y546" i="1"/>
  <c r="P546" i="1"/>
  <c r="BP545" i="1"/>
  <c r="BO545" i="1"/>
  <c r="BN545" i="1"/>
  <c r="BM545" i="1"/>
  <c r="Z545" i="1"/>
  <c r="Y545" i="1"/>
  <c r="P545" i="1"/>
  <c r="X543" i="1"/>
  <c r="Y542" i="1"/>
  <c r="X542" i="1"/>
  <c r="BP541" i="1"/>
  <c r="BO541" i="1"/>
  <c r="BN541" i="1"/>
  <c r="BM541" i="1"/>
  <c r="Z541" i="1"/>
  <c r="Z542" i="1" s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P529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Y525" i="1" s="1"/>
  <c r="P517" i="1"/>
  <c r="X515" i="1"/>
  <c r="X514" i="1"/>
  <c r="BP513" i="1"/>
  <c r="BO513" i="1"/>
  <c r="BN513" i="1"/>
  <c r="BM513" i="1"/>
  <c r="Z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X509" i="1"/>
  <c r="X508" i="1"/>
  <c r="BP507" i="1"/>
  <c r="BO507" i="1"/>
  <c r="BN507" i="1"/>
  <c r="BM507" i="1"/>
  <c r="Z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X495" i="1"/>
  <c r="Y494" i="1"/>
  <c r="X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Y495" i="1" s="1"/>
  <c r="P491" i="1"/>
  <c r="X489" i="1"/>
  <c r="Y488" i="1"/>
  <c r="X488" i="1"/>
  <c r="BP487" i="1"/>
  <c r="BO487" i="1"/>
  <c r="BN487" i="1"/>
  <c r="BM487" i="1"/>
  <c r="Z487" i="1"/>
  <c r="Z488" i="1" s="1"/>
  <c r="Y487" i="1"/>
  <c r="Z564" i="1" s="1"/>
  <c r="P487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BP472" i="1"/>
  <c r="BO472" i="1"/>
  <c r="BN472" i="1"/>
  <c r="BM472" i="1"/>
  <c r="Z472" i="1"/>
  <c r="Y472" i="1"/>
  <c r="P472" i="1"/>
  <c r="X468" i="1"/>
  <c r="Y467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2" i="1"/>
  <c r="Y461" i="1"/>
  <c r="X461" i="1"/>
  <c r="BP460" i="1"/>
  <c r="BO460" i="1"/>
  <c r="BN460" i="1"/>
  <c r="BM460" i="1"/>
  <c r="Z460" i="1"/>
  <c r="Z461" i="1" s="1"/>
  <c r="Y460" i="1"/>
  <c r="Y462" i="1" s="1"/>
  <c r="P460" i="1"/>
  <c r="X458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Y446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Y447" i="1" s="1"/>
  <c r="P443" i="1"/>
  <c r="X441" i="1"/>
  <c r="X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X409" i="1"/>
  <c r="Y408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Y409" i="1" s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Y377" i="1" s="1"/>
  <c r="P369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X351" i="1"/>
  <c r="Y350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Y275" i="1" s="1"/>
  <c r="P267" i="1"/>
  <c r="X265" i="1"/>
  <c r="X264" i="1"/>
  <c r="BO263" i="1"/>
  <c r="BM263" i="1"/>
  <c r="Y263" i="1"/>
  <c r="P263" i="1"/>
  <c r="BP262" i="1"/>
  <c r="BO262" i="1"/>
  <c r="BN262" i="1"/>
  <c r="BM262" i="1"/>
  <c r="Z262" i="1"/>
  <c r="Y262" i="1"/>
  <c r="P262" i="1"/>
  <c r="X260" i="1"/>
  <c r="Y259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X219" i="1"/>
  <c r="Y218" i="1"/>
  <c r="X218" i="1"/>
  <c r="BP217" i="1"/>
  <c r="BO217" i="1"/>
  <c r="BN217" i="1"/>
  <c r="BM217" i="1"/>
  <c r="Z217" i="1"/>
  <c r="Z218" i="1" s="1"/>
  <c r="Y217" i="1"/>
  <c r="P217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X168" i="1"/>
  <c r="Y167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BP130" i="1" s="1"/>
  <c r="P130" i="1"/>
  <c r="BP129" i="1"/>
  <c r="BO129" i="1"/>
  <c r="BN129" i="1"/>
  <c r="BM129" i="1"/>
  <c r="Z129" i="1"/>
  <c r="Y129" i="1"/>
  <c r="P129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Y122" i="1" s="1"/>
  <c r="P117" i="1"/>
  <c r="X115" i="1"/>
  <c r="X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Y114" i="1" s="1"/>
  <c r="P109" i="1"/>
  <c r="X107" i="1"/>
  <c r="X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G564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Y89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64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4" i="1" s="1"/>
  <c r="X24" i="1"/>
  <c r="BP23" i="1"/>
  <c r="BO23" i="1"/>
  <c r="BN23" i="1"/>
  <c r="BM23" i="1"/>
  <c r="Z23" i="1"/>
  <c r="Y23" i="1"/>
  <c r="P23" i="1"/>
  <c r="BO22" i="1"/>
  <c r="X556" i="1" s="1"/>
  <c r="BM22" i="1"/>
  <c r="X555" i="1" s="1"/>
  <c r="Y22" i="1"/>
  <c r="B564" i="1" s="1"/>
  <c r="P22" i="1"/>
  <c r="H10" i="1"/>
  <c r="A9" i="1"/>
  <c r="F10" i="1" s="1"/>
  <c r="D7" i="1"/>
  <c r="Q6" i="1"/>
  <c r="P2" i="1"/>
  <c r="X557" i="1" l="1"/>
  <c r="Y42" i="1"/>
  <c r="Y52" i="1"/>
  <c r="Y63" i="1"/>
  <c r="Y71" i="1"/>
  <c r="Y75" i="1"/>
  <c r="Y81" i="1"/>
  <c r="Y88" i="1"/>
  <c r="Y96" i="1"/>
  <c r="Y107" i="1"/>
  <c r="Y115" i="1"/>
  <c r="Y121" i="1"/>
  <c r="Y132" i="1"/>
  <c r="BP150" i="1"/>
  <c r="BN150" i="1"/>
  <c r="Z150" i="1"/>
  <c r="Z156" i="1" s="1"/>
  <c r="BP154" i="1"/>
  <c r="BN154" i="1"/>
  <c r="Z154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191" i="1"/>
  <c r="BN191" i="1"/>
  <c r="Z191" i="1"/>
  <c r="Y193" i="1"/>
  <c r="Y198" i="1"/>
  <c r="BP195" i="1"/>
  <c r="BN195" i="1"/>
  <c r="Z195" i="1"/>
  <c r="Z197" i="1" s="1"/>
  <c r="BP209" i="1"/>
  <c r="BN209" i="1"/>
  <c r="Z209" i="1"/>
  <c r="Y213" i="1"/>
  <c r="BP222" i="1"/>
  <c r="BN222" i="1"/>
  <c r="Z222" i="1"/>
  <c r="Z235" i="1" s="1"/>
  <c r="BP226" i="1"/>
  <c r="BN226" i="1"/>
  <c r="Z226" i="1"/>
  <c r="BP230" i="1"/>
  <c r="BN230" i="1"/>
  <c r="Z230" i="1"/>
  <c r="BP234" i="1"/>
  <c r="BN234" i="1"/>
  <c r="Z234" i="1"/>
  <c r="Y236" i="1"/>
  <c r="Y243" i="1"/>
  <c r="BP238" i="1"/>
  <c r="BN238" i="1"/>
  <c r="Z238" i="1"/>
  <c r="BP242" i="1"/>
  <c r="BN242" i="1"/>
  <c r="Z242" i="1"/>
  <c r="Y244" i="1"/>
  <c r="Y249" i="1"/>
  <c r="BP246" i="1"/>
  <c r="BN246" i="1"/>
  <c r="Z246" i="1"/>
  <c r="Z264" i="1"/>
  <c r="BP263" i="1"/>
  <c r="BN263" i="1"/>
  <c r="Z263" i="1"/>
  <c r="BP270" i="1"/>
  <c r="BN270" i="1"/>
  <c r="Z270" i="1"/>
  <c r="BP274" i="1"/>
  <c r="BN274" i="1"/>
  <c r="Z274" i="1"/>
  <c r="Y276" i="1"/>
  <c r="Y291" i="1"/>
  <c r="BP278" i="1"/>
  <c r="BN278" i="1"/>
  <c r="Z278" i="1"/>
  <c r="BP282" i="1"/>
  <c r="BN282" i="1"/>
  <c r="Z282" i="1"/>
  <c r="BP286" i="1"/>
  <c r="BN286" i="1"/>
  <c r="Z286" i="1"/>
  <c r="Y290" i="1"/>
  <c r="BP294" i="1"/>
  <c r="BN294" i="1"/>
  <c r="Z294" i="1"/>
  <c r="Z295" i="1" s="1"/>
  <c r="Y296" i="1"/>
  <c r="Y306" i="1"/>
  <c r="BP299" i="1"/>
  <c r="BN299" i="1"/>
  <c r="Z299" i="1"/>
  <c r="O564" i="1"/>
  <c r="Y307" i="1"/>
  <c r="BP303" i="1"/>
  <c r="BN303" i="1"/>
  <c r="Z303" i="1"/>
  <c r="BP319" i="1"/>
  <c r="BN319" i="1"/>
  <c r="Z319" i="1"/>
  <c r="Y321" i="1"/>
  <c r="P564" i="1"/>
  <c r="Y329" i="1"/>
  <c r="BP324" i="1"/>
  <c r="BN324" i="1"/>
  <c r="Z324" i="1"/>
  <c r="BP328" i="1"/>
  <c r="BN328" i="1"/>
  <c r="Z328" i="1"/>
  <c r="Y330" i="1"/>
  <c r="Q564" i="1"/>
  <c r="Y336" i="1"/>
  <c r="BP333" i="1"/>
  <c r="BN333" i="1"/>
  <c r="Z333" i="1"/>
  <c r="Y337" i="1"/>
  <c r="BP342" i="1"/>
  <c r="BN342" i="1"/>
  <c r="Z342" i="1"/>
  <c r="BP355" i="1"/>
  <c r="BN355" i="1"/>
  <c r="Z355" i="1"/>
  <c r="Z357" i="1" s="1"/>
  <c r="Y357" i="1"/>
  <c r="BP372" i="1"/>
  <c r="BN372" i="1"/>
  <c r="Z372" i="1"/>
  <c r="Y376" i="1"/>
  <c r="BP380" i="1"/>
  <c r="BN380" i="1"/>
  <c r="Z380" i="1"/>
  <c r="Y384" i="1"/>
  <c r="BP388" i="1"/>
  <c r="BN388" i="1"/>
  <c r="Z388" i="1"/>
  <c r="Y390" i="1"/>
  <c r="Y397" i="1"/>
  <c r="BP392" i="1"/>
  <c r="BN392" i="1"/>
  <c r="Z392" i="1"/>
  <c r="Y396" i="1"/>
  <c r="Z402" i="1"/>
  <c r="BP400" i="1"/>
  <c r="BN400" i="1"/>
  <c r="Z400" i="1"/>
  <c r="F564" i="1"/>
  <c r="H9" i="1"/>
  <c r="A10" i="1"/>
  <c r="Y24" i="1"/>
  <c r="Y32" i="1"/>
  <c r="F9" i="1"/>
  <c r="J9" i="1"/>
  <c r="Z22" i="1"/>
  <c r="Z24" i="1" s="1"/>
  <c r="BN22" i="1"/>
  <c r="BP22" i="1"/>
  <c r="X558" i="1"/>
  <c r="Y25" i="1"/>
  <c r="Z28" i="1"/>
  <c r="Z32" i="1" s="1"/>
  <c r="BN28" i="1"/>
  <c r="Z30" i="1"/>
  <c r="BN30" i="1"/>
  <c r="C564" i="1"/>
  <c r="Z38" i="1"/>
  <c r="Z42" i="1" s="1"/>
  <c r="BN38" i="1"/>
  <c r="Z40" i="1"/>
  <c r="BN40" i="1"/>
  <c r="Y43" i="1"/>
  <c r="D564" i="1"/>
  <c r="Z48" i="1"/>
  <c r="Z51" i="1" s="1"/>
  <c r="BN48" i="1"/>
  <c r="Z50" i="1"/>
  <c r="BN50" i="1"/>
  <c r="Y51" i="1"/>
  <c r="Z55" i="1"/>
  <c r="Z63" i="1" s="1"/>
  <c r="BN55" i="1"/>
  <c r="BP55" i="1"/>
  <c r="Z57" i="1"/>
  <c r="BN57" i="1"/>
  <c r="Z59" i="1"/>
  <c r="BN59" i="1"/>
  <c r="Z61" i="1"/>
  <c r="BN61" i="1"/>
  <c r="Y64" i="1"/>
  <c r="Z67" i="1"/>
  <c r="Z70" i="1" s="1"/>
  <c r="BN67" i="1"/>
  <c r="Z69" i="1"/>
  <c r="BN69" i="1"/>
  <c r="Z73" i="1"/>
  <c r="Z75" i="1" s="1"/>
  <c r="BN73" i="1"/>
  <c r="BP73" i="1"/>
  <c r="Z79" i="1"/>
  <c r="Z80" i="1" s="1"/>
  <c r="BN79" i="1"/>
  <c r="Z84" i="1"/>
  <c r="BN84" i="1"/>
  <c r="BP84" i="1"/>
  <c r="Z86" i="1"/>
  <c r="BN86" i="1"/>
  <c r="Z92" i="1"/>
  <c r="Z95" i="1" s="1"/>
  <c r="BN92" i="1"/>
  <c r="Z94" i="1"/>
  <c r="BN94" i="1"/>
  <c r="Z99" i="1"/>
  <c r="Z106" i="1" s="1"/>
  <c r="BN99" i="1"/>
  <c r="BP99" i="1"/>
  <c r="Z101" i="1"/>
  <c r="BN101" i="1"/>
  <c r="Z103" i="1"/>
  <c r="BN103" i="1"/>
  <c r="Z105" i="1"/>
  <c r="BN105" i="1"/>
  <c r="Y106" i="1"/>
  <c r="Z109" i="1"/>
  <c r="Z114" i="1" s="1"/>
  <c r="BN109" i="1"/>
  <c r="BP109" i="1"/>
  <c r="Z111" i="1"/>
  <c r="BN111" i="1"/>
  <c r="Z113" i="1"/>
  <c r="BN113" i="1"/>
  <c r="Z117" i="1"/>
  <c r="BN117" i="1"/>
  <c r="BP117" i="1"/>
  <c r="Z119" i="1"/>
  <c r="BN119" i="1"/>
  <c r="H564" i="1"/>
  <c r="Z130" i="1"/>
  <c r="Z132" i="1" s="1"/>
  <c r="BN130" i="1"/>
  <c r="Y133" i="1"/>
  <c r="Y140" i="1"/>
  <c r="Z136" i="1"/>
  <c r="Z139" i="1" s="1"/>
  <c r="BN136" i="1"/>
  <c r="BP137" i="1"/>
  <c r="BN137" i="1"/>
  <c r="Y139" i="1"/>
  <c r="Z145" i="1"/>
  <c r="BP143" i="1"/>
  <c r="BN143" i="1"/>
  <c r="Z143" i="1"/>
  <c r="BP152" i="1"/>
  <c r="BN152" i="1"/>
  <c r="Z152" i="1"/>
  <c r="Y156" i="1"/>
  <c r="Z167" i="1"/>
  <c r="BP165" i="1"/>
  <c r="BN165" i="1"/>
  <c r="Z165" i="1"/>
  <c r="Y172" i="1"/>
  <c r="BP177" i="1"/>
  <c r="BN177" i="1"/>
  <c r="Z177" i="1"/>
  <c r="BP181" i="1"/>
  <c r="BN181" i="1"/>
  <c r="Z181" i="1"/>
  <c r="BP185" i="1"/>
  <c r="BN185" i="1"/>
  <c r="Z185" i="1"/>
  <c r="Y187" i="1"/>
  <c r="Y192" i="1"/>
  <c r="BP189" i="1"/>
  <c r="BN189" i="1"/>
  <c r="Z189" i="1"/>
  <c r="Z192" i="1" s="1"/>
  <c r="Y197" i="1"/>
  <c r="BP207" i="1"/>
  <c r="BN207" i="1"/>
  <c r="Z207" i="1"/>
  <c r="BP211" i="1"/>
  <c r="BN211" i="1"/>
  <c r="Z211" i="1"/>
  <c r="Z213" i="1" s="1"/>
  <c r="Y235" i="1"/>
  <c r="BP224" i="1"/>
  <c r="BN224" i="1"/>
  <c r="Z224" i="1"/>
  <c r="BP228" i="1"/>
  <c r="BN228" i="1"/>
  <c r="Z228" i="1"/>
  <c r="BP232" i="1"/>
  <c r="BN232" i="1"/>
  <c r="Z232" i="1"/>
  <c r="BP240" i="1"/>
  <c r="BN240" i="1"/>
  <c r="Z240" i="1"/>
  <c r="BP248" i="1"/>
  <c r="BN248" i="1"/>
  <c r="Z248" i="1"/>
  <c r="Y250" i="1"/>
  <c r="Y253" i="1"/>
  <c r="BP252" i="1"/>
  <c r="BN252" i="1"/>
  <c r="Z252" i="1"/>
  <c r="Z253" i="1" s="1"/>
  <c r="Y254" i="1"/>
  <c r="M564" i="1"/>
  <c r="Y260" i="1"/>
  <c r="BP257" i="1"/>
  <c r="BN257" i="1"/>
  <c r="Z257" i="1"/>
  <c r="Z259" i="1" s="1"/>
  <c r="BP364" i="1"/>
  <c r="BN364" i="1"/>
  <c r="Z364" i="1"/>
  <c r="BP450" i="1"/>
  <c r="BN450" i="1"/>
  <c r="Z450" i="1"/>
  <c r="Z451" i="1" s="1"/>
  <c r="Y452" i="1"/>
  <c r="X564" i="1"/>
  <c r="Y458" i="1"/>
  <c r="BP455" i="1"/>
  <c r="BN455" i="1"/>
  <c r="Z455" i="1"/>
  <c r="Z457" i="1" s="1"/>
  <c r="Y457" i="1"/>
  <c r="BP520" i="1"/>
  <c r="BN520" i="1"/>
  <c r="Z520" i="1"/>
  <c r="Y524" i="1"/>
  <c r="BP546" i="1"/>
  <c r="BN546" i="1"/>
  <c r="Z546" i="1"/>
  <c r="Z547" i="1" s="1"/>
  <c r="Y548" i="1"/>
  <c r="Y552" i="1"/>
  <c r="BP551" i="1"/>
  <c r="BN551" i="1"/>
  <c r="Z551" i="1"/>
  <c r="Z552" i="1" s="1"/>
  <c r="AC564" i="1"/>
  <c r="Y553" i="1"/>
  <c r="W564" i="1"/>
  <c r="I564" i="1"/>
  <c r="Y157" i="1"/>
  <c r="J564" i="1"/>
  <c r="Y168" i="1"/>
  <c r="K564" i="1"/>
  <c r="Y214" i="1"/>
  <c r="L564" i="1"/>
  <c r="Y219" i="1"/>
  <c r="Y265" i="1"/>
  <c r="Y264" i="1"/>
  <c r="BP268" i="1"/>
  <c r="BN268" i="1"/>
  <c r="Z268" i="1"/>
  <c r="Z275" i="1" s="1"/>
  <c r="BP272" i="1"/>
  <c r="BN272" i="1"/>
  <c r="Z272" i="1"/>
  <c r="BP280" i="1"/>
  <c r="BN280" i="1"/>
  <c r="Z280" i="1"/>
  <c r="BP284" i="1"/>
  <c r="BN284" i="1"/>
  <c r="Z284" i="1"/>
  <c r="BP288" i="1"/>
  <c r="BN288" i="1"/>
  <c r="Z288" i="1"/>
  <c r="Y295" i="1"/>
  <c r="BP301" i="1"/>
  <c r="BN301" i="1"/>
  <c r="Z301" i="1"/>
  <c r="BP305" i="1"/>
  <c r="BN305" i="1"/>
  <c r="Z305" i="1"/>
  <c r="Y310" i="1"/>
  <c r="BP309" i="1"/>
  <c r="BN309" i="1"/>
  <c r="Z309" i="1"/>
  <c r="Z310" i="1" s="1"/>
  <c r="Y311" i="1"/>
  <c r="Y314" i="1"/>
  <c r="BP313" i="1"/>
  <c r="BN313" i="1"/>
  <c r="Z313" i="1"/>
  <c r="Z314" i="1" s="1"/>
  <c r="Y315" i="1"/>
  <c r="Y320" i="1"/>
  <c r="BP317" i="1"/>
  <c r="BN317" i="1"/>
  <c r="Z317" i="1"/>
  <c r="Z320" i="1" s="1"/>
  <c r="BP326" i="1"/>
  <c r="BN326" i="1"/>
  <c r="Z326" i="1"/>
  <c r="BP335" i="1"/>
  <c r="BN335" i="1"/>
  <c r="Z335" i="1"/>
  <c r="R564" i="1"/>
  <c r="Y345" i="1"/>
  <c r="BP340" i="1"/>
  <c r="BN340" i="1"/>
  <c r="Z340" i="1"/>
  <c r="Z345" i="1" s="1"/>
  <c r="BP344" i="1"/>
  <c r="BN344" i="1"/>
  <c r="Z344" i="1"/>
  <c r="Y346" i="1"/>
  <c r="Y351" i="1"/>
  <c r="BP348" i="1"/>
  <c r="BN348" i="1"/>
  <c r="Z348" i="1"/>
  <c r="Z350" i="1" s="1"/>
  <c r="S564" i="1"/>
  <c r="Z366" i="1"/>
  <c r="BP362" i="1"/>
  <c r="BN362" i="1"/>
  <c r="Z362" i="1"/>
  <c r="Y366" i="1"/>
  <c r="BP370" i="1"/>
  <c r="BN370" i="1"/>
  <c r="Z370" i="1"/>
  <c r="Z376" i="1" s="1"/>
  <c r="BP374" i="1"/>
  <c r="BN374" i="1"/>
  <c r="Z374" i="1"/>
  <c r="Y383" i="1"/>
  <c r="BP382" i="1"/>
  <c r="BN382" i="1"/>
  <c r="Z382" i="1"/>
  <c r="Z383" i="1" s="1"/>
  <c r="Y389" i="1"/>
  <c r="BP386" i="1"/>
  <c r="BN386" i="1"/>
  <c r="Z386" i="1"/>
  <c r="Z389" i="1" s="1"/>
  <c r="BP394" i="1"/>
  <c r="BN394" i="1"/>
  <c r="Z394" i="1"/>
  <c r="U564" i="1"/>
  <c r="Y414" i="1"/>
  <c r="BP412" i="1"/>
  <c r="BN412" i="1"/>
  <c r="Z412" i="1"/>
  <c r="Y415" i="1"/>
  <c r="BP420" i="1"/>
  <c r="BN420" i="1"/>
  <c r="Z420" i="1"/>
  <c r="Y422" i="1"/>
  <c r="Y435" i="1"/>
  <c r="BP426" i="1"/>
  <c r="BN426" i="1"/>
  <c r="Z426" i="1"/>
  <c r="BP430" i="1"/>
  <c r="BN430" i="1"/>
  <c r="Z430" i="1"/>
  <c r="Y434" i="1"/>
  <c r="BP438" i="1"/>
  <c r="BN438" i="1"/>
  <c r="Z438" i="1"/>
  <c r="Z440" i="1" s="1"/>
  <c r="Y440" i="1"/>
  <c r="BP473" i="1"/>
  <c r="BN473" i="1"/>
  <c r="Z473" i="1"/>
  <c r="Z478" i="1" s="1"/>
  <c r="BP477" i="1"/>
  <c r="BN477" i="1"/>
  <c r="Z477" i="1"/>
  <c r="Y479" i="1"/>
  <c r="Y484" i="1"/>
  <c r="BP481" i="1"/>
  <c r="BN481" i="1"/>
  <c r="Z481" i="1"/>
  <c r="Z483" i="1" s="1"/>
  <c r="Y483" i="1"/>
  <c r="Y358" i="1"/>
  <c r="T564" i="1"/>
  <c r="Y367" i="1"/>
  <c r="Y403" i="1"/>
  <c r="Y402" i="1"/>
  <c r="BP406" i="1"/>
  <c r="BN406" i="1"/>
  <c r="Z406" i="1"/>
  <c r="Z408" i="1" s="1"/>
  <c r="BP413" i="1"/>
  <c r="BN413" i="1"/>
  <c r="Z413" i="1"/>
  <c r="V564" i="1"/>
  <c r="Y421" i="1"/>
  <c r="BP418" i="1"/>
  <c r="BN418" i="1"/>
  <c r="Z418" i="1"/>
  <c r="Z421" i="1" s="1"/>
  <c r="BP428" i="1"/>
  <c r="BN428" i="1"/>
  <c r="Z428" i="1"/>
  <c r="BP432" i="1"/>
  <c r="BN432" i="1"/>
  <c r="Z432" i="1"/>
  <c r="Y441" i="1"/>
  <c r="Z446" i="1"/>
  <c r="BP444" i="1"/>
  <c r="BN444" i="1"/>
  <c r="Z444" i="1"/>
  <c r="Y451" i="1"/>
  <c r="BP465" i="1"/>
  <c r="BN465" i="1"/>
  <c r="Z465" i="1"/>
  <c r="Z467" i="1" s="1"/>
  <c r="BP500" i="1"/>
  <c r="BN500" i="1"/>
  <c r="Z500" i="1"/>
  <c r="Z508" i="1" s="1"/>
  <c r="BP504" i="1"/>
  <c r="BN504" i="1"/>
  <c r="Z504" i="1"/>
  <c r="Y508" i="1"/>
  <c r="BP512" i="1"/>
  <c r="BN512" i="1"/>
  <c r="Z512" i="1"/>
  <c r="Z514" i="1" s="1"/>
  <c r="Y514" i="1"/>
  <c r="AA564" i="1"/>
  <c r="Y478" i="1"/>
  <c r="BP475" i="1"/>
  <c r="BN475" i="1"/>
  <c r="Z475" i="1"/>
  <c r="BP492" i="1"/>
  <c r="BN492" i="1"/>
  <c r="Z492" i="1"/>
  <c r="Z494" i="1" s="1"/>
  <c r="Y509" i="1"/>
  <c r="BP502" i="1"/>
  <c r="BN502" i="1"/>
  <c r="Z502" i="1"/>
  <c r="BP506" i="1"/>
  <c r="BN506" i="1"/>
  <c r="Z506" i="1"/>
  <c r="Y515" i="1"/>
  <c r="BP518" i="1"/>
  <c r="BN518" i="1"/>
  <c r="Z518" i="1"/>
  <c r="Z524" i="1" s="1"/>
  <c r="BP522" i="1"/>
  <c r="BN522" i="1"/>
  <c r="Z522" i="1"/>
  <c r="AB564" i="1"/>
  <c r="Y547" i="1"/>
  <c r="Y564" i="1"/>
  <c r="Y489" i="1"/>
  <c r="Y531" i="1"/>
  <c r="Z434" i="1" l="1"/>
  <c r="Y555" i="1"/>
  <c r="Z329" i="1"/>
  <c r="Z306" i="1"/>
  <c r="Z249" i="1"/>
  <c r="Z243" i="1"/>
  <c r="Z414" i="1"/>
  <c r="Z121" i="1"/>
  <c r="Z88" i="1"/>
  <c r="Y554" i="1"/>
  <c r="Y556" i="1"/>
  <c r="Y558" i="1"/>
  <c r="Z396" i="1"/>
  <c r="Z336" i="1"/>
  <c r="Z290" i="1"/>
  <c r="Z186" i="1"/>
  <c r="Z559" i="1" s="1"/>
  <c r="Y557" i="1" l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<sst xmlns="http://schemas.openxmlformats.org/spreadsheetml/2006/main" count="2515" uniqueCount="912">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</sst>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3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0</v>
      </c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0</v>
      </c>
      <c r="Y51" s="635">
        <f>IFERROR(Y47/H47,"0")+IFERROR(Y48/H48,"0")+IFERROR(Y49/H49,"0")+IFERROR(Y50/H50,"0")</f>
        <v>0</v>
      </c>
      <c r="Z51" s="635">
        <f>IFERROR(IF(Z47="",0,Z47),"0")+IFERROR(IF(Z48="",0,Z48),"0")+IFERROR(IF(Z49="",0,Z49),"0")+IFERROR(IF(Z50="",0,Z50),"0")</f>
        <v>0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0</v>
      </c>
      <c r="Y52" s="635">
        <f>IFERROR(SUM(Y47:Y50),"0")</f>
        <v>0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0</v>
      </c>
      <c r="Y434" s="635">
        <f>IFERROR(Y426/H426,"0")+IFERROR(Y427/H427,"0")+IFERROR(Y428/H428,"0")+IFERROR(Y429/H429,"0")+IFERROR(Y430/H430,"0")+IFERROR(Y431/H431,"0")+IFERROR(Y432/H432,"0")+IFERROR(Y433/H433,"0")</f>
        <v>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0</v>
      </c>
      <c r="Y435" s="635">
        <f>IFERROR(SUM(Y426:Y433),"0")</f>
        <v>0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1050</v>
      </c>
      <c r="Y464" s="634">
        <f>IFERROR(IF(X464="",0,CEILING((X464/$H464),1)*$H464),"")</f>
        <v>1053</v>
      </c>
      <c r="Z464" s="36">
        <f>IFERROR(IF(Y464=0,"",ROUNDUP(Y464/H464,0)*0.01898),"")</f>
        <v>2.2206600000000001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1107.6333333333332</v>
      </c>
      <c r="BN464" s="64">
        <f>IFERROR(Y464*I464/H464,"0")</f>
        <v>1110.7979999999998</v>
      </c>
      <c r="BO464" s="64">
        <f>IFERROR(1/J464*(X464/H464),"0")</f>
        <v>1.8229166666666667</v>
      </c>
      <c r="BP464" s="64">
        <f>IFERROR(1/J464*(Y464/H464),"0")</f>
        <v>1.828125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116.66666666666667</v>
      </c>
      <c r="Y467" s="635">
        <f>IFERROR(Y464/H464,"0")+IFERROR(Y465/H465,"0")+IFERROR(Y466/H466,"0")</f>
        <v>117</v>
      </c>
      <c r="Z467" s="635">
        <f>IFERROR(IF(Z464="",0,Z464),"0")+IFERROR(IF(Z465="",0,Z465),"0")+IFERROR(IF(Z466="",0,Z466),"0")</f>
        <v>2.2206600000000001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1050</v>
      </c>
      <c r="Y468" s="635">
        <f>IFERROR(SUM(Y464:Y466),"0")</f>
        <v>1053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1050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1053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1107.6333333333332</v>
      </c>
      <c r="Y555" s="635">
        <f>IFERROR(SUM(BN22:BN551),"0")</f>
        <v>1110.7979999999998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2</v>
      </c>
      <c r="Y556" s="38">
        <f>ROUNDUP(SUM(BP22:BP551),0)</f>
        <v>2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1157.6333333333332</v>
      </c>
      <c r="Y557" s="635">
        <f>GrossWeightTotalR+PalletQtyTotalR*25</f>
        <v>1160.7979999999998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116.66666666666667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117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2.2206600000000001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46">
        <f>IFERROR(Y455*1,"0")+IFERROR(Y456*1,"0")+IFERROR(Y460*1,"0")+IFERROR(Y464*1,"0")+IFERROR(Y465*1,"0")+IFERROR(Y466*1,"0")</f>
        <v>1053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2026-08-10T11:15:29Z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