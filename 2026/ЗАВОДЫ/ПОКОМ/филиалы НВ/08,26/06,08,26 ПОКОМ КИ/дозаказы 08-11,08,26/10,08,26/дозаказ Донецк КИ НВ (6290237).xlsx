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дозаказы 08-11,08,26\"/>
    </mc:Choice>
  </mc:AlternateContent>
  <xr:revisionPtr revIDLastSave="0" documentId="13_ncr:1_{F85E9E66-AAF9-4D1D-A701-13359B59466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559" i="2"/>
  <c r="Z350" i="2"/>
  <c r="Z524" i="2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<sst xmlns="http://schemas.openxmlformats.org/spreadsheetml/2006/main" count="4262" uniqueCount="913">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</sst>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3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1031.3333333333333</v>
      </c>
      <c r="BN427" s="78">
        <f t="shared" si="55"/>
        <v>1036.49</v>
      </c>
      <c r="BO427" s="78">
        <f t="shared" si="56"/>
        <v>1.3888888888888888</v>
      </c>
      <c r="BP427" s="78">
        <f t="shared" si="57"/>
        <v>1.3958333333333333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66.666666666666671</v>
      </c>
      <c r="Y434" s="43">
        <f>IFERROR(Y426/H426,"0")+IFERROR(Y427/H427,"0")+IFERROR(Y428/H428,"0")+IFERROR(Y429/H429,"0")+IFERROR(Y430/H430,"0")+IFERROR(Y431/H431,"0")+IFERROR(Y432/H432,"0")+IFERROR(Y433/H433,"0")</f>
        <v>67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1.4572499999999999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1000</v>
      </c>
      <c r="Y435" s="43">
        <f>IFERROR(SUM(Y426:Y433),"0")</f>
        <v>1005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1000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1005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1031.3333333333333</v>
      </c>
      <c r="Y555" s="43">
        <f>IFERROR(SUM(BN22:BN551),"0")</f>
        <v>1036.49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1081.3333333333333</v>
      </c>
      <c r="Y557" s="43">
        <f>GrossWeightTotalR+PalletQtyTotalR*25</f>
        <v>1086.49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66.666666666666671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67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1.4572499999999999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1005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