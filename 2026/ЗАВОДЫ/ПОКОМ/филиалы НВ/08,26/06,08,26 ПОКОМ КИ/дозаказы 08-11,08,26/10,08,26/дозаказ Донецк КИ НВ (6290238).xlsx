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дозаказы 08-11,08,26\"/>
    </mc:Choice>
  </mc:AlternateContent>
  <xr:revisionPtr revIDLastSave="0" documentId="13_ncr:1_{035EF8BC-0983-4CB3-9D1B-B26DE69AE6B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559" i="2"/>
  <c r="Z350" i="2"/>
  <c r="Z524" i="2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<sst xmlns="http://schemas.openxmlformats.org/spreadsheetml/2006/main" count="4262" uniqueCount="913">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</sst>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570</v>
      </c>
      <c r="Y428" s="55">
        <f t="shared" si="53"/>
        <v>570</v>
      </c>
      <c r="Z428" s="41">
        <f>IFERROR(IF(Y428=0,"",ROUNDUP(Y428/H428,0)*0.02175),"")</f>
        <v>0.8264999999999999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587.86</v>
      </c>
      <c r="BN428" s="78">
        <f t="shared" si="55"/>
        <v>587.86</v>
      </c>
      <c r="BO428" s="78">
        <f t="shared" si="56"/>
        <v>0.79166666666666663</v>
      </c>
      <c r="BP428" s="78">
        <f t="shared" si="57"/>
        <v>0.79166666666666663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38</v>
      </c>
      <c r="Y434" s="43">
        <f>IFERROR(Y426/H426,"0")+IFERROR(Y427/H427,"0")+IFERROR(Y428/H428,"0")+IFERROR(Y429/H429,"0")+IFERROR(Y430/H430,"0")+IFERROR(Y431/H431,"0")+IFERROR(Y432/H432,"0")+IFERROR(Y433/H433,"0")</f>
        <v>38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0.8264999999999999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570</v>
      </c>
      <c r="Y435" s="43">
        <f>IFERROR(SUM(Y426:Y433),"0")</f>
        <v>570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570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570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587.86</v>
      </c>
      <c r="Y555" s="43">
        <f>IFERROR(SUM(BN22:BN551),"0")</f>
        <v>587.86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612.86</v>
      </c>
      <c r="Y557" s="43">
        <f>GrossWeightTotalR+PalletQtyTotalR*25</f>
        <v>612.86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38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38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0.8264999999999999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570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2026-08-11T07:52:52Z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