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4E6975C-F536-43AD-8166-00F0D5C7F00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15,08,26" sheetId="2" r:id="rId2"/>
    <sheet name="недогруз 17,08,26" sheetId="3" r:id="rId3"/>
  </sheets>
  <externalReferences>
    <externalReference r:id="rId4"/>
  </externalReferences>
  <definedNames>
    <definedName name="_xlnm._FilterDatabase" localSheetId="0" hidden="1">Sheet!$A$3:$AO$133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" i="2"/>
  <c r="Y5" i="1"/>
  <c r="T5" i="1"/>
  <c r="AA5" i="1" l="1"/>
  <c r="Z5" i="1" l="1"/>
  <c r="U5" i="1" l="1"/>
  <c r="X133" i="1"/>
  <c r="V133" i="1"/>
  <c r="AC133" i="1" s="1"/>
  <c r="L133" i="1"/>
  <c r="X132" i="1"/>
  <c r="V132" i="1"/>
  <c r="AC132" i="1" s="1"/>
  <c r="L132" i="1"/>
  <c r="X131" i="1"/>
  <c r="V131" i="1"/>
  <c r="AC131" i="1" s="1"/>
  <c r="L131" i="1"/>
  <c r="X130" i="1"/>
  <c r="V130" i="1"/>
  <c r="AC130" i="1" s="1"/>
  <c r="L130" i="1"/>
  <c r="X129" i="1"/>
  <c r="V129" i="1"/>
  <c r="AC129" i="1" s="1"/>
  <c r="L129" i="1"/>
  <c r="X128" i="1"/>
  <c r="V128" i="1"/>
  <c r="L128" i="1"/>
  <c r="X127" i="1"/>
  <c r="V127" i="1"/>
  <c r="AC127" i="1" s="1"/>
  <c r="L127" i="1"/>
  <c r="X126" i="1"/>
  <c r="AO126" i="1" s="1"/>
  <c r="F126" i="1"/>
  <c r="AB126" i="1" s="1"/>
  <c r="E126" i="1"/>
  <c r="V126" i="1" s="1"/>
  <c r="X125" i="1"/>
  <c r="V125" i="1"/>
  <c r="L125" i="1"/>
  <c r="V124" i="1"/>
  <c r="AC124" i="1" s="1"/>
  <c r="L124" i="1"/>
  <c r="X123" i="1"/>
  <c r="V123" i="1"/>
  <c r="L123" i="1"/>
  <c r="V122" i="1"/>
  <c r="AC122" i="1" s="1"/>
  <c r="L122" i="1"/>
  <c r="V121" i="1"/>
  <c r="AC121" i="1" s="1"/>
  <c r="L121" i="1"/>
  <c r="X120" i="1"/>
  <c r="V120" i="1"/>
  <c r="AC120" i="1" s="1"/>
  <c r="L120" i="1"/>
  <c r="X119" i="1"/>
  <c r="V119" i="1"/>
  <c r="L119" i="1"/>
  <c r="X118" i="1"/>
  <c r="V118" i="1"/>
  <c r="L118" i="1"/>
  <c r="X117" i="1"/>
  <c r="V117" i="1"/>
  <c r="AC117" i="1" s="1"/>
  <c r="L117" i="1"/>
  <c r="X116" i="1"/>
  <c r="V116" i="1"/>
  <c r="AC116" i="1" s="1"/>
  <c r="L116" i="1"/>
  <c r="V115" i="1"/>
  <c r="W115" i="1" s="1"/>
  <c r="X115" i="1" s="1"/>
  <c r="L115" i="1"/>
  <c r="X114" i="1"/>
  <c r="V114" i="1"/>
  <c r="L114" i="1"/>
  <c r="X113" i="1"/>
  <c r="V113" i="1"/>
  <c r="L113" i="1"/>
  <c r="X112" i="1"/>
  <c r="V112" i="1"/>
  <c r="L112" i="1"/>
  <c r="X111" i="1"/>
  <c r="V111" i="1"/>
  <c r="AC111" i="1" s="1"/>
  <c r="L111" i="1"/>
  <c r="X110" i="1"/>
  <c r="V110" i="1"/>
  <c r="AC110" i="1" s="1"/>
  <c r="L110" i="1"/>
  <c r="V109" i="1"/>
  <c r="AC109" i="1" s="1"/>
  <c r="L109" i="1"/>
  <c r="V108" i="1"/>
  <c r="AC108" i="1" s="1"/>
  <c r="L108" i="1"/>
  <c r="X107" i="1"/>
  <c r="V107" i="1"/>
  <c r="AC107" i="1" s="1"/>
  <c r="L107" i="1"/>
  <c r="X106" i="1"/>
  <c r="V106" i="1"/>
  <c r="AC106" i="1" s="1"/>
  <c r="L106" i="1"/>
  <c r="X105" i="1"/>
  <c r="V105" i="1"/>
  <c r="AC105" i="1" s="1"/>
  <c r="L105" i="1"/>
  <c r="X104" i="1"/>
  <c r="V104" i="1"/>
  <c r="AC104" i="1" s="1"/>
  <c r="L104" i="1"/>
  <c r="X103" i="1"/>
  <c r="V103" i="1"/>
  <c r="L103" i="1"/>
  <c r="X102" i="1"/>
  <c r="V102" i="1"/>
  <c r="AC102" i="1" s="1"/>
  <c r="L102" i="1"/>
  <c r="X101" i="1"/>
  <c r="V101" i="1"/>
  <c r="AC101" i="1" s="1"/>
  <c r="L101" i="1"/>
  <c r="X100" i="1"/>
  <c r="V100" i="1"/>
  <c r="L100" i="1"/>
  <c r="X99" i="1"/>
  <c r="V99" i="1"/>
  <c r="L99" i="1"/>
  <c r="X98" i="1"/>
  <c r="V98" i="1"/>
  <c r="AC98" i="1" s="1"/>
  <c r="L98" i="1"/>
  <c r="X97" i="1"/>
  <c r="V97" i="1"/>
  <c r="AC97" i="1" s="1"/>
  <c r="L97" i="1"/>
  <c r="X96" i="1"/>
  <c r="V96" i="1"/>
  <c r="AC96" i="1" s="1"/>
  <c r="L96" i="1"/>
  <c r="X95" i="1"/>
  <c r="V95" i="1"/>
  <c r="AC95" i="1" s="1"/>
  <c r="L95" i="1"/>
  <c r="V94" i="1"/>
  <c r="AC94" i="1" s="1"/>
  <c r="L94" i="1"/>
  <c r="X93" i="1"/>
  <c r="V93" i="1"/>
  <c r="L93" i="1"/>
  <c r="X92" i="1"/>
  <c r="V92" i="1"/>
  <c r="L92" i="1"/>
  <c r="X91" i="1"/>
  <c r="V91" i="1"/>
  <c r="AC91" i="1" s="1"/>
  <c r="L91" i="1"/>
  <c r="V90" i="1"/>
  <c r="L90" i="1"/>
  <c r="X89" i="1"/>
  <c r="V89" i="1"/>
  <c r="AC89" i="1" s="1"/>
  <c r="L89" i="1"/>
  <c r="X88" i="1"/>
  <c r="V88" i="1"/>
  <c r="L88" i="1"/>
  <c r="X87" i="1"/>
  <c r="V87" i="1"/>
  <c r="L87" i="1"/>
  <c r="X86" i="1"/>
  <c r="V86" i="1"/>
  <c r="AC86" i="1" s="1"/>
  <c r="L86" i="1"/>
  <c r="X85" i="1"/>
  <c r="V85" i="1"/>
  <c r="AC85" i="1" s="1"/>
  <c r="L85" i="1"/>
  <c r="X84" i="1"/>
  <c r="V84" i="1"/>
  <c r="AC84" i="1" s="1"/>
  <c r="L84" i="1"/>
  <c r="X83" i="1"/>
  <c r="V83" i="1"/>
  <c r="AC83" i="1" s="1"/>
  <c r="L83" i="1"/>
  <c r="X82" i="1"/>
  <c r="V82" i="1"/>
  <c r="AC82" i="1" s="1"/>
  <c r="L82" i="1"/>
  <c r="X81" i="1"/>
  <c r="V81" i="1"/>
  <c r="L81" i="1"/>
  <c r="V80" i="1"/>
  <c r="AC80" i="1" s="1"/>
  <c r="L80" i="1"/>
  <c r="X79" i="1"/>
  <c r="V79" i="1"/>
  <c r="L79" i="1"/>
  <c r="V78" i="1"/>
  <c r="W78" i="1" s="1"/>
  <c r="L78" i="1"/>
  <c r="V77" i="1"/>
  <c r="AC77" i="1" s="1"/>
  <c r="L77" i="1"/>
  <c r="V76" i="1"/>
  <c r="W76" i="1" s="1"/>
  <c r="L76" i="1"/>
  <c r="V75" i="1"/>
  <c r="AC75" i="1" s="1"/>
  <c r="L75" i="1"/>
  <c r="X74" i="1"/>
  <c r="V74" i="1"/>
  <c r="L74" i="1"/>
  <c r="X73" i="1"/>
  <c r="V73" i="1"/>
  <c r="L73" i="1"/>
  <c r="X72" i="1"/>
  <c r="V72" i="1"/>
  <c r="L72" i="1"/>
  <c r="X71" i="1"/>
  <c r="V71" i="1"/>
  <c r="AC71" i="1" s="1"/>
  <c r="L71" i="1"/>
  <c r="X70" i="1"/>
  <c r="V70" i="1"/>
  <c r="AC70" i="1" s="1"/>
  <c r="L70" i="1"/>
  <c r="V69" i="1"/>
  <c r="AC69" i="1" s="1"/>
  <c r="L69" i="1"/>
  <c r="X68" i="1"/>
  <c r="V68" i="1"/>
  <c r="L68" i="1"/>
  <c r="X67" i="1"/>
  <c r="V67" i="1"/>
  <c r="AC67" i="1" s="1"/>
  <c r="L67" i="1"/>
  <c r="X66" i="1"/>
  <c r="V66" i="1"/>
  <c r="AC66" i="1" s="1"/>
  <c r="L66" i="1"/>
  <c r="X65" i="1"/>
  <c r="V65" i="1"/>
  <c r="AC65" i="1" s="1"/>
  <c r="L65" i="1"/>
  <c r="V64" i="1"/>
  <c r="AC64" i="1" s="1"/>
  <c r="L64" i="1"/>
  <c r="V63" i="1"/>
  <c r="AC63" i="1" s="1"/>
  <c r="L63" i="1"/>
  <c r="X62" i="1"/>
  <c r="V62" i="1"/>
  <c r="AC62" i="1" s="1"/>
  <c r="L62" i="1"/>
  <c r="X61" i="1"/>
  <c r="V61" i="1"/>
  <c r="AC61" i="1" s="1"/>
  <c r="L61" i="1"/>
  <c r="V60" i="1"/>
  <c r="AC60" i="1" s="1"/>
  <c r="L60" i="1"/>
  <c r="V59" i="1"/>
  <c r="AC59" i="1" s="1"/>
  <c r="L59" i="1"/>
  <c r="X58" i="1"/>
  <c r="V58" i="1"/>
  <c r="AC58" i="1" s="1"/>
  <c r="L58" i="1"/>
  <c r="V57" i="1"/>
  <c r="AC57" i="1" s="1"/>
  <c r="L57" i="1"/>
  <c r="V56" i="1"/>
  <c r="W56" i="1" s="1"/>
  <c r="L56" i="1"/>
  <c r="V55" i="1"/>
  <c r="AC55" i="1" s="1"/>
  <c r="L55" i="1"/>
  <c r="X54" i="1"/>
  <c r="V54" i="1"/>
  <c r="AC54" i="1" s="1"/>
  <c r="L54" i="1"/>
  <c r="V53" i="1"/>
  <c r="AC53" i="1" s="1"/>
  <c r="L53" i="1"/>
  <c r="X52" i="1"/>
  <c r="V52" i="1"/>
  <c r="AC52" i="1" s="1"/>
  <c r="L52" i="1"/>
  <c r="V51" i="1"/>
  <c r="AC51" i="1" s="1"/>
  <c r="L51" i="1"/>
  <c r="X50" i="1"/>
  <c r="V50" i="1"/>
  <c r="AC50" i="1" s="1"/>
  <c r="L50" i="1"/>
  <c r="X49" i="1"/>
  <c r="V49" i="1"/>
  <c r="AC49" i="1" s="1"/>
  <c r="L49" i="1"/>
  <c r="V48" i="1"/>
  <c r="AC48" i="1" s="1"/>
  <c r="L48" i="1"/>
  <c r="V47" i="1"/>
  <c r="AC47" i="1" s="1"/>
  <c r="L47" i="1"/>
  <c r="X46" i="1"/>
  <c r="V46" i="1"/>
  <c r="AC46" i="1" s="1"/>
  <c r="L46" i="1"/>
  <c r="V45" i="1"/>
  <c r="AC45" i="1" s="1"/>
  <c r="L45" i="1"/>
  <c r="X44" i="1"/>
  <c r="V44" i="1"/>
  <c r="L44" i="1"/>
  <c r="V43" i="1"/>
  <c r="AC43" i="1" s="1"/>
  <c r="L43" i="1"/>
  <c r="X42" i="1"/>
  <c r="V42" i="1"/>
  <c r="L42" i="1"/>
  <c r="X41" i="1"/>
  <c r="V41" i="1"/>
  <c r="AC41" i="1" s="1"/>
  <c r="L41" i="1"/>
  <c r="X40" i="1"/>
  <c r="V40" i="1"/>
  <c r="L40" i="1"/>
  <c r="X39" i="1"/>
  <c r="V39" i="1"/>
  <c r="L39" i="1"/>
  <c r="X38" i="1"/>
  <c r="V38" i="1"/>
  <c r="L38" i="1"/>
  <c r="V37" i="1"/>
  <c r="W37" i="1" s="1"/>
  <c r="X37" i="1" s="1"/>
  <c r="L37" i="1"/>
  <c r="X36" i="1"/>
  <c r="V36" i="1"/>
  <c r="AC36" i="1" s="1"/>
  <c r="L36" i="1"/>
  <c r="V35" i="1"/>
  <c r="AC35" i="1" s="1"/>
  <c r="L35" i="1"/>
  <c r="X34" i="1"/>
  <c r="V34" i="1"/>
  <c r="AC34" i="1" s="1"/>
  <c r="L34" i="1"/>
  <c r="V33" i="1"/>
  <c r="AC33" i="1" s="1"/>
  <c r="L33" i="1"/>
  <c r="X32" i="1"/>
  <c r="V32" i="1"/>
  <c r="AC32" i="1" s="1"/>
  <c r="L32" i="1"/>
  <c r="X31" i="1"/>
  <c r="V31" i="1"/>
  <c r="AC31" i="1" s="1"/>
  <c r="L31" i="1"/>
  <c r="X30" i="1"/>
  <c r="V30" i="1"/>
  <c r="AC30" i="1" s="1"/>
  <c r="L30" i="1"/>
  <c r="X29" i="1"/>
  <c r="V29" i="1"/>
  <c r="AC29" i="1" s="1"/>
  <c r="L29" i="1"/>
  <c r="X28" i="1"/>
  <c r="V28" i="1"/>
  <c r="L28" i="1"/>
  <c r="V27" i="1"/>
  <c r="AC27" i="1" s="1"/>
  <c r="L27" i="1"/>
  <c r="X26" i="1"/>
  <c r="V26" i="1"/>
  <c r="L26" i="1"/>
  <c r="X25" i="1"/>
  <c r="V25" i="1"/>
  <c r="AC25" i="1" s="1"/>
  <c r="L25" i="1"/>
  <c r="V24" i="1"/>
  <c r="AC24" i="1" s="1"/>
  <c r="L24" i="1"/>
  <c r="V23" i="1"/>
  <c r="W23" i="1" s="1"/>
  <c r="L23" i="1"/>
  <c r="V22" i="1"/>
  <c r="AC22" i="1" s="1"/>
  <c r="L22" i="1"/>
  <c r="V21" i="1"/>
  <c r="AC21" i="1" s="1"/>
  <c r="L21" i="1"/>
  <c r="V20" i="1"/>
  <c r="AC20" i="1" s="1"/>
  <c r="L20" i="1"/>
  <c r="V19" i="1"/>
  <c r="AC19" i="1" s="1"/>
  <c r="L19" i="1"/>
  <c r="V18" i="1"/>
  <c r="AC18" i="1" s="1"/>
  <c r="L18" i="1"/>
  <c r="X17" i="1"/>
  <c r="V17" i="1"/>
  <c r="AC17" i="1" s="1"/>
  <c r="L17" i="1"/>
  <c r="V16" i="1"/>
  <c r="AC16" i="1" s="1"/>
  <c r="L16" i="1"/>
  <c r="V15" i="1"/>
  <c r="AC15" i="1" s="1"/>
  <c r="L15" i="1"/>
  <c r="X14" i="1"/>
  <c r="V14" i="1"/>
  <c r="AC14" i="1" s="1"/>
  <c r="L14" i="1"/>
  <c r="V13" i="1"/>
  <c r="AC13" i="1" s="1"/>
  <c r="L13" i="1"/>
  <c r="X12" i="1"/>
  <c r="V12" i="1"/>
  <c r="AC12" i="1" s="1"/>
  <c r="L12" i="1"/>
  <c r="V11" i="1"/>
  <c r="W11" i="1" s="1"/>
  <c r="L11" i="1"/>
  <c r="V10" i="1"/>
  <c r="AC10" i="1" s="1"/>
  <c r="L10" i="1"/>
  <c r="X9" i="1"/>
  <c r="V9" i="1"/>
  <c r="AC9" i="1" s="1"/>
  <c r="L9" i="1"/>
  <c r="V8" i="1"/>
  <c r="AC8" i="1" s="1"/>
  <c r="L8" i="1"/>
  <c r="V7" i="1"/>
  <c r="AC7" i="1" s="1"/>
  <c r="L7" i="1"/>
  <c r="V6" i="1"/>
  <c r="W6" i="1" s="1"/>
  <c r="L6" i="1"/>
  <c r="AM5" i="1"/>
  <c r="AL5" i="1"/>
  <c r="AK5" i="1"/>
  <c r="AJ5" i="1"/>
  <c r="AI5" i="1"/>
  <c r="AH5" i="1"/>
  <c r="AG5" i="1"/>
  <c r="AF5" i="1"/>
  <c r="AE5" i="1"/>
  <c r="AD5" i="1"/>
  <c r="S5" i="1"/>
  <c r="R5" i="1"/>
  <c r="Q5" i="1"/>
  <c r="P5" i="1"/>
  <c r="O5" i="1"/>
  <c r="N5" i="1"/>
  <c r="M5" i="1"/>
  <c r="K5" i="1"/>
  <c r="F5" i="1"/>
  <c r="AO12" i="1" l="1"/>
  <c r="AB12" i="1"/>
  <c r="AO17" i="1"/>
  <c r="AB17" i="1"/>
  <c r="AO26" i="1"/>
  <c r="AB26" i="1"/>
  <c r="AO29" i="1"/>
  <c r="AB29" i="1"/>
  <c r="AO31" i="1"/>
  <c r="AB31" i="1"/>
  <c r="AO34" i="1"/>
  <c r="AB34" i="1"/>
  <c r="AO38" i="1"/>
  <c r="AB38" i="1"/>
  <c r="AO40" i="1"/>
  <c r="AB40" i="1"/>
  <c r="AO42" i="1"/>
  <c r="AB42" i="1"/>
  <c r="AO46" i="1"/>
  <c r="AB46" i="1"/>
  <c r="AO50" i="1"/>
  <c r="AB50" i="1"/>
  <c r="AO54" i="1"/>
  <c r="AB54" i="1"/>
  <c r="AO61" i="1"/>
  <c r="AB61" i="1"/>
  <c r="AO65" i="1"/>
  <c r="AB65" i="1"/>
  <c r="AO67" i="1"/>
  <c r="AB67" i="1"/>
  <c r="AO70" i="1"/>
  <c r="AB70" i="1"/>
  <c r="AO72" i="1"/>
  <c r="AB72" i="1"/>
  <c r="AO74" i="1"/>
  <c r="AB74" i="1"/>
  <c r="AO81" i="1"/>
  <c r="AB81" i="1"/>
  <c r="AO83" i="1"/>
  <c r="AB83" i="1"/>
  <c r="AO85" i="1"/>
  <c r="AB85" i="1"/>
  <c r="AO87" i="1"/>
  <c r="AB87" i="1"/>
  <c r="AO89" i="1"/>
  <c r="AB89" i="1"/>
  <c r="AO92" i="1"/>
  <c r="AB92" i="1"/>
  <c r="AO95" i="1"/>
  <c r="AB95" i="1"/>
  <c r="AO97" i="1"/>
  <c r="AB97" i="1"/>
  <c r="AO99" i="1"/>
  <c r="AB99" i="1"/>
  <c r="AO101" i="1"/>
  <c r="AB101" i="1"/>
  <c r="AO103" i="1"/>
  <c r="AB103" i="1"/>
  <c r="AO105" i="1"/>
  <c r="AB105" i="1"/>
  <c r="AO107" i="1"/>
  <c r="AB107" i="1"/>
  <c r="AO111" i="1"/>
  <c r="AB111" i="1"/>
  <c r="AO113" i="1"/>
  <c r="AB113" i="1"/>
  <c r="AO116" i="1"/>
  <c r="AB116" i="1"/>
  <c r="AO118" i="1"/>
  <c r="AB118" i="1"/>
  <c r="AO120" i="1"/>
  <c r="AB120" i="1"/>
  <c r="AO125" i="1"/>
  <c r="AB125" i="1"/>
  <c r="AO127" i="1"/>
  <c r="AB127" i="1"/>
  <c r="AO129" i="1"/>
  <c r="AB129" i="1"/>
  <c r="AO131" i="1"/>
  <c r="AB131" i="1"/>
  <c r="AO133" i="1"/>
  <c r="AB133" i="1"/>
  <c r="AO9" i="1"/>
  <c r="AB9" i="1"/>
  <c r="AO14" i="1"/>
  <c r="AB14" i="1"/>
  <c r="AO25" i="1"/>
  <c r="AB25" i="1"/>
  <c r="AO28" i="1"/>
  <c r="AB28" i="1"/>
  <c r="AO30" i="1"/>
  <c r="AB30" i="1"/>
  <c r="AO32" i="1"/>
  <c r="AB32" i="1"/>
  <c r="AO36" i="1"/>
  <c r="AB36" i="1"/>
  <c r="AO37" i="1"/>
  <c r="AB37" i="1"/>
  <c r="AO39" i="1"/>
  <c r="AB39" i="1"/>
  <c r="AO41" i="1"/>
  <c r="AB41" i="1"/>
  <c r="AO44" i="1"/>
  <c r="AB44" i="1"/>
  <c r="AO49" i="1"/>
  <c r="AB49" i="1"/>
  <c r="AO52" i="1"/>
  <c r="AB52" i="1"/>
  <c r="AO58" i="1"/>
  <c r="AB58" i="1"/>
  <c r="AO62" i="1"/>
  <c r="AB62" i="1"/>
  <c r="AO66" i="1"/>
  <c r="AB66" i="1"/>
  <c r="AO68" i="1"/>
  <c r="AB68" i="1"/>
  <c r="AO71" i="1"/>
  <c r="AB71" i="1"/>
  <c r="AO73" i="1"/>
  <c r="AB73" i="1"/>
  <c r="AO79" i="1"/>
  <c r="AB79" i="1"/>
  <c r="AO82" i="1"/>
  <c r="AB82" i="1"/>
  <c r="AO84" i="1"/>
  <c r="AB84" i="1"/>
  <c r="AO86" i="1"/>
  <c r="AB86" i="1"/>
  <c r="AO88" i="1"/>
  <c r="AB88" i="1"/>
  <c r="AO91" i="1"/>
  <c r="AB91" i="1"/>
  <c r="AO93" i="1"/>
  <c r="AB93" i="1"/>
  <c r="AO96" i="1"/>
  <c r="AB96" i="1"/>
  <c r="AO98" i="1"/>
  <c r="AB98" i="1"/>
  <c r="AO100" i="1"/>
  <c r="AB100" i="1"/>
  <c r="AO102" i="1"/>
  <c r="AB102" i="1"/>
  <c r="AO104" i="1"/>
  <c r="AB104" i="1"/>
  <c r="AO106" i="1"/>
  <c r="AB106" i="1"/>
  <c r="AO110" i="1"/>
  <c r="AB110" i="1"/>
  <c r="AO112" i="1"/>
  <c r="AB112" i="1"/>
  <c r="AO114" i="1"/>
  <c r="AB114" i="1"/>
  <c r="AO115" i="1"/>
  <c r="AB115" i="1"/>
  <c r="AO117" i="1"/>
  <c r="AB117" i="1"/>
  <c r="AO119" i="1"/>
  <c r="AB119" i="1"/>
  <c r="AO123" i="1"/>
  <c r="AB123" i="1"/>
  <c r="AO128" i="1"/>
  <c r="AB128" i="1"/>
  <c r="AO130" i="1"/>
  <c r="AB130" i="1"/>
  <c r="AO132" i="1"/>
  <c r="AB132" i="1"/>
  <c r="AC126" i="1"/>
  <c r="AC113" i="1"/>
  <c r="E5" i="1"/>
  <c r="AC123" i="1"/>
  <c r="W53" i="1"/>
  <c r="X53" i="1" s="1"/>
  <c r="AC56" i="1"/>
  <c r="W27" i="1"/>
  <c r="X27" i="1" s="1"/>
  <c r="AC112" i="1"/>
  <c r="L126" i="1"/>
  <c r="L5" i="1" s="1"/>
  <c r="AC44" i="1"/>
  <c r="W8" i="1"/>
  <c r="AC39" i="1"/>
  <c r="W20" i="1"/>
  <c r="W121" i="1"/>
  <c r="W80" i="1"/>
  <c r="AC28" i="1"/>
  <c r="W22" i="1"/>
  <c r="AC73" i="1"/>
  <c r="W16" i="1"/>
  <c r="AC99" i="1"/>
  <c r="W10" i="1"/>
  <c r="W35" i="1"/>
  <c r="AC68" i="1"/>
  <c r="W24" i="1"/>
  <c r="W63" i="1"/>
  <c r="AC88" i="1"/>
  <c r="AC100" i="1"/>
  <c r="AC11" i="1"/>
  <c r="W33" i="1"/>
  <c r="W94" i="1"/>
  <c r="AC37" i="1"/>
  <c r="W59" i="1"/>
  <c r="W108" i="1"/>
  <c r="W124" i="1"/>
  <c r="AC42" i="1"/>
  <c r="AC38" i="1"/>
  <c r="AC81" i="1"/>
  <c r="W19" i="1"/>
  <c r="AC114" i="1"/>
  <c r="AC76" i="1"/>
  <c r="AC26" i="1"/>
  <c r="W77" i="1"/>
  <c r="X77" i="1" s="1"/>
  <c r="AC115" i="1"/>
  <c r="AC87" i="1"/>
  <c r="AC92" i="1"/>
  <c r="W45" i="1"/>
  <c r="AC78" i="1"/>
  <c r="AC72" i="1"/>
  <c r="X11" i="1"/>
  <c r="X76" i="1"/>
  <c r="X78" i="1"/>
  <c r="X23" i="1"/>
  <c r="V5" i="1"/>
  <c r="AC6" i="1"/>
  <c r="W13" i="1"/>
  <c r="AC23" i="1"/>
  <c r="AC93" i="1"/>
  <c r="X6" i="1"/>
  <c r="AB6" i="1" s="1"/>
  <c r="X56" i="1"/>
  <c r="AC74" i="1"/>
  <c r="AC125" i="1"/>
  <c r="W60" i="1"/>
  <c r="W109" i="1"/>
  <c r="W7" i="1"/>
  <c r="W75" i="1"/>
  <c r="AC90" i="1"/>
  <c r="W90" i="1"/>
  <c r="W64" i="1"/>
  <c r="W57" i="1"/>
  <c r="W18" i="1"/>
  <c r="W43" i="1"/>
  <c r="W47" i="1"/>
  <c r="W21" i="1"/>
  <c r="AC79" i="1"/>
  <c r="W122" i="1"/>
  <c r="AC118" i="1"/>
  <c r="W15" i="1"/>
  <c r="W51" i="1"/>
  <c r="AC40" i="1"/>
  <c r="AC103" i="1"/>
  <c r="W55" i="1"/>
  <c r="W69" i="1"/>
  <c r="AC119" i="1"/>
  <c r="W48" i="1"/>
  <c r="AC128" i="1"/>
  <c r="AO27" i="1" l="1"/>
  <c r="AB27" i="1"/>
  <c r="AO53" i="1"/>
  <c r="AB53" i="1"/>
  <c r="AO56" i="1"/>
  <c r="AB56" i="1"/>
  <c r="AO23" i="1"/>
  <c r="AB23" i="1"/>
  <c r="AO76" i="1"/>
  <c r="AB76" i="1"/>
  <c r="AO77" i="1"/>
  <c r="AB77" i="1"/>
  <c r="AO78" i="1"/>
  <c r="AB78" i="1"/>
  <c r="AO11" i="1"/>
  <c r="AB11" i="1"/>
  <c r="X8" i="1"/>
  <c r="X35" i="1"/>
  <c r="X33" i="1"/>
  <c r="X20" i="1"/>
  <c r="X22" i="1"/>
  <c r="X121" i="1"/>
  <c r="X24" i="1"/>
  <c r="X80" i="1"/>
  <c r="X94" i="1"/>
  <c r="X19" i="1"/>
  <c r="X10" i="1"/>
  <c r="X16" i="1"/>
  <c r="X63" i="1"/>
  <c r="X45" i="1"/>
  <c r="X59" i="1"/>
  <c r="X124" i="1"/>
  <c r="X108" i="1"/>
  <c r="X109" i="1"/>
  <c r="X7" i="1"/>
  <c r="X13" i="1"/>
  <c r="X21" i="1"/>
  <c r="X75" i="1"/>
  <c r="X43" i="1"/>
  <c r="X60" i="1"/>
  <c r="X57" i="1"/>
  <c r="X18" i="1"/>
  <c r="X15" i="1"/>
  <c r="X55" i="1"/>
  <c r="X90" i="1"/>
  <c r="X51" i="1"/>
  <c r="X64" i="1"/>
  <c r="X48" i="1"/>
  <c r="AO6" i="1"/>
  <c r="X69" i="1"/>
  <c r="X47" i="1"/>
  <c r="X122" i="1"/>
  <c r="W5" i="1"/>
  <c r="AO47" i="1" l="1"/>
  <c r="AB47" i="1"/>
  <c r="AO64" i="1"/>
  <c r="AB64" i="1"/>
  <c r="AO90" i="1"/>
  <c r="AB90" i="1"/>
  <c r="AO15" i="1"/>
  <c r="AB15" i="1"/>
  <c r="AO57" i="1"/>
  <c r="AB57" i="1"/>
  <c r="AO43" i="1"/>
  <c r="AB43" i="1"/>
  <c r="AO21" i="1"/>
  <c r="AB21" i="1"/>
  <c r="AO7" i="1"/>
  <c r="AB7" i="1"/>
  <c r="AO108" i="1"/>
  <c r="AB108" i="1"/>
  <c r="AO59" i="1"/>
  <c r="AB59" i="1"/>
  <c r="AO63" i="1"/>
  <c r="AB63" i="1"/>
  <c r="AO10" i="1"/>
  <c r="AB10" i="1"/>
  <c r="AO94" i="1"/>
  <c r="AB94" i="1"/>
  <c r="AO24" i="1"/>
  <c r="AB24" i="1"/>
  <c r="AO22" i="1"/>
  <c r="AB22" i="1"/>
  <c r="AO33" i="1"/>
  <c r="AB33" i="1"/>
  <c r="AO8" i="1"/>
  <c r="AB8" i="1"/>
  <c r="AO122" i="1"/>
  <c r="AB122" i="1"/>
  <c r="AO69" i="1"/>
  <c r="AB69" i="1"/>
  <c r="AO48" i="1"/>
  <c r="AB48" i="1"/>
  <c r="AO51" i="1"/>
  <c r="AB51" i="1"/>
  <c r="AO55" i="1"/>
  <c r="AB55" i="1"/>
  <c r="AO18" i="1"/>
  <c r="AB18" i="1"/>
  <c r="AO60" i="1"/>
  <c r="AB60" i="1"/>
  <c r="AO75" i="1"/>
  <c r="AB75" i="1"/>
  <c r="AO13" i="1"/>
  <c r="AB13" i="1"/>
  <c r="AO109" i="1"/>
  <c r="AB109" i="1"/>
  <c r="AO124" i="1"/>
  <c r="AB124" i="1"/>
  <c r="AO45" i="1"/>
  <c r="AB45" i="1"/>
  <c r="AO16" i="1"/>
  <c r="AB16" i="1"/>
  <c r="AO19" i="1"/>
  <c r="AB19" i="1"/>
  <c r="AO80" i="1"/>
  <c r="AB80" i="1"/>
  <c r="AO121" i="1"/>
  <c r="AB121" i="1"/>
  <c r="AO20" i="1"/>
  <c r="AB20" i="1"/>
  <c r="AO35" i="1"/>
  <c r="AB35" i="1"/>
  <c r="AO5" i="1"/>
  <c r="X5" i="1"/>
  <c r="U1" i="1" l="1"/>
</calcChain>
</file>

<file path=xl/sharedStrings.xml><?xml version="1.0" encoding="utf-8"?>
<sst xmlns="http://schemas.openxmlformats.org/spreadsheetml/2006/main" count="841" uniqueCount="442">
  <si>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</si>
  <si>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</si>
  <si>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</si>
  <si>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</si>
  <si>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</si>
  <si>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</si>
  <si>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</si>
  <si>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</si>
  <si>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</si>
  <si>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</si>
  <si>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</si>
  <si>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</si>
  <si>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</si>
  <si>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</si>
  <si>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</si>
  <si>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</si>
  <si>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</si>
  <si>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</si>
  <si>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</si>
  <si>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</si>
  <si>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</si>
  <si>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</si>
  <si>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</si>
  <si>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</si>
  <si>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</si>
  <si>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</si>
  <si>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</si>
  <si>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11,08,доз2</t>
  </si>
  <si>
    <t>15,08,</t>
  </si>
  <si>
    <t>13,08,</t>
  </si>
  <si>
    <t>17,08,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</si>
  <si>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</si>
  <si>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</si>
  <si>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</si>
  <si>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</si>
  <si>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</si>
  <si>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</si>
  <si>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</si>
  <si>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</si>
  <si>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</si>
  <si>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</si>
  <si>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</si>
  <si>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</si>
  <si>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</si>
  <si>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</si>
  <si>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</si>
  <si>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</si>
  <si>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</si>
  <si>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</si>
  <si>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</si>
  <si>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</si>
  <si>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</si>
  <si>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</si>
  <si>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</si>
  <si>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</si>
  <si>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</si>
  <si>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</si>
  <si>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</si>
  <si>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</si>
  <si>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</si>
  <si>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</si>
  <si>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</si>
  <si>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</si>
  <si>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</si>
  <si>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</si>
  <si>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</si>
  <si>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</si>
  <si>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</si>
  <si>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</si>
  <si>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</si>
  <si>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</si>
  <si>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</si>
  <si>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</si>
  <si>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</si>
  <si>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</si>
  <si>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</si>
  <si>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</si>
  <si>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</si>
  <si>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</si>
  <si>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</si>
  <si>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</si>
  <si>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</si>
  <si>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</si>
  <si>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</si>
  <si>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</si>
  <si>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</si>
  <si>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</si>
  <si>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</si>
  <si>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</si>
  <si>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</si>
  <si>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</si>
  <si>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НЕДОГРУЗ / матрица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</si>
  <si>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</si>
  <si>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</si>
  <si>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</si>
  <si>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</si>
  <si>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</si>
  <si>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</si>
  <si>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</si>
  <si>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</si>
  <si>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</si>
  <si>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</si>
  <si>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</si>
  <si>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</si>
  <si>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</si>
  <si>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</si>
  <si>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</si>
  <si>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</si>
  <si>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</si>
  <si>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</si>
  <si>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</si>
  <si>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</si>
  <si>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</si>
  <si>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</si>
  <si>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</si>
  <si>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</si>
  <si>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</si>
  <si>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</si>
  <si>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</si>
  <si>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</si>
  <si>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</si>
  <si>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</si>
  <si>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</si>
  <si>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</si>
  <si>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</si>
  <si>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</si>
  <si>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</si>
  <si>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</si>
  <si>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</si>
  <si>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</si>
  <si>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</si>
  <si>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</si>
  <si>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</si>
  <si>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</si>
  <si>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</si>
  <si>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</si>
  <si>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нужно увеличить продажи!!!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</si>
  <si>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</si>
  <si>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</si>
  <si>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</si>
  <si>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</si>
  <si>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</si>
  <si>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</si>
  <si>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</si>
  <si>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</si>
  <si>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</si>
  <si>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</si>
  <si>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</si>
  <si>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</si>
  <si>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</si>
  <si>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</si>
  <si>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</si>
  <si>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</si>
  <si>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нужно увеличить продажи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</si>
  <si>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</si>
  <si>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</si>
  <si>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</si>
  <si>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</si>
  <si>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</si>
  <si>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</si>
  <si>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</si>
  <si>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</si>
  <si>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</si>
  <si>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</si>
  <si>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</si>
  <si>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</si>
  <si>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</si>
  <si>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</si>
  <si>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</si>
  <si>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</si>
  <si>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</si>
  <si>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</si>
  <si>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</si>
  <si>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</si>
  <si>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</si>
  <si>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</si>
  <si>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</si>
  <si>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</si>
  <si>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</si>
  <si>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</si>
  <si>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</si>
  <si>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</si>
  <si>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</si>
  <si>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</si>
  <si>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</si>
  <si>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</si>
  <si>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</si>
  <si>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</si>
  <si>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</si>
  <si>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</si>
  <si>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</si>
  <si>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</si>
  <si>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</si>
  <si>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</si>
  <si>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</si>
  <si>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</si>
  <si>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</si>
  <si>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</si>
  <si>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</si>
  <si>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</si>
  <si>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</si>
  <si>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</si>
  <si>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</si>
  <si>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</si>
  <si>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</si>
  <si>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</si>
  <si>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</si>
  <si>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</si>
  <si>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</si>
  <si>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</si>
  <si>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</si>
  <si>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</si>
  <si>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</si>
  <si>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</si>
  <si>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</si>
  <si>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</si>
  <si>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</si>
  <si>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</si>
  <si>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</si>
  <si>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</si>
  <si>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</si>
  <si>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</si>
  <si>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</si>
  <si>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</si>
  <si>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</si>
  <si>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</si>
  <si>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</si>
  <si>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</si>
  <si>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</si>
  <si>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</si>
  <si>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</si>
  <si>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</si>
  <si>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</si>
  <si>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</si>
  <si>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</si>
  <si>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</si>
  <si>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</si>
  <si>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</si>
  <si>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</si>
  <si>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</si>
  <si>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</si>
  <si>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</si>
  <si>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</si>
  <si>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</si>
  <si>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</si>
  <si>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</si>
  <si>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</si>
  <si>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</si>
  <si>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</si>
  <si>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</si>
  <si>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</si>
  <si>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</si>
  <si>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</si>
  <si>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</si>
  <si>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</si>
  <si>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</si>
  <si>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</si>
  <si>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</si>
  <si>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</si>
  <si>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</si>
  <si>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</si>
  <si>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</si>
  <si>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</si>
  <si>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</si>
  <si>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</si>
  <si>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</si>
  <si>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</si>
  <si>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</si>
  <si>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</si>
  <si>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</si>
  <si>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</si>
  <si>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</si>
  <si>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</si>
  <si>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</si>
  <si>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</si>
  <si>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</si>
  <si>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</si>
  <si>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</si>
  <si>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</si>
  <si>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</si>
  <si>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</si>
  <si>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</si>
  <si>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</si>
  <si>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</si>
  <si>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</si>
  <si>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</si>
  <si>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</si>
  <si>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</si>
  <si>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</si>
  <si>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</si>
  <si>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</si>
  <si>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</si>
  <si>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</si>
  <si>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</si>
  <si>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</si>
  <si>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</si>
  <si>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</si>
  <si>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</si>
  <si>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</si>
  <si>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</si>
  <si>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</si>
  <si>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</si>
  <si>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</si>
  <si>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</si>
  <si>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</si>
  <si>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</si>
  <si>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</si>
  <si>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</si>
  <si>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</si>
  <si>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15,08,доз</t>
  </si>
  <si>
    <t>17,08,доз</t>
  </si>
  <si>
    <t>17,08,доз2</t>
  </si>
  <si>
    <t>15,08,недогр</t>
  </si>
  <si>
    <t>17,08,недогр</t>
  </si>
  <si>
    <t> SU002074 </t>
  </si>
  <si>
    <t> Сосиски «Молочные для завтрака» Весовой п/а ТМ «Особый рецепт» </t>
  </si>
  <si>
    <t> 207 </t>
  </si>
  <si>
    <t> 0 </t>
  </si>
  <si>
    <t> -207 </t>
  </si>
  <si>
    <t> SU002205 </t>
  </si>
  <si>
    <t> Сосиски «Молочные для завтрака» Фикс.вес 0,4 П/а мгс ТМ «Особый рецепт» </t>
  </si>
  <si>
    <t> 17 </t>
  </si>
  <si>
    <t> -17 </t>
  </si>
  <si>
    <t> SU002287 </t>
  </si>
  <si>
    <t> Сардельки «Сочные» Весовой п/а ТМ «Особый рецепт» </t>
  </si>
  <si>
    <t> 126 </t>
  </si>
  <si>
    <t> -126 </t>
  </si>
  <si>
    <t> SU002618 </t>
  </si>
  <si>
    <t> Сосиски «Сочинки с сочной грудинкой» Фикс.вес 0,4 П/а мгс ТМ «Стародворье» </t>
  </si>
  <si>
    <t> 245 </t>
  </si>
  <si>
    <t> -245 </t>
  </si>
  <si>
    <t> SU002621 </t>
  </si>
  <si>
    <t> Сосиски «Сочинки с сочным окороком» Фикс.вес 0,4 П/а мгс ТМ «Стародворье» </t>
  </si>
  <si>
    <t> 65 </t>
  </si>
  <si>
    <t> -65 </t>
  </si>
  <si>
    <t> SU002655 </t>
  </si>
  <si>
    <t> Сосиски «Датские» Весовой п/а ТМ «Зареченские продукты» </t>
  </si>
  <si>
    <t> 144 </t>
  </si>
  <si>
    <t> -144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</si>
  <si>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</si>
  <si>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</si>
  <si>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</si>
  <si>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</si>
  <si>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SU002843 </t>
  </si>
  <si>
    <t> Сосиски «Сочинки Молочные» Весовой п/а мгс ТМ «Стародворье» </t>
  </si>
  <si>
    <t> 81 </t>
  </si>
  <si>
    <t> -81 </t>
  </si>
  <si>
    <t> SU002941 </t>
  </si>
  <si>
    <t> В/к колбасы «Сочинка по-европейски с сочной грудинкой» Весовой фиброуз ТМ «Стародворье» </t>
  </si>
  <si>
    <t> 49 </t>
  </si>
  <si>
    <t> -49 </t>
  </si>
  <si>
    <t> SU002942 </t>
  </si>
  <si>
    <t> В/к колбасы «Сочинка по-фински с сочным окороком» срез Фикс.вес 0,3 фиброуз ТМ «Стародворье» </t>
  </si>
  <si>
    <t> 4 </t>
  </si>
  <si>
    <t> -4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</si>
  <si>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</si>
  <si>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</si>
  <si>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</si>
  <si>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</si>
  <si>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SU002944 </t>
  </si>
  <si>
    <t> В/к колбасы «Сочинка по-европейски с сочной грудинкой» срез Фикс.вес 0,3 фиброуз ТМ «Стародворье» </t>
  </si>
  <si>
    <t> 18 </t>
  </si>
  <si>
    <t> -18 </t>
  </si>
  <si>
    <t> SU002948 </t>
  </si>
  <si>
    <t> П/к колбасы «Сочинка рубленая с сочным окороком» срез Фикс.вес 0,3 фиброуз ТМ «Стародворье» </t>
  </si>
  <si>
    <t> 76 </t>
  </si>
  <si>
    <t> -76 </t>
  </si>
  <si>
    <t> SU004041 </t>
  </si>
  <si>
    <t> Копченые колбасы «Балыковая» Весовой фиброуз ТМ «Вязанка» </t>
  </si>
  <si>
    <t> 172 </t>
  </si>
  <si>
    <t> -172 </t>
  </si>
  <si>
    <t> SU004045 </t>
  </si>
  <si>
    <t> Копченые колбасы «Сервелат Финский» Фикс.вес 0,28 фиброуз срез ТМ «Вязанка» </t>
  </si>
  <si>
    <t> 15 </t>
  </si>
  <si>
    <t> -15 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</si>
  <si>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</si>
  <si>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</si>
  <si>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</si>
  <si>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Вареные колбасы Докторская ГОСТ Вязанка Весовые Вектор Вязанка</t>
  </si>
  <si>
    <t>Сардельки «Нежные» Весовые NDX мгс ТМ «Стародворье»</t>
  </si>
  <si>
    <t>Сосиски «Молокуши (Вязанка Молочные)» Весовой п/а мгс ТМ «Вязанка»</t>
  </si>
  <si>
    <t>Сосиски «Молокуши» ф/в 0,45 п/а мгс ТМ «Вязанка»</t>
  </si>
  <si>
    <t>Сосиски «Сливочные» ф/в 0,45 п/а мгс ТМ «Вязанка»</t>
  </si>
  <si>
    <t>Сосиски «Сливочные Вязанка» Весовой п/а мгс ТМ «Вязанка»</t>
  </si>
  <si>
    <t>С/к колбасы Швейцарская Бордо Фикс.вес 0,17 Фиброуз терм/п Стародворье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</si>
  <si>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</si>
  <si>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</si>
  <si>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Вареные колбасы «Молочная Дугушка» Весовые Вектор ТМ «Дугушка»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</si>
  <si>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</si>
  <si>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</si>
  <si>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</si>
  <si>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</si>
  <si>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</si>
  <si>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</si>
  <si>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</si>
  <si>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</si>
  <si>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</si>
  <si>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Сардельки «Сливушки» фикс.вес 0,33 п/а мгс ТМ «Вязанка»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</si>
  <si>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</si>
  <si>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</si>
  <si>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</si>
  <si>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</si>
  <si>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</si>
  <si>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</si>
  <si>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</si>
  <si>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</si>
  <si>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</si>
  <si>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</si>
  <si>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</si>
  <si>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</si>
  <si>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</si>
  <si>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</si>
  <si>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</si>
  <si>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</si>
  <si>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«Филейская» Весовые Вектор ТМ «Вязанка»</t>
  </si>
  <si>
    <t>Вареные колбасы Молокуша Вязанка Вес п/а Вязанка</t>
  </si>
  <si>
    <t>Ветчины «Сливушка с индейкой» Весовой п/а ТМ «Вязанка»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</si>
  <si>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</si>
  <si>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</si>
  <si>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</si>
  <si>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</si>
  <si>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</si>
  <si>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</si>
  <si>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</si>
  <si>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</si>
  <si>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</si>
  <si>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</si>
  <si>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</si>
  <si>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</si>
  <si>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</si>
  <si>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</si>
  <si>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Вареные колбасы «Докторская ГОСТ» Фикс.вес 0,37 п/а ТМ «Вязанка»</t>
  </si>
  <si>
    <t>Вареные колбасы «Со шпиком» Весовой п/а ТМ «Особый рецепт» большой батон</t>
  </si>
  <si>
    <t>Копченые колбасы «Сервелат Мясорубский Делюкс» Фикс.вес 0,3 фиброуз ТМ «Стародворье»</t>
  </si>
  <si>
    <t>Сырокопченые колбасы «Сервелат Ореховый» Фикс.вес 0,07 нарезка ТМ «Стародворье»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</si>
  <si>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</si>
  <si>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</si>
  <si>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</si>
  <si>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</si>
  <si>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</si>
  <si>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</si>
  <si>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«Докторская Классическая»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</si>
</sst>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0" fontId="6" fillId="0" borderId="1" xfId="0" applyFont="1"/>
    <xf numFmtId="165" fontId="7" fillId="0" borderId="1" xfId="1" applyNumberFormat="1" applyFont="1"/>
    <xf numFmtId="164" fontId="7" fillId="0" borderId="2" xfId="1" applyNumberFormat="1" applyFont="1" applyBorder="1"/>
    <xf numFmtId="0" fontId="6" fillId="0" borderId="0" xfId="0" applyFont="1" applyBorder="1"/>
    <xf numFmtId="164" fontId="1" fillId="8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5;&#1054;&#1050;&#1054;&#1052;/&#1092;&#1080;&#1083;&#1080;&#1072;&#1083;&#1099;%20&#1053;&#1042;/08,26/13,08,26%20&#1055;&#1054;&#1050;&#1054;&#1052;%20&#1050;&#1048;/&#1076;&#1074;%2013,08,26%20&#1073;&#1088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S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Q1" sqref="AQ1"/>
    </sheetView>
  </sheetViews>
  <sheetFormatPr defaultRowHeight="15" x14ac:dyDescent="0.25"/>
  <cols>
    <col min="1" max="1" width="54" customWidth="1"/>
    <col min="2" max="2" width="3" customWidth="1"/>
    <col min="3" max="4" width="6" customWidth="1"/>
    <col min="5" max="6" width="7" customWidth="1"/>
    <col min="7" max="7" width="5" style="6" customWidth="1"/>
    <col min="8" max="8" width="5.7109375" customWidth="1"/>
    <col min="9" max="9" width="8.425781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24" customWidth="1"/>
    <col min="21" max="21" width="7" style="19" customWidth="1"/>
    <col min="22" max="24" width="7" customWidth="1"/>
    <col min="25" max="25" width="7" style="24" customWidth="1"/>
    <col min="26" max="27" width="7" style="22" customWidth="1"/>
    <col min="28" max="29" width="5" customWidth="1"/>
    <col min="30" max="39" width="6" customWidth="1"/>
    <col min="40" max="40" width="4.85546875" customWidth="1"/>
    <col min="41" max="41" width="7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f>[1]Sheet!$S$1</f>
        <v>0</v>
      </c>
      <c r="V1" s="1"/>
      <c r="W1" s="1"/>
      <c r="X1" s="16">
        <v>-0.66</v>
      </c>
      <c r="Y1" s="16"/>
      <c r="Z1" s="20"/>
      <c r="AA1" s="20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7"/>
      <c r="V2" s="1"/>
      <c r="W2" s="1"/>
      <c r="X2" s="1" t="s">
        <v>0</v>
      </c>
      <c r="Y2" s="1"/>
      <c r="Z2" s="17"/>
      <c r="AA2" s="17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16</v>
      </c>
      <c r="W3" s="3" t="s">
        <v>17</v>
      </c>
      <c r="X3" s="3" t="s">
        <v>18</v>
      </c>
      <c r="Y3" s="3" t="s">
        <v>18</v>
      </c>
      <c r="Z3" s="3" t="s">
        <v>18</v>
      </c>
      <c r="AA3" s="3" t="s">
        <v>18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22</v>
      </c>
      <c r="AO3" s="2" t="s">
        <v>23</v>
      </c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312</v>
      </c>
      <c r="U4" s="17" t="s">
        <v>309</v>
      </c>
      <c r="V4" s="1" t="s">
        <v>29</v>
      </c>
      <c r="W4" s="1"/>
      <c r="X4" s="1" t="s">
        <v>30</v>
      </c>
      <c r="Y4" s="1" t="s">
        <v>313</v>
      </c>
      <c r="Z4" s="17" t="s">
        <v>310</v>
      </c>
      <c r="AA4" s="17" t="s">
        <v>311</v>
      </c>
      <c r="AB4" s="1"/>
      <c r="AC4" s="1"/>
      <c r="AD4" s="1" t="s">
        <v>24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/>
      <c r="AO4" s="1"/>
    </row>
    <row r="5" spans="1:42" x14ac:dyDescent="0.25">
      <c r="A5" s="1"/>
      <c r="B5" s="1"/>
      <c r="C5" s="1"/>
      <c r="D5" s="1"/>
      <c r="E5" s="4">
        <f>SUM(E6:E499)</f>
        <v>19817.816999999999</v>
      </c>
      <c r="F5" s="4">
        <f>SUM(F6:F499)</f>
        <v>23803.909999999996</v>
      </c>
      <c r="G5" s="7"/>
      <c r="H5" s="1"/>
      <c r="I5" s="1"/>
      <c r="J5" s="1"/>
      <c r="K5" s="4">
        <f t="shared" ref="K5:X5" si="0">SUM(K6:K499)</f>
        <v>21821.593999999997</v>
      </c>
      <c r="L5" s="4">
        <f t="shared" si="0"/>
        <v>-2003.7769999999996</v>
      </c>
      <c r="M5" s="4">
        <f t="shared" si="0"/>
        <v>0</v>
      </c>
      <c r="N5" s="4">
        <f t="shared" si="0"/>
        <v>0</v>
      </c>
      <c r="O5" s="4">
        <f t="shared" si="0"/>
        <v>14382.242349999999</v>
      </c>
      <c r="P5" s="4">
        <f t="shared" si="0"/>
        <v>-2303.09</v>
      </c>
      <c r="Q5" s="4">
        <f t="shared" si="0"/>
        <v>480</v>
      </c>
      <c r="R5" s="4">
        <f t="shared" si="0"/>
        <v>1300</v>
      </c>
      <c r="S5" s="4">
        <f t="shared" si="0"/>
        <v>5149.2497800000001</v>
      </c>
      <c r="T5" s="4">
        <f t="shared" ref="T5" si="1">SUM(T6:T499)</f>
        <v>-2182.5952380952381</v>
      </c>
      <c r="U5" s="18">
        <f t="shared" ref="U5" si="2">SUM(U6:U499)</f>
        <v>2340</v>
      </c>
      <c r="V5" s="4">
        <f t="shared" si="0"/>
        <v>3963.5633999999986</v>
      </c>
      <c r="W5" s="4">
        <f t="shared" si="0"/>
        <v>11472.023923999999</v>
      </c>
      <c r="X5" s="4">
        <f t="shared" si="0"/>
        <v>10291.902212000003</v>
      </c>
      <c r="Y5" s="4">
        <f t="shared" ref="Y5" si="3">SUM(Y6:Y499)</f>
        <v>-2944.3139999999999</v>
      </c>
      <c r="Z5" s="18">
        <f t="shared" ref="Z5:AA5" si="4">SUM(Z6:Z499)</f>
        <v>2100</v>
      </c>
      <c r="AA5" s="18">
        <f t="shared" si="4"/>
        <v>700</v>
      </c>
      <c r="AB5" s="1"/>
      <c r="AC5" s="1"/>
      <c r="AD5" s="4">
        <f t="shared" ref="AD5:AM5" si="5">SUM(AD6:AD499)</f>
        <v>3762.9608000000012</v>
      </c>
      <c r="AE5" s="4">
        <f t="shared" si="5"/>
        <v>3888.003999999999</v>
      </c>
      <c r="AF5" s="4">
        <f t="shared" si="5"/>
        <v>4297.2658000000001</v>
      </c>
      <c r="AG5" s="4">
        <f t="shared" si="5"/>
        <v>4684.4022000000004</v>
      </c>
      <c r="AH5" s="4">
        <f t="shared" si="5"/>
        <v>4934.9677999999976</v>
      </c>
      <c r="AI5" s="4">
        <f t="shared" si="5"/>
        <v>5484.3842000000004</v>
      </c>
      <c r="AJ5" s="4">
        <f t="shared" si="5"/>
        <v>5313.1188000000011</v>
      </c>
      <c r="AK5" s="4">
        <f t="shared" si="5"/>
        <v>4949.6584000000003</v>
      </c>
      <c r="AL5" s="4">
        <f t="shared" si="5"/>
        <v>5681.5398000000005</v>
      </c>
      <c r="AM5" s="4">
        <f t="shared" si="5"/>
        <v>4551.4276000000009</v>
      </c>
      <c r="AN5" s="1"/>
      <c r="AO5" s="4">
        <f>SUM(AO6:AO499)</f>
        <v>8303</v>
      </c>
    </row>
    <row r="6" spans="1:42" x14ac:dyDescent="0.25">
      <c r="A6" s="23" t="s">
        <v>40</v>
      </c>
      <c r="B6" s="1" t="s">
        <v>41</v>
      </c>
      <c r="C6" s="1">
        <v>290.851</v>
      </c>
      <c r="D6" s="1">
        <v>229.69</v>
      </c>
      <c r="E6" s="1">
        <v>219.35900000000001</v>
      </c>
      <c r="F6" s="1">
        <v>250.74100000000001</v>
      </c>
      <c r="G6" s="7">
        <v>1</v>
      </c>
      <c r="H6" s="1">
        <v>50</v>
      </c>
      <c r="I6" s="1" t="s">
        <v>42</v>
      </c>
      <c r="J6" s="1"/>
      <c r="K6" s="1">
        <v>193.7</v>
      </c>
      <c r="L6" s="1">
        <f t="shared" ref="L6:L37" si="6">E6-K6</f>
        <v>25.65900000000002</v>
      </c>
      <c r="M6" s="1"/>
      <c r="N6" s="1"/>
      <c r="O6" s="1">
        <v>6.3860000000000232</v>
      </c>
      <c r="P6" s="1">
        <v>0</v>
      </c>
      <c r="Q6" s="1"/>
      <c r="R6" s="1"/>
      <c r="S6" s="1">
        <v>75.607799999999997</v>
      </c>
      <c r="T6" s="1"/>
      <c r="U6" s="17">
        <v>150</v>
      </c>
      <c r="V6" s="1">
        <f t="shared" ref="V6:V37" si="7">E6/5</f>
        <v>43.8718</v>
      </c>
      <c r="W6" s="5">
        <f>12*V6-S6-R6-Q6-P6-O6-F6</f>
        <v>193.72679999999994</v>
      </c>
      <c r="X6" s="5">
        <f>W6+$X$1*V6</f>
        <v>164.77141199999994</v>
      </c>
      <c r="Y6" s="5"/>
      <c r="Z6" s="21"/>
      <c r="AA6" s="21"/>
      <c r="AB6" s="1">
        <f>(F6+O6+P6+Q6+R6+S6+X6+U6+Z6+AA6)/V6</f>
        <v>14.759052785616273</v>
      </c>
      <c r="AC6" s="1">
        <f t="shared" ref="AC6:AC37" si="8">(F6+O6+P6+Q6+R6+S6)/V6</f>
        <v>7.5842522987431567</v>
      </c>
      <c r="AD6" s="1">
        <v>37.962800000000001</v>
      </c>
      <c r="AE6" s="1">
        <v>34.125799999999998</v>
      </c>
      <c r="AF6" s="1">
        <v>48.797400000000003</v>
      </c>
      <c r="AG6" s="1">
        <v>48.463799999999999</v>
      </c>
      <c r="AH6" s="1">
        <v>38.078200000000002</v>
      </c>
      <c r="AI6" s="1">
        <v>53.040599999999998</v>
      </c>
      <c r="AJ6" s="1">
        <v>62.256600000000013</v>
      </c>
      <c r="AK6" s="1">
        <v>66.852599999999995</v>
      </c>
      <c r="AL6" s="1">
        <v>82.294000000000011</v>
      </c>
      <c r="AM6" s="1">
        <v>60.082000000000008</v>
      </c>
      <c r="AN6" s="1"/>
      <c r="AO6" s="1">
        <f t="shared" ref="AO6:AO37" si="9">ROUND(G6*X6,0)</f>
        <v>165</v>
      </c>
      <c r="AP6" t="s">
        <v>43</v>
      </c>
    </row>
    <row r="7" spans="1:42" x14ac:dyDescent="0.25">
      <c r="A7" s="1" t="s">
        <v>44</v>
      </c>
      <c r="B7" s="1" t="s">
        <v>41</v>
      </c>
      <c r="C7" s="1">
        <v>619.65200000000004</v>
      </c>
      <c r="D7" s="1">
        <v>788.04499999999996</v>
      </c>
      <c r="E7" s="1">
        <v>870.39700000000005</v>
      </c>
      <c r="F7" s="1">
        <v>310.79700000000003</v>
      </c>
      <c r="G7" s="7">
        <v>1</v>
      </c>
      <c r="H7" s="1">
        <v>45</v>
      </c>
      <c r="I7" s="1" t="s">
        <v>42</v>
      </c>
      <c r="J7" s="1"/>
      <c r="K7" s="1">
        <v>848.05499999999995</v>
      </c>
      <c r="L7" s="1">
        <f t="shared" si="6"/>
        <v>22.342000000000098</v>
      </c>
      <c r="M7" s="1"/>
      <c r="N7" s="1"/>
      <c r="O7" s="1">
        <v>486.45828999999981</v>
      </c>
      <c r="P7" s="1">
        <v>0</v>
      </c>
      <c r="Q7" s="1"/>
      <c r="R7" s="1"/>
      <c r="S7" s="1">
        <v>537.3379000000001</v>
      </c>
      <c r="T7" s="1"/>
      <c r="U7" s="17">
        <v>350</v>
      </c>
      <c r="V7" s="1">
        <f t="shared" si="7"/>
        <v>174.07940000000002</v>
      </c>
      <c r="W7" s="5">
        <f>12*V7-S7-R7-Q7-P7-O7-F7</f>
        <v>754.3596100000002</v>
      </c>
      <c r="X7" s="5">
        <f>W7+$X$1*V7</f>
        <v>639.46720600000015</v>
      </c>
      <c r="Y7" s="5"/>
      <c r="Z7" s="21"/>
      <c r="AA7" s="21"/>
      <c r="AB7" s="1">
        <f t="shared" ref="AB7:AB70" si="10">(F7+O7+P7+Q7+R7+S7+X7+U7+Z7+AA7)/V7</f>
        <v>13.350576782778434</v>
      </c>
      <c r="AC7" s="1">
        <f t="shared" si="8"/>
        <v>7.6665773779091602</v>
      </c>
      <c r="AD7" s="1">
        <v>156.54300000000001</v>
      </c>
      <c r="AE7" s="1">
        <v>115.7188</v>
      </c>
      <c r="AF7" s="1">
        <v>123.2384</v>
      </c>
      <c r="AG7" s="1">
        <v>165.91419999999999</v>
      </c>
      <c r="AH7" s="1">
        <v>160.22540000000001</v>
      </c>
      <c r="AI7" s="1">
        <v>155.3356</v>
      </c>
      <c r="AJ7" s="1">
        <v>161.36680000000001</v>
      </c>
      <c r="AK7" s="1">
        <v>149.6454</v>
      </c>
      <c r="AL7" s="1">
        <v>178.84819999999999</v>
      </c>
      <c r="AM7" s="1">
        <v>149.67179999999999</v>
      </c>
      <c r="AN7" s="1"/>
      <c r="AO7" s="1">
        <f t="shared" si="9"/>
        <v>639</v>
      </c>
      <c r="AP7" t="s">
        <v>45</v>
      </c>
    </row>
    <row r="8" spans="1:42" x14ac:dyDescent="0.25">
      <c r="A8" s="1" t="s">
        <v>46</v>
      </c>
      <c r="B8" s="1" t="s">
        <v>41</v>
      </c>
      <c r="C8" s="1">
        <v>1488.1</v>
      </c>
      <c r="D8" s="1">
        <v>67.325999999999993</v>
      </c>
      <c r="E8" s="1">
        <v>774.78800000000001</v>
      </c>
      <c r="F8" s="1">
        <v>534.08299999999997</v>
      </c>
      <c r="G8" s="7">
        <v>1</v>
      </c>
      <c r="H8" s="1">
        <v>45</v>
      </c>
      <c r="I8" s="1" t="s">
        <v>42</v>
      </c>
      <c r="J8" s="1"/>
      <c r="K8" s="1">
        <v>760.81799999999998</v>
      </c>
      <c r="L8" s="1">
        <f t="shared" si="6"/>
        <v>13.970000000000027</v>
      </c>
      <c r="M8" s="1"/>
      <c r="N8" s="1"/>
      <c r="O8" s="1">
        <v>513.50300000000004</v>
      </c>
      <c r="P8" s="1">
        <v>0</v>
      </c>
      <c r="Q8" s="1"/>
      <c r="R8" s="1"/>
      <c r="S8" s="1">
        <v>65.352286000000035</v>
      </c>
      <c r="T8" s="1"/>
      <c r="U8" s="17">
        <v>300</v>
      </c>
      <c r="V8" s="1">
        <f t="shared" si="7"/>
        <v>154.95760000000001</v>
      </c>
      <c r="W8" s="5">
        <f>12*V8-S8-R8-Q8-P8-O8-F8</f>
        <v>746.55291399999999</v>
      </c>
      <c r="X8" s="5">
        <f>W8+$X$1*V8</f>
        <v>644.28089799999998</v>
      </c>
      <c r="Y8" s="5"/>
      <c r="Z8" s="21"/>
      <c r="AA8" s="21"/>
      <c r="AB8" s="1">
        <f t="shared" si="10"/>
        <v>13.276013464328306</v>
      </c>
      <c r="AC8" s="1">
        <f t="shared" si="8"/>
        <v>7.1822116888748919</v>
      </c>
      <c r="AD8" s="1">
        <v>140.4342</v>
      </c>
      <c r="AE8" s="1">
        <v>130.178</v>
      </c>
      <c r="AF8" s="1">
        <v>141.642</v>
      </c>
      <c r="AG8" s="1">
        <v>157.6602</v>
      </c>
      <c r="AH8" s="1">
        <v>153.99100000000001</v>
      </c>
      <c r="AI8" s="1">
        <v>162.184</v>
      </c>
      <c r="AJ8" s="1">
        <v>168.56280000000001</v>
      </c>
      <c r="AK8" s="1">
        <v>152.89080000000001</v>
      </c>
      <c r="AL8" s="1">
        <v>189.7098</v>
      </c>
      <c r="AM8" s="1">
        <v>156.5736</v>
      </c>
      <c r="AN8" s="1"/>
      <c r="AO8" s="1">
        <f t="shared" si="9"/>
        <v>644</v>
      </c>
      <c r="AP8" t="s">
        <v>47</v>
      </c>
    </row>
    <row r="9" spans="1:42" x14ac:dyDescent="0.25">
      <c r="A9" s="1" t="s">
        <v>48</v>
      </c>
      <c r="B9" s="1" t="s">
        <v>49</v>
      </c>
      <c r="C9" s="1">
        <v>34</v>
      </c>
      <c r="D9" s="1"/>
      <c r="E9" s="1">
        <v>10</v>
      </c>
      <c r="F9" s="1">
        <v>17</v>
      </c>
      <c r="G9" s="7">
        <v>0.4</v>
      </c>
      <c r="H9" s="1">
        <v>50</v>
      </c>
      <c r="I9" s="1" t="s">
        <v>42</v>
      </c>
      <c r="J9" s="1"/>
      <c r="K9" s="1">
        <v>10</v>
      </c>
      <c r="L9" s="1">
        <f t="shared" si="6"/>
        <v>0</v>
      </c>
      <c r="M9" s="1"/>
      <c r="N9" s="1"/>
      <c r="O9" s="1">
        <v>0</v>
      </c>
      <c r="P9" s="1"/>
      <c r="Q9" s="1"/>
      <c r="R9" s="1"/>
      <c r="S9" s="1">
        <v>6</v>
      </c>
      <c r="T9" s="1"/>
      <c r="U9" s="1"/>
      <c r="V9" s="1">
        <f t="shared" si="7"/>
        <v>2</v>
      </c>
      <c r="W9" s="5"/>
      <c r="X9" s="5">
        <f>W9</f>
        <v>0</v>
      </c>
      <c r="Y9" s="5"/>
      <c r="Z9" s="21"/>
      <c r="AA9" s="21"/>
      <c r="AB9" s="1">
        <f t="shared" si="10"/>
        <v>11.5</v>
      </c>
      <c r="AC9" s="1">
        <f t="shared" si="8"/>
        <v>11.5</v>
      </c>
      <c r="AD9" s="1">
        <v>2.6</v>
      </c>
      <c r="AE9" s="1">
        <v>1.4</v>
      </c>
      <c r="AF9" s="1">
        <v>0.2</v>
      </c>
      <c r="AG9" s="1">
        <v>1</v>
      </c>
      <c r="AH9" s="1">
        <v>3.2</v>
      </c>
      <c r="AI9" s="1">
        <v>2.6</v>
      </c>
      <c r="AJ9" s="1">
        <v>0.4</v>
      </c>
      <c r="AK9" s="1">
        <v>0</v>
      </c>
      <c r="AL9" s="1">
        <v>0</v>
      </c>
      <c r="AM9" s="1">
        <v>0</v>
      </c>
      <c r="AN9" s="1" t="s">
        <v>50</v>
      </c>
      <c r="AO9" s="1">
        <f t="shared" si="9"/>
        <v>0</v>
      </c>
      <c r="AP9" t="s">
        <v>51</v>
      </c>
    </row>
    <row r="10" spans="1:42" x14ac:dyDescent="0.25">
      <c r="A10" s="1" t="s">
        <v>52</v>
      </c>
      <c r="B10" s="1" t="s">
        <v>49</v>
      </c>
      <c r="C10" s="1">
        <v>297</v>
      </c>
      <c r="D10" s="1">
        <v>259</v>
      </c>
      <c r="E10" s="1">
        <v>274</v>
      </c>
      <c r="F10" s="1">
        <v>214</v>
      </c>
      <c r="G10" s="7">
        <v>0.45</v>
      </c>
      <c r="H10" s="1">
        <v>45</v>
      </c>
      <c r="I10" s="1" t="s">
        <v>42</v>
      </c>
      <c r="J10" s="1"/>
      <c r="K10" s="1">
        <v>281</v>
      </c>
      <c r="L10" s="1">
        <f t="shared" si="6"/>
        <v>-7</v>
      </c>
      <c r="M10" s="1"/>
      <c r="N10" s="1"/>
      <c r="O10" s="1">
        <v>0</v>
      </c>
      <c r="P10" s="1"/>
      <c r="Q10" s="1"/>
      <c r="R10" s="1"/>
      <c r="S10" s="1">
        <v>119.708</v>
      </c>
      <c r="T10" s="1"/>
      <c r="U10" s="1"/>
      <c r="V10" s="1">
        <f t="shared" si="7"/>
        <v>54.8</v>
      </c>
      <c r="W10" s="5">
        <f>12*V10-S10-R10-Q10-P10-O10-F10</f>
        <v>323.89199999999994</v>
      </c>
      <c r="X10" s="5">
        <f>W10+$X$1*V10</f>
        <v>287.72399999999993</v>
      </c>
      <c r="Y10" s="5"/>
      <c r="Z10" s="21"/>
      <c r="AA10" s="21"/>
      <c r="AB10" s="1">
        <f t="shared" si="10"/>
        <v>11.339999999999998</v>
      </c>
      <c r="AC10" s="1">
        <f t="shared" si="8"/>
        <v>6.0895620437956204</v>
      </c>
      <c r="AD10" s="1">
        <v>47.6</v>
      </c>
      <c r="AE10" s="1">
        <v>31.2</v>
      </c>
      <c r="AF10" s="1">
        <v>38.4</v>
      </c>
      <c r="AG10" s="1">
        <v>60.4</v>
      </c>
      <c r="AH10" s="1">
        <v>57.4</v>
      </c>
      <c r="AI10" s="1">
        <v>77</v>
      </c>
      <c r="AJ10" s="1">
        <v>68.599999999999994</v>
      </c>
      <c r="AK10" s="1">
        <v>57</v>
      </c>
      <c r="AL10" s="1">
        <v>64.400000000000006</v>
      </c>
      <c r="AM10" s="1">
        <v>51.8</v>
      </c>
      <c r="AN10" s="1"/>
      <c r="AO10" s="1">
        <f t="shared" si="9"/>
        <v>129</v>
      </c>
      <c r="AP10" t="s">
        <v>53</v>
      </c>
    </row>
    <row r="11" spans="1:42" x14ac:dyDescent="0.25">
      <c r="A11" s="1" t="s">
        <v>54</v>
      </c>
      <c r="B11" s="1" t="s">
        <v>49</v>
      </c>
      <c r="C11" s="1">
        <v>315</v>
      </c>
      <c r="D11" s="1">
        <v>555</v>
      </c>
      <c r="E11" s="1">
        <v>350</v>
      </c>
      <c r="F11" s="1">
        <v>413</v>
      </c>
      <c r="G11" s="7">
        <v>0.45</v>
      </c>
      <c r="H11" s="1">
        <v>45</v>
      </c>
      <c r="I11" s="1" t="s">
        <v>42</v>
      </c>
      <c r="J11" s="1"/>
      <c r="K11" s="1">
        <v>359</v>
      </c>
      <c r="L11" s="1">
        <f t="shared" si="6"/>
        <v>-9</v>
      </c>
      <c r="M11" s="1"/>
      <c r="N11" s="1"/>
      <c r="O11" s="1">
        <v>64.700000000000145</v>
      </c>
      <c r="P11" s="1">
        <v>0</v>
      </c>
      <c r="Q11" s="1"/>
      <c r="R11" s="1"/>
      <c r="S11" s="1">
        <v>60</v>
      </c>
      <c r="T11" s="1"/>
      <c r="U11" s="1"/>
      <c r="V11" s="1">
        <f t="shared" si="7"/>
        <v>70</v>
      </c>
      <c r="W11" s="5">
        <f>12*V11-S11-R11-Q11-P11-O11-F11</f>
        <v>302.29999999999984</v>
      </c>
      <c r="X11" s="5">
        <f>W11+$X$1*V11</f>
        <v>256.09999999999985</v>
      </c>
      <c r="Y11" s="5"/>
      <c r="Z11" s="21"/>
      <c r="AA11" s="21"/>
      <c r="AB11" s="1">
        <f t="shared" si="10"/>
        <v>11.34</v>
      </c>
      <c r="AC11" s="1">
        <f t="shared" si="8"/>
        <v>7.6814285714285733</v>
      </c>
      <c r="AD11" s="1">
        <v>63.8</v>
      </c>
      <c r="AE11" s="1">
        <v>57.2</v>
      </c>
      <c r="AF11" s="1">
        <v>72.2</v>
      </c>
      <c r="AG11" s="1">
        <v>90</v>
      </c>
      <c r="AH11" s="1">
        <v>77.2</v>
      </c>
      <c r="AI11" s="1">
        <v>93.8</v>
      </c>
      <c r="AJ11" s="1">
        <v>88.6</v>
      </c>
      <c r="AK11" s="1">
        <v>85.2</v>
      </c>
      <c r="AL11" s="1">
        <v>90.6</v>
      </c>
      <c r="AM11" s="1">
        <v>71.400000000000006</v>
      </c>
      <c r="AN11" s="1"/>
      <c r="AO11" s="1">
        <f t="shared" si="9"/>
        <v>115</v>
      </c>
      <c r="AP11" t="s">
        <v>55</v>
      </c>
    </row>
    <row r="12" spans="1:42" x14ac:dyDescent="0.25">
      <c r="A12" s="9" t="s">
        <v>56</v>
      </c>
      <c r="B12" s="9" t="s">
        <v>49</v>
      </c>
      <c r="C12" s="9"/>
      <c r="D12" s="9"/>
      <c r="E12" s="9"/>
      <c r="F12" s="9"/>
      <c r="G12" s="10">
        <v>0</v>
      </c>
      <c r="H12" s="9"/>
      <c r="I12" s="9" t="s">
        <v>42</v>
      </c>
      <c r="J12" s="9"/>
      <c r="K12" s="9"/>
      <c r="L12" s="9">
        <f t="shared" si="6"/>
        <v>0</v>
      </c>
      <c r="M12" s="9"/>
      <c r="N12" s="9"/>
      <c r="O12" s="9">
        <v>0</v>
      </c>
      <c r="P12" s="9"/>
      <c r="Q12" s="9"/>
      <c r="R12" s="9"/>
      <c r="S12" s="9">
        <v>0</v>
      </c>
      <c r="T12" s="9"/>
      <c r="U12" s="9"/>
      <c r="V12" s="9">
        <f t="shared" si="7"/>
        <v>0</v>
      </c>
      <c r="W12" s="11"/>
      <c r="X12" s="5">
        <f>W12</f>
        <v>0</v>
      </c>
      <c r="Y12" s="5"/>
      <c r="Z12" s="21"/>
      <c r="AA12" s="21"/>
      <c r="AB12" s="1" t="e">
        <f t="shared" si="10"/>
        <v>#DIV/0!</v>
      </c>
      <c r="AC12" s="9" t="e">
        <f t="shared" si="8"/>
        <v>#DIV/0!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 t="s">
        <v>57</v>
      </c>
      <c r="AO12" s="1">
        <f t="shared" si="9"/>
        <v>0</v>
      </c>
      <c r="AP12" t="s">
        <v>58</v>
      </c>
    </row>
    <row r="13" spans="1:42" x14ac:dyDescent="0.25">
      <c r="A13" s="1" t="s">
        <v>59</v>
      </c>
      <c r="B13" s="1" t="s">
        <v>49</v>
      </c>
      <c r="C13" s="1">
        <v>112</v>
      </c>
      <c r="D13" s="1">
        <v>80</v>
      </c>
      <c r="E13" s="1">
        <v>108</v>
      </c>
      <c r="F13" s="1">
        <v>52</v>
      </c>
      <c r="G13" s="7">
        <v>0.3</v>
      </c>
      <c r="H13" s="1">
        <v>40</v>
      </c>
      <c r="I13" s="1" t="s">
        <v>42</v>
      </c>
      <c r="J13" s="1"/>
      <c r="K13" s="1">
        <v>114</v>
      </c>
      <c r="L13" s="1">
        <f t="shared" si="6"/>
        <v>-6</v>
      </c>
      <c r="M13" s="1"/>
      <c r="N13" s="1"/>
      <c r="O13" s="1">
        <v>127.0000000000001</v>
      </c>
      <c r="P13" s="1">
        <v>0</v>
      </c>
      <c r="Q13" s="1"/>
      <c r="R13" s="1"/>
      <c r="S13" s="1">
        <v>0</v>
      </c>
      <c r="T13" s="1"/>
      <c r="U13" s="1"/>
      <c r="V13" s="1">
        <f t="shared" si="7"/>
        <v>21.6</v>
      </c>
      <c r="W13" s="5">
        <f>12*V13-S13-R13-Q13-P13-O13-F13</f>
        <v>80.199999999999932</v>
      </c>
      <c r="X13" s="5">
        <f>W13</f>
        <v>80.199999999999932</v>
      </c>
      <c r="Y13" s="5">
        <v>-84</v>
      </c>
      <c r="Z13" s="21"/>
      <c r="AA13" s="21"/>
      <c r="AB13" s="1">
        <f t="shared" si="10"/>
        <v>12.000000000000002</v>
      </c>
      <c r="AC13" s="1">
        <f t="shared" si="8"/>
        <v>8.2870370370370416</v>
      </c>
      <c r="AD13" s="1">
        <v>19.8</v>
      </c>
      <c r="AE13" s="1">
        <v>20.2</v>
      </c>
      <c r="AF13" s="1">
        <v>21.4</v>
      </c>
      <c r="AG13" s="1">
        <v>22.4</v>
      </c>
      <c r="AH13" s="1">
        <v>23.8</v>
      </c>
      <c r="AI13" s="1">
        <v>23</v>
      </c>
      <c r="AJ13" s="1">
        <v>19.8</v>
      </c>
      <c r="AK13" s="1">
        <v>18</v>
      </c>
      <c r="AL13" s="1">
        <v>25.6</v>
      </c>
      <c r="AM13" s="1">
        <v>22.4</v>
      </c>
      <c r="AN13" s="1"/>
      <c r="AO13" s="1">
        <f t="shared" si="9"/>
        <v>24</v>
      </c>
      <c r="AP13" t="s">
        <v>60</v>
      </c>
    </row>
    <row r="14" spans="1:42" x14ac:dyDescent="0.25">
      <c r="A14" s="1" t="s">
        <v>61</v>
      </c>
      <c r="B14" s="1" t="s">
        <v>49</v>
      </c>
      <c r="C14" s="1">
        <v>33</v>
      </c>
      <c r="D14" s="1">
        <v>129</v>
      </c>
      <c r="E14" s="1">
        <v>81</v>
      </c>
      <c r="F14" s="1">
        <v>47</v>
      </c>
      <c r="G14" s="7">
        <v>0.17</v>
      </c>
      <c r="H14" s="1">
        <v>180</v>
      </c>
      <c r="I14" s="1" t="s">
        <v>42</v>
      </c>
      <c r="J14" s="1"/>
      <c r="K14" s="1">
        <v>97</v>
      </c>
      <c r="L14" s="1">
        <f t="shared" si="6"/>
        <v>-16</v>
      </c>
      <c r="M14" s="1"/>
      <c r="N14" s="1"/>
      <c r="O14" s="1">
        <v>145.19999999999999</v>
      </c>
      <c r="P14" s="1">
        <v>0</v>
      </c>
      <c r="Q14" s="1"/>
      <c r="R14" s="1"/>
      <c r="S14" s="1">
        <v>0</v>
      </c>
      <c r="T14" s="1"/>
      <c r="U14" s="1"/>
      <c r="V14" s="1">
        <f t="shared" si="7"/>
        <v>16.2</v>
      </c>
      <c r="W14" s="5">
        <v>8</v>
      </c>
      <c r="X14" s="5">
        <f>W14</f>
        <v>8</v>
      </c>
      <c r="Y14" s="5"/>
      <c r="Z14" s="21"/>
      <c r="AA14" s="21"/>
      <c r="AB14" s="1">
        <f t="shared" si="10"/>
        <v>12.358024691358025</v>
      </c>
      <c r="AC14" s="1">
        <f t="shared" si="8"/>
        <v>11.864197530864198</v>
      </c>
      <c r="AD14" s="1">
        <v>18</v>
      </c>
      <c r="AE14" s="1">
        <v>19.2</v>
      </c>
      <c r="AF14" s="1">
        <v>22</v>
      </c>
      <c r="AG14" s="1">
        <v>18.8</v>
      </c>
      <c r="AH14" s="1">
        <v>15.8</v>
      </c>
      <c r="AI14" s="1">
        <v>17.600000000000001</v>
      </c>
      <c r="AJ14" s="1">
        <v>19.8</v>
      </c>
      <c r="AK14" s="1">
        <v>14.8</v>
      </c>
      <c r="AL14" s="1">
        <v>20.6</v>
      </c>
      <c r="AM14" s="1">
        <v>21.8</v>
      </c>
      <c r="AN14" s="1"/>
      <c r="AO14" s="1">
        <f t="shared" si="9"/>
        <v>1</v>
      </c>
      <c r="AP14" t="s">
        <v>62</v>
      </c>
    </row>
    <row r="15" spans="1:42" x14ac:dyDescent="0.25">
      <c r="A15" s="23" t="s">
        <v>63</v>
      </c>
      <c r="B15" s="1" t="s">
        <v>41</v>
      </c>
      <c r="C15" s="1">
        <v>355.66500000000002</v>
      </c>
      <c r="D15" s="1">
        <v>376.53500000000003</v>
      </c>
      <c r="E15" s="1">
        <v>319.30500000000001</v>
      </c>
      <c r="F15" s="1">
        <v>335.226</v>
      </c>
      <c r="G15" s="7">
        <v>1</v>
      </c>
      <c r="H15" s="1">
        <v>70</v>
      </c>
      <c r="I15" s="1" t="s">
        <v>42</v>
      </c>
      <c r="J15" s="1"/>
      <c r="K15" s="1">
        <v>298.58</v>
      </c>
      <c r="L15" s="1">
        <f t="shared" si="6"/>
        <v>20.725000000000023</v>
      </c>
      <c r="M15" s="1"/>
      <c r="N15" s="1"/>
      <c r="O15" s="1">
        <v>394.52032000000008</v>
      </c>
      <c r="P15" s="1">
        <v>0</v>
      </c>
      <c r="Q15" s="1"/>
      <c r="R15" s="1"/>
      <c r="S15" s="1">
        <v>0</v>
      </c>
      <c r="T15" s="1"/>
      <c r="U15" s="17">
        <v>200</v>
      </c>
      <c r="V15" s="1">
        <f t="shared" si="7"/>
        <v>63.861000000000004</v>
      </c>
      <c r="W15" s="5">
        <f>12*V15-S15-R15-Q15-P15-O15-F15</f>
        <v>36.585680000000025</v>
      </c>
      <c r="X15" s="5">
        <f>W15</f>
        <v>36.585680000000025</v>
      </c>
      <c r="Y15" s="5"/>
      <c r="Z15" s="21"/>
      <c r="AA15" s="21"/>
      <c r="AB15" s="1">
        <f t="shared" si="10"/>
        <v>15.131801882212931</v>
      </c>
      <c r="AC15" s="1">
        <f t="shared" si="8"/>
        <v>11.4271044925698</v>
      </c>
      <c r="AD15" s="1">
        <v>64.120199999999997</v>
      </c>
      <c r="AE15" s="1">
        <v>71.404200000000003</v>
      </c>
      <c r="AF15" s="1">
        <v>76.710000000000008</v>
      </c>
      <c r="AG15" s="1">
        <v>82.161599999999993</v>
      </c>
      <c r="AH15" s="1">
        <v>77.837599999999995</v>
      </c>
      <c r="AI15" s="1">
        <v>83.318399999999997</v>
      </c>
      <c r="AJ15" s="1">
        <v>95.534199999999998</v>
      </c>
      <c r="AK15" s="1">
        <v>52.246799999999993</v>
      </c>
      <c r="AL15" s="1">
        <v>66.222200000000001</v>
      </c>
      <c r="AM15" s="1">
        <v>84.409000000000006</v>
      </c>
      <c r="AN15" s="1"/>
      <c r="AO15" s="1">
        <f t="shared" si="9"/>
        <v>37</v>
      </c>
      <c r="AP15" t="s">
        <v>64</v>
      </c>
    </row>
    <row r="16" spans="1:42" x14ac:dyDescent="0.25">
      <c r="A16" s="23" t="s">
        <v>65</v>
      </c>
      <c r="B16" s="1" t="s">
        <v>41</v>
      </c>
      <c r="C16" s="1">
        <v>3939.51</v>
      </c>
      <c r="D16" s="1">
        <v>224.51599999999999</v>
      </c>
      <c r="E16" s="1">
        <v>1703.6790000000001</v>
      </c>
      <c r="F16" s="1">
        <v>1947.501</v>
      </c>
      <c r="G16" s="7">
        <v>1</v>
      </c>
      <c r="H16" s="1">
        <v>50</v>
      </c>
      <c r="I16" s="1" t="s">
        <v>42</v>
      </c>
      <c r="J16" s="1"/>
      <c r="K16" s="1">
        <v>1815</v>
      </c>
      <c r="L16" s="1">
        <f t="shared" si="6"/>
        <v>-111.32099999999991</v>
      </c>
      <c r="M16" s="1"/>
      <c r="N16" s="1"/>
      <c r="O16" s="1">
        <v>0</v>
      </c>
      <c r="P16" s="1"/>
      <c r="Q16" s="1"/>
      <c r="R16" s="1"/>
      <c r="S16" s="1">
        <v>486.04578000000032</v>
      </c>
      <c r="T16" s="1"/>
      <c r="U16" s="17">
        <v>350</v>
      </c>
      <c r="V16" s="1">
        <f t="shared" si="7"/>
        <v>340.73580000000004</v>
      </c>
      <c r="W16" s="5">
        <f>12*V16-S16-R16-Q16-P16-O16-F16</f>
        <v>1655.2828200000001</v>
      </c>
      <c r="X16" s="5">
        <f>W16+$X$1*V16</f>
        <v>1430.3971920000001</v>
      </c>
      <c r="Y16" s="5"/>
      <c r="Z16" s="21">
        <v>1100</v>
      </c>
      <c r="AA16" s="21"/>
      <c r="AB16" s="1">
        <f t="shared" si="10"/>
        <v>15.595496487307759</v>
      </c>
      <c r="AC16" s="1">
        <f t="shared" si="8"/>
        <v>7.1420343268890436</v>
      </c>
      <c r="AD16" s="1">
        <v>301.46600000000001</v>
      </c>
      <c r="AE16" s="1">
        <v>223.81219999999999</v>
      </c>
      <c r="AF16" s="1">
        <v>225.41679999999999</v>
      </c>
      <c r="AG16" s="1">
        <v>363.58780000000002</v>
      </c>
      <c r="AH16" s="1">
        <v>414.27560000000011</v>
      </c>
      <c r="AI16" s="1">
        <v>403.12939999999998</v>
      </c>
      <c r="AJ16" s="1">
        <v>368.91160000000002</v>
      </c>
      <c r="AK16" s="1">
        <v>333.24779999999998</v>
      </c>
      <c r="AL16" s="1">
        <v>396.964</v>
      </c>
      <c r="AM16" s="1">
        <v>364.63580000000002</v>
      </c>
      <c r="AN16" s="1"/>
      <c r="AO16" s="1">
        <f t="shared" si="9"/>
        <v>1430</v>
      </c>
      <c r="AP16" t="s">
        <v>66</v>
      </c>
    </row>
    <row r="17" spans="1:42" x14ac:dyDescent="0.25">
      <c r="A17" s="1" t="s">
        <v>67</v>
      </c>
      <c r="B17" s="1" t="s">
        <v>41</v>
      </c>
      <c r="C17" s="1">
        <v>129.78299999999999</v>
      </c>
      <c r="D17" s="1">
        <v>36.761000000000003</v>
      </c>
      <c r="E17" s="1">
        <v>68.968000000000004</v>
      </c>
      <c r="F17" s="1">
        <v>78.358000000000004</v>
      </c>
      <c r="G17" s="7">
        <v>1</v>
      </c>
      <c r="H17" s="1">
        <v>60</v>
      </c>
      <c r="I17" s="1" t="s">
        <v>42</v>
      </c>
      <c r="J17" s="1"/>
      <c r="K17" s="1">
        <v>61.78</v>
      </c>
      <c r="L17" s="1">
        <f t="shared" si="6"/>
        <v>7.1880000000000024</v>
      </c>
      <c r="M17" s="1"/>
      <c r="N17" s="1"/>
      <c r="O17" s="1">
        <v>85.78780000000009</v>
      </c>
      <c r="P17" s="1">
        <v>0</v>
      </c>
      <c r="Q17" s="1"/>
      <c r="R17" s="1"/>
      <c r="S17" s="1">
        <v>0</v>
      </c>
      <c r="T17" s="1"/>
      <c r="U17" s="1"/>
      <c r="V17" s="1">
        <f t="shared" si="7"/>
        <v>13.793600000000001</v>
      </c>
      <c r="W17" s="5"/>
      <c r="X17" s="5">
        <f>W17</f>
        <v>0</v>
      </c>
      <c r="Y17" s="5"/>
      <c r="Z17" s="21"/>
      <c r="AA17" s="21"/>
      <c r="AB17" s="1">
        <f t="shared" si="10"/>
        <v>11.90014209488459</v>
      </c>
      <c r="AC17" s="1">
        <f t="shared" si="8"/>
        <v>11.90014209488459</v>
      </c>
      <c r="AD17" s="1">
        <v>9.2590000000000003</v>
      </c>
      <c r="AE17" s="1">
        <v>15.664400000000001</v>
      </c>
      <c r="AF17" s="1">
        <v>19.814599999999999</v>
      </c>
      <c r="AG17" s="1">
        <v>17.560199999999998</v>
      </c>
      <c r="AH17" s="1">
        <v>20.452200000000001</v>
      </c>
      <c r="AI17" s="1">
        <v>22.732399999999998</v>
      </c>
      <c r="AJ17" s="1">
        <v>16.6022</v>
      </c>
      <c r="AK17" s="1">
        <v>18.7286</v>
      </c>
      <c r="AL17" s="1">
        <v>18.415600000000001</v>
      </c>
      <c r="AM17" s="1">
        <v>10.8032</v>
      </c>
      <c r="AN17" s="1"/>
      <c r="AO17" s="1">
        <f t="shared" si="9"/>
        <v>0</v>
      </c>
      <c r="AP17" t="s">
        <v>68</v>
      </c>
    </row>
    <row r="18" spans="1:42" x14ac:dyDescent="0.25">
      <c r="A18" s="1" t="s">
        <v>69</v>
      </c>
      <c r="B18" s="1" t="s">
        <v>41</v>
      </c>
      <c r="C18" s="1">
        <v>66.143000000000001</v>
      </c>
      <c r="D18" s="1">
        <v>36.795000000000002</v>
      </c>
      <c r="E18" s="1">
        <v>49.35</v>
      </c>
      <c r="F18" s="1">
        <v>47.429000000000002</v>
      </c>
      <c r="G18" s="7">
        <v>1</v>
      </c>
      <c r="H18" s="1">
        <v>60</v>
      </c>
      <c r="I18" s="1" t="s">
        <v>42</v>
      </c>
      <c r="J18" s="1"/>
      <c r="K18" s="1">
        <v>42.68</v>
      </c>
      <c r="L18" s="1">
        <f t="shared" si="6"/>
        <v>6.6700000000000017</v>
      </c>
      <c r="M18" s="1"/>
      <c r="N18" s="1"/>
      <c r="O18" s="1">
        <v>0</v>
      </c>
      <c r="P18" s="1"/>
      <c r="Q18" s="1"/>
      <c r="R18" s="1"/>
      <c r="S18" s="1">
        <v>0</v>
      </c>
      <c r="T18" s="1"/>
      <c r="U18" s="1"/>
      <c r="V18" s="1">
        <f t="shared" si="7"/>
        <v>9.870000000000001</v>
      </c>
      <c r="W18" s="5">
        <f t="shared" ref="W18:W24" si="11">12*V18-S18-R18-Q18-P18-O18-F18</f>
        <v>71.01100000000001</v>
      </c>
      <c r="X18" s="5">
        <f>W18</f>
        <v>71.01100000000001</v>
      </c>
      <c r="Y18" s="5"/>
      <c r="Z18" s="21"/>
      <c r="AA18" s="21"/>
      <c r="AB18" s="1">
        <f t="shared" si="10"/>
        <v>12</v>
      </c>
      <c r="AC18" s="1">
        <f t="shared" si="8"/>
        <v>4.8053698074974669</v>
      </c>
      <c r="AD18" s="1">
        <v>4.0758000000000001</v>
      </c>
      <c r="AE18" s="1">
        <v>5.8464</v>
      </c>
      <c r="AF18" s="1">
        <v>11.7798</v>
      </c>
      <c r="AG18" s="1">
        <v>9.9963999999999995</v>
      </c>
      <c r="AH18" s="1">
        <v>9.1463999999999999</v>
      </c>
      <c r="AI18" s="1">
        <v>10.711600000000001</v>
      </c>
      <c r="AJ18" s="1">
        <v>10.7</v>
      </c>
      <c r="AK18" s="1">
        <v>9.6920000000000002</v>
      </c>
      <c r="AL18" s="1">
        <v>6.7256</v>
      </c>
      <c r="AM18" s="1">
        <v>4.0734000000000004</v>
      </c>
      <c r="AN18" s="1"/>
      <c r="AO18" s="1">
        <f t="shared" si="9"/>
        <v>71</v>
      </c>
      <c r="AP18" t="s">
        <v>70</v>
      </c>
    </row>
    <row r="19" spans="1:42" x14ac:dyDescent="0.25">
      <c r="A19" s="1" t="s">
        <v>71</v>
      </c>
      <c r="B19" s="1" t="s">
        <v>41</v>
      </c>
      <c r="C19" s="1">
        <v>33.521000000000001</v>
      </c>
      <c r="D19" s="1"/>
      <c r="E19" s="1">
        <v>24.375</v>
      </c>
      <c r="F19" s="1">
        <v>5.7619999999999996</v>
      </c>
      <c r="G19" s="7">
        <v>1</v>
      </c>
      <c r="H19" s="1">
        <v>180</v>
      </c>
      <c r="I19" s="1" t="s">
        <v>42</v>
      </c>
      <c r="J19" s="1"/>
      <c r="K19" s="1">
        <v>24.27</v>
      </c>
      <c r="L19" s="1">
        <f t="shared" si="6"/>
        <v>0.10500000000000043</v>
      </c>
      <c r="M19" s="1"/>
      <c r="N19" s="1"/>
      <c r="O19" s="1">
        <v>9.2449999999999992</v>
      </c>
      <c r="P19" s="1">
        <v>0</v>
      </c>
      <c r="Q19" s="1"/>
      <c r="R19" s="1"/>
      <c r="S19" s="1">
        <v>12.956400000000009</v>
      </c>
      <c r="T19" s="1"/>
      <c r="U19" s="1"/>
      <c r="V19" s="1">
        <f t="shared" si="7"/>
        <v>4.875</v>
      </c>
      <c r="W19" s="5">
        <f t="shared" si="11"/>
        <v>30.536599999999993</v>
      </c>
      <c r="X19" s="5">
        <f>W19</f>
        <v>30.536599999999993</v>
      </c>
      <c r="Y19" s="5"/>
      <c r="Z19" s="21"/>
      <c r="AA19" s="21"/>
      <c r="AB19" s="1">
        <f t="shared" si="10"/>
        <v>12</v>
      </c>
      <c r="AC19" s="1">
        <f t="shared" si="8"/>
        <v>5.736082051282053</v>
      </c>
      <c r="AD19" s="1">
        <v>3.3774000000000002</v>
      </c>
      <c r="AE19" s="1">
        <v>2.6214</v>
      </c>
      <c r="AF19" s="1">
        <v>3.2532000000000001</v>
      </c>
      <c r="AG19" s="1">
        <v>2.9756</v>
      </c>
      <c r="AH19" s="1">
        <v>3.4765999999999999</v>
      </c>
      <c r="AI19" s="1">
        <v>3.2033999999999998</v>
      </c>
      <c r="AJ19" s="1">
        <v>2.6796000000000002</v>
      </c>
      <c r="AK19" s="1">
        <v>5.3262</v>
      </c>
      <c r="AL19" s="1">
        <v>5.8662000000000001</v>
      </c>
      <c r="AM19" s="1">
        <v>3.2307999999999999</v>
      </c>
      <c r="AN19" s="1"/>
      <c r="AO19" s="1">
        <f t="shared" si="9"/>
        <v>31</v>
      </c>
      <c r="AP19" t="s">
        <v>72</v>
      </c>
    </row>
    <row r="20" spans="1:42" x14ac:dyDescent="0.25">
      <c r="A20" s="1" t="s">
        <v>73</v>
      </c>
      <c r="B20" s="1" t="s">
        <v>41</v>
      </c>
      <c r="C20" s="1">
        <v>450.88299999999998</v>
      </c>
      <c r="D20" s="1">
        <v>302.73399999999998</v>
      </c>
      <c r="E20" s="1">
        <v>397.75799999999998</v>
      </c>
      <c r="F20" s="1">
        <v>262.10300000000001</v>
      </c>
      <c r="G20" s="7">
        <v>1</v>
      </c>
      <c r="H20" s="1">
        <v>60</v>
      </c>
      <c r="I20" s="1" t="s">
        <v>42</v>
      </c>
      <c r="J20" s="1"/>
      <c r="K20" s="1">
        <v>372.9</v>
      </c>
      <c r="L20" s="1">
        <f t="shared" si="6"/>
        <v>24.858000000000004</v>
      </c>
      <c r="M20" s="1"/>
      <c r="N20" s="1"/>
      <c r="O20" s="1">
        <v>596.73440999999957</v>
      </c>
      <c r="P20" s="1">
        <v>0</v>
      </c>
      <c r="Q20" s="1"/>
      <c r="R20" s="1"/>
      <c r="S20" s="1">
        <v>0</v>
      </c>
      <c r="T20" s="1"/>
      <c r="U20" s="1"/>
      <c r="V20" s="1">
        <f t="shared" si="7"/>
        <v>79.551599999999993</v>
      </c>
      <c r="W20" s="5">
        <f t="shared" si="11"/>
        <v>95.781790000000285</v>
      </c>
      <c r="X20" s="5">
        <f>W20</f>
        <v>95.781790000000285</v>
      </c>
      <c r="Y20" s="5"/>
      <c r="Z20" s="21"/>
      <c r="AA20" s="21"/>
      <c r="AB20" s="1">
        <f t="shared" si="10"/>
        <v>12</v>
      </c>
      <c r="AC20" s="1">
        <f t="shared" si="8"/>
        <v>10.795979087787043</v>
      </c>
      <c r="AD20" s="1">
        <v>73.747199999999992</v>
      </c>
      <c r="AE20" s="1">
        <v>84.715599999999995</v>
      </c>
      <c r="AF20" s="1">
        <v>89.979399999999998</v>
      </c>
      <c r="AG20" s="1">
        <v>85.64500000000001</v>
      </c>
      <c r="AH20" s="1">
        <v>82.814400000000006</v>
      </c>
      <c r="AI20" s="1">
        <v>99.254800000000003</v>
      </c>
      <c r="AJ20" s="1">
        <v>109.6948</v>
      </c>
      <c r="AK20" s="1">
        <v>108.2616</v>
      </c>
      <c r="AL20" s="1">
        <v>128.46600000000001</v>
      </c>
      <c r="AM20" s="1">
        <v>94.878799999999998</v>
      </c>
      <c r="AN20" s="1"/>
      <c r="AO20" s="1">
        <f t="shared" si="9"/>
        <v>96</v>
      </c>
      <c r="AP20" t="s">
        <v>74</v>
      </c>
    </row>
    <row r="21" spans="1:42" x14ac:dyDescent="0.25">
      <c r="A21" s="1" t="s">
        <v>75</v>
      </c>
      <c r="B21" s="1" t="s">
        <v>41</v>
      </c>
      <c r="C21" s="1">
        <v>212.10300000000001</v>
      </c>
      <c r="D21" s="1">
        <v>134.90600000000001</v>
      </c>
      <c r="E21" s="1">
        <v>109.035</v>
      </c>
      <c r="F21" s="1">
        <v>217.477</v>
      </c>
      <c r="G21" s="7">
        <v>1</v>
      </c>
      <c r="H21" s="1">
        <v>70</v>
      </c>
      <c r="I21" s="1" t="s">
        <v>42</v>
      </c>
      <c r="J21" s="1"/>
      <c r="K21" s="1">
        <v>109.86</v>
      </c>
      <c r="L21" s="1">
        <f t="shared" si="6"/>
        <v>-0.82500000000000284</v>
      </c>
      <c r="M21" s="1"/>
      <c r="N21" s="1"/>
      <c r="O21" s="1">
        <v>0</v>
      </c>
      <c r="P21" s="1"/>
      <c r="Q21" s="1"/>
      <c r="R21" s="1"/>
      <c r="S21" s="1">
        <v>0</v>
      </c>
      <c r="T21" s="1"/>
      <c r="U21" s="1"/>
      <c r="V21" s="1">
        <f t="shared" si="7"/>
        <v>21.806999999999999</v>
      </c>
      <c r="W21" s="5">
        <f t="shared" si="11"/>
        <v>44.206999999999965</v>
      </c>
      <c r="X21" s="5">
        <f>W21</f>
        <v>44.206999999999965</v>
      </c>
      <c r="Y21" s="5"/>
      <c r="Z21" s="21"/>
      <c r="AA21" s="21"/>
      <c r="AB21" s="1">
        <f t="shared" si="10"/>
        <v>12</v>
      </c>
      <c r="AC21" s="1">
        <f t="shared" si="8"/>
        <v>9.9728068968679793</v>
      </c>
      <c r="AD21" s="1">
        <v>21.227</v>
      </c>
      <c r="AE21" s="1">
        <v>14.3834</v>
      </c>
      <c r="AF21" s="1">
        <v>19.766999999999999</v>
      </c>
      <c r="AG21" s="1">
        <v>31.105599999999999</v>
      </c>
      <c r="AH21" s="1">
        <v>31.758400000000002</v>
      </c>
      <c r="AI21" s="1">
        <v>22.8048</v>
      </c>
      <c r="AJ21" s="1">
        <v>16.5824</v>
      </c>
      <c r="AK21" s="1">
        <v>21.981400000000001</v>
      </c>
      <c r="AL21" s="1">
        <v>25.205400000000001</v>
      </c>
      <c r="AM21" s="1">
        <v>18.808800000000002</v>
      </c>
      <c r="AN21" s="1"/>
      <c r="AO21" s="1">
        <f t="shared" si="9"/>
        <v>44</v>
      </c>
      <c r="AP21" t="s">
        <v>76</v>
      </c>
    </row>
    <row r="22" spans="1:42" x14ac:dyDescent="0.25">
      <c r="A22" s="1" t="s">
        <v>77</v>
      </c>
      <c r="B22" s="1" t="s">
        <v>41</v>
      </c>
      <c r="C22" s="1">
        <v>322</v>
      </c>
      <c r="D22" s="1">
        <v>60.338999999999999</v>
      </c>
      <c r="E22" s="1">
        <v>224.934</v>
      </c>
      <c r="F22" s="1">
        <v>124.771</v>
      </c>
      <c r="G22" s="7">
        <v>1</v>
      </c>
      <c r="H22" s="1">
        <v>70</v>
      </c>
      <c r="I22" s="1" t="s">
        <v>42</v>
      </c>
      <c r="J22" s="1"/>
      <c r="K22" s="1">
        <v>216.3</v>
      </c>
      <c r="L22" s="1">
        <f t="shared" si="6"/>
        <v>8.6339999999999861</v>
      </c>
      <c r="M22" s="1"/>
      <c r="N22" s="1"/>
      <c r="O22" s="1">
        <v>233.99840000000009</v>
      </c>
      <c r="P22" s="1">
        <v>0</v>
      </c>
      <c r="Q22" s="1"/>
      <c r="R22" s="1"/>
      <c r="S22" s="1">
        <v>7.313599999999866</v>
      </c>
      <c r="T22" s="1"/>
      <c r="U22" s="1"/>
      <c r="V22" s="1">
        <f t="shared" si="7"/>
        <v>44.986800000000002</v>
      </c>
      <c r="W22" s="5">
        <f t="shared" si="11"/>
        <v>173.75860000000006</v>
      </c>
      <c r="X22" s="5">
        <f>W22+$X$1*V22</f>
        <v>144.06731200000004</v>
      </c>
      <c r="Y22" s="5"/>
      <c r="Z22" s="21"/>
      <c r="AA22" s="21"/>
      <c r="AB22" s="1">
        <f t="shared" si="10"/>
        <v>11.34</v>
      </c>
      <c r="AC22" s="1">
        <f t="shared" si="8"/>
        <v>8.137564796784833</v>
      </c>
      <c r="AD22" s="1">
        <v>38.965000000000003</v>
      </c>
      <c r="AE22" s="1">
        <v>37.324399999999997</v>
      </c>
      <c r="AF22" s="1">
        <v>42.604799999999997</v>
      </c>
      <c r="AG22" s="1">
        <v>42.156199999999998</v>
      </c>
      <c r="AH22" s="1">
        <v>46.545400000000001</v>
      </c>
      <c r="AI22" s="1">
        <v>57.740400000000001</v>
      </c>
      <c r="AJ22" s="1">
        <v>61.052200000000013</v>
      </c>
      <c r="AK22" s="1">
        <v>53.941800000000001</v>
      </c>
      <c r="AL22" s="1">
        <v>51.120199999999997</v>
      </c>
      <c r="AM22" s="1">
        <v>36.6006</v>
      </c>
      <c r="AN22" s="1"/>
      <c r="AO22" s="1">
        <f t="shared" si="9"/>
        <v>144</v>
      </c>
      <c r="AP22" t="s">
        <v>78</v>
      </c>
    </row>
    <row r="23" spans="1:42" x14ac:dyDescent="0.25">
      <c r="A23" s="1" t="s">
        <v>79</v>
      </c>
      <c r="B23" s="1" t="s">
        <v>41</v>
      </c>
      <c r="C23" s="1">
        <v>3.3639999999999999</v>
      </c>
      <c r="D23" s="1">
        <v>17.978000000000002</v>
      </c>
      <c r="E23" s="1">
        <v>21.673999999999999</v>
      </c>
      <c r="F23" s="1">
        <v>-0.33200000000000002</v>
      </c>
      <c r="G23" s="7">
        <v>1</v>
      </c>
      <c r="H23" s="1">
        <v>180</v>
      </c>
      <c r="I23" s="1" t="s">
        <v>42</v>
      </c>
      <c r="J23" s="1"/>
      <c r="K23" s="1">
        <v>24.07</v>
      </c>
      <c r="L23" s="1">
        <f t="shared" si="6"/>
        <v>-2.3960000000000008</v>
      </c>
      <c r="M23" s="1"/>
      <c r="N23" s="1"/>
      <c r="O23" s="1">
        <v>34.476599999999998</v>
      </c>
      <c r="P23" s="1">
        <v>0</v>
      </c>
      <c r="Q23" s="1"/>
      <c r="R23" s="1"/>
      <c r="S23" s="1">
        <v>0</v>
      </c>
      <c r="T23" s="1"/>
      <c r="U23" s="1"/>
      <c r="V23" s="1">
        <f t="shared" si="7"/>
        <v>4.3347999999999995</v>
      </c>
      <c r="W23" s="5">
        <f t="shared" si="11"/>
        <v>17.872999999999998</v>
      </c>
      <c r="X23" s="5">
        <f>W23</f>
        <v>17.872999999999998</v>
      </c>
      <c r="Y23" s="5"/>
      <c r="Z23" s="21"/>
      <c r="AA23" s="21"/>
      <c r="AB23" s="1">
        <f t="shared" si="10"/>
        <v>12</v>
      </c>
      <c r="AC23" s="1">
        <f t="shared" si="8"/>
        <v>7.8768570637630342</v>
      </c>
      <c r="AD23" s="1">
        <v>3.0522</v>
      </c>
      <c r="AE23" s="1">
        <v>3.3224</v>
      </c>
      <c r="AF23" s="1">
        <v>4.6915999999999993</v>
      </c>
      <c r="AG23" s="1">
        <v>3.9258000000000002</v>
      </c>
      <c r="AH23" s="1">
        <v>4.0861999999999998</v>
      </c>
      <c r="AI23" s="1">
        <v>3.0114000000000001</v>
      </c>
      <c r="AJ23" s="1">
        <v>1.6878</v>
      </c>
      <c r="AK23" s="1">
        <v>2.2938000000000001</v>
      </c>
      <c r="AL23" s="1">
        <v>4.5103999999999997</v>
      </c>
      <c r="AM23" s="1">
        <v>4.2845999999999993</v>
      </c>
      <c r="AN23" s="1"/>
      <c r="AO23" s="1">
        <f t="shared" si="9"/>
        <v>18</v>
      </c>
      <c r="AP23" t="s">
        <v>80</v>
      </c>
    </row>
    <row r="24" spans="1:42" x14ac:dyDescent="0.25">
      <c r="A24" s="1" t="s">
        <v>81</v>
      </c>
      <c r="B24" s="1" t="s">
        <v>41</v>
      </c>
      <c r="C24" s="1">
        <v>274.07900000000001</v>
      </c>
      <c r="D24" s="1">
        <v>225.137</v>
      </c>
      <c r="E24" s="1">
        <v>185.43100000000001</v>
      </c>
      <c r="F24" s="1">
        <v>275.11</v>
      </c>
      <c r="G24" s="7">
        <v>1</v>
      </c>
      <c r="H24" s="1">
        <v>70</v>
      </c>
      <c r="I24" s="1" t="s">
        <v>42</v>
      </c>
      <c r="J24" s="1"/>
      <c r="K24" s="1">
        <v>174.26</v>
      </c>
      <c r="L24" s="1">
        <f t="shared" si="6"/>
        <v>11.171000000000021</v>
      </c>
      <c r="M24" s="1"/>
      <c r="N24" s="1"/>
      <c r="O24" s="1">
        <v>79.139999999999972</v>
      </c>
      <c r="P24" s="1">
        <v>-79.2</v>
      </c>
      <c r="Q24" s="1"/>
      <c r="R24" s="1"/>
      <c r="S24" s="1">
        <v>0</v>
      </c>
      <c r="T24" s="1"/>
      <c r="U24" s="17">
        <v>50</v>
      </c>
      <c r="V24" s="1">
        <f t="shared" si="7"/>
        <v>37.086200000000005</v>
      </c>
      <c r="W24" s="5">
        <f t="shared" si="11"/>
        <v>169.98440000000005</v>
      </c>
      <c r="X24" s="5">
        <f>W24+$X$1*V24</f>
        <v>145.50750800000006</v>
      </c>
      <c r="Y24" s="5"/>
      <c r="Z24" s="21"/>
      <c r="AA24" s="21"/>
      <c r="AB24" s="1">
        <f t="shared" si="10"/>
        <v>12.688210385534243</v>
      </c>
      <c r="AC24" s="1">
        <f t="shared" si="8"/>
        <v>7.4165053308238633</v>
      </c>
      <c r="AD24" s="1">
        <v>30.3794</v>
      </c>
      <c r="AE24" s="1">
        <v>37.165799999999997</v>
      </c>
      <c r="AF24" s="1">
        <v>46.671199999999999</v>
      </c>
      <c r="AG24" s="1">
        <v>51.576599999999999</v>
      </c>
      <c r="AH24" s="1">
        <v>50.810199999999988</v>
      </c>
      <c r="AI24" s="1">
        <v>51.419199999999996</v>
      </c>
      <c r="AJ24" s="1">
        <v>53.342599999999997</v>
      </c>
      <c r="AK24" s="1">
        <v>51.205800000000004</v>
      </c>
      <c r="AL24" s="1">
        <v>58.679999999999993</v>
      </c>
      <c r="AM24" s="1">
        <v>46.426400000000001</v>
      </c>
      <c r="AN24" s="1"/>
      <c r="AO24" s="1">
        <f t="shared" si="9"/>
        <v>146</v>
      </c>
      <c r="AP24" t="s">
        <v>82</v>
      </c>
    </row>
    <row r="25" spans="1:42" x14ac:dyDescent="0.25">
      <c r="A25" s="9" t="s">
        <v>83</v>
      </c>
      <c r="B25" s="9" t="s">
        <v>41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84</v>
      </c>
      <c r="J25" s="9"/>
      <c r="K25" s="9">
        <v>16</v>
      </c>
      <c r="L25" s="9">
        <f t="shared" si="6"/>
        <v>-16.7</v>
      </c>
      <c r="M25" s="9"/>
      <c r="N25" s="9"/>
      <c r="O25" s="9">
        <v>0</v>
      </c>
      <c r="P25" s="9"/>
      <c r="Q25" s="9"/>
      <c r="R25" s="9"/>
      <c r="S25" s="9">
        <v>0</v>
      </c>
      <c r="T25" s="9"/>
      <c r="U25" s="9"/>
      <c r="V25" s="9">
        <f t="shared" si="7"/>
        <v>-0.13999999999999999</v>
      </c>
      <c r="W25" s="11"/>
      <c r="X25" s="5">
        <f>W25</f>
        <v>0</v>
      </c>
      <c r="Y25" s="5"/>
      <c r="Z25" s="21"/>
      <c r="AA25" s="21"/>
      <c r="AB25" s="1">
        <f t="shared" si="10"/>
        <v>-7.8428571428571443</v>
      </c>
      <c r="AC25" s="9">
        <f t="shared" si="8"/>
        <v>-7.8428571428571443</v>
      </c>
      <c r="AD25" s="9">
        <v>0</v>
      </c>
      <c r="AE25" s="9">
        <v>4.6292</v>
      </c>
      <c r="AF25" s="9">
        <v>6.452</v>
      </c>
      <c r="AG25" s="9">
        <v>6.3102</v>
      </c>
      <c r="AH25" s="9">
        <v>5.6124000000000001</v>
      </c>
      <c r="AI25" s="9">
        <v>3.0931999999999999</v>
      </c>
      <c r="AJ25" s="9">
        <v>2.9478</v>
      </c>
      <c r="AK25" s="9">
        <v>4.7827999999999999</v>
      </c>
      <c r="AL25" s="9">
        <v>7.0242000000000004</v>
      </c>
      <c r="AM25" s="9">
        <v>5.6067999999999998</v>
      </c>
      <c r="AN25" s="9"/>
      <c r="AO25" s="1">
        <f t="shared" si="9"/>
        <v>0</v>
      </c>
      <c r="AP25" t="s">
        <v>85</v>
      </c>
    </row>
    <row r="26" spans="1:42" x14ac:dyDescent="0.25">
      <c r="A26" s="9" t="s">
        <v>86</v>
      </c>
      <c r="B26" s="9" t="s">
        <v>41</v>
      </c>
      <c r="C26" s="9"/>
      <c r="D26" s="9"/>
      <c r="E26" s="9"/>
      <c r="F26" s="9"/>
      <c r="G26" s="10">
        <v>0</v>
      </c>
      <c r="H26" s="9"/>
      <c r="I26" s="9" t="s">
        <v>42</v>
      </c>
      <c r="J26" s="9"/>
      <c r="K26" s="9"/>
      <c r="L26" s="9">
        <f t="shared" si="6"/>
        <v>0</v>
      </c>
      <c r="M26" s="9"/>
      <c r="N26" s="9"/>
      <c r="O26" s="9">
        <v>0</v>
      </c>
      <c r="P26" s="9"/>
      <c r="Q26" s="9"/>
      <c r="R26" s="9"/>
      <c r="S26" s="9">
        <v>0</v>
      </c>
      <c r="T26" s="9"/>
      <c r="U26" s="9"/>
      <c r="V26" s="9">
        <f t="shared" si="7"/>
        <v>0</v>
      </c>
      <c r="W26" s="11"/>
      <c r="X26" s="5">
        <f>W26</f>
        <v>0</v>
      </c>
      <c r="Y26" s="5"/>
      <c r="Z26" s="21"/>
      <c r="AA26" s="21"/>
      <c r="AB26" s="1" t="e">
        <f t="shared" si="10"/>
        <v>#DIV/0!</v>
      </c>
      <c r="AC26" s="9" t="e">
        <f t="shared" si="8"/>
        <v>#DIV/0!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 t="s">
        <v>57</v>
      </c>
      <c r="AO26" s="1">
        <f t="shared" si="9"/>
        <v>0</v>
      </c>
      <c r="AP26" t="s">
        <v>87</v>
      </c>
    </row>
    <row r="27" spans="1:42" x14ac:dyDescent="0.25">
      <c r="A27" s="1" t="s">
        <v>88</v>
      </c>
      <c r="B27" s="1" t="s">
        <v>41</v>
      </c>
      <c r="C27" s="1">
        <v>11.324</v>
      </c>
      <c r="D27" s="1">
        <v>365.863</v>
      </c>
      <c r="E27" s="1">
        <v>270.16800000000001</v>
      </c>
      <c r="F27" s="1">
        <v>21.829000000000001</v>
      </c>
      <c r="G27" s="7">
        <v>1</v>
      </c>
      <c r="H27" s="1">
        <v>30</v>
      </c>
      <c r="I27" s="1" t="s">
        <v>42</v>
      </c>
      <c r="J27" s="1"/>
      <c r="K27" s="1">
        <v>287.39999999999998</v>
      </c>
      <c r="L27" s="1">
        <f t="shared" si="6"/>
        <v>-17.231999999999971</v>
      </c>
      <c r="M27" s="1"/>
      <c r="N27" s="1"/>
      <c r="O27" s="1">
        <v>273.78600000000017</v>
      </c>
      <c r="P27" s="1">
        <v>0</v>
      </c>
      <c r="Q27" s="1"/>
      <c r="R27" s="1"/>
      <c r="S27" s="1">
        <v>0</v>
      </c>
      <c r="T27" s="1"/>
      <c r="U27" s="1"/>
      <c r="V27" s="1">
        <f t="shared" si="7"/>
        <v>54.0336</v>
      </c>
      <c r="W27" s="5">
        <f>12*V27-S27-R27-Q27-P27-O27-F27</f>
        <v>352.78819999999979</v>
      </c>
      <c r="X27" s="5">
        <f>W27+$X$1*V27</f>
        <v>317.1260239999998</v>
      </c>
      <c r="Y27" s="5"/>
      <c r="Z27" s="21"/>
      <c r="AA27" s="21"/>
      <c r="AB27" s="1">
        <f t="shared" si="10"/>
        <v>11.339999999999998</v>
      </c>
      <c r="AC27" s="1">
        <f t="shared" si="8"/>
        <v>5.4709477066121854</v>
      </c>
      <c r="AD27" s="1">
        <v>33.3504</v>
      </c>
      <c r="AE27" s="1">
        <v>39.0062</v>
      </c>
      <c r="AF27" s="1">
        <v>53.301000000000002</v>
      </c>
      <c r="AG27" s="1">
        <v>46.706800000000001</v>
      </c>
      <c r="AH27" s="1">
        <v>23.161200000000001</v>
      </c>
      <c r="AI27" s="1">
        <v>34.602600000000002</v>
      </c>
      <c r="AJ27" s="1">
        <v>39.710599999999999</v>
      </c>
      <c r="AK27" s="1">
        <v>34.586599999999997</v>
      </c>
      <c r="AL27" s="1">
        <v>40.651400000000002</v>
      </c>
      <c r="AM27" s="1">
        <v>18.385000000000002</v>
      </c>
      <c r="AN27" s="1"/>
      <c r="AO27" s="1">
        <f t="shared" si="9"/>
        <v>317</v>
      </c>
      <c r="AP27" t="s">
        <v>89</v>
      </c>
    </row>
    <row r="28" spans="1:42" x14ac:dyDescent="0.25">
      <c r="A28" s="1" t="s">
        <v>90</v>
      </c>
      <c r="B28" s="1" t="s">
        <v>41</v>
      </c>
      <c r="C28" s="1">
        <v>9.7530000000000001</v>
      </c>
      <c r="D28" s="1"/>
      <c r="E28" s="1">
        <v>0.58199999999999996</v>
      </c>
      <c r="F28" s="1">
        <v>5.2210000000000001</v>
      </c>
      <c r="G28" s="7">
        <v>1</v>
      </c>
      <c r="H28" s="1">
        <v>40</v>
      </c>
      <c r="I28" s="13" t="s">
        <v>91</v>
      </c>
      <c r="J28" s="1"/>
      <c r="K28" s="1">
        <v>95.2</v>
      </c>
      <c r="L28" s="1">
        <f t="shared" si="6"/>
        <v>-94.618000000000009</v>
      </c>
      <c r="M28" s="1"/>
      <c r="N28" s="1"/>
      <c r="O28" s="1">
        <v>200</v>
      </c>
      <c r="P28" s="1">
        <v>-207</v>
      </c>
      <c r="Q28" s="1"/>
      <c r="R28" s="1"/>
      <c r="S28" s="1">
        <v>118.87426600000001</v>
      </c>
      <c r="T28" s="1">
        <v>-126</v>
      </c>
      <c r="U28" s="1"/>
      <c r="V28" s="1">
        <f t="shared" si="7"/>
        <v>0.11639999999999999</v>
      </c>
      <c r="W28" s="5">
        <v>120</v>
      </c>
      <c r="X28" s="5">
        <f t="shared" ref="X28:X47" si="12">W28</f>
        <v>120</v>
      </c>
      <c r="Y28" s="5">
        <v>-126</v>
      </c>
      <c r="Z28" s="21"/>
      <c r="AA28" s="21"/>
      <c r="AB28" s="1">
        <f t="shared" si="10"/>
        <v>2036.9009106529213</v>
      </c>
      <c r="AC28" s="1">
        <f t="shared" si="8"/>
        <v>1005.9730756013747</v>
      </c>
      <c r="AD28" s="1">
        <v>1.6801999999999999</v>
      </c>
      <c r="AE28" s="1">
        <v>37.1038</v>
      </c>
      <c r="AF28" s="1">
        <v>73.638800000000003</v>
      </c>
      <c r="AG28" s="1">
        <v>62.238599999999998</v>
      </c>
      <c r="AH28" s="1">
        <v>32.152799999999999</v>
      </c>
      <c r="AI28" s="1">
        <v>66.114800000000002</v>
      </c>
      <c r="AJ28" s="1">
        <v>89.90979999999999</v>
      </c>
      <c r="AK28" s="1">
        <v>73.314800000000005</v>
      </c>
      <c r="AL28" s="1">
        <v>79.865399999999994</v>
      </c>
      <c r="AM28" s="1">
        <v>55.552999999999997</v>
      </c>
      <c r="AN28" s="1"/>
      <c r="AO28" s="1">
        <f t="shared" si="9"/>
        <v>120</v>
      </c>
      <c r="AP28" t="s">
        <v>92</v>
      </c>
    </row>
    <row r="29" spans="1:42" x14ac:dyDescent="0.25">
      <c r="A29" s="1" t="s">
        <v>93</v>
      </c>
      <c r="B29" s="1" t="s">
        <v>41</v>
      </c>
      <c r="C29" s="1">
        <v>3.6539999999999999</v>
      </c>
      <c r="D29" s="1">
        <v>6.7969999999999997</v>
      </c>
      <c r="E29" s="1">
        <v>-4.8109999999999999</v>
      </c>
      <c r="F29" s="1">
        <v>-0.41</v>
      </c>
      <c r="G29" s="7">
        <v>1</v>
      </c>
      <c r="H29" s="1">
        <v>30</v>
      </c>
      <c r="I29" s="13" t="s">
        <v>91</v>
      </c>
      <c r="J29" s="1"/>
      <c r="K29" s="1">
        <v>16.600000000000001</v>
      </c>
      <c r="L29" s="1">
        <f t="shared" si="6"/>
        <v>-21.411000000000001</v>
      </c>
      <c r="M29" s="1"/>
      <c r="N29" s="1"/>
      <c r="O29" s="1">
        <v>200</v>
      </c>
      <c r="P29" s="1">
        <v>0</v>
      </c>
      <c r="Q29" s="1"/>
      <c r="R29" s="1"/>
      <c r="S29" s="1">
        <v>192.87093200000001</v>
      </c>
      <c r="T29" s="1"/>
      <c r="U29" s="1"/>
      <c r="V29" s="1">
        <f t="shared" si="7"/>
        <v>-0.96219999999999994</v>
      </c>
      <c r="W29" s="5">
        <v>200</v>
      </c>
      <c r="X29" s="5">
        <f t="shared" si="12"/>
        <v>200</v>
      </c>
      <c r="Y29" s="5"/>
      <c r="Z29" s="21"/>
      <c r="AA29" s="21"/>
      <c r="AB29" s="1">
        <f t="shared" si="10"/>
        <v>-615.73574308875493</v>
      </c>
      <c r="AC29" s="1">
        <f t="shared" si="8"/>
        <v>-407.87874870089382</v>
      </c>
      <c r="AD29" s="1">
        <v>10.6404</v>
      </c>
      <c r="AE29" s="1">
        <v>28.9634</v>
      </c>
      <c r="AF29" s="1">
        <v>20.459</v>
      </c>
      <c r="AG29" s="1">
        <v>-1.2302</v>
      </c>
      <c r="AH29" s="1">
        <v>10.5242</v>
      </c>
      <c r="AI29" s="1">
        <v>51.875800000000012</v>
      </c>
      <c r="AJ29" s="1">
        <v>106.5702</v>
      </c>
      <c r="AK29" s="1">
        <v>91.686000000000007</v>
      </c>
      <c r="AL29" s="1">
        <v>71.770200000000003</v>
      </c>
      <c r="AM29" s="1">
        <v>57.282799999999988</v>
      </c>
      <c r="AN29" s="1"/>
      <c r="AO29" s="1">
        <f t="shared" si="9"/>
        <v>200</v>
      </c>
      <c r="AP29" t="s">
        <v>94</v>
      </c>
    </row>
    <row r="30" spans="1:42" x14ac:dyDescent="0.25">
      <c r="A30" s="1" t="s">
        <v>95</v>
      </c>
      <c r="B30" s="1" t="s">
        <v>41</v>
      </c>
      <c r="C30" s="1">
        <v>-6.8019999999999996</v>
      </c>
      <c r="D30" s="1"/>
      <c r="E30" s="1">
        <v>-2.738</v>
      </c>
      <c r="F30" s="1">
        <v>-6.8019999999999996</v>
      </c>
      <c r="G30" s="7">
        <v>1</v>
      </c>
      <c r="H30" s="1">
        <v>40</v>
      </c>
      <c r="I30" s="13" t="s">
        <v>91</v>
      </c>
      <c r="J30" s="1"/>
      <c r="K30" s="1"/>
      <c r="L30" s="1">
        <f t="shared" si="6"/>
        <v>-2.738</v>
      </c>
      <c r="M30" s="1"/>
      <c r="N30" s="1"/>
      <c r="O30" s="1">
        <v>500</v>
      </c>
      <c r="P30" s="1">
        <v>-504</v>
      </c>
      <c r="Q30" s="1">
        <v>480</v>
      </c>
      <c r="R30" s="1"/>
      <c r="S30" s="1">
        <v>200.06740199999999</v>
      </c>
      <c r="T30" s="1">
        <v>-207</v>
      </c>
      <c r="U30" s="1"/>
      <c r="V30" s="1">
        <f t="shared" si="7"/>
        <v>-0.54759999999999998</v>
      </c>
      <c r="W30" s="5">
        <v>400</v>
      </c>
      <c r="X30" s="5">
        <f t="shared" si="12"/>
        <v>400</v>
      </c>
      <c r="Y30" s="5">
        <v>-405</v>
      </c>
      <c r="Z30" s="21"/>
      <c r="AA30" s="21"/>
      <c r="AB30" s="1">
        <f t="shared" si="10"/>
        <v>-1952.6395215485757</v>
      </c>
      <c r="AC30" s="1">
        <f t="shared" si="8"/>
        <v>-1222.1793316289263</v>
      </c>
      <c r="AD30" s="1">
        <v>-0.10059999999999999</v>
      </c>
      <c r="AE30" s="1">
        <v>-0.82639999999999991</v>
      </c>
      <c r="AF30" s="1">
        <v>0.14080000000000001</v>
      </c>
      <c r="AG30" s="1">
        <v>2.6922000000000001</v>
      </c>
      <c r="AH30" s="1">
        <v>93.157600000000002</v>
      </c>
      <c r="AI30" s="1">
        <v>186.66319999999999</v>
      </c>
      <c r="AJ30" s="1">
        <v>177.22620000000001</v>
      </c>
      <c r="AK30" s="1">
        <v>205.678</v>
      </c>
      <c r="AL30" s="1">
        <v>192.21559999999999</v>
      </c>
      <c r="AM30" s="1">
        <v>70.557199999999995</v>
      </c>
      <c r="AN30" s="1"/>
      <c r="AO30" s="1">
        <f t="shared" si="9"/>
        <v>400</v>
      </c>
      <c r="AP30" t="s">
        <v>96</v>
      </c>
    </row>
    <row r="31" spans="1:42" x14ac:dyDescent="0.25">
      <c r="A31" s="1" t="s">
        <v>97</v>
      </c>
      <c r="B31" s="1" t="s">
        <v>41</v>
      </c>
      <c r="C31" s="1">
        <v>1.4E-2</v>
      </c>
      <c r="D31" s="1"/>
      <c r="E31" s="1"/>
      <c r="F31" s="1">
        <v>1.4E-2</v>
      </c>
      <c r="G31" s="7">
        <v>1</v>
      </c>
      <c r="H31" s="1">
        <v>40</v>
      </c>
      <c r="I31" s="1" t="s">
        <v>42</v>
      </c>
      <c r="J31" s="1"/>
      <c r="K31" s="1"/>
      <c r="L31" s="1">
        <f t="shared" si="6"/>
        <v>0</v>
      </c>
      <c r="M31" s="1"/>
      <c r="N31" s="1"/>
      <c r="O31" s="1">
        <v>20</v>
      </c>
      <c r="P31" s="1">
        <v>0</v>
      </c>
      <c r="Q31" s="1"/>
      <c r="R31" s="1"/>
      <c r="S31" s="1">
        <v>0</v>
      </c>
      <c r="T31" s="1"/>
      <c r="U31" s="1"/>
      <c r="V31" s="1">
        <f t="shared" si="7"/>
        <v>0</v>
      </c>
      <c r="W31" s="5">
        <v>10</v>
      </c>
      <c r="X31" s="5">
        <f t="shared" si="12"/>
        <v>10</v>
      </c>
      <c r="Y31" s="5">
        <v>-18</v>
      </c>
      <c r="Z31" s="21"/>
      <c r="AA31" s="21"/>
      <c r="AB31" s="1" t="e">
        <f t="shared" si="10"/>
        <v>#DIV/0!</v>
      </c>
      <c r="AC31" s="1" t="e">
        <f t="shared" si="8"/>
        <v>#DIV/0!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0.87280000000000002</v>
      </c>
      <c r="AJ31" s="1">
        <v>8.621599999999999</v>
      </c>
      <c r="AK31" s="1">
        <v>7.7488000000000001</v>
      </c>
      <c r="AL31" s="1">
        <v>-0.42280000000000001</v>
      </c>
      <c r="AM31" s="1">
        <v>-0.42280000000000001</v>
      </c>
      <c r="AN31" s="1"/>
      <c r="AO31" s="1">
        <f t="shared" si="9"/>
        <v>10</v>
      </c>
      <c r="AP31" t="s">
        <v>98</v>
      </c>
    </row>
    <row r="32" spans="1:42" x14ac:dyDescent="0.25">
      <c r="A32" s="1" t="s">
        <v>99</v>
      </c>
      <c r="B32" s="1" t="s">
        <v>41</v>
      </c>
      <c r="C32" s="1">
        <v>39.773000000000003</v>
      </c>
      <c r="D32" s="1">
        <v>5.944</v>
      </c>
      <c r="E32" s="1">
        <v>22.143999999999998</v>
      </c>
      <c r="F32" s="1">
        <v>11.597</v>
      </c>
      <c r="G32" s="7">
        <v>1</v>
      </c>
      <c r="H32" s="1">
        <v>30</v>
      </c>
      <c r="I32" s="1" t="s">
        <v>42</v>
      </c>
      <c r="J32" s="1"/>
      <c r="K32" s="1">
        <v>41.1</v>
      </c>
      <c r="L32" s="1">
        <f t="shared" si="6"/>
        <v>-18.956000000000003</v>
      </c>
      <c r="M32" s="1"/>
      <c r="N32" s="1"/>
      <c r="O32" s="1">
        <v>103.854</v>
      </c>
      <c r="P32" s="1">
        <v>0</v>
      </c>
      <c r="Q32" s="1"/>
      <c r="R32" s="1"/>
      <c r="S32" s="1">
        <v>0</v>
      </c>
      <c r="T32" s="1"/>
      <c r="U32" s="1"/>
      <c r="V32" s="1">
        <f t="shared" si="7"/>
        <v>4.4287999999999998</v>
      </c>
      <c r="W32" s="5"/>
      <c r="X32" s="5">
        <f t="shared" si="12"/>
        <v>0</v>
      </c>
      <c r="Y32" s="5"/>
      <c r="Z32" s="21"/>
      <c r="AA32" s="21"/>
      <c r="AB32" s="1">
        <f t="shared" si="10"/>
        <v>26.068235187861273</v>
      </c>
      <c r="AC32" s="1">
        <f t="shared" si="8"/>
        <v>26.068235187861273</v>
      </c>
      <c r="AD32" s="1">
        <v>9.4892000000000003</v>
      </c>
      <c r="AE32" s="1">
        <v>9.4754000000000005</v>
      </c>
      <c r="AF32" s="1">
        <v>3.5449999999999999</v>
      </c>
      <c r="AG32" s="1">
        <v>0</v>
      </c>
      <c r="AH32" s="1">
        <v>5.3902000000000001</v>
      </c>
      <c r="AI32" s="1">
        <v>10.913</v>
      </c>
      <c r="AJ32" s="1">
        <v>11.9476</v>
      </c>
      <c r="AK32" s="1">
        <v>7.6019999999999994</v>
      </c>
      <c r="AL32" s="1">
        <v>9.0299999999999994</v>
      </c>
      <c r="AM32" s="1">
        <v>13.668799999999999</v>
      </c>
      <c r="AN32" s="1"/>
      <c r="AO32" s="1">
        <f t="shared" si="9"/>
        <v>0</v>
      </c>
      <c r="AP32" t="s">
        <v>100</v>
      </c>
    </row>
    <row r="33" spans="1:42" x14ac:dyDescent="0.25">
      <c r="A33" s="1" t="s">
        <v>101</v>
      </c>
      <c r="B33" s="1" t="s">
        <v>41</v>
      </c>
      <c r="C33" s="1">
        <v>13.178000000000001</v>
      </c>
      <c r="D33" s="1">
        <v>177.84200000000001</v>
      </c>
      <c r="E33" s="1">
        <v>63.881999999999998</v>
      </c>
      <c r="F33" s="1">
        <v>101.512</v>
      </c>
      <c r="G33" s="7">
        <v>1</v>
      </c>
      <c r="H33" s="1">
        <v>50</v>
      </c>
      <c r="I33" s="1" t="s">
        <v>42</v>
      </c>
      <c r="J33" s="1"/>
      <c r="K33" s="1">
        <v>61.2</v>
      </c>
      <c r="L33" s="1">
        <f t="shared" si="6"/>
        <v>2.6819999999999951</v>
      </c>
      <c r="M33" s="1"/>
      <c r="N33" s="1"/>
      <c r="O33" s="1"/>
      <c r="P33" s="1"/>
      <c r="Q33" s="1"/>
      <c r="R33" s="1"/>
      <c r="S33" s="1">
        <v>0</v>
      </c>
      <c r="T33" s="1"/>
      <c r="U33" s="1"/>
      <c r="V33" s="1">
        <f t="shared" si="7"/>
        <v>12.776399999999999</v>
      </c>
      <c r="W33" s="5">
        <f>12*V33-S33-R33-Q33-P33-O33-F33</f>
        <v>51.8048</v>
      </c>
      <c r="X33" s="5">
        <f t="shared" si="12"/>
        <v>51.8048</v>
      </c>
      <c r="Y33" s="5"/>
      <c r="Z33" s="21"/>
      <c r="AA33" s="21"/>
      <c r="AB33" s="1">
        <f t="shared" si="10"/>
        <v>12.000000000000002</v>
      </c>
      <c r="AC33" s="1">
        <f t="shared" si="8"/>
        <v>7.9452740991202537</v>
      </c>
      <c r="AD33" s="1">
        <v>6.4742000000000006</v>
      </c>
      <c r="AE33" s="1">
        <v>12.1784</v>
      </c>
      <c r="AF33" s="1">
        <v>24.013999999999999</v>
      </c>
      <c r="AG33" s="1">
        <v>21.271599999999999</v>
      </c>
      <c r="AH33" s="1">
        <v>12.952199999999999</v>
      </c>
      <c r="AI33" s="1">
        <v>13.867599999999999</v>
      </c>
      <c r="AJ33" s="1">
        <v>15.708600000000001</v>
      </c>
      <c r="AK33" s="1">
        <v>12.254200000000001</v>
      </c>
      <c r="AL33" s="1">
        <v>11.743399999999999</v>
      </c>
      <c r="AM33" s="1">
        <v>12.266</v>
      </c>
      <c r="AN33" s="1"/>
      <c r="AO33" s="1">
        <f t="shared" si="9"/>
        <v>52</v>
      </c>
      <c r="AP33" t="s">
        <v>102</v>
      </c>
    </row>
    <row r="34" spans="1:42" x14ac:dyDescent="0.25">
      <c r="A34" s="9" t="s">
        <v>103</v>
      </c>
      <c r="B34" s="9" t="s">
        <v>41</v>
      </c>
      <c r="C34" s="9">
        <v>35.039000000000001</v>
      </c>
      <c r="D34" s="9">
        <v>0.91200000000000003</v>
      </c>
      <c r="E34" s="9">
        <v>29.971</v>
      </c>
      <c r="F34" s="9">
        <v>2.282</v>
      </c>
      <c r="G34" s="10">
        <v>0</v>
      </c>
      <c r="H34" s="9">
        <v>50</v>
      </c>
      <c r="I34" s="9" t="s">
        <v>84</v>
      </c>
      <c r="J34" s="9"/>
      <c r="K34" s="9">
        <v>30.3</v>
      </c>
      <c r="L34" s="9">
        <f t="shared" si="6"/>
        <v>-0.32900000000000063</v>
      </c>
      <c r="M34" s="9"/>
      <c r="N34" s="9"/>
      <c r="O34" s="9">
        <v>0</v>
      </c>
      <c r="P34" s="9"/>
      <c r="Q34" s="9"/>
      <c r="R34" s="9"/>
      <c r="S34" s="9">
        <v>0</v>
      </c>
      <c r="T34" s="9"/>
      <c r="U34" s="9"/>
      <c r="V34" s="9">
        <f t="shared" si="7"/>
        <v>5.9942000000000002</v>
      </c>
      <c r="W34" s="11"/>
      <c r="X34" s="5">
        <f t="shared" si="12"/>
        <v>0</v>
      </c>
      <c r="Y34" s="5"/>
      <c r="Z34" s="21"/>
      <c r="AA34" s="21"/>
      <c r="AB34" s="1">
        <f t="shared" si="10"/>
        <v>0.38070134463314537</v>
      </c>
      <c r="AC34" s="9">
        <f t="shared" si="8"/>
        <v>0.38070134463314537</v>
      </c>
      <c r="AD34" s="9">
        <v>6.5543999999999993</v>
      </c>
      <c r="AE34" s="9">
        <v>7.2969999999999997</v>
      </c>
      <c r="AF34" s="9">
        <v>12.2094</v>
      </c>
      <c r="AG34" s="9">
        <v>12.5466</v>
      </c>
      <c r="AH34" s="9">
        <v>9.8046000000000006</v>
      </c>
      <c r="AI34" s="9">
        <v>10.172000000000001</v>
      </c>
      <c r="AJ34" s="9">
        <v>9.0811999999999991</v>
      </c>
      <c r="AK34" s="9">
        <v>5.2960000000000003</v>
      </c>
      <c r="AL34" s="9">
        <v>9.1239999999999988</v>
      </c>
      <c r="AM34" s="9">
        <v>9.2742000000000004</v>
      </c>
      <c r="AN34" s="9"/>
      <c r="AO34" s="1">
        <f t="shared" si="9"/>
        <v>0</v>
      </c>
      <c r="AP34" t="s">
        <v>104</v>
      </c>
    </row>
    <row r="35" spans="1:42" x14ac:dyDescent="0.25">
      <c r="A35" s="1" t="s">
        <v>105</v>
      </c>
      <c r="B35" s="1" t="s">
        <v>41</v>
      </c>
      <c r="C35" s="1">
        <v>61.201999999999998</v>
      </c>
      <c r="D35" s="1">
        <v>106.12</v>
      </c>
      <c r="E35" s="1">
        <v>52.539000000000001</v>
      </c>
      <c r="F35" s="1">
        <v>89.415000000000006</v>
      </c>
      <c r="G35" s="7">
        <v>1</v>
      </c>
      <c r="H35" s="1">
        <v>50</v>
      </c>
      <c r="I35" s="1" t="s">
        <v>42</v>
      </c>
      <c r="J35" s="1"/>
      <c r="K35" s="1">
        <v>51.8</v>
      </c>
      <c r="L35" s="1">
        <f t="shared" si="6"/>
        <v>0.73900000000000432</v>
      </c>
      <c r="M35" s="1"/>
      <c r="N35" s="1"/>
      <c r="O35" s="1">
        <v>0</v>
      </c>
      <c r="P35" s="1"/>
      <c r="Q35" s="1"/>
      <c r="R35" s="1"/>
      <c r="S35" s="1">
        <v>0</v>
      </c>
      <c r="T35" s="1"/>
      <c r="U35" s="1"/>
      <c r="V35" s="1">
        <f t="shared" si="7"/>
        <v>10.5078</v>
      </c>
      <c r="W35" s="5">
        <f>12*V35-S35-R35-Q35-P35-O35-F35</f>
        <v>36.678599999999989</v>
      </c>
      <c r="X35" s="5">
        <f t="shared" si="12"/>
        <v>36.678599999999989</v>
      </c>
      <c r="Y35" s="5">
        <v>-37.799999999999997</v>
      </c>
      <c r="Z35" s="21"/>
      <c r="AA35" s="21"/>
      <c r="AB35" s="1">
        <f t="shared" si="10"/>
        <v>12</v>
      </c>
      <c r="AC35" s="1">
        <f t="shared" si="8"/>
        <v>8.5093930223262735</v>
      </c>
      <c r="AD35" s="1">
        <v>5.4367999999999999</v>
      </c>
      <c r="AE35" s="1">
        <v>6.6819999999999986</v>
      </c>
      <c r="AF35" s="1">
        <v>14.173999999999999</v>
      </c>
      <c r="AG35" s="1">
        <v>14.984400000000001</v>
      </c>
      <c r="AH35" s="1">
        <v>12.6342</v>
      </c>
      <c r="AI35" s="1">
        <v>12.2704</v>
      </c>
      <c r="AJ35" s="1">
        <v>9.8894000000000002</v>
      </c>
      <c r="AK35" s="1">
        <v>6.7754000000000003</v>
      </c>
      <c r="AL35" s="1">
        <v>9.1257999999999999</v>
      </c>
      <c r="AM35" s="1">
        <v>9.4567999999999994</v>
      </c>
      <c r="AN35" s="1"/>
      <c r="AO35" s="1">
        <f t="shared" si="9"/>
        <v>37</v>
      </c>
      <c r="AP35" t="s">
        <v>106</v>
      </c>
    </row>
    <row r="36" spans="1:42" x14ac:dyDescent="0.25">
      <c r="A36" s="1" t="s">
        <v>107</v>
      </c>
      <c r="B36" s="1" t="s">
        <v>49</v>
      </c>
      <c r="C36" s="1">
        <v>807</v>
      </c>
      <c r="D36" s="1">
        <v>396</v>
      </c>
      <c r="E36" s="1">
        <v>1084</v>
      </c>
      <c r="F36" s="1">
        <v>52</v>
      </c>
      <c r="G36" s="7">
        <v>0.4</v>
      </c>
      <c r="H36" s="1">
        <v>45</v>
      </c>
      <c r="I36" s="13" t="s">
        <v>91</v>
      </c>
      <c r="J36" s="1"/>
      <c r="K36" s="1">
        <v>1221</v>
      </c>
      <c r="L36" s="1">
        <f t="shared" si="6"/>
        <v>-137</v>
      </c>
      <c r="M36" s="1"/>
      <c r="N36" s="1"/>
      <c r="O36" s="1">
        <v>500</v>
      </c>
      <c r="P36" s="1">
        <v>0</v>
      </c>
      <c r="Q36" s="1"/>
      <c r="R36" s="1"/>
      <c r="S36" s="1">
        <v>610.90800000000002</v>
      </c>
      <c r="T36" s="1">
        <v>-612.5</v>
      </c>
      <c r="U36" s="1"/>
      <c r="V36" s="1">
        <f t="shared" si="7"/>
        <v>216.8</v>
      </c>
      <c r="W36" s="5">
        <v>500</v>
      </c>
      <c r="X36" s="5">
        <f t="shared" si="12"/>
        <v>500</v>
      </c>
      <c r="Y36" s="5"/>
      <c r="Z36" s="21"/>
      <c r="AA36" s="21"/>
      <c r="AB36" s="1">
        <f t="shared" si="10"/>
        <v>7.6702398523985229</v>
      </c>
      <c r="AC36" s="1">
        <f t="shared" si="8"/>
        <v>5.363966789667896</v>
      </c>
      <c r="AD36" s="1">
        <v>207.6</v>
      </c>
      <c r="AE36" s="1">
        <v>159.19999999999999</v>
      </c>
      <c r="AF36" s="1">
        <v>176.4</v>
      </c>
      <c r="AG36" s="1">
        <v>250</v>
      </c>
      <c r="AH36" s="1">
        <v>263.39999999999998</v>
      </c>
      <c r="AI36" s="1">
        <v>260</v>
      </c>
      <c r="AJ36" s="1">
        <v>238.2</v>
      </c>
      <c r="AK36" s="1">
        <v>222</v>
      </c>
      <c r="AL36" s="1">
        <v>266.76</v>
      </c>
      <c r="AM36" s="1">
        <v>234.56</v>
      </c>
      <c r="AN36" s="1"/>
      <c r="AO36" s="1">
        <f t="shared" si="9"/>
        <v>200</v>
      </c>
      <c r="AP36" t="s">
        <v>108</v>
      </c>
    </row>
    <row r="37" spans="1:42" x14ac:dyDescent="0.25">
      <c r="A37" s="1" t="s">
        <v>109</v>
      </c>
      <c r="B37" s="1" t="s">
        <v>49</v>
      </c>
      <c r="C37" s="1">
        <v>406</v>
      </c>
      <c r="D37" s="1">
        <v>61</v>
      </c>
      <c r="E37" s="1">
        <v>158</v>
      </c>
      <c r="F37" s="1">
        <v>290</v>
      </c>
      <c r="G37" s="7">
        <v>0.45</v>
      </c>
      <c r="H37" s="1">
        <v>50</v>
      </c>
      <c r="I37" s="1" t="s">
        <v>42</v>
      </c>
      <c r="J37" s="1"/>
      <c r="K37" s="1">
        <v>158</v>
      </c>
      <c r="L37" s="1">
        <f t="shared" si="6"/>
        <v>0</v>
      </c>
      <c r="M37" s="1"/>
      <c r="N37" s="1"/>
      <c r="O37" s="1">
        <v>80.200000000000017</v>
      </c>
      <c r="P37" s="1">
        <v>0</v>
      </c>
      <c r="Q37" s="1"/>
      <c r="R37" s="1"/>
      <c r="S37" s="1">
        <v>0</v>
      </c>
      <c r="T37" s="1"/>
      <c r="U37" s="1"/>
      <c r="V37" s="1">
        <f t="shared" si="7"/>
        <v>31.6</v>
      </c>
      <c r="W37" s="5">
        <f>12*V37-S37-R37-Q37-P37-O37-F37</f>
        <v>9</v>
      </c>
      <c r="X37" s="5">
        <f t="shared" si="12"/>
        <v>9</v>
      </c>
      <c r="Y37" s="5"/>
      <c r="Z37" s="21"/>
      <c r="AA37" s="21"/>
      <c r="AB37" s="1">
        <f t="shared" si="10"/>
        <v>12.000000000000002</v>
      </c>
      <c r="AC37" s="1">
        <f t="shared" si="8"/>
        <v>11.715189873417723</v>
      </c>
      <c r="AD37" s="1">
        <v>33.799999999999997</v>
      </c>
      <c r="AE37" s="1">
        <v>31.2</v>
      </c>
      <c r="AF37" s="1">
        <v>42</v>
      </c>
      <c r="AG37" s="1">
        <v>45.4</v>
      </c>
      <c r="AH37" s="1">
        <v>60</v>
      </c>
      <c r="AI37" s="1">
        <v>71</v>
      </c>
      <c r="AJ37" s="1">
        <v>44.6</v>
      </c>
      <c r="AK37" s="1">
        <v>24</v>
      </c>
      <c r="AL37" s="1">
        <v>40.4</v>
      </c>
      <c r="AM37" s="1">
        <v>47.8</v>
      </c>
      <c r="AN37" s="1"/>
      <c r="AO37" s="1">
        <f t="shared" si="9"/>
        <v>4</v>
      </c>
      <c r="AP37" t="s">
        <v>110</v>
      </c>
    </row>
    <row r="38" spans="1:42" x14ac:dyDescent="0.25">
      <c r="A38" s="1" t="s">
        <v>111</v>
      </c>
      <c r="B38" s="1" t="s">
        <v>49</v>
      </c>
      <c r="C38" s="1">
        <v>152</v>
      </c>
      <c r="D38" s="1">
        <v>6</v>
      </c>
      <c r="E38" s="1">
        <v>139</v>
      </c>
      <c r="F38" s="1">
        <v>17</v>
      </c>
      <c r="G38" s="7">
        <v>0.4</v>
      </c>
      <c r="H38" s="1">
        <v>45</v>
      </c>
      <c r="I38" s="13" t="s">
        <v>91</v>
      </c>
      <c r="J38" s="1"/>
      <c r="K38" s="1">
        <v>253</v>
      </c>
      <c r="L38" s="1">
        <f t="shared" ref="L38:L69" si="13">E38-K38</f>
        <v>-114</v>
      </c>
      <c r="M38" s="1"/>
      <c r="N38" s="1"/>
      <c r="O38" s="1">
        <v>180</v>
      </c>
      <c r="P38" s="1">
        <v>0</v>
      </c>
      <c r="Q38" s="1"/>
      <c r="R38" s="1"/>
      <c r="S38" s="1">
        <v>158.86199999999999</v>
      </c>
      <c r="T38" s="1">
        <v>-162.5</v>
      </c>
      <c r="U38" s="1"/>
      <c r="V38" s="1">
        <f t="shared" ref="V38:V69" si="14">E38/5</f>
        <v>27.8</v>
      </c>
      <c r="W38" s="5">
        <v>150</v>
      </c>
      <c r="X38" s="5">
        <f t="shared" si="12"/>
        <v>150</v>
      </c>
      <c r="Y38" s="5">
        <v>-150</v>
      </c>
      <c r="Z38" s="21"/>
      <c r="AA38" s="21"/>
      <c r="AB38" s="1">
        <f t="shared" si="10"/>
        <v>18.196474820143884</v>
      </c>
      <c r="AC38" s="1">
        <f t="shared" ref="AC38:AC69" si="15">(F38+O38+P38+Q38+R38+S38)/V38</f>
        <v>12.800791366906473</v>
      </c>
      <c r="AD38" s="1">
        <v>61.4</v>
      </c>
      <c r="AE38" s="1">
        <v>43.8</v>
      </c>
      <c r="AF38" s="1">
        <v>19.8</v>
      </c>
      <c r="AG38" s="1">
        <v>19</v>
      </c>
      <c r="AH38" s="1">
        <v>23.4</v>
      </c>
      <c r="AI38" s="1">
        <v>63</v>
      </c>
      <c r="AJ38" s="1">
        <v>70.400000000000006</v>
      </c>
      <c r="AK38" s="1">
        <v>69.8</v>
      </c>
      <c r="AL38" s="1">
        <v>86.6</v>
      </c>
      <c r="AM38" s="1">
        <v>51.2</v>
      </c>
      <c r="AN38" s="1"/>
      <c r="AO38" s="1">
        <f t="shared" ref="AO38:AO69" si="16">ROUND(G38*X38,0)</f>
        <v>60</v>
      </c>
      <c r="AP38" t="s">
        <v>112</v>
      </c>
    </row>
    <row r="39" spans="1:42" x14ac:dyDescent="0.25">
      <c r="A39" s="1" t="s">
        <v>113</v>
      </c>
      <c r="B39" s="1" t="s">
        <v>49</v>
      </c>
      <c r="C39" s="1">
        <v>76</v>
      </c>
      <c r="D39" s="1">
        <v>6</v>
      </c>
      <c r="E39" s="1">
        <v>56</v>
      </c>
      <c r="F39" s="1">
        <v>14</v>
      </c>
      <c r="G39" s="7">
        <v>0.4</v>
      </c>
      <c r="H39" s="1">
        <v>40</v>
      </c>
      <c r="I39" s="13" t="s">
        <v>91</v>
      </c>
      <c r="J39" s="1"/>
      <c r="K39" s="1">
        <v>60</v>
      </c>
      <c r="L39" s="1">
        <f t="shared" si="13"/>
        <v>-4</v>
      </c>
      <c r="M39" s="1"/>
      <c r="N39" s="1"/>
      <c r="O39" s="1">
        <v>40</v>
      </c>
      <c r="P39" s="1">
        <v>0</v>
      </c>
      <c r="Q39" s="1"/>
      <c r="R39" s="1"/>
      <c r="S39" s="1">
        <v>40</v>
      </c>
      <c r="T39" s="1">
        <v>-42.5</v>
      </c>
      <c r="U39" s="1"/>
      <c r="V39" s="1">
        <f t="shared" si="14"/>
        <v>11.2</v>
      </c>
      <c r="W39" s="5">
        <v>30</v>
      </c>
      <c r="X39" s="5">
        <f t="shared" si="12"/>
        <v>30</v>
      </c>
      <c r="Y39" s="5">
        <v>-30</v>
      </c>
      <c r="Z39" s="21"/>
      <c r="AA39" s="21"/>
      <c r="AB39" s="1">
        <f t="shared" si="10"/>
        <v>11.071428571428573</v>
      </c>
      <c r="AC39" s="1">
        <f t="shared" si="15"/>
        <v>8.3928571428571441</v>
      </c>
      <c r="AD39" s="1">
        <v>12</v>
      </c>
      <c r="AE39" s="1">
        <v>6.6</v>
      </c>
      <c r="AF39" s="1">
        <v>6.2</v>
      </c>
      <c r="AG39" s="1">
        <v>6</v>
      </c>
      <c r="AH39" s="1">
        <v>6.6</v>
      </c>
      <c r="AI39" s="1">
        <v>14.2</v>
      </c>
      <c r="AJ39" s="1">
        <v>15.4</v>
      </c>
      <c r="AK39" s="1">
        <v>8.1999999999999993</v>
      </c>
      <c r="AL39" s="1">
        <v>4.5999999999999996</v>
      </c>
      <c r="AM39" s="1">
        <v>2.4</v>
      </c>
      <c r="AN39" s="1"/>
      <c r="AO39" s="1">
        <f t="shared" si="16"/>
        <v>12</v>
      </c>
      <c r="AP39" t="s">
        <v>114</v>
      </c>
    </row>
    <row r="40" spans="1:42" x14ac:dyDescent="0.25">
      <c r="A40" s="1" t="s">
        <v>115</v>
      </c>
      <c r="B40" s="1" t="s">
        <v>41</v>
      </c>
      <c r="C40" s="1">
        <v>2.488</v>
      </c>
      <c r="D40" s="1"/>
      <c r="E40" s="1"/>
      <c r="F40" s="1"/>
      <c r="G40" s="7">
        <v>1</v>
      </c>
      <c r="H40" s="1">
        <v>45</v>
      </c>
      <c r="I40" s="1" t="s">
        <v>42</v>
      </c>
      <c r="J40" s="1"/>
      <c r="K40" s="1">
        <v>4.4000000000000004</v>
      </c>
      <c r="L40" s="1">
        <f t="shared" si="13"/>
        <v>-4.4000000000000004</v>
      </c>
      <c r="M40" s="1"/>
      <c r="N40" s="1"/>
      <c r="O40" s="1">
        <v>30</v>
      </c>
      <c r="P40" s="1">
        <v>0</v>
      </c>
      <c r="Q40" s="1"/>
      <c r="R40" s="1"/>
      <c r="S40" s="1">
        <v>30</v>
      </c>
      <c r="T40" s="1"/>
      <c r="U40" s="1"/>
      <c r="V40" s="1">
        <f t="shared" si="14"/>
        <v>0</v>
      </c>
      <c r="W40" s="5">
        <v>20</v>
      </c>
      <c r="X40" s="5">
        <f t="shared" si="12"/>
        <v>20</v>
      </c>
      <c r="Y40" s="5"/>
      <c r="Z40" s="21"/>
      <c r="AA40" s="21"/>
      <c r="AB40" s="1" t="e">
        <f t="shared" si="10"/>
        <v>#DIV/0!</v>
      </c>
      <c r="AC40" s="1" t="e">
        <f t="shared" si="15"/>
        <v>#DIV/0!</v>
      </c>
      <c r="AD40" s="1">
        <v>0</v>
      </c>
      <c r="AE40" s="1">
        <v>0</v>
      </c>
      <c r="AF40" s="1">
        <v>2.0533999999999999</v>
      </c>
      <c r="AG40" s="1">
        <v>4.7110000000000003</v>
      </c>
      <c r="AH40" s="1">
        <v>5.5636000000000001</v>
      </c>
      <c r="AI40" s="1">
        <v>4.6311999999999998</v>
      </c>
      <c r="AJ40" s="1">
        <v>2.2968000000000002</v>
      </c>
      <c r="AK40" s="1">
        <v>2.3052000000000001</v>
      </c>
      <c r="AL40" s="1">
        <v>2.8776000000000002</v>
      </c>
      <c r="AM40" s="1">
        <v>1.722</v>
      </c>
      <c r="AN40" s="1"/>
      <c r="AO40" s="1">
        <f t="shared" si="16"/>
        <v>20</v>
      </c>
      <c r="AP40" t="s">
        <v>116</v>
      </c>
    </row>
    <row r="41" spans="1:42" x14ac:dyDescent="0.25">
      <c r="A41" s="1" t="s">
        <v>117</v>
      </c>
      <c r="B41" s="1" t="s">
        <v>49</v>
      </c>
      <c r="C41" s="1">
        <v>1015</v>
      </c>
      <c r="D41" s="1">
        <v>20</v>
      </c>
      <c r="E41" s="1">
        <v>289</v>
      </c>
      <c r="F41" s="1">
        <v>694</v>
      </c>
      <c r="G41" s="7">
        <v>0.1</v>
      </c>
      <c r="H41" s="1">
        <v>731</v>
      </c>
      <c r="I41" s="1" t="s">
        <v>42</v>
      </c>
      <c r="J41" s="1"/>
      <c r="K41" s="1">
        <v>247</v>
      </c>
      <c r="L41" s="1">
        <f t="shared" si="13"/>
        <v>42</v>
      </c>
      <c r="M41" s="1"/>
      <c r="N41" s="1"/>
      <c r="O41" s="1">
        <v>0</v>
      </c>
      <c r="P41" s="1"/>
      <c r="Q41" s="1"/>
      <c r="R41" s="1"/>
      <c r="S41" s="1">
        <v>0</v>
      </c>
      <c r="T41" s="1"/>
      <c r="U41" s="1"/>
      <c r="V41" s="1">
        <f t="shared" si="14"/>
        <v>57.8</v>
      </c>
      <c r="W41" s="5"/>
      <c r="X41" s="5">
        <f t="shared" si="12"/>
        <v>0</v>
      </c>
      <c r="Y41" s="5"/>
      <c r="Z41" s="21"/>
      <c r="AA41" s="21"/>
      <c r="AB41" s="1">
        <f t="shared" si="10"/>
        <v>12.006920415224915</v>
      </c>
      <c r="AC41" s="1">
        <f t="shared" si="15"/>
        <v>12.006920415224915</v>
      </c>
      <c r="AD41" s="1">
        <v>47.8</v>
      </c>
      <c r="AE41" s="1">
        <v>59.6</v>
      </c>
      <c r="AF41" s="1">
        <v>64.2</v>
      </c>
      <c r="AG41" s="1">
        <v>86</v>
      </c>
      <c r="AH41" s="1">
        <v>87.2</v>
      </c>
      <c r="AI41" s="1">
        <v>66.599999999999994</v>
      </c>
      <c r="AJ41" s="1">
        <v>65.400000000000006</v>
      </c>
      <c r="AK41" s="1">
        <v>37.6</v>
      </c>
      <c r="AL41" s="1">
        <v>47</v>
      </c>
      <c r="AM41" s="1">
        <v>61</v>
      </c>
      <c r="AN41" s="1"/>
      <c r="AO41" s="1">
        <f t="shared" si="16"/>
        <v>0</v>
      </c>
      <c r="AP41" t="s">
        <v>118</v>
      </c>
    </row>
    <row r="42" spans="1:42" x14ac:dyDescent="0.25">
      <c r="A42" s="1" t="s">
        <v>119</v>
      </c>
      <c r="B42" s="1" t="s">
        <v>49</v>
      </c>
      <c r="C42" s="1">
        <v>10</v>
      </c>
      <c r="D42" s="1"/>
      <c r="E42" s="1">
        <v>-4</v>
      </c>
      <c r="F42" s="1">
        <v>5</v>
      </c>
      <c r="G42" s="7">
        <v>0.35</v>
      </c>
      <c r="H42" s="1">
        <v>40</v>
      </c>
      <c r="I42" s="1" t="s">
        <v>42</v>
      </c>
      <c r="J42" s="1"/>
      <c r="K42" s="1">
        <v>98</v>
      </c>
      <c r="L42" s="1">
        <f t="shared" si="13"/>
        <v>-102</v>
      </c>
      <c r="M42" s="1"/>
      <c r="N42" s="1"/>
      <c r="O42" s="1">
        <v>11</v>
      </c>
      <c r="P42" s="1">
        <v>-4.2</v>
      </c>
      <c r="Q42" s="1"/>
      <c r="R42" s="1"/>
      <c r="S42" s="1">
        <v>100</v>
      </c>
      <c r="T42" s="1">
        <v>-102.85714285714286</v>
      </c>
      <c r="U42" s="1"/>
      <c r="V42" s="1">
        <f t="shared" si="14"/>
        <v>-0.8</v>
      </c>
      <c r="W42" s="5">
        <v>100</v>
      </c>
      <c r="X42" s="5">
        <f t="shared" si="12"/>
        <v>100</v>
      </c>
      <c r="Y42" s="5">
        <v>-102.00000000000001</v>
      </c>
      <c r="Z42" s="21"/>
      <c r="AA42" s="21"/>
      <c r="AB42" s="1">
        <f t="shared" si="10"/>
        <v>-264.75</v>
      </c>
      <c r="AC42" s="1">
        <f t="shared" si="15"/>
        <v>-139.75</v>
      </c>
      <c r="AD42" s="1">
        <v>3.8</v>
      </c>
      <c r="AE42" s="1">
        <v>1.4</v>
      </c>
      <c r="AF42" s="1">
        <v>-3</v>
      </c>
      <c r="AG42" s="1">
        <v>5.6</v>
      </c>
      <c r="AH42" s="1">
        <v>29.2</v>
      </c>
      <c r="AI42" s="1">
        <v>53.2</v>
      </c>
      <c r="AJ42" s="1">
        <v>48</v>
      </c>
      <c r="AK42" s="1">
        <v>28</v>
      </c>
      <c r="AL42" s="1">
        <v>33.799999999999997</v>
      </c>
      <c r="AM42" s="1">
        <v>35.200000000000003</v>
      </c>
      <c r="AN42" s="1"/>
      <c r="AO42" s="1">
        <f t="shared" si="16"/>
        <v>35</v>
      </c>
      <c r="AP42" t="s">
        <v>120</v>
      </c>
    </row>
    <row r="43" spans="1:42" x14ac:dyDescent="0.25">
      <c r="A43" s="1" t="s">
        <v>121</v>
      </c>
      <c r="B43" s="1" t="s">
        <v>41</v>
      </c>
      <c r="C43" s="1">
        <v>103.61799999999999</v>
      </c>
      <c r="D43" s="1">
        <v>117.595</v>
      </c>
      <c r="E43" s="1">
        <v>110.137</v>
      </c>
      <c r="F43" s="1">
        <v>92.116</v>
      </c>
      <c r="G43" s="7">
        <v>1</v>
      </c>
      <c r="H43" s="1">
        <v>40</v>
      </c>
      <c r="I43" s="1" t="s">
        <v>42</v>
      </c>
      <c r="J43" s="1"/>
      <c r="K43" s="1">
        <v>115.7</v>
      </c>
      <c r="L43" s="1">
        <f t="shared" si="13"/>
        <v>-5.5630000000000024</v>
      </c>
      <c r="M43" s="1"/>
      <c r="N43" s="1"/>
      <c r="O43" s="1">
        <v>131.11619999999999</v>
      </c>
      <c r="P43" s="1">
        <v>0</v>
      </c>
      <c r="Q43" s="1"/>
      <c r="R43" s="1"/>
      <c r="S43" s="1">
        <v>0</v>
      </c>
      <c r="T43" s="1"/>
      <c r="U43" s="1"/>
      <c r="V43" s="1">
        <f t="shared" si="14"/>
        <v>22.0274</v>
      </c>
      <c r="W43" s="5">
        <f>12*V43-S43-R43-Q43-P43-O43-F43</f>
        <v>41.096600000000009</v>
      </c>
      <c r="X43" s="5">
        <f t="shared" si="12"/>
        <v>41.096600000000009</v>
      </c>
      <c r="Y43" s="5">
        <v>-42</v>
      </c>
      <c r="Z43" s="21"/>
      <c r="AA43" s="21"/>
      <c r="AB43" s="1">
        <f t="shared" si="10"/>
        <v>12</v>
      </c>
      <c r="AC43" s="1">
        <f t="shared" si="15"/>
        <v>10.134296376331296</v>
      </c>
      <c r="AD43" s="1">
        <v>19.802399999999999</v>
      </c>
      <c r="AE43" s="1">
        <v>21.879200000000001</v>
      </c>
      <c r="AF43" s="1">
        <v>21.395800000000001</v>
      </c>
      <c r="AG43" s="1">
        <v>23.605599999999999</v>
      </c>
      <c r="AH43" s="1">
        <v>23.142399999999999</v>
      </c>
      <c r="AI43" s="1">
        <v>25.816199999999998</v>
      </c>
      <c r="AJ43" s="1">
        <v>21.3096</v>
      </c>
      <c r="AK43" s="1">
        <v>20.192399999999999</v>
      </c>
      <c r="AL43" s="1">
        <v>27.465599999999998</v>
      </c>
      <c r="AM43" s="1">
        <v>16.9666</v>
      </c>
      <c r="AN43" s="1"/>
      <c r="AO43" s="1">
        <f t="shared" si="16"/>
        <v>41</v>
      </c>
      <c r="AP43" t="s">
        <v>122</v>
      </c>
    </row>
    <row r="44" spans="1:42" x14ac:dyDescent="0.25">
      <c r="A44" s="1" t="s">
        <v>123</v>
      </c>
      <c r="B44" s="1" t="s">
        <v>49</v>
      </c>
      <c r="C44" s="1">
        <v>28</v>
      </c>
      <c r="D44" s="1">
        <v>6</v>
      </c>
      <c r="E44" s="1">
        <v>31</v>
      </c>
      <c r="F44" s="1">
        <v>1</v>
      </c>
      <c r="G44" s="7">
        <v>0.4</v>
      </c>
      <c r="H44" s="1">
        <v>40</v>
      </c>
      <c r="I44" s="13" t="s">
        <v>91</v>
      </c>
      <c r="J44" s="1"/>
      <c r="K44" s="1">
        <v>75</v>
      </c>
      <c r="L44" s="1">
        <f t="shared" si="13"/>
        <v>-44</v>
      </c>
      <c r="M44" s="1"/>
      <c r="N44" s="1"/>
      <c r="O44" s="1">
        <v>120</v>
      </c>
      <c r="P44" s="1">
        <v>0</v>
      </c>
      <c r="Q44" s="1"/>
      <c r="R44" s="1"/>
      <c r="S44" s="1">
        <v>40</v>
      </c>
      <c r="T44" s="1"/>
      <c r="U44" s="1"/>
      <c r="V44" s="1">
        <f t="shared" si="14"/>
        <v>6.2</v>
      </c>
      <c r="W44" s="5">
        <v>40</v>
      </c>
      <c r="X44" s="5">
        <f t="shared" si="12"/>
        <v>40</v>
      </c>
      <c r="Y44" s="5"/>
      <c r="Z44" s="21"/>
      <c r="AA44" s="21"/>
      <c r="AB44" s="1">
        <f t="shared" si="10"/>
        <v>32.41935483870968</v>
      </c>
      <c r="AC44" s="1">
        <f t="shared" si="15"/>
        <v>25.967741935483872</v>
      </c>
      <c r="AD44" s="1">
        <v>16.399999999999999</v>
      </c>
      <c r="AE44" s="1">
        <v>13.2</v>
      </c>
      <c r="AF44" s="1">
        <v>1</v>
      </c>
      <c r="AG44" s="1">
        <v>0</v>
      </c>
      <c r="AH44" s="1">
        <v>-0.4</v>
      </c>
      <c r="AI44" s="1">
        <v>1.6</v>
      </c>
      <c r="AJ44" s="1">
        <v>15.4</v>
      </c>
      <c r="AK44" s="1">
        <v>26.8</v>
      </c>
      <c r="AL44" s="1">
        <v>22.6</v>
      </c>
      <c r="AM44" s="1">
        <v>12.6</v>
      </c>
      <c r="AN44" s="1"/>
      <c r="AO44" s="1">
        <f t="shared" si="16"/>
        <v>16</v>
      </c>
      <c r="AP44" t="s">
        <v>124</v>
      </c>
    </row>
    <row r="45" spans="1:42" x14ac:dyDescent="0.25">
      <c r="A45" s="1" t="s">
        <v>125</v>
      </c>
      <c r="B45" s="1" t="s">
        <v>49</v>
      </c>
      <c r="C45" s="1">
        <v>191</v>
      </c>
      <c r="D45" s="1">
        <v>6</v>
      </c>
      <c r="E45" s="1">
        <v>109</v>
      </c>
      <c r="F45" s="1">
        <v>73</v>
      </c>
      <c r="G45" s="7">
        <v>0.4</v>
      </c>
      <c r="H45" s="1">
        <v>45</v>
      </c>
      <c r="I45" s="13" t="s">
        <v>91</v>
      </c>
      <c r="J45" s="1"/>
      <c r="K45" s="1">
        <v>112</v>
      </c>
      <c r="L45" s="1">
        <f t="shared" si="13"/>
        <v>-3</v>
      </c>
      <c r="M45" s="1"/>
      <c r="N45" s="1"/>
      <c r="O45" s="1">
        <v>80</v>
      </c>
      <c r="P45" s="1">
        <v>0</v>
      </c>
      <c r="Q45" s="1"/>
      <c r="R45" s="1"/>
      <c r="S45" s="1">
        <v>90</v>
      </c>
      <c r="T45" s="1"/>
      <c r="U45" s="1"/>
      <c r="V45" s="1">
        <f t="shared" si="14"/>
        <v>21.8</v>
      </c>
      <c r="W45" s="5">
        <f>12*V45-S45-R45-Q45-P45-O45-F45</f>
        <v>18.600000000000023</v>
      </c>
      <c r="X45" s="5">
        <f t="shared" si="12"/>
        <v>18.600000000000023</v>
      </c>
      <c r="Y45" s="5"/>
      <c r="Z45" s="21"/>
      <c r="AA45" s="21"/>
      <c r="AB45" s="1">
        <f t="shared" si="10"/>
        <v>12</v>
      </c>
      <c r="AC45" s="1">
        <f t="shared" si="15"/>
        <v>11.146788990825687</v>
      </c>
      <c r="AD45" s="1">
        <v>26.4</v>
      </c>
      <c r="AE45" s="1">
        <v>14.8</v>
      </c>
      <c r="AF45" s="1">
        <v>2.4</v>
      </c>
      <c r="AG45" s="1">
        <v>0</v>
      </c>
      <c r="AH45" s="1">
        <v>18</v>
      </c>
      <c r="AI45" s="1">
        <v>37.6</v>
      </c>
      <c r="AJ45" s="1">
        <v>30.2</v>
      </c>
      <c r="AK45" s="1">
        <v>22.4</v>
      </c>
      <c r="AL45" s="1">
        <v>21.8</v>
      </c>
      <c r="AM45" s="1">
        <v>19.600000000000001</v>
      </c>
      <c r="AN45" s="1"/>
      <c r="AO45" s="1">
        <f t="shared" si="16"/>
        <v>7</v>
      </c>
      <c r="AP45" t="s">
        <v>126</v>
      </c>
    </row>
    <row r="46" spans="1:42" x14ac:dyDescent="0.25">
      <c r="A46" s="9" t="s">
        <v>127</v>
      </c>
      <c r="B46" s="9" t="s">
        <v>41</v>
      </c>
      <c r="C46" s="9">
        <v>3.63</v>
      </c>
      <c r="D46" s="9"/>
      <c r="E46" s="9">
        <v>-2.1829999999999998</v>
      </c>
      <c r="F46" s="9">
        <v>2.2000000000000002</v>
      </c>
      <c r="G46" s="10">
        <v>0</v>
      </c>
      <c r="H46" s="9">
        <v>40</v>
      </c>
      <c r="I46" s="9" t="s">
        <v>84</v>
      </c>
      <c r="J46" s="9"/>
      <c r="K46" s="9">
        <v>30.9</v>
      </c>
      <c r="L46" s="9">
        <f t="shared" si="13"/>
        <v>-33.082999999999998</v>
      </c>
      <c r="M46" s="9"/>
      <c r="N46" s="9"/>
      <c r="O46" s="9">
        <v>0</v>
      </c>
      <c r="P46" s="9"/>
      <c r="Q46" s="9"/>
      <c r="R46" s="9"/>
      <c r="S46" s="9">
        <v>0</v>
      </c>
      <c r="T46" s="9"/>
      <c r="U46" s="9"/>
      <c r="V46" s="9">
        <f t="shared" si="14"/>
        <v>-0.43659999999999999</v>
      </c>
      <c r="W46" s="11"/>
      <c r="X46" s="5">
        <f t="shared" si="12"/>
        <v>0</v>
      </c>
      <c r="Y46" s="5"/>
      <c r="Z46" s="21"/>
      <c r="AA46" s="21"/>
      <c r="AB46" s="1">
        <f t="shared" si="10"/>
        <v>-5.0389372423270737</v>
      </c>
      <c r="AC46" s="9">
        <f t="shared" si="15"/>
        <v>-5.0389372423270737</v>
      </c>
      <c r="AD46" s="9">
        <v>-0.43659999999999999</v>
      </c>
      <c r="AE46" s="9">
        <v>-0.28799999999999998</v>
      </c>
      <c r="AF46" s="9">
        <v>0.14779999999999999</v>
      </c>
      <c r="AG46" s="9">
        <v>9.0436000000000014</v>
      </c>
      <c r="AH46" s="9">
        <v>13.8338</v>
      </c>
      <c r="AI46" s="9">
        <v>14.6386</v>
      </c>
      <c r="AJ46" s="9">
        <v>12.710599999999999</v>
      </c>
      <c r="AK46" s="9">
        <v>6.6037999999999997</v>
      </c>
      <c r="AL46" s="9">
        <v>9.2596000000000007</v>
      </c>
      <c r="AM46" s="9">
        <v>9.5682000000000009</v>
      </c>
      <c r="AN46" s="9"/>
      <c r="AO46" s="1">
        <f t="shared" si="16"/>
        <v>0</v>
      </c>
      <c r="AP46" t="s">
        <v>128</v>
      </c>
    </row>
    <row r="47" spans="1:42" x14ac:dyDescent="0.25">
      <c r="A47" s="1" t="s">
        <v>129</v>
      </c>
      <c r="B47" s="1" t="s">
        <v>41</v>
      </c>
      <c r="C47" s="1">
        <v>193.14599999999999</v>
      </c>
      <c r="D47" s="1">
        <v>47.814999999999998</v>
      </c>
      <c r="E47" s="1">
        <v>104.639</v>
      </c>
      <c r="F47" s="1">
        <v>116.729</v>
      </c>
      <c r="G47" s="7">
        <v>1</v>
      </c>
      <c r="H47" s="1">
        <v>40</v>
      </c>
      <c r="I47" s="1" t="s">
        <v>42</v>
      </c>
      <c r="J47" s="1"/>
      <c r="K47" s="1">
        <v>105.8</v>
      </c>
      <c r="L47" s="1">
        <f t="shared" si="13"/>
        <v>-1.1610000000000014</v>
      </c>
      <c r="M47" s="1"/>
      <c r="N47" s="1"/>
      <c r="O47" s="1">
        <v>45.519800000000018</v>
      </c>
      <c r="P47" s="1">
        <v>0</v>
      </c>
      <c r="Q47" s="1"/>
      <c r="R47" s="1"/>
      <c r="S47" s="1">
        <v>0</v>
      </c>
      <c r="T47" s="1"/>
      <c r="U47" s="1"/>
      <c r="V47" s="1">
        <f t="shared" si="14"/>
        <v>20.927799999999998</v>
      </c>
      <c r="W47" s="5">
        <f>12*V47-S47-R47-Q47-P47-O47-F47</f>
        <v>88.88479999999997</v>
      </c>
      <c r="X47" s="5">
        <f t="shared" si="12"/>
        <v>88.88479999999997</v>
      </c>
      <c r="Y47" s="5">
        <v>-92.4</v>
      </c>
      <c r="Z47" s="21"/>
      <c r="AA47" s="21"/>
      <c r="AB47" s="1">
        <f t="shared" si="10"/>
        <v>12.000000000000002</v>
      </c>
      <c r="AC47" s="1">
        <f t="shared" si="15"/>
        <v>7.7527881573791815</v>
      </c>
      <c r="AD47" s="1">
        <v>16.421600000000002</v>
      </c>
      <c r="AE47" s="1">
        <v>18.161000000000001</v>
      </c>
      <c r="AF47" s="1">
        <v>19.6008</v>
      </c>
      <c r="AG47" s="1">
        <v>24.483599999999999</v>
      </c>
      <c r="AH47" s="1">
        <v>29.43</v>
      </c>
      <c r="AI47" s="1">
        <v>32.792200000000001</v>
      </c>
      <c r="AJ47" s="1">
        <v>25.5106</v>
      </c>
      <c r="AK47" s="1">
        <v>21.378599999999999</v>
      </c>
      <c r="AL47" s="1">
        <v>28.646000000000001</v>
      </c>
      <c r="AM47" s="1">
        <v>20.747199999999999</v>
      </c>
      <c r="AN47" s="1"/>
      <c r="AO47" s="1">
        <f t="shared" si="16"/>
        <v>89</v>
      </c>
      <c r="AP47" t="s">
        <v>130</v>
      </c>
    </row>
    <row r="48" spans="1:42" x14ac:dyDescent="0.25">
      <c r="A48" s="1" t="s">
        <v>131</v>
      </c>
      <c r="B48" s="1" t="s">
        <v>49</v>
      </c>
      <c r="C48" s="1">
        <v>826</v>
      </c>
      <c r="D48" s="1">
        <v>133</v>
      </c>
      <c r="E48" s="1">
        <v>445</v>
      </c>
      <c r="F48" s="1">
        <v>401</v>
      </c>
      <c r="G48" s="7">
        <v>0.35</v>
      </c>
      <c r="H48" s="1">
        <v>40</v>
      </c>
      <c r="I48" s="1" t="s">
        <v>42</v>
      </c>
      <c r="J48" s="1"/>
      <c r="K48" s="1">
        <v>460</v>
      </c>
      <c r="L48" s="1">
        <f t="shared" si="13"/>
        <v>-15</v>
      </c>
      <c r="M48" s="1"/>
      <c r="N48" s="1"/>
      <c r="O48" s="1">
        <v>0</v>
      </c>
      <c r="P48" s="1"/>
      <c r="Q48" s="1"/>
      <c r="R48" s="1"/>
      <c r="S48" s="1">
        <v>70.799999999999955</v>
      </c>
      <c r="T48" s="1"/>
      <c r="U48" s="1"/>
      <c r="V48" s="1">
        <f t="shared" si="14"/>
        <v>89</v>
      </c>
      <c r="W48" s="5">
        <f>12*V48-S48-R48-Q48-P48-O48-F48</f>
        <v>596.20000000000005</v>
      </c>
      <c r="X48" s="5">
        <f>W48+$X$1*V48</f>
        <v>537.46</v>
      </c>
      <c r="Y48" s="5">
        <v>-540</v>
      </c>
      <c r="Z48" s="21"/>
      <c r="AA48" s="21"/>
      <c r="AB48" s="1">
        <f t="shared" si="10"/>
        <v>11.34</v>
      </c>
      <c r="AC48" s="1">
        <f t="shared" si="15"/>
        <v>5.3011235955056177</v>
      </c>
      <c r="AD48" s="1">
        <v>59.8</v>
      </c>
      <c r="AE48" s="1">
        <v>29.4</v>
      </c>
      <c r="AF48" s="1">
        <v>28.2</v>
      </c>
      <c r="AG48" s="1">
        <v>68</v>
      </c>
      <c r="AH48" s="1">
        <v>90.8</v>
      </c>
      <c r="AI48" s="1">
        <v>100.4</v>
      </c>
      <c r="AJ48" s="1">
        <v>88.8</v>
      </c>
      <c r="AK48" s="1">
        <v>72.599999999999994</v>
      </c>
      <c r="AL48" s="1">
        <v>95.6</v>
      </c>
      <c r="AM48" s="1">
        <v>83</v>
      </c>
      <c r="AN48" s="1"/>
      <c r="AO48" s="1">
        <f t="shared" si="16"/>
        <v>188</v>
      </c>
      <c r="AP48" t="s">
        <v>132</v>
      </c>
    </row>
    <row r="49" spans="1:42" x14ac:dyDescent="0.25">
      <c r="A49" s="1" t="s">
        <v>133</v>
      </c>
      <c r="B49" s="1" t="s">
        <v>49</v>
      </c>
      <c r="C49" s="1">
        <v>170</v>
      </c>
      <c r="D49" s="1">
        <v>6</v>
      </c>
      <c r="E49" s="1">
        <v>168</v>
      </c>
      <c r="F49" s="1">
        <v>6</v>
      </c>
      <c r="G49" s="7">
        <v>0.4</v>
      </c>
      <c r="H49" s="1">
        <v>40</v>
      </c>
      <c r="I49" s="13" t="s">
        <v>91</v>
      </c>
      <c r="J49" s="1"/>
      <c r="K49" s="1">
        <v>258</v>
      </c>
      <c r="L49" s="1">
        <f t="shared" si="13"/>
        <v>-90</v>
      </c>
      <c r="M49" s="1"/>
      <c r="N49" s="1"/>
      <c r="O49" s="1">
        <v>200</v>
      </c>
      <c r="P49" s="1">
        <v>0</v>
      </c>
      <c r="Q49" s="1"/>
      <c r="R49" s="1"/>
      <c r="S49" s="1">
        <v>192.83199999999999</v>
      </c>
      <c r="T49" s="1"/>
      <c r="U49" s="1"/>
      <c r="V49" s="1">
        <f t="shared" si="14"/>
        <v>33.6</v>
      </c>
      <c r="W49" s="5">
        <v>50</v>
      </c>
      <c r="X49" s="5">
        <f t="shared" ref="X49:X56" si="17">W49</f>
        <v>50</v>
      </c>
      <c r="Y49" s="5"/>
      <c r="Z49" s="21"/>
      <c r="AA49" s="21"/>
      <c r="AB49" s="1">
        <f t="shared" si="10"/>
        <v>13.358095238095236</v>
      </c>
      <c r="AC49" s="1">
        <f t="shared" si="15"/>
        <v>11.87</v>
      </c>
      <c r="AD49" s="1">
        <v>70.400000000000006</v>
      </c>
      <c r="AE49" s="1">
        <v>38.799999999999997</v>
      </c>
      <c r="AF49" s="1">
        <v>-0.4</v>
      </c>
      <c r="AG49" s="1">
        <v>4.8</v>
      </c>
      <c r="AH49" s="1">
        <v>60.6</v>
      </c>
      <c r="AI49" s="1">
        <v>80.400000000000006</v>
      </c>
      <c r="AJ49" s="1">
        <v>31</v>
      </c>
      <c r="AK49" s="1">
        <v>47</v>
      </c>
      <c r="AL49" s="1">
        <v>79.599999999999994</v>
      </c>
      <c r="AM49" s="1">
        <v>60</v>
      </c>
      <c r="AN49" s="1"/>
      <c r="AO49" s="1">
        <f t="shared" si="16"/>
        <v>20</v>
      </c>
      <c r="AP49" t="s">
        <v>134</v>
      </c>
    </row>
    <row r="50" spans="1:42" x14ac:dyDescent="0.25">
      <c r="A50" s="1" t="s">
        <v>135</v>
      </c>
      <c r="B50" s="1" t="s">
        <v>41</v>
      </c>
      <c r="C50" s="1">
        <v>70.408000000000001</v>
      </c>
      <c r="D50" s="1">
        <v>110.491</v>
      </c>
      <c r="E50" s="1">
        <v>41.866</v>
      </c>
      <c r="F50" s="1">
        <v>136.06100000000001</v>
      </c>
      <c r="G50" s="7">
        <v>1</v>
      </c>
      <c r="H50" s="1">
        <v>50</v>
      </c>
      <c r="I50" s="1" t="s">
        <v>42</v>
      </c>
      <c r="J50" s="1"/>
      <c r="K50" s="1">
        <v>39.299999999999997</v>
      </c>
      <c r="L50" s="1">
        <f t="shared" si="13"/>
        <v>2.5660000000000025</v>
      </c>
      <c r="M50" s="1"/>
      <c r="N50" s="1"/>
      <c r="O50" s="1">
        <v>0</v>
      </c>
      <c r="P50" s="1"/>
      <c r="Q50" s="1"/>
      <c r="R50" s="1"/>
      <c r="S50" s="1">
        <v>0</v>
      </c>
      <c r="T50" s="1"/>
      <c r="U50" s="1"/>
      <c r="V50" s="1">
        <f t="shared" si="14"/>
        <v>8.3732000000000006</v>
      </c>
      <c r="W50" s="5"/>
      <c r="X50" s="5">
        <f t="shared" si="17"/>
        <v>0</v>
      </c>
      <c r="Y50" s="5"/>
      <c r="Z50" s="21"/>
      <c r="AA50" s="21"/>
      <c r="AB50" s="1">
        <f t="shared" si="10"/>
        <v>16.249581999713371</v>
      </c>
      <c r="AC50" s="1">
        <f t="shared" si="15"/>
        <v>16.249581999713371</v>
      </c>
      <c r="AD50" s="1">
        <v>5.0987999999999998</v>
      </c>
      <c r="AE50" s="1">
        <v>3.4666000000000001</v>
      </c>
      <c r="AF50" s="1">
        <v>8.6292000000000009</v>
      </c>
      <c r="AG50" s="1">
        <v>14.634600000000001</v>
      </c>
      <c r="AH50" s="1">
        <v>11.626799999999999</v>
      </c>
      <c r="AI50" s="1">
        <v>6.9311999999999996</v>
      </c>
      <c r="AJ50" s="1">
        <v>5.5941999999999998</v>
      </c>
      <c r="AK50" s="1">
        <v>8.6849999999999987</v>
      </c>
      <c r="AL50" s="1">
        <v>11.409000000000001</v>
      </c>
      <c r="AM50" s="1">
        <v>5.1622000000000003</v>
      </c>
      <c r="AN50" s="15" t="s">
        <v>136</v>
      </c>
      <c r="AO50" s="1">
        <f t="shared" si="16"/>
        <v>0</v>
      </c>
      <c r="AP50" t="s">
        <v>137</v>
      </c>
    </row>
    <row r="51" spans="1:42" x14ac:dyDescent="0.25">
      <c r="A51" s="1" t="s">
        <v>138</v>
      </c>
      <c r="B51" s="1" t="s">
        <v>41</v>
      </c>
      <c r="C51" s="1">
        <v>239.66900000000001</v>
      </c>
      <c r="D51" s="1">
        <v>2.6880000000000002</v>
      </c>
      <c r="E51" s="1">
        <v>106.001</v>
      </c>
      <c r="F51" s="1">
        <v>127.965</v>
      </c>
      <c r="G51" s="7">
        <v>1</v>
      </c>
      <c r="H51" s="1">
        <v>50</v>
      </c>
      <c r="I51" s="1" t="s">
        <v>42</v>
      </c>
      <c r="J51" s="1"/>
      <c r="K51" s="1">
        <v>95.8</v>
      </c>
      <c r="L51" s="1">
        <f t="shared" si="13"/>
        <v>10.201000000000008</v>
      </c>
      <c r="M51" s="1"/>
      <c r="N51" s="1"/>
      <c r="O51" s="1">
        <v>70.564000000000021</v>
      </c>
      <c r="P51" s="1">
        <v>0</v>
      </c>
      <c r="Q51" s="1"/>
      <c r="R51" s="1"/>
      <c r="S51" s="1">
        <v>0</v>
      </c>
      <c r="T51" s="1"/>
      <c r="U51" s="1"/>
      <c r="V51" s="1">
        <f t="shared" si="14"/>
        <v>21.200200000000002</v>
      </c>
      <c r="W51" s="5">
        <f>12*V51-S51-R51-Q51-P51-O51-F51</f>
        <v>55.873400000000004</v>
      </c>
      <c r="X51" s="5">
        <f t="shared" si="17"/>
        <v>55.873400000000004</v>
      </c>
      <c r="Y51" s="5"/>
      <c r="Z51" s="21"/>
      <c r="AA51" s="21"/>
      <c r="AB51" s="1">
        <f t="shared" si="10"/>
        <v>12</v>
      </c>
      <c r="AC51" s="1">
        <f t="shared" si="15"/>
        <v>9.3644871274799293</v>
      </c>
      <c r="AD51" s="1">
        <v>14.8202</v>
      </c>
      <c r="AE51" s="1">
        <v>20.593</v>
      </c>
      <c r="AF51" s="1">
        <v>27.026800000000001</v>
      </c>
      <c r="AG51" s="1">
        <v>24.317599999999999</v>
      </c>
      <c r="AH51" s="1">
        <v>22.387</v>
      </c>
      <c r="AI51" s="1">
        <v>17.299399999999999</v>
      </c>
      <c r="AJ51" s="1">
        <v>20.2286</v>
      </c>
      <c r="AK51" s="1">
        <v>30.904399999999999</v>
      </c>
      <c r="AL51" s="1">
        <v>32.477800000000002</v>
      </c>
      <c r="AM51" s="1">
        <v>18.959</v>
      </c>
      <c r="AN51" s="1"/>
      <c r="AO51" s="1">
        <f t="shared" si="16"/>
        <v>56</v>
      </c>
      <c r="AP51" t="s">
        <v>139</v>
      </c>
    </row>
    <row r="52" spans="1:42" x14ac:dyDescent="0.25">
      <c r="A52" s="1" t="s">
        <v>140</v>
      </c>
      <c r="B52" s="1" t="s">
        <v>41</v>
      </c>
      <c r="C52" s="1">
        <v>11.65</v>
      </c>
      <c r="D52" s="1"/>
      <c r="E52" s="1">
        <v>2.8969999999999998</v>
      </c>
      <c r="F52" s="1">
        <v>-0.125</v>
      </c>
      <c r="G52" s="7">
        <v>1</v>
      </c>
      <c r="H52" s="1">
        <v>45</v>
      </c>
      <c r="I52" s="13" t="s">
        <v>91</v>
      </c>
      <c r="J52" s="1"/>
      <c r="K52" s="1">
        <v>23.4</v>
      </c>
      <c r="L52" s="1">
        <f t="shared" si="13"/>
        <v>-20.503</v>
      </c>
      <c r="M52" s="1"/>
      <c r="N52" s="1"/>
      <c r="O52" s="1">
        <v>300</v>
      </c>
      <c r="P52" s="1">
        <v>-306</v>
      </c>
      <c r="Q52" s="1"/>
      <c r="R52" s="1"/>
      <c r="S52" s="1">
        <v>137.17553000000001</v>
      </c>
      <c r="T52" s="1">
        <v>-144</v>
      </c>
      <c r="U52" s="1"/>
      <c r="V52" s="1">
        <f t="shared" si="14"/>
        <v>0.57939999999999992</v>
      </c>
      <c r="W52" s="5">
        <v>80</v>
      </c>
      <c r="X52" s="5">
        <f t="shared" si="17"/>
        <v>80</v>
      </c>
      <c r="Y52" s="5">
        <v>-81</v>
      </c>
      <c r="Z52" s="21"/>
      <c r="AA52" s="21"/>
      <c r="AB52" s="1">
        <f t="shared" si="10"/>
        <v>364.25704176734558</v>
      </c>
      <c r="AC52" s="1">
        <f t="shared" si="15"/>
        <v>226.18317224715227</v>
      </c>
      <c r="AD52" s="1">
        <v>19.140999999999998</v>
      </c>
      <c r="AE52" s="1">
        <v>23.854800000000001</v>
      </c>
      <c r="AF52" s="1">
        <v>5.6736000000000004</v>
      </c>
      <c r="AG52" s="1">
        <v>9.59</v>
      </c>
      <c r="AH52" s="1">
        <v>25.247399999999999</v>
      </c>
      <c r="AI52" s="1">
        <v>16.625399999999999</v>
      </c>
      <c r="AJ52" s="1">
        <v>0.30599999999999999</v>
      </c>
      <c r="AK52" s="1">
        <v>1.5204</v>
      </c>
      <c r="AL52" s="1">
        <v>10.6396</v>
      </c>
      <c r="AM52" s="1">
        <v>9.4252000000000002</v>
      </c>
      <c r="AN52" s="1"/>
      <c r="AO52" s="1">
        <f t="shared" si="16"/>
        <v>80</v>
      </c>
      <c r="AP52" t="s">
        <v>141</v>
      </c>
    </row>
    <row r="53" spans="1:42" x14ac:dyDescent="0.25">
      <c r="A53" s="1" t="s">
        <v>142</v>
      </c>
      <c r="B53" s="1" t="s">
        <v>49</v>
      </c>
      <c r="C53" s="1">
        <v>196</v>
      </c>
      <c r="D53" s="1">
        <v>53</v>
      </c>
      <c r="E53" s="1">
        <v>98</v>
      </c>
      <c r="F53" s="1">
        <v>128</v>
      </c>
      <c r="G53" s="7">
        <v>0.45</v>
      </c>
      <c r="H53" s="1">
        <v>50</v>
      </c>
      <c r="I53" s="1" t="s">
        <v>42</v>
      </c>
      <c r="J53" s="1"/>
      <c r="K53" s="1">
        <v>103</v>
      </c>
      <c r="L53" s="1">
        <f t="shared" si="13"/>
        <v>-5</v>
      </c>
      <c r="M53" s="1"/>
      <c r="N53" s="1"/>
      <c r="O53" s="1">
        <v>95.600000000000051</v>
      </c>
      <c r="P53" s="1">
        <v>0</v>
      </c>
      <c r="Q53" s="1"/>
      <c r="R53" s="1"/>
      <c r="S53" s="1">
        <v>0</v>
      </c>
      <c r="T53" s="1"/>
      <c r="U53" s="1"/>
      <c r="V53" s="1">
        <f t="shared" si="14"/>
        <v>19.600000000000001</v>
      </c>
      <c r="W53" s="5">
        <f>12*V53-S53-R53-Q53-P53-O53-F53</f>
        <v>11.599999999999966</v>
      </c>
      <c r="X53" s="5">
        <f t="shared" si="17"/>
        <v>11.599999999999966</v>
      </c>
      <c r="Y53" s="5"/>
      <c r="Z53" s="21"/>
      <c r="AA53" s="21"/>
      <c r="AB53" s="1">
        <f t="shared" si="10"/>
        <v>12</v>
      </c>
      <c r="AC53" s="1">
        <f t="shared" si="15"/>
        <v>11.408163265306124</v>
      </c>
      <c r="AD53" s="1">
        <v>21.8</v>
      </c>
      <c r="AE53" s="1">
        <v>20.2</v>
      </c>
      <c r="AF53" s="1">
        <v>25.4</v>
      </c>
      <c r="AG53" s="1">
        <v>24.4</v>
      </c>
      <c r="AH53" s="1">
        <v>20.8</v>
      </c>
      <c r="AI53" s="1">
        <v>31</v>
      </c>
      <c r="AJ53" s="1">
        <v>31.8</v>
      </c>
      <c r="AK53" s="1">
        <v>22.2</v>
      </c>
      <c r="AL53" s="1">
        <v>21.8</v>
      </c>
      <c r="AM53" s="1">
        <v>22.8</v>
      </c>
      <c r="AN53" s="1"/>
      <c r="AO53" s="1">
        <f t="shared" si="16"/>
        <v>5</v>
      </c>
      <c r="AP53" t="s">
        <v>143</v>
      </c>
    </row>
    <row r="54" spans="1:42" x14ac:dyDescent="0.25">
      <c r="A54" s="1" t="s">
        <v>144</v>
      </c>
      <c r="B54" s="1" t="s">
        <v>49</v>
      </c>
      <c r="C54" s="1">
        <v>412</v>
      </c>
      <c r="D54" s="1">
        <v>200</v>
      </c>
      <c r="E54" s="1">
        <v>120</v>
      </c>
      <c r="F54" s="1">
        <v>478</v>
      </c>
      <c r="G54" s="7">
        <v>0.45</v>
      </c>
      <c r="H54" s="1">
        <v>50</v>
      </c>
      <c r="I54" s="1" t="s">
        <v>42</v>
      </c>
      <c r="J54" s="1"/>
      <c r="K54" s="1">
        <v>130</v>
      </c>
      <c r="L54" s="1">
        <f t="shared" si="13"/>
        <v>-10</v>
      </c>
      <c r="M54" s="1"/>
      <c r="N54" s="1"/>
      <c r="O54" s="1">
        <v>0</v>
      </c>
      <c r="P54" s="1"/>
      <c r="Q54" s="1"/>
      <c r="R54" s="1"/>
      <c r="S54" s="1">
        <v>0</v>
      </c>
      <c r="T54" s="1"/>
      <c r="U54" s="1"/>
      <c r="V54" s="1">
        <f t="shared" si="14"/>
        <v>24</v>
      </c>
      <c r="W54" s="5"/>
      <c r="X54" s="5">
        <f t="shared" si="17"/>
        <v>0</v>
      </c>
      <c r="Y54" s="5"/>
      <c r="Z54" s="21"/>
      <c r="AA54" s="21"/>
      <c r="AB54" s="1">
        <f t="shared" si="10"/>
        <v>19.916666666666668</v>
      </c>
      <c r="AC54" s="1">
        <f t="shared" si="15"/>
        <v>19.916666666666668</v>
      </c>
      <c r="AD54" s="1">
        <v>25.8</v>
      </c>
      <c r="AE54" s="1">
        <v>20.8</v>
      </c>
      <c r="AF54" s="1">
        <v>32.200000000000003</v>
      </c>
      <c r="AG54" s="1">
        <v>52.2</v>
      </c>
      <c r="AH54" s="1">
        <v>55.2</v>
      </c>
      <c r="AI54" s="1">
        <v>40.4</v>
      </c>
      <c r="AJ54" s="1">
        <v>26.6</v>
      </c>
      <c r="AK54" s="1">
        <v>33.4</v>
      </c>
      <c r="AL54" s="1">
        <v>48.6</v>
      </c>
      <c r="AM54" s="1">
        <v>40.6</v>
      </c>
      <c r="AN54" s="15" t="s">
        <v>136</v>
      </c>
      <c r="AO54" s="1">
        <f t="shared" si="16"/>
        <v>0</v>
      </c>
      <c r="AP54" t="s">
        <v>145</v>
      </c>
    </row>
    <row r="55" spans="1:42" x14ac:dyDescent="0.25">
      <c r="A55" s="1" t="s">
        <v>146</v>
      </c>
      <c r="B55" s="1" t="s">
        <v>49</v>
      </c>
      <c r="C55" s="1">
        <v>162</v>
      </c>
      <c r="D55" s="1">
        <v>1</v>
      </c>
      <c r="E55" s="1">
        <v>116</v>
      </c>
      <c r="F55" s="1">
        <v>35</v>
      </c>
      <c r="G55" s="7">
        <v>0.4</v>
      </c>
      <c r="H55" s="1">
        <v>40</v>
      </c>
      <c r="I55" s="1" t="s">
        <v>42</v>
      </c>
      <c r="J55" s="1"/>
      <c r="K55" s="1">
        <v>118</v>
      </c>
      <c r="L55" s="1">
        <f t="shared" si="13"/>
        <v>-2</v>
      </c>
      <c r="M55" s="1"/>
      <c r="N55" s="1"/>
      <c r="O55" s="1">
        <v>96.000000000000028</v>
      </c>
      <c r="P55" s="1">
        <v>0</v>
      </c>
      <c r="Q55" s="1"/>
      <c r="R55" s="1"/>
      <c r="S55" s="1">
        <v>63.399999999999949</v>
      </c>
      <c r="T55" s="1"/>
      <c r="U55" s="1"/>
      <c r="V55" s="1">
        <f t="shared" si="14"/>
        <v>23.2</v>
      </c>
      <c r="W55" s="5">
        <f>12*V55-S55-R55-Q55-P55-O55-F55</f>
        <v>84</v>
      </c>
      <c r="X55" s="5">
        <f t="shared" si="17"/>
        <v>84</v>
      </c>
      <c r="Y55" s="5">
        <v>-90</v>
      </c>
      <c r="Z55" s="21"/>
      <c r="AA55" s="21"/>
      <c r="AB55" s="1">
        <f t="shared" si="10"/>
        <v>12</v>
      </c>
      <c r="AC55" s="1">
        <f t="shared" si="15"/>
        <v>8.3793103448275854</v>
      </c>
      <c r="AD55" s="1">
        <v>22.4</v>
      </c>
      <c r="AE55" s="1">
        <v>14.8</v>
      </c>
      <c r="AF55" s="1">
        <v>21.2</v>
      </c>
      <c r="AG55" s="1">
        <v>21.8</v>
      </c>
      <c r="AH55" s="1">
        <v>20.2</v>
      </c>
      <c r="AI55" s="1">
        <v>32.6</v>
      </c>
      <c r="AJ55" s="1">
        <v>27.8</v>
      </c>
      <c r="AK55" s="1">
        <v>19</v>
      </c>
      <c r="AL55" s="1">
        <v>19</v>
      </c>
      <c r="AM55" s="1">
        <v>9.1999999999999993</v>
      </c>
      <c r="AN55" s="1"/>
      <c r="AO55" s="1">
        <f t="shared" si="16"/>
        <v>34</v>
      </c>
      <c r="AP55" t="s">
        <v>147</v>
      </c>
    </row>
    <row r="56" spans="1:42" x14ac:dyDescent="0.25">
      <c r="A56" s="1" t="s">
        <v>148</v>
      </c>
      <c r="B56" s="1" t="s">
        <v>49</v>
      </c>
      <c r="C56" s="1">
        <v>125</v>
      </c>
      <c r="D56" s="1">
        <v>7</v>
      </c>
      <c r="E56" s="1">
        <v>104</v>
      </c>
      <c r="F56" s="1">
        <v>15</v>
      </c>
      <c r="G56" s="7">
        <v>0.4</v>
      </c>
      <c r="H56" s="1">
        <v>40</v>
      </c>
      <c r="I56" s="13" t="s">
        <v>91</v>
      </c>
      <c r="J56" s="1"/>
      <c r="K56" s="1">
        <v>103</v>
      </c>
      <c r="L56" s="1">
        <f t="shared" si="13"/>
        <v>1</v>
      </c>
      <c r="M56" s="1"/>
      <c r="N56" s="1"/>
      <c r="O56" s="1">
        <v>80</v>
      </c>
      <c r="P56" s="1">
        <v>0</v>
      </c>
      <c r="Q56" s="1"/>
      <c r="R56" s="1"/>
      <c r="S56" s="1">
        <v>102.982</v>
      </c>
      <c r="T56" s="1"/>
      <c r="U56" s="1"/>
      <c r="V56" s="1">
        <f t="shared" si="14"/>
        <v>20.8</v>
      </c>
      <c r="W56" s="5">
        <f>12*V56-S56-R56-Q56-P56-O56-F56</f>
        <v>51.618000000000023</v>
      </c>
      <c r="X56" s="5">
        <f t="shared" si="17"/>
        <v>51.618000000000023</v>
      </c>
      <c r="Y56" s="5"/>
      <c r="Z56" s="21"/>
      <c r="AA56" s="21"/>
      <c r="AB56" s="1">
        <f t="shared" si="10"/>
        <v>12</v>
      </c>
      <c r="AC56" s="1">
        <f t="shared" si="15"/>
        <v>9.5183653846153842</v>
      </c>
      <c r="AD56" s="1">
        <v>25.4</v>
      </c>
      <c r="AE56" s="1">
        <v>15.6</v>
      </c>
      <c r="AF56" s="1">
        <v>12.8</v>
      </c>
      <c r="AG56" s="1">
        <v>14.4</v>
      </c>
      <c r="AH56" s="1">
        <v>16.600000000000001</v>
      </c>
      <c r="AI56" s="1">
        <v>31.6</v>
      </c>
      <c r="AJ56" s="1">
        <v>18.2</v>
      </c>
      <c r="AK56" s="1">
        <v>-0.8</v>
      </c>
      <c r="AL56" s="1">
        <v>8.8000000000000007</v>
      </c>
      <c r="AM56" s="1">
        <v>15.6</v>
      </c>
      <c r="AN56" s="1"/>
      <c r="AO56" s="1">
        <f t="shared" si="16"/>
        <v>21</v>
      </c>
      <c r="AP56" t="s">
        <v>149</v>
      </c>
    </row>
    <row r="57" spans="1:42" x14ac:dyDescent="0.25">
      <c r="A57" s="1" t="s">
        <v>150</v>
      </c>
      <c r="B57" s="1" t="s">
        <v>41</v>
      </c>
      <c r="C57" s="1">
        <v>77.606999999999999</v>
      </c>
      <c r="D57" s="1">
        <v>132.99100000000001</v>
      </c>
      <c r="E57" s="1">
        <v>94.585999999999999</v>
      </c>
      <c r="F57" s="1">
        <v>105.065</v>
      </c>
      <c r="G57" s="7">
        <v>1</v>
      </c>
      <c r="H57" s="1">
        <v>50</v>
      </c>
      <c r="I57" s="1" t="s">
        <v>42</v>
      </c>
      <c r="J57" s="1"/>
      <c r="K57" s="1">
        <v>91.9</v>
      </c>
      <c r="L57" s="1">
        <f t="shared" si="13"/>
        <v>2.6859999999999928</v>
      </c>
      <c r="M57" s="1"/>
      <c r="N57" s="1"/>
      <c r="O57" s="1">
        <v>19.71</v>
      </c>
      <c r="P57" s="1">
        <v>0</v>
      </c>
      <c r="Q57" s="1"/>
      <c r="R57" s="1"/>
      <c r="S57" s="1">
        <v>0</v>
      </c>
      <c r="T57" s="1"/>
      <c r="U57" s="1"/>
      <c r="V57" s="1">
        <f t="shared" si="14"/>
        <v>18.917200000000001</v>
      </c>
      <c r="W57" s="5">
        <f>12*V57-S57-R57-Q57-P57-O57-F57</f>
        <v>102.23140000000001</v>
      </c>
      <c r="X57" s="5">
        <f>W57+$X$1*V57</f>
        <v>89.746048000000002</v>
      </c>
      <c r="Y57" s="5"/>
      <c r="Z57" s="21"/>
      <c r="AA57" s="21"/>
      <c r="AB57" s="1">
        <f t="shared" si="10"/>
        <v>11.34</v>
      </c>
      <c r="AC57" s="1">
        <f t="shared" si="15"/>
        <v>6.5958492800202988</v>
      </c>
      <c r="AD57" s="1">
        <v>14.224399999999999</v>
      </c>
      <c r="AE57" s="1">
        <v>14.7386</v>
      </c>
      <c r="AF57" s="1">
        <v>21.672000000000001</v>
      </c>
      <c r="AG57" s="1">
        <v>21.163</v>
      </c>
      <c r="AH57" s="1">
        <v>17.197600000000001</v>
      </c>
      <c r="AI57" s="1">
        <v>18.852</v>
      </c>
      <c r="AJ57" s="1">
        <v>18.622800000000002</v>
      </c>
      <c r="AK57" s="1">
        <v>15.298999999999999</v>
      </c>
      <c r="AL57" s="1">
        <v>19.466200000000001</v>
      </c>
      <c r="AM57" s="1">
        <v>19.613600000000002</v>
      </c>
      <c r="AN57" s="1"/>
      <c r="AO57" s="1">
        <f t="shared" si="16"/>
        <v>90</v>
      </c>
      <c r="AP57" t="s">
        <v>151</v>
      </c>
    </row>
    <row r="58" spans="1:42" x14ac:dyDescent="0.25">
      <c r="A58" s="1" t="s">
        <v>152</v>
      </c>
      <c r="B58" s="1" t="s">
        <v>49</v>
      </c>
      <c r="C58" s="1">
        <v>106</v>
      </c>
      <c r="D58" s="1">
        <v>301</v>
      </c>
      <c r="E58" s="1">
        <v>128</v>
      </c>
      <c r="F58" s="1">
        <v>227</v>
      </c>
      <c r="G58" s="7">
        <v>0.1</v>
      </c>
      <c r="H58" s="1">
        <v>731</v>
      </c>
      <c r="I58" s="1" t="s">
        <v>42</v>
      </c>
      <c r="J58" s="1"/>
      <c r="K58" s="1">
        <v>118</v>
      </c>
      <c r="L58" s="1">
        <f t="shared" si="13"/>
        <v>10</v>
      </c>
      <c r="M58" s="1"/>
      <c r="N58" s="1"/>
      <c r="O58" s="1">
        <v>267.00000000000011</v>
      </c>
      <c r="P58" s="1">
        <v>0</v>
      </c>
      <c r="Q58" s="1"/>
      <c r="R58" s="1"/>
      <c r="S58" s="1">
        <v>0</v>
      </c>
      <c r="T58" s="1"/>
      <c r="U58" s="1"/>
      <c r="V58" s="1">
        <f t="shared" si="14"/>
        <v>25.6</v>
      </c>
      <c r="W58" s="5"/>
      <c r="X58" s="5">
        <f t="shared" ref="X58:X68" si="18">W58</f>
        <v>0</v>
      </c>
      <c r="Y58" s="5"/>
      <c r="Z58" s="21"/>
      <c r="AA58" s="21"/>
      <c r="AB58" s="1">
        <f t="shared" si="10"/>
        <v>19.296875000000004</v>
      </c>
      <c r="AC58" s="1">
        <f t="shared" si="15"/>
        <v>19.296875000000004</v>
      </c>
      <c r="AD58" s="1">
        <v>16.2</v>
      </c>
      <c r="AE58" s="1">
        <v>44</v>
      </c>
      <c r="AF58" s="1">
        <v>53</v>
      </c>
      <c r="AG58" s="1">
        <v>43.4</v>
      </c>
      <c r="AH58" s="1">
        <v>37.799999999999997</v>
      </c>
      <c r="AI58" s="1">
        <v>25.4</v>
      </c>
      <c r="AJ58" s="1">
        <v>33</v>
      </c>
      <c r="AK58" s="1">
        <v>46</v>
      </c>
      <c r="AL58" s="1">
        <v>45.8</v>
      </c>
      <c r="AM58" s="1">
        <v>44</v>
      </c>
      <c r="AN58" s="14" t="s">
        <v>153</v>
      </c>
      <c r="AO58" s="1">
        <f t="shared" si="16"/>
        <v>0</v>
      </c>
      <c r="AP58" t="s">
        <v>154</v>
      </c>
    </row>
    <row r="59" spans="1:42" x14ac:dyDescent="0.25">
      <c r="A59" s="1" t="s">
        <v>155</v>
      </c>
      <c r="B59" s="1" t="s">
        <v>41</v>
      </c>
      <c r="C59" s="1">
        <v>73.141999999999996</v>
      </c>
      <c r="D59" s="1">
        <v>112.56399999999999</v>
      </c>
      <c r="E59" s="1">
        <v>78.308000000000007</v>
      </c>
      <c r="F59" s="1">
        <v>92.548000000000002</v>
      </c>
      <c r="G59" s="7">
        <v>1</v>
      </c>
      <c r="H59" s="1">
        <v>50</v>
      </c>
      <c r="I59" s="1" t="s">
        <v>42</v>
      </c>
      <c r="J59" s="1"/>
      <c r="K59" s="1">
        <v>65.05</v>
      </c>
      <c r="L59" s="1">
        <f t="shared" si="13"/>
        <v>13.25800000000001</v>
      </c>
      <c r="M59" s="1"/>
      <c r="N59" s="1"/>
      <c r="O59" s="1">
        <v>0</v>
      </c>
      <c r="P59" s="1"/>
      <c r="Q59" s="1"/>
      <c r="R59" s="1"/>
      <c r="S59" s="1">
        <v>0</v>
      </c>
      <c r="T59" s="1"/>
      <c r="U59" s="1"/>
      <c r="V59" s="1">
        <f t="shared" si="14"/>
        <v>15.661600000000002</v>
      </c>
      <c r="W59" s="5">
        <f>12*V59-S59-R59-Q59-P59-O59-F59</f>
        <v>95.391200000000026</v>
      </c>
      <c r="X59" s="5">
        <f t="shared" si="18"/>
        <v>95.391200000000026</v>
      </c>
      <c r="Y59" s="5"/>
      <c r="Z59" s="21"/>
      <c r="AA59" s="21"/>
      <c r="AB59" s="1">
        <f t="shared" si="10"/>
        <v>12</v>
      </c>
      <c r="AC59" s="1">
        <f t="shared" si="15"/>
        <v>5.9092302191346979</v>
      </c>
      <c r="AD59" s="1">
        <v>8.7063999999999986</v>
      </c>
      <c r="AE59" s="1">
        <v>10.54</v>
      </c>
      <c r="AF59" s="1">
        <v>16.8352</v>
      </c>
      <c r="AG59" s="1">
        <v>17.306999999999999</v>
      </c>
      <c r="AH59" s="1">
        <v>15.000999999999999</v>
      </c>
      <c r="AI59" s="1">
        <v>12.8538</v>
      </c>
      <c r="AJ59" s="1">
        <v>14.462999999999999</v>
      </c>
      <c r="AK59" s="1">
        <v>19.234200000000001</v>
      </c>
      <c r="AL59" s="1">
        <v>21.715800000000002</v>
      </c>
      <c r="AM59" s="1">
        <v>16.465399999999999</v>
      </c>
      <c r="AN59" s="1"/>
      <c r="AO59" s="1">
        <f t="shared" si="16"/>
        <v>95</v>
      </c>
      <c r="AP59" t="s">
        <v>156</v>
      </c>
    </row>
    <row r="60" spans="1:42" x14ac:dyDescent="0.25">
      <c r="A60" s="1" t="s">
        <v>157</v>
      </c>
      <c r="B60" s="1" t="s">
        <v>41</v>
      </c>
      <c r="C60" s="1">
        <v>28.611000000000001</v>
      </c>
      <c r="D60" s="1">
        <v>49.548000000000002</v>
      </c>
      <c r="E60" s="1">
        <v>31.558</v>
      </c>
      <c r="F60" s="1">
        <v>45.228999999999999</v>
      </c>
      <c r="G60" s="7">
        <v>1</v>
      </c>
      <c r="H60" s="1">
        <v>55</v>
      </c>
      <c r="I60" s="1" t="s">
        <v>42</v>
      </c>
      <c r="J60" s="1"/>
      <c r="K60" s="1">
        <v>27.9</v>
      </c>
      <c r="L60" s="1">
        <f t="shared" si="13"/>
        <v>3.6580000000000013</v>
      </c>
      <c r="M60" s="1"/>
      <c r="N60" s="1"/>
      <c r="O60" s="1">
        <v>0</v>
      </c>
      <c r="P60" s="1"/>
      <c r="Q60" s="1"/>
      <c r="R60" s="1"/>
      <c r="S60" s="1">
        <v>0</v>
      </c>
      <c r="T60" s="1"/>
      <c r="U60" s="1"/>
      <c r="V60" s="1">
        <f t="shared" si="14"/>
        <v>6.3116000000000003</v>
      </c>
      <c r="W60" s="5">
        <f>12*V60-S60-R60-Q60-P60-O60-F60</f>
        <v>30.510200000000012</v>
      </c>
      <c r="X60" s="5">
        <f t="shared" si="18"/>
        <v>30.510200000000012</v>
      </c>
      <c r="Y60" s="5"/>
      <c r="Z60" s="21"/>
      <c r="AA60" s="21"/>
      <c r="AB60" s="1">
        <f t="shared" si="10"/>
        <v>12.000000000000002</v>
      </c>
      <c r="AC60" s="1">
        <f t="shared" si="15"/>
        <v>7.1660117878192526</v>
      </c>
      <c r="AD60" s="1">
        <v>1.65</v>
      </c>
      <c r="AE60" s="1">
        <v>4.9256000000000002</v>
      </c>
      <c r="AF60" s="1">
        <v>7.6627999999999998</v>
      </c>
      <c r="AG60" s="1">
        <v>7.9290000000000003</v>
      </c>
      <c r="AH60" s="1">
        <v>6.2595999999999998</v>
      </c>
      <c r="AI60" s="1">
        <v>4.0456000000000003</v>
      </c>
      <c r="AJ60" s="1">
        <v>5.1433999999999997</v>
      </c>
      <c r="AK60" s="1">
        <v>5.1475999999999997</v>
      </c>
      <c r="AL60" s="1">
        <v>5.4037999999999986</v>
      </c>
      <c r="AM60" s="1">
        <v>4.0573999999999986</v>
      </c>
      <c r="AN60" s="1"/>
      <c r="AO60" s="1">
        <f t="shared" si="16"/>
        <v>31</v>
      </c>
      <c r="AP60" t="s">
        <v>158</v>
      </c>
    </row>
    <row r="61" spans="1:42" x14ac:dyDescent="0.25">
      <c r="A61" s="1" t="s">
        <v>159</v>
      </c>
      <c r="B61" s="1" t="s">
        <v>49</v>
      </c>
      <c r="C61" s="1">
        <v>398</v>
      </c>
      <c r="D61" s="1">
        <v>81</v>
      </c>
      <c r="E61" s="1">
        <v>163</v>
      </c>
      <c r="F61" s="1">
        <v>264</v>
      </c>
      <c r="G61" s="7">
        <v>0.1</v>
      </c>
      <c r="H61" s="1">
        <v>731</v>
      </c>
      <c r="I61" s="1" t="s">
        <v>42</v>
      </c>
      <c r="J61" s="1"/>
      <c r="K61" s="1">
        <v>111</v>
      </c>
      <c r="L61" s="1">
        <f t="shared" si="13"/>
        <v>52</v>
      </c>
      <c r="M61" s="1"/>
      <c r="N61" s="1"/>
      <c r="O61" s="1">
        <v>132.1999999999999</v>
      </c>
      <c r="P61" s="1">
        <v>0</v>
      </c>
      <c r="Q61" s="1"/>
      <c r="R61" s="1"/>
      <c r="S61" s="1">
        <v>0</v>
      </c>
      <c r="T61" s="1"/>
      <c r="U61" s="1"/>
      <c r="V61" s="1">
        <f t="shared" si="14"/>
        <v>32.6</v>
      </c>
      <c r="W61" s="5"/>
      <c r="X61" s="5">
        <f t="shared" si="18"/>
        <v>0</v>
      </c>
      <c r="Y61" s="5"/>
      <c r="Z61" s="21"/>
      <c r="AA61" s="21"/>
      <c r="AB61" s="1">
        <f t="shared" si="10"/>
        <v>12.153374233128831</v>
      </c>
      <c r="AC61" s="1">
        <f t="shared" si="15"/>
        <v>12.153374233128831</v>
      </c>
      <c r="AD61" s="1">
        <v>33.200000000000003</v>
      </c>
      <c r="AE61" s="1">
        <v>38.4</v>
      </c>
      <c r="AF61" s="1">
        <v>39</v>
      </c>
      <c r="AG61" s="1">
        <v>48.6</v>
      </c>
      <c r="AH61" s="1">
        <v>60.4</v>
      </c>
      <c r="AI61" s="1">
        <v>36.200000000000003</v>
      </c>
      <c r="AJ61" s="1">
        <v>27</v>
      </c>
      <c r="AK61" s="1">
        <v>41.2</v>
      </c>
      <c r="AL61" s="1">
        <v>38.799999999999997</v>
      </c>
      <c r="AM61" s="1">
        <v>36</v>
      </c>
      <c r="AN61" s="1"/>
      <c r="AO61" s="1">
        <f t="shared" si="16"/>
        <v>0</v>
      </c>
      <c r="AP61" t="s">
        <v>160</v>
      </c>
    </row>
    <row r="62" spans="1:42" x14ac:dyDescent="0.25">
      <c r="A62" s="1" t="s">
        <v>161</v>
      </c>
      <c r="B62" s="1" t="s">
        <v>49</v>
      </c>
      <c r="C62" s="1">
        <v>81</v>
      </c>
      <c r="D62" s="1">
        <v>20</v>
      </c>
      <c r="E62" s="1">
        <v>18</v>
      </c>
      <c r="F62" s="1">
        <v>82</v>
      </c>
      <c r="G62" s="7">
        <v>0.4</v>
      </c>
      <c r="H62" s="1">
        <v>50</v>
      </c>
      <c r="I62" s="1" t="s">
        <v>42</v>
      </c>
      <c r="J62" s="1"/>
      <c r="K62" s="1">
        <v>18</v>
      </c>
      <c r="L62" s="1">
        <f t="shared" si="13"/>
        <v>0</v>
      </c>
      <c r="M62" s="1"/>
      <c r="N62" s="1"/>
      <c r="O62" s="1">
        <v>0</v>
      </c>
      <c r="P62" s="1"/>
      <c r="Q62" s="1"/>
      <c r="R62" s="1"/>
      <c r="S62" s="1">
        <v>0</v>
      </c>
      <c r="T62" s="1"/>
      <c r="U62" s="1"/>
      <c r="V62" s="1">
        <f t="shared" si="14"/>
        <v>3.6</v>
      </c>
      <c r="W62" s="5"/>
      <c r="X62" s="5">
        <f t="shared" si="18"/>
        <v>0</v>
      </c>
      <c r="Y62" s="5"/>
      <c r="Z62" s="21"/>
      <c r="AA62" s="21"/>
      <c r="AB62" s="1">
        <f t="shared" si="10"/>
        <v>22.777777777777779</v>
      </c>
      <c r="AC62" s="1">
        <f t="shared" si="15"/>
        <v>22.777777777777779</v>
      </c>
      <c r="AD62" s="1">
        <v>2.6</v>
      </c>
      <c r="AE62" s="1">
        <v>3.6</v>
      </c>
      <c r="AF62" s="1">
        <v>4</v>
      </c>
      <c r="AG62" s="1">
        <v>9</v>
      </c>
      <c r="AH62" s="1">
        <v>10</v>
      </c>
      <c r="AI62" s="1">
        <v>3</v>
      </c>
      <c r="AJ62" s="1">
        <v>1.2</v>
      </c>
      <c r="AK62" s="1">
        <v>5</v>
      </c>
      <c r="AL62" s="1">
        <v>7.6</v>
      </c>
      <c r="AM62" s="1">
        <v>4.8</v>
      </c>
      <c r="AN62" s="15" t="s">
        <v>136</v>
      </c>
      <c r="AO62" s="1">
        <f t="shared" si="16"/>
        <v>0</v>
      </c>
      <c r="AP62" t="s">
        <v>162</v>
      </c>
    </row>
    <row r="63" spans="1:42" x14ac:dyDescent="0.25">
      <c r="A63" s="1" t="s">
        <v>163</v>
      </c>
      <c r="B63" s="1" t="s">
        <v>41</v>
      </c>
      <c r="C63" s="1">
        <v>1.2010000000000001</v>
      </c>
      <c r="D63" s="1">
        <v>68.864000000000004</v>
      </c>
      <c r="E63" s="1">
        <v>67.918000000000006</v>
      </c>
      <c r="F63" s="1">
        <v>-0.39200000000000002</v>
      </c>
      <c r="G63" s="7">
        <v>1</v>
      </c>
      <c r="H63" s="1">
        <v>40</v>
      </c>
      <c r="I63" s="1" t="s">
        <v>42</v>
      </c>
      <c r="J63" s="1"/>
      <c r="K63" s="1">
        <v>73.7</v>
      </c>
      <c r="L63" s="1">
        <f t="shared" si="13"/>
        <v>-5.7819999999999965</v>
      </c>
      <c r="M63" s="1"/>
      <c r="N63" s="1"/>
      <c r="O63" s="1">
        <v>40.59899999999999</v>
      </c>
      <c r="P63" s="1">
        <v>0</v>
      </c>
      <c r="Q63" s="1"/>
      <c r="R63" s="1"/>
      <c r="S63" s="1">
        <v>79.005799999999994</v>
      </c>
      <c r="T63" s="1">
        <v>-81</v>
      </c>
      <c r="U63" s="1"/>
      <c r="V63" s="1">
        <f t="shared" si="14"/>
        <v>13.583600000000001</v>
      </c>
      <c r="W63" s="5">
        <f>12*V63-S63-R63-Q63-P63-O63-F63</f>
        <v>43.790400000000012</v>
      </c>
      <c r="X63" s="5">
        <f t="shared" si="18"/>
        <v>43.790400000000012</v>
      </c>
      <c r="Y63" s="5"/>
      <c r="Z63" s="21"/>
      <c r="AA63" s="21"/>
      <c r="AB63" s="1">
        <f t="shared" si="10"/>
        <v>11.999999999999998</v>
      </c>
      <c r="AC63" s="1">
        <f t="shared" si="15"/>
        <v>8.7762301598987005</v>
      </c>
      <c r="AD63" s="1">
        <v>14.9016</v>
      </c>
      <c r="AE63" s="1">
        <v>6.7847999999999997</v>
      </c>
      <c r="AF63" s="1">
        <v>7.556</v>
      </c>
      <c r="AG63" s="1">
        <v>3.6623999999999999</v>
      </c>
      <c r="AH63" s="1">
        <v>4.5907999999999998</v>
      </c>
      <c r="AI63" s="1">
        <v>4.3612000000000002</v>
      </c>
      <c r="AJ63" s="1">
        <v>1.5891999999999999</v>
      </c>
      <c r="AK63" s="1">
        <v>3.0236000000000001</v>
      </c>
      <c r="AL63" s="1">
        <v>3.0611999999999999</v>
      </c>
      <c r="AM63" s="1">
        <v>0.83219999999999994</v>
      </c>
      <c r="AN63" s="1" t="s">
        <v>164</v>
      </c>
      <c r="AO63" s="1">
        <f t="shared" si="16"/>
        <v>44</v>
      </c>
      <c r="AP63" t="s">
        <v>165</v>
      </c>
    </row>
    <row r="64" spans="1:42" x14ac:dyDescent="0.25">
      <c r="A64" s="1" t="s">
        <v>166</v>
      </c>
      <c r="B64" s="1" t="s">
        <v>41</v>
      </c>
      <c r="C64" s="1">
        <v>7.391</v>
      </c>
      <c r="D64" s="1">
        <v>84.114000000000004</v>
      </c>
      <c r="E64" s="1">
        <v>81.146000000000001</v>
      </c>
      <c r="F64" s="1">
        <v>2.4380000000000002</v>
      </c>
      <c r="G64" s="7">
        <v>1</v>
      </c>
      <c r="H64" s="1">
        <v>40</v>
      </c>
      <c r="I64" s="1" t="s">
        <v>42</v>
      </c>
      <c r="J64" s="1"/>
      <c r="K64" s="1">
        <v>103</v>
      </c>
      <c r="L64" s="1">
        <f t="shared" si="13"/>
        <v>-21.853999999999999</v>
      </c>
      <c r="M64" s="1"/>
      <c r="N64" s="1"/>
      <c r="O64" s="1">
        <v>80.492000000000004</v>
      </c>
      <c r="P64" s="1">
        <v>0</v>
      </c>
      <c r="Q64" s="1"/>
      <c r="R64" s="1"/>
      <c r="S64" s="1">
        <v>69.732799999999997</v>
      </c>
      <c r="T64" s="1"/>
      <c r="U64" s="1"/>
      <c r="V64" s="1">
        <f t="shared" si="14"/>
        <v>16.229199999999999</v>
      </c>
      <c r="W64" s="5">
        <f>12*V64-S64-R64-Q64-P64-O64-F64</f>
        <v>42.087599999999981</v>
      </c>
      <c r="X64" s="5">
        <f t="shared" si="18"/>
        <v>42.087599999999981</v>
      </c>
      <c r="Y64" s="5"/>
      <c r="Z64" s="21"/>
      <c r="AA64" s="21"/>
      <c r="AB64" s="1">
        <f t="shared" si="10"/>
        <v>12</v>
      </c>
      <c r="AC64" s="1">
        <f t="shared" si="15"/>
        <v>9.4066743893722435</v>
      </c>
      <c r="AD64" s="1">
        <v>13.7578</v>
      </c>
      <c r="AE64" s="1">
        <v>11.1006</v>
      </c>
      <c r="AF64" s="1">
        <v>15.066599999999999</v>
      </c>
      <c r="AG64" s="1">
        <v>7.2840000000000007</v>
      </c>
      <c r="AH64" s="1">
        <v>7.2656000000000009</v>
      </c>
      <c r="AI64" s="1">
        <v>7.7450000000000001</v>
      </c>
      <c r="AJ64" s="1">
        <v>3.6516000000000002</v>
      </c>
      <c r="AK64" s="1">
        <v>5.5808</v>
      </c>
      <c r="AL64" s="1">
        <v>9.1449999999999996</v>
      </c>
      <c r="AM64" s="1">
        <v>8.0937999999999999</v>
      </c>
      <c r="AN64" s="1" t="s">
        <v>164</v>
      </c>
      <c r="AO64" s="1">
        <f t="shared" si="16"/>
        <v>42</v>
      </c>
      <c r="AP64" t="s">
        <v>167</v>
      </c>
    </row>
    <row r="65" spans="1:42" x14ac:dyDescent="0.25">
      <c r="A65" s="1" t="s">
        <v>168</v>
      </c>
      <c r="B65" s="1" t="s">
        <v>49</v>
      </c>
      <c r="C65" s="1">
        <v>441</v>
      </c>
      <c r="D65" s="1">
        <v>12</v>
      </c>
      <c r="E65" s="1">
        <v>124</v>
      </c>
      <c r="F65" s="1">
        <v>323</v>
      </c>
      <c r="G65" s="7">
        <v>0.4</v>
      </c>
      <c r="H65" s="1">
        <v>40</v>
      </c>
      <c r="I65" s="1" t="s">
        <v>42</v>
      </c>
      <c r="J65" s="1"/>
      <c r="K65" s="1">
        <v>373</v>
      </c>
      <c r="L65" s="1">
        <f t="shared" si="13"/>
        <v>-249</v>
      </c>
      <c r="M65" s="1"/>
      <c r="N65" s="1"/>
      <c r="O65" s="1">
        <v>277.00000000000011</v>
      </c>
      <c r="P65" s="1">
        <v>0</v>
      </c>
      <c r="Q65" s="1"/>
      <c r="R65" s="1"/>
      <c r="S65" s="1">
        <v>18.199999999999928</v>
      </c>
      <c r="T65" s="1"/>
      <c r="U65" s="1"/>
      <c r="V65" s="1">
        <f t="shared" si="14"/>
        <v>24.8</v>
      </c>
      <c r="W65" s="5"/>
      <c r="X65" s="5">
        <f t="shared" si="18"/>
        <v>0</v>
      </c>
      <c r="Y65" s="5"/>
      <c r="Z65" s="21"/>
      <c r="AA65" s="21"/>
      <c r="AB65" s="1">
        <f t="shared" si="10"/>
        <v>24.927419354838712</v>
      </c>
      <c r="AC65" s="1">
        <f t="shared" si="15"/>
        <v>24.927419354838712</v>
      </c>
      <c r="AD65" s="1">
        <v>56.2</v>
      </c>
      <c r="AE65" s="1">
        <v>44.2</v>
      </c>
      <c r="AF65" s="1">
        <v>14.2</v>
      </c>
      <c r="AG65" s="1">
        <v>1.4</v>
      </c>
      <c r="AH65" s="1">
        <v>13.8</v>
      </c>
      <c r="AI65" s="1">
        <v>63.8</v>
      </c>
      <c r="AJ65" s="1">
        <v>81.2</v>
      </c>
      <c r="AK65" s="1">
        <v>86.2</v>
      </c>
      <c r="AL65" s="1">
        <v>112.6</v>
      </c>
      <c r="AM65" s="1">
        <v>85.6</v>
      </c>
      <c r="AN65" s="15" t="s">
        <v>136</v>
      </c>
      <c r="AO65" s="1">
        <f t="shared" si="16"/>
        <v>0</v>
      </c>
      <c r="AP65" t="s">
        <v>169</v>
      </c>
    </row>
    <row r="66" spans="1:42" x14ac:dyDescent="0.25">
      <c r="A66" s="1" t="s">
        <v>170</v>
      </c>
      <c r="B66" s="1" t="s">
        <v>49</v>
      </c>
      <c r="C66" s="1">
        <v>11</v>
      </c>
      <c r="D66" s="1"/>
      <c r="E66" s="1">
        <v>-1</v>
      </c>
      <c r="F66" s="1">
        <v>11</v>
      </c>
      <c r="G66" s="7">
        <v>0.4</v>
      </c>
      <c r="H66" s="1">
        <v>40</v>
      </c>
      <c r="I66" s="13" t="s">
        <v>91</v>
      </c>
      <c r="J66" s="1"/>
      <c r="K66" s="1">
        <v>223</v>
      </c>
      <c r="L66" s="1">
        <f t="shared" si="13"/>
        <v>-224</v>
      </c>
      <c r="M66" s="1"/>
      <c r="N66" s="1"/>
      <c r="O66" s="1">
        <v>200</v>
      </c>
      <c r="P66" s="1">
        <v>0</v>
      </c>
      <c r="Q66" s="1"/>
      <c r="R66" s="1"/>
      <c r="S66" s="1">
        <v>250.13399999999999</v>
      </c>
      <c r="T66" s="1"/>
      <c r="U66" s="1"/>
      <c r="V66" s="1">
        <f t="shared" si="14"/>
        <v>-0.2</v>
      </c>
      <c r="W66" s="5">
        <v>100</v>
      </c>
      <c r="X66" s="5">
        <f t="shared" si="18"/>
        <v>100</v>
      </c>
      <c r="Y66" s="5"/>
      <c r="Z66" s="21"/>
      <c r="AA66" s="21"/>
      <c r="AB66" s="1">
        <f t="shared" si="10"/>
        <v>-2805.67</v>
      </c>
      <c r="AC66" s="1">
        <f t="shared" si="15"/>
        <v>-2305.67</v>
      </c>
      <c r="AD66" s="1">
        <v>-0.2</v>
      </c>
      <c r="AE66" s="1">
        <v>-0.2</v>
      </c>
      <c r="AF66" s="1">
        <v>0</v>
      </c>
      <c r="AG66" s="1">
        <v>0</v>
      </c>
      <c r="AH66" s="1">
        <v>45.2</v>
      </c>
      <c r="AI66" s="1">
        <v>92.6</v>
      </c>
      <c r="AJ66" s="1">
        <v>69</v>
      </c>
      <c r="AK66" s="1">
        <v>57.4</v>
      </c>
      <c r="AL66" s="1">
        <v>72.400000000000006</v>
      </c>
      <c r="AM66" s="1">
        <v>47.8</v>
      </c>
      <c r="AN66" s="1"/>
      <c r="AO66" s="1">
        <f t="shared" si="16"/>
        <v>40</v>
      </c>
      <c r="AP66" t="s">
        <v>171</v>
      </c>
    </row>
    <row r="67" spans="1:42" x14ac:dyDescent="0.25">
      <c r="A67" s="1" t="s">
        <v>172</v>
      </c>
      <c r="B67" s="1" t="s">
        <v>41</v>
      </c>
      <c r="C67" s="1">
        <v>230.51300000000001</v>
      </c>
      <c r="D67" s="1">
        <v>127.739</v>
      </c>
      <c r="E67" s="1">
        <v>137.255</v>
      </c>
      <c r="F67" s="1">
        <v>185.417</v>
      </c>
      <c r="G67" s="7">
        <v>1</v>
      </c>
      <c r="H67" s="1">
        <v>40</v>
      </c>
      <c r="I67" s="13" t="s">
        <v>91</v>
      </c>
      <c r="J67" s="1"/>
      <c r="K67" s="1">
        <v>131.80000000000001</v>
      </c>
      <c r="L67" s="1">
        <f t="shared" si="13"/>
        <v>5.4549999999999841</v>
      </c>
      <c r="M67" s="1"/>
      <c r="N67" s="1"/>
      <c r="O67" s="1">
        <v>167.22020000000001</v>
      </c>
      <c r="P67" s="1">
        <v>-167.4</v>
      </c>
      <c r="Q67" s="1"/>
      <c r="R67" s="1"/>
      <c r="S67" s="1">
        <v>44.907600000000002</v>
      </c>
      <c r="T67" s="1">
        <v>-49</v>
      </c>
      <c r="U67" s="1"/>
      <c r="V67" s="1">
        <f t="shared" si="14"/>
        <v>27.451000000000001</v>
      </c>
      <c r="W67" s="5">
        <v>80</v>
      </c>
      <c r="X67" s="5">
        <f t="shared" si="18"/>
        <v>80</v>
      </c>
      <c r="Y67" s="5"/>
      <c r="Z67" s="21"/>
      <c r="AA67" s="21"/>
      <c r="AB67" s="1">
        <f t="shared" si="10"/>
        <v>11.29812392991148</v>
      </c>
      <c r="AC67" s="1">
        <f t="shared" si="15"/>
        <v>8.3838402972569313</v>
      </c>
      <c r="AD67" s="1">
        <v>27.457799999999999</v>
      </c>
      <c r="AE67" s="1">
        <v>33.810199999999988</v>
      </c>
      <c r="AF67" s="1">
        <v>30.891400000000001</v>
      </c>
      <c r="AG67" s="1">
        <v>39.8172</v>
      </c>
      <c r="AH67" s="1">
        <v>43.403599999999997</v>
      </c>
      <c r="AI67" s="1">
        <v>22.808599999999998</v>
      </c>
      <c r="AJ67" s="1">
        <v>12.564399999999999</v>
      </c>
      <c r="AK67" s="1">
        <v>29.346399999999999</v>
      </c>
      <c r="AL67" s="1">
        <v>40.2258</v>
      </c>
      <c r="AM67" s="1">
        <v>30.734999999999999</v>
      </c>
      <c r="AN67" s="1"/>
      <c r="AO67" s="1">
        <f t="shared" si="16"/>
        <v>80</v>
      </c>
      <c r="AP67" t="s">
        <v>173</v>
      </c>
    </row>
    <row r="68" spans="1:42" x14ac:dyDescent="0.25">
      <c r="A68" s="1" t="s">
        <v>174</v>
      </c>
      <c r="B68" s="1" t="s">
        <v>41</v>
      </c>
      <c r="C68" s="1">
        <v>83.293999999999997</v>
      </c>
      <c r="D68" s="1">
        <v>212.5</v>
      </c>
      <c r="E68" s="1">
        <v>140.86699999999999</v>
      </c>
      <c r="F68" s="1">
        <v>115.176</v>
      </c>
      <c r="G68" s="7">
        <v>1</v>
      </c>
      <c r="H68" s="1">
        <v>40</v>
      </c>
      <c r="I68" s="13" t="s">
        <v>91</v>
      </c>
      <c r="J68" s="1"/>
      <c r="K68" s="1">
        <v>132.19999999999999</v>
      </c>
      <c r="L68" s="1">
        <f t="shared" si="13"/>
        <v>8.6670000000000016</v>
      </c>
      <c r="M68" s="1"/>
      <c r="N68" s="1"/>
      <c r="O68" s="1">
        <v>214.60051999999999</v>
      </c>
      <c r="P68" s="1">
        <v>-216</v>
      </c>
      <c r="Q68" s="1"/>
      <c r="R68" s="1"/>
      <c r="S68" s="1">
        <v>98.13888</v>
      </c>
      <c r="T68" s="1">
        <v>-103</v>
      </c>
      <c r="U68" s="1"/>
      <c r="V68" s="1">
        <f t="shared" si="14"/>
        <v>28.173399999999997</v>
      </c>
      <c r="W68" s="5">
        <v>70</v>
      </c>
      <c r="X68" s="5">
        <f t="shared" si="18"/>
        <v>70</v>
      </c>
      <c r="Y68" s="5"/>
      <c r="Z68" s="21"/>
      <c r="AA68" s="21"/>
      <c r="AB68" s="1">
        <f t="shared" si="10"/>
        <v>10.006438697494801</v>
      </c>
      <c r="AC68" s="1">
        <f t="shared" si="15"/>
        <v>7.5218255517615917</v>
      </c>
      <c r="AD68" s="1">
        <v>25.8324</v>
      </c>
      <c r="AE68" s="1">
        <v>32.492199999999997</v>
      </c>
      <c r="AF68" s="1">
        <v>34.5336</v>
      </c>
      <c r="AG68" s="1">
        <v>33.2986</v>
      </c>
      <c r="AH68" s="1">
        <v>24.674399999999999</v>
      </c>
      <c r="AI68" s="1">
        <v>33.698399999999999</v>
      </c>
      <c r="AJ68" s="1">
        <v>35.2834</v>
      </c>
      <c r="AK68" s="1">
        <v>31.5944</v>
      </c>
      <c r="AL68" s="1">
        <v>36.930199999999999</v>
      </c>
      <c r="AM68" s="1">
        <v>26.832999999999998</v>
      </c>
      <c r="AN68" s="1"/>
      <c r="AO68" s="1">
        <f t="shared" si="16"/>
        <v>70</v>
      </c>
      <c r="AP68" t="s">
        <v>175</v>
      </c>
    </row>
    <row r="69" spans="1:42" x14ac:dyDescent="0.25">
      <c r="A69" s="1" t="s">
        <v>176</v>
      </c>
      <c r="B69" s="1" t="s">
        <v>41</v>
      </c>
      <c r="C69" s="1">
        <v>378.11399999999998</v>
      </c>
      <c r="D69" s="1">
        <v>303.47000000000003</v>
      </c>
      <c r="E69" s="1">
        <v>304.61700000000002</v>
      </c>
      <c r="F69" s="1">
        <v>257.78199999999998</v>
      </c>
      <c r="G69" s="7">
        <v>1</v>
      </c>
      <c r="H69" s="1">
        <v>40</v>
      </c>
      <c r="I69" s="1" t="s">
        <v>42</v>
      </c>
      <c r="J69" s="1"/>
      <c r="K69" s="1">
        <v>306.27999999999997</v>
      </c>
      <c r="L69" s="1">
        <f t="shared" si="13"/>
        <v>-1.6629999999999541</v>
      </c>
      <c r="M69" s="1"/>
      <c r="N69" s="1"/>
      <c r="O69" s="1">
        <v>167.7784900000002</v>
      </c>
      <c r="P69" s="1">
        <v>0</v>
      </c>
      <c r="Q69" s="1"/>
      <c r="R69" s="1"/>
      <c r="S69" s="1">
        <v>0</v>
      </c>
      <c r="T69" s="1"/>
      <c r="U69" s="1"/>
      <c r="V69" s="1">
        <f t="shared" si="14"/>
        <v>60.923400000000001</v>
      </c>
      <c r="W69" s="5">
        <f>12*V69-S69-R69-Q69-P69-O69-F69</f>
        <v>305.52030999999982</v>
      </c>
      <c r="X69" s="5">
        <f>W69+$X$1*V69</f>
        <v>265.31086599999981</v>
      </c>
      <c r="Y69" s="5"/>
      <c r="Z69" s="21"/>
      <c r="AA69" s="21"/>
      <c r="AB69" s="1">
        <f t="shared" si="10"/>
        <v>11.34</v>
      </c>
      <c r="AC69" s="1">
        <f t="shared" si="15"/>
        <v>6.9851730205471165</v>
      </c>
      <c r="AD69" s="1">
        <v>43.718000000000004</v>
      </c>
      <c r="AE69" s="1">
        <v>53.330599999999997</v>
      </c>
      <c r="AF69" s="1">
        <v>67.684799999999996</v>
      </c>
      <c r="AG69" s="1">
        <v>69.110199999999992</v>
      </c>
      <c r="AH69" s="1">
        <v>62.149800000000013</v>
      </c>
      <c r="AI69" s="1">
        <v>77.261200000000002</v>
      </c>
      <c r="AJ69" s="1">
        <v>84.820999999999998</v>
      </c>
      <c r="AK69" s="1">
        <v>67.469399999999993</v>
      </c>
      <c r="AL69" s="1">
        <v>80.919799999999995</v>
      </c>
      <c r="AM69" s="1">
        <v>73.772799999999989</v>
      </c>
      <c r="AN69" s="1"/>
      <c r="AO69" s="1">
        <f t="shared" si="16"/>
        <v>265</v>
      </c>
      <c r="AP69" t="s">
        <v>177</v>
      </c>
    </row>
    <row r="70" spans="1:42" x14ac:dyDescent="0.25">
      <c r="A70" s="1" t="s">
        <v>178</v>
      </c>
      <c r="B70" s="1" t="s">
        <v>41</v>
      </c>
      <c r="C70" s="1">
        <v>164.71299999999999</v>
      </c>
      <c r="D70" s="1">
        <v>119.98</v>
      </c>
      <c r="E70" s="1">
        <v>117.288</v>
      </c>
      <c r="F70" s="1">
        <v>138.27600000000001</v>
      </c>
      <c r="G70" s="7">
        <v>1</v>
      </c>
      <c r="H70" s="1">
        <v>40</v>
      </c>
      <c r="I70" s="1" t="s">
        <v>42</v>
      </c>
      <c r="J70" s="1"/>
      <c r="K70" s="1">
        <v>112</v>
      </c>
      <c r="L70" s="1">
        <f t="shared" ref="L70:L101" si="19">E70-K70</f>
        <v>5.2879999999999967</v>
      </c>
      <c r="M70" s="1"/>
      <c r="N70" s="1"/>
      <c r="O70" s="1">
        <v>149.33540000000011</v>
      </c>
      <c r="P70" s="1">
        <v>0</v>
      </c>
      <c r="Q70" s="1"/>
      <c r="R70" s="1"/>
      <c r="S70" s="1">
        <v>0</v>
      </c>
      <c r="T70" s="1"/>
      <c r="U70" s="1"/>
      <c r="V70" s="1">
        <f t="shared" ref="V70:V101" si="20">E70/5</f>
        <v>23.457599999999999</v>
      </c>
      <c r="W70" s="5"/>
      <c r="X70" s="5">
        <f t="shared" ref="X70:X75" si="21">W70</f>
        <v>0</v>
      </c>
      <c r="Y70" s="5"/>
      <c r="Z70" s="21"/>
      <c r="AA70" s="21"/>
      <c r="AB70" s="1">
        <f t="shared" si="10"/>
        <v>12.260904781392815</v>
      </c>
      <c r="AC70" s="1">
        <f t="shared" ref="AC70:AC101" si="22">(F70+O70+P70+Q70+R70+S70)/V70</f>
        <v>12.260904781392815</v>
      </c>
      <c r="AD70" s="1">
        <v>20.8584</v>
      </c>
      <c r="AE70" s="1">
        <v>27.188800000000001</v>
      </c>
      <c r="AF70" s="1">
        <v>28.836200000000002</v>
      </c>
      <c r="AG70" s="1">
        <v>31.062999999999999</v>
      </c>
      <c r="AH70" s="1">
        <v>31.611599999999999</v>
      </c>
      <c r="AI70" s="1">
        <v>37.389200000000002</v>
      </c>
      <c r="AJ70" s="1">
        <v>31.877600000000001</v>
      </c>
      <c r="AK70" s="1">
        <v>27.787199999999999</v>
      </c>
      <c r="AL70" s="1">
        <v>32.726599999999998</v>
      </c>
      <c r="AM70" s="1">
        <v>26.318200000000001</v>
      </c>
      <c r="AN70" s="1"/>
      <c r="AO70" s="1">
        <f t="shared" ref="AO70:AO101" si="23">ROUND(G70*X70,0)</f>
        <v>0</v>
      </c>
      <c r="AP70" t="s">
        <v>179</v>
      </c>
    </row>
    <row r="71" spans="1:42" x14ac:dyDescent="0.25">
      <c r="A71" s="1" t="s">
        <v>180</v>
      </c>
      <c r="B71" s="1" t="s">
        <v>49</v>
      </c>
      <c r="C71" s="1">
        <v>62</v>
      </c>
      <c r="D71" s="1"/>
      <c r="E71" s="1">
        <v>8</v>
      </c>
      <c r="F71" s="1">
        <v>54</v>
      </c>
      <c r="G71" s="7">
        <v>0.6</v>
      </c>
      <c r="H71" s="1">
        <v>70</v>
      </c>
      <c r="I71" s="1" t="s">
        <v>42</v>
      </c>
      <c r="J71" s="1"/>
      <c r="K71" s="1">
        <v>6</v>
      </c>
      <c r="L71" s="1">
        <f t="shared" si="19"/>
        <v>2</v>
      </c>
      <c r="M71" s="1"/>
      <c r="N71" s="1"/>
      <c r="O71" s="1">
        <v>0</v>
      </c>
      <c r="P71" s="1"/>
      <c r="Q71" s="1"/>
      <c r="R71" s="1"/>
      <c r="S71" s="1">
        <v>0</v>
      </c>
      <c r="T71" s="1"/>
      <c r="U71" s="1"/>
      <c r="V71" s="1">
        <f t="shared" si="20"/>
        <v>1.6</v>
      </c>
      <c r="W71" s="5"/>
      <c r="X71" s="5">
        <f t="shared" si="21"/>
        <v>0</v>
      </c>
      <c r="Y71" s="5"/>
      <c r="Z71" s="21"/>
      <c r="AA71" s="21"/>
      <c r="AB71" s="1">
        <f t="shared" ref="AB71:AB133" si="24">(F71+O71+P71+Q71+R71+S71+X71+U71+Z71+AA71)/V71</f>
        <v>33.75</v>
      </c>
      <c r="AC71" s="1">
        <f t="shared" si="22"/>
        <v>33.75</v>
      </c>
      <c r="AD71" s="1">
        <v>1.6</v>
      </c>
      <c r="AE71" s="1">
        <v>0.6</v>
      </c>
      <c r="AF71" s="1">
        <v>1</v>
      </c>
      <c r="AG71" s="1">
        <v>0.8</v>
      </c>
      <c r="AH71" s="1">
        <v>1.2</v>
      </c>
      <c r="AI71" s="1">
        <v>2.4</v>
      </c>
      <c r="AJ71" s="1">
        <v>1.6</v>
      </c>
      <c r="AK71" s="1">
        <v>5</v>
      </c>
      <c r="AL71" s="1">
        <v>5.4</v>
      </c>
      <c r="AM71" s="1">
        <v>2</v>
      </c>
      <c r="AN71" s="15" t="s">
        <v>136</v>
      </c>
      <c r="AO71" s="1">
        <f t="shared" si="23"/>
        <v>0</v>
      </c>
      <c r="AP71" t="s">
        <v>181</v>
      </c>
    </row>
    <row r="72" spans="1:42" x14ac:dyDescent="0.25">
      <c r="A72" s="1" t="s">
        <v>182</v>
      </c>
      <c r="B72" s="1" t="s">
        <v>41</v>
      </c>
      <c r="C72" s="1">
        <v>302.16800000000001</v>
      </c>
      <c r="D72" s="1">
        <v>20.745999999999999</v>
      </c>
      <c r="E72" s="1">
        <v>247.762</v>
      </c>
      <c r="F72" s="1">
        <v>15.558</v>
      </c>
      <c r="G72" s="7">
        <v>1</v>
      </c>
      <c r="H72" s="1">
        <v>30</v>
      </c>
      <c r="I72" s="1" t="s">
        <v>42</v>
      </c>
      <c r="J72" s="1"/>
      <c r="K72" s="1">
        <v>390.15</v>
      </c>
      <c r="L72" s="1">
        <f t="shared" si="19"/>
        <v>-142.38799999999998</v>
      </c>
      <c r="M72" s="1"/>
      <c r="N72" s="1"/>
      <c r="O72" s="1">
        <v>335.12999999999988</v>
      </c>
      <c r="P72" s="1">
        <v>0</v>
      </c>
      <c r="Q72" s="1"/>
      <c r="R72" s="1"/>
      <c r="S72" s="1">
        <v>404.66844600000007</v>
      </c>
      <c r="T72" s="1"/>
      <c r="U72" s="1"/>
      <c r="V72" s="1">
        <f t="shared" si="20"/>
        <v>49.552399999999999</v>
      </c>
      <c r="W72" s="5"/>
      <c r="X72" s="5">
        <f t="shared" si="21"/>
        <v>0</v>
      </c>
      <c r="Y72" s="5"/>
      <c r="Z72" s="21"/>
      <c r="AA72" s="21"/>
      <c r="AB72" s="1">
        <f t="shared" si="24"/>
        <v>15.243589533503927</v>
      </c>
      <c r="AC72" s="1">
        <f t="shared" si="22"/>
        <v>15.243589533503927</v>
      </c>
      <c r="AD72" s="1">
        <v>72.886200000000002</v>
      </c>
      <c r="AE72" s="1">
        <v>41.464399999999998</v>
      </c>
      <c r="AF72" s="1">
        <v>16.122800000000002</v>
      </c>
      <c r="AG72" s="1">
        <v>65.612400000000008</v>
      </c>
      <c r="AH72" s="1">
        <v>95.952399999999997</v>
      </c>
      <c r="AI72" s="1">
        <v>85.349000000000004</v>
      </c>
      <c r="AJ72" s="1">
        <v>80.937399999999997</v>
      </c>
      <c r="AK72" s="1">
        <v>39.692799999999998</v>
      </c>
      <c r="AL72" s="1">
        <v>48.635199999999998</v>
      </c>
      <c r="AM72" s="1">
        <v>81.170600000000007</v>
      </c>
      <c r="AN72" s="1"/>
      <c r="AO72" s="1">
        <f t="shared" si="23"/>
        <v>0</v>
      </c>
      <c r="AP72" t="s">
        <v>183</v>
      </c>
    </row>
    <row r="73" spans="1:42" x14ac:dyDescent="0.25">
      <c r="A73" s="9" t="s">
        <v>184</v>
      </c>
      <c r="B73" s="9" t="s">
        <v>49</v>
      </c>
      <c r="C73" s="9"/>
      <c r="D73" s="9"/>
      <c r="E73" s="9"/>
      <c r="F73" s="9"/>
      <c r="G73" s="10">
        <v>0</v>
      </c>
      <c r="H73" s="9"/>
      <c r="I73" s="9" t="s">
        <v>42</v>
      </c>
      <c r="J73" s="9"/>
      <c r="K73" s="9"/>
      <c r="L73" s="9">
        <f t="shared" si="19"/>
        <v>0</v>
      </c>
      <c r="M73" s="9"/>
      <c r="N73" s="9"/>
      <c r="O73" s="9">
        <v>0</v>
      </c>
      <c r="P73" s="9"/>
      <c r="Q73" s="9"/>
      <c r="R73" s="9"/>
      <c r="S73" s="9">
        <v>0</v>
      </c>
      <c r="T73" s="9"/>
      <c r="U73" s="9"/>
      <c r="V73" s="9">
        <f t="shared" si="20"/>
        <v>0</v>
      </c>
      <c r="W73" s="11"/>
      <c r="X73" s="5">
        <f t="shared" si="21"/>
        <v>0</v>
      </c>
      <c r="Y73" s="5"/>
      <c r="Z73" s="21"/>
      <c r="AA73" s="21"/>
      <c r="AB73" s="1" t="e">
        <f t="shared" si="24"/>
        <v>#DIV/0!</v>
      </c>
      <c r="AC73" s="9" t="e">
        <f t="shared" si="22"/>
        <v>#DIV/0!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 t="s">
        <v>57</v>
      </c>
      <c r="AO73" s="1">
        <f t="shared" si="23"/>
        <v>0</v>
      </c>
      <c r="AP73" t="s">
        <v>185</v>
      </c>
    </row>
    <row r="74" spans="1:42" x14ac:dyDescent="0.25">
      <c r="A74" s="1" t="s">
        <v>186</v>
      </c>
      <c r="B74" s="1" t="s">
        <v>49</v>
      </c>
      <c r="C74" s="1">
        <v>202</v>
      </c>
      <c r="D74" s="1"/>
      <c r="E74" s="1">
        <v>60</v>
      </c>
      <c r="F74" s="1">
        <v>142</v>
      </c>
      <c r="G74" s="7">
        <v>0.6</v>
      </c>
      <c r="H74" s="1">
        <v>60</v>
      </c>
      <c r="I74" s="1" t="s">
        <v>42</v>
      </c>
      <c r="J74" s="1"/>
      <c r="K74" s="1">
        <v>48</v>
      </c>
      <c r="L74" s="1">
        <f t="shared" si="19"/>
        <v>12</v>
      </c>
      <c r="M74" s="1"/>
      <c r="N74" s="1"/>
      <c r="O74" s="1">
        <v>0</v>
      </c>
      <c r="P74" s="1"/>
      <c r="Q74" s="1"/>
      <c r="R74" s="1"/>
      <c r="S74" s="1">
        <v>42.800000000000011</v>
      </c>
      <c r="T74" s="1"/>
      <c r="U74" s="1"/>
      <c r="V74" s="1">
        <f t="shared" si="20"/>
        <v>12</v>
      </c>
      <c r="W74" s="5"/>
      <c r="X74" s="5">
        <f t="shared" si="21"/>
        <v>0</v>
      </c>
      <c r="Y74" s="5"/>
      <c r="Z74" s="21"/>
      <c r="AA74" s="21"/>
      <c r="AB74" s="1">
        <f t="shared" si="24"/>
        <v>15.4</v>
      </c>
      <c r="AC74" s="1">
        <f t="shared" si="22"/>
        <v>15.4</v>
      </c>
      <c r="AD74" s="1">
        <v>16.8</v>
      </c>
      <c r="AE74" s="1">
        <v>10</v>
      </c>
      <c r="AF74" s="1">
        <v>13.4</v>
      </c>
      <c r="AG74" s="1">
        <v>8.1999999999999993</v>
      </c>
      <c r="AH74" s="1">
        <v>3.2</v>
      </c>
      <c r="AI74" s="1">
        <v>24</v>
      </c>
      <c r="AJ74" s="1">
        <v>23</v>
      </c>
      <c r="AK74" s="1">
        <v>12.4</v>
      </c>
      <c r="AL74" s="1">
        <v>11.8</v>
      </c>
      <c r="AM74" s="1">
        <v>3.8</v>
      </c>
      <c r="AN74" s="1"/>
      <c r="AO74" s="1">
        <f t="shared" si="23"/>
        <v>0</v>
      </c>
      <c r="AP74" t="s">
        <v>187</v>
      </c>
    </row>
    <row r="75" spans="1:42" x14ac:dyDescent="0.25">
      <c r="A75" s="1" t="s">
        <v>188</v>
      </c>
      <c r="B75" s="1" t="s">
        <v>49</v>
      </c>
      <c r="C75" s="1">
        <v>140</v>
      </c>
      <c r="D75" s="1">
        <v>58</v>
      </c>
      <c r="E75" s="1">
        <v>68</v>
      </c>
      <c r="F75" s="1">
        <v>119</v>
      </c>
      <c r="G75" s="7">
        <v>0.4</v>
      </c>
      <c r="H75" s="1">
        <v>90</v>
      </c>
      <c r="I75" s="1" t="s">
        <v>42</v>
      </c>
      <c r="J75" s="1"/>
      <c r="K75" s="1">
        <v>71</v>
      </c>
      <c r="L75" s="1">
        <f t="shared" si="19"/>
        <v>-3</v>
      </c>
      <c r="M75" s="1"/>
      <c r="N75" s="1"/>
      <c r="O75" s="1">
        <v>0</v>
      </c>
      <c r="P75" s="1"/>
      <c r="Q75" s="1"/>
      <c r="R75" s="1"/>
      <c r="S75" s="1">
        <v>0</v>
      </c>
      <c r="T75" s="1"/>
      <c r="U75" s="1"/>
      <c r="V75" s="1">
        <f t="shared" si="20"/>
        <v>13.6</v>
      </c>
      <c r="W75" s="5">
        <f>12*V75-S75-R75-Q75-P75-O75-F75</f>
        <v>44.199999999999989</v>
      </c>
      <c r="X75" s="5">
        <f t="shared" si="21"/>
        <v>44.199999999999989</v>
      </c>
      <c r="Y75" s="5"/>
      <c r="Z75" s="21"/>
      <c r="AA75" s="21"/>
      <c r="AB75" s="1">
        <f t="shared" si="24"/>
        <v>12</v>
      </c>
      <c r="AC75" s="1">
        <f t="shared" si="22"/>
        <v>8.75</v>
      </c>
      <c r="AD75" s="1">
        <v>5.4</v>
      </c>
      <c r="AE75" s="1">
        <v>5.6</v>
      </c>
      <c r="AF75" s="1">
        <v>9.8000000000000007</v>
      </c>
      <c r="AG75" s="1">
        <v>16.600000000000001</v>
      </c>
      <c r="AH75" s="1">
        <v>17.2</v>
      </c>
      <c r="AI75" s="1">
        <v>18.399999999999999</v>
      </c>
      <c r="AJ75" s="1">
        <v>20</v>
      </c>
      <c r="AK75" s="1">
        <v>20.6</v>
      </c>
      <c r="AL75" s="1">
        <v>25.4</v>
      </c>
      <c r="AM75" s="1">
        <v>19.2</v>
      </c>
      <c r="AN75" s="1"/>
      <c r="AO75" s="1">
        <f t="shared" si="23"/>
        <v>18</v>
      </c>
      <c r="AP75" t="s">
        <v>189</v>
      </c>
    </row>
    <row r="76" spans="1:42" x14ac:dyDescent="0.25">
      <c r="A76" s="1" t="s">
        <v>190</v>
      </c>
      <c r="B76" s="1" t="s">
        <v>49</v>
      </c>
      <c r="C76" s="1">
        <v>44</v>
      </c>
      <c r="D76" s="1">
        <v>162</v>
      </c>
      <c r="E76" s="1">
        <v>131</v>
      </c>
      <c r="F76" s="1">
        <v>62</v>
      </c>
      <c r="G76" s="7">
        <v>0.33</v>
      </c>
      <c r="H76" s="1">
        <v>60</v>
      </c>
      <c r="I76" s="1" t="s">
        <v>42</v>
      </c>
      <c r="J76" s="1"/>
      <c r="K76" s="1">
        <v>129</v>
      </c>
      <c r="L76" s="1">
        <f t="shared" si="19"/>
        <v>2</v>
      </c>
      <c r="M76" s="1"/>
      <c r="N76" s="1"/>
      <c r="O76" s="1">
        <v>149</v>
      </c>
      <c r="P76" s="1">
        <v>0</v>
      </c>
      <c r="Q76" s="1"/>
      <c r="R76" s="1"/>
      <c r="S76" s="1">
        <v>0</v>
      </c>
      <c r="T76" s="1"/>
      <c r="U76" s="1"/>
      <c r="V76" s="1">
        <f t="shared" si="20"/>
        <v>26.2</v>
      </c>
      <c r="W76" s="5">
        <f>12*V76-S76-R76-Q76-P76-O76-F76</f>
        <v>103.39999999999998</v>
      </c>
      <c r="X76" s="5">
        <f>W76+$X$1*V76</f>
        <v>86.107999999999976</v>
      </c>
      <c r="Y76" s="5"/>
      <c r="Z76" s="21"/>
      <c r="AA76" s="21"/>
      <c r="AB76" s="1">
        <f t="shared" si="24"/>
        <v>11.339999999999998</v>
      </c>
      <c r="AC76" s="1">
        <f t="shared" si="22"/>
        <v>8.0534351145038165</v>
      </c>
      <c r="AD76" s="1">
        <v>20.399999999999999</v>
      </c>
      <c r="AE76" s="1">
        <v>23.4</v>
      </c>
      <c r="AF76" s="1">
        <v>26.6</v>
      </c>
      <c r="AG76" s="1">
        <v>29</v>
      </c>
      <c r="AH76" s="1">
        <v>25</v>
      </c>
      <c r="AI76" s="1">
        <v>24.2</v>
      </c>
      <c r="AJ76" s="1">
        <v>33.6</v>
      </c>
      <c r="AK76" s="1">
        <v>25.6</v>
      </c>
      <c r="AL76" s="1">
        <v>14.8</v>
      </c>
      <c r="AM76" s="1">
        <v>21</v>
      </c>
      <c r="AN76" s="1"/>
      <c r="AO76" s="1">
        <f t="shared" si="23"/>
        <v>28</v>
      </c>
      <c r="AP76" t="s">
        <v>191</v>
      </c>
    </row>
    <row r="77" spans="1:42" x14ac:dyDescent="0.25">
      <c r="A77" s="1" t="s">
        <v>192</v>
      </c>
      <c r="B77" s="1" t="s">
        <v>49</v>
      </c>
      <c r="C77" s="1">
        <v>68</v>
      </c>
      <c r="D77" s="1">
        <v>98</v>
      </c>
      <c r="E77" s="1">
        <v>65</v>
      </c>
      <c r="F77" s="1">
        <v>93</v>
      </c>
      <c r="G77" s="7">
        <v>0.35</v>
      </c>
      <c r="H77" s="1">
        <v>90</v>
      </c>
      <c r="I77" s="1" t="s">
        <v>42</v>
      </c>
      <c r="J77" s="1"/>
      <c r="K77" s="1">
        <v>61</v>
      </c>
      <c r="L77" s="1">
        <f t="shared" si="19"/>
        <v>4</v>
      </c>
      <c r="M77" s="1"/>
      <c r="N77" s="1"/>
      <c r="O77" s="1">
        <v>0</v>
      </c>
      <c r="P77" s="1"/>
      <c r="Q77" s="1"/>
      <c r="R77" s="1"/>
      <c r="S77" s="1">
        <v>0</v>
      </c>
      <c r="T77" s="1"/>
      <c r="U77" s="1"/>
      <c r="V77" s="1">
        <f t="shared" si="20"/>
        <v>13</v>
      </c>
      <c r="W77" s="5">
        <f>12*V77-S77-R77-Q77-P77-O77-F77</f>
        <v>63</v>
      </c>
      <c r="X77" s="5">
        <f t="shared" ref="X77:X89" si="25">W77</f>
        <v>63</v>
      </c>
      <c r="Y77" s="5"/>
      <c r="Z77" s="21"/>
      <c r="AA77" s="21"/>
      <c r="AB77" s="1">
        <f t="shared" si="24"/>
        <v>12</v>
      </c>
      <c r="AC77" s="1">
        <f t="shared" si="22"/>
        <v>7.1538461538461542</v>
      </c>
      <c r="AD77" s="1">
        <v>5.4</v>
      </c>
      <c r="AE77" s="1">
        <v>7.2</v>
      </c>
      <c r="AF77" s="1">
        <v>11</v>
      </c>
      <c r="AG77" s="1">
        <v>15</v>
      </c>
      <c r="AH77" s="1">
        <v>12.8</v>
      </c>
      <c r="AI77" s="1">
        <v>11.2</v>
      </c>
      <c r="AJ77" s="1">
        <v>13.4</v>
      </c>
      <c r="AK77" s="1">
        <v>13.6</v>
      </c>
      <c r="AL77" s="1">
        <v>20.8</v>
      </c>
      <c r="AM77" s="1">
        <v>21.8</v>
      </c>
      <c r="AN77" s="1"/>
      <c r="AO77" s="1">
        <f t="shared" si="23"/>
        <v>22</v>
      </c>
      <c r="AP77" t="s">
        <v>193</v>
      </c>
    </row>
    <row r="78" spans="1:42" x14ac:dyDescent="0.25">
      <c r="A78" s="1" t="s">
        <v>194</v>
      </c>
      <c r="B78" s="1" t="s">
        <v>49</v>
      </c>
      <c r="C78" s="1">
        <v>313</v>
      </c>
      <c r="D78" s="1">
        <v>50</v>
      </c>
      <c r="E78" s="1">
        <v>118</v>
      </c>
      <c r="F78" s="1">
        <v>239</v>
      </c>
      <c r="G78" s="7">
        <v>0.37</v>
      </c>
      <c r="H78" s="1">
        <v>50</v>
      </c>
      <c r="I78" s="1" t="s">
        <v>42</v>
      </c>
      <c r="J78" s="1"/>
      <c r="K78" s="1">
        <v>118</v>
      </c>
      <c r="L78" s="1">
        <f t="shared" si="19"/>
        <v>0</v>
      </c>
      <c r="M78" s="1"/>
      <c r="N78" s="1"/>
      <c r="O78" s="1">
        <v>0</v>
      </c>
      <c r="P78" s="1"/>
      <c r="Q78" s="1"/>
      <c r="R78" s="1"/>
      <c r="S78" s="1">
        <v>0</v>
      </c>
      <c r="T78" s="1"/>
      <c r="U78" s="1"/>
      <c r="V78" s="1">
        <f t="shared" si="20"/>
        <v>23.6</v>
      </c>
      <c r="W78" s="5">
        <f>12*V78-S78-R78-Q78-P78-O78-F78</f>
        <v>44.200000000000045</v>
      </c>
      <c r="X78" s="5">
        <f t="shared" si="25"/>
        <v>44.200000000000045</v>
      </c>
      <c r="Y78" s="5"/>
      <c r="Z78" s="21"/>
      <c r="AA78" s="21"/>
      <c r="AB78" s="1">
        <f t="shared" si="24"/>
        <v>12.000000000000002</v>
      </c>
      <c r="AC78" s="1">
        <f t="shared" si="22"/>
        <v>10.127118644067796</v>
      </c>
      <c r="AD78" s="1">
        <v>22.4</v>
      </c>
      <c r="AE78" s="1">
        <v>18.399999999999999</v>
      </c>
      <c r="AF78" s="1">
        <v>26</v>
      </c>
      <c r="AG78" s="1">
        <v>33.4</v>
      </c>
      <c r="AH78" s="1">
        <v>42.4</v>
      </c>
      <c r="AI78" s="1">
        <v>46</v>
      </c>
      <c r="AJ78" s="1">
        <v>32</v>
      </c>
      <c r="AK78" s="1">
        <v>24.8</v>
      </c>
      <c r="AL78" s="1">
        <v>30.8</v>
      </c>
      <c r="AM78" s="1">
        <v>26.4</v>
      </c>
      <c r="AN78" s="1"/>
      <c r="AO78" s="1">
        <f t="shared" si="23"/>
        <v>16</v>
      </c>
      <c r="AP78" t="s">
        <v>195</v>
      </c>
    </row>
    <row r="79" spans="1:42" x14ac:dyDescent="0.25">
      <c r="A79" s="9" t="s">
        <v>196</v>
      </c>
      <c r="B79" s="9" t="s">
        <v>49</v>
      </c>
      <c r="C79" s="9"/>
      <c r="D79" s="9"/>
      <c r="E79" s="9"/>
      <c r="F79" s="9"/>
      <c r="G79" s="10">
        <v>0</v>
      </c>
      <c r="H79" s="9"/>
      <c r="I79" s="9" t="s">
        <v>42</v>
      </c>
      <c r="J79" s="9"/>
      <c r="K79" s="9"/>
      <c r="L79" s="9">
        <f t="shared" si="19"/>
        <v>0</v>
      </c>
      <c r="M79" s="9"/>
      <c r="N79" s="9"/>
      <c r="O79" s="9">
        <v>0</v>
      </c>
      <c r="P79" s="9"/>
      <c r="Q79" s="9"/>
      <c r="R79" s="9"/>
      <c r="S79" s="9">
        <v>0</v>
      </c>
      <c r="T79" s="9"/>
      <c r="U79" s="9"/>
      <c r="V79" s="9">
        <f t="shared" si="20"/>
        <v>0</v>
      </c>
      <c r="W79" s="11"/>
      <c r="X79" s="5">
        <f t="shared" si="25"/>
        <v>0</v>
      </c>
      <c r="Y79" s="5"/>
      <c r="Z79" s="21"/>
      <c r="AA79" s="21"/>
      <c r="AB79" s="1" t="e">
        <f t="shared" si="24"/>
        <v>#DIV/0!</v>
      </c>
      <c r="AC79" s="9" t="e">
        <f t="shared" si="22"/>
        <v>#DIV/0!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 t="s">
        <v>57</v>
      </c>
      <c r="AO79" s="1">
        <f t="shared" si="23"/>
        <v>0</v>
      </c>
      <c r="AP79" t="s">
        <v>197</v>
      </c>
    </row>
    <row r="80" spans="1:42" x14ac:dyDescent="0.25">
      <c r="A80" s="1" t="s">
        <v>198</v>
      </c>
      <c r="B80" s="1" t="s">
        <v>49</v>
      </c>
      <c r="C80" s="1">
        <v>46</v>
      </c>
      <c r="D80" s="1"/>
      <c r="E80" s="1">
        <v>43</v>
      </c>
      <c r="F80" s="1">
        <v>3</v>
      </c>
      <c r="G80" s="7">
        <v>0.33</v>
      </c>
      <c r="H80" s="1">
        <v>40</v>
      </c>
      <c r="I80" s="1" t="s">
        <v>42</v>
      </c>
      <c r="J80" s="1"/>
      <c r="K80" s="1">
        <v>42</v>
      </c>
      <c r="L80" s="1">
        <f t="shared" si="19"/>
        <v>1</v>
      </c>
      <c r="M80" s="1"/>
      <c r="N80" s="1"/>
      <c r="O80" s="1">
        <v>61.000000000000007</v>
      </c>
      <c r="P80" s="1">
        <v>0</v>
      </c>
      <c r="Q80" s="1"/>
      <c r="R80" s="1"/>
      <c r="S80" s="1">
        <v>13.4</v>
      </c>
      <c r="T80" s="1"/>
      <c r="U80" s="1"/>
      <c r="V80" s="1">
        <f t="shared" si="20"/>
        <v>8.6</v>
      </c>
      <c r="W80" s="5">
        <f>12*V80-S80-R80-Q80-P80-O80-F80</f>
        <v>25.799999999999976</v>
      </c>
      <c r="X80" s="5">
        <f t="shared" si="25"/>
        <v>25.799999999999976</v>
      </c>
      <c r="Y80" s="5"/>
      <c r="Z80" s="21"/>
      <c r="AA80" s="21"/>
      <c r="AB80" s="1">
        <f t="shared" si="24"/>
        <v>12</v>
      </c>
      <c r="AC80" s="1">
        <f t="shared" si="22"/>
        <v>9.0000000000000018</v>
      </c>
      <c r="AD80" s="1">
        <v>8.4</v>
      </c>
      <c r="AE80" s="1">
        <v>6</v>
      </c>
      <c r="AF80" s="1">
        <v>5.6</v>
      </c>
      <c r="AG80" s="1">
        <v>8.1999999999999993</v>
      </c>
      <c r="AH80" s="1">
        <v>11</v>
      </c>
      <c r="AI80" s="1">
        <v>10.8</v>
      </c>
      <c r="AJ80" s="1">
        <v>10.199999999999999</v>
      </c>
      <c r="AK80" s="1">
        <v>7.4</v>
      </c>
      <c r="AL80" s="1">
        <v>7.6</v>
      </c>
      <c r="AM80" s="1">
        <v>6</v>
      </c>
      <c r="AN80" s="1"/>
      <c r="AO80" s="1">
        <f t="shared" si="23"/>
        <v>9</v>
      </c>
      <c r="AP80" t="s">
        <v>199</v>
      </c>
    </row>
    <row r="81" spans="1:42" x14ac:dyDescent="0.25">
      <c r="A81" s="1" t="s">
        <v>200</v>
      </c>
      <c r="B81" s="1" t="s">
        <v>49</v>
      </c>
      <c r="C81" s="1">
        <v>391</v>
      </c>
      <c r="D81" s="1">
        <v>6</v>
      </c>
      <c r="E81" s="1">
        <v>61</v>
      </c>
      <c r="F81" s="1">
        <v>325</v>
      </c>
      <c r="G81" s="7">
        <v>0.4</v>
      </c>
      <c r="H81" s="1">
        <v>55</v>
      </c>
      <c r="I81" s="1" t="s">
        <v>42</v>
      </c>
      <c r="J81" s="1"/>
      <c r="K81" s="1">
        <v>65</v>
      </c>
      <c r="L81" s="1">
        <f t="shared" si="19"/>
        <v>-4</v>
      </c>
      <c r="M81" s="1"/>
      <c r="N81" s="1"/>
      <c r="O81" s="1">
        <v>0</v>
      </c>
      <c r="P81" s="1"/>
      <c r="Q81" s="1"/>
      <c r="R81" s="1"/>
      <c r="S81" s="1">
        <v>0</v>
      </c>
      <c r="T81" s="1"/>
      <c r="U81" s="1"/>
      <c r="V81" s="1">
        <f t="shared" si="20"/>
        <v>12.2</v>
      </c>
      <c r="W81" s="5"/>
      <c r="X81" s="5">
        <f t="shared" si="25"/>
        <v>0</v>
      </c>
      <c r="Y81" s="5"/>
      <c r="Z81" s="21"/>
      <c r="AA81" s="21"/>
      <c r="AB81" s="1">
        <f t="shared" si="24"/>
        <v>26.639344262295083</v>
      </c>
      <c r="AC81" s="1">
        <f t="shared" si="22"/>
        <v>26.639344262295083</v>
      </c>
      <c r="AD81" s="1">
        <v>13.8</v>
      </c>
      <c r="AE81" s="1">
        <v>9</v>
      </c>
      <c r="AF81" s="1">
        <v>12.6</v>
      </c>
      <c r="AG81" s="1">
        <v>8.6</v>
      </c>
      <c r="AH81" s="1">
        <v>7.4</v>
      </c>
      <c r="AI81" s="1">
        <v>43</v>
      </c>
      <c r="AJ81" s="1">
        <v>39.4</v>
      </c>
      <c r="AK81" s="1">
        <v>4</v>
      </c>
      <c r="AL81" s="1">
        <v>4.2</v>
      </c>
      <c r="AM81" s="1">
        <v>14.8</v>
      </c>
      <c r="AN81" s="15" t="s">
        <v>136</v>
      </c>
      <c r="AO81" s="1">
        <f t="shared" si="23"/>
        <v>0</v>
      </c>
      <c r="AP81" t="s">
        <v>201</v>
      </c>
    </row>
    <row r="82" spans="1:42" x14ac:dyDescent="0.25">
      <c r="A82" s="1" t="s">
        <v>202</v>
      </c>
      <c r="B82" s="1" t="s">
        <v>49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1" t="s">
        <v>42</v>
      </c>
      <c r="J82" s="1"/>
      <c r="K82" s="1">
        <v>15</v>
      </c>
      <c r="L82" s="1">
        <f t="shared" si="19"/>
        <v>-15</v>
      </c>
      <c r="M82" s="1"/>
      <c r="N82" s="1"/>
      <c r="O82" s="1">
        <v>80</v>
      </c>
      <c r="P82" s="1">
        <v>-24.15</v>
      </c>
      <c r="Q82" s="1"/>
      <c r="R82" s="1"/>
      <c r="S82" s="1">
        <v>0</v>
      </c>
      <c r="T82" s="1"/>
      <c r="U82" s="1"/>
      <c r="V82" s="1">
        <f t="shared" si="20"/>
        <v>0</v>
      </c>
      <c r="W82" s="5"/>
      <c r="X82" s="5">
        <f t="shared" si="25"/>
        <v>0</v>
      </c>
      <c r="Y82" s="5"/>
      <c r="Z82" s="21"/>
      <c r="AA82" s="21"/>
      <c r="AB82" s="1" t="e">
        <f t="shared" si="24"/>
        <v>#DIV/0!</v>
      </c>
      <c r="AC82" s="1" t="e">
        <f t="shared" si="22"/>
        <v>#DIV/0!</v>
      </c>
      <c r="AD82" s="1">
        <v>2.4</v>
      </c>
      <c r="AE82" s="1">
        <v>6.2</v>
      </c>
      <c r="AF82" s="1">
        <v>7</v>
      </c>
      <c r="AG82" s="1">
        <v>8</v>
      </c>
      <c r="AH82" s="1">
        <v>6.4</v>
      </c>
      <c r="AI82" s="1">
        <v>3.4</v>
      </c>
      <c r="AJ82" s="1">
        <v>2.2000000000000002</v>
      </c>
      <c r="AK82" s="1">
        <v>0.6</v>
      </c>
      <c r="AL82" s="1">
        <v>4.8</v>
      </c>
      <c r="AM82" s="1">
        <v>8.4</v>
      </c>
      <c r="AN82" s="1"/>
      <c r="AO82" s="1">
        <f t="shared" si="23"/>
        <v>0</v>
      </c>
      <c r="AP82" t="s">
        <v>203</v>
      </c>
    </row>
    <row r="83" spans="1:42" x14ac:dyDescent="0.25">
      <c r="A83" s="1" t="s">
        <v>204</v>
      </c>
      <c r="B83" s="1" t="s">
        <v>49</v>
      </c>
      <c r="C83" s="1">
        <v>2</v>
      </c>
      <c r="D83" s="1"/>
      <c r="E83" s="1"/>
      <c r="F83" s="1">
        <v>2</v>
      </c>
      <c r="G83" s="7">
        <v>0.35</v>
      </c>
      <c r="H83" s="1">
        <v>45</v>
      </c>
      <c r="I83" s="1" t="s">
        <v>42</v>
      </c>
      <c r="J83" s="1"/>
      <c r="K83" s="1">
        <v>14</v>
      </c>
      <c r="L83" s="1">
        <f t="shared" si="19"/>
        <v>-14</v>
      </c>
      <c r="M83" s="1"/>
      <c r="N83" s="1"/>
      <c r="O83" s="1">
        <v>60</v>
      </c>
      <c r="P83" s="1">
        <v>0</v>
      </c>
      <c r="Q83" s="1"/>
      <c r="R83" s="1"/>
      <c r="S83" s="1">
        <v>0</v>
      </c>
      <c r="T83" s="1"/>
      <c r="U83" s="1"/>
      <c r="V83" s="1">
        <f t="shared" si="20"/>
        <v>0</v>
      </c>
      <c r="W83" s="5"/>
      <c r="X83" s="5">
        <f t="shared" si="25"/>
        <v>0</v>
      </c>
      <c r="Y83" s="5"/>
      <c r="Z83" s="21"/>
      <c r="AA83" s="21"/>
      <c r="AB83" s="1" t="e">
        <f t="shared" si="24"/>
        <v>#DIV/0!</v>
      </c>
      <c r="AC83" s="1" t="e">
        <f t="shared" si="22"/>
        <v>#DIV/0!</v>
      </c>
      <c r="AD83" s="1">
        <v>1.4</v>
      </c>
      <c r="AE83" s="1">
        <v>5.4</v>
      </c>
      <c r="AF83" s="1">
        <v>8.1999999999999993</v>
      </c>
      <c r="AG83" s="1">
        <v>9</v>
      </c>
      <c r="AH83" s="1">
        <v>5</v>
      </c>
      <c r="AI83" s="1">
        <v>1.8</v>
      </c>
      <c r="AJ83" s="1">
        <v>6.2</v>
      </c>
      <c r="AK83" s="1">
        <v>6.6</v>
      </c>
      <c r="AL83" s="1">
        <v>4</v>
      </c>
      <c r="AM83" s="1">
        <v>2.6</v>
      </c>
      <c r="AN83" s="1"/>
      <c r="AO83" s="1">
        <f t="shared" si="23"/>
        <v>0</v>
      </c>
      <c r="AP83" t="s">
        <v>205</v>
      </c>
    </row>
    <row r="84" spans="1:42" x14ac:dyDescent="0.25">
      <c r="A84" s="9" t="s">
        <v>206</v>
      </c>
      <c r="B84" s="9" t="s">
        <v>49</v>
      </c>
      <c r="C84" s="9"/>
      <c r="D84" s="9"/>
      <c r="E84" s="9"/>
      <c r="F84" s="9"/>
      <c r="G84" s="10">
        <v>0</v>
      </c>
      <c r="H84" s="9"/>
      <c r="I84" s="9" t="s">
        <v>42</v>
      </c>
      <c r="J84" s="9"/>
      <c r="K84" s="9"/>
      <c r="L84" s="9">
        <f t="shared" si="19"/>
        <v>0</v>
      </c>
      <c r="M84" s="9"/>
      <c r="N84" s="9"/>
      <c r="O84" s="9">
        <v>0</v>
      </c>
      <c r="P84" s="9"/>
      <c r="Q84" s="9"/>
      <c r="R84" s="9"/>
      <c r="S84" s="9">
        <v>0</v>
      </c>
      <c r="T84" s="9"/>
      <c r="U84" s="9"/>
      <c r="V84" s="9">
        <f t="shared" si="20"/>
        <v>0</v>
      </c>
      <c r="W84" s="11"/>
      <c r="X84" s="5">
        <f t="shared" si="25"/>
        <v>0</v>
      </c>
      <c r="Y84" s="5"/>
      <c r="Z84" s="21"/>
      <c r="AA84" s="21"/>
      <c r="AB84" s="1" t="e">
        <f t="shared" si="24"/>
        <v>#DIV/0!</v>
      </c>
      <c r="AC84" s="9" t="e">
        <f t="shared" si="22"/>
        <v>#DIV/0!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 t="s">
        <v>57</v>
      </c>
      <c r="AO84" s="1">
        <f t="shared" si="23"/>
        <v>0</v>
      </c>
      <c r="AP84" t="s">
        <v>207</v>
      </c>
    </row>
    <row r="85" spans="1:42" x14ac:dyDescent="0.25">
      <c r="A85" s="9" t="s">
        <v>208</v>
      </c>
      <c r="B85" s="9" t="s">
        <v>41</v>
      </c>
      <c r="C85" s="9"/>
      <c r="D85" s="9"/>
      <c r="E85" s="9"/>
      <c r="F85" s="9"/>
      <c r="G85" s="10">
        <v>0</v>
      </c>
      <c r="H85" s="9"/>
      <c r="I85" s="9" t="s">
        <v>42</v>
      </c>
      <c r="J85" s="9"/>
      <c r="K85" s="9"/>
      <c r="L85" s="9">
        <f t="shared" si="19"/>
        <v>0</v>
      </c>
      <c r="M85" s="9"/>
      <c r="N85" s="9"/>
      <c r="O85" s="9">
        <v>0</v>
      </c>
      <c r="P85" s="9"/>
      <c r="Q85" s="9"/>
      <c r="R85" s="9"/>
      <c r="S85" s="9">
        <v>0</v>
      </c>
      <c r="T85" s="9"/>
      <c r="U85" s="9"/>
      <c r="V85" s="9">
        <f t="shared" si="20"/>
        <v>0</v>
      </c>
      <c r="W85" s="11"/>
      <c r="X85" s="5">
        <f t="shared" si="25"/>
        <v>0</v>
      </c>
      <c r="Y85" s="5"/>
      <c r="Z85" s="21"/>
      <c r="AA85" s="21"/>
      <c r="AB85" s="1" t="e">
        <f t="shared" si="24"/>
        <v>#DIV/0!</v>
      </c>
      <c r="AC85" s="9" t="e">
        <f t="shared" si="22"/>
        <v>#DIV/0!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 t="s">
        <v>57</v>
      </c>
      <c r="AO85" s="1">
        <f t="shared" si="23"/>
        <v>0</v>
      </c>
      <c r="AP85" t="s">
        <v>209</v>
      </c>
    </row>
    <row r="86" spans="1:42" x14ac:dyDescent="0.25">
      <c r="A86" s="9" t="s">
        <v>210</v>
      </c>
      <c r="B86" s="9" t="s">
        <v>49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84</v>
      </c>
      <c r="J86" s="9"/>
      <c r="K86" s="9">
        <v>10</v>
      </c>
      <c r="L86" s="9">
        <f t="shared" si="19"/>
        <v>-10</v>
      </c>
      <c r="M86" s="9"/>
      <c r="N86" s="9"/>
      <c r="O86" s="9">
        <v>0</v>
      </c>
      <c r="P86" s="9"/>
      <c r="Q86" s="9"/>
      <c r="R86" s="9"/>
      <c r="S86" s="9">
        <v>0</v>
      </c>
      <c r="T86" s="9"/>
      <c r="U86" s="9"/>
      <c r="V86" s="9">
        <f t="shared" si="20"/>
        <v>0</v>
      </c>
      <c r="W86" s="11"/>
      <c r="X86" s="5">
        <f t="shared" si="25"/>
        <v>0</v>
      </c>
      <c r="Y86" s="5"/>
      <c r="Z86" s="21"/>
      <c r="AA86" s="21"/>
      <c r="AB86" s="1" t="e">
        <f t="shared" si="24"/>
        <v>#DIV/0!</v>
      </c>
      <c r="AC86" s="9" t="e">
        <f t="shared" si="22"/>
        <v>#DIV/0!</v>
      </c>
      <c r="AD86" s="9">
        <v>2</v>
      </c>
      <c r="AE86" s="9">
        <v>2</v>
      </c>
      <c r="AF86" s="9">
        <v>0</v>
      </c>
      <c r="AG86" s="9">
        <v>8.6</v>
      </c>
      <c r="AH86" s="9">
        <v>17.399999999999999</v>
      </c>
      <c r="AI86" s="9">
        <v>27.4</v>
      </c>
      <c r="AJ86" s="9">
        <v>18.600000000000001</v>
      </c>
      <c r="AK86" s="9">
        <v>2.6</v>
      </c>
      <c r="AL86" s="9">
        <v>14.4</v>
      </c>
      <c r="AM86" s="9">
        <v>16.2</v>
      </c>
      <c r="AN86" s="9"/>
      <c r="AO86" s="1">
        <f t="shared" si="23"/>
        <v>0</v>
      </c>
      <c r="AP86" t="s">
        <v>211</v>
      </c>
    </row>
    <row r="87" spans="1:42" x14ac:dyDescent="0.25">
      <c r="A87" s="1" t="s">
        <v>212</v>
      </c>
      <c r="B87" s="1" t="s">
        <v>41</v>
      </c>
      <c r="C87" s="1">
        <v>35.844999999999999</v>
      </c>
      <c r="D87" s="1"/>
      <c r="E87" s="1">
        <v>2.8660000000000001</v>
      </c>
      <c r="F87" s="1">
        <v>31.547999999999998</v>
      </c>
      <c r="G87" s="7">
        <v>1</v>
      </c>
      <c r="H87" s="1">
        <v>55</v>
      </c>
      <c r="I87" s="1" t="s">
        <v>42</v>
      </c>
      <c r="J87" s="1"/>
      <c r="K87" s="1">
        <v>1.8</v>
      </c>
      <c r="L87" s="1">
        <f t="shared" si="19"/>
        <v>1.0660000000000001</v>
      </c>
      <c r="M87" s="1"/>
      <c r="N87" s="1"/>
      <c r="O87" s="1">
        <v>0</v>
      </c>
      <c r="P87" s="1"/>
      <c r="Q87" s="1"/>
      <c r="R87" s="1"/>
      <c r="S87" s="1">
        <v>0</v>
      </c>
      <c r="T87" s="1"/>
      <c r="U87" s="1"/>
      <c r="V87" s="1">
        <f t="shared" si="20"/>
        <v>0.57320000000000004</v>
      </c>
      <c r="W87" s="5"/>
      <c r="X87" s="5">
        <f t="shared" si="25"/>
        <v>0</v>
      </c>
      <c r="Y87" s="5"/>
      <c r="Z87" s="21"/>
      <c r="AA87" s="21"/>
      <c r="AB87" s="1">
        <f t="shared" si="24"/>
        <v>55.038381018841584</v>
      </c>
      <c r="AC87" s="1">
        <f t="shared" si="22"/>
        <v>55.038381018841584</v>
      </c>
      <c r="AD87" s="1">
        <v>0.57420000000000004</v>
      </c>
      <c r="AE87" s="1">
        <v>0.57440000000000002</v>
      </c>
      <c r="AF87" s="1">
        <v>1.1494</v>
      </c>
      <c r="AG87" s="1">
        <v>2.0078</v>
      </c>
      <c r="AH87" s="1">
        <v>2.8702000000000001</v>
      </c>
      <c r="AI87" s="1">
        <v>2.3037999999999998</v>
      </c>
      <c r="AJ87" s="1">
        <v>0.86639999999999995</v>
      </c>
      <c r="AK87" s="1">
        <v>1.159</v>
      </c>
      <c r="AL87" s="1">
        <v>1.4476</v>
      </c>
      <c r="AM87" s="1">
        <v>0.86639999999999995</v>
      </c>
      <c r="AN87" s="15" t="s">
        <v>136</v>
      </c>
      <c r="AO87" s="1">
        <f t="shared" si="23"/>
        <v>0</v>
      </c>
      <c r="AP87" t="s">
        <v>213</v>
      </c>
    </row>
    <row r="88" spans="1:42" x14ac:dyDescent="0.25">
      <c r="A88" s="1" t="s">
        <v>214</v>
      </c>
      <c r="B88" s="1" t="s">
        <v>41</v>
      </c>
      <c r="C88" s="1">
        <v>436.25200000000001</v>
      </c>
      <c r="D88" s="1">
        <v>84.84</v>
      </c>
      <c r="E88" s="1">
        <v>176.99199999999999</v>
      </c>
      <c r="F88" s="1">
        <v>310.154</v>
      </c>
      <c r="G88" s="7">
        <v>1</v>
      </c>
      <c r="H88" s="1">
        <v>60</v>
      </c>
      <c r="I88" s="1" t="s">
        <v>42</v>
      </c>
      <c r="J88" s="1"/>
      <c r="K88" s="1">
        <v>171.56</v>
      </c>
      <c r="L88" s="1">
        <f t="shared" si="19"/>
        <v>5.4319999999999879</v>
      </c>
      <c r="M88" s="1"/>
      <c r="N88" s="1"/>
      <c r="O88" s="1">
        <v>112.86</v>
      </c>
      <c r="P88" s="1">
        <v>0</v>
      </c>
      <c r="Q88" s="1"/>
      <c r="R88" s="1"/>
      <c r="S88" s="1">
        <v>0</v>
      </c>
      <c r="T88" s="1"/>
      <c r="U88" s="17">
        <v>100</v>
      </c>
      <c r="V88" s="1">
        <f t="shared" si="20"/>
        <v>35.398399999999995</v>
      </c>
      <c r="W88" s="5">
        <v>4</v>
      </c>
      <c r="X88" s="5">
        <f t="shared" si="25"/>
        <v>4</v>
      </c>
      <c r="Y88" s="5"/>
      <c r="Z88" s="21"/>
      <c r="AA88" s="21"/>
      <c r="AB88" s="1">
        <f t="shared" si="24"/>
        <v>14.888074037244623</v>
      </c>
      <c r="AC88" s="1">
        <f t="shared" si="22"/>
        <v>11.950088139576932</v>
      </c>
      <c r="AD88" s="1">
        <v>35.738399999999999</v>
      </c>
      <c r="AE88" s="1">
        <v>39.966799999999999</v>
      </c>
      <c r="AF88" s="1">
        <v>42.334800000000001</v>
      </c>
      <c r="AG88" s="1">
        <v>54.258799999999987</v>
      </c>
      <c r="AH88" s="1">
        <v>64.385599999999997</v>
      </c>
      <c r="AI88" s="1">
        <v>65.792000000000002</v>
      </c>
      <c r="AJ88" s="1">
        <v>54.653599999999997</v>
      </c>
      <c r="AK88" s="1">
        <v>52.551599999999993</v>
      </c>
      <c r="AL88" s="1">
        <v>69.242800000000003</v>
      </c>
      <c r="AM88" s="1">
        <v>51.0944</v>
      </c>
      <c r="AN88" s="1"/>
      <c r="AO88" s="1">
        <f t="shared" si="23"/>
        <v>4</v>
      </c>
      <c r="AP88" t="s">
        <v>215</v>
      </c>
    </row>
    <row r="89" spans="1:42" x14ac:dyDescent="0.25">
      <c r="A89" s="9" t="s">
        <v>216</v>
      </c>
      <c r="B89" s="9" t="s">
        <v>49</v>
      </c>
      <c r="C89" s="9"/>
      <c r="D89" s="9"/>
      <c r="E89" s="9"/>
      <c r="F89" s="9"/>
      <c r="G89" s="10">
        <v>0</v>
      </c>
      <c r="H89" s="9"/>
      <c r="I89" s="9" t="s">
        <v>42</v>
      </c>
      <c r="J89" s="9"/>
      <c r="K89" s="9"/>
      <c r="L89" s="9">
        <f t="shared" si="19"/>
        <v>0</v>
      </c>
      <c r="M89" s="9"/>
      <c r="N89" s="9"/>
      <c r="O89" s="9">
        <v>0</v>
      </c>
      <c r="P89" s="9"/>
      <c r="Q89" s="9"/>
      <c r="R89" s="9"/>
      <c r="S89" s="9">
        <v>0</v>
      </c>
      <c r="T89" s="9"/>
      <c r="U89" s="9"/>
      <c r="V89" s="9">
        <f t="shared" si="20"/>
        <v>0</v>
      </c>
      <c r="W89" s="11"/>
      <c r="X89" s="5">
        <f t="shared" si="25"/>
        <v>0</v>
      </c>
      <c r="Y89" s="5"/>
      <c r="Z89" s="21"/>
      <c r="AA89" s="21"/>
      <c r="AB89" s="1" t="e">
        <f t="shared" si="24"/>
        <v>#DIV/0!</v>
      </c>
      <c r="AC89" s="9" t="e">
        <f t="shared" si="22"/>
        <v>#DIV/0!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 t="s">
        <v>57</v>
      </c>
      <c r="AO89" s="1">
        <f t="shared" si="23"/>
        <v>0</v>
      </c>
      <c r="AP89" t="s">
        <v>217</v>
      </c>
    </row>
    <row r="90" spans="1:42" x14ac:dyDescent="0.25">
      <c r="A90" s="23" t="s">
        <v>218</v>
      </c>
      <c r="B90" s="1" t="s">
        <v>41</v>
      </c>
      <c r="C90" s="1">
        <v>3082.1329999999998</v>
      </c>
      <c r="D90" s="1">
        <v>1530.3710000000001</v>
      </c>
      <c r="E90" s="1">
        <v>1527.597</v>
      </c>
      <c r="F90" s="1">
        <v>2653.1460000000002</v>
      </c>
      <c r="G90" s="7">
        <v>1</v>
      </c>
      <c r="H90" s="1">
        <v>60</v>
      </c>
      <c r="I90" s="1" t="s">
        <v>42</v>
      </c>
      <c r="J90" s="1"/>
      <c r="K90" s="1">
        <v>1627</v>
      </c>
      <c r="L90" s="1">
        <f t="shared" si="19"/>
        <v>-99.40300000000002</v>
      </c>
      <c r="M90" s="1"/>
      <c r="N90" s="1"/>
      <c r="O90" s="1">
        <v>0</v>
      </c>
      <c r="P90" s="1"/>
      <c r="Q90" s="1"/>
      <c r="R90" s="1"/>
      <c r="S90" s="1">
        <v>0</v>
      </c>
      <c r="T90" s="1"/>
      <c r="U90" s="17">
        <v>600</v>
      </c>
      <c r="V90" s="1">
        <f t="shared" si="20"/>
        <v>305.51940000000002</v>
      </c>
      <c r="W90" s="5">
        <f>12*V90-S90-R90-Q90-P90-O90-F90</f>
        <v>1013.0868</v>
      </c>
      <c r="X90" s="5">
        <f>W90+$X$1*V90</f>
        <v>811.44399599999997</v>
      </c>
      <c r="Y90" s="5"/>
      <c r="Z90" s="21">
        <v>600</v>
      </c>
      <c r="AA90" s="21">
        <v>300</v>
      </c>
      <c r="AB90" s="1">
        <f t="shared" si="24"/>
        <v>16.249671857171755</v>
      </c>
      <c r="AC90" s="1">
        <f t="shared" si="22"/>
        <v>8.6840508327785404</v>
      </c>
      <c r="AD90" s="1">
        <v>261.89159999999998</v>
      </c>
      <c r="AE90" s="1">
        <v>278.6728</v>
      </c>
      <c r="AF90" s="1">
        <v>349.59500000000003</v>
      </c>
      <c r="AG90" s="1">
        <v>386.44279999999998</v>
      </c>
      <c r="AH90" s="1">
        <v>349.46839999999997</v>
      </c>
      <c r="AI90" s="1">
        <v>330.30160000000001</v>
      </c>
      <c r="AJ90" s="1">
        <v>346.56220000000002</v>
      </c>
      <c r="AK90" s="1">
        <v>373.70159999999998</v>
      </c>
      <c r="AL90" s="1">
        <v>399.83</v>
      </c>
      <c r="AM90" s="1">
        <v>296.8424</v>
      </c>
      <c r="AN90" s="1"/>
      <c r="AO90" s="1">
        <f t="shared" si="23"/>
        <v>811</v>
      </c>
      <c r="AP90" t="s">
        <v>219</v>
      </c>
    </row>
    <row r="91" spans="1:42" x14ac:dyDescent="0.25">
      <c r="A91" s="1" t="s">
        <v>220</v>
      </c>
      <c r="B91" s="1" t="s">
        <v>41</v>
      </c>
      <c r="C91" s="1">
        <v>2734.875</v>
      </c>
      <c r="D91" s="1">
        <v>2044.2280000000001</v>
      </c>
      <c r="E91" s="1">
        <v>1336.912</v>
      </c>
      <c r="F91" s="1">
        <v>3196.4029999999998</v>
      </c>
      <c r="G91" s="7">
        <v>1</v>
      </c>
      <c r="H91" s="1">
        <v>60</v>
      </c>
      <c r="I91" s="1" t="s">
        <v>42</v>
      </c>
      <c r="J91" s="1"/>
      <c r="K91" s="1">
        <v>1405</v>
      </c>
      <c r="L91" s="1">
        <f t="shared" si="19"/>
        <v>-68.087999999999965</v>
      </c>
      <c r="M91" s="1"/>
      <c r="N91" s="1"/>
      <c r="O91" s="1">
        <v>0</v>
      </c>
      <c r="P91" s="1"/>
      <c r="Q91" s="1"/>
      <c r="R91" s="1">
        <v>300</v>
      </c>
      <c r="S91" s="1">
        <v>0</v>
      </c>
      <c r="T91" s="1"/>
      <c r="U91" s="1"/>
      <c r="V91" s="1">
        <f t="shared" si="20"/>
        <v>267.38240000000002</v>
      </c>
      <c r="W91" s="5"/>
      <c r="X91" s="5">
        <f>W91</f>
        <v>0</v>
      </c>
      <c r="Y91" s="5"/>
      <c r="Z91" s="21"/>
      <c r="AA91" s="21"/>
      <c r="AB91" s="1">
        <f t="shared" si="24"/>
        <v>13.076414154409562</v>
      </c>
      <c r="AC91" s="1">
        <f t="shared" si="22"/>
        <v>13.076414154409562</v>
      </c>
      <c r="AD91" s="1">
        <v>257.27859999999998</v>
      </c>
      <c r="AE91" s="1">
        <v>302.92239999999998</v>
      </c>
      <c r="AF91" s="1">
        <v>335.65300000000002</v>
      </c>
      <c r="AG91" s="1">
        <v>342.85480000000001</v>
      </c>
      <c r="AH91" s="1">
        <v>355.83800000000002</v>
      </c>
      <c r="AI91" s="1">
        <v>333.839</v>
      </c>
      <c r="AJ91" s="1">
        <v>299.80560000000003</v>
      </c>
      <c r="AK91" s="1">
        <v>327.33319999999998</v>
      </c>
      <c r="AL91" s="1">
        <v>409.26220000000001</v>
      </c>
      <c r="AM91" s="1">
        <v>319.29379999999998</v>
      </c>
      <c r="AN91" s="1"/>
      <c r="AO91" s="1">
        <f t="shared" si="23"/>
        <v>0</v>
      </c>
      <c r="AP91" t="s">
        <v>221</v>
      </c>
    </row>
    <row r="92" spans="1:42" x14ac:dyDescent="0.25">
      <c r="A92" s="23" t="s">
        <v>222</v>
      </c>
      <c r="B92" s="1" t="s">
        <v>41</v>
      </c>
      <c r="C92" s="1">
        <v>2773.0259999999998</v>
      </c>
      <c r="D92" s="1">
        <v>4115.259</v>
      </c>
      <c r="E92" s="1">
        <v>2164.9119999999998</v>
      </c>
      <c r="F92" s="1">
        <v>4111.0640000000003</v>
      </c>
      <c r="G92" s="7">
        <v>1</v>
      </c>
      <c r="H92" s="1">
        <v>60</v>
      </c>
      <c r="I92" s="1" t="s">
        <v>42</v>
      </c>
      <c r="J92" s="1"/>
      <c r="K92" s="1">
        <v>2342.5</v>
      </c>
      <c r="L92" s="1">
        <f t="shared" si="19"/>
        <v>-177.58800000000019</v>
      </c>
      <c r="M92" s="1"/>
      <c r="N92" s="1"/>
      <c r="O92" s="1">
        <v>501.15139999999798</v>
      </c>
      <c r="P92" s="1">
        <v>0</v>
      </c>
      <c r="Q92" s="1"/>
      <c r="R92" s="1">
        <v>1000</v>
      </c>
      <c r="S92" s="1">
        <v>0</v>
      </c>
      <c r="T92" s="1"/>
      <c r="U92" s="17">
        <v>240</v>
      </c>
      <c r="V92" s="1">
        <f t="shared" si="20"/>
        <v>432.98239999999998</v>
      </c>
      <c r="W92" s="5"/>
      <c r="X92" s="5">
        <f>W92</f>
        <v>0</v>
      </c>
      <c r="Y92" s="5"/>
      <c r="Z92" s="21">
        <v>400</v>
      </c>
      <c r="AA92" s="21">
        <v>400</v>
      </c>
      <c r="AB92" s="1">
        <f t="shared" si="24"/>
        <v>15.36370854796869</v>
      </c>
      <c r="AC92" s="1">
        <f t="shared" si="22"/>
        <v>12.961763341881792</v>
      </c>
      <c r="AD92" s="1">
        <v>418.18819999999988</v>
      </c>
      <c r="AE92" s="1">
        <v>465.66320000000002</v>
      </c>
      <c r="AF92" s="1">
        <v>537.89380000000006</v>
      </c>
      <c r="AG92" s="1">
        <v>509.97379999999998</v>
      </c>
      <c r="AH92" s="1">
        <v>493.71719999999988</v>
      </c>
      <c r="AI92" s="1">
        <v>528.36019999999996</v>
      </c>
      <c r="AJ92" s="1">
        <v>520.89139999999998</v>
      </c>
      <c r="AK92" s="1">
        <v>526.52819999999997</v>
      </c>
      <c r="AL92" s="1">
        <v>579.12779999999998</v>
      </c>
      <c r="AM92" s="1">
        <v>471.89260000000002</v>
      </c>
      <c r="AN92" s="1"/>
      <c r="AO92" s="1">
        <f t="shared" si="23"/>
        <v>0</v>
      </c>
      <c r="AP92" t="s">
        <v>223</v>
      </c>
    </row>
    <row r="93" spans="1:42" x14ac:dyDescent="0.25">
      <c r="A93" s="9" t="s">
        <v>224</v>
      </c>
      <c r="B93" s="9" t="s">
        <v>41</v>
      </c>
      <c r="C93" s="9"/>
      <c r="D93" s="9"/>
      <c r="E93" s="9"/>
      <c r="F93" s="9"/>
      <c r="G93" s="10">
        <v>0</v>
      </c>
      <c r="H93" s="9"/>
      <c r="I93" s="9" t="s">
        <v>42</v>
      </c>
      <c r="J93" s="9"/>
      <c r="K93" s="9"/>
      <c r="L93" s="9">
        <f t="shared" si="19"/>
        <v>0</v>
      </c>
      <c r="M93" s="9"/>
      <c r="N93" s="9"/>
      <c r="O93" s="9">
        <v>0</v>
      </c>
      <c r="P93" s="9"/>
      <c r="Q93" s="9"/>
      <c r="R93" s="9"/>
      <c r="S93" s="9">
        <v>0</v>
      </c>
      <c r="T93" s="9"/>
      <c r="U93" s="9"/>
      <c r="V93" s="9">
        <f t="shared" si="20"/>
        <v>0</v>
      </c>
      <c r="W93" s="11"/>
      <c r="X93" s="5">
        <f>W93</f>
        <v>0</v>
      </c>
      <c r="Y93" s="5"/>
      <c r="Z93" s="21"/>
      <c r="AA93" s="21"/>
      <c r="AB93" s="1" t="e">
        <f t="shared" si="24"/>
        <v>#DIV/0!</v>
      </c>
      <c r="AC93" s="9" t="e">
        <f t="shared" si="22"/>
        <v>#DIV/0!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 t="s">
        <v>57</v>
      </c>
      <c r="AO93" s="1">
        <f t="shared" si="23"/>
        <v>0</v>
      </c>
      <c r="AP93" t="s">
        <v>225</v>
      </c>
    </row>
    <row r="94" spans="1:42" x14ac:dyDescent="0.25">
      <c r="A94" s="1" t="s">
        <v>226</v>
      </c>
      <c r="B94" s="1" t="s">
        <v>49</v>
      </c>
      <c r="C94" s="1">
        <v>264</v>
      </c>
      <c r="D94" s="1">
        <v>9</v>
      </c>
      <c r="E94" s="1">
        <v>243</v>
      </c>
      <c r="F94" s="1">
        <v>13</v>
      </c>
      <c r="G94" s="7">
        <v>0.3</v>
      </c>
      <c r="H94" s="1">
        <v>40</v>
      </c>
      <c r="I94" s="1" t="s">
        <v>42</v>
      </c>
      <c r="J94" s="1"/>
      <c r="K94" s="1">
        <v>233</v>
      </c>
      <c r="L94" s="1">
        <f t="shared" si="19"/>
        <v>10</v>
      </c>
      <c r="M94" s="1"/>
      <c r="N94" s="1"/>
      <c r="O94" s="1">
        <v>0</v>
      </c>
      <c r="P94" s="1"/>
      <c r="Q94" s="1"/>
      <c r="R94" s="1"/>
      <c r="S94" s="1">
        <v>245.25800000000001</v>
      </c>
      <c r="T94" s="1">
        <v>-253.33333333333334</v>
      </c>
      <c r="U94" s="1"/>
      <c r="V94" s="1">
        <f t="shared" si="20"/>
        <v>48.6</v>
      </c>
      <c r="W94" s="5">
        <f>12*V94-S94-R94-Q94-P94-O94-F94</f>
        <v>324.94200000000001</v>
      </c>
      <c r="X94" s="5">
        <f>W94+$X$1*V94</f>
        <v>292.86599999999999</v>
      </c>
      <c r="Y94" s="5">
        <v>-294</v>
      </c>
      <c r="Z94" s="21"/>
      <c r="AA94" s="21"/>
      <c r="AB94" s="1">
        <f t="shared" si="24"/>
        <v>11.34</v>
      </c>
      <c r="AC94" s="1">
        <f t="shared" si="22"/>
        <v>5.3139506172839512</v>
      </c>
      <c r="AD94" s="1">
        <v>42.6</v>
      </c>
      <c r="AE94" s="1">
        <v>15.2</v>
      </c>
      <c r="AF94" s="1">
        <v>0.6</v>
      </c>
      <c r="AG94" s="1">
        <v>35</v>
      </c>
      <c r="AH94" s="1">
        <v>57.4</v>
      </c>
      <c r="AI94" s="1">
        <v>28.8</v>
      </c>
      <c r="AJ94" s="1">
        <v>12.6</v>
      </c>
      <c r="AK94" s="1">
        <v>25</v>
      </c>
      <c r="AL94" s="1">
        <v>32.4</v>
      </c>
      <c r="AM94" s="1">
        <v>26.6</v>
      </c>
      <c r="AN94" s="1"/>
      <c r="AO94" s="1">
        <f t="shared" si="23"/>
        <v>88</v>
      </c>
      <c r="AP94" t="s">
        <v>227</v>
      </c>
    </row>
    <row r="95" spans="1:42" x14ac:dyDescent="0.25">
      <c r="A95" s="9" t="s">
        <v>228</v>
      </c>
      <c r="B95" s="9" t="s">
        <v>49</v>
      </c>
      <c r="C95" s="9"/>
      <c r="D95" s="9"/>
      <c r="E95" s="9"/>
      <c r="F95" s="9"/>
      <c r="G95" s="10">
        <v>0</v>
      </c>
      <c r="H95" s="9"/>
      <c r="I95" s="9" t="s">
        <v>42</v>
      </c>
      <c r="J95" s="9"/>
      <c r="K95" s="9"/>
      <c r="L95" s="9">
        <f t="shared" si="19"/>
        <v>0</v>
      </c>
      <c r="M95" s="9"/>
      <c r="N95" s="9"/>
      <c r="O95" s="9">
        <v>0</v>
      </c>
      <c r="P95" s="9"/>
      <c r="Q95" s="9"/>
      <c r="R95" s="9"/>
      <c r="S95" s="9">
        <v>0</v>
      </c>
      <c r="T95" s="9"/>
      <c r="U95" s="9"/>
      <c r="V95" s="9">
        <f t="shared" si="20"/>
        <v>0</v>
      </c>
      <c r="W95" s="11"/>
      <c r="X95" s="5">
        <f t="shared" ref="X95:X107" si="26">W95</f>
        <v>0</v>
      </c>
      <c r="Y95" s="5"/>
      <c r="Z95" s="21"/>
      <c r="AA95" s="21"/>
      <c r="AB95" s="1" t="e">
        <f t="shared" si="24"/>
        <v>#DIV/0!</v>
      </c>
      <c r="AC95" s="9" t="e">
        <f t="shared" si="22"/>
        <v>#DIV/0!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 t="s">
        <v>57</v>
      </c>
      <c r="AO95" s="1">
        <f t="shared" si="23"/>
        <v>0</v>
      </c>
      <c r="AP95" t="s">
        <v>229</v>
      </c>
    </row>
    <row r="96" spans="1:42" x14ac:dyDescent="0.25">
      <c r="A96" s="1" t="s">
        <v>230</v>
      </c>
      <c r="B96" s="1" t="s">
        <v>49</v>
      </c>
      <c r="C96" s="1">
        <v>114</v>
      </c>
      <c r="D96" s="1">
        <v>1</v>
      </c>
      <c r="E96" s="1">
        <v>35</v>
      </c>
      <c r="F96" s="1">
        <v>71</v>
      </c>
      <c r="G96" s="7">
        <v>7.0000000000000007E-2</v>
      </c>
      <c r="H96" s="1">
        <v>90</v>
      </c>
      <c r="I96" s="1" t="s">
        <v>42</v>
      </c>
      <c r="J96" s="1"/>
      <c r="K96" s="1">
        <v>37</v>
      </c>
      <c r="L96" s="1">
        <f t="shared" si="19"/>
        <v>-2</v>
      </c>
      <c r="M96" s="1"/>
      <c r="N96" s="1"/>
      <c r="O96" s="1">
        <v>98.999999999999986</v>
      </c>
      <c r="P96" s="1">
        <v>0</v>
      </c>
      <c r="Q96" s="1"/>
      <c r="R96" s="1"/>
      <c r="S96" s="1">
        <v>0</v>
      </c>
      <c r="T96" s="1"/>
      <c r="U96" s="1"/>
      <c r="V96" s="1">
        <f t="shared" si="20"/>
        <v>7</v>
      </c>
      <c r="W96" s="5"/>
      <c r="X96" s="5">
        <f t="shared" si="26"/>
        <v>0</v>
      </c>
      <c r="Y96" s="5"/>
      <c r="Z96" s="21"/>
      <c r="AA96" s="21"/>
      <c r="AB96" s="1">
        <f t="shared" si="24"/>
        <v>24.285714285714285</v>
      </c>
      <c r="AC96" s="1">
        <f t="shared" si="22"/>
        <v>24.285714285714285</v>
      </c>
      <c r="AD96" s="1">
        <v>4.4000000000000004</v>
      </c>
      <c r="AE96" s="1">
        <v>14.2</v>
      </c>
      <c r="AF96" s="1">
        <v>17</v>
      </c>
      <c r="AG96" s="1">
        <v>9.4</v>
      </c>
      <c r="AH96" s="1">
        <v>9.4</v>
      </c>
      <c r="AI96" s="1">
        <v>12</v>
      </c>
      <c r="AJ96" s="1">
        <v>13</v>
      </c>
      <c r="AK96" s="1">
        <v>14.6</v>
      </c>
      <c r="AL96" s="1">
        <v>15</v>
      </c>
      <c r="AM96" s="1">
        <v>10</v>
      </c>
      <c r="AN96" s="15" t="s">
        <v>136</v>
      </c>
      <c r="AO96" s="1">
        <f t="shared" si="23"/>
        <v>0</v>
      </c>
      <c r="AP96" t="s">
        <v>231</v>
      </c>
    </row>
    <row r="97" spans="1:42" x14ac:dyDescent="0.25">
      <c r="A97" s="1" t="s">
        <v>232</v>
      </c>
      <c r="B97" s="1" t="s">
        <v>49</v>
      </c>
      <c r="C97" s="1"/>
      <c r="D97" s="1"/>
      <c r="E97" s="1"/>
      <c r="F97" s="1"/>
      <c r="G97" s="7">
        <v>7.0000000000000007E-2</v>
      </c>
      <c r="H97" s="1">
        <v>90</v>
      </c>
      <c r="I97" s="13" t="s">
        <v>91</v>
      </c>
      <c r="J97" s="1"/>
      <c r="K97" s="1">
        <v>2</v>
      </c>
      <c r="L97" s="1">
        <f t="shared" si="19"/>
        <v>-2</v>
      </c>
      <c r="M97" s="1"/>
      <c r="N97" s="1"/>
      <c r="O97" s="1">
        <v>80</v>
      </c>
      <c r="P97" s="1">
        <v>-6.3</v>
      </c>
      <c r="Q97" s="1"/>
      <c r="R97" s="1"/>
      <c r="S97" s="1">
        <v>0</v>
      </c>
      <c r="T97" s="1"/>
      <c r="U97" s="1"/>
      <c r="V97" s="1">
        <f t="shared" si="20"/>
        <v>0</v>
      </c>
      <c r="W97" s="5">
        <v>50</v>
      </c>
      <c r="X97" s="5">
        <f t="shared" si="26"/>
        <v>50</v>
      </c>
      <c r="Y97" s="5">
        <v>-72</v>
      </c>
      <c r="Z97" s="21"/>
      <c r="AA97" s="21"/>
      <c r="AB97" s="1" t="e">
        <f t="shared" si="24"/>
        <v>#DIV/0!</v>
      </c>
      <c r="AC97" s="1" t="e">
        <f t="shared" si="22"/>
        <v>#DIV/0!</v>
      </c>
      <c r="AD97" s="1">
        <v>0</v>
      </c>
      <c r="AE97" s="1">
        <v>7.2</v>
      </c>
      <c r="AF97" s="1">
        <v>11.2</v>
      </c>
      <c r="AG97" s="1">
        <v>7.2</v>
      </c>
      <c r="AH97" s="1">
        <v>3.2</v>
      </c>
      <c r="AI97" s="1">
        <v>0</v>
      </c>
      <c r="AJ97" s="1">
        <v>0</v>
      </c>
      <c r="AK97" s="1">
        <v>4</v>
      </c>
      <c r="AL97" s="1">
        <v>10.4</v>
      </c>
      <c r="AM97" s="1">
        <v>9.8000000000000007</v>
      </c>
      <c r="AN97" s="1"/>
      <c r="AO97" s="1">
        <f t="shared" si="23"/>
        <v>4</v>
      </c>
      <c r="AP97" t="s">
        <v>233</v>
      </c>
    </row>
    <row r="98" spans="1:42" x14ac:dyDescent="0.25">
      <c r="A98" s="1" t="s">
        <v>234</v>
      </c>
      <c r="B98" s="1" t="s">
        <v>49</v>
      </c>
      <c r="C98" s="1">
        <v>121</v>
      </c>
      <c r="D98" s="1">
        <v>1</v>
      </c>
      <c r="E98" s="1">
        <v>46</v>
      </c>
      <c r="F98" s="1">
        <v>65</v>
      </c>
      <c r="G98" s="7">
        <v>7.0000000000000007E-2</v>
      </c>
      <c r="H98" s="1">
        <v>90</v>
      </c>
      <c r="I98" s="1" t="s">
        <v>42</v>
      </c>
      <c r="J98" s="1"/>
      <c r="K98" s="1">
        <v>48</v>
      </c>
      <c r="L98" s="1">
        <f t="shared" si="19"/>
        <v>-2</v>
      </c>
      <c r="M98" s="1"/>
      <c r="N98" s="1"/>
      <c r="O98" s="1">
        <v>44</v>
      </c>
      <c r="P98" s="1">
        <v>0</v>
      </c>
      <c r="Q98" s="1"/>
      <c r="R98" s="1"/>
      <c r="S98" s="1">
        <v>0</v>
      </c>
      <c r="T98" s="1"/>
      <c r="U98" s="1"/>
      <c r="V98" s="1">
        <f t="shared" si="20"/>
        <v>9.1999999999999993</v>
      </c>
      <c r="W98" s="5"/>
      <c r="X98" s="5">
        <f t="shared" si="26"/>
        <v>0</v>
      </c>
      <c r="Y98" s="5"/>
      <c r="Z98" s="21"/>
      <c r="AA98" s="21"/>
      <c r="AB98" s="1">
        <f t="shared" si="24"/>
        <v>11.847826086956523</v>
      </c>
      <c r="AC98" s="1">
        <f t="shared" si="22"/>
        <v>11.847826086956523</v>
      </c>
      <c r="AD98" s="1">
        <v>5</v>
      </c>
      <c r="AE98" s="1">
        <v>11</v>
      </c>
      <c r="AF98" s="1">
        <v>12.6</v>
      </c>
      <c r="AG98" s="1">
        <v>7</v>
      </c>
      <c r="AH98" s="1">
        <v>9.4</v>
      </c>
      <c r="AI98" s="1">
        <v>15.4</v>
      </c>
      <c r="AJ98" s="1">
        <v>14.2</v>
      </c>
      <c r="AK98" s="1">
        <v>10.6</v>
      </c>
      <c r="AL98" s="1">
        <v>8.4</v>
      </c>
      <c r="AM98" s="1">
        <v>4.2</v>
      </c>
      <c r="AN98" s="1"/>
      <c r="AO98" s="1">
        <f t="shared" si="23"/>
        <v>0</v>
      </c>
      <c r="AP98" t="s">
        <v>235</v>
      </c>
    </row>
    <row r="99" spans="1:42" x14ac:dyDescent="0.25">
      <c r="A99" s="9" t="s">
        <v>236</v>
      </c>
      <c r="B99" s="9" t="s">
        <v>49</v>
      </c>
      <c r="C99" s="9">
        <v>7</v>
      </c>
      <c r="D99" s="9"/>
      <c r="E99" s="9">
        <v>-2</v>
      </c>
      <c r="F99" s="9">
        <v>7</v>
      </c>
      <c r="G99" s="10">
        <v>0</v>
      </c>
      <c r="H99" s="9">
        <v>90</v>
      </c>
      <c r="I99" s="9" t="s">
        <v>84</v>
      </c>
      <c r="J99" s="9"/>
      <c r="K99" s="9">
        <v>27</v>
      </c>
      <c r="L99" s="9">
        <f t="shared" si="19"/>
        <v>-29</v>
      </c>
      <c r="M99" s="9"/>
      <c r="N99" s="9"/>
      <c r="O99" s="9">
        <v>0</v>
      </c>
      <c r="P99" s="9"/>
      <c r="Q99" s="9"/>
      <c r="R99" s="9"/>
      <c r="S99" s="9">
        <v>0</v>
      </c>
      <c r="T99" s="9"/>
      <c r="U99" s="9"/>
      <c r="V99" s="9">
        <f t="shared" si="20"/>
        <v>-0.4</v>
      </c>
      <c r="W99" s="11"/>
      <c r="X99" s="5">
        <f t="shared" si="26"/>
        <v>0</v>
      </c>
      <c r="Y99" s="5"/>
      <c r="Z99" s="21"/>
      <c r="AA99" s="21"/>
      <c r="AB99" s="1">
        <f t="shared" si="24"/>
        <v>-17.5</v>
      </c>
      <c r="AC99" s="9">
        <f t="shared" si="22"/>
        <v>-17.5</v>
      </c>
      <c r="AD99" s="9">
        <v>0</v>
      </c>
      <c r="AE99" s="9">
        <v>8.8000000000000007</v>
      </c>
      <c r="AF99" s="9">
        <v>14</v>
      </c>
      <c r="AG99" s="9">
        <v>12.6</v>
      </c>
      <c r="AH99" s="9">
        <v>14</v>
      </c>
      <c r="AI99" s="9">
        <v>15</v>
      </c>
      <c r="AJ99" s="9">
        <v>12.6</v>
      </c>
      <c r="AK99" s="9">
        <v>7.6</v>
      </c>
      <c r="AL99" s="9">
        <v>9.1999999999999993</v>
      </c>
      <c r="AM99" s="9">
        <v>8.8000000000000007</v>
      </c>
      <c r="AN99" s="9"/>
      <c r="AO99" s="1">
        <f t="shared" si="23"/>
        <v>0</v>
      </c>
      <c r="AP99" t="s">
        <v>237</v>
      </c>
    </row>
    <row r="100" spans="1:42" x14ac:dyDescent="0.25">
      <c r="A100" s="9" t="s">
        <v>238</v>
      </c>
      <c r="B100" s="9" t="s">
        <v>49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84</v>
      </c>
      <c r="J100" s="9"/>
      <c r="K100" s="9">
        <v>11</v>
      </c>
      <c r="L100" s="9">
        <f t="shared" si="19"/>
        <v>-12</v>
      </c>
      <c r="M100" s="9"/>
      <c r="N100" s="9"/>
      <c r="O100" s="9">
        <v>0</v>
      </c>
      <c r="P100" s="9"/>
      <c r="Q100" s="9"/>
      <c r="R100" s="9"/>
      <c r="S100" s="9">
        <v>0</v>
      </c>
      <c r="T100" s="9"/>
      <c r="U100" s="9"/>
      <c r="V100" s="9">
        <f t="shared" si="20"/>
        <v>-0.2</v>
      </c>
      <c r="W100" s="11"/>
      <c r="X100" s="5">
        <f t="shared" si="26"/>
        <v>0</v>
      </c>
      <c r="Y100" s="5"/>
      <c r="Z100" s="21"/>
      <c r="AA100" s="21"/>
      <c r="AB100" s="1">
        <f t="shared" si="24"/>
        <v>-5</v>
      </c>
      <c r="AC100" s="9">
        <f t="shared" si="22"/>
        <v>-5</v>
      </c>
      <c r="AD100" s="9">
        <v>-0.2</v>
      </c>
      <c r="AE100" s="9">
        <v>-1.8</v>
      </c>
      <c r="AF100" s="9">
        <v>-1.8</v>
      </c>
      <c r="AG100" s="9">
        <v>0</v>
      </c>
      <c r="AH100" s="9">
        <v>0</v>
      </c>
      <c r="AI100" s="9">
        <v>-0.2</v>
      </c>
      <c r="AJ100" s="9">
        <v>-0.8</v>
      </c>
      <c r="AK100" s="9">
        <v>2.8</v>
      </c>
      <c r="AL100" s="9">
        <v>11</v>
      </c>
      <c r="AM100" s="9">
        <v>10</v>
      </c>
      <c r="AN100" s="9" t="s">
        <v>239</v>
      </c>
      <c r="AO100" s="1">
        <f t="shared" si="23"/>
        <v>0</v>
      </c>
      <c r="AP100" t="s">
        <v>240</v>
      </c>
    </row>
    <row r="101" spans="1:42" x14ac:dyDescent="0.25">
      <c r="A101" s="9" t="s">
        <v>241</v>
      </c>
      <c r="B101" s="9" t="s">
        <v>49</v>
      </c>
      <c r="C101" s="9"/>
      <c r="D101" s="9"/>
      <c r="E101" s="9"/>
      <c r="F101" s="9"/>
      <c r="G101" s="10">
        <v>0</v>
      </c>
      <c r="H101" s="9"/>
      <c r="I101" s="9" t="s">
        <v>42</v>
      </c>
      <c r="J101" s="9"/>
      <c r="K101" s="9"/>
      <c r="L101" s="9">
        <f t="shared" si="19"/>
        <v>0</v>
      </c>
      <c r="M101" s="9"/>
      <c r="N101" s="9"/>
      <c r="O101" s="9">
        <v>0</v>
      </c>
      <c r="P101" s="9"/>
      <c r="Q101" s="9"/>
      <c r="R101" s="9"/>
      <c r="S101" s="9">
        <v>0</v>
      </c>
      <c r="T101" s="9"/>
      <c r="U101" s="9"/>
      <c r="V101" s="9">
        <f t="shared" si="20"/>
        <v>0</v>
      </c>
      <c r="W101" s="11"/>
      <c r="X101" s="5">
        <f t="shared" si="26"/>
        <v>0</v>
      </c>
      <c r="Y101" s="5"/>
      <c r="Z101" s="21"/>
      <c r="AA101" s="21"/>
      <c r="AB101" s="1" t="e">
        <f t="shared" si="24"/>
        <v>#DIV/0!</v>
      </c>
      <c r="AC101" s="9" t="e">
        <f t="shared" si="22"/>
        <v>#DIV/0!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 t="s">
        <v>57</v>
      </c>
      <c r="AO101" s="1">
        <f t="shared" si="23"/>
        <v>0</v>
      </c>
      <c r="AP101" t="s">
        <v>242</v>
      </c>
    </row>
    <row r="102" spans="1:42" x14ac:dyDescent="0.25">
      <c r="A102" s="9" t="s">
        <v>243</v>
      </c>
      <c r="B102" s="9" t="s">
        <v>41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42</v>
      </c>
      <c r="J102" s="9"/>
      <c r="K102" s="9">
        <v>1</v>
      </c>
      <c r="L102" s="9">
        <f t="shared" ref="L102:L133" si="27">E102-K102</f>
        <v>-2.6</v>
      </c>
      <c r="M102" s="9"/>
      <c r="N102" s="9"/>
      <c r="O102" s="9">
        <v>0</v>
      </c>
      <c r="P102" s="9"/>
      <c r="Q102" s="9"/>
      <c r="R102" s="9"/>
      <c r="S102" s="9">
        <v>0</v>
      </c>
      <c r="T102" s="9"/>
      <c r="U102" s="9"/>
      <c r="V102" s="9">
        <f t="shared" ref="V102:V133" si="28">E102/5</f>
        <v>-0.32</v>
      </c>
      <c r="W102" s="11"/>
      <c r="X102" s="5">
        <f t="shared" si="26"/>
        <v>0</v>
      </c>
      <c r="Y102" s="5"/>
      <c r="Z102" s="21"/>
      <c r="AA102" s="21"/>
      <c r="AB102" s="1">
        <f t="shared" si="24"/>
        <v>9.9156250000000004</v>
      </c>
      <c r="AC102" s="9">
        <f t="shared" ref="AC102:AC133" si="29">(F102+O102+P102+Q102+R102+S102)/V102</f>
        <v>9.9156250000000004</v>
      </c>
      <c r="AD102" s="9">
        <v>-0.31919999999999998</v>
      </c>
      <c r="AE102" s="9">
        <v>-0.31919999999999998</v>
      </c>
      <c r="AF102" s="9">
        <v>-5.4399999999999997E-2</v>
      </c>
      <c r="AG102" s="9">
        <v>0.63460000000000005</v>
      </c>
      <c r="AH102" s="9">
        <v>4.1537999999999986</v>
      </c>
      <c r="AI102" s="9">
        <v>6.4096000000000002</v>
      </c>
      <c r="AJ102" s="9">
        <v>3.5326</v>
      </c>
      <c r="AK102" s="9">
        <v>2.8809999999999998</v>
      </c>
      <c r="AL102" s="9">
        <v>7.3634000000000004</v>
      </c>
      <c r="AM102" s="9">
        <v>8.003400000000001</v>
      </c>
      <c r="AN102" s="9" t="s">
        <v>57</v>
      </c>
      <c r="AO102" s="1">
        <f t="shared" ref="AO102:AO133" si="30">ROUND(G102*X102,0)</f>
        <v>0</v>
      </c>
      <c r="AP102" t="s">
        <v>244</v>
      </c>
    </row>
    <row r="103" spans="1:42" x14ac:dyDescent="0.25">
      <c r="A103" s="9" t="s">
        <v>245</v>
      </c>
      <c r="B103" s="9" t="s">
        <v>49</v>
      </c>
      <c r="C103" s="9"/>
      <c r="D103" s="9"/>
      <c r="E103" s="9"/>
      <c r="F103" s="9"/>
      <c r="G103" s="10">
        <v>0</v>
      </c>
      <c r="H103" s="9"/>
      <c r="I103" s="9" t="s">
        <v>42</v>
      </c>
      <c r="J103" s="9"/>
      <c r="K103" s="9"/>
      <c r="L103" s="9">
        <f t="shared" si="27"/>
        <v>0</v>
      </c>
      <c r="M103" s="9"/>
      <c r="N103" s="9"/>
      <c r="O103" s="9">
        <v>0</v>
      </c>
      <c r="P103" s="9"/>
      <c r="Q103" s="9"/>
      <c r="R103" s="9"/>
      <c r="S103" s="9">
        <v>0</v>
      </c>
      <c r="T103" s="9"/>
      <c r="U103" s="9"/>
      <c r="V103" s="9">
        <f t="shared" si="28"/>
        <v>0</v>
      </c>
      <c r="W103" s="11"/>
      <c r="X103" s="5">
        <f t="shared" si="26"/>
        <v>0</v>
      </c>
      <c r="Y103" s="5"/>
      <c r="Z103" s="21"/>
      <c r="AA103" s="21"/>
      <c r="AB103" s="1" t="e">
        <f t="shared" si="24"/>
        <v>#DIV/0!</v>
      </c>
      <c r="AC103" s="9" t="e">
        <f t="shared" si="29"/>
        <v>#DIV/0!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 t="s">
        <v>57</v>
      </c>
      <c r="AO103" s="1">
        <f t="shared" si="30"/>
        <v>0</v>
      </c>
      <c r="AP103" t="s">
        <v>246</v>
      </c>
    </row>
    <row r="104" spans="1:42" x14ac:dyDescent="0.25">
      <c r="A104" s="9" t="s">
        <v>247</v>
      </c>
      <c r="B104" s="9" t="s">
        <v>49</v>
      </c>
      <c r="C104" s="9"/>
      <c r="D104" s="9"/>
      <c r="E104" s="9"/>
      <c r="F104" s="9"/>
      <c r="G104" s="10">
        <v>0</v>
      </c>
      <c r="H104" s="9"/>
      <c r="I104" s="9" t="s">
        <v>42</v>
      </c>
      <c r="J104" s="9"/>
      <c r="K104" s="9"/>
      <c r="L104" s="9">
        <f t="shared" si="27"/>
        <v>0</v>
      </c>
      <c r="M104" s="9"/>
      <c r="N104" s="9"/>
      <c r="O104" s="9">
        <v>0</v>
      </c>
      <c r="P104" s="9"/>
      <c r="Q104" s="9"/>
      <c r="R104" s="9"/>
      <c r="S104" s="9">
        <v>0</v>
      </c>
      <c r="T104" s="9"/>
      <c r="U104" s="9"/>
      <c r="V104" s="9">
        <f t="shared" si="28"/>
        <v>0</v>
      </c>
      <c r="W104" s="11"/>
      <c r="X104" s="5">
        <f t="shared" si="26"/>
        <v>0</v>
      </c>
      <c r="Y104" s="5"/>
      <c r="Z104" s="21"/>
      <c r="AA104" s="21"/>
      <c r="AB104" s="1" t="e">
        <f t="shared" si="24"/>
        <v>#DIV/0!</v>
      </c>
      <c r="AC104" s="9" t="e">
        <f t="shared" si="29"/>
        <v>#DIV/0!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 t="s">
        <v>57</v>
      </c>
      <c r="AO104" s="1">
        <f t="shared" si="30"/>
        <v>0</v>
      </c>
      <c r="AP104" t="s">
        <v>248</v>
      </c>
    </row>
    <row r="105" spans="1:42" x14ac:dyDescent="0.25">
      <c r="A105" s="1" t="s">
        <v>249</v>
      </c>
      <c r="B105" s="1" t="s">
        <v>49</v>
      </c>
      <c r="C105" s="1">
        <v>72</v>
      </c>
      <c r="D105" s="1">
        <v>33</v>
      </c>
      <c r="E105" s="1">
        <v>58</v>
      </c>
      <c r="F105" s="1">
        <v>41</v>
      </c>
      <c r="G105" s="7">
        <v>0.08</v>
      </c>
      <c r="H105" s="1">
        <v>45</v>
      </c>
      <c r="I105" s="1" t="s">
        <v>42</v>
      </c>
      <c r="J105" s="1"/>
      <c r="K105" s="1">
        <v>53</v>
      </c>
      <c r="L105" s="1">
        <f t="shared" si="27"/>
        <v>5</v>
      </c>
      <c r="M105" s="1"/>
      <c r="N105" s="1"/>
      <c r="O105" s="1">
        <v>114.8</v>
      </c>
      <c r="P105" s="1">
        <v>0</v>
      </c>
      <c r="Q105" s="1"/>
      <c r="R105" s="1"/>
      <c r="S105" s="1">
        <v>0</v>
      </c>
      <c r="T105" s="1"/>
      <c r="U105" s="1"/>
      <c r="V105" s="1">
        <f t="shared" si="28"/>
        <v>11.6</v>
      </c>
      <c r="W105" s="5"/>
      <c r="X105" s="5">
        <f t="shared" si="26"/>
        <v>0</v>
      </c>
      <c r="Y105" s="5"/>
      <c r="Z105" s="21"/>
      <c r="AA105" s="21"/>
      <c r="AB105" s="1">
        <f t="shared" si="24"/>
        <v>13.431034482758623</v>
      </c>
      <c r="AC105" s="1">
        <f t="shared" si="29"/>
        <v>13.431034482758623</v>
      </c>
      <c r="AD105" s="1">
        <v>5.4</v>
      </c>
      <c r="AE105" s="1">
        <v>13.6</v>
      </c>
      <c r="AF105" s="1">
        <v>20</v>
      </c>
      <c r="AG105" s="1">
        <v>12.6</v>
      </c>
      <c r="AH105" s="1">
        <v>5</v>
      </c>
      <c r="AI105" s="1">
        <v>10</v>
      </c>
      <c r="AJ105" s="1">
        <v>18.399999999999999</v>
      </c>
      <c r="AK105" s="1">
        <v>18.8</v>
      </c>
      <c r="AL105" s="1">
        <v>17.2</v>
      </c>
      <c r="AM105" s="1">
        <v>7.4</v>
      </c>
      <c r="AN105" s="14" t="s">
        <v>153</v>
      </c>
      <c r="AO105" s="1">
        <f t="shared" si="30"/>
        <v>0</v>
      </c>
      <c r="AP105" t="s">
        <v>250</v>
      </c>
    </row>
    <row r="106" spans="1:42" x14ac:dyDescent="0.25">
      <c r="A106" s="1" t="s">
        <v>251</v>
      </c>
      <c r="B106" s="1" t="s">
        <v>49</v>
      </c>
      <c r="C106" s="1">
        <v>79</v>
      </c>
      <c r="D106" s="1">
        <v>2</v>
      </c>
      <c r="E106" s="1">
        <v>49</v>
      </c>
      <c r="F106" s="1">
        <v>21</v>
      </c>
      <c r="G106" s="7">
        <v>0.08</v>
      </c>
      <c r="H106" s="1">
        <v>45</v>
      </c>
      <c r="I106" s="1" t="s">
        <v>42</v>
      </c>
      <c r="J106" s="1"/>
      <c r="K106" s="1">
        <v>56</v>
      </c>
      <c r="L106" s="1">
        <f t="shared" si="27"/>
        <v>-7</v>
      </c>
      <c r="M106" s="1"/>
      <c r="N106" s="1"/>
      <c r="O106" s="1">
        <v>191</v>
      </c>
      <c r="P106" s="1">
        <v>0</v>
      </c>
      <c r="Q106" s="1"/>
      <c r="R106" s="1"/>
      <c r="S106" s="1">
        <v>0</v>
      </c>
      <c r="T106" s="1"/>
      <c r="U106" s="1"/>
      <c r="V106" s="1">
        <f t="shared" si="28"/>
        <v>9.8000000000000007</v>
      </c>
      <c r="W106" s="5"/>
      <c r="X106" s="5">
        <f t="shared" si="26"/>
        <v>0</v>
      </c>
      <c r="Y106" s="5"/>
      <c r="Z106" s="21"/>
      <c r="AA106" s="21"/>
      <c r="AB106" s="1">
        <f t="shared" si="24"/>
        <v>21.632653061224488</v>
      </c>
      <c r="AC106" s="1">
        <f t="shared" si="29"/>
        <v>21.632653061224488</v>
      </c>
      <c r="AD106" s="1">
        <v>4.2</v>
      </c>
      <c r="AE106" s="1">
        <v>18</v>
      </c>
      <c r="AF106" s="1">
        <v>20</v>
      </c>
      <c r="AG106" s="1">
        <v>9.4</v>
      </c>
      <c r="AH106" s="1">
        <v>5.4</v>
      </c>
      <c r="AI106" s="1">
        <v>9.4</v>
      </c>
      <c r="AJ106" s="1">
        <v>16.8</v>
      </c>
      <c r="AK106" s="1">
        <v>22.2</v>
      </c>
      <c r="AL106" s="1">
        <v>22</v>
      </c>
      <c r="AM106" s="1">
        <v>19</v>
      </c>
      <c r="AN106" s="15" t="s">
        <v>136</v>
      </c>
      <c r="AO106" s="1">
        <f t="shared" si="30"/>
        <v>0</v>
      </c>
      <c r="AP106" t="s">
        <v>252</v>
      </c>
    </row>
    <row r="107" spans="1:42" x14ac:dyDescent="0.25">
      <c r="A107" s="9" t="s">
        <v>253</v>
      </c>
      <c r="B107" s="9" t="s">
        <v>49</v>
      </c>
      <c r="C107" s="9"/>
      <c r="D107" s="9"/>
      <c r="E107" s="9"/>
      <c r="F107" s="9"/>
      <c r="G107" s="10">
        <v>0</v>
      </c>
      <c r="H107" s="9"/>
      <c r="I107" s="9" t="s">
        <v>42</v>
      </c>
      <c r="J107" s="9"/>
      <c r="K107" s="9"/>
      <c r="L107" s="9">
        <f t="shared" si="27"/>
        <v>0</v>
      </c>
      <c r="M107" s="9"/>
      <c r="N107" s="9"/>
      <c r="O107" s="9">
        <v>0</v>
      </c>
      <c r="P107" s="9"/>
      <c r="Q107" s="9"/>
      <c r="R107" s="9"/>
      <c r="S107" s="9">
        <v>0</v>
      </c>
      <c r="T107" s="9"/>
      <c r="U107" s="9"/>
      <c r="V107" s="9">
        <f t="shared" si="28"/>
        <v>0</v>
      </c>
      <c r="W107" s="11"/>
      <c r="X107" s="5">
        <f t="shared" si="26"/>
        <v>0</v>
      </c>
      <c r="Y107" s="5"/>
      <c r="Z107" s="21"/>
      <c r="AA107" s="21"/>
      <c r="AB107" s="1" t="e">
        <f t="shared" si="24"/>
        <v>#DIV/0!</v>
      </c>
      <c r="AC107" s="9" t="e">
        <f t="shared" si="29"/>
        <v>#DIV/0!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 t="s">
        <v>57</v>
      </c>
      <c r="AO107" s="1">
        <f t="shared" si="30"/>
        <v>0</v>
      </c>
      <c r="AP107" t="s">
        <v>254</v>
      </c>
    </row>
    <row r="108" spans="1:42" x14ac:dyDescent="0.25">
      <c r="A108" s="1" t="s">
        <v>255</v>
      </c>
      <c r="B108" s="1" t="s">
        <v>41</v>
      </c>
      <c r="C108" s="1">
        <v>137.73099999999999</v>
      </c>
      <c r="D108" s="1">
        <v>202.024</v>
      </c>
      <c r="E108" s="1">
        <v>203.38399999999999</v>
      </c>
      <c r="F108" s="1">
        <v>45.512999999999998</v>
      </c>
      <c r="G108" s="7">
        <v>1</v>
      </c>
      <c r="H108" s="1">
        <v>40</v>
      </c>
      <c r="I108" s="1" t="s">
        <v>42</v>
      </c>
      <c r="J108" s="1"/>
      <c r="K108" s="1">
        <v>202.53100000000001</v>
      </c>
      <c r="L108" s="1">
        <f t="shared" si="27"/>
        <v>0.85299999999998022</v>
      </c>
      <c r="M108" s="1"/>
      <c r="N108" s="1"/>
      <c r="O108" s="1">
        <v>210.60420000000019</v>
      </c>
      <c r="P108" s="1">
        <v>0</v>
      </c>
      <c r="Q108" s="1"/>
      <c r="R108" s="1"/>
      <c r="S108" s="1">
        <v>0</v>
      </c>
      <c r="T108" s="1"/>
      <c r="U108" s="1"/>
      <c r="V108" s="1">
        <f t="shared" si="28"/>
        <v>40.6768</v>
      </c>
      <c r="W108" s="5">
        <f>12*V108-S108-R108-Q108-P108-O108-F108</f>
        <v>232.00439999999983</v>
      </c>
      <c r="X108" s="5">
        <f>W108+$X$1*V108</f>
        <v>205.15771199999983</v>
      </c>
      <c r="Y108" s="5">
        <v>-206.5</v>
      </c>
      <c r="Z108" s="21"/>
      <c r="AA108" s="21"/>
      <c r="AB108" s="1">
        <f t="shared" si="24"/>
        <v>11.34</v>
      </c>
      <c r="AC108" s="1">
        <f t="shared" si="29"/>
        <v>6.2963949966565753</v>
      </c>
      <c r="AD108" s="1">
        <v>32.158000000000001</v>
      </c>
      <c r="AE108" s="1">
        <v>35.068199999999997</v>
      </c>
      <c r="AF108" s="1">
        <v>38.737400000000001</v>
      </c>
      <c r="AG108" s="1">
        <v>37.202199999999998</v>
      </c>
      <c r="AH108" s="1">
        <v>32.511200000000002</v>
      </c>
      <c r="AI108" s="1">
        <v>39.205399999999997</v>
      </c>
      <c r="AJ108" s="1">
        <v>47.357999999999997</v>
      </c>
      <c r="AK108" s="1">
        <v>40.43</v>
      </c>
      <c r="AL108" s="1">
        <v>48.8384</v>
      </c>
      <c r="AM108" s="1">
        <v>44.055</v>
      </c>
      <c r="AN108" s="1"/>
      <c r="AO108" s="1">
        <f t="shared" si="30"/>
        <v>205</v>
      </c>
      <c r="AP108" t="s">
        <v>256</v>
      </c>
    </row>
    <row r="109" spans="1:42" x14ac:dyDescent="0.25">
      <c r="A109" s="1" t="s">
        <v>257</v>
      </c>
      <c r="B109" s="1" t="s">
        <v>41</v>
      </c>
      <c r="C109" s="1">
        <v>192.471</v>
      </c>
      <c r="D109" s="1">
        <v>199.15199999999999</v>
      </c>
      <c r="E109" s="1">
        <v>190.03700000000001</v>
      </c>
      <c r="F109" s="1">
        <v>109.626</v>
      </c>
      <c r="G109" s="7">
        <v>1</v>
      </c>
      <c r="H109" s="1">
        <v>40</v>
      </c>
      <c r="I109" s="1" t="s">
        <v>42</v>
      </c>
      <c r="J109" s="1"/>
      <c r="K109" s="1">
        <v>192.5</v>
      </c>
      <c r="L109" s="1">
        <f t="shared" si="27"/>
        <v>-2.4629999999999939</v>
      </c>
      <c r="M109" s="1"/>
      <c r="N109" s="1"/>
      <c r="O109" s="1">
        <v>161.62299999999999</v>
      </c>
      <c r="P109" s="1">
        <v>0</v>
      </c>
      <c r="Q109" s="1"/>
      <c r="R109" s="1"/>
      <c r="S109" s="1">
        <v>0</v>
      </c>
      <c r="T109" s="1"/>
      <c r="U109" s="1"/>
      <c r="V109" s="1">
        <f t="shared" si="28"/>
        <v>38.007400000000004</v>
      </c>
      <c r="W109" s="5">
        <f>12*V109-S109-R109-Q109-P109-O109-F109</f>
        <v>184.83980000000005</v>
      </c>
      <c r="X109" s="5">
        <f>W109+$X$1*V109</f>
        <v>159.75491600000004</v>
      </c>
      <c r="Y109" s="5">
        <v>-161</v>
      </c>
      <c r="Z109" s="21"/>
      <c r="AA109" s="21"/>
      <c r="AB109" s="1">
        <f t="shared" si="24"/>
        <v>11.34</v>
      </c>
      <c r="AC109" s="1">
        <f t="shared" si="29"/>
        <v>7.1367417923877978</v>
      </c>
      <c r="AD109" s="1">
        <v>31.772600000000001</v>
      </c>
      <c r="AE109" s="1">
        <v>34.806199999999997</v>
      </c>
      <c r="AF109" s="1">
        <v>35.509799999999998</v>
      </c>
      <c r="AG109" s="1">
        <v>40.703800000000001</v>
      </c>
      <c r="AH109" s="1">
        <v>41.782600000000002</v>
      </c>
      <c r="AI109" s="1">
        <v>43.181199999999997</v>
      </c>
      <c r="AJ109" s="1">
        <v>44.637</v>
      </c>
      <c r="AK109" s="1">
        <v>44.8142</v>
      </c>
      <c r="AL109" s="1">
        <v>56.320599999999999</v>
      </c>
      <c r="AM109" s="1">
        <v>47.069200000000002</v>
      </c>
      <c r="AN109" s="1"/>
      <c r="AO109" s="1">
        <f t="shared" si="30"/>
        <v>160</v>
      </c>
      <c r="AP109" t="s">
        <v>258</v>
      </c>
    </row>
    <row r="110" spans="1:42" x14ac:dyDescent="0.25">
      <c r="A110" s="1" t="s">
        <v>259</v>
      </c>
      <c r="B110" s="1" t="s">
        <v>41</v>
      </c>
      <c r="C110" s="1">
        <v>245</v>
      </c>
      <c r="D110" s="1">
        <v>234.76400000000001</v>
      </c>
      <c r="E110" s="1">
        <v>307.25700000000001</v>
      </c>
      <c r="F110" s="1">
        <v>70.069000000000003</v>
      </c>
      <c r="G110" s="7">
        <v>1</v>
      </c>
      <c r="H110" s="1">
        <v>40</v>
      </c>
      <c r="I110" s="13" t="s">
        <v>91</v>
      </c>
      <c r="J110" s="1"/>
      <c r="K110" s="1">
        <v>308.60000000000002</v>
      </c>
      <c r="L110" s="1">
        <f t="shared" si="27"/>
        <v>-1.3430000000000177</v>
      </c>
      <c r="M110" s="1"/>
      <c r="N110" s="1"/>
      <c r="O110" s="1">
        <v>228.42232000000021</v>
      </c>
      <c r="P110" s="1">
        <v>-231</v>
      </c>
      <c r="Q110" s="1"/>
      <c r="R110" s="1"/>
      <c r="S110" s="1">
        <v>169.62715800000001</v>
      </c>
      <c r="T110" s="1">
        <v>-172</v>
      </c>
      <c r="U110" s="1"/>
      <c r="V110" s="1">
        <f t="shared" si="28"/>
        <v>61.4514</v>
      </c>
      <c r="W110" s="5">
        <v>180</v>
      </c>
      <c r="X110" s="5">
        <f t="shared" ref="X110:X120" si="31">W110</f>
        <v>180</v>
      </c>
      <c r="Y110" s="5">
        <v>-172.614</v>
      </c>
      <c r="Z110" s="21"/>
      <c r="AA110" s="21"/>
      <c r="AB110" s="1">
        <f t="shared" si="24"/>
        <v>6.7877782768171304</v>
      </c>
      <c r="AC110" s="1">
        <f t="shared" si="29"/>
        <v>3.8586342703339582</v>
      </c>
      <c r="AD110" s="1">
        <v>45.332599999999999</v>
      </c>
      <c r="AE110" s="1">
        <v>44.720799999999997</v>
      </c>
      <c r="AF110" s="1">
        <v>51.527799999999999</v>
      </c>
      <c r="AG110" s="1">
        <v>51.247799999999998</v>
      </c>
      <c r="AH110" s="1">
        <v>50.388800000000003</v>
      </c>
      <c r="AI110" s="1">
        <v>57.012800000000013</v>
      </c>
      <c r="AJ110" s="1">
        <v>65.165199999999999</v>
      </c>
      <c r="AK110" s="1">
        <v>60.9452</v>
      </c>
      <c r="AL110" s="1">
        <v>70.5732</v>
      </c>
      <c r="AM110" s="1">
        <v>62.651200000000003</v>
      </c>
      <c r="AN110" s="1"/>
      <c r="AO110" s="1">
        <f t="shared" si="30"/>
        <v>180</v>
      </c>
      <c r="AP110" t="s">
        <v>260</v>
      </c>
    </row>
    <row r="111" spans="1:42" x14ac:dyDescent="0.25">
      <c r="A111" s="9" t="s">
        <v>261</v>
      </c>
      <c r="B111" s="9" t="s">
        <v>49</v>
      </c>
      <c r="C111" s="9"/>
      <c r="D111" s="9"/>
      <c r="E111" s="9"/>
      <c r="F111" s="9"/>
      <c r="G111" s="10">
        <v>0</v>
      </c>
      <c r="H111" s="9"/>
      <c r="I111" s="9" t="s">
        <v>42</v>
      </c>
      <c r="J111" s="9"/>
      <c r="K111" s="9"/>
      <c r="L111" s="9">
        <f t="shared" si="27"/>
        <v>0</v>
      </c>
      <c r="M111" s="9"/>
      <c r="N111" s="9"/>
      <c r="O111" s="9">
        <v>0</v>
      </c>
      <c r="P111" s="9"/>
      <c r="Q111" s="9"/>
      <c r="R111" s="9"/>
      <c r="S111" s="9">
        <v>0</v>
      </c>
      <c r="T111" s="9"/>
      <c r="U111" s="9"/>
      <c r="V111" s="9">
        <f t="shared" si="28"/>
        <v>0</v>
      </c>
      <c r="W111" s="11"/>
      <c r="X111" s="5">
        <f t="shared" si="31"/>
        <v>0</v>
      </c>
      <c r="Y111" s="5"/>
      <c r="Z111" s="21"/>
      <c r="AA111" s="21"/>
      <c r="AB111" s="1" t="e">
        <f t="shared" si="24"/>
        <v>#DIV/0!</v>
      </c>
      <c r="AC111" s="9" t="e">
        <f t="shared" si="29"/>
        <v>#DIV/0!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 t="s">
        <v>57</v>
      </c>
      <c r="AO111" s="1">
        <f t="shared" si="30"/>
        <v>0</v>
      </c>
      <c r="AP111" t="s">
        <v>262</v>
      </c>
    </row>
    <row r="112" spans="1:42" x14ac:dyDescent="0.25">
      <c r="A112" s="9" t="s">
        <v>263</v>
      </c>
      <c r="B112" s="9" t="s">
        <v>49</v>
      </c>
      <c r="C112" s="9"/>
      <c r="D112" s="9"/>
      <c r="E112" s="9"/>
      <c r="F112" s="9"/>
      <c r="G112" s="10">
        <v>0</v>
      </c>
      <c r="H112" s="9"/>
      <c r="I112" s="9" t="s">
        <v>42</v>
      </c>
      <c r="J112" s="9"/>
      <c r="K112" s="9"/>
      <c r="L112" s="9">
        <f t="shared" si="27"/>
        <v>0</v>
      </c>
      <c r="M112" s="9"/>
      <c r="N112" s="9"/>
      <c r="O112" s="9">
        <v>0</v>
      </c>
      <c r="P112" s="9"/>
      <c r="Q112" s="9"/>
      <c r="R112" s="9"/>
      <c r="S112" s="9">
        <v>0</v>
      </c>
      <c r="T112" s="9"/>
      <c r="U112" s="9"/>
      <c r="V112" s="9">
        <f t="shared" si="28"/>
        <v>0</v>
      </c>
      <c r="W112" s="11"/>
      <c r="X112" s="5">
        <f t="shared" si="31"/>
        <v>0</v>
      </c>
      <c r="Y112" s="5"/>
      <c r="Z112" s="21"/>
      <c r="AA112" s="21"/>
      <c r="AB112" s="1" t="e">
        <f t="shared" si="24"/>
        <v>#DIV/0!</v>
      </c>
      <c r="AC112" s="9" t="e">
        <f t="shared" si="29"/>
        <v>#DIV/0!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 t="s">
        <v>57</v>
      </c>
      <c r="AO112" s="1">
        <f t="shared" si="30"/>
        <v>0</v>
      </c>
      <c r="AP112" t="s">
        <v>264</v>
      </c>
    </row>
    <row r="113" spans="1:42" x14ac:dyDescent="0.25">
      <c r="A113" s="1" t="s">
        <v>265</v>
      </c>
      <c r="B113" s="1" t="s">
        <v>49</v>
      </c>
      <c r="C113" s="1">
        <v>26</v>
      </c>
      <c r="D113" s="1">
        <v>5</v>
      </c>
      <c r="E113" s="1">
        <v>-10</v>
      </c>
      <c r="F113" s="1">
        <v>4</v>
      </c>
      <c r="G113" s="7">
        <v>0.28000000000000003</v>
      </c>
      <c r="H113" s="1">
        <v>40</v>
      </c>
      <c r="I113" s="1" t="s">
        <v>42</v>
      </c>
      <c r="J113" s="1"/>
      <c r="K113" s="1">
        <v>101</v>
      </c>
      <c r="L113" s="1">
        <f t="shared" si="27"/>
        <v>-111</v>
      </c>
      <c r="M113" s="1"/>
      <c r="N113" s="1"/>
      <c r="O113" s="1">
        <v>500</v>
      </c>
      <c r="P113" s="1">
        <v>-53.48</v>
      </c>
      <c r="Q113" s="1"/>
      <c r="R113" s="1"/>
      <c r="S113" s="1">
        <v>0</v>
      </c>
      <c r="T113" s="1"/>
      <c r="U113" s="1"/>
      <c r="V113" s="1">
        <f t="shared" si="28"/>
        <v>-2</v>
      </c>
      <c r="W113" s="5"/>
      <c r="X113" s="5">
        <f t="shared" si="31"/>
        <v>0</v>
      </c>
      <c r="Y113" s="5"/>
      <c r="Z113" s="21"/>
      <c r="AA113" s="21"/>
      <c r="AB113" s="1">
        <f t="shared" si="24"/>
        <v>-225.26</v>
      </c>
      <c r="AC113" s="1">
        <f t="shared" si="29"/>
        <v>-225.26</v>
      </c>
      <c r="AD113" s="1">
        <v>7</v>
      </c>
      <c r="AE113" s="1">
        <v>46</v>
      </c>
      <c r="AF113" s="1">
        <v>56.4</v>
      </c>
      <c r="AG113" s="1">
        <v>36.6</v>
      </c>
      <c r="AH113" s="1">
        <v>18.8</v>
      </c>
      <c r="AI113" s="1">
        <v>1.8</v>
      </c>
      <c r="AJ113" s="1">
        <v>20</v>
      </c>
      <c r="AK113" s="1">
        <v>41</v>
      </c>
      <c r="AL113" s="1">
        <v>38.799999999999997</v>
      </c>
      <c r="AM113" s="1">
        <v>14.8</v>
      </c>
      <c r="AN113" s="1"/>
      <c r="AO113" s="1">
        <f t="shared" si="30"/>
        <v>0</v>
      </c>
      <c r="AP113" t="s">
        <v>266</v>
      </c>
    </row>
    <row r="114" spans="1:42" x14ac:dyDescent="0.25">
      <c r="A114" s="1" t="s">
        <v>267</v>
      </c>
      <c r="B114" s="1" t="s">
        <v>49</v>
      </c>
      <c r="C114" s="1">
        <v>122</v>
      </c>
      <c r="D114" s="1">
        <v>6</v>
      </c>
      <c r="E114" s="1">
        <v>112</v>
      </c>
      <c r="F114" s="1">
        <v>2</v>
      </c>
      <c r="G114" s="7">
        <v>0.28000000000000003</v>
      </c>
      <c r="H114" s="1">
        <v>40</v>
      </c>
      <c r="I114" s="1" t="s">
        <v>42</v>
      </c>
      <c r="J114" s="1"/>
      <c r="K114" s="1">
        <v>160</v>
      </c>
      <c r="L114" s="1">
        <f t="shared" si="27"/>
        <v>-48</v>
      </c>
      <c r="M114" s="1"/>
      <c r="N114" s="1"/>
      <c r="O114" s="1">
        <v>520</v>
      </c>
      <c r="P114" s="1">
        <v>-146.16</v>
      </c>
      <c r="Q114" s="1"/>
      <c r="R114" s="1"/>
      <c r="S114" s="1">
        <v>50</v>
      </c>
      <c r="T114" s="1">
        <v>-53.571428571428569</v>
      </c>
      <c r="U114" s="1"/>
      <c r="V114" s="1">
        <f t="shared" si="28"/>
        <v>22.4</v>
      </c>
      <c r="W114" s="5"/>
      <c r="X114" s="5">
        <f t="shared" si="31"/>
        <v>0</v>
      </c>
      <c r="Y114" s="5"/>
      <c r="Z114" s="21"/>
      <c r="AA114" s="21"/>
      <c r="AB114" s="1">
        <f t="shared" si="24"/>
        <v>19.01071428571429</v>
      </c>
      <c r="AC114" s="1">
        <f t="shared" si="29"/>
        <v>19.01071428571429</v>
      </c>
      <c r="AD114" s="1">
        <v>34.6</v>
      </c>
      <c r="AE114" s="1">
        <v>45.2</v>
      </c>
      <c r="AF114" s="1">
        <v>45.8</v>
      </c>
      <c r="AG114" s="1">
        <v>35</v>
      </c>
      <c r="AH114" s="1">
        <v>34.799999999999997</v>
      </c>
      <c r="AI114" s="1">
        <v>40.4</v>
      </c>
      <c r="AJ114" s="1">
        <v>38.6</v>
      </c>
      <c r="AK114" s="1">
        <v>25</v>
      </c>
      <c r="AL114" s="1">
        <v>12.8</v>
      </c>
      <c r="AM114" s="1">
        <v>8.6</v>
      </c>
      <c r="AN114" s="1"/>
      <c r="AO114" s="1">
        <f t="shared" si="30"/>
        <v>0</v>
      </c>
      <c r="AP114" t="s">
        <v>268</v>
      </c>
    </row>
    <row r="115" spans="1:42" x14ac:dyDescent="0.25">
      <c r="A115" s="1" t="s">
        <v>269</v>
      </c>
      <c r="B115" s="1" t="s">
        <v>49</v>
      </c>
      <c r="C115" s="1">
        <v>110</v>
      </c>
      <c r="D115" s="1">
        <v>164</v>
      </c>
      <c r="E115" s="1">
        <v>196</v>
      </c>
      <c r="F115" s="1">
        <v>31</v>
      </c>
      <c r="G115" s="7">
        <v>0.28000000000000003</v>
      </c>
      <c r="H115" s="1">
        <v>40</v>
      </c>
      <c r="I115" s="1" t="s">
        <v>42</v>
      </c>
      <c r="J115" s="1"/>
      <c r="K115" s="1">
        <v>209</v>
      </c>
      <c r="L115" s="1">
        <f t="shared" si="27"/>
        <v>-13</v>
      </c>
      <c r="M115" s="1"/>
      <c r="N115" s="1"/>
      <c r="O115" s="1">
        <v>403.39999999999992</v>
      </c>
      <c r="P115" s="1">
        <v>0</v>
      </c>
      <c r="Q115" s="1"/>
      <c r="R115" s="1"/>
      <c r="S115" s="1">
        <v>0</v>
      </c>
      <c r="T115" s="1"/>
      <c r="U115" s="1"/>
      <c r="V115" s="1">
        <f t="shared" si="28"/>
        <v>39.200000000000003</v>
      </c>
      <c r="W115" s="5">
        <f>12*V115-S115-R115-Q115-P115-O115-F115</f>
        <v>36.000000000000114</v>
      </c>
      <c r="X115" s="5">
        <f t="shared" si="31"/>
        <v>36.000000000000114</v>
      </c>
      <c r="Y115" s="5">
        <v>-36</v>
      </c>
      <c r="Z115" s="21"/>
      <c r="AA115" s="21"/>
      <c r="AB115" s="1">
        <f t="shared" si="24"/>
        <v>12</v>
      </c>
      <c r="AC115" s="1">
        <f t="shared" si="29"/>
        <v>11.081632653061222</v>
      </c>
      <c r="AD115" s="1">
        <v>30.6</v>
      </c>
      <c r="AE115" s="1">
        <v>43.4</v>
      </c>
      <c r="AF115" s="1">
        <v>43</v>
      </c>
      <c r="AG115" s="1">
        <v>33</v>
      </c>
      <c r="AH115" s="1">
        <v>34.799999999999997</v>
      </c>
      <c r="AI115" s="1">
        <v>39</v>
      </c>
      <c r="AJ115" s="1">
        <v>39.6</v>
      </c>
      <c r="AK115" s="1">
        <v>31.8</v>
      </c>
      <c r="AL115" s="1">
        <v>39</v>
      </c>
      <c r="AM115" s="1">
        <v>32.200000000000003</v>
      </c>
      <c r="AN115" s="1"/>
      <c r="AO115" s="1">
        <f t="shared" si="30"/>
        <v>10</v>
      </c>
      <c r="AP115" t="s">
        <v>270</v>
      </c>
    </row>
    <row r="116" spans="1:42" x14ac:dyDescent="0.25">
      <c r="A116" s="9" t="s">
        <v>271</v>
      </c>
      <c r="B116" s="9" t="s">
        <v>49</v>
      </c>
      <c r="C116" s="9"/>
      <c r="D116" s="9"/>
      <c r="E116" s="9"/>
      <c r="F116" s="9"/>
      <c r="G116" s="10">
        <v>0</v>
      </c>
      <c r="H116" s="9"/>
      <c r="I116" s="9" t="s">
        <v>42</v>
      </c>
      <c r="J116" s="9"/>
      <c r="K116" s="9"/>
      <c r="L116" s="9">
        <f t="shared" si="27"/>
        <v>0</v>
      </c>
      <c r="M116" s="9"/>
      <c r="N116" s="9"/>
      <c r="O116" s="9">
        <v>0</v>
      </c>
      <c r="P116" s="9"/>
      <c r="Q116" s="9"/>
      <c r="R116" s="9"/>
      <c r="S116" s="9">
        <v>0</v>
      </c>
      <c r="T116" s="9"/>
      <c r="U116" s="9"/>
      <c r="V116" s="9">
        <f t="shared" si="28"/>
        <v>0</v>
      </c>
      <c r="W116" s="11"/>
      <c r="X116" s="5">
        <f t="shared" si="31"/>
        <v>0</v>
      </c>
      <c r="Y116" s="5"/>
      <c r="Z116" s="21"/>
      <c r="AA116" s="21"/>
      <c r="AB116" s="1" t="e">
        <f t="shared" si="24"/>
        <v>#DIV/0!</v>
      </c>
      <c r="AC116" s="9" t="e">
        <f t="shared" si="29"/>
        <v>#DIV/0!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 t="s">
        <v>57</v>
      </c>
      <c r="AO116" s="1">
        <f t="shared" si="30"/>
        <v>0</v>
      </c>
      <c r="AP116" t="s">
        <v>272</v>
      </c>
    </row>
    <row r="117" spans="1:42" x14ac:dyDescent="0.25">
      <c r="A117" s="1" t="s">
        <v>273</v>
      </c>
      <c r="B117" s="1" t="s">
        <v>41</v>
      </c>
      <c r="C117" s="1">
        <v>57.024999999999999</v>
      </c>
      <c r="D117" s="1">
        <v>15.073</v>
      </c>
      <c r="E117" s="1">
        <v>49.351999999999997</v>
      </c>
      <c r="F117" s="1">
        <v>21.712</v>
      </c>
      <c r="G117" s="7">
        <v>1</v>
      </c>
      <c r="H117" s="1">
        <v>60</v>
      </c>
      <c r="I117" s="1" t="s">
        <v>42</v>
      </c>
      <c r="J117" s="1"/>
      <c r="K117" s="1">
        <v>65</v>
      </c>
      <c r="L117" s="1">
        <f t="shared" si="27"/>
        <v>-15.648000000000003</v>
      </c>
      <c r="M117" s="1"/>
      <c r="N117" s="1"/>
      <c r="O117" s="1">
        <v>200</v>
      </c>
      <c r="P117" s="1">
        <v>0</v>
      </c>
      <c r="Q117" s="1"/>
      <c r="R117" s="1"/>
      <c r="S117" s="1">
        <v>0</v>
      </c>
      <c r="T117" s="1"/>
      <c r="U117" s="1"/>
      <c r="V117" s="1">
        <f t="shared" si="28"/>
        <v>9.8704000000000001</v>
      </c>
      <c r="W117" s="5"/>
      <c r="X117" s="5">
        <f t="shared" si="31"/>
        <v>0</v>
      </c>
      <c r="Y117" s="5"/>
      <c r="Z117" s="21"/>
      <c r="AA117" s="21"/>
      <c r="AB117" s="1">
        <f t="shared" si="24"/>
        <v>22.462311557788944</v>
      </c>
      <c r="AC117" s="1">
        <f t="shared" si="29"/>
        <v>22.462311557788944</v>
      </c>
      <c r="AD117" s="1">
        <v>11.0616</v>
      </c>
      <c r="AE117" s="1">
        <v>18.499199999999998</v>
      </c>
      <c r="AF117" s="1">
        <v>18.447199999999999</v>
      </c>
      <c r="AG117" s="1">
        <v>12.635400000000001</v>
      </c>
      <c r="AH117" s="1">
        <v>14.976000000000001</v>
      </c>
      <c r="AI117" s="1">
        <v>20.262599999999999</v>
      </c>
      <c r="AJ117" s="1">
        <v>18.412800000000001</v>
      </c>
      <c r="AK117" s="1">
        <v>15.7308</v>
      </c>
      <c r="AL117" s="1">
        <v>19.185199999999998</v>
      </c>
      <c r="AM117" s="1">
        <v>9.5001999999999995</v>
      </c>
      <c r="AN117" s="1"/>
      <c r="AO117" s="1">
        <f t="shared" si="30"/>
        <v>0</v>
      </c>
      <c r="AP117" t="s">
        <v>274</v>
      </c>
    </row>
    <row r="118" spans="1:42" x14ac:dyDescent="0.25">
      <c r="A118" s="1" t="s">
        <v>275</v>
      </c>
      <c r="B118" s="1" t="s">
        <v>41</v>
      </c>
      <c r="C118" s="1">
        <v>142.096</v>
      </c>
      <c r="D118" s="1"/>
      <c r="E118" s="1">
        <v>38.823</v>
      </c>
      <c r="F118" s="1">
        <v>99.665000000000006</v>
      </c>
      <c r="G118" s="7">
        <v>1</v>
      </c>
      <c r="H118" s="1">
        <v>50</v>
      </c>
      <c r="I118" s="1" t="s">
        <v>42</v>
      </c>
      <c r="J118" s="1"/>
      <c r="K118" s="1">
        <v>40</v>
      </c>
      <c r="L118" s="1">
        <f t="shared" si="27"/>
        <v>-1.1769999999999996</v>
      </c>
      <c r="M118" s="1"/>
      <c r="N118" s="1"/>
      <c r="O118" s="1">
        <v>0</v>
      </c>
      <c r="P118" s="1"/>
      <c r="Q118" s="1"/>
      <c r="R118" s="1"/>
      <c r="S118" s="1">
        <v>0</v>
      </c>
      <c r="T118" s="1"/>
      <c r="U118" s="1"/>
      <c r="V118" s="1">
        <f t="shared" si="28"/>
        <v>7.7645999999999997</v>
      </c>
      <c r="W118" s="5"/>
      <c r="X118" s="5">
        <f t="shared" si="31"/>
        <v>0</v>
      </c>
      <c r="Y118" s="5"/>
      <c r="Z118" s="21"/>
      <c r="AA118" s="21"/>
      <c r="AB118" s="1">
        <f t="shared" si="24"/>
        <v>12.835818973289031</v>
      </c>
      <c r="AC118" s="1">
        <f t="shared" si="29"/>
        <v>12.835818973289031</v>
      </c>
      <c r="AD118" s="1">
        <v>5.4868000000000006</v>
      </c>
      <c r="AE118" s="1">
        <v>7.4721999999999991</v>
      </c>
      <c r="AF118" s="1">
        <v>9.9611999999999998</v>
      </c>
      <c r="AG118" s="1">
        <v>8.8994</v>
      </c>
      <c r="AH118" s="1">
        <v>10.405799999999999</v>
      </c>
      <c r="AI118" s="1">
        <v>16.494800000000001</v>
      </c>
      <c r="AJ118" s="1">
        <v>16.497199999999999</v>
      </c>
      <c r="AK118" s="1">
        <v>14.1732</v>
      </c>
      <c r="AL118" s="1">
        <v>15.641999999999999</v>
      </c>
      <c r="AM118" s="1">
        <v>12.287000000000001</v>
      </c>
      <c r="AN118" s="15" t="s">
        <v>136</v>
      </c>
      <c r="AO118" s="1">
        <f t="shared" si="30"/>
        <v>0</v>
      </c>
      <c r="AP118" t="s">
        <v>276</v>
      </c>
    </row>
    <row r="119" spans="1:42" x14ac:dyDescent="0.25">
      <c r="A119" s="9" t="s">
        <v>277</v>
      </c>
      <c r="B119" s="9" t="s">
        <v>49</v>
      </c>
      <c r="C119" s="9"/>
      <c r="D119" s="9"/>
      <c r="E119" s="9"/>
      <c r="F119" s="9"/>
      <c r="G119" s="10">
        <v>0</v>
      </c>
      <c r="H119" s="9"/>
      <c r="I119" s="9" t="s">
        <v>42</v>
      </c>
      <c r="J119" s="9"/>
      <c r="K119" s="9"/>
      <c r="L119" s="9">
        <f t="shared" si="27"/>
        <v>0</v>
      </c>
      <c r="M119" s="9"/>
      <c r="N119" s="9"/>
      <c r="O119" s="9">
        <v>0</v>
      </c>
      <c r="P119" s="9"/>
      <c r="Q119" s="9"/>
      <c r="R119" s="9"/>
      <c r="S119" s="9">
        <v>0</v>
      </c>
      <c r="T119" s="9"/>
      <c r="U119" s="9"/>
      <c r="V119" s="9">
        <f t="shared" si="28"/>
        <v>0</v>
      </c>
      <c r="W119" s="11"/>
      <c r="X119" s="5">
        <f t="shared" si="31"/>
        <v>0</v>
      </c>
      <c r="Y119" s="5"/>
      <c r="Z119" s="21"/>
      <c r="AA119" s="21"/>
      <c r="AB119" s="1" t="e">
        <f t="shared" si="24"/>
        <v>#DIV/0!</v>
      </c>
      <c r="AC119" s="9" t="e">
        <f t="shared" si="29"/>
        <v>#DIV/0!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 t="s">
        <v>57</v>
      </c>
      <c r="AO119" s="1">
        <f t="shared" si="30"/>
        <v>0</v>
      </c>
      <c r="AP119" t="s">
        <v>278</v>
      </c>
    </row>
    <row r="120" spans="1:42" x14ac:dyDescent="0.25">
      <c r="A120" s="9" t="s">
        <v>279</v>
      </c>
      <c r="B120" s="9" t="s">
        <v>49</v>
      </c>
      <c r="C120" s="9"/>
      <c r="D120" s="9"/>
      <c r="E120" s="9"/>
      <c r="F120" s="9"/>
      <c r="G120" s="10">
        <v>0</v>
      </c>
      <c r="H120" s="9"/>
      <c r="I120" s="9" t="s">
        <v>42</v>
      </c>
      <c r="J120" s="9"/>
      <c r="K120" s="9"/>
      <c r="L120" s="9">
        <f t="shared" si="27"/>
        <v>0</v>
      </c>
      <c r="M120" s="9"/>
      <c r="N120" s="9"/>
      <c r="O120" s="9">
        <v>0</v>
      </c>
      <c r="P120" s="9"/>
      <c r="Q120" s="9"/>
      <c r="R120" s="9"/>
      <c r="S120" s="9">
        <v>0</v>
      </c>
      <c r="T120" s="9"/>
      <c r="U120" s="9"/>
      <c r="V120" s="9">
        <f t="shared" si="28"/>
        <v>0</v>
      </c>
      <c r="W120" s="11"/>
      <c r="X120" s="5">
        <f t="shared" si="31"/>
        <v>0</v>
      </c>
      <c r="Y120" s="5"/>
      <c r="Z120" s="21"/>
      <c r="AA120" s="21"/>
      <c r="AB120" s="1" t="e">
        <f t="shared" si="24"/>
        <v>#DIV/0!</v>
      </c>
      <c r="AC120" s="9" t="e">
        <f t="shared" si="29"/>
        <v>#DIV/0!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 t="s">
        <v>57</v>
      </c>
      <c r="AO120" s="1">
        <f t="shared" si="30"/>
        <v>0</v>
      </c>
      <c r="AP120" t="s">
        <v>280</v>
      </c>
    </row>
    <row r="121" spans="1:42" x14ac:dyDescent="0.25">
      <c r="A121" s="1" t="s">
        <v>281</v>
      </c>
      <c r="B121" s="1" t="s">
        <v>41</v>
      </c>
      <c r="C121" s="1">
        <v>30.206</v>
      </c>
      <c r="D121" s="1">
        <v>190.90700000000001</v>
      </c>
      <c r="E121" s="1">
        <v>100.86</v>
      </c>
      <c r="F121" s="1">
        <v>88.012</v>
      </c>
      <c r="G121" s="7">
        <v>1</v>
      </c>
      <c r="H121" s="1">
        <v>60</v>
      </c>
      <c r="I121" s="1" t="s">
        <v>42</v>
      </c>
      <c r="J121" s="1"/>
      <c r="K121" s="1">
        <v>108.9</v>
      </c>
      <c r="L121" s="1">
        <f t="shared" si="27"/>
        <v>-8.0400000000000063</v>
      </c>
      <c r="M121" s="1"/>
      <c r="N121" s="1"/>
      <c r="O121" s="1">
        <v>15.185800000000009</v>
      </c>
      <c r="P121" s="1">
        <v>0</v>
      </c>
      <c r="Q121" s="1"/>
      <c r="R121" s="1"/>
      <c r="S121" s="1">
        <v>22.95079999999999</v>
      </c>
      <c r="T121" s="1"/>
      <c r="U121" s="1"/>
      <c r="V121" s="1">
        <f t="shared" si="28"/>
        <v>20.172000000000001</v>
      </c>
      <c r="W121" s="5">
        <f>12*V121-S121-R121-Q121-P121-O121-F121</f>
        <v>115.91540000000003</v>
      </c>
      <c r="X121" s="5">
        <f>W121+$X$1*V121</f>
        <v>102.60188000000004</v>
      </c>
      <c r="Y121" s="5"/>
      <c r="Z121" s="21"/>
      <c r="AA121" s="21"/>
      <c r="AB121" s="1">
        <f t="shared" si="24"/>
        <v>11.340000000000002</v>
      </c>
      <c r="AC121" s="1">
        <f t="shared" si="29"/>
        <v>6.2536486218520722</v>
      </c>
      <c r="AD121" s="1">
        <v>15.214600000000001</v>
      </c>
      <c r="AE121" s="1">
        <v>14.1698</v>
      </c>
      <c r="AF121" s="1">
        <v>20.410399999999999</v>
      </c>
      <c r="AG121" s="1">
        <v>21.778199999999998</v>
      </c>
      <c r="AH121" s="1">
        <v>13.795400000000001</v>
      </c>
      <c r="AI121" s="1">
        <v>8.7471999999999994</v>
      </c>
      <c r="AJ121" s="1">
        <v>11.3284</v>
      </c>
      <c r="AK121" s="1">
        <v>16.998000000000001</v>
      </c>
      <c r="AL121" s="1">
        <v>21.1784</v>
      </c>
      <c r="AM121" s="1">
        <v>9.8439999999999994</v>
      </c>
      <c r="AN121" s="1"/>
      <c r="AO121" s="1">
        <f t="shared" si="30"/>
        <v>103</v>
      </c>
      <c r="AP121" t="s">
        <v>282</v>
      </c>
    </row>
    <row r="122" spans="1:42" x14ac:dyDescent="0.25">
      <c r="A122" s="1" t="s">
        <v>283</v>
      </c>
      <c r="B122" s="1" t="s">
        <v>41</v>
      </c>
      <c r="C122" s="1">
        <v>344.33699999999999</v>
      </c>
      <c r="D122" s="1">
        <v>27.469000000000001</v>
      </c>
      <c r="E122" s="1">
        <v>169.33699999999999</v>
      </c>
      <c r="F122" s="1">
        <v>164.947</v>
      </c>
      <c r="G122" s="7">
        <v>1</v>
      </c>
      <c r="H122" s="1">
        <v>60</v>
      </c>
      <c r="I122" s="1" t="s">
        <v>42</v>
      </c>
      <c r="J122" s="1"/>
      <c r="K122" s="1">
        <v>168.25</v>
      </c>
      <c r="L122" s="1">
        <f t="shared" si="27"/>
        <v>1.0869999999999891</v>
      </c>
      <c r="M122" s="1"/>
      <c r="N122" s="1"/>
      <c r="O122" s="1">
        <v>167.00659999999999</v>
      </c>
      <c r="P122" s="1">
        <v>0</v>
      </c>
      <c r="Q122" s="1"/>
      <c r="R122" s="1"/>
      <c r="S122" s="1">
        <v>33.732400000000013</v>
      </c>
      <c r="T122" s="1"/>
      <c r="U122" s="1"/>
      <c r="V122" s="1">
        <f t="shared" si="28"/>
        <v>33.867399999999996</v>
      </c>
      <c r="W122" s="5">
        <f>12*V122-S122-R122-Q122-P122-O122-F122</f>
        <v>40.72279999999995</v>
      </c>
      <c r="X122" s="5">
        <f>W122</f>
        <v>40.72279999999995</v>
      </c>
      <c r="Y122" s="5"/>
      <c r="Z122" s="21"/>
      <c r="AA122" s="21"/>
      <c r="AB122" s="1">
        <f t="shared" si="24"/>
        <v>12</v>
      </c>
      <c r="AC122" s="1">
        <f t="shared" si="29"/>
        <v>10.797581154738777</v>
      </c>
      <c r="AD122" s="1">
        <v>37.478999999999999</v>
      </c>
      <c r="AE122" s="1">
        <v>34.275799999999997</v>
      </c>
      <c r="AF122" s="1">
        <v>36.581000000000003</v>
      </c>
      <c r="AG122" s="1">
        <v>40.446399999999997</v>
      </c>
      <c r="AH122" s="1">
        <v>52.765599999999992</v>
      </c>
      <c r="AI122" s="1">
        <v>58.024800000000013</v>
      </c>
      <c r="AJ122" s="1">
        <v>40.68</v>
      </c>
      <c r="AK122" s="1">
        <v>30.541399999999999</v>
      </c>
      <c r="AL122" s="1">
        <v>38.330199999999998</v>
      </c>
      <c r="AM122" s="1">
        <v>36.979799999999997</v>
      </c>
      <c r="AN122" s="1"/>
      <c r="AO122" s="1">
        <f t="shared" si="30"/>
        <v>41</v>
      </c>
      <c r="AP122" t="s">
        <v>284</v>
      </c>
    </row>
    <row r="123" spans="1:42" x14ac:dyDescent="0.25">
      <c r="A123" s="1" t="s">
        <v>285</v>
      </c>
      <c r="B123" s="1" t="s">
        <v>41</v>
      </c>
      <c r="C123" s="1">
        <v>166.023</v>
      </c>
      <c r="D123" s="1">
        <v>1.379</v>
      </c>
      <c r="E123" s="1">
        <v>48.104999999999997</v>
      </c>
      <c r="F123" s="1">
        <v>102.90900000000001</v>
      </c>
      <c r="G123" s="7">
        <v>1</v>
      </c>
      <c r="H123" s="1">
        <v>60</v>
      </c>
      <c r="I123" s="1" t="s">
        <v>42</v>
      </c>
      <c r="J123" s="1"/>
      <c r="K123" s="1">
        <v>46.1</v>
      </c>
      <c r="L123" s="1">
        <f t="shared" si="27"/>
        <v>2.0049999999999955</v>
      </c>
      <c r="M123" s="1"/>
      <c r="N123" s="1"/>
      <c r="O123" s="1">
        <v>20.742999999999991</v>
      </c>
      <c r="P123" s="1">
        <v>0</v>
      </c>
      <c r="Q123" s="1"/>
      <c r="R123" s="1"/>
      <c r="S123" s="1">
        <v>0</v>
      </c>
      <c r="T123" s="1"/>
      <c r="U123" s="1"/>
      <c r="V123" s="1">
        <f t="shared" si="28"/>
        <v>9.6209999999999987</v>
      </c>
      <c r="W123" s="5"/>
      <c r="X123" s="5">
        <f>W123</f>
        <v>0</v>
      </c>
      <c r="Y123" s="5"/>
      <c r="Z123" s="21"/>
      <c r="AA123" s="21"/>
      <c r="AB123" s="1">
        <f t="shared" si="24"/>
        <v>12.852302255482799</v>
      </c>
      <c r="AC123" s="1">
        <f t="shared" si="29"/>
        <v>12.852302255482799</v>
      </c>
      <c r="AD123" s="1">
        <v>8.5533999999999999</v>
      </c>
      <c r="AE123" s="1">
        <v>12.0816</v>
      </c>
      <c r="AF123" s="1">
        <v>11.7842</v>
      </c>
      <c r="AG123" s="1">
        <v>5.2182000000000004</v>
      </c>
      <c r="AH123" s="1">
        <v>9.017199999999999</v>
      </c>
      <c r="AI123" s="1">
        <v>19.734200000000001</v>
      </c>
      <c r="AJ123" s="1">
        <v>18.6568</v>
      </c>
      <c r="AK123" s="1">
        <v>9.5117999999999991</v>
      </c>
      <c r="AL123" s="1">
        <v>9.5025999999999993</v>
      </c>
      <c r="AM123" s="1">
        <v>9.9976000000000003</v>
      </c>
      <c r="AN123" s="1"/>
      <c r="AO123" s="1">
        <f t="shared" si="30"/>
        <v>0</v>
      </c>
      <c r="AP123" t="s">
        <v>286</v>
      </c>
    </row>
    <row r="124" spans="1:42" x14ac:dyDescent="0.25">
      <c r="A124" s="1" t="s">
        <v>287</v>
      </c>
      <c r="B124" s="1" t="s">
        <v>41</v>
      </c>
      <c r="C124" s="1">
        <v>1821.374</v>
      </c>
      <c r="D124" s="1">
        <v>626.798</v>
      </c>
      <c r="E124" s="1">
        <v>827.47900000000004</v>
      </c>
      <c r="F124" s="1">
        <v>1455.174</v>
      </c>
      <c r="G124" s="7">
        <v>1</v>
      </c>
      <c r="H124" s="1">
        <v>60</v>
      </c>
      <c r="I124" s="1" t="s">
        <v>42</v>
      </c>
      <c r="J124" s="1"/>
      <c r="K124" s="1">
        <v>902.5</v>
      </c>
      <c r="L124" s="1">
        <f t="shared" si="27"/>
        <v>-75.020999999999958</v>
      </c>
      <c r="M124" s="1"/>
      <c r="N124" s="1"/>
      <c r="O124" s="1">
        <v>392.5905999999992</v>
      </c>
      <c r="P124" s="1">
        <v>0</v>
      </c>
      <c r="Q124" s="1"/>
      <c r="R124" s="1"/>
      <c r="S124" s="1">
        <v>0</v>
      </c>
      <c r="T124" s="1"/>
      <c r="U124" s="1"/>
      <c r="V124" s="1">
        <f t="shared" si="28"/>
        <v>165.4958</v>
      </c>
      <c r="W124" s="5">
        <f>12*V124-S124-R124-Q124-P124-O124-F124</f>
        <v>138.18500000000085</v>
      </c>
      <c r="X124" s="5">
        <f>W124+$X$1*V124</f>
        <v>28.957772000000844</v>
      </c>
      <c r="Y124" s="5"/>
      <c r="Z124" s="21"/>
      <c r="AA124" s="21"/>
      <c r="AB124" s="1">
        <f t="shared" si="24"/>
        <v>11.34</v>
      </c>
      <c r="AC124" s="1">
        <f t="shared" si="29"/>
        <v>11.16502412750051</v>
      </c>
      <c r="AD124" s="1">
        <v>148.43340000000001</v>
      </c>
      <c r="AE124" s="1">
        <v>180.2364</v>
      </c>
      <c r="AF124" s="1">
        <v>202.20419999999999</v>
      </c>
      <c r="AG124" s="1">
        <v>198.17320000000001</v>
      </c>
      <c r="AH124" s="1">
        <v>185.0686</v>
      </c>
      <c r="AI124" s="1">
        <v>197.94739999999999</v>
      </c>
      <c r="AJ124" s="1">
        <v>193.87379999999999</v>
      </c>
      <c r="AK124" s="1">
        <v>177.26840000000001</v>
      </c>
      <c r="AL124" s="1">
        <v>143.54259999999999</v>
      </c>
      <c r="AM124" s="1">
        <v>73.318599999999989</v>
      </c>
      <c r="AN124" s="1"/>
      <c r="AO124" s="1">
        <f t="shared" si="30"/>
        <v>29</v>
      </c>
      <c r="AP124" t="s">
        <v>288</v>
      </c>
    </row>
    <row r="125" spans="1:42" x14ac:dyDescent="0.25">
      <c r="A125" s="1" t="s">
        <v>289</v>
      </c>
      <c r="B125" s="1" t="s">
        <v>49</v>
      </c>
      <c r="C125" s="1">
        <v>20</v>
      </c>
      <c r="D125" s="1">
        <v>2</v>
      </c>
      <c r="E125" s="1">
        <v>18</v>
      </c>
      <c r="F125" s="1">
        <v>4</v>
      </c>
      <c r="G125" s="7">
        <v>0.25</v>
      </c>
      <c r="H125" s="1">
        <v>1096</v>
      </c>
      <c r="I125" s="1" t="s">
        <v>42</v>
      </c>
      <c r="J125" s="1"/>
      <c r="K125" s="1">
        <v>36</v>
      </c>
      <c r="L125" s="1">
        <f t="shared" si="27"/>
        <v>-18</v>
      </c>
      <c r="M125" s="1"/>
      <c r="N125" s="1"/>
      <c r="O125" s="1">
        <v>500</v>
      </c>
      <c r="P125" s="1">
        <v>-126</v>
      </c>
      <c r="Q125" s="1"/>
      <c r="R125" s="1"/>
      <c r="S125" s="1">
        <v>0</v>
      </c>
      <c r="T125" s="1"/>
      <c r="U125" s="1"/>
      <c r="V125" s="1">
        <f t="shared" si="28"/>
        <v>3.6</v>
      </c>
      <c r="W125" s="5"/>
      <c r="X125" s="5">
        <f t="shared" ref="X125:X133" si="32">W125</f>
        <v>0</v>
      </c>
      <c r="Y125" s="5"/>
      <c r="Z125" s="21"/>
      <c r="AA125" s="21"/>
      <c r="AB125" s="1">
        <f t="shared" si="24"/>
        <v>105</v>
      </c>
      <c r="AC125" s="1">
        <f t="shared" si="29"/>
        <v>105</v>
      </c>
      <c r="AD125" s="1">
        <v>5.4</v>
      </c>
      <c r="AE125" s="1">
        <v>25.8</v>
      </c>
      <c r="AF125" s="1">
        <v>33</v>
      </c>
      <c r="AG125" s="1">
        <v>10.6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 t="s">
        <v>290</v>
      </c>
      <c r="AO125" s="1">
        <f t="shared" si="30"/>
        <v>0</v>
      </c>
      <c r="AP125" t="s">
        <v>291</v>
      </c>
    </row>
    <row r="126" spans="1:42" x14ac:dyDescent="0.25">
      <c r="A126" s="1" t="s">
        <v>292</v>
      </c>
      <c r="B126" s="1" t="s">
        <v>49</v>
      </c>
      <c r="C126" s="1">
        <v>36</v>
      </c>
      <c r="D126" s="1">
        <v>2</v>
      </c>
      <c r="E126" s="12">
        <f>33+E133</f>
        <v>40</v>
      </c>
      <c r="F126" s="12">
        <f>5+F133</f>
        <v>14</v>
      </c>
      <c r="G126" s="7">
        <v>0.32500000000000001</v>
      </c>
      <c r="H126" s="1">
        <v>1096</v>
      </c>
      <c r="I126" s="1" t="s">
        <v>42</v>
      </c>
      <c r="J126" s="1"/>
      <c r="K126" s="1">
        <v>33</v>
      </c>
      <c r="L126" s="1">
        <f t="shared" si="27"/>
        <v>7</v>
      </c>
      <c r="M126" s="1"/>
      <c r="N126" s="1"/>
      <c r="O126" s="1">
        <v>500</v>
      </c>
      <c r="P126" s="1">
        <v>-163.80000000000001</v>
      </c>
      <c r="Q126" s="1"/>
      <c r="R126" s="1"/>
      <c r="S126" s="1">
        <v>0</v>
      </c>
      <c r="T126" s="1"/>
      <c r="U126" s="1"/>
      <c r="V126" s="1">
        <f t="shared" si="28"/>
        <v>8</v>
      </c>
      <c r="W126" s="5"/>
      <c r="X126" s="5">
        <f t="shared" si="32"/>
        <v>0</v>
      </c>
      <c r="Y126" s="5"/>
      <c r="Z126" s="21"/>
      <c r="AA126" s="21"/>
      <c r="AB126" s="1">
        <f t="shared" si="24"/>
        <v>43.774999999999999</v>
      </c>
      <c r="AC126" s="1">
        <f t="shared" si="29"/>
        <v>43.774999999999999</v>
      </c>
      <c r="AD126" s="1">
        <v>5.6</v>
      </c>
      <c r="AE126" s="1">
        <v>22</v>
      </c>
      <c r="AF126" s="1">
        <v>22.4</v>
      </c>
      <c r="AG126" s="1">
        <v>3.2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 t="s">
        <v>290</v>
      </c>
      <c r="AO126" s="1">
        <f t="shared" si="30"/>
        <v>0</v>
      </c>
      <c r="AP126" t="s">
        <v>293</v>
      </c>
    </row>
    <row r="127" spans="1:42" x14ac:dyDescent="0.25">
      <c r="A127" s="1" t="s">
        <v>294</v>
      </c>
      <c r="B127" s="1" t="s">
        <v>49</v>
      </c>
      <c r="C127" s="1">
        <v>28</v>
      </c>
      <c r="D127" s="1">
        <v>2</v>
      </c>
      <c r="E127" s="1">
        <v>26</v>
      </c>
      <c r="F127" s="1">
        <v>4</v>
      </c>
      <c r="G127" s="7">
        <v>0.25</v>
      </c>
      <c r="H127" s="1">
        <v>1096</v>
      </c>
      <c r="I127" s="1" t="s">
        <v>42</v>
      </c>
      <c r="J127" s="1"/>
      <c r="K127" s="1">
        <v>40</v>
      </c>
      <c r="L127" s="1">
        <f t="shared" si="27"/>
        <v>-14</v>
      </c>
      <c r="M127" s="1"/>
      <c r="N127" s="1"/>
      <c r="O127" s="1">
        <v>500</v>
      </c>
      <c r="P127" s="1">
        <v>0</v>
      </c>
      <c r="Q127" s="1"/>
      <c r="R127" s="1"/>
      <c r="S127" s="1">
        <v>0</v>
      </c>
      <c r="T127" s="1"/>
      <c r="U127" s="1"/>
      <c r="V127" s="1">
        <f t="shared" si="28"/>
        <v>5.2</v>
      </c>
      <c r="W127" s="5"/>
      <c r="X127" s="5">
        <f t="shared" si="32"/>
        <v>0</v>
      </c>
      <c r="Y127" s="5"/>
      <c r="Z127" s="21"/>
      <c r="AA127" s="21"/>
      <c r="AB127" s="1">
        <f t="shared" si="24"/>
        <v>96.92307692307692</v>
      </c>
      <c r="AC127" s="1">
        <f t="shared" si="29"/>
        <v>96.92307692307692</v>
      </c>
      <c r="AD127" s="1">
        <v>8.1999999999999993</v>
      </c>
      <c r="AE127" s="1">
        <v>27.6</v>
      </c>
      <c r="AF127" s="1">
        <v>29.4</v>
      </c>
      <c r="AG127" s="1">
        <v>7.2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 t="s">
        <v>290</v>
      </c>
      <c r="AO127" s="1">
        <f t="shared" si="30"/>
        <v>0</v>
      </c>
      <c r="AP127" t="s">
        <v>295</v>
      </c>
    </row>
    <row r="128" spans="1:42" x14ac:dyDescent="0.25">
      <c r="A128" s="1" t="s">
        <v>296</v>
      </c>
      <c r="B128" s="1" t="s">
        <v>49</v>
      </c>
      <c r="C128" s="1"/>
      <c r="D128" s="1"/>
      <c r="E128" s="1">
        <v>-5</v>
      </c>
      <c r="F128" s="1"/>
      <c r="G128" s="7">
        <v>0.3</v>
      </c>
      <c r="H128" s="1">
        <v>40</v>
      </c>
      <c r="I128" s="13" t="s">
        <v>91</v>
      </c>
      <c r="J128" s="1"/>
      <c r="K128" s="1">
        <v>2</v>
      </c>
      <c r="L128" s="1">
        <f t="shared" si="27"/>
        <v>-7</v>
      </c>
      <c r="M128" s="1"/>
      <c r="N128" s="1"/>
      <c r="O128" s="1">
        <v>100</v>
      </c>
      <c r="P128" s="1">
        <v>-30.6</v>
      </c>
      <c r="Q128" s="1"/>
      <c r="R128" s="1"/>
      <c r="S128" s="1">
        <v>60</v>
      </c>
      <c r="T128" s="1">
        <v>-60</v>
      </c>
      <c r="U128" s="1"/>
      <c r="V128" s="1">
        <f t="shared" si="28"/>
        <v>-1</v>
      </c>
      <c r="W128" s="5">
        <v>180</v>
      </c>
      <c r="X128" s="5">
        <f t="shared" si="32"/>
        <v>180</v>
      </c>
      <c r="Y128" s="5">
        <v>-180</v>
      </c>
      <c r="Z128" s="21"/>
      <c r="AA128" s="21"/>
      <c r="AB128" s="1">
        <f t="shared" si="24"/>
        <v>-309.39999999999998</v>
      </c>
      <c r="AC128" s="1">
        <f t="shared" si="29"/>
        <v>-129.4</v>
      </c>
      <c r="AD128" s="1">
        <v>-1.2</v>
      </c>
      <c r="AE128" s="1">
        <v>-0.6</v>
      </c>
      <c r="AF128" s="1">
        <v>15.2</v>
      </c>
      <c r="AG128" s="1">
        <v>36.4</v>
      </c>
      <c r="AH128" s="1">
        <v>36.6</v>
      </c>
      <c r="AI128" s="1">
        <v>59.8</v>
      </c>
      <c r="AJ128" s="1">
        <v>60</v>
      </c>
      <c r="AK128" s="1">
        <v>36.4</v>
      </c>
      <c r="AL128" s="1">
        <v>44.4</v>
      </c>
      <c r="AM128" s="1">
        <v>39</v>
      </c>
      <c r="AN128" s="1"/>
      <c r="AO128" s="1">
        <f t="shared" si="30"/>
        <v>54</v>
      </c>
      <c r="AP128" t="s">
        <v>297</v>
      </c>
    </row>
    <row r="129" spans="1:42" x14ac:dyDescent="0.25">
      <c r="A129" s="1" t="s">
        <v>298</v>
      </c>
      <c r="B129" s="1" t="s">
        <v>49</v>
      </c>
      <c r="C129" s="1">
        <v>5</v>
      </c>
      <c r="D129" s="1">
        <v>3</v>
      </c>
      <c r="E129" s="1">
        <v>3</v>
      </c>
      <c r="F129" s="1">
        <v>1</v>
      </c>
      <c r="G129" s="7">
        <v>0.3</v>
      </c>
      <c r="H129" s="1">
        <v>40</v>
      </c>
      <c r="I129" s="1" t="s">
        <v>42</v>
      </c>
      <c r="J129" s="1"/>
      <c r="K129" s="1">
        <v>24</v>
      </c>
      <c r="L129" s="1">
        <f t="shared" si="27"/>
        <v>-21</v>
      </c>
      <c r="M129" s="1"/>
      <c r="N129" s="1"/>
      <c r="O129" s="1">
        <v>80</v>
      </c>
      <c r="P129" s="1">
        <v>-25.2</v>
      </c>
      <c r="Q129" s="1"/>
      <c r="R129" s="1"/>
      <c r="S129" s="1">
        <v>8</v>
      </c>
      <c r="T129" s="1">
        <v>-13.333333333333334</v>
      </c>
      <c r="U129" s="1"/>
      <c r="V129" s="1">
        <f t="shared" si="28"/>
        <v>0.6</v>
      </c>
      <c r="W129" s="5"/>
      <c r="X129" s="5">
        <f t="shared" si="32"/>
        <v>0</v>
      </c>
      <c r="Y129" s="5"/>
      <c r="Z129" s="21"/>
      <c r="AA129" s="21"/>
      <c r="AB129" s="1">
        <f t="shared" si="24"/>
        <v>106.33333333333333</v>
      </c>
      <c r="AC129" s="1">
        <f t="shared" si="29"/>
        <v>106.33333333333333</v>
      </c>
      <c r="AD129" s="1">
        <v>5.8</v>
      </c>
      <c r="AE129" s="1">
        <v>6.8</v>
      </c>
      <c r="AF129" s="1">
        <v>1.4</v>
      </c>
      <c r="AG129" s="1">
        <v>-0.2</v>
      </c>
      <c r="AH129" s="1">
        <v>-0.8</v>
      </c>
      <c r="AI129" s="1">
        <v>15.8</v>
      </c>
      <c r="AJ129" s="1">
        <v>16</v>
      </c>
      <c r="AK129" s="1">
        <v>-1.2</v>
      </c>
      <c r="AL129" s="1">
        <v>-0.6</v>
      </c>
      <c r="AM129" s="1">
        <v>-1.2</v>
      </c>
      <c r="AN129" s="1" t="s">
        <v>299</v>
      </c>
      <c r="AO129" s="1">
        <f t="shared" si="30"/>
        <v>0</v>
      </c>
      <c r="AP129" t="s">
        <v>300</v>
      </c>
    </row>
    <row r="130" spans="1:42" x14ac:dyDescent="0.25">
      <c r="A130" s="1" t="s">
        <v>301</v>
      </c>
      <c r="B130" s="1" t="s">
        <v>41</v>
      </c>
      <c r="C130" s="1">
        <v>41.645000000000003</v>
      </c>
      <c r="D130" s="1">
        <v>10.775</v>
      </c>
      <c r="E130" s="1">
        <v>10.752000000000001</v>
      </c>
      <c r="F130" s="1">
        <v>40.316000000000003</v>
      </c>
      <c r="G130" s="7">
        <v>1</v>
      </c>
      <c r="H130" s="1">
        <v>50</v>
      </c>
      <c r="I130" s="1" t="s">
        <v>42</v>
      </c>
      <c r="J130" s="1"/>
      <c r="K130" s="1">
        <v>10.199999999999999</v>
      </c>
      <c r="L130" s="1">
        <f t="shared" si="27"/>
        <v>0.55200000000000138</v>
      </c>
      <c r="M130" s="1"/>
      <c r="N130" s="1"/>
      <c r="O130" s="1">
        <v>0</v>
      </c>
      <c r="P130" s="1"/>
      <c r="Q130" s="1"/>
      <c r="R130" s="1"/>
      <c r="S130" s="1">
        <v>0</v>
      </c>
      <c r="T130" s="1"/>
      <c r="U130" s="1"/>
      <c r="V130" s="1">
        <f t="shared" si="28"/>
        <v>2.1504000000000003</v>
      </c>
      <c r="W130" s="5"/>
      <c r="X130" s="5">
        <f t="shared" si="32"/>
        <v>0</v>
      </c>
      <c r="Y130" s="5"/>
      <c r="Z130" s="21"/>
      <c r="AA130" s="21"/>
      <c r="AB130" s="1">
        <f t="shared" si="24"/>
        <v>18.74813988095238</v>
      </c>
      <c r="AC130" s="1">
        <f t="shared" si="29"/>
        <v>18.74813988095238</v>
      </c>
      <c r="AD130" s="1">
        <v>2.1423999999999999</v>
      </c>
      <c r="AE130" s="1">
        <v>2.9592000000000001</v>
      </c>
      <c r="AF130" s="1">
        <v>2.4420000000000002</v>
      </c>
      <c r="AG130" s="1">
        <v>4.0430000000000001</v>
      </c>
      <c r="AH130" s="1">
        <v>4.5990000000000002</v>
      </c>
      <c r="AI130" s="1">
        <v>3.5379999999999998</v>
      </c>
      <c r="AJ130" s="1">
        <v>1.901</v>
      </c>
      <c r="AK130" s="1">
        <v>1.0864</v>
      </c>
      <c r="AL130" s="1">
        <v>2.4331999999999998</v>
      </c>
      <c r="AM130" s="1">
        <v>1.623</v>
      </c>
      <c r="AN130" s="15" t="s">
        <v>136</v>
      </c>
      <c r="AO130" s="1">
        <f t="shared" si="30"/>
        <v>0</v>
      </c>
      <c r="AP130" t="s">
        <v>302</v>
      </c>
    </row>
    <row r="131" spans="1:42" x14ac:dyDescent="0.25">
      <c r="A131" s="1" t="s">
        <v>303</v>
      </c>
      <c r="B131" s="1" t="s">
        <v>49</v>
      </c>
      <c r="C131" s="1">
        <v>34</v>
      </c>
      <c r="D131" s="1">
        <v>1</v>
      </c>
      <c r="E131" s="1">
        <v>20</v>
      </c>
      <c r="F131" s="1">
        <v>6</v>
      </c>
      <c r="G131" s="7">
        <v>0.3</v>
      </c>
      <c r="H131" s="1">
        <v>40</v>
      </c>
      <c r="I131" s="13" t="s">
        <v>91</v>
      </c>
      <c r="J131" s="1"/>
      <c r="K131" s="1">
        <v>41</v>
      </c>
      <c r="L131" s="1">
        <f t="shared" si="27"/>
        <v>-21</v>
      </c>
      <c r="M131" s="1"/>
      <c r="N131" s="1"/>
      <c r="O131" s="1">
        <v>100</v>
      </c>
      <c r="P131" s="1">
        <v>0</v>
      </c>
      <c r="Q131" s="1"/>
      <c r="R131" s="1"/>
      <c r="S131" s="1">
        <v>19.599999999999991</v>
      </c>
      <c r="T131" s="1"/>
      <c r="U131" s="1"/>
      <c r="V131" s="1">
        <f t="shared" si="28"/>
        <v>4</v>
      </c>
      <c r="W131" s="5">
        <v>20</v>
      </c>
      <c r="X131" s="5">
        <f t="shared" si="32"/>
        <v>20</v>
      </c>
      <c r="Y131" s="5">
        <v>-24</v>
      </c>
      <c r="Z131" s="21"/>
      <c r="AA131" s="21"/>
      <c r="AB131" s="1">
        <f t="shared" si="24"/>
        <v>36.4</v>
      </c>
      <c r="AC131" s="1">
        <f t="shared" si="29"/>
        <v>31.4</v>
      </c>
      <c r="AD131" s="1">
        <v>11.6</v>
      </c>
      <c r="AE131" s="1">
        <v>31.2</v>
      </c>
      <c r="AF131" s="1">
        <v>39.6</v>
      </c>
      <c r="AG131" s="1">
        <v>28.2</v>
      </c>
      <c r="AH131" s="1">
        <v>23.2</v>
      </c>
      <c r="AI131" s="1">
        <v>15.8</v>
      </c>
      <c r="AJ131" s="1">
        <v>14.6</v>
      </c>
      <c r="AK131" s="1">
        <v>30</v>
      </c>
      <c r="AL131" s="1">
        <v>42.6</v>
      </c>
      <c r="AM131" s="1">
        <v>23.8</v>
      </c>
      <c r="AN131" s="1"/>
      <c r="AO131" s="1">
        <f t="shared" si="30"/>
        <v>6</v>
      </c>
      <c r="AP131" t="s">
        <v>304</v>
      </c>
    </row>
    <row r="132" spans="1:42" x14ac:dyDescent="0.25">
      <c r="A132" s="1" t="s">
        <v>305</v>
      </c>
      <c r="B132" s="1" t="s">
        <v>49</v>
      </c>
      <c r="C132" s="1">
        <v>117</v>
      </c>
      <c r="D132" s="1">
        <v>3</v>
      </c>
      <c r="E132" s="1">
        <v>43</v>
      </c>
      <c r="F132" s="1">
        <v>68</v>
      </c>
      <c r="G132" s="7">
        <v>0.12</v>
      </c>
      <c r="H132" s="1">
        <v>45</v>
      </c>
      <c r="I132" s="1" t="s">
        <v>42</v>
      </c>
      <c r="J132" s="1"/>
      <c r="K132" s="1">
        <v>38</v>
      </c>
      <c r="L132" s="1">
        <f t="shared" si="27"/>
        <v>5</v>
      </c>
      <c r="M132" s="1"/>
      <c r="N132" s="1"/>
      <c r="O132" s="1">
        <v>104</v>
      </c>
      <c r="P132" s="1">
        <v>-12.6</v>
      </c>
      <c r="Q132" s="1"/>
      <c r="R132" s="1"/>
      <c r="S132" s="1">
        <v>0</v>
      </c>
      <c r="T132" s="1"/>
      <c r="U132" s="1"/>
      <c r="V132" s="1">
        <f t="shared" si="28"/>
        <v>8.6</v>
      </c>
      <c r="W132" s="5"/>
      <c r="X132" s="5">
        <f t="shared" si="32"/>
        <v>0</v>
      </c>
      <c r="Y132" s="5"/>
      <c r="Z132" s="21"/>
      <c r="AA132" s="21"/>
      <c r="AB132" s="1">
        <f t="shared" si="24"/>
        <v>18.534883720930235</v>
      </c>
      <c r="AC132" s="1">
        <f t="shared" si="29"/>
        <v>18.534883720930235</v>
      </c>
      <c r="AD132" s="1">
        <v>9</v>
      </c>
      <c r="AE132" s="1">
        <v>13.4</v>
      </c>
      <c r="AF132" s="1">
        <v>15</v>
      </c>
      <c r="AG132" s="1">
        <v>11.8</v>
      </c>
      <c r="AH132" s="1">
        <v>14.6</v>
      </c>
      <c r="AI132" s="1">
        <v>17.600000000000001</v>
      </c>
      <c r="AJ132" s="1">
        <v>14.6</v>
      </c>
      <c r="AK132" s="1">
        <v>7.4</v>
      </c>
      <c r="AL132" s="1">
        <v>3.6</v>
      </c>
      <c r="AM132" s="1">
        <v>3.2</v>
      </c>
      <c r="AN132" s="14" t="s">
        <v>153</v>
      </c>
      <c r="AO132" s="1">
        <f t="shared" si="30"/>
        <v>0</v>
      </c>
      <c r="AP132" t="s">
        <v>306</v>
      </c>
    </row>
    <row r="133" spans="1:42" x14ac:dyDescent="0.25">
      <c r="A133" s="9" t="s">
        <v>307</v>
      </c>
      <c r="B133" s="9" t="s">
        <v>49</v>
      </c>
      <c r="C133" s="9">
        <v>40</v>
      </c>
      <c r="D133" s="9"/>
      <c r="E133" s="12">
        <v>7</v>
      </c>
      <c r="F133" s="12">
        <v>9</v>
      </c>
      <c r="G133" s="10">
        <v>0</v>
      </c>
      <c r="H133" s="9"/>
      <c r="I133" s="9" t="s">
        <v>308</v>
      </c>
      <c r="J133" s="9" t="s">
        <v>292</v>
      </c>
      <c r="K133" s="9">
        <v>7</v>
      </c>
      <c r="L133" s="9">
        <f t="shared" si="27"/>
        <v>0</v>
      </c>
      <c r="M133" s="9"/>
      <c r="N133" s="9"/>
      <c r="O133" s="9">
        <v>0</v>
      </c>
      <c r="P133" s="9"/>
      <c r="Q133" s="9"/>
      <c r="R133" s="9"/>
      <c r="S133" s="9">
        <v>0</v>
      </c>
      <c r="T133" s="9"/>
      <c r="U133" s="9"/>
      <c r="V133" s="9">
        <f t="shared" si="28"/>
        <v>1.4</v>
      </c>
      <c r="W133" s="11"/>
      <c r="X133" s="5">
        <f t="shared" si="32"/>
        <v>0</v>
      </c>
      <c r="Y133" s="5"/>
      <c r="Z133" s="21"/>
      <c r="AA133" s="21"/>
      <c r="AB133" s="1">
        <f t="shared" si="24"/>
        <v>6.4285714285714288</v>
      </c>
      <c r="AC133" s="9">
        <f t="shared" si="29"/>
        <v>6.4285714285714288</v>
      </c>
      <c r="AD133" s="9">
        <v>2.4</v>
      </c>
      <c r="AE133" s="9">
        <v>2</v>
      </c>
      <c r="AF133" s="9">
        <v>0.6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/>
      <c r="AO133" s="1">
        <f t="shared" si="30"/>
        <v>0</v>
      </c>
    </row>
    <row r="134" spans="1:4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7"/>
      <c r="V134" s="1"/>
      <c r="W134" s="1"/>
      <c r="X134" s="1"/>
      <c r="Y134" s="1"/>
      <c r="Z134" s="17"/>
      <c r="AA134" s="17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7"/>
      <c r="V135" s="1"/>
      <c r="W135" s="1"/>
      <c r="X135" s="1"/>
      <c r="Y135" s="1"/>
      <c r="Z135" s="17"/>
      <c r="AA135" s="17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7"/>
      <c r="V136" s="1"/>
      <c r="W136" s="1"/>
      <c r="X136" s="1"/>
      <c r="Y136" s="1"/>
      <c r="Z136" s="17"/>
      <c r="AA136" s="17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7"/>
      <c r="V137" s="1"/>
      <c r="W137" s="1"/>
      <c r="X137" s="1"/>
      <c r="Y137" s="1"/>
      <c r="Z137" s="17"/>
      <c r="AA137" s="17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7"/>
      <c r="V138" s="1"/>
      <c r="W138" s="1"/>
      <c r="X138" s="1"/>
      <c r="Y138" s="1"/>
      <c r="Z138" s="17"/>
      <c r="AA138" s="17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7"/>
      <c r="V139" s="1"/>
      <c r="W139" s="1"/>
      <c r="X139" s="1"/>
      <c r="Y139" s="1"/>
      <c r="Z139" s="17"/>
      <c r="AA139" s="17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7"/>
      <c r="V140" s="1"/>
      <c r="W140" s="1"/>
      <c r="X140" s="1"/>
      <c r="Y140" s="1"/>
      <c r="Z140" s="17"/>
      <c r="AA140" s="17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7"/>
      <c r="V141" s="1"/>
      <c r="W141" s="1"/>
      <c r="X141" s="1"/>
      <c r="Y141" s="1"/>
      <c r="Z141" s="17"/>
      <c r="AA141" s="17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7"/>
      <c r="V142" s="1"/>
      <c r="W142" s="1"/>
      <c r="X142" s="1"/>
      <c r="Y142" s="1"/>
      <c r="Z142" s="17"/>
      <c r="AA142" s="17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7"/>
      <c r="V143" s="1"/>
      <c r="W143" s="1"/>
      <c r="X143" s="1"/>
      <c r="Y143" s="1"/>
      <c r="Z143" s="17"/>
      <c r="AA143" s="17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7"/>
      <c r="V144" s="1"/>
      <c r="W144" s="1"/>
      <c r="X144" s="1"/>
      <c r="Y144" s="1"/>
      <c r="Z144" s="17"/>
      <c r="AA144" s="17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7"/>
      <c r="V145" s="1"/>
      <c r="W145" s="1"/>
      <c r="X145" s="1"/>
      <c r="Y145" s="1"/>
      <c r="Z145" s="17"/>
      <c r="AA145" s="17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7"/>
      <c r="V146" s="1"/>
      <c r="W146" s="1"/>
      <c r="X146" s="1"/>
      <c r="Y146" s="1"/>
      <c r="Z146" s="17"/>
      <c r="AA146" s="17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7"/>
      <c r="V147" s="1"/>
      <c r="W147" s="1"/>
      <c r="X147" s="1"/>
      <c r="Y147" s="1"/>
      <c r="Z147" s="17"/>
      <c r="AA147" s="17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7"/>
      <c r="V148" s="1"/>
      <c r="W148" s="1"/>
      <c r="X148" s="1"/>
      <c r="Y148" s="1"/>
      <c r="Z148" s="17"/>
      <c r="AA148" s="17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7"/>
      <c r="V149" s="1"/>
      <c r="W149" s="1"/>
      <c r="X149" s="1"/>
      <c r="Y149" s="1"/>
      <c r="Z149" s="17"/>
      <c r="AA149" s="17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7"/>
      <c r="V150" s="1"/>
      <c r="W150" s="1"/>
      <c r="X150" s="1"/>
      <c r="Y150" s="1"/>
      <c r="Z150" s="17"/>
      <c r="AA150" s="17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7"/>
      <c r="V151" s="1"/>
      <c r="W151" s="1"/>
      <c r="X151" s="1"/>
      <c r="Y151" s="1"/>
      <c r="Z151" s="17"/>
      <c r="AA151" s="17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7"/>
      <c r="V152" s="1"/>
      <c r="W152" s="1"/>
      <c r="X152" s="1"/>
      <c r="Y152" s="1"/>
      <c r="Z152" s="17"/>
      <c r="AA152" s="17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7"/>
      <c r="V153" s="1"/>
      <c r="W153" s="1"/>
      <c r="X153" s="1"/>
      <c r="Y153" s="1"/>
      <c r="Z153" s="17"/>
      <c r="AA153" s="17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7"/>
      <c r="V154" s="1"/>
      <c r="W154" s="1"/>
      <c r="X154" s="1"/>
      <c r="Y154" s="1"/>
      <c r="Z154" s="17"/>
      <c r="AA154" s="17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7"/>
      <c r="V155" s="1"/>
      <c r="W155" s="1"/>
      <c r="X155" s="1"/>
      <c r="Y155" s="1"/>
      <c r="Z155" s="17"/>
      <c r="AA155" s="17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7"/>
      <c r="V156" s="1"/>
      <c r="W156" s="1"/>
      <c r="X156" s="1"/>
      <c r="Y156" s="1"/>
      <c r="Z156" s="17"/>
      <c r="AA156" s="17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7"/>
      <c r="V157" s="1"/>
      <c r="W157" s="1"/>
      <c r="X157" s="1"/>
      <c r="Y157" s="1"/>
      <c r="Z157" s="17"/>
      <c r="AA157" s="17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7"/>
      <c r="V158" s="1"/>
      <c r="W158" s="1"/>
      <c r="X158" s="1"/>
      <c r="Y158" s="1"/>
      <c r="Z158" s="17"/>
      <c r="AA158" s="17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7"/>
      <c r="V159" s="1"/>
      <c r="W159" s="1"/>
      <c r="X159" s="1"/>
      <c r="Y159" s="1"/>
      <c r="Z159" s="17"/>
      <c r="AA159" s="17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7"/>
      <c r="V160" s="1"/>
      <c r="W160" s="1"/>
      <c r="X160" s="1"/>
      <c r="Y160" s="1"/>
      <c r="Z160" s="17"/>
      <c r="AA160" s="17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7"/>
      <c r="V161" s="1"/>
      <c r="W161" s="1"/>
      <c r="X161" s="1"/>
      <c r="Y161" s="1"/>
      <c r="Z161" s="17"/>
      <c r="AA161" s="17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7"/>
      <c r="V162" s="1"/>
      <c r="W162" s="1"/>
      <c r="X162" s="1"/>
      <c r="Y162" s="1"/>
      <c r="Z162" s="17"/>
      <c r="AA162" s="17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7"/>
      <c r="V163" s="1"/>
      <c r="W163" s="1"/>
      <c r="X163" s="1"/>
      <c r="Y163" s="1"/>
      <c r="Z163" s="17"/>
      <c r="AA163" s="17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7"/>
      <c r="V164" s="1"/>
      <c r="W164" s="1"/>
      <c r="X164" s="1"/>
      <c r="Y164" s="1"/>
      <c r="Z164" s="17"/>
      <c r="AA164" s="17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7"/>
      <c r="V165" s="1"/>
      <c r="W165" s="1"/>
      <c r="X165" s="1"/>
      <c r="Y165" s="1"/>
      <c r="Z165" s="17"/>
      <c r="AA165" s="17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7"/>
      <c r="V166" s="1"/>
      <c r="W166" s="1"/>
      <c r="X166" s="1"/>
      <c r="Y166" s="1"/>
      <c r="Z166" s="17"/>
      <c r="AA166" s="17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7"/>
      <c r="V167" s="1"/>
      <c r="W167" s="1"/>
      <c r="X167" s="1"/>
      <c r="Y167" s="1"/>
      <c r="Z167" s="17"/>
      <c r="AA167" s="17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7"/>
      <c r="V168" s="1"/>
      <c r="W168" s="1"/>
      <c r="X168" s="1"/>
      <c r="Y168" s="1"/>
      <c r="Z168" s="17"/>
      <c r="AA168" s="17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7"/>
      <c r="V169" s="1"/>
      <c r="W169" s="1"/>
      <c r="X169" s="1"/>
      <c r="Y169" s="1"/>
      <c r="Z169" s="17"/>
      <c r="AA169" s="17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7"/>
      <c r="V170" s="1"/>
      <c r="W170" s="1"/>
      <c r="X170" s="1"/>
      <c r="Y170" s="1"/>
      <c r="Z170" s="17"/>
      <c r="AA170" s="17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7"/>
      <c r="V171" s="1"/>
      <c r="W171" s="1"/>
      <c r="X171" s="1"/>
      <c r="Y171" s="1"/>
      <c r="Z171" s="17"/>
      <c r="AA171" s="17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7"/>
      <c r="V172" s="1"/>
      <c r="W172" s="1"/>
      <c r="X172" s="1"/>
      <c r="Y172" s="1"/>
      <c r="Z172" s="17"/>
      <c r="AA172" s="17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7"/>
      <c r="V173" s="1"/>
      <c r="W173" s="1"/>
      <c r="X173" s="1"/>
      <c r="Y173" s="1"/>
      <c r="Z173" s="17"/>
      <c r="AA173" s="17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7"/>
      <c r="V174" s="1"/>
      <c r="W174" s="1"/>
      <c r="X174" s="1"/>
      <c r="Y174" s="1"/>
      <c r="Z174" s="17"/>
      <c r="AA174" s="17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7"/>
      <c r="V175" s="1"/>
      <c r="W175" s="1"/>
      <c r="X175" s="1"/>
      <c r="Y175" s="1"/>
      <c r="Z175" s="17"/>
      <c r="AA175" s="17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7"/>
      <c r="V176" s="1"/>
      <c r="W176" s="1"/>
      <c r="X176" s="1"/>
      <c r="Y176" s="1"/>
      <c r="Z176" s="17"/>
      <c r="AA176" s="17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7"/>
      <c r="V177" s="1"/>
      <c r="W177" s="1"/>
      <c r="X177" s="1"/>
      <c r="Y177" s="1"/>
      <c r="Z177" s="17"/>
      <c r="AA177" s="17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7"/>
      <c r="V178" s="1"/>
      <c r="W178" s="1"/>
      <c r="X178" s="1"/>
      <c r="Y178" s="1"/>
      <c r="Z178" s="17"/>
      <c r="AA178" s="17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7"/>
      <c r="V179" s="1"/>
      <c r="W179" s="1"/>
      <c r="X179" s="1"/>
      <c r="Y179" s="1"/>
      <c r="Z179" s="17"/>
      <c r="AA179" s="17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7"/>
      <c r="V180" s="1"/>
      <c r="W180" s="1"/>
      <c r="X180" s="1"/>
      <c r="Y180" s="1"/>
      <c r="Z180" s="17"/>
      <c r="AA180" s="17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7"/>
      <c r="V181" s="1"/>
      <c r="W181" s="1"/>
      <c r="X181" s="1"/>
      <c r="Y181" s="1"/>
      <c r="Z181" s="17"/>
      <c r="AA181" s="17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7"/>
      <c r="V182" s="1"/>
      <c r="W182" s="1"/>
      <c r="X182" s="1"/>
      <c r="Y182" s="1"/>
      <c r="Z182" s="17"/>
      <c r="AA182" s="17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7"/>
      <c r="V183" s="1"/>
      <c r="W183" s="1"/>
      <c r="X183" s="1"/>
      <c r="Y183" s="1"/>
      <c r="Z183" s="17"/>
      <c r="AA183" s="17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7"/>
      <c r="V184" s="1"/>
      <c r="W184" s="1"/>
      <c r="X184" s="1"/>
      <c r="Y184" s="1"/>
      <c r="Z184" s="17"/>
      <c r="AA184" s="17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7"/>
      <c r="V185" s="1"/>
      <c r="W185" s="1"/>
      <c r="X185" s="1"/>
      <c r="Y185" s="1"/>
      <c r="Z185" s="17"/>
      <c r="AA185" s="17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7"/>
      <c r="V186" s="1"/>
      <c r="W186" s="1"/>
      <c r="X186" s="1"/>
      <c r="Y186" s="1"/>
      <c r="Z186" s="17"/>
      <c r="AA186" s="17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7"/>
      <c r="V187" s="1"/>
      <c r="W187" s="1"/>
      <c r="X187" s="1"/>
      <c r="Y187" s="1"/>
      <c r="Z187" s="17"/>
      <c r="AA187" s="17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7"/>
      <c r="V188" s="1"/>
      <c r="W188" s="1"/>
      <c r="X188" s="1"/>
      <c r="Y188" s="1"/>
      <c r="Z188" s="17"/>
      <c r="AA188" s="17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7"/>
      <c r="V189" s="1"/>
      <c r="W189" s="1"/>
      <c r="X189" s="1"/>
      <c r="Y189" s="1"/>
      <c r="Z189" s="17"/>
      <c r="AA189" s="17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7"/>
      <c r="V190" s="1"/>
      <c r="W190" s="1"/>
      <c r="X190" s="1"/>
      <c r="Y190" s="1"/>
      <c r="Z190" s="17"/>
      <c r="AA190" s="17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7"/>
      <c r="V191" s="1"/>
      <c r="W191" s="1"/>
      <c r="X191" s="1"/>
      <c r="Y191" s="1"/>
      <c r="Z191" s="17"/>
      <c r="AA191" s="17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7"/>
      <c r="V192" s="1"/>
      <c r="W192" s="1"/>
      <c r="X192" s="1"/>
      <c r="Y192" s="1"/>
      <c r="Z192" s="17"/>
      <c r="AA192" s="17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7"/>
      <c r="V193" s="1"/>
      <c r="W193" s="1"/>
      <c r="X193" s="1"/>
      <c r="Y193" s="1"/>
      <c r="Z193" s="17"/>
      <c r="AA193" s="17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7"/>
      <c r="V194" s="1"/>
      <c r="W194" s="1"/>
      <c r="X194" s="1"/>
      <c r="Y194" s="1"/>
      <c r="Z194" s="17"/>
      <c r="AA194" s="17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7"/>
      <c r="V195" s="1"/>
      <c r="W195" s="1"/>
      <c r="X195" s="1"/>
      <c r="Y195" s="1"/>
      <c r="Z195" s="17"/>
      <c r="AA195" s="17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7"/>
      <c r="V196" s="1"/>
      <c r="W196" s="1"/>
      <c r="X196" s="1"/>
      <c r="Y196" s="1"/>
      <c r="Z196" s="17"/>
      <c r="AA196" s="17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7"/>
      <c r="V197" s="1"/>
      <c r="W197" s="1"/>
      <c r="X197" s="1"/>
      <c r="Y197" s="1"/>
      <c r="Z197" s="17"/>
      <c r="AA197" s="17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7"/>
      <c r="V198" s="1"/>
      <c r="W198" s="1"/>
      <c r="X198" s="1"/>
      <c r="Y198" s="1"/>
      <c r="Z198" s="17"/>
      <c r="AA198" s="17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7"/>
      <c r="V199" s="1"/>
      <c r="W199" s="1"/>
      <c r="X199" s="1"/>
      <c r="Y199" s="1"/>
      <c r="Z199" s="17"/>
      <c r="AA199" s="17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7"/>
      <c r="V200" s="1"/>
      <c r="W200" s="1"/>
      <c r="X200" s="1"/>
      <c r="Y200" s="1"/>
      <c r="Z200" s="17"/>
      <c r="AA200" s="17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7"/>
      <c r="V201" s="1"/>
      <c r="W201" s="1"/>
      <c r="X201" s="1"/>
      <c r="Y201" s="1"/>
      <c r="Z201" s="17"/>
      <c r="AA201" s="17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7"/>
      <c r="V202" s="1"/>
      <c r="W202" s="1"/>
      <c r="X202" s="1"/>
      <c r="Y202" s="1"/>
      <c r="Z202" s="17"/>
      <c r="AA202" s="17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7"/>
      <c r="V203" s="1"/>
      <c r="W203" s="1"/>
      <c r="X203" s="1"/>
      <c r="Y203" s="1"/>
      <c r="Z203" s="17"/>
      <c r="AA203" s="17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7"/>
      <c r="V204" s="1"/>
      <c r="W204" s="1"/>
      <c r="X204" s="1"/>
      <c r="Y204" s="1"/>
      <c r="Z204" s="17"/>
      <c r="AA204" s="17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7"/>
      <c r="V205" s="1"/>
      <c r="W205" s="1"/>
      <c r="X205" s="1"/>
      <c r="Y205" s="1"/>
      <c r="Z205" s="17"/>
      <c r="AA205" s="17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7"/>
      <c r="V206" s="1"/>
      <c r="W206" s="1"/>
      <c r="X206" s="1"/>
      <c r="Y206" s="1"/>
      <c r="Z206" s="17"/>
      <c r="AA206" s="17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7"/>
      <c r="V207" s="1"/>
      <c r="W207" s="1"/>
      <c r="X207" s="1"/>
      <c r="Y207" s="1"/>
      <c r="Z207" s="17"/>
      <c r="AA207" s="17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7"/>
      <c r="V208" s="1"/>
      <c r="W208" s="1"/>
      <c r="X208" s="1"/>
      <c r="Y208" s="1"/>
      <c r="Z208" s="17"/>
      <c r="AA208" s="17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7"/>
      <c r="V209" s="1"/>
      <c r="W209" s="1"/>
      <c r="X209" s="1"/>
      <c r="Y209" s="1"/>
      <c r="Z209" s="17"/>
      <c r="AA209" s="17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7"/>
      <c r="V210" s="1"/>
      <c r="W210" s="1"/>
      <c r="X210" s="1"/>
      <c r="Y210" s="1"/>
      <c r="Z210" s="17"/>
      <c r="AA210" s="17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7"/>
      <c r="V211" s="1"/>
      <c r="W211" s="1"/>
      <c r="X211" s="1"/>
      <c r="Y211" s="1"/>
      <c r="Z211" s="17"/>
      <c r="AA211" s="17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7"/>
      <c r="V212" s="1"/>
      <c r="W212" s="1"/>
      <c r="X212" s="1"/>
      <c r="Y212" s="1"/>
      <c r="Z212" s="17"/>
      <c r="AA212" s="17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7"/>
      <c r="V213" s="1"/>
      <c r="W213" s="1"/>
      <c r="X213" s="1"/>
      <c r="Y213" s="1"/>
      <c r="Z213" s="17"/>
      <c r="AA213" s="17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7"/>
      <c r="V214" s="1"/>
      <c r="W214" s="1"/>
      <c r="X214" s="1"/>
      <c r="Y214" s="1"/>
      <c r="Z214" s="17"/>
      <c r="AA214" s="17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7"/>
      <c r="V215" s="1"/>
      <c r="W215" s="1"/>
      <c r="X215" s="1"/>
      <c r="Y215" s="1"/>
      <c r="Z215" s="17"/>
      <c r="AA215" s="17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7"/>
      <c r="V216" s="1"/>
      <c r="W216" s="1"/>
      <c r="X216" s="1"/>
      <c r="Y216" s="1"/>
      <c r="Z216" s="17"/>
      <c r="AA216" s="17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7"/>
      <c r="V217" s="1"/>
      <c r="W217" s="1"/>
      <c r="X217" s="1"/>
      <c r="Y217" s="1"/>
      <c r="Z217" s="17"/>
      <c r="AA217" s="17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7"/>
      <c r="V218" s="1"/>
      <c r="W218" s="1"/>
      <c r="X218" s="1"/>
      <c r="Y218" s="1"/>
      <c r="Z218" s="17"/>
      <c r="AA218" s="17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7"/>
      <c r="V219" s="1"/>
      <c r="W219" s="1"/>
      <c r="X219" s="1"/>
      <c r="Y219" s="1"/>
      <c r="Z219" s="17"/>
      <c r="AA219" s="17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7"/>
      <c r="V220" s="1"/>
      <c r="W220" s="1"/>
      <c r="X220" s="1"/>
      <c r="Y220" s="1"/>
      <c r="Z220" s="17"/>
      <c r="AA220" s="17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7"/>
      <c r="V221" s="1"/>
      <c r="W221" s="1"/>
      <c r="X221" s="1"/>
      <c r="Y221" s="1"/>
      <c r="Z221" s="17"/>
      <c r="AA221" s="17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7"/>
      <c r="V222" s="1"/>
      <c r="W222" s="1"/>
      <c r="X222" s="1"/>
      <c r="Y222" s="1"/>
      <c r="Z222" s="17"/>
      <c r="AA222" s="17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7"/>
      <c r="V223" s="1"/>
      <c r="W223" s="1"/>
      <c r="X223" s="1"/>
      <c r="Y223" s="1"/>
      <c r="Z223" s="17"/>
      <c r="AA223" s="17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7"/>
      <c r="V224" s="1"/>
      <c r="W224" s="1"/>
      <c r="X224" s="1"/>
      <c r="Y224" s="1"/>
      <c r="Z224" s="17"/>
      <c r="AA224" s="17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7"/>
      <c r="V225" s="1"/>
      <c r="W225" s="1"/>
      <c r="X225" s="1"/>
      <c r="Y225" s="1"/>
      <c r="Z225" s="17"/>
      <c r="AA225" s="17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7"/>
      <c r="V226" s="1"/>
      <c r="W226" s="1"/>
      <c r="X226" s="1"/>
      <c r="Y226" s="1"/>
      <c r="Z226" s="17"/>
      <c r="AA226" s="17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7"/>
      <c r="V227" s="1"/>
      <c r="W227" s="1"/>
      <c r="X227" s="1"/>
      <c r="Y227" s="1"/>
      <c r="Z227" s="17"/>
      <c r="AA227" s="17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7"/>
      <c r="V228" s="1"/>
      <c r="W228" s="1"/>
      <c r="X228" s="1"/>
      <c r="Y228" s="1"/>
      <c r="Z228" s="17"/>
      <c r="AA228" s="17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7"/>
      <c r="V229" s="1"/>
      <c r="W229" s="1"/>
      <c r="X229" s="1"/>
      <c r="Y229" s="1"/>
      <c r="Z229" s="17"/>
      <c r="AA229" s="17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7"/>
      <c r="V230" s="1"/>
      <c r="W230" s="1"/>
      <c r="X230" s="1"/>
      <c r="Y230" s="1"/>
      <c r="Z230" s="17"/>
      <c r="AA230" s="17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7"/>
      <c r="V231" s="1"/>
      <c r="W231" s="1"/>
      <c r="X231" s="1"/>
      <c r="Y231" s="1"/>
      <c r="Z231" s="17"/>
      <c r="AA231" s="17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7"/>
      <c r="V232" s="1"/>
      <c r="W232" s="1"/>
      <c r="X232" s="1"/>
      <c r="Y232" s="1"/>
      <c r="Z232" s="17"/>
      <c r="AA232" s="17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7"/>
      <c r="V233" s="1"/>
      <c r="W233" s="1"/>
      <c r="X233" s="1"/>
      <c r="Y233" s="1"/>
      <c r="Z233" s="17"/>
      <c r="AA233" s="17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7"/>
      <c r="V234" s="1"/>
      <c r="W234" s="1"/>
      <c r="X234" s="1"/>
      <c r="Y234" s="1"/>
      <c r="Z234" s="17"/>
      <c r="AA234" s="17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7"/>
      <c r="V235" s="1"/>
      <c r="W235" s="1"/>
      <c r="X235" s="1"/>
      <c r="Y235" s="1"/>
      <c r="Z235" s="17"/>
      <c r="AA235" s="17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7"/>
      <c r="V236" s="1"/>
      <c r="W236" s="1"/>
      <c r="X236" s="1"/>
      <c r="Y236" s="1"/>
      <c r="Z236" s="17"/>
      <c r="AA236" s="17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7"/>
      <c r="V237" s="1"/>
      <c r="W237" s="1"/>
      <c r="X237" s="1"/>
      <c r="Y237" s="1"/>
      <c r="Z237" s="17"/>
      <c r="AA237" s="17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7"/>
      <c r="V238" s="1"/>
      <c r="W238" s="1"/>
      <c r="X238" s="1"/>
      <c r="Y238" s="1"/>
      <c r="Z238" s="17"/>
      <c r="AA238" s="17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7"/>
      <c r="V239" s="1"/>
      <c r="W239" s="1"/>
      <c r="X239" s="1"/>
      <c r="Y239" s="1"/>
      <c r="Z239" s="17"/>
      <c r="AA239" s="17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7"/>
      <c r="V240" s="1"/>
      <c r="W240" s="1"/>
      <c r="X240" s="1"/>
      <c r="Y240" s="1"/>
      <c r="Z240" s="17"/>
      <c r="AA240" s="17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7"/>
      <c r="V241" s="1"/>
      <c r="W241" s="1"/>
      <c r="X241" s="1"/>
      <c r="Y241" s="1"/>
      <c r="Z241" s="17"/>
      <c r="AA241" s="17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7"/>
      <c r="V242" s="1"/>
      <c r="W242" s="1"/>
      <c r="X242" s="1"/>
      <c r="Y242" s="1"/>
      <c r="Z242" s="17"/>
      <c r="AA242" s="17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7"/>
      <c r="V243" s="1"/>
      <c r="W243" s="1"/>
      <c r="X243" s="1"/>
      <c r="Y243" s="1"/>
      <c r="Z243" s="17"/>
      <c r="AA243" s="17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7"/>
      <c r="V244" s="1"/>
      <c r="W244" s="1"/>
      <c r="X244" s="1"/>
      <c r="Y244" s="1"/>
      <c r="Z244" s="17"/>
      <c r="AA244" s="17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7"/>
      <c r="V245" s="1"/>
      <c r="W245" s="1"/>
      <c r="X245" s="1"/>
      <c r="Y245" s="1"/>
      <c r="Z245" s="17"/>
      <c r="AA245" s="17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7"/>
      <c r="V246" s="1"/>
      <c r="W246" s="1"/>
      <c r="X246" s="1"/>
      <c r="Y246" s="1"/>
      <c r="Z246" s="17"/>
      <c r="AA246" s="17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7"/>
      <c r="V247" s="1"/>
      <c r="W247" s="1"/>
      <c r="X247" s="1"/>
      <c r="Y247" s="1"/>
      <c r="Z247" s="17"/>
      <c r="AA247" s="17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7"/>
      <c r="V248" s="1"/>
      <c r="W248" s="1"/>
      <c r="X248" s="1"/>
      <c r="Y248" s="1"/>
      <c r="Z248" s="17"/>
      <c r="AA248" s="17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7"/>
      <c r="V249" s="1"/>
      <c r="W249" s="1"/>
      <c r="X249" s="1"/>
      <c r="Y249" s="1"/>
      <c r="Z249" s="17"/>
      <c r="AA249" s="17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7"/>
      <c r="V250" s="1"/>
      <c r="W250" s="1"/>
      <c r="X250" s="1"/>
      <c r="Y250" s="1"/>
      <c r="Z250" s="17"/>
      <c r="AA250" s="17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7"/>
      <c r="V251" s="1"/>
      <c r="W251" s="1"/>
      <c r="X251" s="1"/>
      <c r="Y251" s="1"/>
      <c r="Z251" s="17"/>
      <c r="AA251" s="17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7"/>
      <c r="V252" s="1"/>
      <c r="W252" s="1"/>
      <c r="X252" s="1"/>
      <c r="Y252" s="1"/>
      <c r="Z252" s="17"/>
      <c r="AA252" s="17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7"/>
      <c r="V253" s="1"/>
      <c r="W253" s="1"/>
      <c r="X253" s="1"/>
      <c r="Y253" s="1"/>
      <c r="Z253" s="17"/>
      <c r="AA253" s="17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7"/>
      <c r="V254" s="1"/>
      <c r="W254" s="1"/>
      <c r="X254" s="1"/>
      <c r="Y254" s="1"/>
      <c r="Z254" s="17"/>
      <c r="AA254" s="17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7"/>
      <c r="V255" s="1"/>
      <c r="W255" s="1"/>
      <c r="X255" s="1"/>
      <c r="Y255" s="1"/>
      <c r="Z255" s="17"/>
      <c r="AA255" s="17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7"/>
      <c r="V256" s="1"/>
      <c r="W256" s="1"/>
      <c r="X256" s="1"/>
      <c r="Y256" s="1"/>
      <c r="Z256" s="17"/>
      <c r="AA256" s="17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7"/>
      <c r="V257" s="1"/>
      <c r="W257" s="1"/>
      <c r="X257" s="1"/>
      <c r="Y257" s="1"/>
      <c r="Z257" s="17"/>
      <c r="AA257" s="17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7"/>
      <c r="V258" s="1"/>
      <c r="W258" s="1"/>
      <c r="X258" s="1"/>
      <c r="Y258" s="1"/>
      <c r="Z258" s="17"/>
      <c r="AA258" s="17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7"/>
      <c r="V259" s="1"/>
      <c r="W259" s="1"/>
      <c r="X259" s="1"/>
      <c r="Y259" s="1"/>
      <c r="Z259" s="17"/>
      <c r="AA259" s="17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7"/>
      <c r="V260" s="1"/>
      <c r="W260" s="1"/>
      <c r="X260" s="1"/>
      <c r="Y260" s="1"/>
      <c r="Z260" s="17"/>
      <c r="AA260" s="17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7"/>
      <c r="V261" s="1"/>
      <c r="W261" s="1"/>
      <c r="X261" s="1"/>
      <c r="Y261" s="1"/>
      <c r="Z261" s="17"/>
      <c r="AA261" s="17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7"/>
      <c r="V262" s="1"/>
      <c r="W262" s="1"/>
      <c r="X262" s="1"/>
      <c r="Y262" s="1"/>
      <c r="Z262" s="17"/>
      <c r="AA262" s="17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7"/>
      <c r="V263" s="1"/>
      <c r="W263" s="1"/>
      <c r="X263" s="1"/>
      <c r="Y263" s="1"/>
      <c r="Z263" s="17"/>
      <c r="AA263" s="17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7"/>
      <c r="V264" s="1"/>
      <c r="W264" s="1"/>
      <c r="X264" s="1"/>
      <c r="Y264" s="1"/>
      <c r="Z264" s="17"/>
      <c r="AA264" s="17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7"/>
      <c r="V265" s="1"/>
      <c r="W265" s="1"/>
      <c r="X265" s="1"/>
      <c r="Y265" s="1"/>
      <c r="Z265" s="17"/>
      <c r="AA265" s="17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7"/>
      <c r="V266" s="1"/>
      <c r="W266" s="1"/>
      <c r="X266" s="1"/>
      <c r="Y266" s="1"/>
      <c r="Z266" s="17"/>
      <c r="AA266" s="17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7"/>
      <c r="V267" s="1"/>
      <c r="W267" s="1"/>
      <c r="X267" s="1"/>
      <c r="Y267" s="1"/>
      <c r="Z267" s="17"/>
      <c r="AA267" s="17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7"/>
      <c r="V268" s="1"/>
      <c r="W268" s="1"/>
      <c r="X268" s="1"/>
      <c r="Y268" s="1"/>
      <c r="Z268" s="17"/>
      <c r="AA268" s="17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7"/>
      <c r="V269" s="1"/>
      <c r="W269" s="1"/>
      <c r="X269" s="1"/>
      <c r="Y269" s="1"/>
      <c r="Z269" s="17"/>
      <c r="AA269" s="17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7"/>
      <c r="V270" s="1"/>
      <c r="W270" s="1"/>
      <c r="X270" s="1"/>
      <c r="Y270" s="1"/>
      <c r="Z270" s="17"/>
      <c r="AA270" s="17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7"/>
      <c r="V271" s="1"/>
      <c r="W271" s="1"/>
      <c r="X271" s="1"/>
      <c r="Y271" s="1"/>
      <c r="Z271" s="17"/>
      <c r="AA271" s="17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7"/>
      <c r="V272" s="1"/>
      <c r="W272" s="1"/>
      <c r="X272" s="1"/>
      <c r="Y272" s="1"/>
      <c r="Z272" s="17"/>
      <c r="AA272" s="17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7"/>
      <c r="V273" s="1"/>
      <c r="W273" s="1"/>
      <c r="X273" s="1"/>
      <c r="Y273" s="1"/>
      <c r="Z273" s="17"/>
      <c r="AA273" s="17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7"/>
      <c r="V274" s="1"/>
      <c r="W274" s="1"/>
      <c r="X274" s="1"/>
      <c r="Y274" s="1"/>
      <c r="Z274" s="17"/>
      <c r="AA274" s="17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7"/>
      <c r="V275" s="1"/>
      <c r="W275" s="1"/>
      <c r="X275" s="1"/>
      <c r="Y275" s="1"/>
      <c r="Z275" s="17"/>
      <c r="AA275" s="17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7"/>
      <c r="V276" s="1"/>
      <c r="W276" s="1"/>
      <c r="X276" s="1"/>
      <c r="Y276" s="1"/>
      <c r="Z276" s="17"/>
      <c r="AA276" s="17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7"/>
      <c r="V277" s="1"/>
      <c r="W277" s="1"/>
      <c r="X277" s="1"/>
      <c r="Y277" s="1"/>
      <c r="Z277" s="17"/>
      <c r="AA277" s="17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7"/>
      <c r="V278" s="1"/>
      <c r="W278" s="1"/>
      <c r="X278" s="1"/>
      <c r="Y278" s="1"/>
      <c r="Z278" s="17"/>
      <c r="AA278" s="17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7"/>
      <c r="V279" s="1"/>
      <c r="W279" s="1"/>
      <c r="X279" s="1"/>
      <c r="Y279" s="1"/>
      <c r="Z279" s="17"/>
      <c r="AA279" s="17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7"/>
      <c r="V280" s="1"/>
      <c r="W280" s="1"/>
      <c r="X280" s="1"/>
      <c r="Y280" s="1"/>
      <c r="Z280" s="17"/>
      <c r="AA280" s="17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7"/>
      <c r="V281" s="1"/>
      <c r="W281" s="1"/>
      <c r="X281" s="1"/>
      <c r="Y281" s="1"/>
      <c r="Z281" s="17"/>
      <c r="AA281" s="17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7"/>
      <c r="V282" s="1"/>
      <c r="W282" s="1"/>
      <c r="X282" s="1"/>
      <c r="Y282" s="1"/>
      <c r="Z282" s="17"/>
      <c r="AA282" s="17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7"/>
      <c r="V283" s="1"/>
      <c r="W283" s="1"/>
      <c r="X283" s="1"/>
      <c r="Y283" s="1"/>
      <c r="Z283" s="17"/>
      <c r="AA283" s="17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7"/>
      <c r="V284" s="1"/>
      <c r="W284" s="1"/>
      <c r="X284" s="1"/>
      <c r="Y284" s="1"/>
      <c r="Z284" s="17"/>
      <c r="AA284" s="17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7"/>
      <c r="V285" s="1"/>
      <c r="W285" s="1"/>
      <c r="X285" s="1"/>
      <c r="Y285" s="1"/>
      <c r="Z285" s="17"/>
      <c r="AA285" s="17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7"/>
      <c r="V286" s="1"/>
      <c r="W286" s="1"/>
      <c r="X286" s="1"/>
      <c r="Y286" s="1"/>
      <c r="Z286" s="17"/>
      <c r="AA286" s="17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7"/>
      <c r="V287" s="1"/>
      <c r="W287" s="1"/>
      <c r="X287" s="1"/>
      <c r="Y287" s="1"/>
      <c r="Z287" s="17"/>
      <c r="AA287" s="17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7"/>
      <c r="V288" s="1"/>
      <c r="W288" s="1"/>
      <c r="X288" s="1"/>
      <c r="Y288" s="1"/>
      <c r="Z288" s="17"/>
      <c r="AA288" s="17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7"/>
      <c r="V289" s="1"/>
      <c r="W289" s="1"/>
      <c r="X289" s="1"/>
      <c r="Y289" s="1"/>
      <c r="Z289" s="17"/>
      <c r="AA289" s="17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7"/>
      <c r="V290" s="1"/>
      <c r="W290" s="1"/>
      <c r="X290" s="1"/>
      <c r="Y290" s="1"/>
      <c r="Z290" s="17"/>
      <c r="AA290" s="17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7"/>
      <c r="V291" s="1"/>
      <c r="W291" s="1"/>
      <c r="X291" s="1"/>
      <c r="Y291" s="1"/>
      <c r="Z291" s="17"/>
      <c r="AA291" s="17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7"/>
      <c r="V292" s="1"/>
      <c r="W292" s="1"/>
      <c r="X292" s="1"/>
      <c r="Y292" s="1"/>
      <c r="Z292" s="17"/>
      <c r="AA292" s="17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7"/>
      <c r="V293" s="1"/>
      <c r="W293" s="1"/>
      <c r="X293" s="1"/>
      <c r="Y293" s="1"/>
      <c r="Z293" s="17"/>
      <c r="AA293" s="17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7"/>
      <c r="V294" s="1"/>
      <c r="W294" s="1"/>
      <c r="X294" s="1"/>
      <c r="Y294" s="1"/>
      <c r="Z294" s="17"/>
      <c r="AA294" s="17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7"/>
      <c r="V295" s="1"/>
      <c r="W295" s="1"/>
      <c r="X295" s="1"/>
      <c r="Y295" s="1"/>
      <c r="Z295" s="17"/>
      <c r="AA295" s="17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7"/>
      <c r="V296" s="1"/>
      <c r="W296" s="1"/>
      <c r="X296" s="1"/>
      <c r="Y296" s="1"/>
      <c r="Z296" s="17"/>
      <c r="AA296" s="17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7"/>
      <c r="V297" s="1"/>
      <c r="W297" s="1"/>
      <c r="X297" s="1"/>
      <c r="Y297" s="1"/>
      <c r="Z297" s="17"/>
      <c r="AA297" s="17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7"/>
      <c r="V298" s="1"/>
      <c r="W298" s="1"/>
      <c r="X298" s="1"/>
      <c r="Y298" s="1"/>
      <c r="Z298" s="17"/>
      <c r="AA298" s="17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7"/>
      <c r="V299" s="1"/>
      <c r="W299" s="1"/>
      <c r="X299" s="1"/>
      <c r="Y299" s="1"/>
      <c r="Z299" s="17"/>
      <c r="AA299" s="17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7"/>
      <c r="V300" s="1"/>
      <c r="W300" s="1"/>
      <c r="X300" s="1"/>
      <c r="Y300" s="1"/>
      <c r="Z300" s="17"/>
      <c r="AA300" s="17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7"/>
      <c r="V301" s="1"/>
      <c r="W301" s="1"/>
      <c r="X301" s="1"/>
      <c r="Y301" s="1"/>
      <c r="Z301" s="17"/>
      <c r="AA301" s="17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7"/>
      <c r="V302" s="1"/>
      <c r="W302" s="1"/>
      <c r="X302" s="1"/>
      <c r="Y302" s="1"/>
      <c r="Z302" s="17"/>
      <c r="AA302" s="17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7"/>
      <c r="V303" s="1"/>
      <c r="W303" s="1"/>
      <c r="X303" s="1"/>
      <c r="Y303" s="1"/>
      <c r="Z303" s="17"/>
      <c r="AA303" s="17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7"/>
      <c r="V304" s="1"/>
      <c r="W304" s="1"/>
      <c r="X304" s="1"/>
      <c r="Y304" s="1"/>
      <c r="Z304" s="17"/>
      <c r="AA304" s="17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7"/>
      <c r="V305" s="1"/>
      <c r="W305" s="1"/>
      <c r="X305" s="1"/>
      <c r="Y305" s="1"/>
      <c r="Z305" s="17"/>
      <c r="AA305" s="17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7"/>
      <c r="V306" s="1"/>
      <c r="W306" s="1"/>
      <c r="X306" s="1"/>
      <c r="Y306" s="1"/>
      <c r="Z306" s="17"/>
      <c r="AA306" s="17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7"/>
      <c r="V307" s="1"/>
      <c r="W307" s="1"/>
      <c r="X307" s="1"/>
      <c r="Y307" s="1"/>
      <c r="Z307" s="17"/>
      <c r="AA307" s="17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7"/>
      <c r="V308" s="1"/>
      <c r="W308" s="1"/>
      <c r="X308" s="1"/>
      <c r="Y308" s="1"/>
      <c r="Z308" s="17"/>
      <c r="AA308" s="17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7"/>
      <c r="V309" s="1"/>
      <c r="W309" s="1"/>
      <c r="X309" s="1"/>
      <c r="Y309" s="1"/>
      <c r="Z309" s="17"/>
      <c r="AA309" s="17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7"/>
      <c r="V310" s="1"/>
      <c r="W310" s="1"/>
      <c r="X310" s="1"/>
      <c r="Y310" s="1"/>
      <c r="Z310" s="17"/>
      <c r="AA310" s="17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7"/>
      <c r="V311" s="1"/>
      <c r="W311" s="1"/>
      <c r="X311" s="1"/>
      <c r="Y311" s="1"/>
      <c r="Z311" s="17"/>
      <c r="AA311" s="17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7"/>
      <c r="V312" s="1"/>
      <c r="W312" s="1"/>
      <c r="X312" s="1"/>
      <c r="Y312" s="1"/>
      <c r="Z312" s="17"/>
      <c r="AA312" s="17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7"/>
      <c r="V313" s="1"/>
      <c r="W313" s="1"/>
      <c r="X313" s="1"/>
      <c r="Y313" s="1"/>
      <c r="Z313" s="17"/>
      <c r="AA313" s="17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7"/>
      <c r="V314" s="1"/>
      <c r="W314" s="1"/>
      <c r="X314" s="1"/>
      <c r="Y314" s="1"/>
      <c r="Z314" s="17"/>
      <c r="AA314" s="17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7"/>
      <c r="V315" s="1"/>
      <c r="W315" s="1"/>
      <c r="X315" s="1"/>
      <c r="Y315" s="1"/>
      <c r="Z315" s="17"/>
      <c r="AA315" s="17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7"/>
      <c r="V316" s="1"/>
      <c r="W316" s="1"/>
      <c r="X316" s="1"/>
      <c r="Y316" s="1"/>
      <c r="Z316" s="17"/>
      <c r="AA316" s="17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7"/>
      <c r="V317" s="1"/>
      <c r="W317" s="1"/>
      <c r="X317" s="1"/>
      <c r="Y317" s="1"/>
      <c r="Z317" s="17"/>
      <c r="AA317" s="17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7"/>
      <c r="V318" s="1"/>
      <c r="W318" s="1"/>
      <c r="X318" s="1"/>
      <c r="Y318" s="1"/>
      <c r="Z318" s="17"/>
      <c r="AA318" s="17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7"/>
      <c r="V319" s="1"/>
      <c r="W319" s="1"/>
      <c r="X319" s="1"/>
      <c r="Y319" s="1"/>
      <c r="Z319" s="17"/>
      <c r="AA319" s="17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7"/>
      <c r="V320" s="1"/>
      <c r="W320" s="1"/>
      <c r="X320" s="1"/>
      <c r="Y320" s="1"/>
      <c r="Z320" s="17"/>
      <c r="AA320" s="17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7"/>
      <c r="V321" s="1"/>
      <c r="W321" s="1"/>
      <c r="X321" s="1"/>
      <c r="Y321" s="1"/>
      <c r="Z321" s="17"/>
      <c r="AA321" s="17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7"/>
      <c r="V322" s="1"/>
      <c r="W322" s="1"/>
      <c r="X322" s="1"/>
      <c r="Y322" s="1"/>
      <c r="Z322" s="17"/>
      <c r="AA322" s="17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7"/>
      <c r="V323" s="1"/>
      <c r="W323" s="1"/>
      <c r="X323" s="1"/>
      <c r="Y323" s="1"/>
      <c r="Z323" s="17"/>
      <c r="AA323" s="17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7"/>
      <c r="V324" s="1"/>
      <c r="W324" s="1"/>
      <c r="X324" s="1"/>
      <c r="Y324" s="1"/>
      <c r="Z324" s="17"/>
      <c r="AA324" s="17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7"/>
      <c r="V325" s="1"/>
      <c r="W325" s="1"/>
      <c r="X325" s="1"/>
      <c r="Y325" s="1"/>
      <c r="Z325" s="17"/>
      <c r="AA325" s="17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7"/>
      <c r="V326" s="1"/>
      <c r="W326" s="1"/>
      <c r="X326" s="1"/>
      <c r="Y326" s="1"/>
      <c r="Z326" s="17"/>
      <c r="AA326" s="17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7"/>
      <c r="V327" s="1"/>
      <c r="W327" s="1"/>
      <c r="X327" s="1"/>
      <c r="Y327" s="1"/>
      <c r="Z327" s="17"/>
      <c r="AA327" s="17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7"/>
      <c r="V328" s="1"/>
      <c r="W328" s="1"/>
      <c r="X328" s="1"/>
      <c r="Y328" s="1"/>
      <c r="Z328" s="17"/>
      <c r="AA328" s="17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7"/>
      <c r="V329" s="1"/>
      <c r="W329" s="1"/>
      <c r="X329" s="1"/>
      <c r="Y329" s="1"/>
      <c r="Z329" s="17"/>
      <c r="AA329" s="17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7"/>
      <c r="V330" s="1"/>
      <c r="W330" s="1"/>
      <c r="X330" s="1"/>
      <c r="Y330" s="1"/>
      <c r="Z330" s="17"/>
      <c r="AA330" s="17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7"/>
      <c r="V331" s="1"/>
      <c r="W331" s="1"/>
      <c r="X331" s="1"/>
      <c r="Y331" s="1"/>
      <c r="Z331" s="17"/>
      <c r="AA331" s="17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7"/>
      <c r="V332" s="1"/>
      <c r="W332" s="1"/>
      <c r="X332" s="1"/>
      <c r="Y332" s="1"/>
      <c r="Z332" s="17"/>
      <c r="AA332" s="17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7"/>
      <c r="V333" s="1"/>
      <c r="W333" s="1"/>
      <c r="X333" s="1"/>
      <c r="Y333" s="1"/>
      <c r="Z333" s="17"/>
      <c r="AA333" s="17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7"/>
      <c r="V334" s="1"/>
      <c r="W334" s="1"/>
      <c r="X334" s="1"/>
      <c r="Y334" s="1"/>
      <c r="Z334" s="17"/>
      <c r="AA334" s="17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7"/>
      <c r="V335" s="1"/>
      <c r="W335" s="1"/>
      <c r="X335" s="1"/>
      <c r="Y335" s="1"/>
      <c r="Z335" s="17"/>
      <c r="AA335" s="17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7"/>
      <c r="V336" s="1"/>
      <c r="W336" s="1"/>
      <c r="X336" s="1"/>
      <c r="Y336" s="1"/>
      <c r="Z336" s="17"/>
      <c r="AA336" s="17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7"/>
      <c r="V337" s="1"/>
      <c r="W337" s="1"/>
      <c r="X337" s="1"/>
      <c r="Y337" s="1"/>
      <c r="Z337" s="17"/>
      <c r="AA337" s="17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7"/>
      <c r="V338" s="1"/>
      <c r="W338" s="1"/>
      <c r="X338" s="1"/>
      <c r="Y338" s="1"/>
      <c r="Z338" s="17"/>
      <c r="AA338" s="17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7"/>
      <c r="V339" s="1"/>
      <c r="W339" s="1"/>
      <c r="X339" s="1"/>
      <c r="Y339" s="1"/>
      <c r="Z339" s="17"/>
      <c r="AA339" s="17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7"/>
      <c r="V340" s="1"/>
      <c r="W340" s="1"/>
      <c r="X340" s="1"/>
      <c r="Y340" s="1"/>
      <c r="Z340" s="17"/>
      <c r="AA340" s="17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7"/>
      <c r="V341" s="1"/>
      <c r="W341" s="1"/>
      <c r="X341" s="1"/>
      <c r="Y341" s="1"/>
      <c r="Z341" s="17"/>
      <c r="AA341" s="17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7"/>
      <c r="V342" s="1"/>
      <c r="W342" s="1"/>
      <c r="X342" s="1"/>
      <c r="Y342" s="1"/>
      <c r="Z342" s="17"/>
      <c r="AA342" s="17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7"/>
      <c r="V343" s="1"/>
      <c r="W343" s="1"/>
      <c r="X343" s="1"/>
      <c r="Y343" s="1"/>
      <c r="Z343" s="17"/>
      <c r="AA343" s="17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7"/>
      <c r="V344" s="1"/>
      <c r="W344" s="1"/>
      <c r="X344" s="1"/>
      <c r="Y344" s="1"/>
      <c r="Z344" s="17"/>
      <c r="AA344" s="17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7"/>
      <c r="V345" s="1"/>
      <c r="W345" s="1"/>
      <c r="X345" s="1"/>
      <c r="Y345" s="1"/>
      <c r="Z345" s="17"/>
      <c r="AA345" s="17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7"/>
      <c r="V346" s="1"/>
      <c r="W346" s="1"/>
      <c r="X346" s="1"/>
      <c r="Y346" s="1"/>
      <c r="Z346" s="17"/>
      <c r="AA346" s="17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7"/>
      <c r="V347" s="1"/>
      <c r="W347" s="1"/>
      <c r="X347" s="1"/>
      <c r="Y347" s="1"/>
      <c r="Z347" s="17"/>
      <c r="AA347" s="17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7"/>
      <c r="V348" s="1"/>
      <c r="W348" s="1"/>
      <c r="X348" s="1"/>
      <c r="Y348" s="1"/>
      <c r="Z348" s="17"/>
      <c r="AA348" s="17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7"/>
      <c r="V349" s="1"/>
      <c r="W349" s="1"/>
      <c r="X349" s="1"/>
      <c r="Y349" s="1"/>
      <c r="Z349" s="17"/>
      <c r="AA349" s="17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7"/>
      <c r="V350" s="1"/>
      <c r="W350" s="1"/>
      <c r="X350" s="1"/>
      <c r="Y350" s="1"/>
      <c r="Z350" s="17"/>
      <c r="AA350" s="17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7"/>
      <c r="V351" s="1"/>
      <c r="W351" s="1"/>
      <c r="X351" s="1"/>
      <c r="Y351" s="1"/>
      <c r="Z351" s="17"/>
      <c r="AA351" s="17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7"/>
      <c r="V352" s="1"/>
      <c r="W352" s="1"/>
      <c r="X352" s="1"/>
      <c r="Y352" s="1"/>
      <c r="Z352" s="17"/>
      <c r="AA352" s="17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7"/>
      <c r="V353" s="1"/>
      <c r="W353" s="1"/>
      <c r="X353" s="1"/>
      <c r="Y353" s="1"/>
      <c r="Z353" s="17"/>
      <c r="AA353" s="17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7"/>
      <c r="V354" s="1"/>
      <c r="W354" s="1"/>
      <c r="X354" s="1"/>
      <c r="Y354" s="1"/>
      <c r="Z354" s="17"/>
      <c r="AA354" s="17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7"/>
      <c r="V355" s="1"/>
      <c r="W355" s="1"/>
      <c r="X355" s="1"/>
      <c r="Y355" s="1"/>
      <c r="Z355" s="17"/>
      <c r="AA355" s="17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7"/>
      <c r="V356" s="1"/>
      <c r="W356" s="1"/>
      <c r="X356" s="1"/>
      <c r="Y356" s="1"/>
      <c r="Z356" s="17"/>
      <c r="AA356" s="17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7"/>
      <c r="V357" s="1"/>
      <c r="W357" s="1"/>
      <c r="X357" s="1"/>
      <c r="Y357" s="1"/>
      <c r="Z357" s="17"/>
      <c r="AA357" s="17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7"/>
      <c r="V358" s="1"/>
      <c r="W358" s="1"/>
      <c r="X358" s="1"/>
      <c r="Y358" s="1"/>
      <c r="Z358" s="17"/>
      <c r="AA358" s="17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7"/>
      <c r="V359" s="1"/>
      <c r="W359" s="1"/>
      <c r="X359" s="1"/>
      <c r="Y359" s="1"/>
      <c r="Z359" s="17"/>
      <c r="AA359" s="17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7"/>
      <c r="V360" s="1"/>
      <c r="W360" s="1"/>
      <c r="X360" s="1"/>
      <c r="Y360" s="1"/>
      <c r="Z360" s="17"/>
      <c r="AA360" s="17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7"/>
      <c r="V361" s="1"/>
      <c r="W361" s="1"/>
      <c r="X361" s="1"/>
      <c r="Y361" s="1"/>
      <c r="Z361" s="17"/>
      <c r="AA361" s="17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7"/>
      <c r="V362" s="1"/>
      <c r="W362" s="1"/>
      <c r="X362" s="1"/>
      <c r="Y362" s="1"/>
      <c r="Z362" s="17"/>
      <c r="AA362" s="17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7"/>
      <c r="V363" s="1"/>
      <c r="W363" s="1"/>
      <c r="X363" s="1"/>
      <c r="Y363" s="1"/>
      <c r="Z363" s="17"/>
      <c r="AA363" s="17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7"/>
      <c r="V364" s="1"/>
      <c r="W364" s="1"/>
      <c r="X364" s="1"/>
      <c r="Y364" s="1"/>
      <c r="Z364" s="17"/>
      <c r="AA364" s="17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7"/>
      <c r="V365" s="1"/>
      <c r="W365" s="1"/>
      <c r="X365" s="1"/>
      <c r="Y365" s="1"/>
      <c r="Z365" s="17"/>
      <c r="AA365" s="17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7"/>
      <c r="V366" s="1"/>
      <c r="W366" s="1"/>
      <c r="X366" s="1"/>
      <c r="Y366" s="1"/>
      <c r="Z366" s="17"/>
      <c r="AA366" s="17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7"/>
      <c r="V367" s="1"/>
      <c r="W367" s="1"/>
      <c r="X367" s="1"/>
      <c r="Y367" s="1"/>
      <c r="Z367" s="17"/>
      <c r="AA367" s="17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7"/>
      <c r="V368" s="1"/>
      <c r="W368" s="1"/>
      <c r="X368" s="1"/>
      <c r="Y368" s="1"/>
      <c r="Z368" s="17"/>
      <c r="AA368" s="17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7"/>
      <c r="V369" s="1"/>
      <c r="W369" s="1"/>
      <c r="X369" s="1"/>
      <c r="Y369" s="1"/>
      <c r="Z369" s="17"/>
      <c r="AA369" s="17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7"/>
      <c r="V370" s="1"/>
      <c r="W370" s="1"/>
      <c r="X370" s="1"/>
      <c r="Y370" s="1"/>
      <c r="Z370" s="17"/>
      <c r="AA370" s="17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7"/>
      <c r="V371" s="1"/>
      <c r="W371" s="1"/>
      <c r="X371" s="1"/>
      <c r="Y371" s="1"/>
      <c r="Z371" s="17"/>
      <c r="AA371" s="17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7"/>
      <c r="V372" s="1"/>
      <c r="W372" s="1"/>
      <c r="X372" s="1"/>
      <c r="Y372" s="1"/>
      <c r="Z372" s="17"/>
      <c r="AA372" s="17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7"/>
      <c r="V373" s="1"/>
      <c r="W373" s="1"/>
      <c r="X373" s="1"/>
      <c r="Y373" s="1"/>
      <c r="Z373" s="17"/>
      <c r="AA373" s="17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7"/>
      <c r="V374" s="1"/>
      <c r="W374" s="1"/>
      <c r="X374" s="1"/>
      <c r="Y374" s="1"/>
      <c r="Z374" s="17"/>
      <c r="AA374" s="17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7"/>
      <c r="V375" s="1"/>
      <c r="W375" s="1"/>
      <c r="X375" s="1"/>
      <c r="Y375" s="1"/>
      <c r="Z375" s="17"/>
      <c r="AA375" s="17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7"/>
      <c r="V376" s="1"/>
      <c r="W376" s="1"/>
      <c r="X376" s="1"/>
      <c r="Y376" s="1"/>
      <c r="Z376" s="17"/>
      <c r="AA376" s="17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7"/>
      <c r="V377" s="1"/>
      <c r="W377" s="1"/>
      <c r="X377" s="1"/>
      <c r="Y377" s="1"/>
      <c r="Z377" s="17"/>
      <c r="AA377" s="17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7"/>
      <c r="V378" s="1"/>
      <c r="W378" s="1"/>
      <c r="X378" s="1"/>
      <c r="Y378" s="1"/>
      <c r="Z378" s="17"/>
      <c r="AA378" s="17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7"/>
      <c r="V379" s="1"/>
      <c r="W379" s="1"/>
      <c r="X379" s="1"/>
      <c r="Y379" s="1"/>
      <c r="Z379" s="17"/>
      <c r="AA379" s="17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7"/>
      <c r="V380" s="1"/>
      <c r="W380" s="1"/>
      <c r="X380" s="1"/>
      <c r="Y380" s="1"/>
      <c r="Z380" s="17"/>
      <c r="AA380" s="17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7"/>
      <c r="V381" s="1"/>
      <c r="W381" s="1"/>
      <c r="X381" s="1"/>
      <c r="Y381" s="1"/>
      <c r="Z381" s="17"/>
      <c r="AA381" s="17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7"/>
      <c r="V382" s="1"/>
      <c r="W382" s="1"/>
      <c r="X382" s="1"/>
      <c r="Y382" s="1"/>
      <c r="Z382" s="17"/>
      <c r="AA382" s="17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7"/>
      <c r="V383" s="1"/>
      <c r="W383" s="1"/>
      <c r="X383" s="1"/>
      <c r="Y383" s="1"/>
      <c r="Z383" s="17"/>
      <c r="AA383" s="17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7"/>
      <c r="V384" s="1"/>
      <c r="W384" s="1"/>
      <c r="X384" s="1"/>
      <c r="Y384" s="1"/>
      <c r="Z384" s="17"/>
      <c r="AA384" s="17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7"/>
      <c r="V385" s="1"/>
      <c r="W385" s="1"/>
      <c r="X385" s="1"/>
      <c r="Y385" s="1"/>
      <c r="Z385" s="17"/>
      <c r="AA385" s="17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7"/>
      <c r="V386" s="1"/>
      <c r="W386" s="1"/>
      <c r="X386" s="1"/>
      <c r="Y386" s="1"/>
      <c r="Z386" s="17"/>
      <c r="AA386" s="17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7"/>
      <c r="V387" s="1"/>
      <c r="W387" s="1"/>
      <c r="X387" s="1"/>
      <c r="Y387" s="1"/>
      <c r="Z387" s="17"/>
      <c r="AA387" s="17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7"/>
      <c r="V388" s="1"/>
      <c r="W388" s="1"/>
      <c r="X388" s="1"/>
      <c r="Y388" s="1"/>
      <c r="Z388" s="17"/>
      <c r="AA388" s="17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7"/>
      <c r="V389" s="1"/>
      <c r="W389" s="1"/>
      <c r="X389" s="1"/>
      <c r="Y389" s="1"/>
      <c r="Z389" s="17"/>
      <c r="AA389" s="17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7"/>
      <c r="V390" s="1"/>
      <c r="W390" s="1"/>
      <c r="X390" s="1"/>
      <c r="Y390" s="1"/>
      <c r="Z390" s="17"/>
      <c r="AA390" s="17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7"/>
      <c r="V391" s="1"/>
      <c r="W391" s="1"/>
      <c r="X391" s="1"/>
      <c r="Y391" s="1"/>
      <c r="Z391" s="17"/>
      <c r="AA391" s="17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7"/>
      <c r="V392" s="1"/>
      <c r="W392" s="1"/>
      <c r="X392" s="1"/>
      <c r="Y392" s="1"/>
      <c r="Z392" s="17"/>
      <c r="AA392" s="17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7"/>
      <c r="V393" s="1"/>
      <c r="W393" s="1"/>
      <c r="X393" s="1"/>
      <c r="Y393" s="1"/>
      <c r="Z393" s="17"/>
      <c r="AA393" s="17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7"/>
      <c r="V394" s="1"/>
      <c r="W394" s="1"/>
      <c r="X394" s="1"/>
      <c r="Y394" s="1"/>
      <c r="Z394" s="17"/>
      <c r="AA394" s="17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7"/>
      <c r="V395" s="1"/>
      <c r="W395" s="1"/>
      <c r="X395" s="1"/>
      <c r="Y395" s="1"/>
      <c r="Z395" s="17"/>
      <c r="AA395" s="17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7"/>
      <c r="V396" s="1"/>
      <c r="W396" s="1"/>
      <c r="X396" s="1"/>
      <c r="Y396" s="1"/>
      <c r="Z396" s="17"/>
      <c r="AA396" s="17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7"/>
      <c r="V397" s="1"/>
      <c r="W397" s="1"/>
      <c r="X397" s="1"/>
      <c r="Y397" s="1"/>
      <c r="Z397" s="17"/>
      <c r="AA397" s="17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7"/>
      <c r="V398" s="1"/>
      <c r="W398" s="1"/>
      <c r="X398" s="1"/>
      <c r="Y398" s="1"/>
      <c r="Z398" s="17"/>
      <c r="AA398" s="17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7"/>
      <c r="V399" s="1"/>
      <c r="W399" s="1"/>
      <c r="X399" s="1"/>
      <c r="Y399" s="1"/>
      <c r="Z399" s="17"/>
      <c r="AA399" s="17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7"/>
      <c r="V400" s="1"/>
      <c r="W400" s="1"/>
      <c r="X400" s="1"/>
      <c r="Y400" s="1"/>
      <c r="Z400" s="17"/>
      <c r="AA400" s="17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7"/>
      <c r="V401" s="1"/>
      <c r="W401" s="1"/>
      <c r="X401" s="1"/>
      <c r="Y401" s="1"/>
      <c r="Z401" s="17"/>
      <c r="AA401" s="17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7"/>
      <c r="V402" s="1"/>
      <c r="W402" s="1"/>
      <c r="X402" s="1"/>
      <c r="Y402" s="1"/>
      <c r="Z402" s="17"/>
      <c r="AA402" s="17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7"/>
      <c r="V403" s="1"/>
      <c r="W403" s="1"/>
      <c r="X403" s="1"/>
      <c r="Y403" s="1"/>
      <c r="Z403" s="17"/>
      <c r="AA403" s="17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7"/>
      <c r="V404" s="1"/>
      <c r="W404" s="1"/>
      <c r="X404" s="1"/>
      <c r="Y404" s="1"/>
      <c r="Z404" s="17"/>
      <c r="AA404" s="17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7"/>
      <c r="V405" s="1"/>
      <c r="W405" s="1"/>
      <c r="X405" s="1"/>
      <c r="Y405" s="1"/>
      <c r="Z405" s="17"/>
      <c r="AA405" s="17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7"/>
      <c r="V406" s="1"/>
      <c r="W406" s="1"/>
      <c r="X406" s="1"/>
      <c r="Y406" s="1"/>
      <c r="Z406" s="17"/>
      <c r="AA406" s="17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7"/>
      <c r="V407" s="1"/>
      <c r="W407" s="1"/>
      <c r="X407" s="1"/>
      <c r="Y407" s="1"/>
      <c r="Z407" s="17"/>
      <c r="AA407" s="17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7"/>
      <c r="V408" s="1"/>
      <c r="W408" s="1"/>
      <c r="X408" s="1"/>
      <c r="Y408" s="1"/>
      <c r="Z408" s="17"/>
      <c r="AA408" s="17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7"/>
      <c r="V409" s="1"/>
      <c r="W409" s="1"/>
      <c r="X409" s="1"/>
      <c r="Y409" s="1"/>
      <c r="Z409" s="17"/>
      <c r="AA409" s="17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7"/>
      <c r="V410" s="1"/>
      <c r="W410" s="1"/>
      <c r="X410" s="1"/>
      <c r="Y410" s="1"/>
      <c r="Z410" s="17"/>
      <c r="AA410" s="17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7"/>
      <c r="V411" s="1"/>
      <c r="W411" s="1"/>
      <c r="X411" s="1"/>
      <c r="Y411" s="1"/>
      <c r="Z411" s="17"/>
      <c r="AA411" s="17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7"/>
      <c r="V412" s="1"/>
      <c r="W412" s="1"/>
      <c r="X412" s="1"/>
      <c r="Y412" s="1"/>
      <c r="Z412" s="17"/>
      <c r="AA412" s="17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7"/>
      <c r="V413" s="1"/>
      <c r="W413" s="1"/>
      <c r="X413" s="1"/>
      <c r="Y413" s="1"/>
      <c r="Z413" s="17"/>
      <c r="AA413" s="17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7"/>
      <c r="V414" s="1"/>
      <c r="W414" s="1"/>
      <c r="X414" s="1"/>
      <c r="Y414" s="1"/>
      <c r="Z414" s="17"/>
      <c r="AA414" s="17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7"/>
      <c r="V415" s="1"/>
      <c r="W415" s="1"/>
      <c r="X415" s="1"/>
      <c r="Y415" s="1"/>
      <c r="Z415" s="17"/>
      <c r="AA415" s="17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7"/>
      <c r="V416" s="1"/>
      <c r="W416" s="1"/>
      <c r="X416" s="1"/>
      <c r="Y416" s="1"/>
      <c r="Z416" s="17"/>
      <c r="AA416" s="17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7"/>
      <c r="V417" s="1"/>
      <c r="W417" s="1"/>
      <c r="X417" s="1"/>
      <c r="Y417" s="1"/>
      <c r="Z417" s="17"/>
      <c r="AA417" s="17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7"/>
      <c r="V418" s="1"/>
      <c r="W418" s="1"/>
      <c r="X418" s="1"/>
      <c r="Y418" s="1"/>
      <c r="Z418" s="17"/>
      <c r="AA418" s="17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7"/>
      <c r="V419" s="1"/>
      <c r="W419" s="1"/>
      <c r="X419" s="1"/>
      <c r="Y419" s="1"/>
      <c r="Z419" s="17"/>
      <c r="AA419" s="17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7"/>
      <c r="V420" s="1"/>
      <c r="W420" s="1"/>
      <c r="X420" s="1"/>
      <c r="Y420" s="1"/>
      <c r="Z420" s="17"/>
      <c r="AA420" s="17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7"/>
      <c r="V421" s="1"/>
      <c r="W421" s="1"/>
      <c r="X421" s="1"/>
      <c r="Y421" s="1"/>
      <c r="Z421" s="17"/>
      <c r="AA421" s="17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7"/>
      <c r="V422" s="1"/>
      <c r="W422" s="1"/>
      <c r="X422" s="1"/>
      <c r="Y422" s="1"/>
      <c r="Z422" s="17"/>
      <c r="AA422" s="17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7"/>
      <c r="V423" s="1"/>
      <c r="W423" s="1"/>
      <c r="X423" s="1"/>
      <c r="Y423" s="1"/>
      <c r="Z423" s="17"/>
      <c r="AA423" s="17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7"/>
      <c r="V424" s="1"/>
      <c r="W424" s="1"/>
      <c r="X424" s="1"/>
      <c r="Y424" s="1"/>
      <c r="Z424" s="17"/>
      <c r="AA424" s="17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7"/>
      <c r="V425" s="1"/>
      <c r="W425" s="1"/>
      <c r="X425" s="1"/>
      <c r="Y425" s="1"/>
      <c r="Z425" s="17"/>
      <c r="AA425" s="17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7"/>
      <c r="V426" s="1"/>
      <c r="W426" s="1"/>
      <c r="X426" s="1"/>
      <c r="Y426" s="1"/>
      <c r="Z426" s="17"/>
      <c r="AA426" s="17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7"/>
      <c r="V427" s="1"/>
      <c r="W427" s="1"/>
      <c r="X427" s="1"/>
      <c r="Y427" s="1"/>
      <c r="Z427" s="17"/>
      <c r="AA427" s="17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7"/>
      <c r="V428" s="1"/>
      <c r="W428" s="1"/>
      <c r="X428" s="1"/>
      <c r="Y428" s="1"/>
      <c r="Z428" s="17"/>
      <c r="AA428" s="17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7"/>
      <c r="V429" s="1"/>
      <c r="W429" s="1"/>
      <c r="X429" s="1"/>
      <c r="Y429" s="1"/>
      <c r="Z429" s="17"/>
      <c r="AA429" s="17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7"/>
      <c r="V430" s="1"/>
      <c r="W430" s="1"/>
      <c r="X430" s="1"/>
      <c r="Y430" s="1"/>
      <c r="Z430" s="17"/>
      <c r="AA430" s="17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7"/>
      <c r="V431" s="1"/>
      <c r="W431" s="1"/>
      <c r="X431" s="1"/>
      <c r="Y431" s="1"/>
      <c r="Z431" s="17"/>
      <c r="AA431" s="17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7"/>
      <c r="V432" s="1"/>
      <c r="W432" s="1"/>
      <c r="X432" s="1"/>
      <c r="Y432" s="1"/>
      <c r="Z432" s="17"/>
      <c r="AA432" s="17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7"/>
      <c r="V433" s="1"/>
      <c r="W433" s="1"/>
      <c r="X433" s="1"/>
      <c r="Y433" s="1"/>
      <c r="Z433" s="17"/>
      <c r="AA433" s="17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7"/>
      <c r="V434" s="1"/>
      <c r="W434" s="1"/>
      <c r="X434" s="1"/>
      <c r="Y434" s="1"/>
      <c r="Z434" s="17"/>
      <c r="AA434" s="17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7"/>
      <c r="V435" s="1"/>
      <c r="W435" s="1"/>
      <c r="X435" s="1"/>
      <c r="Y435" s="1"/>
      <c r="Z435" s="17"/>
      <c r="AA435" s="17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7"/>
      <c r="V436" s="1"/>
      <c r="W436" s="1"/>
      <c r="X436" s="1"/>
      <c r="Y436" s="1"/>
      <c r="Z436" s="17"/>
      <c r="AA436" s="17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7"/>
      <c r="V437" s="1"/>
      <c r="W437" s="1"/>
      <c r="X437" s="1"/>
      <c r="Y437" s="1"/>
      <c r="Z437" s="17"/>
      <c r="AA437" s="17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7"/>
      <c r="V438" s="1"/>
      <c r="W438" s="1"/>
      <c r="X438" s="1"/>
      <c r="Y438" s="1"/>
      <c r="Z438" s="17"/>
      <c r="AA438" s="17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7"/>
      <c r="V439" s="1"/>
      <c r="W439" s="1"/>
      <c r="X439" s="1"/>
      <c r="Y439" s="1"/>
      <c r="Z439" s="17"/>
      <c r="AA439" s="17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7"/>
      <c r="V440" s="1"/>
      <c r="W440" s="1"/>
      <c r="X440" s="1"/>
      <c r="Y440" s="1"/>
      <c r="Z440" s="17"/>
      <c r="AA440" s="17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7"/>
      <c r="V441" s="1"/>
      <c r="W441" s="1"/>
      <c r="X441" s="1"/>
      <c r="Y441" s="1"/>
      <c r="Z441" s="17"/>
      <c r="AA441" s="17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7"/>
      <c r="V442" s="1"/>
      <c r="W442" s="1"/>
      <c r="X442" s="1"/>
      <c r="Y442" s="1"/>
      <c r="Z442" s="17"/>
      <c r="AA442" s="17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7"/>
      <c r="V443" s="1"/>
      <c r="W443" s="1"/>
      <c r="X443" s="1"/>
      <c r="Y443" s="1"/>
      <c r="Z443" s="17"/>
      <c r="AA443" s="17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7"/>
      <c r="V444" s="1"/>
      <c r="W444" s="1"/>
      <c r="X444" s="1"/>
      <c r="Y444" s="1"/>
      <c r="Z444" s="17"/>
      <c r="AA444" s="17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7"/>
      <c r="V445" s="1"/>
      <c r="W445" s="1"/>
      <c r="X445" s="1"/>
      <c r="Y445" s="1"/>
      <c r="Z445" s="17"/>
      <c r="AA445" s="17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7"/>
      <c r="V446" s="1"/>
      <c r="W446" s="1"/>
      <c r="X446" s="1"/>
      <c r="Y446" s="1"/>
      <c r="Z446" s="17"/>
      <c r="AA446" s="17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7"/>
      <c r="V447" s="1"/>
      <c r="W447" s="1"/>
      <c r="X447" s="1"/>
      <c r="Y447" s="1"/>
      <c r="Z447" s="17"/>
      <c r="AA447" s="17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7"/>
      <c r="V448" s="1"/>
      <c r="W448" s="1"/>
      <c r="X448" s="1"/>
      <c r="Y448" s="1"/>
      <c r="Z448" s="17"/>
      <c r="AA448" s="17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7"/>
      <c r="V449" s="1"/>
      <c r="W449" s="1"/>
      <c r="X449" s="1"/>
      <c r="Y449" s="1"/>
      <c r="Z449" s="17"/>
      <c r="AA449" s="17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7"/>
      <c r="V450" s="1"/>
      <c r="W450" s="1"/>
      <c r="X450" s="1"/>
      <c r="Y450" s="1"/>
      <c r="Z450" s="17"/>
      <c r="AA450" s="17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7"/>
      <c r="V451" s="1"/>
      <c r="W451" s="1"/>
      <c r="X451" s="1"/>
      <c r="Y451" s="1"/>
      <c r="Z451" s="17"/>
      <c r="AA451" s="17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7"/>
      <c r="V452" s="1"/>
      <c r="W452" s="1"/>
      <c r="X452" s="1"/>
      <c r="Y452" s="1"/>
      <c r="Z452" s="17"/>
      <c r="AA452" s="17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7"/>
      <c r="V453" s="1"/>
      <c r="W453" s="1"/>
      <c r="X453" s="1"/>
      <c r="Y453" s="1"/>
      <c r="Z453" s="17"/>
      <c r="AA453" s="17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7"/>
      <c r="V454" s="1"/>
      <c r="W454" s="1"/>
      <c r="X454" s="1"/>
      <c r="Y454" s="1"/>
      <c r="Z454" s="17"/>
      <c r="AA454" s="17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7"/>
      <c r="V455" s="1"/>
      <c r="W455" s="1"/>
      <c r="X455" s="1"/>
      <c r="Y455" s="1"/>
      <c r="Z455" s="17"/>
      <c r="AA455" s="17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7"/>
      <c r="V456" s="1"/>
      <c r="W456" s="1"/>
      <c r="X456" s="1"/>
      <c r="Y456" s="1"/>
      <c r="Z456" s="17"/>
      <c r="AA456" s="17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7"/>
      <c r="V457" s="1"/>
      <c r="W457" s="1"/>
      <c r="X457" s="1"/>
      <c r="Y457" s="1"/>
      <c r="Z457" s="17"/>
      <c r="AA457" s="17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7"/>
      <c r="V458" s="1"/>
      <c r="W458" s="1"/>
      <c r="X458" s="1"/>
      <c r="Y458" s="1"/>
      <c r="Z458" s="17"/>
      <c r="AA458" s="17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7"/>
      <c r="V459" s="1"/>
      <c r="W459" s="1"/>
      <c r="X459" s="1"/>
      <c r="Y459" s="1"/>
      <c r="Z459" s="17"/>
      <c r="AA459" s="17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7"/>
      <c r="V460" s="1"/>
      <c r="W460" s="1"/>
      <c r="X460" s="1"/>
      <c r="Y460" s="1"/>
      <c r="Z460" s="17"/>
      <c r="AA460" s="17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7"/>
      <c r="V461" s="1"/>
      <c r="W461" s="1"/>
      <c r="X461" s="1"/>
      <c r="Y461" s="1"/>
      <c r="Z461" s="17"/>
      <c r="AA461" s="17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7"/>
      <c r="V462" s="1"/>
      <c r="W462" s="1"/>
      <c r="X462" s="1"/>
      <c r="Y462" s="1"/>
      <c r="Z462" s="17"/>
      <c r="AA462" s="17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7"/>
      <c r="V463" s="1"/>
      <c r="W463" s="1"/>
      <c r="X463" s="1"/>
      <c r="Y463" s="1"/>
      <c r="Z463" s="17"/>
      <c r="AA463" s="17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7"/>
      <c r="V464" s="1"/>
      <c r="W464" s="1"/>
      <c r="X464" s="1"/>
      <c r="Y464" s="1"/>
      <c r="Z464" s="17"/>
      <c r="AA464" s="17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7"/>
      <c r="V465" s="1"/>
      <c r="W465" s="1"/>
      <c r="X465" s="1"/>
      <c r="Y465" s="1"/>
      <c r="Z465" s="17"/>
      <c r="AA465" s="17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7"/>
      <c r="V466" s="1"/>
      <c r="W466" s="1"/>
      <c r="X466" s="1"/>
      <c r="Y466" s="1"/>
      <c r="Z466" s="17"/>
      <c r="AA466" s="17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7"/>
      <c r="V467" s="1"/>
      <c r="W467" s="1"/>
      <c r="X467" s="1"/>
      <c r="Y467" s="1"/>
      <c r="Z467" s="17"/>
      <c r="AA467" s="17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7"/>
      <c r="V468" s="1"/>
      <c r="W468" s="1"/>
      <c r="X468" s="1"/>
      <c r="Y468" s="1"/>
      <c r="Z468" s="17"/>
      <c r="AA468" s="17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7"/>
      <c r="V469" s="1"/>
      <c r="W469" s="1"/>
      <c r="X469" s="1"/>
      <c r="Y469" s="1"/>
      <c r="Z469" s="17"/>
      <c r="AA469" s="17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7"/>
      <c r="V470" s="1"/>
      <c r="W470" s="1"/>
      <c r="X470" s="1"/>
      <c r="Y470" s="1"/>
      <c r="Z470" s="17"/>
      <c r="AA470" s="17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7"/>
      <c r="V471" s="1"/>
      <c r="W471" s="1"/>
      <c r="X471" s="1"/>
      <c r="Y471" s="1"/>
      <c r="Z471" s="17"/>
      <c r="AA471" s="17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7"/>
      <c r="V472" s="1"/>
      <c r="W472" s="1"/>
      <c r="X472" s="1"/>
      <c r="Y472" s="1"/>
      <c r="Z472" s="17"/>
      <c r="AA472" s="17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7"/>
      <c r="V473" s="1"/>
      <c r="W473" s="1"/>
      <c r="X473" s="1"/>
      <c r="Y473" s="1"/>
      <c r="Z473" s="17"/>
      <c r="AA473" s="17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7"/>
      <c r="V474" s="1"/>
      <c r="W474" s="1"/>
      <c r="X474" s="1"/>
      <c r="Y474" s="1"/>
      <c r="Z474" s="17"/>
      <c r="AA474" s="17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7"/>
      <c r="V475" s="1"/>
      <c r="W475" s="1"/>
      <c r="X475" s="1"/>
      <c r="Y475" s="1"/>
      <c r="Z475" s="17"/>
      <c r="AA475" s="17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7"/>
      <c r="V476" s="1"/>
      <c r="W476" s="1"/>
      <c r="X476" s="1"/>
      <c r="Y476" s="1"/>
      <c r="Z476" s="17"/>
      <c r="AA476" s="17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7"/>
      <c r="V477" s="1"/>
      <c r="W477" s="1"/>
      <c r="X477" s="1"/>
      <c r="Y477" s="1"/>
      <c r="Z477" s="17"/>
      <c r="AA477" s="17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7"/>
      <c r="V478" s="1"/>
      <c r="W478" s="1"/>
      <c r="X478" s="1"/>
      <c r="Y478" s="1"/>
      <c r="Z478" s="17"/>
      <c r="AA478" s="17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7"/>
      <c r="V479" s="1"/>
      <c r="W479" s="1"/>
      <c r="X479" s="1"/>
      <c r="Y479" s="1"/>
      <c r="Z479" s="17"/>
      <c r="AA479" s="17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7"/>
      <c r="V480" s="1"/>
      <c r="W480" s="1"/>
      <c r="X480" s="1"/>
      <c r="Y480" s="1"/>
      <c r="Z480" s="17"/>
      <c r="AA480" s="17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7"/>
      <c r="V481" s="1"/>
      <c r="W481" s="1"/>
      <c r="X481" s="1"/>
      <c r="Y481" s="1"/>
      <c r="Z481" s="17"/>
      <c r="AA481" s="17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7"/>
      <c r="V482" s="1"/>
      <c r="W482" s="1"/>
      <c r="X482" s="1"/>
      <c r="Y482" s="1"/>
      <c r="Z482" s="17"/>
      <c r="AA482" s="17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7"/>
      <c r="V483" s="1"/>
      <c r="W483" s="1"/>
      <c r="X483" s="1"/>
      <c r="Y483" s="1"/>
      <c r="Z483" s="17"/>
      <c r="AA483" s="17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7"/>
      <c r="V484" s="1"/>
      <c r="W484" s="1"/>
      <c r="X484" s="1"/>
      <c r="Y484" s="1"/>
      <c r="Z484" s="17"/>
      <c r="AA484" s="17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7"/>
      <c r="V485" s="1"/>
      <c r="W485" s="1"/>
      <c r="X485" s="1"/>
      <c r="Y485" s="1"/>
      <c r="Z485" s="17"/>
      <c r="AA485" s="17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7"/>
      <c r="V486" s="1"/>
      <c r="W486" s="1"/>
      <c r="X486" s="1"/>
      <c r="Y486" s="1"/>
      <c r="Z486" s="17"/>
      <c r="AA486" s="17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7"/>
      <c r="V487" s="1"/>
      <c r="W487" s="1"/>
      <c r="X487" s="1"/>
      <c r="Y487" s="1"/>
      <c r="Z487" s="17"/>
      <c r="AA487" s="17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7"/>
      <c r="V488" s="1"/>
      <c r="W488" s="1"/>
      <c r="X488" s="1"/>
      <c r="Y488" s="1"/>
      <c r="Z488" s="17"/>
      <c r="AA488" s="17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7"/>
      <c r="V489" s="1"/>
      <c r="W489" s="1"/>
      <c r="X489" s="1"/>
      <c r="Y489" s="1"/>
      <c r="Z489" s="17"/>
      <c r="AA489" s="17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7"/>
      <c r="V490" s="1"/>
      <c r="W490" s="1"/>
      <c r="X490" s="1"/>
      <c r="Y490" s="1"/>
      <c r="Z490" s="17"/>
      <c r="AA490" s="17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7"/>
      <c r="V491" s="1"/>
      <c r="W491" s="1"/>
      <c r="X491" s="1"/>
      <c r="Y491" s="1"/>
      <c r="Z491" s="17"/>
      <c r="AA491" s="17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7"/>
      <c r="V492" s="1"/>
      <c r="W492" s="1"/>
      <c r="X492" s="1"/>
      <c r="Y492" s="1"/>
      <c r="Z492" s="17"/>
      <c r="AA492" s="17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7"/>
      <c r="V493" s="1"/>
      <c r="W493" s="1"/>
      <c r="X493" s="1"/>
      <c r="Y493" s="1"/>
      <c r="Z493" s="17"/>
      <c r="AA493" s="17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7"/>
      <c r="V494" s="1"/>
      <c r="W494" s="1"/>
      <c r="X494" s="1"/>
      <c r="Y494" s="1"/>
      <c r="Z494" s="17"/>
      <c r="AA494" s="17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7"/>
      <c r="V495" s="1"/>
      <c r="W495" s="1"/>
      <c r="X495" s="1"/>
      <c r="Y495" s="1"/>
      <c r="Z495" s="17"/>
      <c r="AA495" s="17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7"/>
      <c r="V496" s="1"/>
      <c r="W496" s="1"/>
      <c r="X496" s="1"/>
      <c r="Y496" s="1"/>
      <c r="Z496" s="17"/>
      <c r="AA496" s="17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7"/>
      <c r="V497" s="1"/>
      <c r="W497" s="1"/>
      <c r="X497" s="1"/>
      <c r="Y497" s="1"/>
      <c r="Z497" s="17"/>
      <c r="AA497" s="17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7"/>
      <c r="V498" s="1"/>
      <c r="W498" s="1"/>
      <c r="X498" s="1"/>
      <c r="Y498" s="1"/>
      <c r="Z498" s="17"/>
      <c r="AA498" s="17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7"/>
      <c r="V499" s="1"/>
      <c r="W499" s="1"/>
      <c r="X499" s="1"/>
      <c r="Y499" s="1"/>
      <c r="Z499" s="17"/>
      <c r="AA499" s="17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</sheetData>
  <autoFilter ref="A3:AO133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41CE-0C11-452B-8BC2-6DD6D5944D35}">
  <dimension ref="A1:H15"/>
  <sheetViews>
    <sheetView workbookViewId="0">
      <selection activeCell="I18" sqref="I18"/>
    </sheetView>
  </sheetViews>
  <sheetFormatPr defaultRowHeight="15" x14ac:dyDescent="0.25"/>
  <cols>
    <col min="2" max="2" width="9.140625" style="24"/>
    <col min="3" max="3" width="111.140625" bestFit="1" customWidth="1"/>
  </cols>
  <sheetData>
    <row r="1" spans="1:8" x14ac:dyDescent="0.25">
      <c r="A1" t="s">
        <v>314</v>
      </c>
      <c r="B1" s="24" t="str">
        <f>SUBSTITUTE(A1," ","")</f>
        <v>SU002074</v>
      </c>
      <c r="C1" t="s">
        <v>315</v>
      </c>
      <c r="D1" t="s">
        <v>316</v>
      </c>
      <c r="E1" t="s">
        <v>316</v>
      </c>
      <c r="F1" t="s">
        <v>317</v>
      </c>
      <c r="G1" t="s">
        <v>318</v>
      </c>
      <c r="H1">
        <f>--SUBSTITUTE(G1," ","")</f>
        <v>-207</v>
      </c>
    </row>
    <row r="2" spans="1:8" x14ac:dyDescent="0.25">
      <c r="A2" t="s">
        <v>319</v>
      </c>
      <c r="B2" s="24" t="str">
        <f t="shared" ref="B2:B15" si="0">SUBSTITUTE(A2," ","")</f>
        <v>SU002205</v>
      </c>
      <c r="C2" t="s">
        <v>320</v>
      </c>
      <c r="D2" t="s">
        <v>321</v>
      </c>
      <c r="E2" t="s">
        <v>321</v>
      </c>
      <c r="F2" t="s">
        <v>317</v>
      </c>
      <c r="G2" t="s">
        <v>322</v>
      </c>
      <c r="H2">
        <f t="shared" ref="H2:H15" si="1">--SUBSTITUTE(G2," ","")</f>
        <v>-17</v>
      </c>
    </row>
    <row r="3" spans="1:8" x14ac:dyDescent="0.25">
      <c r="A3" t="s">
        <v>323</v>
      </c>
      <c r="B3" s="24" t="str">
        <f t="shared" si="0"/>
        <v>SU002287</v>
      </c>
      <c r="C3" t="s">
        <v>324</v>
      </c>
      <c r="D3" t="s">
        <v>325</v>
      </c>
      <c r="E3" t="s">
        <v>317</v>
      </c>
      <c r="F3" t="s">
        <v>317</v>
      </c>
      <c r="G3" t="s">
        <v>326</v>
      </c>
      <c r="H3">
        <f t="shared" si="1"/>
        <v>-126</v>
      </c>
    </row>
    <row r="4" spans="1:8" x14ac:dyDescent="0.25">
      <c r="A4" t="s">
        <v>327</v>
      </c>
      <c r="B4" s="24" t="str">
        <f t="shared" si="0"/>
        <v>SU002618</v>
      </c>
      <c r="C4" t="s">
        <v>328</v>
      </c>
      <c r="D4" t="s">
        <v>329</v>
      </c>
      <c r="E4" t="s">
        <v>317</v>
      </c>
      <c r="F4" t="s">
        <v>317</v>
      </c>
      <c r="G4" t="s">
        <v>330</v>
      </c>
      <c r="H4">
        <f t="shared" si="1"/>
        <v>-245</v>
      </c>
    </row>
    <row r="5" spans="1:8" x14ac:dyDescent="0.25">
      <c r="A5" t="s">
        <v>331</v>
      </c>
      <c r="B5" s="24" t="str">
        <f t="shared" si="0"/>
        <v>SU002621</v>
      </c>
      <c r="C5" t="s">
        <v>332</v>
      </c>
      <c r="D5" t="s">
        <v>333</v>
      </c>
      <c r="E5" t="s">
        <v>317</v>
      </c>
      <c r="F5" t="s">
        <v>317</v>
      </c>
      <c r="G5" t="s">
        <v>334</v>
      </c>
      <c r="H5">
        <f t="shared" si="1"/>
        <v>-65</v>
      </c>
    </row>
    <row r="6" spans="1:8" x14ac:dyDescent="0.25">
      <c r="A6" t="s">
        <v>335</v>
      </c>
      <c r="B6" s="24" t="str">
        <f t="shared" si="0"/>
        <v>SU002655</v>
      </c>
      <c r="C6" t="s">
        <v>336</v>
      </c>
      <c r="D6" t="s">
        <v>337</v>
      </c>
      <c r="E6" t="s">
        <v>317</v>
      </c>
      <c r="F6" t="s">
        <v>317</v>
      </c>
      <c r="G6" t="s">
        <v>338</v>
      </c>
      <c r="H6">
        <f t="shared" si="1"/>
        <v>-144</v>
      </c>
    </row>
    <row r="7" spans="1:8" x14ac:dyDescent="0.25">
      <c r="A7" t="s">
        <v>339</v>
      </c>
      <c r="B7" s="24" t="str">
        <f t="shared" si="0"/>
        <v>SU002660</v>
      </c>
      <c r="C7" t="s">
        <v>340</v>
      </c>
      <c r="D7" t="s">
        <v>341</v>
      </c>
      <c r="E7" t="s">
        <v>317</v>
      </c>
      <c r="F7" t="s">
        <v>317</v>
      </c>
      <c r="G7" t="s">
        <v>342</v>
      </c>
      <c r="H7">
        <f t="shared" si="1"/>
        <v>-36</v>
      </c>
    </row>
    <row r="8" spans="1:8" x14ac:dyDescent="0.25">
      <c r="A8" t="s">
        <v>343</v>
      </c>
      <c r="B8" s="24" t="str">
        <f t="shared" si="0"/>
        <v>SU002843</v>
      </c>
      <c r="C8" t="s">
        <v>344</v>
      </c>
      <c r="D8" t="s">
        <v>345</v>
      </c>
      <c r="E8" t="s">
        <v>345</v>
      </c>
      <c r="F8" t="s">
        <v>317</v>
      </c>
      <c r="G8" t="s">
        <v>346</v>
      </c>
      <c r="H8">
        <f t="shared" si="1"/>
        <v>-81</v>
      </c>
    </row>
    <row r="9" spans="1:8" x14ac:dyDescent="0.25">
      <c r="A9" t="s">
        <v>347</v>
      </c>
      <c r="B9" s="24" t="str">
        <f t="shared" si="0"/>
        <v>SU002941</v>
      </c>
      <c r="C9" t="s">
        <v>348</v>
      </c>
      <c r="D9" t="s">
        <v>349</v>
      </c>
      <c r="E9" t="s">
        <v>349</v>
      </c>
      <c r="F9" t="s">
        <v>317</v>
      </c>
      <c r="G9" t="s">
        <v>350</v>
      </c>
      <c r="H9">
        <f t="shared" si="1"/>
        <v>-49</v>
      </c>
    </row>
    <row r="10" spans="1:8" x14ac:dyDescent="0.25">
      <c r="A10" t="s">
        <v>351</v>
      </c>
      <c r="B10" s="24" t="str">
        <f t="shared" si="0"/>
        <v>SU002942</v>
      </c>
      <c r="C10" t="s">
        <v>352</v>
      </c>
      <c r="D10" t="s">
        <v>353</v>
      </c>
      <c r="E10" t="s">
        <v>317</v>
      </c>
      <c r="F10" t="s">
        <v>317</v>
      </c>
      <c r="G10" t="s">
        <v>354</v>
      </c>
      <c r="H10">
        <f t="shared" si="1"/>
        <v>-4</v>
      </c>
    </row>
    <row r="11" spans="1:8" x14ac:dyDescent="0.25">
      <c r="A11" t="s">
        <v>355</v>
      </c>
      <c r="B11" s="24" t="str">
        <f t="shared" si="0"/>
        <v>SU002943</v>
      </c>
      <c r="C11" t="s">
        <v>356</v>
      </c>
      <c r="D11" t="s">
        <v>357</v>
      </c>
      <c r="E11" t="s">
        <v>317</v>
      </c>
      <c r="F11" t="s">
        <v>317</v>
      </c>
      <c r="G11" t="s">
        <v>358</v>
      </c>
      <c r="H11">
        <f t="shared" si="1"/>
        <v>-103</v>
      </c>
    </row>
    <row r="12" spans="1:8" x14ac:dyDescent="0.25">
      <c r="A12" t="s">
        <v>359</v>
      </c>
      <c r="B12" s="24" t="str">
        <f t="shared" si="0"/>
        <v>SU002944</v>
      </c>
      <c r="C12" t="s">
        <v>360</v>
      </c>
      <c r="D12" t="s">
        <v>361</v>
      </c>
      <c r="E12" t="s">
        <v>317</v>
      </c>
      <c r="F12" t="s">
        <v>317</v>
      </c>
      <c r="G12" t="s">
        <v>362</v>
      </c>
      <c r="H12">
        <f t="shared" si="1"/>
        <v>-18</v>
      </c>
    </row>
    <row r="13" spans="1:8" x14ac:dyDescent="0.25">
      <c r="A13" t="s">
        <v>363</v>
      </c>
      <c r="B13" s="24" t="str">
        <f t="shared" si="0"/>
        <v>SU002948</v>
      </c>
      <c r="C13" t="s">
        <v>364</v>
      </c>
      <c r="D13" t="s">
        <v>365</v>
      </c>
      <c r="E13" t="s">
        <v>317</v>
      </c>
      <c r="F13" t="s">
        <v>317</v>
      </c>
      <c r="G13" t="s">
        <v>366</v>
      </c>
      <c r="H13">
        <f t="shared" si="1"/>
        <v>-76</v>
      </c>
    </row>
    <row r="14" spans="1:8" x14ac:dyDescent="0.25">
      <c r="A14" t="s">
        <v>367</v>
      </c>
      <c r="B14" s="24" t="str">
        <f t="shared" si="0"/>
        <v>SU004041</v>
      </c>
      <c r="C14" t="s">
        <v>368</v>
      </c>
      <c r="D14" t="s">
        <v>369</v>
      </c>
      <c r="E14" t="s">
        <v>317</v>
      </c>
      <c r="F14" t="s">
        <v>317</v>
      </c>
      <c r="G14" t="s">
        <v>370</v>
      </c>
      <c r="H14">
        <f t="shared" si="1"/>
        <v>-172</v>
      </c>
    </row>
    <row r="15" spans="1:8" x14ac:dyDescent="0.25">
      <c r="A15" t="s">
        <v>371</v>
      </c>
      <c r="B15" s="24" t="str">
        <f t="shared" si="0"/>
        <v>SU004045</v>
      </c>
      <c r="C15" t="s">
        <v>372</v>
      </c>
      <c r="D15" t="s">
        <v>373</v>
      </c>
      <c r="E15" t="s">
        <v>317</v>
      </c>
      <c r="F15" t="s">
        <v>317</v>
      </c>
      <c r="G15" t="s">
        <v>374</v>
      </c>
      <c r="H15">
        <f t="shared" si="1"/>
        <v>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CD12-02F3-4A1C-970F-196DD86E1209}">
  <dimension ref="A1:E67"/>
  <sheetViews>
    <sheetView workbookViewId="0">
      <selection activeCell="I13" sqref="I13"/>
    </sheetView>
  </sheetViews>
  <sheetFormatPr defaultRowHeight="15" x14ac:dyDescent="0.25"/>
  <cols>
    <col min="2" max="2" width="110.28515625" bestFit="1" customWidth="1"/>
  </cols>
  <sheetData>
    <row r="1" spans="1:5" x14ac:dyDescent="0.25">
      <c r="A1" t="s">
        <v>66</v>
      </c>
      <c r="B1" t="s">
        <v>375</v>
      </c>
      <c r="C1">
        <v>1440</v>
      </c>
      <c r="D1">
        <v>1440</v>
      </c>
    </row>
    <row r="2" spans="1:5" x14ac:dyDescent="0.25">
      <c r="A2" t="s">
        <v>94</v>
      </c>
      <c r="B2" t="s">
        <v>376</v>
      </c>
      <c r="C2">
        <v>202.8</v>
      </c>
      <c r="D2">
        <v>202.8</v>
      </c>
    </row>
    <row r="3" spans="1:5" x14ac:dyDescent="0.25">
      <c r="A3" t="s">
        <v>98</v>
      </c>
      <c r="B3" t="s">
        <v>377</v>
      </c>
      <c r="C3">
        <v>18</v>
      </c>
      <c r="E3">
        <v>-18</v>
      </c>
    </row>
    <row r="4" spans="1:5" x14ac:dyDescent="0.25">
      <c r="A4" t="s">
        <v>43</v>
      </c>
      <c r="B4" t="s">
        <v>378</v>
      </c>
      <c r="C4">
        <v>172.8</v>
      </c>
      <c r="D4">
        <v>172.8</v>
      </c>
    </row>
    <row r="5" spans="1:5" x14ac:dyDescent="0.25">
      <c r="A5" t="s">
        <v>89</v>
      </c>
      <c r="B5" t="s">
        <v>379</v>
      </c>
      <c r="C5">
        <v>319.2</v>
      </c>
      <c r="D5">
        <v>319.2</v>
      </c>
    </row>
    <row r="6" spans="1:5" x14ac:dyDescent="0.25">
      <c r="A6" t="s">
        <v>45</v>
      </c>
      <c r="B6" t="s">
        <v>380</v>
      </c>
      <c r="C6">
        <v>639.9</v>
      </c>
      <c r="D6">
        <v>639.9</v>
      </c>
    </row>
    <row r="7" spans="1:5" x14ac:dyDescent="0.25">
      <c r="A7" t="s">
        <v>53</v>
      </c>
      <c r="B7" t="s">
        <v>381</v>
      </c>
      <c r="C7">
        <v>129.6</v>
      </c>
      <c r="D7">
        <v>129.6</v>
      </c>
    </row>
    <row r="8" spans="1:5" x14ac:dyDescent="0.25">
      <c r="A8" t="s">
        <v>55</v>
      </c>
      <c r="B8" t="s">
        <v>382</v>
      </c>
      <c r="C8">
        <v>116.1</v>
      </c>
      <c r="D8">
        <v>116.1</v>
      </c>
    </row>
    <row r="9" spans="1:5" x14ac:dyDescent="0.25">
      <c r="A9" t="s">
        <v>47</v>
      </c>
      <c r="B9" t="s">
        <v>383</v>
      </c>
      <c r="C9">
        <v>648</v>
      </c>
      <c r="D9">
        <v>648</v>
      </c>
    </row>
    <row r="10" spans="1:5" x14ac:dyDescent="0.25">
      <c r="A10" t="s">
        <v>62</v>
      </c>
      <c r="B10" t="s">
        <v>384</v>
      </c>
      <c r="C10">
        <v>2.5499999999999998</v>
      </c>
      <c r="D10">
        <v>2.5499999999999998</v>
      </c>
    </row>
    <row r="11" spans="1:5" x14ac:dyDescent="0.25">
      <c r="A11" t="s">
        <v>72</v>
      </c>
      <c r="B11" t="s">
        <v>385</v>
      </c>
      <c r="C11">
        <v>33.44</v>
      </c>
      <c r="D11">
        <v>33.44</v>
      </c>
    </row>
    <row r="12" spans="1:5" x14ac:dyDescent="0.25">
      <c r="A12" t="s">
        <v>80</v>
      </c>
      <c r="B12" t="s">
        <v>386</v>
      </c>
      <c r="C12">
        <v>18.239999999999998</v>
      </c>
      <c r="D12">
        <v>18.239999999999998</v>
      </c>
    </row>
    <row r="13" spans="1:5" x14ac:dyDescent="0.25">
      <c r="A13" t="s">
        <v>74</v>
      </c>
      <c r="B13" t="s">
        <v>387</v>
      </c>
      <c r="C13">
        <v>100.32</v>
      </c>
      <c r="D13">
        <v>100.32</v>
      </c>
    </row>
    <row r="14" spans="1:5" x14ac:dyDescent="0.25">
      <c r="A14" t="s">
        <v>64</v>
      </c>
      <c r="B14" t="s">
        <v>388</v>
      </c>
      <c r="C14">
        <v>42.24</v>
      </c>
      <c r="D14">
        <v>42.24</v>
      </c>
    </row>
    <row r="15" spans="1:5" x14ac:dyDescent="0.25">
      <c r="A15" t="s">
        <v>96</v>
      </c>
      <c r="B15" t="s">
        <v>389</v>
      </c>
      <c r="C15">
        <v>405</v>
      </c>
      <c r="E15">
        <v>-405</v>
      </c>
    </row>
    <row r="16" spans="1:5" x14ac:dyDescent="0.25">
      <c r="A16" t="s">
        <v>76</v>
      </c>
      <c r="B16" t="s">
        <v>390</v>
      </c>
      <c r="C16">
        <v>47.52</v>
      </c>
      <c r="D16">
        <v>47.52</v>
      </c>
    </row>
    <row r="17" spans="1:5" x14ac:dyDescent="0.25">
      <c r="A17" t="s">
        <v>82</v>
      </c>
      <c r="B17" t="s">
        <v>391</v>
      </c>
      <c r="C17">
        <v>147.84</v>
      </c>
      <c r="D17">
        <v>147.84</v>
      </c>
    </row>
    <row r="18" spans="1:5" x14ac:dyDescent="0.25">
      <c r="A18" t="s">
        <v>78</v>
      </c>
      <c r="B18" t="s">
        <v>392</v>
      </c>
      <c r="C18">
        <v>147.84</v>
      </c>
      <c r="D18">
        <v>147.84</v>
      </c>
    </row>
    <row r="19" spans="1:5" x14ac:dyDescent="0.25">
      <c r="A19" t="s">
        <v>70</v>
      </c>
      <c r="B19" t="s">
        <v>393</v>
      </c>
      <c r="C19">
        <v>73.92</v>
      </c>
      <c r="D19">
        <v>73.92</v>
      </c>
    </row>
    <row r="20" spans="1:5" x14ac:dyDescent="0.25">
      <c r="A20" t="s">
        <v>114</v>
      </c>
      <c r="B20" t="s">
        <v>394</v>
      </c>
      <c r="C20">
        <v>12</v>
      </c>
      <c r="E20">
        <v>-12</v>
      </c>
    </row>
    <row r="21" spans="1:5" x14ac:dyDescent="0.25">
      <c r="A21" t="s">
        <v>60</v>
      </c>
      <c r="B21" t="s">
        <v>395</v>
      </c>
      <c r="C21">
        <v>25.2</v>
      </c>
      <c r="E21">
        <v>-25.2</v>
      </c>
    </row>
    <row r="22" spans="1:5" x14ac:dyDescent="0.25">
      <c r="A22" t="s">
        <v>92</v>
      </c>
      <c r="B22" t="s">
        <v>396</v>
      </c>
      <c r="C22">
        <v>126</v>
      </c>
      <c r="E22">
        <v>-126</v>
      </c>
    </row>
    <row r="23" spans="1:5" x14ac:dyDescent="0.25">
      <c r="A23" t="s">
        <v>199</v>
      </c>
      <c r="B23" t="s">
        <v>397</v>
      </c>
      <c r="C23">
        <v>9.9</v>
      </c>
      <c r="D23">
        <v>9.9</v>
      </c>
    </row>
    <row r="24" spans="1:5" x14ac:dyDescent="0.25">
      <c r="A24" t="s">
        <v>102</v>
      </c>
      <c r="B24" t="s">
        <v>398</v>
      </c>
      <c r="C24">
        <v>54</v>
      </c>
      <c r="D24">
        <v>54</v>
      </c>
    </row>
    <row r="25" spans="1:5" x14ac:dyDescent="0.25">
      <c r="A25" t="s">
        <v>106</v>
      </c>
      <c r="B25" t="s">
        <v>399</v>
      </c>
      <c r="C25">
        <v>37.799999999999997</v>
      </c>
      <c r="E25">
        <v>-37.799999999999997</v>
      </c>
    </row>
    <row r="26" spans="1:5" x14ac:dyDescent="0.25">
      <c r="A26" t="s">
        <v>108</v>
      </c>
      <c r="B26" t="s">
        <v>400</v>
      </c>
      <c r="C26">
        <v>201.6</v>
      </c>
      <c r="D26">
        <v>201.6</v>
      </c>
    </row>
    <row r="27" spans="1:5" x14ac:dyDescent="0.25">
      <c r="A27" t="s">
        <v>112</v>
      </c>
      <c r="B27" t="s">
        <v>401</v>
      </c>
      <c r="C27">
        <v>60</v>
      </c>
      <c r="E27">
        <v>-60</v>
      </c>
    </row>
    <row r="28" spans="1:5" x14ac:dyDescent="0.25">
      <c r="A28" t="s">
        <v>215</v>
      </c>
      <c r="B28" t="s">
        <v>402</v>
      </c>
      <c r="C28">
        <v>5.28</v>
      </c>
      <c r="D28">
        <v>5.28</v>
      </c>
    </row>
    <row r="29" spans="1:5" x14ac:dyDescent="0.25">
      <c r="A29" t="s">
        <v>141</v>
      </c>
      <c r="B29" t="s">
        <v>403</v>
      </c>
      <c r="C29">
        <v>81</v>
      </c>
      <c r="E29">
        <v>-81</v>
      </c>
    </row>
    <row r="30" spans="1:5" x14ac:dyDescent="0.25">
      <c r="A30" t="s">
        <v>120</v>
      </c>
      <c r="B30" t="s">
        <v>404</v>
      </c>
      <c r="C30">
        <v>35.700000000000003</v>
      </c>
      <c r="E30">
        <v>-35.700000000000003</v>
      </c>
    </row>
    <row r="31" spans="1:5" x14ac:dyDescent="0.25">
      <c r="A31" t="s">
        <v>134</v>
      </c>
      <c r="B31" t="s">
        <v>405</v>
      </c>
      <c r="C31">
        <v>21.6</v>
      </c>
      <c r="D31">
        <v>21.6</v>
      </c>
    </row>
    <row r="32" spans="1:5" x14ac:dyDescent="0.25">
      <c r="A32" t="s">
        <v>116</v>
      </c>
      <c r="B32" t="s">
        <v>406</v>
      </c>
      <c r="C32">
        <v>26.1</v>
      </c>
      <c r="D32">
        <v>26.1</v>
      </c>
    </row>
    <row r="33" spans="1:5" x14ac:dyDescent="0.25">
      <c r="A33" t="s">
        <v>110</v>
      </c>
      <c r="B33" t="s">
        <v>407</v>
      </c>
      <c r="C33">
        <v>4.5</v>
      </c>
      <c r="D33">
        <v>4.5</v>
      </c>
    </row>
    <row r="34" spans="1:5" x14ac:dyDescent="0.25">
      <c r="A34" t="s">
        <v>122</v>
      </c>
      <c r="B34" t="s">
        <v>408</v>
      </c>
      <c r="C34">
        <v>42</v>
      </c>
      <c r="E34">
        <v>-42</v>
      </c>
    </row>
    <row r="35" spans="1:5" x14ac:dyDescent="0.25">
      <c r="A35" t="s">
        <v>147</v>
      </c>
      <c r="B35" t="s">
        <v>409</v>
      </c>
      <c r="C35">
        <v>36</v>
      </c>
      <c r="E35">
        <v>-36</v>
      </c>
    </row>
    <row r="36" spans="1:5" x14ac:dyDescent="0.25">
      <c r="A36" t="s">
        <v>149</v>
      </c>
      <c r="B36" t="s">
        <v>410</v>
      </c>
      <c r="C36">
        <v>21.6</v>
      </c>
      <c r="D36">
        <v>21.6</v>
      </c>
    </row>
    <row r="37" spans="1:5" x14ac:dyDescent="0.25">
      <c r="A37" t="s">
        <v>126</v>
      </c>
      <c r="B37" t="s">
        <v>411</v>
      </c>
      <c r="C37">
        <v>7.2</v>
      </c>
      <c r="D37">
        <v>7.2</v>
      </c>
    </row>
    <row r="38" spans="1:5" x14ac:dyDescent="0.25">
      <c r="A38" t="s">
        <v>124</v>
      </c>
      <c r="B38" t="s">
        <v>412</v>
      </c>
      <c r="C38">
        <v>16.8</v>
      </c>
      <c r="D38">
        <v>16.8</v>
      </c>
    </row>
    <row r="39" spans="1:5" x14ac:dyDescent="0.25">
      <c r="A39" t="s">
        <v>143</v>
      </c>
      <c r="B39" t="s">
        <v>413</v>
      </c>
      <c r="C39">
        <v>9</v>
      </c>
      <c r="D39">
        <v>9</v>
      </c>
    </row>
    <row r="40" spans="1:5" x14ac:dyDescent="0.25">
      <c r="A40" t="s">
        <v>151</v>
      </c>
      <c r="B40" t="s">
        <v>414</v>
      </c>
      <c r="C40">
        <v>97.2</v>
      </c>
      <c r="D40">
        <v>97.2</v>
      </c>
    </row>
    <row r="41" spans="1:5" x14ac:dyDescent="0.25">
      <c r="A41" t="s">
        <v>139</v>
      </c>
      <c r="B41" t="s">
        <v>415</v>
      </c>
      <c r="C41">
        <v>64.8</v>
      </c>
      <c r="D41">
        <v>64.8</v>
      </c>
    </row>
    <row r="42" spans="1:5" x14ac:dyDescent="0.25">
      <c r="A42" t="s">
        <v>158</v>
      </c>
      <c r="B42" t="s">
        <v>416</v>
      </c>
      <c r="C42">
        <v>32.4</v>
      </c>
      <c r="D42">
        <v>32.4</v>
      </c>
    </row>
    <row r="43" spans="1:5" x14ac:dyDescent="0.25">
      <c r="A43" t="s">
        <v>165</v>
      </c>
      <c r="B43" t="s">
        <v>417</v>
      </c>
      <c r="C43">
        <v>48.6</v>
      </c>
      <c r="D43">
        <v>48.6</v>
      </c>
    </row>
    <row r="44" spans="1:5" x14ac:dyDescent="0.25">
      <c r="A44" t="s">
        <v>171</v>
      </c>
      <c r="B44" t="s">
        <v>418</v>
      </c>
      <c r="C44">
        <v>40.799999999999997</v>
      </c>
      <c r="D44">
        <v>40.799999999999997</v>
      </c>
    </row>
    <row r="45" spans="1:5" x14ac:dyDescent="0.25">
      <c r="A45" t="s">
        <v>167</v>
      </c>
      <c r="B45" t="s">
        <v>419</v>
      </c>
      <c r="C45">
        <v>48.6</v>
      </c>
      <c r="D45">
        <v>48.6</v>
      </c>
    </row>
    <row r="46" spans="1:5" x14ac:dyDescent="0.25">
      <c r="A46" t="s">
        <v>130</v>
      </c>
      <c r="B46" t="s">
        <v>420</v>
      </c>
      <c r="C46">
        <v>92.4</v>
      </c>
      <c r="E46">
        <v>-92.4</v>
      </c>
    </row>
    <row r="47" spans="1:5" x14ac:dyDescent="0.25">
      <c r="A47" t="s">
        <v>132</v>
      </c>
      <c r="B47" t="s">
        <v>421</v>
      </c>
      <c r="C47">
        <v>189</v>
      </c>
      <c r="E47">
        <v>-189</v>
      </c>
    </row>
    <row r="48" spans="1:5" x14ac:dyDescent="0.25">
      <c r="A48" t="s">
        <v>156</v>
      </c>
      <c r="B48" t="s">
        <v>422</v>
      </c>
      <c r="C48">
        <v>97.2</v>
      </c>
      <c r="D48">
        <v>97.2</v>
      </c>
    </row>
    <row r="49" spans="1:5" x14ac:dyDescent="0.25">
      <c r="A49" t="s">
        <v>173</v>
      </c>
      <c r="B49" t="s">
        <v>423</v>
      </c>
      <c r="C49">
        <v>81</v>
      </c>
      <c r="D49">
        <v>81</v>
      </c>
    </row>
    <row r="50" spans="1:5" x14ac:dyDescent="0.25">
      <c r="A50" t="s">
        <v>175</v>
      </c>
      <c r="B50" t="s">
        <v>424</v>
      </c>
      <c r="C50">
        <v>70.2</v>
      </c>
      <c r="D50">
        <v>70.2</v>
      </c>
    </row>
    <row r="51" spans="1:5" x14ac:dyDescent="0.25">
      <c r="A51" t="s">
        <v>297</v>
      </c>
      <c r="B51" t="s">
        <v>425</v>
      </c>
      <c r="C51">
        <v>54</v>
      </c>
      <c r="E51">
        <v>-54</v>
      </c>
    </row>
    <row r="52" spans="1:5" x14ac:dyDescent="0.25">
      <c r="A52" t="s">
        <v>177</v>
      </c>
      <c r="B52" t="s">
        <v>426</v>
      </c>
      <c r="C52">
        <v>270</v>
      </c>
      <c r="D52">
        <v>270</v>
      </c>
    </row>
    <row r="53" spans="1:5" x14ac:dyDescent="0.25">
      <c r="A53" t="s">
        <v>227</v>
      </c>
      <c r="B53" t="s">
        <v>427</v>
      </c>
      <c r="C53">
        <v>88.2</v>
      </c>
      <c r="E53">
        <v>-88.2</v>
      </c>
    </row>
    <row r="54" spans="1:5" x14ac:dyDescent="0.25">
      <c r="A54" t="s">
        <v>189</v>
      </c>
      <c r="B54" t="s">
        <v>428</v>
      </c>
      <c r="C54">
        <v>19.2</v>
      </c>
      <c r="D54">
        <v>19.2</v>
      </c>
    </row>
    <row r="55" spans="1:5" x14ac:dyDescent="0.25">
      <c r="A55" t="s">
        <v>191</v>
      </c>
      <c r="B55" t="s">
        <v>429</v>
      </c>
      <c r="C55">
        <v>29.04</v>
      </c>
      <c r="D55">
        <v>29.04</v>
      </c>
    </row>
    <row r="56" spans="1:5" x14ac:dyDescent="0.25">
      <c r="A56" t="s">
        <v>193</v>
      </c>
      <c r="B56" t="s">
        <v>430</v>
      </c>
      <c r="C56">
        <v>22.4</v>
      </c>
      <c r="D56">
        <v>22.4</v>
      </c>
    </row>
    <row r="57" spans="1:5" x14ac:dyDescent="0.25">
      <c r="A57" t="s">
        <v>195</v>
      </c>
      <c r="B57" t="s">
        <v>431</v>
      </c>
      <c r="C57">
        <v>18.5</v>
      </c>
      <c r="D57">
        <v>18.5</v>
      </c>
    </row>
    <row r="58" spans="1:5" x14ac:dyDescent="0.25">
      <c r="A58" t="s">
        <v>219</v>
      </c>
      <c r="B58" t="s">
        <v>432</v>
      </c>
      <c r="C58">
        <v>825</v>
      </c>
      <c r="D58">
        <v>825</v>
      </c>
    </row>
    <row r="59" spans="1:5" x14ac:dyDescent="0.25">
      <c r="A59" t="s">
        <v>304</v>
      </c>
      <c r="B59" t="s">
        <v>433</v>
      </c>
      <c r="C59">
        <v>7.2</v>
      </c>
      <c r="E59">
        <v>-7.2</v>
      </c>
    </row>
    <row r="60" spans="1:5" x14ac:dyDescent="0.25">
      <c r="A60" t="s">
        <v>233</v>
      </c>
      <c r="B60" t="s">
        <v>434</v>
      </c>
      <c r="C60">
        <v>5.04</v>
      </c>
      <c r="E60">
        <v>-5.04</v>
      </c>
    </row>
    <row r="61" spans="1:5" x14ac:dyDescent="0.25">
      <c r="A61" t="s">
        <v>260</v>
      </c>
      <c r="B61" t="s">
        <v>435</v>
      </c>
      <c r="C61">
        <v>182</v>
      </c>
      <c r="D61">
        <v>9.3859999999999992</v>
      </c>
      <c r="E61">
        <v>-172.614</v>
      </c>
    </row>
    <row r="62" spans="1:5" x14ac:dyDescent="0.25">
      <c r="A62" t="s">
        <v>270</v>
      </c>
      <c r="B62" t="s">
        <v>436</v>
      </c>
      <c r="C62">
        <v>10.08</v>
      </c>
      <c r="E62">
        <v>-10.08</v>
      </c>
    </row>
    <row r="63" spans="1:5" x14ac:dyDescent="0.25">
      <c r="A63" t="s">
        <v>256</v>
      </c>
      <c r="B63" t="s">
        <v>437</v>
      </c>
      <c r="C63">
        <v>206.5</v>
      </c>
      <c r="E63">
        <v>-206.5</v>
      </c>
    </row>
    <row r="64" spans="1:5" x14ac:dyDescent="0.25">
      <c r="A64" t="s">
        <v>258</v>
      </c>
      <c r="B64" t="s">
        <v>438</v>
      </c>
      <c r="C64">
        <v>161</v>
      </c>
      <c r="E64">
        <v>-161</v>
      </c>
    </row>
    <row r="65" spans="1:4" x14ac:dyDescent="0.25">
      <c r="A65" t="s">
        <v>282</v>
      </c>
      <c r="B65" t="s">
        <v>439</v>
      </c>
      <c r="C65">
        <v>109.2</v>
      </c>
      <c r="D65">
        <v>109.2</v>
      </c>
    </row>
    <row r="66" spans="1:4" x14ac:dyDescent="0.25">
      <c r="A66" t="s">
        <v>284</v>
      </c>
      <c r="B66" t="s">
        <v>440</v>
      </c>
      <c r="C66">
        <v>46.8</v>
      </c>
      <c r="D66">
        <v>46.8</v>
      </c>
    </row>
    <row r="67" spans="1:4" x14ac:dyDescent="0.25">
      <c r="A67" t="s">
        <v>288</v>
      </c>
      <c r="B67" t="s">
        <v>441</v>
      </c>
      <c r="C67">
        <v>30</v>
      </c>
      <c r="D6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15,08,26</vt:lpstr>
      <vt:lpstr>недогруз 17,08,26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2026-08-13T12:44:03Z</dcterms:created>
  <dcterms:modified xsi:type="dcterms:W3CDTF">2026-08-18T09:05:23Z</dcterms:modified>
</cp:coreProperties>
</file>