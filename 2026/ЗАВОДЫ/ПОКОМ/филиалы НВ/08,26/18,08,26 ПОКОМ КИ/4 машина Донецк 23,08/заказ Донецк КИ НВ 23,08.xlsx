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8D945EC-2D8D-419C-B019-7E3D5DFBA5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BP465" i="1" s="1"/>
  <c r="P465" i="1"/>
  <c r="BP464" i="1"/>
  <c r="BO464" i="1"/>
  <c r="BN464" i="1"/>
  <c r="BM464" i="1"/>
  <c r="Z464" i="1"/>
  <c r="Y464" i="1"/>
  <c r="Y468" i="1" s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X564" i="1" s="1"/>
  <c r="P455" i="1"/>
  <c r="X452" i="1"/>
  <c r="X451" i="1"/>
  <c r="BO450" i="1"/>
  <c r="BM450" i="1"/>
  <c r="Y450" i="1"/>
  <c r="BP450" i="1" s="1"/>
  <c r="P450" i="1"/>
  <c r="BP449" i="1"/>
  <c r="BO449" i="1"/>
  <c r="BN449" i="1"/>
  <c r="BM449" i="1"/>
  <c r="Z449" i="1"/>
  <c r="Y449" i="1"/>
  <c r="Y451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P443" i="1"/>
  <c r="BO443" i="1"/>
  <c r="BN443" i="1"/>
  <c r="BM443" i="1"/>
  <c r="Z443" i="1"/>
  <c r="Y443" i="1"/>
  <c r="Y447" i="1" s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BP438" i="1" s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Y415" i="1" s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Y384" i="1" s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Y377" i="1" s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T564" i="1" s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Y357" i="1" s="1"/>
  <c r="P355" i="1"/>
  <c r="BP354" i="1"/>
  <c r="BO354" i="1"/>
  <c r="BN354" i="1"/>
  <c r="BM354" i="1"/>
  <c r="Z354" i="1"/>
  <c r="Y354" i="1"/>
  <c r="P354" i="1"/>
  <c r="X351" i="1"/>
  <c r="Y350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0" i="1"/>
  <c r="X329" i="1"/>
  <c r="BO328" i="1"/>
  <c r="BM328" i="1"/>
  <c r="Y328" i="1"/>
  <c r="P328" i="1"/>
  <c r="BO327" i="1"/>
  <c r="BN327" i="1"/>
  <c r="BM327" i="1"/>
  <c r="Z327" i="1"/>
  <c r="Y327" i="1"/>
  <c r="BP327" i="1" s="1"/>
  <c r="P327" i="1"/>
  <c r="BO326" i="1"/>
  <c r="BM326" i="1"/>
  <c r="Y326" i="1"/>
  <c r="BP326" i="1" s="1"/>
  <c r="P326" i="1"/>
  <c r="BP325" i="1"/>
  <c r="BO325" i="1"/>
  <c r="BN325" i="1"/>
  <c r="BM325" i="1"/>
  <c r="Z325" i="1"/>
  <c r="Y325" i="1"/>
  <c r="P325" i="1"/>
  <c r="BO324" i="1"/>
  <c r="BM324" i="1"/>
  <c r="Y324" i="1"/>
  <c r="BP324" i="1" s="1"/>
  <c r="P324" i="1"/>
  <c r="X321" i="1"/>
  <c r="X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Y321" i="1" s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O564" i="1" s="1"/>
  <c r="P299" i="1"/>
  <c r="X296" i="1"/>
  <c r="X295" i="1"/>
  <c r="BO294" i="1"/>
  <c r="BM294" i="1"/>
  <c r="Y294" i="1"/>
  <c r="Y296" i="1" s="1"/>
  <c r="P294" i="1"/>
  <c r="BP293" i="1"/>
  <c r="BO293" i="1"/>
  <c r="BN293" i="1"/>
  <c r="BM293" i="1"/>
  <c r="Z293" i="1"/>
  <c r="Y293" i="1"/>
  <c r="Y295" i="1" s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N272" i="1"/>
  <c r="BM272" i="1"/>
  <c r="Z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Y275" i="1" s="1"/>
  <c r="P267" i="1"/>
  <c r="X265" i="1"/>
  <c r="X264" i="1"/>
  <c r="BO263" i="1"/>
  <c r="BM263" i="1"/>
  <c r="Y263" i="1"/>
  <c r="Y265" i="1" s="1"/>
  <c r="P263" i="1"/>
  <c r="BP262" i="1"/>
  <c r="BO262" i="1"/>
  <c r="BN262" i="1"/>
  <c r="BM262" i="1"/>
  <c r="Z262" i="1"/>
  <c r="Y262" i="1"/>
  <c r="Y264" i="1" s="1"/>
  <c r="P262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M564" i="1" s="1"/>
  <c r="P257" i="1"/>
  <c r="X254" i="1"/>
  <c r="X253" i="1"/>
  <c r="BO252" i="1"/>
  <c r="BM252" i="1"/>
  <c r="Y252" i="1"/>
  <c r="Y254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0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4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Y236" i="1" s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3" i="1" s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7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Y193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87" i="1" s="1"/>
  <c r="P175" i="1"/>
  <c r="X173" i="1"/>
  <c r="X172" i="1"/>
  <c r="BO171" i="1"/>
  <c r="BM171" i="1"/>
  <c r="Y171" i="1"/>
  <c r="Y173" i="1" s="1"/>
  <c r="P171" i="1"/>
  <c r="BP170" i="1"/>
  <c r="BO170" i="1"/>
  <c r="BN170" i="1"/>
  <c r="BM170" i="1"/>
  <c r="Z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Y167" i="1" s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39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P129" i="1"/>
  <c r="X126" i="1"/>
  <c r="X125" i="1"/>
  <c r="BO124" i="1"/>
  <c r="BM124" i="1"/>
  <c r="Y124" i="1"/>
  <c r="P124" i="1"/>
  <c r="X122" i="1"/>
  <c r="X121" i="1"/>
  <c r="BO120" i="1"/>
  <c r="BM120" i="1"/>
  <c r="Y120" i="1"/>
  <c r="P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5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G56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F564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4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4" i="1" s="1"/>
  <c r="X24" i="1"/>
  <c r="X558" i="1" s="1"/>
  <c r="BP23" i="1"/>
  <c r="BO23" i="1"/>
  <c r="BN23" i="1"/>
  <c r="BM23" i="1"/>
  <c r="Z23" i="1"/>
  <c r="Y23" i="1"/>
  <c r="P23" i="1"/>
  <c r="BO22" i="1"/>
  <c r="X556" i="1" s="1"/>
  <c r="BM22" i="1"/>
  <c r="X555" i="1" s="1"/>
  <c r="X557" i="1" s="1"/>
  <c r="Y22" i="1"/>
  <c r="B564" i="1" s="1"/>
  <c r="P22" i="1"/>
  <c r="H10" i="1"/>
  <c r="A9" i="1"/>
  <c r="F10" i="1" s="1"/>
  <c r="D7" i="1"/>
  <c r="Q6" i="1"/>
  <c r="P2" i="1"/>
  <c r="H9" i="1" l="1"/>
  <c r="A10" i="1"/>
  <c r="Y24" i="1"/>
  <c r="Y32" i="1"/>
  <c r="Y42" i="1"/>
  <c r="Y52" i="1"/>
  <c r="Y63" i="1"/>
  <c r="Y71" i="1"/>
  <c r="Y75" i="1"/>
  <c r="Y81" i="1"/>
  <c r="Y88" i="1"/>
  <c r="Y96" i="1"/>
  <c r="Y107" i="1"/>
  <c r="BP118" i="1"/>
  <c r="BN118" i="1"/>
  <c r="Z118" i="1"/>
  <c r="Z121" i="1" s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4" i="1"/>
  <c r="Z38" i="1"/>
  <c r="Z42" i="1" s="1"/>
  <c r="BN38" i="1"/>
  <c r="Z40" i="1"/>
  <c r="BN40" i="1"/>
  <c r="Y43" i="1"/>
  <c r="D564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Z70" i="1" s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Y114" i="1"/>
  <c r="Y121" i="1"/>
  <c r="BP120" i="1"/>
  <c r="BN120" i="1"/>
  <c r="Z120" i="1"/>
  <c r="Y122" i="1"/>
  <c r="Y125" i="1"/>
  <c r="BP124" i="1"/>
  <c r="BN124" i="1"/>
  <c r="Z124" i="1"/>
  <c r="Z125" i="1" s="1"/>
  <c r="Y126" i="1"/>
  <c r="H564" i="1"/>
  <c r="Y133" i="1"/>
  <c r="Y132" i="1"/>
  <c r="BP129" i="1"/>
  <c r="BN129" i="1"/>
  <c r="Z129" i="1"/>
  <c r="Z131" i="1"/>
  <c r="BN131" i="1"/>
  <c r="Z135" i="1"/>
  <c r="BN135" i="1"/>
  <c r="BP135" i="1"/>
  <c r="Z137" i="1"/>
  <c r="BN137" i="1"/>
  <c r="Y140" i="1"/>
  <c r="Z143" i="1"/>
  <c r="Z145" i="1" s="1"/>
  <c r="BN143" i="1"/>
  <c r="BP143" i="1"/>
  <c r="I564" i="1"/>
  <c r="Z150" i="1"/>
  <c r="Z156" i="1" s="1"/>
  <c r="BN150" i="1"/>
  <c r="Z152" i="1"/>
  <c r="BN152" i="1"/>
  <c r="Z154" i="1"/>
  <c r="BN154" i="1"/>
  <c r="Y157" i="1"/>
  <c r="J564" i="1"/>
  <c r="Z165" i="1"/>
  <c r="Z167" i="1" s="1"/>
  <c r="BN165" i="1"/>
  <c r="BP165" i="1"/>
  <c r="Y168" i="1"/>
  <c r="Z171" i="1"/>
  <c r="Z172" i="1" s="1"/>
  <c r="BN171" i="1"/>
  <c r="BP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Y186" i="1"/>
  <c r="Z189" i="1"/>
  <c r="Z192" i="1" s="1"/>
  <c r="BN189" i="1"/>
  <c r="BP189" i="1"/>
  <c r="Z191" i="1"/>
  <c r="BN191" i="1"/>
  <c r="Y192" i="1"/>
  <c r="Z195" i="1"/>
  <c r="Z197" i="1" s="1"/>
  <c r="BN195" i="1"/>
  <c r="BP195" i="1"/>
  <c r="Y198" i="1"/>
  <c r="K564" i="1"/>
  <c r="Z207" i="1"/>
  <c r="Z213" i="1" s="1"/>
  <c r="BN207" i="1"/>
  <c r="BP207" i="1"/>
  <c r="Z209" i="1"/>
  <c r="BN209" i="1"/>
  <c r="Z211" i="1"/>
  <c r="BN211" i="1"/>
  <c r="Y214" i="1"/>
  <c r="L564" i="1"/>
  <c r="Y219" i="1"/>
  <c r="Z222" i="1"/>
  <c r="Z235" i="1" s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43" i="1" s="1"/>
  <c r="BN238" i="1"/>
  <c r="BP238" i="1"/>
  <c r="Z240" i="1"/>
  <c r="BN240" i="1"/>
  <c r="Z242" i="1"/>
  <c r="BN242" i="1"/>
  <c r="Y243" i="1"/>
  <c r="Z246" i="1"/>
  <c r="Z249" i="1" s="1"/>
  <c r="BN246" i="1"/>
  <c r="BP246" i="1"/>
  <c r="Z248" i="1"/>
  <c r="BN248" i="1"/>
  <c r="Y249" i="1"/>
  <c r="Z252" i="1"/>
  <c r="Z253" i="1" s="1"/>
  <c r="BN252" i="1"/>
  <c r="BP252" i="1"/>
  <c r="Y253" i="1"/>
  <c r="Z257" i="1"/>
  <c r="Z259" i="1" s="1"/>
  <c r="BN257" i="1"/>
  <c r="BP257" i="1"/>
  <c r="Y260" i="1"/>
  <c r="Z263" i="1"/>
  <c r="Z264" i="1" s="1"/>
  <c r="BN263" i="1"/>
  <c r="BP263" i="1"/>
  <c r="Z267" i="1"/>
  <c r="BN267" i="1"/>
  <c r="BP267" i="1"/>
  <c r="Z269" i="1"/>
  <c r="BN269" i="1"/>
  <c r="Z271" i="1"/>
  <c r="BN271" i="1"/>
  <c r="Z273" i="1"/>
  <c r="BN273" i="1"/>
  <c r="BP274" i="1"/>
  <c r="BN274" i="1"/>
  <c r="Z274" i="1"/>
  <c r="Y276" i="1"/>
  <c r="Y290" i="1"/>
  <c r="Y291" i="1"/>
  <c r="BP278" i="1"/>
  <c r="BN278" i="1"/>
  <c r="Z278" i="1"/>
  <c r="Y156" i="1"/>
  <c r="Y259" i="1"/>
  <c r="BP280" i="1"/>
  <c r="BN280" i="1"/>
  <c r="Z280" i="1"/>
  <c r="Z282" i="1"/>
  <c r="BN282" i="1"/>
  <c r="Z284" i="1"/>
  <c r="BN284" i="1"/>
  <c r="Z286" i="1"/>
  <c r="BN286" i="1"/>
  <c r="Z288" i="1"/>
  <c r="BN288" i="1"/>
  <c r="Z294" i="1"/>
  <c r="Z295" i="1" s="1"/>
  <c r="BN294" i="1"/>
  <c r="BP294" i="1"/>
  <c r="Z299" i="1"/>
  <c r="BN299" i="1"/>
  <c r="BP299" i="1"/>
  <c r="Z301" i="1"/>
  <c r="BN301" i="1"/>
  <c r="Z303" i="1"/>
  <c r="BN303" i="1"/>
  <c r="Z305" i="1"/>
  <c r="BN305" i="1"/>
  <c r="Y306" i="1"/>
  <c r="Z309" i="1"/>
  <c r="Z310" i="1" s="1"/>
  <c r="BN309" i="1"/>
  <c r="BP309" i="1"/>
  <c r="Y310" i="1"/>
  <c r="Z313" i="1"/>
  <c r="Z314" i="1" s="1"/>
  <c r="BN313" i="1"/>
  <c r="BP313" i="1"/>
  <c r="Y314" i="1"/>
  <c r="Z317" i="1"/>
  <c r="BN317" i="1"/>
  <c r="BP317" i="1"/>
  <c r="Z319" i="1"/>
  <c r="BN319" i="1"/>
  <c r="Y320" i="1"/>
  <c r="Z324" i="1"/>
  <c r="BN324" i="1"/>
  <c r="Z326" i="1"/>
  <c r="BN326" i="1"/>
  <c r="BP335" i="1"/>
  <c r="BN335" i="1"/>
  <c r="Z335" i="1"/>
  <c r="Y345" i="1"/>
  <c r="BP340" i="1"/>
  <c r="BN340" i="1"/>
  <c r="Z340" i="1"/>
  <c r="R564" i="1"/>
  <c r="BP344" i="1"/>
  <c r="BN344" i="1"/>
  <c r="Z344" i="1"/>
  <c r="Y346" i="1"/>
  <c r="Y351" i="1"/>
  <c r="BP348" i="1"/>
  <c r="BN348" i="1"/>
  <c r="Z348" i="1"/>
  <c r="Z350" i="1" s="1"/>
  <c r="BP362" i="1"/>
  <c r="BN362" i="1"/>
  <c r="Z362" i="1"/>
  <c r="Z366" i="1" s="1"/>
  <c r="Y366" i="1"/>
  <c r="BP370" i="1"/>
  <c r="BN370" i="1"/>
  <c r="Z370" i="1"/>
  <c r="BP374" i="1"/>
  <c r="BN374" i="1"/>
  <c r="Z374" i="1"/>
  <c r="BP382" i="1"/>
  <c r="BN382" i="1"/>
  <c r="Z382" i="1"/>
  <c r="Y389" i="1"/>
  <c r="BP386" i="1"/>
  <c r="BN386" i="1"/>
  <c r="Z386" i="1"/>
  <c r="BP394" i="1"/>
  <c r="BN394" i="1"/>
  <c r="Z394" i="1"/>
  <c r="BP406" i="1"/>
  <c r="BN406" i="1"/>
  <c r="Z406" i="1"/>
  <c r="Z408" i="1" s="1"/>
  <c r="BP413" i="1"/>
  <c r="BN413" i="1"/>
  <c r="Z413" i="1"/>
  <c r="Y421" i="1"/>
  <c r="BP418" i="1"/>
  <c r="BN418" i="1"/>
  <c r="Z418" i="1"/>
  <c r="V564" i="1"/>
  <c r="BP428" i="1"/>
  <c r="BN428" i="1"/>
  <c r="Z428" i="1"/>
  <c r="BP432" i="1"/>
  <c r="BN432" i="1"/>
  <c r="Z432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BP364" i="1"/>
  <c r="BN364" i="1"/>
  <c r="Z364" i="1"/>
  <c r="BP372" i="1"/>
  <c r="BN372" i="1"/>
  <c r="Z372" i="1"/>
  <c r="Z376" i="1" s="1"/>
  <c r="Y376" i="1"/>
  <c r="BP380" i="1"/>
  <c r="BN380" i="1"/>
  <c r="Z380" i="1"/>
  <c r="Z383" i="1" s="1"/>
  <c r="BP388" i="1"/>
  <c r="BN388" i="1"/>
  <c r="Z388" i="1"/>
  <c r="Y390" i="1"/>
  <c r="Y397" i="1"/>
  <c r="BP392" i="1"/>
  <c r="BN392" i="1"/>
  <c r="Z392" i="1"/>
  <c r="Z396" i="1" s="1"/>
  <c r="Y396" i="1"/>
  <c r="Z402" i="1"/>
  <c r="BP400" i="1"/>
  <c r="BN400" i="1"/>
  <c r="Z400" i="1"/>
  <c r="Y409" i="1"/>
  <c r="Y408" i="1"/>
  <c r="U564" i="1"/>
  <c r="Y414" i="1"/>
  <c r="BP412" i="1"/>
  <c r="BN412" i="1"/>
  <c r="Z412" i="1"/>
  <c r="Z414" i="1" s="1"/>
  <c r="BP420" i="1"/>
  <c r="BN420" i="1"/>
  <c r="Z420" i="1"/>
  <c r="Y422" i="1"/>
  <c r="W564" i="1"/>
  <c r="Y435" i="1"/>
  <c r="BP426" i="1"/>
  <c r="BN426" i="1"/>
  <c r="Z426" i="1"/>
  <c r="Y434" i="1"/>
  <c r="BP430" i="1"/>
  <c r="BN430" i="1"/>
  <c r="Z430" i="1"/>
  <c r="Y440" i="1"/>
  <c r="Y446" i="1"/>
  <c r="Y452" i="1"/>
  <c r="Y457" i="1"/>
  <c r="Y467" i="1"/>
  <c r="Y479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Z564" i="1"/>
  <c r="S564" i="1"/>
  <c r="Y358" i="1"/>
  <c r="Y367" i="1"/>
  <c r="Z438" i="1"/>
  <c r="Z440" i="1" s="1"/>
  <c r="BN438" i="1"/>
  <c r="Z444" i="1"/>
  <c r="Z446" i="1" s="1"/>
  <c r="BN444" i="1"/>
  <c r="Z450" i="1"/>
  <c r="Z451" i="1" s="1"/>
  <c r="BN450" i="1"/>
  <c r="Z455" i="1"/>
  <c r="Z457" i="1" s="1"/>
  <c r="BN455" i="1"/>
  <c r="BP455" i="1"/>
  <c r="Y458" i="1"/>
  <c r="Z465" i="1"/>
  <c r="Z467" i="1" s="1"/>
  <c r="BN465" i="1"/>
  <c r="Y564" i="1"/>
  <c r="Z473" i="1"/>
  <c r="Z478" i="1" s="1"/>
  <c r="BN473" i="1"/>
  <c r="Z475" i="1"/>
  <c r="BN475" i="1"/>
  <c r="Z477" i="1"/>
  <c r="BN477" i="1"/>
  <c r="Y478" i="1"/>
  <c r="Z481" i="1"/>
  <c r="Z483" i="1" s="1"/>
  <c r="BN481" i="1"/>
  <c r="BP481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Z524" i="1" s="1"/>
  <c r="BP521" i="1"/>
  <c r="BN521" i="1"/>
  <c r="Z521" i="1"/>
  <c r="Y547" i="1"/>
  <c r="AB564" i="1"/>
  <c r="Y553" i="1"/>
  <c r="Z508" i="1" l="1"/>
  <c r="Z434" i="1"/>
  <c r="Z421" i="1"/>
  <c r="Z389" i="1"/>
  <c r="Z345" i="1"/>
  <c r="Z329" i="1"/>
  <c r="Z320" i="1"/>
  <c r="Z306" i="1"/>
  <c r="Z275" i="1"/>
  <c r="Z139" i="1"/>
  <c r="Z114" i="1"/>
  <c r="Z106" i="1"/>
  <c r="Z88" i="1"/>
  <c r="Y554" i="1"/>
  <c r="Y555" i="1"/>
  <c r="Y558" i="1"/>
  <c r="Z514" i="1"/>
  <c r="Z290" i="1"/>
  <c r="Z132" i="1"/>
  <c r="Z63" i="1"/>
  <c r="Y556" i="1"/>
  <c r="Z559" i="1"/>
  <c r="Y557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<sst xmlns="http://schemas.openxmlformats.org/spreadsheetml/2006/main" count="2515" uniqueCount="912">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</sst>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6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268</v>
      </c>
      <c r="Y47" s="634">
        <f>IFERROR(IF(X47="",0,CEILING((X47/$H47),1)*$H47),"")</f>
        <v>270</v>
      </c>
      <c r="Z47" s="36">
        <f>IFERROR(IF(Y47=0,"",ROUNDUP(Y47/H47,0)*0.01898),"")</f>
        <v>0.47450000000000003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278.1740740740741</v>
      </c>
      <c r="BN47" s="64">
        <f>IFERROR(Y47*I47/H47,"0")</f>
        <v>280.25</v>
      </c>
      <c r="BO47" s="64">
        <f>IFERROR(1/J47*(X47/H47),"0")</f>
        <v>0.38773148148148145</v>
      </c>
      <c r="BP47" s="64">
        <f>IFERROR(1/J47*(Y47/H47),"0")</f>
        <v>0.390625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24.814814814814813</v>
      </c>
      <c r="Y51" s="635">
        <f>IFERROR(Y47/H47,"0")+IFERROR(Y48/H48,"0")+IFERROR(Y49/H49,"0")+IFERROR(Y50/H50,"0")</f>
        <v>25</v>
      </c>
      <c r="Z51" s="635">
        <f>IFERROR(IF(Z47="",0,Z47),"0")+IFERROR(IF(Z48="",0,Z48),"0")+IFERROR(IF(Z49="",0,Z49),"0")+IFERROR(IF(Z50="",0,Z50),"0")</f>
        <v>0.47450000000000003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268</v>
      </c>
      <c r="Y52" s="635">
        <f>IFERROR(SUM(Y47:Y50),"0")</f>
        <v>270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101</v>
      </c>
      <c r="Y62" s="634">
        <f t="shared" si="0"/>
        <v>103.5</v>
      </c>
      <c r="Z62" s="36">
        <f>IFERROR(IF(Y62=0,"",ROUNDUP(Y62/H62,0)*0.00902),"")</f>
        <v>0.20746000000000001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105.26444444444445</v>
      </c>
      <c r="BN62" s="64">
        <f t="shared" si="2"/>
        <v>107.87</v>
      </c>
      <c r="BO62" s="64">
        <f t="shared" si="3"/>
        <v>0.17003367003367004</v>
      </c>
      <c r="BP62" s="64">
        <f t="shared" si="4"/>
        <v>0.17424242424242425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22.444444444444443</v>
      </c>
      <c r="Y63" s="635">
        <f>IFERROR(Y55/H55,"0")+IFERROR(Y56/H56,"0")+IFERROR(Y57/H57,"0")+IFERROR(Y58/H58,"0")+IFERROR(Y59/H59,"0")+IFERROR(Y60/H60,"0")+IFERROR(Y61/H61,"0")+IFERROR(Y62/H62,"0")</f>
        <v>23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0.20746000000000001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101</v>
      </c>
      <c r="Y64" s="635">
        <f>IFERROR(SUM(Y55:Y62),"0")</f>
        <v>103.5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515</v>
      </c>
      <c r="Y84" s="634">
        <f>IFERROR(IF(X84="",0,CEILING((X84/$H84),1)*$H84),"")</f>
        <v>518.40000000000009</v>
      </c>
      <c r="Z84" s="36">
        <f>IFERROR(IF(Y84=0,"",ROUNDUP(Y84/H84,0)*0.01898),"")</f>
        <v>0.91104000000000007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534.55092592592598</v>
      </c>
      <c r="BN84" s="64">
        <f>IFERROR(Y84*I84/H84,"0")</f>
        <v>538.08000000000004</v>
      </c>
      <c r="BO84" s="64">
        <f>IFERROR(1/J84*(X84/H84),"0")</f>
        <v>0.74508101851851849</v>
      </c>
      <c r="BP84" s="64">
        <f>IFERROR(1/J84*(Y84/H84),"0")</f>
        <v>0.75000000000000011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165</v>
      </c>
      <c r="Y87" s="634">
        <f>IFERROR(IF(X87="",0,CEILING((X87/$H87),1)*$H87),"")</f>
        <v>166.5</v>
      </c>
      <c r="Z87" s="36">
        <f>IFERROR(IF(Y87=0,"",ROUNDUP(Y87/H87,0)*0.00902),"")</f>
        <v>0.33374000000000004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171.96666666666667</v>
      </c>
      <c r="BN87" s="64">
        <f>IFERROR(Y87*I87/H87,"0")</f>
        <v>173.53000000000003</v>
      </c>
      <c r="BO87" s="64">
        <f>IFERROR(1/J87*(X87/H87),"0")</f>
        <v>0.27777777777777779</v>
      </c>
      <c r="BP87" s="64">
        <f>IFERROR(1/J87*(Y87/H87),"0")</f>
        <v>0.28030303030303033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84.351851851851848</v>
      </c>
      <c r="Y88" s="635">
        <f>IFERROR(Y84/H84,"0")+IFERROR(Y85/H85,"0")+IFERROR(Y86/H86,"0")+IFERROR(Y87/H87,"0")</f>
        <v>85</v>
      </c>
      <c r="Z88" s="635">
        <f>IFERROR(IF(Z84="",0,Z84),"0")+IFERROR(IF(Z85="",0,Z85),"0")+IFERROR(IF(Z86="",0,Z86),"0")+IFERROR(IF(Z87="",0,Z87),"0")</f>
        <v>1.24478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680</v>
      </c>
      <c r="Y89" s="635">
        <f>IFERROR(SUM(Y84:Y87),"0")</f>
        <v>684.90000000000009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249</v>
      </c>
      <c r="Y91" s="634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264.18592592592591</v>
      </c>
      <c r="BN91" s="64">
        <f>IFERROR(Y91*I91/H91,"0")</f>
        <v>266.41399999999999</v>
      </c>
      <c r="BO91" s="64">
        <f>IFERROR(1/J91*(X91/H91),"0")</f>
        <v>0.48032407407407407</v>
      </c>
      <c r="BP91" s="64">
        <f>IFERROR(1/J91*(Y91/H91),"0")</f>
        <v>0.484375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299</v>
      </c>
      <c r="Y93" s="634">
        <f>IFERROR(IF(X93="",0,CEILING((X93/$H93),1)*$H93),"")</f>
        <v>299.70000000000005</v>
      </c>
      <c r="Z93" s="36">
        <f>IFERROR(IF(Y93=0,"",ROUNDUP(Y93/H93,0)*0.00651),"")</f>
        <v>0.72260999999999997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326.90666666666664</v>
      </c>
      <c r="BN93" s="64">
        <f>IFERROR(Y93*I93/H93,"0")</f>
        <v>327.67200000000003</v>
      </c>
      <c r="BO93" s="64">
        <f>IFERROR(1/J93*(X93/H93),"0")</f>
        <v>0.60846560846560849</v>
      </c>
      <c r="BP93" s="64">
        <f>IFERROR(1/J93*(Y93/H93),"0")</f>
        <v>0.60989010989011005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141.48148148148147</v>
      </c>
      <c r="Y95" s="635">
        <f>IFERROR(Y91/H91,"0")+IFERROR(Y92/H92,"0")+IFERROR(Y93/H93,"0")+IFERROR(Y94/H94,"0")</f>
        <v>142</v>
      </c>
      <c r="Z95" s="635">
        <f>IFERROR(IF(Z91="",0,Z91),"0")+IFERROR(IF(Z92="",0,Z92),"0")+IFERROR(IF(Z93="",0,Z93),"0")+IFERROR(IF(Z94="",0,Z94),"0")</f>
        <v>1.3109899999999999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548</v>
      </c>
      <c r="Y96" s="635">
        <f>IFERROR(SUM(Y91:Y94),"0")</f>
        <v>550.80000000000007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1273</v>
      </c>
      <c r="Y117" s="634">
        <f>IFERROR(IF(X117="",0,CEILING((X117/$H117),1)*$H117),"")</f>
        <v>1279.8</v>
      </c>
      <c r="Z117" s="36">
        <f>IFERROR(IF(Y117=0,"",ROUNDUP(Y117/H117,0)*0.01898),"")</f>
        <v>2.99884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1349.6943209876542</v>
      </c>
      <c r="BN117" s="64">
        <f>IFERROR(Y117*I117/H117,"0")</f>
        <v>1356.904</v>
      </c>
      <c r="BO117" s="64">
        <f>IFERROR(1/J117*(X117/H117),"0")</f>
        <v>2.4556327160493829</v>
      </c>
      <c r="BP117" s="64">
        <f>IFERROR(1/J117*(Y117/H117),"0")</f>
        <v>2.46875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199</v>
      </c>
      <c r="Y119" s="634">
        <f>IFERROR(IF(X119="",0,CEILING((X119/$H119),1)*$H119),"")</f>
        <v>199.8</v>
      </c>
      <c r="Z119" s="36">
        <f>IFERROR(IF(Y119=0,"",ROUNDUP(Y119/H119,0)*0.00651),"")</f>
        <v>0.48174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217.57333333333332</v>
      </c>
      <c r="BN119" s="64">
        <f>IFERROR(Y119*I119/H119,"0")</f>
        <v>218.44800000000001</v>
      </c>
      <c r="BO119" s="64">
        <f>IFERROR(1/J119*(X119/H119),"0")</f>
        <v>0.40496540496540495</v>
      </c>
      <c r="BP119" s="64">
        <f>IFERROR(1/J119*(Y119/H119),"0")</f>
        <v>0.40659340659340665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230.8641975308642</v>
      </c>
      <c r="Y121" s="635">
        <f>IFERROR(Y117/H117,"0")+IFERROR(Y118/H118,"0")+IFERROR(Y119/H119,"0")+IFERROR(Y120/H120,"0")</f>
        <v>232</v>
      </c>
      <c r="Z121" s="635">
        <f>IFERROR(IF(Z117="",0,Z117),"0")+IFERROR(IF(Z118="",0,Z118),"0")+IFERROR(IF(Z119="",0,Z119),"0")+IFERROR(IF(Z120="",0,Z120),"0")</f>
        <v>3.4805799999999998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1472</v>
      </c>
      <c r="Y122" s="635">
        <f>IFERROR(SUM(Y117:Y120),"0")</f>
        <v>1479.6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67</v>
      </c>
      <c r="Y180" s="634">
        <f t="shared" si="16"/>
        <v>67.2</v>
      </c>
      <c r="Z180" s="36">
        <f>IFERROR(IF(Y180=0,"",ROUNDUP(Y180/H180,0)*0.00502),"")</f>
        <v>0.20080000000000001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70.988095238095241</v>
      </c>
      <c r="BN180" s="64">
        <f t="shared" si="18"/>
        <v>71.200000000000017</v>
      </c>
      <c r="BO180" s="64">
        <f t="shared" si="19"/>
        <v>0.17043142043142046</v>
      </c>
      <c r="BP180" s="64">
        <f t="shared" si="20"/>
        <v>0.17094017094017094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39.88095238095238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0.20080000000000001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67</v>
      </c>
      <c r="Y187" s="635">
        <f>IFERROR(SUM(Y175:Y185),"0")</f>
        <v>67.2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274</v>
      </c>
      <c r="Y281" s="634">
        <f t="shared" si="38"/>
        <v>276</v>
      </c>
      <c r="Z281" s="36">
        <f>IFERROR(IF(Y281=0,"",ROUNDUP(Y281/H281,0)*0.00651),"")</f>
        <v>0.74865000000000004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304.82499999999999</v>
      </c>
      <c r="BN281" s="64">
        <f t="shared" si="40"/>
        <v>307.05</v>
      </c>
      <c r="BO281" s="64">
        <f t="shared" si="41"/>
        <v>0.62728937728937739</v>
      </c>
      <c r="BP281" s="64">
        <f t="shared" si="42"/>
        <v>0.63186813186813195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878</v>
      </c>
      <c r="Y284" s="634">
        <f t="shared" si="38"/>
        <v>878.4</v>
      </c>
      <c r="Z284" s="36">
        <f>IFERROR(IF(Y284=0,"",ROUNDUP(Y284/H284,0)*0.00651),"")</f>
        <v>2.38266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970.19</v>
      </c>
      <c r="BN284" s="64">
        <f t="shared" si="40"/>
        <v>970.63199999999995</v>
      </c>
      <c r="BO284" s="64">
        <f t="shared" si="41"/>
        <v>2.0100732600732605</v>
      </c>
      <c r="BP284" s="64">
        <f t="shared" si="42"/>
        <v>2.0109890109890109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480.00000000000006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481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3.13131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1152</v>
      </c>
      <c r="Y291" s="635">
        <f>IFERROR(SUM(Y278:Y289),"0")</f>
        <v>1154.4000000000001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831</v>
      </c>
      <c r="Y387" s="634">
        <f>IFERROR(IF(X387="",0,CEILING((X387/$H387),1)*$H387),"")</f>
        <v>834.6</v>
      </c>
      <c r="Z387" s="36">
        <f>IFERROR(IF(Y387=0,"",ROUNDUP(Y387/H387,0)*0.01898),"")</f>
        <v>2.0308600000000001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883.63000000000011</v>
      </c>
      <c r="BN387" s="64">
        <f>IFERROR(Y387*I387/H387,"0")</f>
        <v>887.45800000000008</v>
      </c>
      <c r="BO387" s="64">
        <f>IFERROR(1/J387*(X387/H387),"0")</f>
        <v>1.6646634615384617</v>
      </c>
      <c r="BP387" s="64">
        <f>IFERROR(1/J387*(Y387/H387),"0")</f>
        <v>1.671875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106.53846153846155</v>
      </c>
      <c r="Y389" s="635">
        <f>IFERROR(Y386/H386,"0")+IFERROR(Y387/H387,"0")+IFERROR(Y388/H388,"0")</f>
        <v>107</v>
      </c>
      <c r="Z389" s="635">
        <f>IFERROR(IF(Z386="",0,Z386),"0")+IFERROR(IF(Z387="",0,Z387),"0")+IFERROR(IF(Z388="",0,Z388),"0")</f>
        <v>2.0308600000000001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831</v>
      </c>
      <c r="Y390" s="635">
        <f>IFERROR(SUM(Y386:Y388),"0")</f>
        <v>834.6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2012</v>
      </c>
      <c r="Y428" s="634">
        <f t="shared" si="53"/>
        <v>2025</v>
      </c>
      <c r="Z428" s="36">
        <f>IFERROR(IF(Y428=0,"",ROUNDUP(Y428/H428,0)*0.02175),"")</f>
        <v>2.9362499999999998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2075.0426666666667</v>
      </c>
      <c r="BN428" s="64">
        <f t="shared" si="55"/>
        <v>2088.4499999999998</v>
      </c>
      <c r="BO428" s="64">
        <f t="shared" si="56"/>
        <v>2.7944444444444443</v>
      </c>
      <c r="BP428" s="64">
        <f t="shared" si="57"/>
        <v>2.8125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494</v>
      </c>
      <c r="Y429" s="634">
        <f t="shared" si="53"/>
        <v>495</v>
      </c>
      <c r="Z429" s="36">
        <f>IFERROR(IF(Y429=0,"",ROUNDUP(Y429/H429,0)*0.02175),"")</f>
        <v>0.71775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509.4786666666667</v>
      </c>
      <c r="BN429" s="64">
        <f t="shared" si="55"/>
        <v>510.51000000000005</v>
      </c>
      <c r="BO429" s="64">
        <f t="shared" si="56"/>
        <v>0.68611111111111101</v>
      </c>
      <c r="BP429" s="64">
        <f t="shared" si="57"/>
        <v>0.6875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362</v>
      </c>
      <c r="Y430" s="634">
        <f t="shared" si="53"/>
        <v>375</v>
      </c>
      <c r="Z430" s="36">
        <f>IFERROR(IF(Y430=0,"",ROUNDUP(Y430/H430,0)*0.02175),"")</f>
        <v>0.54374999999999996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373.34266666666667</v>
      </c>
      <c r="BN430" s="64">
        <f t="shared" si="55"/>
        <v>386.75</v>
      </c>
      <c r="BO430" s="64">
        <f t="shared" si="56"/>
        <v>0.50277777777777777</v>
      </c>
      <c r="BP430" s="64">
        <f t="shared" si="57"/>
        <v>0.52083333333333326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191.2</v>
      </c>
      <c r="Y434" s="635">
        <f>IFERROR(Y426/H426,"0")+IFERROR(Y427/H427,"0")+IFERROR(Y428/H428,"0")+IFERROR(Y429/H429,"0")+IFERROR(Y430/H430,"0")+IFERROR(Y431/H431,"0")+IFERROR(Y432/H432,"0")+IFERROR(Y433/H433,"0")</f>
        <v>193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4.1977500000000001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2868</v>
      </c>
      <c r="Y435" s="635">
        <f>IFERROR(SUM(Y426:Y433),"0")</f>
        <v>2895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1104</v>
      </c>
      <c r="Y437" s="634">
        <f>IFERROR(IF(X437="",0,CEILING((X437/$H437),1)*$H437),"")</f>
        <v>1110</v>
      </c>
      <c r="Z437" s="36">
        <f>IFERROR(IF(Y437=0,"",ROUNDUP(Y437/H437,0)*0.02175),"")</f>
        <v>1.6094999999999999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1138.5920000000001</v>
      </c>
      <c r="BN437" s="64">
        <f>IFERROR(Y437*I437/H437,"0")</f>
        <v>1144.78</v>
      </c>
      <c r="BO437" s="64">
        <f>IFERROR(1/J437*(X437/H437),"0")</f>
        <v>1.5333333333333332</v>
      </c>
      <c r="BP437" s="64">
        <f>IFERROR(1/J437*(Y437/H437),"0")</f>
        <v>1.5416666666666665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73.599999999999994</v>
      </c>
      <c r="Y440" s="635">
        <f>IFERROR(Y437/H437,"0")+IFERROR(Y438/H438,"0")+IFERROR(Y439/H439,"0")</f>
        <v>74</v>
      </c>
      <c r="Z440" s="635">
        <f>IFERROR(IF(Z437="",0,Z437),"0")+IFERROR(IF(Z438="",0,Z438),"0")+IFERROR(IF(Z439="",0,Z439),"0")</f>
        <v>1.6094999999999999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1104</v>
      </c>
      <c r="Y441" s="635">
        <f>IFERROR(SUM(Y437:Y439),"0")</f>
        <v>1110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1208</v>
      </c>
      <c r="Y464" s="634">
        <f>IFERROR(IF(X464="",0,CEILING((X464/$H464),1)*$H464),"")</f>
        <v>1215</v>
      </c>
      <c r="Z464" s="36">
        <f>IFERROR(IF(Y464=0,"",ROUNDUP(Y464/H464,0)*0.01898),"")</f>
        <v>2.5623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1274.3057777777778</v>
      </c>
      <c r="BN464" s="64">
        <f>IFERROR(Y464*I464/H464,"0")</f>
        <v>1281.6899999999998</v>
      </c>
      <c r="BO464" s="64">
        <f>IFERROR(1/J464*(X464/H464),"0")</f>
        <v>2.0972222222222223</v>
      </c>
      <c r="BP464" s="64">
        <f>IFERROR(1/J464*(Y464/H464),"0")</f>
        <v>2.109375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134.22222222222223</v>
      </c>
      <c r="Y467" s="635">
        <f>IFERROR(Y464/H464,"0")+IFERROR(Y465/H465,"0")+IFERROR(Y466/H466,"0")</f>
        <v>135</v>
      </c>
      <c r="Z467" s="635">
        <f>IFERROR(IF(Z464="",0,Z464),"0")+IFERROR(IF(Z465="",0,Z465),"0")+IFERROR(IF(Z466="",0,Z466),"0")</f>
        <v>2.5623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1208</v>
      </c>
      <c r="Y468" s="635">
        <f>IFERROR(SUM(Y464:Y466),"0")</f>
        <v>1215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2864</v>
      </c>
      <c r="Y502" s="634">
        <f t="shared" si="63"/>
        <v>2867.04</v>
      </c>
      <c r="Z502" s="36">
        <f t="shared" si="64"/>
        <v>6.4942799999999998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3053.8484848484845</v>
      </c>
      <c r="BN502" s="64">
        <f t="shared" si="66"/>
        <v>3057.0899999999997</v>
      </c>
      <c r="BO502" s="64">
        <f t="shared" si="67"/>
        <v>5.2156177156177153</v>
      </c>
      <c r="BP502" s="64">
        <f t="shared" si="68"/>
        <v>5.2211538461538467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2268</v>
      </c>
      <c r="Y504" s="634">
        <f t="shared" si="63"/>
        <v>2270.4</v>
      </c>
      <c r="Z504" s="36">
        <f t="shared" si="64"/>
        <v>5.1428000000000003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2418.340909090909</v>
      </c>
      <c r="BN504" s="64">
        <f t="shared" si="66"/>
        <v>2420.9</v>
      </c>
      <c r="BO504" s="64">
        <f t="shared" si="67"/>
        <v>4.130244755244755</v>
      </c>
      <c r="BP504" s="64">
        <f t="shared" si="68"/>
        <v>4.134615384615385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236</v>
      </c>
      <c r="Y506" s="634">
        <f t="shared" si="63"/>
        <v>240</v>
      </c>
      <c r="Z506" s="36">
        <f>IFERROR(IF(Y506=0,"",ROUNDUP(Y506/H506,0)*0.00902),"")</f>
        <v>0.45100000000000001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339.74166666666667</v>
      </c>
      <c r="BN506" s="64">
        <f t="shared" si="66"/>
        <v>345.50000000000006</v>
      </c>
      <c r="BO506" s="64">
        <f t="shared" si="67"/>
        <v>0.37247474747474751</v>
      </c>
      <c r="BP506" s="64">
        <f t="shared" si="68"/>
        <v>0.37878787878787878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1021.1363636363635</v>
      </c>
      <c r="Y508" s="635">
        <f>IFERROR(Y499/H499,"0")+IFERROR(Y500/H500,"0")+IFERROR(Y501/H501,"0")+IFERROR(Y502/H502,"0")+IFERROR(Y503/H503,"0")+IFERROR(Y504/H504,"0")+IFERROR(Y505/H505,"0")+IFERROR(Y506/H506,"0")+IFERROR(Y507/H507,"0")</f>
        <v>1023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12.088080000000001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5368</v>
      </c>
      <c r="Y509" s="635">
        <f>IFERROR(SUM(Y499:Y507),"0")</f>
        <v>5377.4400000000005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332</v>
      </c>
      <c r="Y511" s="634">
        <f>IFERROR(IF(X511="",0,CEILING((X511/$H511),1)*$H511),"")</f>
        <v>332.64000000000004</v>
      </c>
      <c r="Z511" s="36">
        <f>IFERROR(IF(Y511=0,"",ROUNDUP(Y511/H511,0)*0.01196),"")</f>
        <v>0.75348000000000004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354.00757575757569</v>
      </c>
      <c r="BN511" s="64">
        <f>IFERROR(Y511*I511/H511,"0")</f>
        <v>354.69</v>
      </c>
      <c r="BO511" s="64">
        <f>IFERROR(1/J511*(X511/H511),"0")</f>
        <v>0.60460372960372966</v>
      </c>
      <c r="BP511" s="64">
        <f>IFERROR(1/J511*(Y511/H511),"0")</f>
        <v>0.60576923076923084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62.878787878787875</v>
      </c>
      <c r="Y514" s="635">
        <f>IFERROR(Y511/H511,"0")+IFERROR(Y512/H512,"0")+IFERROR(Y513/H513,"0")</f>
        <v>63.000000000000007</v>
      </c>
      <c r="Z514" s="635">
        <f>IFERROR(IF(Z511="",0,Z511),"0")+IFERROR(IF(Z512="",0,Z512),"0")+IFERROR(IF(Z513="",0,Z513),"0")</f>
        <v>0.75348000000000004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332</v>
      </c>
      <c r="Y515" s="635">
        <f>IFERROR(SUM(Y511:Y513),"0")</f>
        <v>332.64000000000004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401</v>
      </c>
      <c r="Y518" s="634">
        <f t="shared" si="69"/>
        <v>401.28000000000003</v>
      </c>
      <c r="Z518" s="36">
        <f>IFERROR(IF(Y518=0,"",ROUNDUP(Y518/H518,0)*0.01196),"")</f>
        <v>0.90895999999999999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427.58143939393938</v>
      </c>
      <c r="BN518" s="64">
        <f t="shared" si="71"/>
        <v>427.88</v>
      </c>
      <c r="BO518" s="64">
        <f t="shared" si="72"/>
        <v>0.73025932400932392</v>
      </c>
      <c r="BP518" s="64">
        <f t="shared" si="73"/>
        <v>0.73076923076923084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1347</v>
      </c>
      <c r="Y519" s="634">
        <f t="shared" si="69"/>
        <v>1351.68</v>
      </c>
      <c r="Z519" s="36">
        <f>IFERROR(IF(Y519=0,"",ROUNDUP(Y519/H519,0)*0.01196),"")</f>
        <v>3.06176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1436.2897727272725</v>
      </c>
      <c r="BN519" s="64">
        <f t="shared" si="71"/>
        <v>1441.28</v>
      </c>
      <c r="BO519" s="64">
        <f t="shared" si="72"/>
        <v>2.4530157342657342</v>
      </c>
      <c r="BP519" s="64">
        <f t="shared" si="73"/>
        <v>2.4615384615384617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331.06060606060601</v>
      </c>
      <c r="Y524" s="635">
        <f>IFERROR(Y517/H517,"0")+IFERROR(Y518/H518,"0")+IFERROR(Y519/H519,"0")+IFERROR(Y520/H520,"0")+IFERROR(Y521/H521,"0")+IFERROR(Y522/H522,"0")+IFERROR(Y523/H523,"0")</f>
        <v>332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3.97072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1748</v>
      </c>
      <c r="Y525" s="635">
        <f>IFERROR(SUM(Y517:Y523),"0")</f>
        <v>1752.96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17747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17828.04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18878.52107952541</v>
      </c>
      <c r="Y555" s="635">
        <f>IFERROR(SUM(BN22:BN551),"0")</f>
        <v>18965.028000000002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19678.52107952541</v>
      </c>
      <c r="Y557" s="635">
        <f>GrossWeightTotalR+PalletQtyTotalR*25</f>
        <v>19765.028000000002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2944.4741838408499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2955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37.263110000000005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270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103.5</v>
      </c>
      <c r="F564" s="46">
        <f>IFERROR(Y84*1,"0")+IFERROR(Y85*1,"0")+IFERROR(Y86*1,"0")+IFERROR(Y87*1,"0")+IFERROR(Y91*1,"0")+IFERROR(Y92*1,"0")+IFERROR(Y93*1,"0")+IFERROR(Y94*1,"0")</f>
        <v>1235.7000000000003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1479.6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67.2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1154.4000000000001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834.6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4005</v>
      </c>
      <c r="X564" s="46">
        <f>IFERROR(Y455*1,"0")+IFERROR(Y456*1,"0")+IFERROR(Y460*1,"0")+IFERROR(Y464*1,"0")+IFERROR(Y465*1,"0")+IFERROR(Y466*1,"0")</f>
        <v>1215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7463.0400000000009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