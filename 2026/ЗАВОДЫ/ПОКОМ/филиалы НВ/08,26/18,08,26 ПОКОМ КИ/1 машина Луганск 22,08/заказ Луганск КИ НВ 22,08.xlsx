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4863FA5-5D01-4398-967F-396E496E60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AC564" i="1" s="1"/>
  <c r="P551" i="1"/>
  <c r="X548" i="1"/>
  <c r="X547" i="1"/>
  <c r="BO546" i="1"/>
  <c r="BM546" i="1"/>
  <c r="Y546" i="1"/>
  <c r="BP546" i="1" s="1"/>
  <c r="P546" i="1"/>
  <c r="BO545" i="1"/>
  <c r="BM545" i="1"/>
  <c r="Y545" i="1"/>
  <c r="Y548" i="1" s="1"/>
  <c r="P545" i="1"/>
  <c r="X543" i="1"/>
  <c r="X542" i="1"/>
  <c r="BO541" i="1"/>
  <c r="BM541" i="1"/>
  <c r="Y541" i="1"/>
  <c r="Y542" i="1" s="1"/>
  <c r="P541" i="1"/>
  <c r="X539" i="1"/>
  <c r="X538" i="1"/>
  <c r="BO537" i="1"/>
  <c r="BM537" i="1"/>
  <c r="Y537" i="1"/>
  <c r="Y538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5" i="1"/>
  <c r="X524" i="1"/>
  <c r="BO523" i="1"/>
  <c r="BM523" i="1"/>
  <c r="Y523" i="1"/>
  <c r="BP523" i="1" s="1"/>
  <c r="P523" i="1"/>
  <c r="BP522" i="1"/>
  <c r="BO522" i="1"/>
  <c r="BN522" i="1"/>
  <c r="BM522" i="1"/>
  <c r="Z522" i="1"/>
  <c r="Y522" i="1"/>
  <c r="P522" i="1"/>
  <c r="BO521" i="1"/>
  <c r="BM521" i="1"/>
  <c r="Y521" i="1"/>
  <c r="BP521" i="1" s="1"/>
  <c r="P521" i="1"/>
  <c r="BP520" i="1"/>
  <c r="BO520" i="1"/>
  <c r="BN520" i="1"/>
  <c r="BM520" i="1"/>
  <c r="Z520" i="1"/>
  <c r="Y520" i="1"/>
  <c r="P520" i="1"/>
  <c r="BO519" i="1"/>
  <c r="BM519" i="1"/>
  <c r="Y519" i="1"/>
  <c r="BP519" i="1" s="1"/>
  <c r="P519" i="1"/>
  <c r="BP518" i="1"/>
  <c r="BO518" i="1"/>
  <c r="BN518" i="1"/>
  <c r="BM518" i="1"/>
  <c r="Z518" i="1"/>
  <c r="Y518" i="1"/>
  <c r="P518" i="1"/>
  <c r="BO517" i="1"/>
  <c r="BM517" i="1"/>
  <c r="Y517" i="1"/>
  <c r="Y524" i="1" s="1"/>
  <c r="P517" i="1"/>
  <c r="X515" i="1"/>
  <c r="X514" i="1"/>
  <c r="BO513" i="1"/>
  <c r="BM513" i="1"/>
  <c r="Y513" i="1"/>
  <c r="BP513" i="1" s="1"/>
  <c r="P513" i="1"/>
  <c r="BP512" i="1"/>
  <c r="BO512" i="1"/>
  <c r="BN512" i="1"/>
  <c r="BM512" i="1"/>
  <c r="Z512" i="1"/>
  <c r="Y512" i="1"/>
  <c r="P512" i="1"/>
  <c r="BO511" i="1"/>
  <c r="BM511" i="1"/>
  <c r="Y511" i="1"/>
  <c r="Y514" i="1" s="1"/>
  <c r="P511" i="1"/>
  <c r="X509" i="1"/>
  <c r="X508" i="1"/>
  <c r="BO507" i="1"/>
  <c r="BM507" i="1"/>
  <c r="Y507" i="1"/>
  <c r="BP507" i="1" s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X488" i="1"/>
  <c r="BO487" i="1"/>
  <c r="BM487" i="1"/>
  <c r="Y487" i="1"/>
  <c r="Z564" i="1" s="1"/>
  <c r="P487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Y483" i="1" s="1"/>
  <c r="P481" i="1"/>
  <c r="X479" i="1"/>
  <c r="X478" i="1"/>
  <c r="BP477" i="1"/>
  <c r="BO477" i="1"/>
  <c r="BN477" i="1"/>
  <c r="BM477" i="1"/>
  <c r="Z477" i="1"/>
  <c r="Y477" i="1"/>
  <c r="P477" i="1"/>
  <c r="BO476" i="1"/>
  <c r="BM476" i="1"/>
  <c r="Y476" i="1"/>
  <c r="BP476" i="1" s="1"/>
  <c r="P476" i="1"/>
  <c r="BP475" i="1"/>
  <c r="BO475" i="1"/>
  <c r="BN475" i="1"/>
  <c r="BM475" i="1"/>
  <c r="Z475" i="1"/>
  <c r="Y475" i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P473" i="1"/>
  <c r="BO472" i="1"/>
  <c r="BM472" i="1"/>
  <c r="Y472" i="1"/>
  <c r="Y564" i="1" s="1"/>
  <c r="P472" i="1"/>
  <c r="X468" i="1"/>
  <c r="X467" i="1"/>
  <c r="BO466" i="1"/>
  <c r="BM466" i="1"/>
  <c r="Y466" i="1"/>
  <c r="BP466" i="1" s="1"/>
  <c r="P466" i="1"/>
  <c r="BP465" i="1"/>
  <c r="BO465" i="1"/>
  <c r="BN465" i="1"/>
  <c r="BM465" i="1"/>
  <c r="Z465" i="1"/>
  <c r="Y465" i="1"/>
  <c r="P465" i="1"/>
  <c r="BO464" i="1"/>
  <c r="BM464" i="1"/>
  <c r="Y464" i="1"/>
  <c r="Y467" i="1" s="1"/>
  <c r="P464" i="1"/>
  <c r="X462" i="1"/>
  <c r="X461" i="1"/>
  <c r="BO460" i="1"/>
  <c r="BM460" i="1"/>
  <c r="Y460" i="1"/>
  <c r="Y461" i="1" s="1"/>
  <c r="P460" i="1"/>
  <c r="X458" i="1"/>
  <c r="X457" i="1"/>
  <c r="BO456" i="1"/>
  <c r="BM456" i="1"/>
  <c r="Y456" i="1"/>
  <c r="BP456" i="1" s="1"/>
  <c r="P456" i="1"/>
  <c r="BP455" i="1"/>
  <c r="BO455" i="1"/>
  <c r="BN455" i="1"/>
  <c r="BM455" i="1"/>
  <c r="Z455" i="1"/>
  <c r="Y455" i="1"/>
  <c r="P455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Y446" i="1" s="1"/>
  <c r="P443" i="1"/>
  <c r="X441" i="1"/>
  <c r="X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Y440" i="1" s="1"/>
  <c r="P437" i="1"/>
  <c r="X435" i="1"/>
  <c r="X434" i="1"/>
  <c r="BO433" i="1"/>
  <c r="BM433" i="1"/>
  <c r="Y433" i="1"/>
  <c r="BP433" i="1" s="1"/>
  <c r="P433" i="1"/>
  <c r="BP432" i="1"/>
  <c r="BO432" i="1"/>
  <c r="BN432" i="1"/>
  <c r="BM432" i="1"/>
  <c r="Z432" i="1"/>
  <c r="Y432" i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P429" i="1" s="1"/>
  <c r="P429" i="1"/>
  <c r="BP428" i="1"/>
  <c r="BO428" i="1"/>
  <c r="BN428" i="1"/>
  <c r="BM428" i="1"/>
  <c r="Z428" i="1"/>
  <c r="Y428" i="1"/>
  <c r="P428" i="1"/>
  <c r="BO427" i="1"/>
  <c r="BM427" i="1"/>
  <c r="Y427" i="1"/>
  <c r="BP427" i="1" s="1"/>
  <c r="P427" i="1"/>
  <c r="BP426" i="1"/>
  <c r="BO426" i="1"/>
  <c r="BN426" i="1"/>
  <c r="BM426" i="1"/>
  <c r="Z426" i="1"/>
  <c r="Y426" i="1"/>
  <c r="P426" i="1"/>
  <c r="X422" i="1"/>
  <c r="X421" i="1"/>
  <c r="BP420" i="1"/>
  <c r="BO420" i="1"/>
  <c r="BN420" i="1"/>
  <c r="BM420" i="1"/>
  <c r="Z420" i="1"/>
  <c r="Y420" i="1"/>
  <c r="P420" i="1"/>
  <c r="BO419" i="1"/>
  <c r="BM419" i="1"/>
  <c r="Y419" i="1"/>
  <c r="BP419" i="1" s="1"/>
  <c r="P419" i="1"/>
  <c r="BP418" i="1"/>
  <c r="BO418" i="1"/>
  <c r="BN418" i="1"/>
  <c r="BM418" i="1"/>
  <c r="Z418" i="1"/>
  <c r="Y418" i="1"/>
  <c r="P418" i="1"/>
  <c r="X415" i="1"/>
  <c r="Y414" i="1"/>
  <c r="X414" i="1"/>
  <c r="BP413" i="1"/>
  <c r="BO413" i="1"/>
  <c r="BN413" i="1"/>
  <c r="BM413" i="1"/>
  <c r="Z413" i="1"/>
  <c r="Y413" i="1"/>
  <c r="BP412" i="1"/>
  <c r="BO412" i="1"/>
  <c r="BN412" i="1"/>
  <c r="BM412" i="1"/>
  <c r="Z412" i="1"/>
  <c r="Z414" i="1" s="1"/>
  <c r="Y412" i="1"/>
  <c r="U564" i="1" s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Y408" i="1" s="1"/>
  <c r="P405" i="1"/>
  <c r="X403" i="1"/>
  <c r="X402" i="1"/>
  <c r="BO401" i="1"/>
  <c r="BM401" i="1"/>
  <c r="Y401" i="1"/>
  <c r="BP401" i="1" s="1"/>
  <c r="P401" i="1"/>
  <c r="BP400" i="1"/>
  <c r="BO400" i="1"/>
  <c r="BN400" i="1"/>
  <c r="BM400" i="1"/>
  <c r="Z400" i="1"/>
  <c r="Y400" i="1"/>
  <c r="P400" i="1"/>
  <c r="BO399" i="1"/>
  <c r="BM399" i="1"/>
  <c r="Y399" i="1"/>
  <c r="Y402" i="1" s="1"/>
  <c r="P399" i="1"/>
  <c r="X397" i="1"/>
  <c r="X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P392" i="1"/>
  <c r="BO392" i="1"/>
  <c r="BN392" i="1"/>
  <c r="BM392" i="1"/>
  <c r="Z392" i="1"/>
  <c r="Y392" i="1"/>
  <c r="Y396" i="1" s="1"/>
  <c r="P392" i="1"/>
  <c r="X390" i="1"/>
  <c r="X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Y390" i="1" s="1"/>
  <c r="P386" i="1"/>
  <c r="X384" i="1"/>
  <c r="X383" i="1"/>
  <c r="BP382" i="1"/>
  <c r="BO382" i="1"/>
  <c r="BN382" i="1"/>
  <c r="BM382" i="1"/>
  <c r="Z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Y384" i="1" s="1"/>
  <c r="P379" i="1"/>
  <c r="X377" i="1"/>
  <c r="X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P372" i="1"/>
  <c r="BO372" i="1"/>
  <c r="BN372" i="1"/>
  <c r="BM372" i="1"/>
  <c r="Z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Y376" i="1" s="1"/>
  <c r="P369" i="1"/>
  <c r="X367" i="1"/>
  <c r="X366" i="1"/>
  <c r="BO365" i="1"/>
  <c r="BM365" i="1"/>
  <c r="Y365" i="1"/>
  <c r="BP365" i="1" s="1"/>
  <c r="P365" i="1"/>
  <c r="BP364" i="1"/>
  <c r="BO364" i="1"/>
  <c r="BN364" i="1"/>
  <c r="BM364" i="1"/>
  <c r="Z364" i="1"/>
  <c r="Y364" i="1"/>
  <c r="P364" i="1"/>
  <c r="BO363" i="1"/>
  <c r="BM363" i="1"/>
  <c r="Y363" i="1"/>
  <c r="BP363" i="1" s="1"/>
  <c r="P363" i="1"/>
  <c r="BP362" i="1"/>
  <c r="BO362" i="1"/>
  <c r="BN362" i="1"/>
  <c r="BM362" i="1"/>
  <c r="Z362" i="1"/>
  <c r="Y362" i="1"/>
  <c r="P362" i="1"/>
  <c r="BO361" i="1"/>
  <c r="BM361" i="1"/>
  <c r="Y361" i="1"/>
  <c r="T564" i="1" s="1"/>
  <c r="P361" i="1"/>
  <c r="X358" i="1"/>
  <c r="X357" i="1"/>
  <c r="BO356" i="1"/>
  <c r="BM356" i="1"/>
  <c r="Y356" i="1"/>
  <c r="BP356" i="1" s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BP340" i="1"/>
  <c r="BO340" i="1"/>
  <c r="BN340" i="1"/>
  <c r="BM340" i="1"/>
  <c r="Z340" i="1"/>
  <c r="Y340" i="1"/>
  <c r="P340" i="1"/>
  <c r="X337" i="1"/>
  <c r="Y336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X330" i="1"/>
  <c r="X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P318" i="1"/>
  <c r="BO318" i="1"/>
  <c r="BN318" i="1"/>
  <c r="BM318" i="1"/>
  <c r="Z318" i="1"/>
  <c r="Y318" i="1"/>
  <c r="P318" i="1"/>
  <c r="BO317" i="1"/>
  <c r="BM317" i="1"/>
  <c r="Y317" i="1"/>
  <c r="Y320" i="1" s="1"/>
  <c r="P317" i="1"/>
  <c r="X315" i="1"/>
  <c r="X314" i="1"/>
  <c r="BO313" i="1"/>
  <c r="BM313" i="1"/>
  <c r="Y313" i="1"/>
  <c r="Y314" i="1" s="1"/>
  <c r="P313" i="1"/>
  <c r="X311" i="1"/>
  <c r="X310" i="1"/>
  <c r="BO309" i="1"/>
  <c r="BM309" i="1"/>
  <c r="Y309" i="1"/>
  <c r="Y310" i="1" s="1"/>
  <c r="P309" i="1"/>
  <c r="X307" i="1"/>
  <c r="X306" i="1"/>
  <c r="BO305" i="1"/>
  <c r="BM305" i="1"/>
  <c r="Y305" i="1"/>
  <c r="BP305" i="1" s="1"/>
  <c r="P305" i="1"/>
  <c r="BP304" i="1"/>
  <c r="BO304" i="1"/>
  <c r="BN304" i="1"/>
  <c r="BM304" i="1"/>
  <c r="Z304" i="1"/>
  <c r="Y304" i="1"/>
  <c r="P304" i="1"/>
  <c r="BO303" i="1"/>
  <c r="BM303" i="1"/>
  <c r="Y303" i="1"/>
  <c r="BP303" i="1" s="1"/>
  <c r="P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O564" i="1" s="1"/>
  <c r="P299" i="1"/>
  <c r="X296" i="1"/>
  <c r="X295" i="1"/>
  <c r="BO294" i="1"/>
  <c r="BM294" i="1"/>
  <c r="Y294" i="1"/>
  <c r="BP294" i="1" s="1"/>
  <c r="P294" i="1"/>
  <c r="BP293" i="1"/>
  <c r="BO293" i="1"/>
  <c r="BN293" i="1"/>
  <c r="BM293" i="1"/>
  <c r="Z293" i="1"/>
  <c r="Y293" i="1"/>
  <c r="Y295" i="1" s="1"/>
  <c r="P293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BP286" i="1" s="1"/>
  <c r="P286" i="1"/>
  <c r="BP285" i="1"/>
  <c r="BO285" i="1"/>
  <c r="BN285" i="1"/>
  <c r="BM285" i="1"/>
  <c r="Z285" i="1"/>
  <c r="Y285" i="1"/>
  <c r="P285" i="1"/>
  <c r="BO284" i="1"/>
  <c r="BM284" i="1"/>
  <c r="Y284" i="1"/>
  <c r="BP284" i="1" s="1"/>
  <c r="P284" i="1"/>
  <c r="BP283" i="1"/>
  <c r="BO283" i="1"/>
  <c r="BN283" i="1"/>
  <c r="BM283" i="1"/>
  <c r="Z283" i="1"/>
  <c r="Y283" i="1"/>
  <c r="P283" i="1"/>
  <c r="BO282" i="1"/>
  <c r="BM282" i="1"/>
  <c r="Y282" i="1"/>
  <c r="BP282" i="1" s="1"/>
  <c r="P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Y291" i="1" s="1"/>
  <c r="P278" i="1"/>
  <c r="X276" i="1"/>
  <c r="X275" i="1"/>
  <c r="BO274" i="1"/>
  <c r="BM274" i="1"/>
  <c r="Y274" i="1"/>
  <c r="BP274" i="1" s="1"/>
  <c r="P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P271" i="1"/>
  <c r="BO270" i="1"/>
  <c r="BM270" i="1"/>
  <c r="Y270" i="1"/>
  <c r="BP270" i="1" s="1"/>
  <c r="P270" i="1"/>
  <c r="BP269" i="1"/>
  <c r="BO269" i="1"/>
  <c r="BN269" i="1"/>
  <c r="BM269" i="1"/>
  <c r="Z269" i="1"/>
  <c r="Y269" i="1"/>
  <c r="P269" i="1"/>
  <c r="BO268" i="1"/>
  <c r="BM268" i="1"/>
  <c r="Y268" i="1"/>
  <c r="BP268" i="1" s="1"/>
  <c r="P268" i="1"/>
  <c r="BP267" i="1"/>
  <c r="BO267" i="1"/>
  <c r="BN267" i="1"/>
  <c r="BM267" i="1"/>
  <c r="Z267" i="1"/>
  <c r="Y267" i="1"/>
  <c r="Y275" i="1" s="1"/>
  <c r="P267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Y265" i="1" s="1"/>
  <c r="P262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Y250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Y244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BO223" i="1"/>
  <c r="BM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Y221" i="1"/>
  <c r="Y236" i="1" s="1"/>
  <c r="P221" i="1"/>
  <c r="X219" i="1"/>
  <c r="X218" i="1"/>
  <c r="BO217" i="1"/>
  <c r="BM217" i="1"/>
  <c r="Y217" i="1"/>
  <c r="L564" i="1" s="1"/>
  <c r="P217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K564" i="1" s="1"/>
  <c r="P206" i="1"/>
  <c r="X202" i="1"/>
  <c r="X201" i="1"/>
  <c r="BO200" i="1"/>
  <c r="BM200" i="1"/>
  <c r="Y200" i="1"/>
  <c r="Y201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BP190" i="1" s="1"/>
  <c r="P190" i="1"/>
  <c r="BP189" i="1"/>
  <c r="BO189" i="1"/>
  <c r="BN189" i="1"/>
  <c r="BM189" i="1"/>
  <c r="Z189" i="1"/>
  <c r="Y189" i="1"/>
  <c r="Y193" i="1" s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87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X168" i="1"/>
  <c r="X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N154" i="1"/>
  <c r="BM154" i="1"/>
  <c r="Z154" i="1"/>
  <c r="Y154" i="1"/>
  <c r="P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BO142" i="1"/>
  <c r="BM142" i="1"/>
  <c r="Y142" i="1"/>
  <c r="P142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P136" i="1"/>
  <c r="BP135" i="1"/>
  <c r="BO135" i="1"/>
  <c r="BN135" i="1"/>
  <c r="BM135" i="1"/>
  <c r="Z135" i="1"/>
  <c r="Y135" i="1"/>
  <c r="Y139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BP129" i="1"/>
  <c r="BO129" i="1"/>
  <c r="BN129" i="1"/>
  <c r="BM129" i="1"/>
  <c r="Z129" i="1"/>
  <c r="Y129" i="1"/>
  <c r="P129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X115" i="1"/>
  <c r="X114" i="1"/>
  <c r="BO113" i="1"/>
  <c r="BM113" i="1"/>
  <c r="Y113" i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Y75" i="1"/>
  <c r="X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P60" i="1"/>
  <c r="BO59" i="1"/>
  <c r="BM59" i="1"/>
  <c r="Y59" i="1"/>
  <c r="P59" i="1"/>
  <c r="BP58" i="1"/>
  <c r="BO58" i="1"/>
  <c r="BN58" i="1"/>
  <c r="BM58" i="1"/>
  <c r="Z58" i="1"/>
  <c r="Y58" i="1"/>
  <c r="P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P50" i="1"/>
  <c r="BP49" i="1"/>
  <c r="BO49" i="1"/>
  <c r="BN49" i="1"/>
  <c r="BM49" i="1"/>
  <c r="Z49" i="1"/>
  <c r="Y49" i="1"/>
  <c r="P49" i="1"/>
  <c r="BO48" i="1"/>
  <c r="BM48" i="1"/>
  <c r="Y48" i="1"/>
  <c r="P48" i="1"/>
  <c r="BP47" i="1"/>
  <c r="BO47" i="1"/>
  <c r="BN47" i="1"/>
  <c r="BM47" i="1"/>
  <c r="Z47" i="1"/>
  <c r="Y47" i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P40" i="1"/>
  <c r="BP39" i="1"/>
  <c r="BO39" i="1"/>
  <c r="BN39" i="1"/>
  <c r="BM39" i="1"/>
  <c r="Z39" i="1"/>
  <c r="Y39" i="1"/>
  <c r="P39" i="1"/>
  <c r="BO38" i="1"/>
  <c r="BM38" i="1"/>
  <c r="Y38" i="1"/>
  <c r="P38" i="1"/>
  <c r="BP37" i="1"/>
  <c r="BO37" i="1"/>
  <c r="BN37" i="1"/>
  <c r="BM37" i="1"/>
  <c r="Z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Y33" i="1" s="1"/>
  <c r="P27" i="1"/>
  <c r="X25" i="1"/>
  <c r="X554" i="1" s="1"/>
  <c r="X24" i="1"/>
  <c r="BP23" i="1"/>
  <c r="BO23" i="1"/>
  <c r="BN23" i="1"/>
  <c r="BM23" i="1"/>
  <c r="Z23" i="1"/>
  <c r="Y23" i="1"/>
  <c r="P23" i="1"/>
  <c r="BO22" i="1"/>
  <c r="X556" i="1" s="1"/>
  <c r="BM22" i="1"/>
  <c r="Y22" i="1"/>
  <c r="P22" i="1"/>
  <c r="H10" i="1"/>
  <c r="H9" i="1"/>
  <c r="A9" i="1"/>
  <c r="D7" i="1"/>
  <c r="Q6" i="1"/>
  <c r="P2" i="1"/>
  <c r="Z80" i="1" l="1"/>
  <c r="B564" i="1"/>
  <c r="Y25" i="1"/>
  <c r="BP22" i="1"/>
  <c r="BN22" i="1"/>
  <c r="Z22" i="1"/>
  <c r="Z24" i="1" s="1"/>
  <c r="BP30" i="1"/>
  <c r="BN30" i="1"/>
  <c r="Z30" i="1"/>
  <c r="BP40" i="1"/>
  <c r="BN40" i="1"/>
  <c r="Z40" i="1"/>
  <c r="BP50" i="1"/>
  <c r="BN50" i="1"/>
  <c r="Z50" i="1"/>
  <c r="Y52" i="1"/>
  <c r="E564" i="1"/>
  <c r="Y64" i="1"/>
  <c r="BP55" i="1"/>
  <c r="BN55" i="1"/>
  <c r="Z55" i="1"/>
  <c r="BP59" i="1"/>
  <c r="BN59" i="1"/>
  <c r="Z59" i="1"/>
  <c r="Y63" i="1"/>
  <c r="BP67" i="1"/>
  <c r="BN67" i="1"/>
  <c r="Z67" i="1"/>
  <c r="Z70" i="1" s="1"/>
  <c r="BP79" i="1"/>
  <c r="BN79" i="1"/>
  <c r="Z79" i="1"/>
  <c r="Y81" i="1"/>
  <c r="F564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5" i="1"/>
  <c r="BN105" i="1"/>
  <c r="Z105" i="1"/>
  <c r="Y107" i="1"/>
  <c r="Y114" i="1"/>
  <c r="BP109" i="1"/>
  <c r="BN109" i="1"/>
  <c r="Z109" i="1"/>
  <c r="BP113" i="1"/>
  <c r="BN113" i="1"/>
  <c r="Z113" i="1"/>
  <c r="Y115" i="1"/>
  <c r="Y122" i="1"/>
  <c r="BP117" i="1"/>
  <c r="BN117" i="1"/>
  <c r="Z117" i="1"/>
  <c r="Z121" i="1" s="1"/>
  <c r="Y121" i="1"/>
  <c r="Z132" i="1"/>
  <c r="BP130" i="1"/>
  <c r="BN130" i="1"/>
  <c r="Z130" i="1"/>
  <c r="BP138" i="1"/>
  <c r="BN138" i="1"/>
  <c r="Z138" i="1"/>
  <c r="Y140" i="1"/>
  <c r="Y145" i="1"/>
  <c r="BP142" i="1"/>
  <c r="BN142" i="1"/>
  <c r="Z142" i="1"/>
  <c r="BP151" i="1"/>
  <c r="BN151" i="1"/>
  <c r="Z151" i="1"/>
  <c r="BP155" i="1"/>
  <c r="BN155" i="1"/>
  <c r="Z155" i="1"/>
  <c r="Y157" i="1"/>
  <c r="Y160" i="1"/>
  <c r="BP159" i="1"/>
  <c r="BN159" i="1"/>
  <c r="Z159" i="1"/>
  <c r="Z160" i="1" s="1"/>
  <c r="Y161" i="1"/>
  <c r="J564" i="1"/>
  <c r="Y167" i="1"/>
  <c r="BP164" i="1"/>
  <c r="BN164" i="1"/>
  <c r="Z164" i="1"/>
  <c r="F10" i="1"/>
  <c r="J9" i="1"/>
  <c r="F9" i="1"/>
  <c r="A10" i="1"/>
  <c r="X555" i="1"/>
  <c r="X557" i="1" s="1"/>
  <c r="Y24" i="1"/>
  <c r="BP28" i="1"/>
  <c r="BN28" i="1"/>
  <c r="Z28" i="1"/>
  <c r="Z32" i="1" s="1"/>
  <c r="Y32" i="1"/>
  <c r="Z42" i="1"/>
  <c r="BP38" i="1"/>
  <c r="BN38" i="1"/>
  <c r="Z38" i="1"/>
  <c r="Y42" i="1"/>
  <c r="BP48" i="1"/>
  <c r="BN48" i="1"/>
  <c r="Z48" i="1"/>
  <c r="Z51" i="1" s="1"/>
  <c r="BP57" i="1"/>
  <c r="BN57" i="1"/>
  <c r="Z57" i="1"/>
  <c r="BP61" i="1"/>
  <c r="BN61" i="1"/>
  <c r="Z61" i="1"/>
  <c r="Y70" i="1"/>
  <c r="BP69" i="1"/>
  <c r="BN69" i="1"/>
  <c r="Z69" i="1"/>
  <c r="Y71" i="1"/>
  <c r="Y76" i="1"/>
  <c r="BP73" i="1"/>
  <c r="BN73" i="1"/>
  <c r="Z73" i="1"/>
  <c r="Z75" i="1" s="1"/>
  <c r="Y80" i="1"/>
  <c r="BP86" i="1"/>
  <c r="BN86" i="1"/>
  <c r="Z86" i="1"/>
  <c r="Y95" i="1"/>
  <c r="BP94" i="1"/>
  <c r="BN94" i="1"/>
  <c r="Z94" i="1"/>
  <c r="Y96" i="1"/>
  <c r="G564" i="1"/>
  <c r="Y106" i="1"/>
  <c r="BP99" i="1"/>
  <c r="BN99" i="1"/>
  <c r="Z99" i="1"/>
  <c r="Z106" i="1" s="1"/>
  <c r="BP103" i="1"/>
  <c r="BN103" i="1"/>
  <c r="Z103" i="1"/>
  <c r="BP111" i="1"/>
  <c r="BN111" i="1"/>
  <c r="Z111" i="1"/>
  <c r="BP119" i="1"/>
  <c r="BN119" i="1"/>
  <c r="Z119" i="1"/>
  <c r="Y132" i="1"/>
  <c r="BP136" i="1"/>
  <c r="BN136" i="1"/>
  <c r="Z136" i="1"/>
  <c r="BP144" i="1"/>
  <c r="BN144" i="1"/>
  <c r="Z144" i="1"/>
  <c r="Y146" i="1"/>
  <c r="I564" i="1"/>
  <c r="Y156" i="1"/>
  <c r="BP149" i="1"/>
  <c r="BN149" i="1"/>
  <c r="Z149" i="1"/>
  <c r="Z156" i="1" s="1"/>
  <c r="BP153" i="1"/>
  <c r="BN153" i="1"/>
  <c r="Z153" i="1"/>
  <c r="BP166" i="1"/>
  <c r="BN166" i="1"/>
  <c r="Z166" i="1"/>
  <c r="Y168" i="1"/>
  <c r="Y173" i="1"/>
  <c r="BP170" i="1"/>
  <c r="BN170" i="1"/>
  <c r="Z170" i="1"/>
  <c r="Z172" i="1" s="1"/>
  <c r="Y172" i="1"/>
  <c r="Z275" i="1"/>
  <c r="Y214" i="1"/>
  <c r="Y219" i="1"/>
  <c r="Y235" i="1"/>
  <c r="Y260" i="1"/>
  <c r="Y264" i="1"/>
  <c r="Y276" i="1"/>
  <c r="Y290" i="1"/>
  <c r="Y296" i="1"/>
  <c r="Y307" i="1"/>
  <c r="Y311" i="1"/>
  <c r="Y315" i="1"/>
  <c r="Y321" i="1"/>
  <c r="P564" i="1"/>
  <c r="Y330" i="1"/>
  <c r="BP327" i="1"/>
  <c r="BN327" i="1"/>
  <c r="Z327" i="1"/>
  <c r="BP341" i="1"/>
  <c r="BN341" i="1"/>
  <c r="Z341" i="1"/>
  <c r="Z345" i="1" s="1"/>
  <c r="Y345" i="1"/>
  <c r="BP349" i="1"/>
  <c r="BN349" i="1"/>
  <c r="Z349" i="1"/>
  <c r="Z350" i="1" s="1"/>
  <c r="Y351" i="1"/>
  <c r="S564" i="1"/>
  <c r="Y357" i="1"/>
  <c r="BP354" i="1"/>
  <c r="BN354" i="1"/>
  <c r="Z354" i="1"/>
  <c r="Z357" i="1" s="1"/>
  <c r="Y358" i="1"/>
  <c r="Z421" i="1"/>
  <c r="Z483" i="1"/>
  <c r="Y186" i="1"/>
  <c r="Y192" i="1"/>
  <c r="Y198" i="1"/>
  <c r="Y202" i="1"/>
  <c r="Y243" i="1"/>
  <c r="Y249" i="1"/>
  <c r="X558" i="1"/>
  <c r="C564" i="1"/>
  <c r="Y43" i="1"/>
  <c r="D564" i="1"/>
  <c r="Y51" i="1"/>
  <c r="H564" i="1"/>
  <c r="Y133" i="1"/>
  <c r="Z176" i="1"/>
  <c r="Z186" i="1" s="1"/>
  <c r="BN176" i="1"/>
  <c r="Z178" i="1"/>
  <c r="BN178" i="1"/>
  <c r="Z180" i="1"/>
  <c r="BN180" i="1"/>
  <c r="Z182" i="1"/>
  <c r="BN182" i="1"/>
  <c r="Z184" i="1"/>
  <c r="BN184" i="1"/>
  <c r="Z190" i="1"/>
  <c r="Z192" i="1" s="1"/>
  <c r="BN190" i="1"/>
  <c r="Z196" i="1"/>
  <c r="Z197" i="1" s="1"/>
  <c r="BN196" i="1"/>
  <c r="Z200" i="1"/>
  <c r="Z201" i="1" s="1"/>
  <c r="BN200" i="1"/>
  <c r="BP200" i="1"/>
  <c r="Z206" i="1"/>
  <c r="BN206" i="1"/>
  <c r="BP206" i="1"/>
  <c r="Z208" i="1"/>
  <c r="BN208" i="1"/>
  <c r="Z210" i="1"/>
  <c r="BN210" i="1"/>
  <c r="Z212" i="1"/>
  <c r="BN212" i="1"/>
  <c r="Y213" i="1"/>
  <c r="Z217" i="1"/>
  <c r="Z218" i="1" s="1"/>
  <c r="BN217" i="1"/>
  <c r="BP217" i="1"/>
  <c r="Y218" i="1"/>
  <c r="Z221" i="1"/>
  <c r="BN221" i="1"/>
  <c r="BP221" i="1"/>
  <c r="Z223" i="1"/>
  <c r="BN223" i="1"/>
  <c r="Z225" i="1"/>
  <c r="BN225" i="1"/>
  <c r="Z227" i="1"/>
  <c r="BN227" i="1"/>
  <c r="Z229" i="1"/>
  <c r="BN229" i="1"/>
  <c r="Z231" i="1"/>
  <c r="BN231" i="1"/>
  <c r="Z233" i="1"/>
  <c r="BN233" i="1"/>
  <c r="Z239" i="1"/>
  <c r="Z243" i="1" s="1"/>
  <c r="BN239" i="1"/>
  <c r="Z241" i="1"/>
  <c r="BN241" i="1"/>
  <c r="Z247" i="1"/>
  <c r="Z249" i="1" s="1"/>
  <c r="BN247" i="1"/>
  <c r="M564" i="1"/>
  <c r="Z258" i="1"/>
  <c r="Z259" i="1" s="1"/>
  <c r="BN258" i="1"/>
  <c r="Y259" i="1"/>
  <c r="Z262" i="1"/>
  <c r="Z264" i="1" s="1"/>
  <c r="BN262" i="1"/>
  <c r="BP262" i="1"/>
  <c r="Z268" i="1"/>
  <c r="BN268" i="1"/>
  <c r="Z270" i="1"/>
  <c r="BN270" i="1"/>
  <c r="Z272" i="1"/>
  <c r="BN272" i="1"/>
  <c r="Z274" i="1"/>
  <c r="BN274" i="1"/>
  <c r="Z278" i="1"/>
  <c r="BN278" i="1"/>
  <c r="BP278" i="1"/>
  <c r="Z280" i="1"/>
  <c r="BN280" i="1"/>
  <c r="Z282" i="1"/>
  <c r="BN282" i="1"/>
  <c r="Z284" i="1"/>
  <c r="BN284" i="1"/>
  <c r="Z286" i="1"/>
  <c r="BN286" i="1"/>
  <c r="Z288" i="1"/>
  <c r="BN288" i="1"/>
  <c r="Z294" i="1"/>
  <c r="Z295" i="1" s="1"/>
  <c r="BN294" i="1"/>
  <c r="Z299" i="1"/>
  <c r="Z306" i="1" s="1"/>
  <c r="BN299" i="1"/>
  <c r="BP299" i="1"/>
  <c r="Z301" i="1"/>
  <c r="BN301" i="1"/>
  <c r="Z303" i="1"/>
  <c r="BN303" i="1"/>
  <c r="Z305" i="1"/>
  <c r="BN305" i="1"/>
  <c r="Y306" i="1"/>
  <c r="Z309" i="1"/>
  <c r="Z310" i="1" s="1"/>
  <c r="BN309" i="1"/>
  <c r="BP309" i="1"/>
  <c r="Z313" i="1"/>
  <c r="Z314" i="1" s="1"/>
  <c r="BN313" i="1"/>
  <c r="BP313" i="1"/>
  <c r="Z317" i="1"/>
  <c r="Z320" i="1" s="1"/>
  <c r="BN317" i="1"/>
  <c r="BP317" i="1"/>
  <c r="Z319" i="1"/>
  <c r="BN319" i="1"/>
  <c r="Z324" i="1"/>
  <c r="BN324" i="1"/>
  <c r="BP324" i="1"/>
  <c r="BP325" i="1"/>
  <c r="BN325" i="1"/>
  <c r="Z325" i="1"/>
  <c r="Y329" i="1"/>
  <c r="Z336" i="1"/>
  <c r="BP334" i="1"/>
  <c r="BN334" i="1"/>
  <c r="Z334" i="1"/>
  <c r="BP343" i="1"/>
  <c r="BN343" i="1"/>
  <c r="Z343" i="1"/>
  <c r="Y350" i="1"/>
  <c r="Z389" i="1"/>
  <c r="Y367" i="1"/>
  <c r="Y377" i="1"/>
  <c r="Y383" i="1"/>
  <c r="Y389" i="1"/>
  <c r="Y397" i="1"/>
  <c r="Y403" i="1"/>
  <c r="Y409" i="1"/>
  <c r="Y421" i="1"/>
  <c r="Y435" i="1"/>
  <c r="Y441" i="1"/>
  <c r="Y447" i="1"/>
  <c r="Y451" i="1"/>
  <c r="Y458" i="1"/>
  <c r="Y462" i="1"/>
  <c r="Y468" i="1"/>
  <c r="Y478" i="1"/>
  <c r="Y484" i="1"/>
  <c r="Y489" i="1"/>
  <c r="Y494" i="1"/>
  <c r="BP491" i="1"/>
  <c r="BN491" i="1"/>
  <c r="Z491" i="1"/>
  <c r="Z494" i="1" s="1"/>
  <c r="BP501" i="1"/>
  <c r="BN501" i="1"/>
  <c r="Z501" i="1"/>
  <c r="BP505" i="1"/>
  <c r="BN505" i="1"/>
  <c r="Z505" i="1"/>
  <c r="Q564" i="1"/>
  <c r="Y337" i="1"/>
  <c r="R564" i="1"/>
  <c r="Y346" i="1"/>
  <c r="Z356" i="1"/>
  <c r="BN356" i="1"/>
  <c r="Z361" i="1"/>
  <c r="BN361" i="1"/>
  <c r="BP361" i="1"/>
  <c r="Z363" i="1"/>
  <c r="BN363" i="1"/>
  <c r="Z365" i="1"/>
  <c r="BN365" i="1"/>
  <c r="Y366" i="1"/>
  <c r="Z369" i="1"/>
  <c r="BN369" i="1"/>
  <c r="BP369" i="1"/>
  <c r="Z371" i="1"/>
  <c r="BN371" i="1"/>
  <c r="Z373" i="1"/>
  <c r="BN373" i="1"/>
  <c r="Z375" i="1"/>
  <c r="BN375" i="1"/>
  <c r="Z379" i="1"/>
  <c r="Z383" i="1" s="1"/>
  <c r="BN379" i="1"/>
  <c r="BP379" i="1"/>
  <c r="Z381" i="1"/>
  <c r="BN381" i="1"/>
  <c r="Z387" i="1"/>
  <c r="BN387" i="1"/>
  <c r="Z393" i="1"/>
  <c r="Z396" i="1" s="1"/>
  <c r="BN393" i="1"/>
  <c r="Z395" i="1"/>
  <c r="BN395" i="1"/>
  <c r="Z399" i="1"/>
  <c r="BN399" i="1"/>
  <c r="BP399" i="1"/>
  <c r="Z401" i="1"/>
  <c r="BN401" i="1"/>
  <c r="Z405" i="1"/>
  <c r="Z408" i="1" s="1"/>
  <c r="BN405" i="1"/>
  <c r="BP405" i="1"/>
  <c r="Z407" i="1"/>
  <c r="BN407" i="1"/>
  <c r="Y415" i="1"/>
  <c r="V564" i="1"/>
  <c r="Z419" i="1"/>
  <c r="BN419" i="1"/>
  <c r="Y422" i="1"/>
  <c r="W564" i="1"/>
  <c r="Z427" i="1"/>
  <c r="Z434" i="1" s="1"/>
  <c r="BN427" i="1"/>
  <c r="Z429" i="1"/>
  <c r="BN429" i="1"/>
  <c r="Z431" i="1"/>
  <c r="BN431" i="1"/>
  <c r="Z433" i="1"/>
  <c r="BN433" i="1"/>
  <c r="Y434" i="1"/>
  <c r="Z437" i="1"/>
  <c r="Z440" i="1" s="1"/>
  <c r="BN437" i="1"/>
  <c r="BP437" i="1"/>
  <c r="Z439" i="1"/>
  <c r="BN439" i="1"/>
  <c r="Z443" i="1"/>
  <c r="BN443" i="1"/>
  <c r="BP443" i="1"/>
  <c r="Z445" i="1"/>
  <c r="BN445" i="1"/>
  <c r="Z449" i="1"/>
  <c r="Z451" i="1" s="1"/>
  <c r="BN449" i="1"/>
  <c r="BP449" i="1"/>
  <c r="X564" i="1"/>
  <c r="Z456" i="1"/>
  <c r="Z457" i="1" s="1"/>
  <c r="BN456" i="1"/>
  <c r="Y457" i="1"/>
  <c r="Z460" i="1"/>
  <c r="Z461" i="1" s="1"/>
  <c r="BN460" i="1"/>
  <c r="BP460" i="1"/>
  <c r="Z464" i="1"/>
  <c r="Z467" i="1" s="1"/>
  <c r="BN464" i="1"/>
  <c r="BP464" i="1"/>
  <c r="Z466" i="1"/>
  <c r="BN466" i="1"/>
  <c r="Z472" i="1"/>
  <c r="BN472" i="1"/>
  <c r="BP472" i="1"/>
  <c r="Z474" i="1"/>
  <c r="BN474" i="1"/>
  <c r="Z476" i="1"/>
  <c r="BN476" i="1"/>
  <c r="Y479" i="1"/>
  <c r="Z482" i="1"/>
  <c r="BN482" i="1"/>
  <c r="Z487" i="1"/>
  <c r="Z488" i="1" s="1"/>
  <c r="BN487" i="1"/>
  <c r="BP487" i="1"/>
  <c r="Y488" i="1"/>
  <c r="BP493" i="1"/>
  <c r="BN493" i="1"/>
  <c r="Z493" i="1"/>
  <c r="Y495" i="1"/>
  <c r="AA564" i="1"/>
  <c r="Y508" i="1"/>
  <c r="BP499" i="1"/>
  <c r="BN499" i="1"/>
  <c r="Z499" i="1"/>
  <c r="Y509" i="1"/>
  <c r="BP503" i="1"/>
  <c r="BN503" i="1"/>
  <c r="Z503" i="1"/>
  <c r="Y515" i="1"/>
  <c r="Y525" i="1"/>
  <c r="Y531" i="1"/>
  <c r="Y535" i="1"/>
  <c r="Y539" i="1"/>
  <c r="Y543" i="1"/>
  <c r="Z546" i="1"/>
  <c r="BN546" i="1"/>
  <c r="Y547" i="1"/>
  <c r="Z551" i="1"/>
  <c r="Z552" i="1" s="1"/>
  <c r="BN551" i="1"/>
  <c r="BP551" i="1"/>
  <c r="Y552" i="1"/>
  <c r="AB564" i="1"/>
  <c r="Z507" i="1"/>
  <c r="BN507" i="1"/>
  <c r="Z511" i="1"/>
  <c r="Z514" i="1" s="1"/>
  <c r="BN511" i="1"/>
  <c r="BP511" i="1"/>
  <c r="Z513" i="1"/>
  <c r="BN513" i="1"/>
  <c r="Z517" i="1"/>
  <c r="BN517" i="1"/>
  <c r="BP517" i="1"/>
  <c r="Z519" i="1"/>
  <c r="BN519" i="1"/>
  <c r="Z521" i="1"/>
  <c r="BN521" i="1"/>
  <c r="Z523" i="1"/>
  <c r="BN523" i="1"/>
  <c r="Z529" i="1"/>
  <c r="Z530" i="1" s="1"/>
  <c r="BN529" i="1"/>
  <c r="BP529" i="1"/>
  <c r="Z533" i="1"/>
  <c r="Z534" i="1" s="1"/>
  <c r="BN533" i="1"/>
  <c r="BP533" i="1"/>
  <c r="Z537" i="1"/>
  <c r="Z538" i="1" s="1"/>
  <c r="BN537" i="1"/>
  <c r="BP537" i="1"/>
  <c r="Z541" i="1"/>
  <c r="Z542" i="1" s="1"/>
  <c r="BN541" i="1"/>
  <c r="BP541" i="1"/>
  <c r="Z545" i="1"/>
  <c r="Z547" i="1" s="1"/>
  <c r="BN545" i="1"/>
  <c r="BP545" i="1"/>
  <c r="Y553" i="1"/>
  <c r="Y558" i="1" l="1"/>
  <c r="Z167" i="1"/>
  <c r="Z114" i="1"/>
  <c r="Y556" i="1"/>
  <c r="Z524" i="1"/>
  <c r="Z508" i="1"/>
  <c r="Z478" i="1"/>
  <c r="Z446" i="1"/>
  <c r="Z402" i="1"/>
  <c r="Z376" i="1"/>
  <c r="Z366" i="1"/>
  <c r="Z329" i="1"/>
  <c r="Z290" i="1"/>
  <c r="Z235" i="1"/>
  <c r="Z213" i="1"/>
  <c r="Z139" i="1"/>
  <c r="Z145" i="1"/>
  <c r="Z88" i="1"/>
  <c r="Z63" i="1"/>
  <c r="Z559" i="1" s="1"/>
  <c r="Y555" i="1"/>
  <c r="Y557" i="1" s="1"/>
  <c r="Y554" i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<sst xmlns="http://schemas.openxmlformats.org/spreadsheetml/2006/main" count="2515" uniqueCount="912">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</sst>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0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4"/>
  <sheetViews>
    <sheetView showGridLines="0" tabSelected="1" topLeftCell="A536" zoomScaleNormal="100" zoomScaleSheetLayoutView="100" workbookViewId="0">
      <selection activeCell="AA560" sqref="AA56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714" t="s">
        <v>0</v>
      </c>
      <c r="E1" s="669"/>
      <c r="F1" s="669"/>
      <c r="G1" s="12" t="s">
        <v>1</v>
      </c>
      <c r="H1" s="714" t="s">
        <v>2</v>
      </c>
      <c r="I1" s="669"/>
      <c r="J1" s="669"/>
      <c r="K1" s="669"/>
      <c r="L1" s="669"/>
      <c r="M1" s="669"/>
      <c r="N1" s="669"/>
      <c r="O1" s="669"/>
      <c r="P1" s="669"/>
      <c r="Q1" s="669"/>
      <c r="R1" s="668" t="s">
        <v>3</v>
      </c>
      <c r="S1" s="669"/>
      <c r="T1" s="66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6"/>
      <c r="Q3" s="646"/>
      <c r="R3" s="646"/>
      <c r="S3" s="646"/>
      <c r="T3" s="646"/>
      <c r="U3" s="646"/>
      <c r="V3" s="646"/>
      <c r="W3" s="646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77" t="s">
        <v>8</v>
      </c>
      <c r="B5" s="658"/>
      <c r="C5" s="659"/>
      <c r="D5" s="725"/>
      <c r="E5" s="726"/>
      <c r="F5" s="965" t="s">
        <v>9</v>
      </c>
      <c r="G5" s="659"/>
      <c r="H5" s="725"/>
      <c r="I5" s="903"/>
      <c r="J5" s="903"/>
      <c r="K5" s="903"/>
      <c r="L5" s="903"/>
      <c r="M5" s="726"/>
      <c r="N5" s="58"/>
      <c r="P5" s="24" t="s">
        <v>10</v>
      </c>
      <c r="Q5" s="976">
        <v>46244</v>
      </c>
      <c r="R5" s="776"/>
      <c r="T5" s="825" t="s">
        <v>11</v>
      </c>
      <c r="U5" s="732"/>
      <c r="V5" s="827" t="s">
        <v>12</v>
      </c>
      <c r="W5" s="776"/>
      <c r="AB5" s="51"/>
      <c r="AC5" s="51"/>
      <c r="AD5" s="51"/>
      <c r="AE5" s="51"/>
    </row>
    <row r="6" spans="1:32" s="627" customFormat="1" ht="24" customHeight="1" x14ac:dyDescent="0.2">
      <c r="A6" s="777" t="s">
        <v>13</v>
      </c>
      <c r="B6" s="658"/>
      <c r="C6" s="659"/>
      <c r="D6" s="905"/>
      <c r="E6" s="906"/>
      <c r="F6" s="906"/>
      <c r="G6" s="906"/>
      <c r="H6" s="906"/>
      <c r="I6" s="906"/>
      <c r="J6" s="906"/>
      <c r="K6" s="906"/>
      <c r="L6" s="906"/>
      <c r="M6" s="776"/>
      <c r="N6" s="59"/>
      <c r="P6" s="24" t="s">
        <v>14</v>
      </c>
      <c r="Q6" s="985" t="str">
        <f>IF(Q5=0," ",CHOOSE(WEEKDAY(Q5,2),"Понедельник","Вторник","Среда","Четверг","Пятница","Суббота","Воскресенье"))</f>
        <v>Понедельник</v>
      </c>
      <c r="R6" s="641"/>
      <c r="T6" s="832" t="s">
        <v>15</v>
      </c>
      <c r="U6" s="732"/>
      <c r="V6" s="887" t="s">
        <v>16</v>
      </c>
      <c r="W6" s="717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94">
        <f>IFERROR(VLOOKUP(DeliveryAddress,Table,3,0),1)</f>
        <v>1</v>
      </c>
      <c r="E7" s="695"/>
      <c r="F7" s="695"/>
      <c r="G7" s="695"/>
      <c r="H7" s="695"/>
      <c r="I7" s="695"/>
      <c r="J7" s="695"/>
      <c r="K7" s="695"/>
      <c r="L7" s="695"/>
      <c r="M7" s="696"/>
      <c r="N7" s="60"/>
      <c r="P7" s="24"/>
      <c r="Q7" s="42"/>
      <c r="R7" s="42"/>
      <c r="T7" s="646"/>
      <c r="U7" s="732"/>
      <c r="V7" s="888"/>
      <c r="W7" s="889"/>
      <c r="AB7" s="51"/>
      <c r="AC7" s="51"/>
      <c r="AD7" s="51"/>
      <c r="AE7" s="51"/>
    </row>
    <row r="8" spans="1:32" s="627" customFormat="1" ht="25.5" customHeight="1" x14ac:dyDescent="0.2">
      <c r="A8" s="996" t="s">
        <v>17</v>
      </c>
      <c r="B8" s="643"/>
      <c r="C8" s="644"/>
      <c r="D8" s="705"/>
      <c r="E8" s="706"/>
      <c r="F8" s="706"/>
      <c r="G8" s="706"/>
      <c r="H8" s="706"/>
      <c r="I8" s="706"/>
      <c r="J8" s="706"/>
      <c r="K8" s="706"/>
      <c r="L8" s="706"/>
      <c r="M8" s="707"/>
      <c r="N8" s="61"/>
      <c r="P8" s="24" t="s">
        <v>18</v>
      </c>
      <c r="Q8" s="785">
        <v>0.41666666666666669</v>
      </c>
      <c r="R8" s="696"/>
      <c r="T8" s="646"/>
      <c r="U8" s="732"/>
      <c r="V8" s="888"/>
      <c r="W8" s="889"/>
      <c r="AB8" s="51"/>
      <c r="AC8" s="51"/>
      <c r="AD8" s="51"/>
      <c r="AE8" s="51"/>
    </row>
    <row r="9" spans="1:32" s="627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6"/>
      <c r="C9" s="646"/>
      <c r="D9" s="799"/>
      <c r="E9" s="656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6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5"/>
      <c r="P9" s="26" t="s">
        <v>19</v>
      </c>
      <c r="Q9" s="772"/>
      <c r="R9" s="773"/>
      <c r="T9" s="646"/>
      <c r="U9" s="732"/>
      <c r="V9" s="890"/>
      <c r="W9" s="891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6"/>
      <c r="C10" s="646"/>
      <c r="D10" s="799"/>
      <c r="E10" s="656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6"/>
      <c r="H10" s="880" t="str">
        <f>IFERROR(VLOOKUP($D$10,Proxy,2,FALSE),"")</f>
        <v/>
      </c>
      <c r="I10" s="646"/>
      <c r="J10" s="646"/>
      <c r="K10" s="646"/>
      <c r="L10" s="646"/>
      <c r="M10" s="646"/>
      <c r="N10" s="626"/>
      <c r="P10" s="26" t="s">
        <v>20</v>
      </c>
      <c r="Q10" s="833"/>
      <c r="R10" s="834"/>
      <c r="U10" s="24" t="s">
        <v>21</v>
      </c>
      <c r="V10" s="716" t="s">
        <v>22</v>
      </c>
      <c r="W10" s="717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29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1" t="s">
        <v>27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9"/>
      <c r="N12" s="62"/>
      <c r="P12" s="24" t="s">
        <v>28</v>
      </c>
      <c r="Q12" s="785"/>
      <c r="R12" s="696"/>
      <c r="S12" s="23"/>
      <c r="U12" s="24"/>
      <c r="V12" s="669"/>
      <c r="W12" s="646"/>
      <c r="AB12" s="51"/>
      <c r="AC12" s="51"/>
      <c r="AD12" s="51"/>
      <c r="AE12" s="51"/>
    </row>
    <row r="13" spans="1:32" s="627" customFormat="1" ht="23.25" customHeight="1" x14ac:dyDescent="0.2">
      <c r="A13" s="821" t="s">
        <v>29</v>
      </c>
      <c r="B13" s="658"/>
      <c r="C13" s="658"/>
      <c r="D13" s="658"/>
      <c r="E13" s="658"/>
      <c r="F13" s="658"/>
      <c r="G13" s="658"/>
      <c r="H13" s="658"/>
      <c r="I13" s="658"/>
      <c r="J13" s="658"/>
      <c r="K13" s="658"/>
      <c r="L13" s="658"/>
      <c r="M13" s="659"/>
      <c r="N13" s="62"/>
      <c r="O13" s="26"/>
      <c r="P13" s="26" t="s">
        <v>30</v>
      </c>
      <c r="Q13" s="929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1" t="s">
        <v>31</v>
      </c>
      <c r="B14" s="658"/>
      <c r="C14" s="658"/>
      <c r="D14" s="658"/>
      <c r="E14" s="658"/>
      <c r="F14" s="658"/>
      <c r="G14" s="658"/>
      <c r="H14" s="658"/>
      <c r="I14" s="658"/>
      <c r="J14" s="658"/>
      <c r="K14" s="658"/>
      <c r="L14" s="658"/>
      <c r="M14" s="65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7" t="s">
        <v>32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9"/>
      <c r="N15" s="63"/>
      <c r="P15" s="809" t="s">
        <v>33</v>
      </c>
      <c r="Q15" s="669"/>
      <c r="R15" s="669"/>
      <c r="S15" s="669"/>
      <c r="T15" s="66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0"/>
      <c r="Q16" s="810"/>
      <c r="R16" s="810"/>
      <c r="S16" s="810"/>
      <c r="T16" s="81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34</v>
      </c>
      <c r="B17" s="680" t="s">
        <v>35</v>
      </c>
      <c r="C17" s="796" t="s">
        <v>36</v>
      </c>
      <c r="D17" s="680" t="s">
        <v>37</v>
      </c>
      <c r="E17" s="752"/>
      <c r="F17" s="680" t="s">
        <v>38</v>
      </c>
      <c r="G17" s="680" t="s">
        <v>39</v>
      </c>
      <c r="H17" s="680" t="s">
        <v>40</v>
      </c>
      <c r="I17" s="680" t="s">
        <v>41</v>
      </c>
      <c r="J17" s="680" t="s">
        <v>42</v>
      </c>
      <c r="K17" s="680" t="s">
        <v>43</v>
      </c>
      <c r="L17" s="680" t="s">
        <v>44</v>
      </c>
      <c r="M17" s="680" t="s">
        <v>45</v>
      </c>
      <c r="N17" s="680" t="s">
        <v>46</v>
      </c>
      <c r="O17" s="680" t="s">
        <v>47</v>
      </c>
      <c r="P17" s="680" t="s">
        <v>48</v>
      </c>
      <c r="Q17" s="751"/>
      <c r="R17" s="751"/>
      <c r="S17" s="751"/>
      <c r="T17" s="752"/>
      <c r="U17" s="992" t="s">
        <v>49</v>
      </c>
      <c r="V17" s="659"/>
      <c r="W17" s="680" t="s">
        <v>50</v>
      </c>
      <c r="X17" s="680" t="s">
        <v>51</v>
      </c>
      <c r="Y17" s="993" t="s">
        <v>52</v>
      </c>
      <c r="Z17" s="901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81"/>
      <c r="B18" s="681"/>
      <c r="C18" s="681"/>
      <c r="D18" s="753"/>
      <c r="E18" s="755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53"/>
      <c r="Q18" s="754"/>
      <c r="R18" s="754"/>
      <c r="S18" s="754"/>
      <c r="T18" s="755"/>
      <c r="U18" s="67" t="s">
        <v>59</v>
      </c>
      <c r="V18" s="67" t="s">
        <v>60</v>
      </c>
      <c r="W18" s="681"/>
      <c r="X18" s="681"/>
      <c r="Y18" s="994"/>
      <c r="Z18" s="902"/>
      <c r="AA18" s="879"/>
      <c r="AB18" s="879"/>
      <c r="AC18" s="879"/>
      <c r="AD18" s="962"/>
      <c r="AE18" s="963"/>
      <c r="AF18" s="964"/>
      <c r="AG18" s="66"/>
      <c r="BD18" s="65"/>
    </row>
    <row r="19" spans="1:68" ht="27.75" customHeight="1" x14ac:dyDescent="0.2">
      <c r="A19" s="653" t="s">
        <v>61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customHeight="1" x14ac:dyDescent="0.25">
      <c r="A20" s="652" t="s">
        <v>61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28"/>
      <c r="AB20" s="628"/>
      <c r="AC20" s="628"/>
    </row>
    <row r="21" spans="1:68" ht="14.25" customHeight="1" x14ac:dyDescent="0.25">
      <c r="A21" s="645" t="s">
        <v>62</v>
      </c>
      <c r="B21" s="646"/>
      <c r="C21" s="646"/>
      <c r="D21" s="646"/>
      <c r="E21" s="646"/>
      <c r="F21" s="646"/>
      <c r="G21" s="646"/>
      <c r="H21" s="646"/>
      <c r="I21" s="646"/>
      <c r="J21" s="646"/>
      <c r="K21" s="646"/>
      <c r="L21" s="646"/>
      <c r="M21" s="646"/>
      <c r="N21" s="646"/>
      <c r="O21" s="646"/>
      <c r="P21" s="646"/>
      <c r="Q21" s="646"/>
      <c r="R21" s="646"/>
      <c r="S21" s="646"/>
      <c r="T21" s="646"/>
      <c r="U21" s="646"/>
      <c r="V21" s="646"/>
      <c r="W21" s="646"/>
      <c r="X21" s="646"/>
      <c r="Y21" s="646"/>
      <c r="Z21" s="646"/>
      <c r="AA21" s="629"/>
      <c r="AB21" s="629"/>
      <c r="AC21" s="629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40">
        <v>4680115886643</v>
      </c>
      <c r="E22" s="641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8"/>
      <c r="R22" s="638"/>
      <c r="S22" s="638"/>
      <c r="T22" s="639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40">
        <v>4680115889071</v>
      </c>
      <c r="E23" s="641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8"/>
      <c r="R23" s="638"/>
      <c r="S23" s="638"/>
      <c r="T23" s="639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61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62"/>
      <c r="P24" s="642" t="s">
        <v>72</v>
      </c>
      <c r="Q24" s="643"/>
      <c r="R24" s="643"/>
      <c r="S24" s="643"/>
      <c r="T24" s="643"/>
      <c r="U24" s="643"/>
      <c r="V24" s="644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62"/>
      <c r="P25" s="642" t="s">
        <v>72</v>
      </c>
      <c r="Q25" s="643"/>
      <c r="R25" s="643"/>
      <c r="S25" s="643"/>
      <c r="T25" s="643"/>
      <c r="U25" s="643"/>
      <c r="V25" s="644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customHeight="1" x14ac:dyDescent="0.25">
      <c r="A26" s="645" t="s">
        <v>74</v>
      </c>
      <c r="B26" s="646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646"/>
      <c r="U26" s="646"/>
      <c r="V26" s="646"/>
      <c r="W26" s="646"/>
      <c r="X26" s="646"/>
      <c r="Y26" s="646"/>
      <c r="Z26" s="646"/>
      <c r="AA26" s="629"/>
      <c r="AB26" s="629"/>
      <c r="AC26" s="629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40">
        <v>4680115885912</v>
      </c>
      <c r="E27" s="641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8"/>
      <c r="R27" s="638"/>
      <c r="S27" s="638"/>
      <c r="T27" s="639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40">
        <v>4607091388237</v>
      </c>
      <c r="E28" s="641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8"/>
      <c r="R28" s="638"/>
      <c r="S28" s="638"/>
      <c r="T28" s="639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0">
        <v>4680115887350</v>
      </c>
      <c r="E29" s="641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0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8"/>
      <c r="R29" s="638"/>
      <c r="S29" s="638"/>
      <c r="T29" s="639"/>
      <c r="U29" s="34"/>
      <c r="V29" s="34"/>
      <c r="W29" s="35" t="s">
        <v>67</v>
      </c>
      <c r="X29" s="633">
        <v>5</v>
      </c>
      <c r="Y29" s="634">
        <f>IFERROR(IF(X29="",0,CEILING((X29/$H29),1)*$H29),"")</f>
        <v>5.4</v>
      </c>
      <c r="Z29" s="36">
        <f>IFERROR(IF(Y29=0,"",ROUNDUP(Y29/H29,0)*0.00651),"")</f>
        <v>1.9529999999999999E-2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8.8333333333333339</v>
      </c>
      <c r="BN29" s="64">
        <f>IFERROR(Y29*I29/H29,"0")</f>
        <v>9.5400000000000009</v>
      </c>
      <c r="BO29" s="64">
        <f>IFERROR(1/J29*(X29/H29),"0")</f>
        <v>1.5262515262515264E-2</v>
      </c>
      <c r="BP29" s="64">
        <f>IFERROR(1/J29*(Y29/H29),"0")</f>
        <v>1.6483516483516484E-2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0">
        <v>4680115885905</v>
      </c>
      <c r="E30" s="641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7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8"/>
      <c r="R30" s="638"/>
      <c r="S30" s="638"/>
      <c r="T30" s="639"/>
      <c r="U30" s="34"/>
      <c r="V30" s="34"/>
      <c r="W30" s="35" t="s">
        <v>67</v>
      </c>
      <c r="X30" s="633">
        <v>92</v>
      </c>
      <c r="Y30" s="634">
        <f>IFERROR(IF(X30="",0,CEILING((X30/$H30),1)*$H30),"")</f>
        <v>93.600000000000009</v>
      </c>
      <c r="Z30" s="36">
        <f>IFERROR(IF(Y30=0,"",ROUNDUP(Y30/H30,0)*0.00651),"")</f>
        <v>0.33851999999999999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162.53333333333333</v>
      </c>
      <c r="BN30" s="64">
        <f>IFERROR(Y30*I30/H30,"0")</f>
        <v>165.36</v>
      </c>
      <c r="BO30" s="64">
        <f>IFERROR(1/J30*(X30/H30),"0")</f>
        <v>0.28083028083028083</v>
      </c>
      <c r="BP30" s="64">
        <f>IFERROR(1/J30*(Y30/H30),"0")</f>
        <v>0.28571428571428575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40">
        <v>4680115887619</v>
      </c>
      <c r="E31" s="641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0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8"/>
      <c r="R31" s="638"/>
      <c r="S31" s="638"/>
      <c r="T31" s="639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1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62"/>
      <c r="P32" s="642" t="s">
        <v>72</v>
      </c>
      <c r="Q32" s="643"/>
      <c r="R32" s="643"/>
      <c r="S32" s="643"/>
      <c r="T32" s="643"/>
      <c r="U32" s="643"/>
      <c r="V32" s="644"/>
      <c r="W32" s="37" t="s">
        <v>73</v>
      </c>
      <c r="X32" s="635">
        <f>IFERROR(X27/H27,"0")+IFERROR(X28/H28,"0")+IFERROR(X29/H29,"0")+IFERROR(X30/H30,"0")+IFERROR(X31/H31,"0")</f>
        <v>53.888888888888886</v>
      </c>
      <c r="Y32" s="635">
        <f>IFERROR(Y27/H27,"0")+IFERROR(Y28/H28,"0")+IFERROR(Y29/H29,"0")+IFERROR(Y30/H30,"0")+IFERROR(Y31/H31,"0")</f>
        <v>55</v>
      </c>
      <c r="Z32" s="635">
        <f>IFERROR(IF(Z27="",0,Z27),"0")+IFERROR(IF(Z28="",0,Z28),"0")+IFERROR(IF(Z29="",0,Z29),"0")+IFERROR(IF(Z30="",0,Z30),"0")+IFERROR(IF(Z31="",0,Z31),"0")</f>
        <v>0.35804999999999998</v>
      </c>
      <c r="AA32" s="636"/>
      <c r="AB32" s="636"/>
      <c r="AC32" s="636"/>
    </row>
    <row r="33" spans="1:68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62"/>
      <c r="P33" s="642" t="s">
        <v>72</v>
      </c>
      <c r="Q33" s="643"/>
      <c r="R33" s="643"/>
      <c r="S33" s="643"/>
      <c r="T33" s="643"/>
      <c r="U33" s="643"/>
      <c r="V33" s="644"/>
      <c r="W33" s="37" t="s">
        <v>67</v>
      </c>
      <c r="X33" s="635">
        <f>IFERROR(SUM(X27:X31),"0")</f>
        <v>97</v>
      </c>
      <c r="Y33" s="635">
        <f>IFERROR(SUM(Y27:Y31),"0")</f>
        <v>99.000000000000014</v>
      </c>
      <c r="Z33" s="37"/>
      <c r="AA33" s="636"/>
      <c r="AB33" s="636"/>
      <c r="AC33" s="636"/>
    </row>
    <row r="34" spans="1:68" ht="27.75" customHeight="1" x14ac:dyDescent="0.2">
      <c r="A34" s="653" t="s">
        <v>92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customHeight="1" x14ac:dyDescent="0.25">
      <c r="A35" s="652" t="s">
        <v>93</v>
      </c>
      <c r="B35" s="646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28"/>
      <c r="AB35" s="628"/>
      <c r="AC35" s="628"/>
    </row>
    <row r="36" spans="1:68" ht="14.25" customHeight="1" x14ac:dyDescent="0.25">
      <c r="A36" s="645" t="s">
        <v>74</v>
      </c>
      <c r="B36" s="646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29"/>
      <c r="AB36" s="629"/>
      <c r="AC36" s="629"/>
    </row>
    <row r="37" spans="1:68" ht="27" customHeight="1" x14ac:dyDescent="0.25">
      <c r="A37" s="54" t="s">
        <v>94</v>
      </c>
      <c r="B37" s="54" t="s">
        <v>95</v>
      </c>
      <c r="C37" s="31">
        <v>4301052187</v>
      </c>
      <c r="D37" s="640">
        <v>4680115889354</v>
      </c>
      <c r="E37" s="641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8"/>
      <c r="R37" s="638"/>
      <c r="S37" s="638"/>
      <c r="T37" s="639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97</v>
      </c>
      <c r="B38" s="54" t="s">
        <v>98</v>
      </c>
      <c r="C38" s="31">
        <v>4301052198</v>
      </c>
      <c r="D38" s="640">
        <v>4680115888463</v>
      </c>
      <c r="E38" s="641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8"/>
      <c r="R38" s="638"/>
      <c r="S38" s="638"/>
      <c r="T38" s="639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100</v>
      </c>
      <c r="B39" s="54" t="s">
        <v>101</v>
      </c>
      <c r="C39" s="31">
        <v>4301052202</v>
      </c>
      <c r="D39" s="640">
        <v>4680115888494</v>
      </c>
      <c r="E39" s="641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38"/>
      <c r="R39" s="638"/>
      <c r="S39" s="638"/>
      <c r="T39" s="639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103</v>
      </c>
      <c r="B40" s="54" t="s">
        <v>104</v>
      </c>
      <c r="C40" s="31">
        <v>4301052184</v>
      </c>
      <c r="D40" s="640">
        <v>4680115888272</v>
      </c>
      <c r="E40" s="641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38"/>
      <c r="R40" s="638"/>
      <c r="S40" s="638"/>
      <c r="T40" s="639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106</v>
      </c>
      <c r="B41" s="54" t="s">
        <v>107</v>
      </c>
      <c r="C41" s="31">
        <v>4301052188</v>
      </c>
      <c r="D41" s="640">
        <v>4680115888364</v>
      </c>
      <c r="E41" s="641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38"/>
      <c r="R41" s="638"/>
      <c r="S41" s="638"/>
      <c r="T41" s="639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x14ac:dyDescent="0.2">
      <c r="A42" s="661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62"/>
      <c r="P42" s="642" t="s">
        <v>72</v>
      </c>
      <c r="Q42" s="643"/>
      <c r="R42" s="643"/>
      <c r="S42" s="643"/>
      <c r="T42" s="643"/>
      <c r="U42" s="643"/>
      <c r="V42" s="644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62"/>
      <c r="P43" s="642" t="s">
        <v>72</v>
      </c>
      <c r="Q43" s="643"/>
      <c r="R43" s="643"/>
      <c r="S43" s="643"/>
      <c r="T43" s="643"/>
      <c r="U43" s="643"/>
      <c r="V43" s="644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customHeight="1" x14ac:dyDescent="0.2">
      <c r="A44" s="653" t="s">
        <v>109</v>
      </c>
      <c r="B44" s="654"/>
      <c r="C44" s="654"/>
      <c r="D44" s="654"/>
      <c r="E44" s="654"/>
      <c r="F44" s="654"/>
      <c r="G44" s="654"/>
      <c r="H44" s="654"/>
      <c r="I44" s="654"/>
      <c r="J44" s="654"/>
      <c r="K44" s="654"/>
      <c r="L44" s="654"/>
      <c r="M44" s="654"/>
      <c r="N44" s="654"/>
      <c r="O44" s="654"/>
      <c r="P44" s="654"/>
      <c r="Q44" s="654"/>
      <c r="R44" s="654"/>
      <c r="S44" s="654"/>
      <c r="T44" s="654"/>
      <c r="U44" s="654"/>
      <c r="V44" s="654"/>
      <c r="W44" s="654"/>
      <c r="X44" s="654"/>
      <c r="Y44" s="654"/>
      <c r="Z44" s="654"/>
      <c r="AA44" s="48"/>
      <c r="AB44" s="48"/>
      <c r="AC44" s="48"/>
    </row>
    <row r="45" spans="1:68" ht="16.5" customHeight="1" x14ac:dyDescent="0.25">
      <c r="A45" s="652" t="s">
        <v>110</v>
      </c>
      <c r="B45" s="646"/>
      <c r="C45" s="646"/>
      <c r="D45" s="646"/>
      <c r="E45" s="646"/>
      <c r="F45" s="646"/>
      <c r="G45" s="646"/>
      <c r="H45" s="646"/>
      <c r="I45" s="646"/>
      <c r="J45" s="646"/>
      <c r="K45" s="646"/>
      <c r="L45" s="646"/>
      <c r="M45" s="646"/>
      <c r="N45" s="646"/>
      <c r="O45" s="646"/>
      <c r="P45" s="646"/>
      <c r="Q45" s="646"/>
      <c r="R45" s="646"/>
      <c r="S45" s="646"/>
      <c r="T45" s="646"/>
      <c r="U45" s="646"/>
      <c r="V45" s="646"/>
      <c r="W45" s="646"/>
      <c r="X45" s="646"/>
      <c r="Y45" s="646"/>
      <c r="Z45" s="646"/>
      <c r="AA45" s="628"/>
      <c r="AB45" s="628"/>
      <c r="AC45" s="628"/>
    </row>
    <row r="46" spans="1:68" ht="14.25" customHeight="1" x14ac:dyDescent="0.25">
      <c r="A46" s="645" t="s">
        <v>111</v>
      </c>
      <c r="B46" s="646"/>
      <c r="C46" s="646"/>
      <c r="D46" s="646"/>
      <c r="E46" s="646"/>
      <c r="F46" s="646"/>
      <c r="G46" s="646"/>
      <c r="H46" s="646"/>
      <c r="I46" s="646"/>
      <c r="J46" s="646"/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0">
        <v>4607091385670</v>
      </c>
      <c r="E47" s="641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38"/>
      <c r="R47" s="638"/>
      <c r="S47" s="638"/>
      <c r="T47" s="639"/>
      <c r="U47" s="34"/>
      <c r="V47" s="34"/>
      <c r="W47" s="35" t="s">
        <v>67</v>
      </c>
      <c r="X47" s="633">
        <v>271</v>
      </c>
      <c r="Y47" s="634">
        <f>IFERROR(IF(X47="",0,CEILING((X47/$H47),1)*$H47),"")</f>
        <v>280.8</v>
      </c>
      <c r="Z47" s="36">
        <f>IFERROR(IF(Y47=0,"",ROUNDUP(Y47/H47,0)*0.01898),"")</f>
        <v>0.49348000000000003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281.28796296296298</v>
      </c>
      <c r="BN47" s="64">
        <f>IFERROR(Y47*I47/H47,"0")</f>
        <v>291.46000000000004</v>
      </c>
      <c r="BO47" s="64">
        <f>IFERROR(1/J47*(X47/H47),"0")</f>
        <v>0.39207175925925924</v>
      </c>
      <c r="BP47" s="64">
        <f>IFERROR(1/J47*(Y47/H47),"0")</f>
        <v>0.40625</v>
      </c>
    </row>
    <row r="48" spans="1:68" ht="27" customHeight="1" x14ac:dyDescent="0.25">
      <c r="A48" s="54" t="s">
        <v>117</v>
      </c>
      <c r="B48" s="54" t="s">
        <v>118</v>
      </c>
      <c r="C48" s="31">
        <v>4301012053</v>
      </c>
      <c r="D48" s="640">
        <v>4680115887725</v>
      </c>
      <c r="E48" s="641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38"/>
      <c r="R48" s="638"/>
      <c r="S48" s="638"/>
      <c r="T48" s="639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0">
        <v>4607091385687</v>
      </c>
      <c r="E49" s="641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38"/>
      <c r="R49" s="638"/>
      <c r="S49" s="638"/>
      <c r="T49" s="639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0">
        <v>4680115882539</v>
      </c>
      <c r="E50" s="641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38"/>
      <c r="R50" s="638"/>
      <c r="S50" s="638"/>
      <c r="T50" s="639"/>
      <c r="U50" s="34"/>
      <c r="V50" s="34"/>
      <c r="W50" s="35" t="s">
        <v>67</v>
      </c>
      <c r="X50" s="633">
        <v>84</v>
      </c>
      <c r="Y50" s="634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88.313513513513513</v>
      </c>
      <c r="BN50" s="64">
        <f>IFERROR(Y50*I50/H50,"0")</f>
        <v>89.470000000000013</v>
      </c>
      <c r="BO50" s="64">
        <f>IFERROR(1/J50*(X50/H50),"0")</f>
        <v>0.171990171990172</v>
      </c>
      <c r="BP50" s="64">
        <f>IFERROR(1/J50*(Y50/H50),"0")</f>
        <v>0.17424242424242425</v>
      </c>
    </row>
    <row r="51" spans="1:68" x14ac:dyDescent="0.2">
      <c r="A51" s="661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62"/>
      <c r="P51" s="642" t="s">
        <v>72</v>
      </c>
      <c r="Q51" s="643"/>
      <c r="R51" s="643"/>
      <c r="S51" s="643"/>
      <c r="T51" s="643"/>
      <c r="U51" s="643"/>
      <c r="V51" s="644"/>
      <c r="W51" s="37" t="s">
        <v>73</v>
      </c>
      <c r="X51" s="635">
        <f>IFERROR(X47/H47,"0")+IFERROR(X48/H48,"0")+IFERROR(X49/H49,"0")+IFERROR(X50/H50,"0")</f>
        <v>47.79529529529529</v>
      </c>
      <c r="Y51" s="635">
        <f>IFERROR(Y47/H47,"0")+IFERROR(Y48/H48,"0")+IFERROR(Y49/H49,"0")+IFERROR(Y50/H50,"0")</f>
        <v>49</v>
      </c>
      <c r="Z51" s="635">
        <f>IFERROR(IF(Z47="",0,Z47),"0")+IFERROR(IF(Z48="",0,Z48),"0")+IFERROR(IF(Z49="",0,Z49),"0")+IFERROR(IF(Z50="",0,Z50),"0")</f>
        <v>0.70094000000000001</v>
      </c>
      <c r="AA51" s="636"/>
      <c r="AB51" s="636"/>
      <c r="AC51" s="636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62"/>
      <c r="P52" s="642" t="s">
        <v>72</v>
      </c>
      <c r="Q52" s="643"/>
      <c r="R52" s="643"/>
      <c r="S52" s="643"/>
      <c r="T52" s="643"/>
      <c r="U52" s="643"/>
      <c r="V52" s="644"/>
      <c r="W52" s="37" t="s">
        <v>67</v>
      </c>
      <c r="X52" s="635">
        <f>IFERROR(SUM(X47:X50),"0")</f>
        <v>355</v>
      </c>
      <c r="Y52" s="635">
        <f>IFERROR(SUM(Y47:Y50),"0")</f>
        <v>365.90000000000003</v>
      </c>
      <c r="Z52" s="37"/>
      <c r="AA52" s="636"/>
      <c r="AB52" s="636"/>
      <c r="AC52" s="636"/>
    </row>
    <row r="53" spans="1:68" ht="16.5" customHeight="1" x14ac:dyDescent="0.25">
      <c r="A53" s="652" t="s">
        <v>126</v>
      </c>
      <c r="B53" s="646"/>
      <c r="C53" s="646"/>
      <c r="D53" s="646"/>
      <c r="E53" s="646"/>
      <c r="F53" s="646"/>
      <c r="G53" s="646"/>
      <c r="H53" s="646"/>
      <c r="I53" s="646"/>
      <c r="J53" s="646"/>
      <c r="K53" s="646"/>
      <c r="L53" s="646"/>
      <c r="M53" s="646"/>
      <c r="N53" s="646"/>
      <c r="O53" s="646"/>
      <c r="P53" s="646"/>
      <c r="Q53" s="646"/>
      <c r="R53" s="646"/>
      <c r="S53" s="646"/>
      <c r="T53" s="646"/>
      <c r="U53" s="646"/>
      <c r="V53" s="646"/>
      <c r="W53" s="646"/>
      <c r="X53" s="646"/>
      <c r="Y53" s="646"/>
      <c r="Z53" s="646"/>
      <c r="AA53" s="628"/>
      <c r="AB53" s="628"/>
      <c r="AC53" s="628"/>
    </row>
    <row r="54" spans="1:68" ht="14.25" customHeight="1" x14ac:dyDescent="0.25">
      <c r="A54" s="645" t="s">
        <v>111</v>
      </c>
      <c r="B54" s="646"/>
      <c r="C54" s="646"/>
      <c r="D54" s="646"/>
      <c r="E54" s="646"/>
      <c r="F54" s="646"/>
      <c r="G54" s="646"/>
      <c r="H54" s="646"/>
      <c r="I54" s="646"/>
      <c r="J54" s="646"/>
      <c r="K54" s="646"/>
      <c r="L54" s="646"/>
      <c r="M54" s="646"/>
      <c r="N54" s="646"/>
      <c r="O54" s="646"/>
      <c r="P54" s="646"/>
      <c r="Q54" s="646"/>
      <c r="R54" s="646"/>
      <c r="S54" s="646"/>
      <c r="T54" s="646"/>
      <c r="U54" s="646"/>
      <c r="V54" s="646"/>
      <c r="W54" s="646"/>
      <c r="X54" s="646"/>
      <c r="Y54" s="646"/>
      <c r="Z54" s="646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40">
        <v>4680115885882</v>
      </c>
      <c r="E55" s="641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38"/>
      <c r="R55" s="638"/>
      <c r="S55" s="638"/>
      <c r="T55" s="639"/>
      <c r="U55" s="34"/>
      <c r="V55" s="34"/>
      <c r="W55" s="35" t="s">
        <v>67</v>
      </c>
      <c r="X55" s="633">
        <v>253</v>
      </c>
      <c r="Y55" s="634">
        <f t="shared" ref="Y55:Y62" si="0">IFERROR(IF(X55="",0,CEILING((X55/$H55),1)*$H55),"")</f>
        <v>257.59999999999997</v>
      </c>
      <c r="Z55" s="36">
        <f>IFERROR(IF(Y55=0,"",ROUNDUP(Y55/H55,0)*0.01898),"")</f>
        <v>0.43653999999999998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262.26160714285714</v>
      </c>
      <c r="BN55" s="64">
        <f t="shared" ref="BN55:BN62" si="2">IFERROR(Y55*I55/H55,"0")</f>
        <v>267.02999999999997</v>
      </c>
      <c r="BO55" s="64">
        <f t="shared" ref="BO55:BO62" si="3">IFERROR(1/J55*(X55/H55),"0")</f>
        <v>0.3529575892857143</v>
      </c>
      <c r="BP55" s="64">
        <f t="shared" ref="BP55:BP62" si="4">IFERROR(1/J55*(Y55/H55),"0")</f>
        <v>0.359375</v>
      </c>
    </row>
    <row r="56" spans="1:68" ht="27" customHeight="1" x14ac:dyDescent="0.25">
      <c r="A56" s="54" t="s">
        <v>127</v>
      </c>
      <c r="B56" s="54" t="s">
        <v>130</v>
      </c>
      <c r="C56" s="31">
        <v>4301012161</v>
      </c>
      <c r="D56" s="640">
        <v>4680115885882</v>
      </c>
      <c r="E56" s="641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6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8"/>
      <c r="R56" s="638"/>
      <c r="S56" s="638"/>
      <c r="T56" s="639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40">
        <v>4680115881426</v>
      </c>
      <c r="E57" s="641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8"/>
      <c r="R57" s="638"/>
      <c r="S57" s="638"/>
      <c r="T57" s="639"/>
      <c r="U57" s="34"/>
      <c r="V57" s="34"/>
      <c r="W57" s="35" t="s">
        <v>67</v>
      </c>
      <c r="X57" s="633">
        <v>455</v>
      </c>
      <c r="Y57" s="634">
        <f t="shared" si="0"/>
        <v>464.40000000000003</v>
      </c>
      <c r="Z57" s="36">
        <f>IFERROR(IF(Y57=0,"",ROUNDUP(Y57/H57,0)*0.01898),"")</f>
        <v>0.81613999999999998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472.27314814814815</v>
      </c>
      <c r="BN57" s="64">
        <f t="shared" si="2"/>
        <v>482.03000000000003</v>
      </c>
      <c r="BO57" s="64">
        <f t="shared" si="3"/>
        <v>0.65827546296296291</v>
      </c>
      <c r="BP57" s="64">
        <f t="shared" si="4"/>
        <v>0.671875</v>
      </c>
    </row>
    <row r="58" spans="1:68" ht="27" customHeight="1" x14ac:dyDescent="0.25">
      <c r="A58" s="54" t="s">
        <v>135</v>
      </c>
      <c r="B58" s="54" t="s">
        <v>136</v>
      </c>
      <c r="C58" s="31">
        <v>4301011386</v>
      </c>
      <c r="D58" s="640">
        <v>4680115880283</v>
      </c>
      <c r="E58" s="641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38"/>
      <c r="R58" s="638"/>
      <c r="S58" s="638"/>
      <c r="T58" s="639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135</v>
      </c>
      <c r="B59" s="54" t="s">
        <v>138</v>
      </c>
      <c r="C59" s="31">
        <v>4301012259</v>
      </c>
      <c r="D59" s="640">
        <v>4680115880283</v>
      </c>
      <c r="E59" s="641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38"/>
      <c r="R59" s="638"/>
      <c r="S59" s="638"/>
      <c r="T59" s="639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customHeight="1" x14ac:dyDescent="0.25">
      <c r="A60" s="54" t="s">
        <v>139</v>
      </c>
      <c r="B60" s="54" t="s">
        <v>140</v>
      </c>
      <c r="C60" s="31">
        <v>4301011806</v>
      </c>
      <c r="D60" s="640">
        <v>4680115881525</v>
      </c>
      <c r="E60" s="641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9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38"/>
      <c r="R60" s="638"/>
      <c r="S60" s="638"/>
      <c r="T60" s="639"/>
      <c r="U60" s="34"/>
      <c r="V60" s="34"/>
      <c r="W60" s="35" t="s">
        <v>67</v>
      </c>
      <c r="X60" s="633">
        <v>49</v>
      </c>
      <c r="Y60" s="634">
        <f t="shared" si="0"/>
        <v>52</v>
      </c>
      <c r="Z60" s="36">
        <f>IFERROR(IF(Y60=0,"",ROUNDUP(Y60/H60,0)*0.00902),"")</f>
        <v>0.11726</v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51.327500000000008</v>
      </c>
      <c r="BN60" s="64">
        <f t="shared" si="2"/>
        <v>54.470000000000006</v>
      </c>
      <c r="BO60" s="64">
        <f t="shared" si="3"/>
        <v>9.2803030303030304E-2</v>
      </c>
      <c r="BP60" s="64">
        <f t="shared" si="4"/>
        <v>9.8484848484848481E-2</v>
      </c>
    </row>
    <row r="61" spans="1:68" ht="27" customHeight="1" x14ac:dyDescent="0.25">
      <c r="A61" s="54" t="s">
        <v>142</v>
      </c>
      <c r="B61" s="54" t="s">
        <v>143</v>
      </c>
      <c r="C61" s="31">
        <v>4301012165</v>
      </c>
      <c r="D61" s="640">
        <v>4680115885899</v>
      </c>
      <c r="E61" s="641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38"/>
      <c r="R61" s="638"/>
      <c r="S61" s="638"/>
      <c r="T61" s="639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40">
        <v>4680115881419</v>
      </c>
      <c r="E62" s="641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38"/>
      <c r="R62" s="638"/>
      <c r="S62" s="638"/>
      <c r="T62" s="639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x14ac:dyDescent="0.2">
      <c r="A63" s="661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62"/>
      <c r="P63" s="642" t="s">
        <v>72</v>
      </c>
      <c r="Q63" s="643"/>
      <c r="R63" s="643"/>
      <c r="S63" s="643"/>
      <c r="T63" s="643"/>
      <c r="U63" s="643"/>
      <c r="V63" s="644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76.968915343915342</v>
      </c>
      <c r="Y63" s="635">
        <f>IFERROR(Y55/H55,"0")+IFERROR(Y56/H56,"0")+IFERROR(Y57/H57,"0")+IFERROR(Y58/H58,"0")+IFERROR(Y59/H59,"0")+IFERROR(Y60/H60,"0")+IFERROR(Y61/H61,"0")+IFERROR(Y62/H62,"0")</f>
        <v>79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1.3699399999999999</v>
      </c>
      <c r="AA63" s="636"/>
      <c r="AB63" s="636"/>
      <c r="AC63" s="636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62"/>
      <c r="P64" s="642" t="s">
        <v>72</v>
      </c>
      <c r="Q64" s="643"/>
      <c r="R64" s="643"/>
      <c r="S64" s="643"/>
      <c r="T64" s="643"/>
      <c r="U64" s="643"/>
      <c r="V64" s="644"/>
      <c r="W64" s="37" t="s">
        <v>67</v>
      </c>
      <c r="X64" s="635">
        <f>IFERROR(SUM(X55:X62),"0")</f>
        <v>757</v>
      </c>
      <c r="Y64" s="635">
        <f>IFERROR(SUM(Y55:Y62),"0")</f>
        <v>774</v>
      </c>
      <c r="Z64" s="37"/>
      <c r="AA64" s="636"/>
      <c r="AB64" s="636"/>
      <c r="AC64" s="636"/>
    </row>
    <row r="65" spans="1:68" ht="14.25" customHeight="1" x14ac:dyDescent="0.25">
      <c r="A65" s="645" t="s">
        <v>147</v>
      </c>
      <c r="B65" s="646"/>
      <c r="C65" s="646"/>
      <c r="D65" s="646"/>
      <c r="E65" s="646"/>
      <c r="F65" s="646"/>
      <c r="G65" s="646"/>
      <c r="H65" s="646"/>
      <c r="I65" s="646"/>
      <c r="J65" s="646"/>
      <c r="K65" s="646"/>
      <c r="L65" s="646"/>
      <c r="M65" s="646"/>
      <c r="N65" s="646"/>
      <c r="O65" s="646"/>
      <c r="P65" s="646"/>
      <c r="Q65" s="646"/>
      <c r="R65" s="646"/>
      <c r="S65" s="646"/>
      <c r="T65" s="646"/>
      <c r="U65" s="646"/>
      <c r="V65" s="646"/>
      <c r="W65" s="646"/>
      <c r="X65" s="646"/>
      <c r="Y65" s="646"/>
      <c r="Z65" s="646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40">
        <v>4680115881440</v>
      </c>
      <c r="E66" s="641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38"/>
      <c r="R66" s="638"/>
      <c r="S66" s="638"/>
      <c r="T66" s="639"/>
      <c r="U66" s="34"/>
      <c r="V66" s="34"/>
      <c r="W66" s="35" t="s">
        <v>67</v>
      </c>
      <c r="X66" s="633">
        <v>409</v>
      </c>
      <c r="Y66" s="634">
        <f>IFERROR(IF(X66="",0,CEILING((X66/$H66),1)*$H66),"")</f>
        <v>410.40000000000003</v>
      </c>
      <c r="Z66" s="36">
        <f>IFERROR(IF(Y66=0,"",ROUNDUP(Y66/H66,0)*0.01898),"")</f>
        <v>0.72123999999999999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424.52685185185186</v>
      </c>
      <c r="BN66" s="64">
        <f>IFERROR(Y66*I66/H66,"0")</f>
        <v>425.98</v>
      </c>
      <c r="BO66" s="64">
        <f>IFERROR(1/J66*(X66/H66),"0")</f>
        <v>0.59172453703703698</v>
      </c>
      <c r="BP66" s="64">
        <f>IFERROR(1/J66*(Y66/H66),"0")</f>
        <v>0.59375</v>
      </c>
    </row>
    <row r="67" spans="1:68" ht="16.5" customHeight="1" x14ac:dyDescent="0.25">
      <c r="A67" s="54" t="s">
        <v>151</v>
      </c>
      <c r="B67" s="54" t="s">
        <v>152</v>
      </c>
      <c r="C67" s="31">
        <v>4301020358</v>
      </c>
      <c r="D67" s="640">
        <v>4680115885950</v>
      </c>
      <c r="E67" s="641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38"/>
      <c r="R67" s="638"/>
      <c r="S67" s="638"/>
      <c r="T67" s="639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customHeight="1" x14ac:dyDescent="0.25">
      <c r="A68" s="54" t="s">
        <v>153</v>
      </c>
      <c r="B68" s="54" t="s">
        <v>154</v>
      </c>
      <c r="C68" s="31">
        <v>4301020371</v>
      </c>
      <c r="D68" s="640">
        <v>4680115887688</v>
      </c>
      <c r="E68" s="641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38"/>
      <c r="R68" s="638"/>
      <c r="S68" s="638"/>
      <c r="T68" s="639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156</v>
      </c>
      <c r="B69" s="54" t="s">
        <v>157</v>
      </c>
      <c r="C69" s="31">
        <v>4301020296</v>
      </c>
      <c r="D69" s="640">
        <v>4680115881433</v>
      </c>
      <c r="E69" s="641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38"/>
      <c r="R69" s="638"/>
      <c r="S69" s="638"/>
      <c r="T69" s="639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1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62"/>
      <c r="P70" s="642" t="s">
        <v>72</v>
      </c>
      <c r="Q70" s="643"/>
      <c r="R70" s="643"/>
      <c r="S70" s="643"/>
      <c r="T70" s="643"/>
      <c r="U70" s="643"/>
      <c r="V70" s="644"/>
      <c r="W70" s="37" t="s">
        <v>73</v>
      </c>
      <c r="X70" s="635">
        <f>IFERROR(X66/H66,"0")+IFERROR(X67/H67,"0")+IFERROR(X68/H68,"0")+IFERROR(X69/H69,"0")</f>
        <v>37.870370370370367</v>
      </c>
      <c r="Y70" s="635">
        <f>IFERROR(Y66/H66,"0")+IFERROR(Y67/H67,"0")+IFERROR(Y68/H68,"0")+IFERROR(Y69/H69,"0")</f>
        <v>38</v>
      </c>
      <c r="Z70" s="635">
        <f>IFERROR(IF(Z66="",0,Z66),"0")+IFERROR(IF(Z67="",0,Z67),"0")+IFERROR(IF(Z68="",0,Z68),"0")+IFERROR(IF(Z69="",0,Z69),"0")</f>
        <v>0.72123999999999999</v>
      </c>
      <c r="AA70" s="636"/>
      <c r="AB70" s="636"/>
      <c r="AC70" s="636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62"/>
      <c r="P71" s="642" t="s">
        <v>72</v>
      </c>
      <c r="Q71" s="643"/>
      <c r="R71" s="643"/>
      <c r="S71" s="643"/>
      <c r="T71" s="643"/>
      <c r="U71" s="643"/>
      <c r="V71" s="644"/>
      <c r="W71" s="37" t="s">
        <v>67</v>
      </c>
      <c r="X71" s="635">
        <f>IFERROR(SUM(X66:X69),"0")</f>
        <v>409</v>
      </c>
      <c r="Y71" s="635">
        <f>IFERROR(SUM(Y66:Y69),"0")</f>
        <v>410.40000000000003</v>
      </c>
      <c r="Z71" s="37"/>
      <c r="AA71" s="636"/>
      <c r="AB71" s="636"/>
      <c r="AC71" s="636"/>
    </row>
    <row r="72" spans="1:68" ht="14.25" customHeight="1" x14ac:dyDescent="0.25">
      <c r="A72" s="645" t="s">
        <v>74</v>
      </c>
      <c r="B72" s="646"/>
      <c r="C72" s="646"/>
      <c r="D72" s="646"/>
      <c r="E72" s="646"/>
      <c r="F72" s="646"/>
      <c r="G72" s="646"/>
      <c r="H72" s="646"/>
      <c r="I72" s="646"/>
      <c r="J72" s="646"/>
      <c r="K72" s="646"/>
      <c r="L72" s="646"/>
      <c r="M72" s="646"/>
      <c r="N72" s="646"/>
      <c r="O72" s="646"/>
      <c r="P72" s="646"/>
      <c r="Q72" s="646"/>
      <c r="R72" s="646"/>
      <c r="S72" s="646"/>
      <c r="T72" s="646"/>
      <c r="U72" s="646"/>
      <c r="V72" s="646"/>
      <c r="W72" s="646"/>
      <c r="X72" s="646"/>
      <c r="Y72" s="646"/>
      <c r="Z72" s="646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40">
        <v>4680115884311</v>
      </c>
      <c r="E73" s="641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8"/>
      <c r="R73" s="638"/>
      <c r="S73" s="638"/>
      <c r="T73" s="639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161</v>
      </c>
      <c r="B74" s="54" t="s">
        <v>162</v>
      </c>
      <c r="C74" s="31">
        <v>4301051929</v>
      </c>
      <c r="D74" s="640">
        <v>4680115884403</v>
      </c>
      <c r="E74" s="641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8"/>
      <c r="R74" s="638"/>
      <c r="S74" s="638"/>
      <c r="T74" s="639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1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62"/>
      <c r="P75" s="642" t="s">
        <v>72</v>
      </c>
      <c r="Q75" s="643"/>
      <c r="R75" s="643"/>
      <c r="S75" s="643"/>
      <c r="T75" s="643"/>
      <c r="U75" s="643"/>
      <c r="V75" s="644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62"/>
      <c r="P76" s="642" t="s">
        <v>72</v>
      </c>
      <c r="Q76" s="643"/>
      <c r="R76" s="643"/>
      <c r="S76" s="643"/>
      <c r="T76" s="643"/>
      <c r="U76" s="643"/>
      <c r="V76" s="644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customHeight="1" x14ac:dyDescent="0.25">
      <c r="A77" s="645" t="s">
        <v>164</v>
      </c>
      <c r="B77" s="646"/>
      <c r="C77" s="646"/>
      <c r="D77" s="646"/>
      <c r="E77" s="646"/>
      <c r="F77" s="646"/>
      <c r="G77" s="646"/>
      <c r="H77" s="646"/>
      <c r="I77" s="646"/>
      <c r="J77" s="646"/>
      <c r="K77" s="646"/>
      <c r="L77" s="646"/>
      <c r="M77" s="646"/>
      <c r="N77" s="646"/>
      <c r="O77" s="646"/>
      <c r="P77" s="646"/>
      <c r="Q77" s="646"/>
      <c r="R77" s="646"/>
      <c r="S77" s="646"/>
      <c r="T77" s="646"/>
      <c r="U77" s="646"/>
      <c r="V77" s="646"/>
      <c r="W77" s="646"/>
      <c r="X77" s="646"/>
      <c r="Y77" s="646"/>
      <c r="Z77" s="646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0">
        <v>4680115881532</v>
      </c>
      <c r="E78" s="641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8"/>
      <c r="R78" s="638"/>
      <c r="S78" s="638"/>
      <c r="T78" s="639"/>
      <c r="U78" s="34"/>
      <c r="V78" s="34"/>
      <c r="W78" s="35" t="s">
        <v>67</v>
      </c>
      <c r="X78" s="633">
        <v>356</v>
      </c>
      <c r="Y78" s="634">
        <f>IFERROR(IF(X78="",0,CEILING((X78/$H78),1)*$H78),"")</f>
        <v>358.8</v>
      </c>
      <c r="Z78" s="36">
        <f>IFERROR(IF(Y78=0,"",ROUNDUP(Y78/H78,0)*0.01898),"")</f>
        <v>0.87307999999999997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374.71282051282054</v>
      </c>
      <c r="BN78" s="64">
        <f>IFERROR(Y78*I78/H78,"0")</f>
        <v>377.66000000000008</v>
      </c>
      <c r="BO78" s="64">
        <f>IFERROR(1/J78*(X78/H78),"0")</f>
        <v>0.71314102564102566</v>
      </c>
      <c r="BP78" s="64">
        <f>IFERROR(1/J78*(Y78/H78),"0")</f>
        <v>0.71875</v>
      </c>
    </row>
    <row r="79" spans="1:68" ht="27" customHeight="1" x14ac:dyDescent="0.25">
      <c r="A79" s="54" t="s">
        <v>168</v>
      </c>
      <c r="B79" s="54" t="s">
        <v>169</v>
      </c>
      <c r="C79" s="31">
        <v>4301060351</v>
      </c>
      <c r="D79" s="640">
        <v>4680115881464</v>
      </c>
      <c r="E79" s="641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8"/>
      <c r="R79" s="638"/>
      <c r="S79" s="638"/>
      <c r="T79" s="639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1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62"/>
      <c r="P80" s="642" t="s">
        <v>72</v>
      </c>
      <c r="Q80" s="643"/>
      <c r="R80" s="643"/>
      <c r="S80" s="643"/>
      <c r="T80" s="643"/>
      <c r="U80" s="643"/>
      <c r="V80" s="644"/>
      <c r="W80" s="37" t="s">
        <v>73</v>
      </c>
      <c r="X80" s="635">
        <f>IFERROR(X78/H78,"0")+IFERROR(X79/H79,"0")</f>
        <v>45.641025641025642</v>
      </c>
      <c r="Y80" s="635">
        <f>IFERROR(Y78/H78,"0")+IFERROR(Y79/H79,"0")</f>
        <v>46</v>
      </c>
      <c r="Z80" s="635">
        <f>IFERROR(IF(Z78="",0,Z78),"0")+IFERROR(IF(Z79="",0,Z79),"0")</f>
        <v>0.87307999999999997</v>
      </c>
      <c r="AA80" s="636"/>
      <c r="AB80" s="636"/>
      <c r="AC80" s="636"/>
    </row>
    <row r="81" spans="1:68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62"/>
      <c r="P81" s="642" t="s">
        <v>72</v>
      </c>
      <c r="Q81" s="643"/>
      <c r="R81" s="643"/>
      <c r="S81" s="643"/>
      <c r="T81" s="643"/>
      <c r="U81" s="643"/>
      <c r="V81" s="644"/>
      <c r="W81" s="37" t="s">
        <v>67</v>
      </c>
      <c r="X81" s="635">
        <f>IFERROR(SUM(X78:X79),"0")</f>
        <v>356</v>
      </c>
      <c r="Y81" s="635">
        <f>IFERROR(SUM(Y78:Y79),"0")</f>
        <v>358.8</v>
      </c>
      <c r="Z81" s="37"/>
      <c r="AA81" s="636"/>
      <c r="AB81" s="636"/>
      <c r="AC81" s="636"/>
    </row>
    <row r="82" spans="1:68" ht="16.5" customHeight="1" x14ac:dyDescent="0.25">
      <c r="A82" s="652" t="s">
        <v>171</v>
      </c>
      <c r="B82" s="646"/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  <c r="Z82" s="646"/>
      <c r="AA82" s="628"/>
      <c r="AB82" s="628"/>
      <c r="AC82" s="628"/>
    </row>
    <row r="83" spans="1:68" ht="14.25" customHeight="1" x14ac:dyDescent="0.25">
      <c r="A83" s="645" t="s">
        <v>111</v>
      </c>
      <c r="B83" s="646"/>
      <c r="C83" s="646"/>
      <c r="D83" s="646"/>
      <c r="E83" s="646"/>
      <c r="F83" s="646"/>
      <c r="G83" s="646"/>
      <c r="H83" s="646"/>
      <c r="I83" s="646"/>
      <c r="J83" s="646"/>
      <c r="K83" s="646"/>
      <c r="L83" s="646"/>
      <c r="M83" s="646"/>
      <c r="N83" s="646"/>
      <c r="O83" s="646"/>
      <c r="P83" s="646"/>
      <c r="Q83" s="646"/>
      <c r="R83" s="646"/>
      <c r="S83" s="646"/>
      <c r="T83" s="646"/>
      <c r="U83" s="646"/>
      <c r="V83" s="646"/>
      <c r="W83" s="646"/>
      <c r="X83" s="646"/>
      <c r="Y83" s="646"/>
      <c r="Z83" s="646"/>
      <c r="AA83" s="629"/>
      <c r="AB83" s="629"/>
      <c r="AC83" s="629"/>
    </row>
    <row r="84" spans="1:68" ht="27" customHeight="1" x14ac:dyDescent="0.25">
      <c r="A84" s="54" t="s">
        <v>172</v>
      </c>
      <c r="B84" s="54" t="s">
        <v>173</v>
      </c>
      <c r="C84" s="31">
        <v>4301011468</v>
      </c>
      <c r="D84" s="640">
        <v>4680115881327</v>
      </c>
      <c r="E84" s="641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89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8"/>
      <c r="R84" s="638"/>
      <c r="S84" s="638"/>
      <c r="T84" s="639"/>
      <c r="U84" s="34"/>
      <c r="V84" s="34"/>
      <c r="W84" s="35" t="s">
        <v>67</v>
      </c>
      <c r="X84" s="633">
        <v>467</v>
      </c>
      <c r="Y84" s="634">
        <f>IFERROR(IF(X84="",0,CEILING((X84/$H84),1)*$H84),"")</f>
        <v>475.20000000000005</v>
      </c>
      <c r="Z84" s="36">
        <f>IFERROR(IF(Y84=0,"",ROUNDUP(Y84/H84,0)*0.01898),"")</f>
        <v>0.83511999999999997</v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484.72870370370373</v>
      </c>
      <c r="BN84" s="64">
        <f>IFERROR(Y84*I84/H84,"0")</f>
        <v>493.24000000000007</v>
      </c>
      <c r="BO84" s="64">
        <f>IFERROR(1/J84*(X84/H84),"0")</f>
        <v>0.67563657407407407</v>
      </c>
      <c r="BP84" s="64">
        <f>IFERROR(1/J84*(Y84/H84),"0")</f>
        <v>0.6875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40">
        <v>4680115887732</v>
      </c>
      <c r="E85" s="641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8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8"/>
      <c r="R85" s="638"/>
      <c r="S85" s="638"/>
      <c r="T85" s="639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4301011476</v>
      </c>
      <c r="D86" s="640">
        <v>4680115881518</v>
      </c>
      <c r="E86" s="641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8"/>
      <c r="R86" s="638"/>
      <c r="S86" s="638"/>
      <c r="T86" s="639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40">
        <v>4680115881303</v>
      </c>
      <c r="E87" s="641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8"/>
      <c r="R87" s="638"/>
      <c r="S87" s="638"/>
      <c r="T87" s="639"/>
      <c r="U87" s="34"/>
      <c r="V87" s="34"/>
      <c r="W87" s="35" t="s">
        <v>67</v>
      </c>
      <c r="X87" s="633">
        <v>134</v>
      </c>
      <c r="Y87" s="634">
        <f>IFERROR(IF(X87="",0,CEILING((X87/$H87),1)*$H87),"")</f>
        <v>135</v>
      </c>
      <c r="Z87" s="36">
        <f>IFERROR(IF(Y87=0,"",ROUNDUP(Y87/H87,0)*0.00902),"")</f>
        <v>0.27060000000000001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139.6577777777778</v>
      </c>
      <c r="BN87" s="64">
        <f>IFERROR(Y87*I87/H87,"0")</f>
        <v>140.70000000000002</v>
      </c>
      <c r="BO87" s="64">
        <f>IFERROR(1/J87*(X87/H87),"0")</f>
        <v>0.22558922558922559</v>
      </c>
      <c r="BP87" s="64">
        <f>IFERROR(1/J87*(Y87/H87),"0")</f>
        <v>0.22727272727272729</v>
      </c>
    </row>
    <row r="88" spans="1:68" x14ac:dyDescent="0.2">
      <c r="A88" s="661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62"/>
      <c r="P88" s="642" t="s">
        <v>72</v>
      </c>
      <c r="Q88" s="643"/>
      <c r="R88" s="643"/>
      <c r="S88" s="643"/>
      <c r="T88" s="643"/>
      <c r="U88" s="643"/>
      <c r="V88" s="644"/>
      <c r="W88" s="37" t="s">
        <v>73</v>
      </c>
      <c r="X88" s="635">
        <f>IFERROR(X84/H84,"0")+IFERROR(X85/H85,"0")+IFERROR(X86/H86,"0")+IFERROR(X87/H87,"0")</f>
        <v>73.018518518518519</v>
      </c>
      <c r="Y88" s="635">
        <f>IFERROR(Y84/H84,"0")+IFERROR(Y85/H85,"0")+IFERROR(Y86/H86,"0")+IFERROR(Y87/H87,"0")</f>
        <v>74</v>
      </c>
      <c r="Z88" s="635">
        <f>IFERROR(IF(Z84="",0,Z84),"0")+IFERROR(IF(Z85="",0,Z85),"0")+IFERROR(IF(Z86="",0,Z86),"0")+IFERROR(IF(Z87="",0,Z87),"0")</f>
        <v>1.10572</v>
      </c>
      <c r="AA88" s="636"/>
      <c r="AB88" s="636"/>
      <c r="AC88" s="636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62"/>
      <c r="P89" s="642" t="s">
        <v>72</v>
      </c>
      <c r="Q89" s="643"/>
      <c r="R89" s="643"/>
      <c r="S89" s="643"/>
      <c r="T89" s="643"/>
      <c r="U89" s="643"/>
      <c r="V89" s="644"/>
      <c r="W89" s="37" t="s">
        <v>67</v>
      </c>
      <c r="X89" s="635">
        <f>IFERROR(SUM(X84:X87),"0")</f>
        <v>601</v>
      </c>
      <c r="Y89" s="635">
        <f>IFERROR(SUM(Y84:Y87),"0")</f>
        <v>610.20000000000005</v>
      </c>
      <c r="Z89" s="37"/>
      <c r="AA89" s="636"/>
      <c r="AB89" s="636"/>
      <c r="AC89" s="636"/>
    </row>
    <row r="90" spans="1:68" ht="14.25" customHeight="1" x14ac:dyDescent="0.25">
      <c r="A90" s="645" t="s">
        <v>74</v>
      </c>
      <c r="B90" s="646"/>
      <c r="C90" s="646"/>
      <c r="D90" s="646"/>
      <c r="E90" s="646"/>
      <c r="F90" s="646"/>
      <c r="G90" s="646"/>
      <c r="H90" s="646"/>
      <c r="I90" s="646"/>
      <c r="J90" s="646"/>
      <c r="K90" s="646"/>
      <c r="L90" s="646"/>
      <c r="M90" s="646"/>
      <c r="N90" s="646"/>
      <c r="O90" s="646"/>
      <c r="P90" s="646"/>
      <c r="Q90" s="646"/>
      <c r="R90" s="646"/>
      <c r="S90" s="646"/>
      <c r="T90" s="646"/>
      <c r="U90" s="646"/>
      <c r="V90" s="646"/>
      <c r="W90" s="646"/>
      <c r="X90" s="646"/>
      <c r="Y90" s="646"/>
      <c r="Z90" s="646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40">
        <v>4607091386967</v>
      </c>
      <c r="E91" s="641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8"/>
      <c r="R91" s="638"/>
      <c r="S91" s="638"/>
      <c r="T91" s="639"/>
      <c r="U91" s="34"/>
      <c r="V91" s="34"/>
      <c r="W91" s="35" t="s">
        <v>67</v>
      </c>
      <c r="X91" s="633">
        <v>355</v>
      </c>
      <c r="Y91" s="634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376.65061728395062</v>
      </c>
      <c r="BN91" s="64">
        <f>IFERROR(Y91*I91/H91,"0")</f>
        <v>378.13599999999997</v>
      </c>
      <c r="BO91" s="64">
        <f>IFERROR(1/J91*(X91/H91),"0")</f>
        <v>0.68479938271604945</v>
      </c>
      <c r="BP91" s="64">
        <f>IFERROR(1/J91*(Y91/H91),"0")</f>
        <v>0.6875</v>
      </c>
    </row>
    <row r="92" spans="1:68" ht="27" customHeight="1" x14ac:dyDescent="0.25">
      <c r="A92" s="54" t="s">
        <v>185</v>
      </c>
      <c r="B92" s="54" t="s">
        <v>186</v>
      </c>
      <c r="C92" s="31">
        <v>4301051788</v>
      </c>
      <c r="D92" s="640">
        <v>4680115884953</v>
      </c>
      <c r="E92" s="641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8"/>
      <c r="R92" s="638"/>
      <c r="S92" s="638"/>
      <c r="T92" s="639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40">
        <v>4607091385731</v>
      </c>
      <c r="E93" s="641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9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8"/>
      <c r="R93" s="638"/>
      <c r="S93" s="638"/>
      <c r="T93" s="639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189</v>
      </c>
      <c r="B94" s="54" t="s">
        <v>190</v>
      </c>
      <c r="C94" s="31">
        <v>4301052092</v>
      </c>
      <c r="D94" s="640">
        <v>4680115880894</v>
      </c>
      <c r="E94" s="641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70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38"/>
      <c r="R94" s="638"/>
      <c r="S94" s="638"/>
      <c r="T94" s="639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1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62"/>
      <c r="P95" s="642" t="s">
        <v>72</v>
      </c>
      <c r="Q95" s="643"/>
      <c r="R95" s="643"/>
      <c r="S95" s="643"/>
      <c r="T95" s="643"/>
      <c r="U95" s="643"/>
      <c r="V95" s="644"/>
      <c r="W95" s="37" t="s">
        <v>73</v>
      </c>
      <c r="X95" s="635">
        <f>IFERROR(X91/H91,"0")+IFERROR(X92/H92,"0")+IFERROR(X93/H93,"0")+IFERROR(X94/H94,"0")</f>
        <v>43.827160493827165</v>
      </c>
      <c r="Y95" s="635">
        <f>IFERROR(Y91/H91,"0")+IFERROR(Y92/H92,"0")+IFERROR(Y93/H93,"0")+IFERROR(Y94/H94,"0")</f>
        <v>44</v>
      </c>
      <c r="Z95" s="635">
        <f>IFERROR(IF(Z91="",0,Z91),"0")+IFERROR(IF(Z92="",0,Z92),"0")+IFERROR(IF(Z93="",0,Z93),"0")+IFERROR(IF(Z94="",0,Z94),"0")</f>
        <v>0.83511999999999997</v>
      </c>
      <c r="AA95" s="636"/>
      <c r="AB95" s="636"/>
      <c r="AC95" s="636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62"/>
      <c r="P96" s="642" t="s">
        <v>72</v>
      </c>
      <c r="Q96" s="643"/>
      <c r="R96" s="643"/>
      <c r="S96" s="643"/>
      <c r="T96" s="643"/>
      <c r="U96" s="643"/>
      <c r="V96" s="644"/>
      <c r="W96" s="37" t="s">
        <v>67</v>
      </c>
      <c r="X96" s="635">
        <f>IFERROR(SUM(X91:X94),"0")</f>
        <v>355</v>
      </c>
      <c r="Y96" s="635">
        <f>IFERROR(SUM(Y91:Y94),"0")</f>
        <v>356.4</v>
      </c>
      <c r="Z96" s="37"/>
      <c r="AA96" s="636"/>
      <c r="AB96" s="636"/>
      <c r="AC96" s="636"/>
    </row>
    <row r="97" spans="1:68" ht="16.5" customHeight="1" x14ac:dyDescent="0.25">
      <c r="A97" s="652" t="s">
        <v>192</v>
      </c>
      <c r="B97" s="646"/>
      <c r="C97" s="646"/>
      <c r="D97" s="646"/>
      <c r="E97" s="646"/>
      <c r="F97" s="646"/>
      <c r="G97" s="646"/>
      <c r="H97" s="646"/>
      <c r="I97" s="646"/>
      <c r="J97" s="646"/>
      <c r="K97" s="646"/>
      <c r="L97" s="646"/>
      <c r="M97" s="646"/>
      <c r="N97" s="646"/>
      <c r="O97" s="646"/>
      <c r="P97" s="646"/>
      <c r="Q97" s="646"/>
      <c r="R97" s="646"/>
      <c r="S97" s="646"/>
      <c r="T97" s="646"/>
      <c r="U97" s="646"/>
      <c r="V97" s="646"/>
      <c r="W97" s="646"/>
      <c r="X97" s="646"/>
      <c r="Y97" s="646"/>
      <c r="Z97" s="646"/>
      <c r="AA97" s="628"/>
      <c r="AB97" s="628"/>
      <c r="AC97" s="628"/>
    </row>
    <row r="98" spans="1:68" ht="14.25" customHeight="1" x14ac:dyDescent="0.25">
      <c r="A98" s="645" t="s">
        <v>111</v>
      </c>
      <c r="B98" s="646"/>
      <c r="C98" s="646"/>
      <c r="D98" s="646"/>
      <c r="E98" s="646"/>
      <c r="F98" s="646"/>
      <c r="G98" s="646"/>
      <c r="H98" s="646"/>
      <c r="I98" s="646"/>
      <c r="J98" s="646"/>
      <c r="K98" s="646"/>
      <c r="L98" s="646"/>
      <c r="M98" s="646"/>
      <c r="N98" s="646"/>
      <c r="O98" s="646"/>
      <c r="P98" s="646"/>
      <c r="Q98" s="646"/>
      <c r="R98" s="646"/>
      <c r="S98" s="646"/>
      <c r="T98" s="646"/>
      <c r="U98" s="646"/>
      <c r="V98" s="646"/>
      <c r="W98" s="646"/>
      <c r="X98" s="646"/>
      <c r="Y98" s="646"/>
      <c r="Z98" s="646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40">
        <v>4680115882133</v>
      </c>
      <c r="E99" s="641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8"/>
      <c r="R99" s="638"/>
      <c r="S99" s="638"/>
      <c r="T99" s="639"/>
      <c r="U99" s="34"/>
      <c r="V99" s="34"/>
      <c r="W99" s="35" t="s">
        <v>67</v>
      </c>
      <c r="X99" s="633">
        <v>510</v>
      </c>
      <c r="Y99" s="634">
        <f t="shared" ref="Y99:Y105" si="5">IFERROR(IF(X99="",0,CEILING((X99/$H99),1)*$H99),"")</f>
        <v>518.40000000000009</v>
      </c>
      <c r="Z99" s="36">
        <f>IFERROR(IF(Y99=0,"",ROUNDUP(Y99/H99,0)*0.01898),"")</f>
        <v>0.91104000000000007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529.36111111111109</v>
      </c>
      <c r="BN99" s="64">
        <f t="shared" ref="BN99:BN105" si="7">IFERROR(Y99*I99/H99,"0")</f>
        <v>538.08000000000004</v>
      </c>
      <c r="BO99" s="64">
        <f t="shared" ref="BO99:BO105" si="8">IFERROR(1/J99*(X99/H99),"0")</f>
        <v>0.73784722222222221</v>
      </c>
      <c r="BP99" s="64">
        <f t="shared" ref="BP99:BP105" si="9">IFERROR(1/J99*(Y99/H99),"0")</f>
        <v>0.75000000000000011</v>
      </c>
    </row>
    <row r="100" spans="1:68" ht="27" customHeight="1" x14ac:dyDescent="0.25">
      <c r="A100" s="54" t="s">
        <v>196</v>
      </c>
      <c r="B100" s="54" t="s">
        <v>197</v>
      </c>
      <c r="C100" s="31">
        <v>4301012051</v>
      </c>
      <c r="D100" s="640">
        <v>4680115887718</v>
      </c>
      <c r="E100" s="641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7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8"/>
      <c r="R100" s="638"/>
      <c r="S100" s="638"/>
      <c r="T100" s="639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customHeight="1" x14ac:dyDescent="0.25">
      <c r="A101" s="54" t="s">
        <v>196</v>
      </c>
      <c r="B101" s="54" t="s">
        <v>199</v>
      </c>
      <c r="C101" s="31">
        <v>4301012334</v>
      </c>
      <c r="D101" s="640">
        <v>4680115887718</v>
      </c>
      <c r="E101" s="641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8"/>
      <c r="R101" s="638"/>
      <c r="S101" s="638"/>
      <c r="T101" s="639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customHeight="1" x14ac:dyDescent="0.25">
      <c r="A102" s="54" t="s">
        <v>196</v>
      </c>
      <c r="B102" s="54" t="s">
        <v>200</v>
      </c>
      <c r="C102" s="31">
        <v>4301012379</v>
      </c>
      <c r="D102" s="640">
        <v>4680115887718</v>
      </c>
      <c r="E102" s="641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4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38"/>
      <c r="R102" s="638"/>
      <c r="S102" s="638"/>
      <c r="T102" s="639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4301011417</v>
      </c>
      <c r="D103" s="640">
        <v>4680115880269</v>
      </c>
      <c r="E103" s="641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38"/>
      <c r="R103" s="638"/>
      <c r="S103" s="638"/>
      <c r="T103" s="639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40">
        <v>4680115880429</v>
      </c>
      <c r="E104" s="641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38"/>
      <c r="R104" s="638"/>
      <c r="S104" s="638"/>
      <c r="T104" s="639"/>
      <c r="U104" s="34"/>
      <c r="V104" s="34"/>
      <c r="W104" s="35" t="s">
        <v>67</v>
      </c>
      <c r="X104" s="633">
        <v>106</v>
      </c>
      <c r="Y104" s="634">
        <f t="shared" si="5"/>
        <v>108</v>
      </c>
      <c r="Z104" s="36">
        <f>IFERROR(IF(Y104=0,"",ROUNDUP(Y104/H104,0)*0.00902),"")</f>
        <v>0.21648000000000001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110.47555555555556</v>
      </c>
      <c r="BN104" s="64">
        <f t="shared" si="7"/>
        <v>112.56</v>
      </c>
      <c r="BO104" s="64">
        <f t="shared" si="8"/>
        <v>0.17845117845117847</v>
      </c>
      <c r="BP104" s="64">
        <f t="shared" si="9"/>
        <v>0.18181818181818182</v>
      </c>
    </row>
    <row r="105" spans="1:68" ht="37.5" customHeight="1" x14ac:dyDescent="0.25">
      <c r="A105" s="54" t="s">
        <v>205</v>
      </c>
      <c r="B105" s="54" t="s">
        <v>206</v>
      </c>
      <c r="C105" s="31">
        <v>4301011462</v>
      </c>
      <c r="D105" s="640">
        <v>4680115881457</v>
      </c>
      <c r="E105" s="641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3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38"/>
      <c r="R105" s="638"/>
      <c r="S105" s="638"/>
      <c r="T105" s="639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1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62"/>
      <c r="P106" s="642" t="s">
        <v>72</v>
      </c>
      <c r="Q106" s="643"/>
      <c r="R106" s="643"/>
      <c r="S106" s="643"/>
      <c r="T106" s="643"/>
      <c r="U106" s="643"/>
      <c r="V106" s="644"/>
      <c r="W106" s="37" t="s">
        <v>73</v>
      </c>
      <c r="X106" s="635">
        <f>IFERROR(X99/H99,"0")+IFERROR(X100/H100,"0")+IFERROR(X101/H101,"0")+IFERROR(X102/H102,"0")+IFERROR(X103/H103,"0")+IFERROR(X104/H104,"0")+IFERROR(X105/H105,"0")</f>
        <v>70.777777777777771</v>
      </c>
      <c r="Y106" s="635">
        <f>IFERROR(Y99/H99,"0")+IFERROR(Y100/H100,"0")+IFERROR(Y101/H101,"0")+IFERROR(Y102/H102,"0")+IFERROR(Y103/H103,"0")+IFERROR(Y104/H104,"0")+IFERROR(Y105/H105,"0")</f>
        <v>72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1.1275200000000001</v>
      </c>
      <c r="AA106" s="636"/>
      <c r="AB106" s="636"/>
      <c r="AC106" s="636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62"/>
      <c r="P107" s="642" t="s">
        <v>72</v>
      </c>
      <c r="Q107" s="643"/>
      <c r="R107" s="643"/>
      <c r="S107" s="643"/>
      <c r="T107" s="643"/>
      <c r="U107" s="643"/>
      <c r="V107" s="644"/>
      <c r="W107" s="37" t="s">
        <v>67</v>
      </c>
      <c r="X107" s="635">
        <f>IFERROR(SUM(X99:X105),"0")</f>
        <v>616</v>
      </c>
      <c r="Y107" s="635">
        <f>IFERROR(SUM(Y99:Y105),"0")</f>
        <v>626.40000000000009</v>
      </c>
      <c r="Z107" s="37"/>
      <c r="AA107" s="636"/>
      <c r="AB107" s="636"/>
      <c r="AC107" s="636"/>
    </row>
    <row r="108" spans="1:68" ht="14.25" customHeight="1" x14ac:dyDescent="0.25">
      <c r="A108" s="645" t="s">
        <v>147</v>
      </c>
      <c r="B108" s="646"/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646"/>
      <c r="Z108" s="646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40">
        <v>4680115881488</v>
      </c>
      <c r="E109" s="641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38"/>
      <c r="R109" s="638"/>
      <c r="S109" s="638"/>
      <c r="T109" s="639"/>
      <c r="U109" s="34"/>
      <c r="V109" s="34"/>
      <c r="W109" s="35" t="s">
        <v>67</v>
      </c>
      <c r="X109" s="633">
        <v>75</v>
      </c>
      <c r="Y109" s="634">
        <f>IFERROR(IF(X109="",0,CEILING((X109/$H109),1)*$H109),"")</f>
        <v>75.600000000000009</v>
      </c>
      <c r="Z109" s="36">
        <f>IFERROR(IF(Y109=0,"",ROUNDUP(Y109/H109,0)*0.01898),"")</f>
        <v>0.13286000000000001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77.847222222222229</v>
      </c>
      <c r="BN109" s="64">
        <f>IFERROR(Y109*I109/H109,"0")</f>
        <v>78.47</v>
      </c>
      <c r="BO109" s="64">
        <f>IFERROR(1/J109*(X109/H109),"0")</f>
        <v>0.10850694444444443</v>
      </c>
      <c r="BP109" s="64">
        <f>IFERROR(1/J109*(Y109/H109),"0")</f>
        <v>0.109375</v>
      </c>
    </row>
    <row r="110" spans="1:68" ht="27" customHeight="1" x14ac:dyDescent="0.25">
      <c r="A110" s="54" t="s">
        <v>210</v>
      </c>
      <c r="B110" s="54" t="s">
        <v>211</v>
      </c>
      <c r="C110" s="31">
        <v>4301020186</v>
      </c>
      <c r="D110" s="640">
        <v>4680115887664</v>
      </c>
      <c r="E110" s="641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9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8"/>
      <c r="R110" s="638"/>
      <c r="S110" s="638"/>
      <c r="T110" s="639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customHeight="1" x14ac:dyDescent="0.25">
      <c r="A111" s="54" t="s">
        <v>210</v>
      </c>
      <c r="B111" s="54" t="s">
        <v>214</v>
      </c>
      <c r="C111" s="31">
        <v>4301020430</v>
      </c>
      <c r="D111" s="640">
        <v>4680115887664</v>
      </c>
      <c r="E111" s="641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38"/>
      <c r="R111" s="638"/>
      <c r="S111" s="638"/>
      <c r="T111" s="639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4301020393</v>
      </c>
      <c r="D112" s="640">
        <v>4680115882775</v>
      </c>
      <c r="E112" s="641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38"/>
      <c r="R112" s="638"/>
      <c r="S112" s="638"/>
      <c r="T112" s="639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40">
        <v>4680115880658</v>
      </c>
      <c r="E113" s="641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5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38"/>
      <c r="R113" s="638"/>
      <c r="S113" s="638"/>
      <c r="T113" s="639"/>
      <c r="U113" s="34"/>
      <c r="V113" s="34"/>
      <c r="W113" s="35" t="s">
        <v>67</v>
      </c>
      <c r="X113" s="633">
        <v>20</v>
      </c>
      <c r="Y113" s="634">
        <f>IFERROR(IF(X113="",0,CEILING((X113/$H113),1)*$H113),"")</f>
        <v>21.599999999999998</v>
      </c>
      <c r="Z113" s="36">
        <f>IFERROR(IF(Y113=0,"",ROUNDUP(Y113/H113,0)*0.00651),"")</f>
        <v>5.8590000000000003E-2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21.5</v>
      </c>
      <c r="BN113" s="64">
        <f>IFERROR(Y113*I113/H113,"0")</f>
        <v>23.22</v>
      </c>
      <c r="BO113" s="64">
        <f>IFERROR(1/J113*(X113/H113),"0")</f>
        <v>4.5787545787545791E-2</v>
      </c>
      <c r="BP113" s="64">
        <f>IFERROR(1/J113*(Y113/H113),"0")</f>
        <v>4.9450549450549455E-2</v>
      </c>
    </row>
    <row r="114" spans="1:68" x14ac:dyDescent="0.2">
      <c r="A114" s="661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62"/>
      <c r="P114" s="642" t="s">
        <v>72</v>
      </c>
      <c r="Q114" s="643"/>
      <c r="R114" s="643"/>
      <c r="S114" s="643"/>
      <c r="T114" s="643"/>
      <c r="U114" s="643"/>
      <c r="V114" s="644"/>
      <c r="W114" s="37" t="s">
        <v>73</v>
      </c>
      <c r="X114" s="635">
        <f>IFERROR(X109/H109,"0")+IFERROR(X110/H110,"0")+IFERROR(X111/H111,"0")+IFERROR(X112/H112,"0")+IFERROR(X113/H113,"0")</f>
        <v>15.277777777777779</v>
      </c>
      <c r="Y114" s="635">
        <f>IFERROR(Y109/H109,"0")+IFERROR(Y110/H110,"0")+IFERROR(Y111/H111,"0")+IFERROR(Y112/H112,"0")+IFERROR(Y113/H113,"0")</f>
        <v>16</v>
      </c>
      <c r="Z114" s="635">
        <f>IFERROR(IF(Z109="",0,Z109),"0")+IFERROR(IF(Z110="",0,Z110),"0")+IFERROR(IF(Z111="",0,Z111),"0")+IFERROR(IF(Z112="",0,Z112),"0")+IFERROR(IF(Z113="",0,Z113),"0")</f>
        <v>0.19145000000000001</v>
      </c>
      <c r="AA114" s="636"/>
      <c r="AB114" s="636"/>
      <c r="AC114" s="636"/>
    </row>
    <row r="115" spans="1:68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62"/>
      <c r="P115" s="642" t="s">
        <v>72</v>
      </c>
      <c r="Q115" s="643"/>
      <c r="R115" s="643"/>
      <c r="S115" s="643"/>
      <c r="T115" s="643"/>
      <c r="U115" s="643"/>
      <c r="V115" s="644"/>
      <c r="W115" s="37" t="s">
        <v>67</v>
      </c>
      <c r="X115" s="635">
        <f>IFERROR(SUM(X109:X113),"0")</f>
        <v>95</v>
      </c>
      <c r="Y115" s="635">
        <f>IFERROR(SUM(Y109:Y113),"0")</f>
        <v>97.2</v>
      </c>
      <c r="Z115" s="37"/>
      <c r="AA115" s="636"/>
      <c r="AB115" s="636"/>
      <c r="AC115" s="636"/>
    </row>
    <row r="116" spans="1:68" ht="14.25" customHeight="1" x14ac:dyDescent="0.25">
      <c r="A116" s="645" t="s">
        <v>74</v>
      </c>
      <c r="B116" s="646"/>
      <c r="C116" s="646"/>
      <c r="D116" s="646"/>
      <c r="E116" s="646"/>
      <c r="F116" s="646"/>
      <c r="G116" s="646"/>
      <c r="H116" s="646"/>
      <c r="I116" s="646"/>
      <c r="J116" s="646"/>
      <c r="K116" s="646"/>
      <c r="L116" s="646"/>
      <c r="M116" s="646"/>
      <c r="N116" s="646"/>
      <c r="O116" s="646"/>
      <c r="P116" s="646"/>
      <c r="Q116" s="646"/>
      <c r="R116" s="646"/>
      <c r="S116" s="646"/>
      <c r="T116" s="646"/>
      <c r="U116" s="646"/>
      <c r="V116" s="646"/>
      <c r="W116" s="646"/>
      <c r="X116" s="646"/>
      <c r="Y116" s="646"/>
      <c r="Z116" s="646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40">
        <v>4607091385168</v>
      </c>
      <c r="E117" s="641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38"/>
      <c r="R117" s="638"/>
      <c r="S117" s="638"/>
      <c r="T117" s="639"/>
      <c r="U117" s="34"/>
      <c r="V117" s="34"/>
      <c r="W117" s="35" t="s">
        <v>67</v>
      </c>
      <c r="X117" s="633">
        <v>386</v>
      </c>
      <c r="Y117" s="634">
        <f>IFERROR(IF(X117="",0,CEILING((X117/$H117),1)*$H117),"")</f>
        <v>388.79999999999995</v>
      </c>
      <c r="Z117" s="36">
        <f>IFERROR(IF(Y117=0,"",ROUNDUP(Y117/H117,0)*0.01898),"")</f>
        <v>0.91104000000000007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409.25530864197532</v>
      </c>
      <c r="BN117" s="64">
        <f>IFERROR(Y117*I117/H117,"0")</f>
        <v>412.22399999999993</v>
      </c>
      <c r="BO117" s="64">
        <f>IFERROR(1/J117*(X117/H117),"0")</f>
        <v>0.7445987654320988</v>
      </c>
      <c r="BP117" s="64">
        <f>IFERROR(1/J117*(Y117/H117),"0")</f>
        <v>0.75</v>
      </c>
    </row>
    <row r="118" spans="1:68" ht="27" customHeight="1" x14ac:dyDescent="0.25">
      <c r="A118" s="54" t="s">
        <v>222</v>
      </c>
      <c r="B118" s="54" t="s">
        <v>223</v>
      </c>
      <c r="C118" s="31">
        <v>4301051730</v>
      </c>
      <c r="D118" s="640">
        <v>4607091383256</v>
      </c>
      <c r="E118" s="641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7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38"/>
      <c r="R118" s="638"/>
      <c r="S118" s="638"/>
      <c r="T118" s="639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40">
        <v>4607091385748</v>
      </c>
      <c r="E119" s="641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8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38"/>
      <c r="R119" s="638"/>
      <c r="S119" s="638"/>
      <c r="T119" s="639"/>
      <c r="U119" s="34"/>
      <c r="V119" s="34"/>
      <c r="W119" s="35" t="s">
        <v>67</v>
      </c>
      <c r="X119" s="633">
        <v>158</v>
      </c>
      <c r="Y119" s="634">
        <f>IFERROR(IF(X119="",0,CEILING((X119/$H119),1)*$H119),"")</f>
        <v>159.30000000000001</v>
      </c>
      <c r="Z119" s="36">
        <f>IFERROR(IF(Y119=0,"",ROUNDUP(Y119/H119,0)*0.00651),"")</f>
        <v>0.38408999999999999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172.74666666666664</v>
      </c>
      <c r="BN119" s="64">
        <f>IFERROR(Y119*I119/H119,"0")</f>
        <v>174.16799999999998</v>
      </c>
      <c r="BO119" s="64">
        <f>IFERROR(1/J119*(X119/H119),"0")</f>
        <v>0.32153032153032152</v>
      </c>
      <c r="BP119" s="64">
        <f>IFERROR(1/J119*(Y119/H119),"0")</f>
        <v>0.32417582417582419</v>
      </c>
    </row>
    <row r="120" spans="1:68" ht="16.5" customHeight="1" x14ac:dyDescent="0.25">
      <c r="A120" s="54" t="s">
        <v>226</v>
      </c>
      <c r="B120" s="54" t="s">
        <v>227</v>
      </c>
      <c r="C120" s="31">
        <v>4301051740</v>
      </c>
      <c r="D120" s="640">
        <v>4680115884533</v>
      </c>
      <c r="E120" s="641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38"/>
      <c r="R120" s="638"/>
      <c r="S120" s="638"/>
      <c r="T120" s="639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1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62"/>
      <c r="P121" s="642" t="s">
        <v>72</v>
      </c>
      <c r="Q121" s="643"/>
      <c r="R121" s="643"/>
      <c r="S121" s="643"/>
      <c r="T121" s="643"/>
      <c r="U121" s="643"/>
      <c r="V121" s="644"/>
      <c r="W121" s="37" t="s">
        <v>73</v>
      </c>
      <c r="X121" s="635">
        <f>IFERROR(X117/H117,"0")+IFERROR(X118/H118,"0")+IFERROR(X119/H119,"0")+IFERROR(X120/H120,"0")</f>
        <v>106.17283950617283</v>
      </c>
      <c r="Y121" s="635">
        <f>IFERROR(Y117/H117,"0")+IFERROR(Y118/H118,"0")+IFERROR(Y119/H119,"0")+IFERROR(Y120/H120,"0")</f>
        <v>107</v>
      </c>
      <c r="Z121" s="635">
        <f>IFERROR(IF(Z117="",0,Z117),"0")+IFERROR(IF(Z118="",0,Z118),"0")+IFERROR(IF(Z119="",0,Z119),"0")+IFERROR(IF(Z120="",0,Z120),"0")</f>
        <v>1.2951300000000001</v>
      </c>
      <c r="AA121" s="636"/>
      <c r="AB121" s="636"/>
      <c r="AC121" s="636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62"/>
      <c r="P122" s="642" t="s">
        <v>72</v>
      </c>
      <c r="Q122" s="643"/>
      <c r="R122" s="643"/>
      <c r="S122" s="643"/>
      <c r="T122" s="643"/>
      <c r="U122" s="643"/>
      <c r="V122" s="644"/>
      <c r="W122" s="37" t="s">
        <v>67</v>
      </c>
      <c r="X122" s="635">
        <f>IFERROR(SUM(X117:X120),"0")</f>
        <v>544</v>
      </c>
      <c r="Y122" s="635">
        <f>IFERROR(SUM(Y117:Y120),"0")</f>
        <v>548.09999999999991</v>
      </c>
      <c r="Z122" s="37"/>
      <c r="AA122" s="636"/>
      <c r="AB122" s="636"/>
      <c r="AC122" s="636"/>
    </row>
    <row r="123" spans="1:68" ht="14.25" customHeight="1" x14ac:dyDescent="0.25">
      <c r="A123" s="645" t="s">
        <v>164</v>
      </c>
      <c r="B123" s="646"/>
      <c r="C123" s="646"/>
      <c r="D123" s="646"/>
      <c r="E123" s="646"/>
      <c r="F123" s="646"/>
      <c r="G123" s="646"/>
      <c r="H123" s="646"/>
      <c r="I123" s="646"/>
      <c r="J123" s="646"/>
      <c r="K123" s="646"/>
      <c r="L123" s="646"/>
      <c r="M123" s="646"/>
      <c r="N123" s="646"/>
      <c r="O123" s="646"/>
      <c r="P123" s="646"/>
      <c r="Q123" s="646"/>
      <c r="R123" s="646"/>
      <c r="S123" s="646"/>
      <c r="T123" s="646"/>
      <c r="U123" s="646"/>
      <c r="V123" s="646"/>
      <c r="W123" s="646"/>
      <c r="X123" s="646"/>
      <c r="Y123" s="646"/>
      <c r="Z123" s="646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40">
        <v>4680115880238</v>
      </c>
      <c r="E124" s="641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38"/>
      <c r="R124" s="638"/>
      <c r="S124" s="638"/>
      <c r="T124" s="639"/>
      <c r="U124" s="34"/>
      <c r="V124" s="34"/>
      <c r="W124" s="35" t="s">
        <v>67</v>
      </c>
      <c r="X124" s="633">
        <v>3</v>
      </c>
      <c r="Y124" s="634">
        <f>IFERROR(IF(X124="",0,CEILING((X124/$H124),1)*$H124),"")</f>
        <v>3.96</v>
      </c>
      <c r="Z124" s="36">
        <f>IFERROR(IF(Y124=0,"",ROUNDUP(Y124/H124,0)*0.00651),"")</f>
        <v>1.302E-2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3.3909090909090911</v>
      </c>
      <c r="BN124" s="64">
        <f>IFERROR(Y124*I124/H124,"0")</f>
        <v>4.476</v>
      </c>
      <c r="BO124" s="64">
        <f>IFERROR(1/J124*(X124/H124),"0")</f>
        <v>8.3250083250083259E-3</v>
      </c>
      <c r="BP124" s="64">
        <f>IFERROR(1/J124*(Y124/H124),"0")</f>
        <v>1.098901098901099E-2</v>
      </c>
    </row>
    <row r="125" spans="1:68" x14ac:dyDescent="0.2">
      <c r="A125" s="661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62"/>
      <c r="P125" s="642" t="s">
        <v>72</v>
      </c>
      <c r="Q125" s="643"/>
      <c r="R125" s="643"/>
      <c r="S125" s="643"/>
      <c r="T125" s="643"/>
      <c r="U125" s="643"/>
      <c r="V125" s="644"/>
      <c r="W125" s="37" t="s">
        <v>73</v>
      </c>
      <c r="X125" s="635">
        <f>IFERROR(X124/H124,"0")</f>
        <v>1.5151515151515151</v>
      </c>
      <c r="Y125" s="635">
        <f>IFERROR(Y124/H124,"0")</f>
        <v>2</v>
      </c>
      <c r="Z125" s="635">
        <f>IFERROR(IF(Z124="",0,Z124),"0")</f>
        <v>1.302E-2</v>
      </c>
      <c r="AA125" s="636"/>
      <c r="AB125" s="636"/>
      <c r="AC125" s="636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62"/>
      <c r="P126" s="642" t="s">
        <v>72</v>
      </c>
      <c r="Q126" s="643"/>
      <c r="R126" s="643"/>
      <c r="S126" s="643"/>
      <c r="T126" s="643"/>
      <c r="U126" s="643"/>
      <c r="V126" s="644"/>
      <c r="W126" s="37" t="s">
        <v>67</v>
      </c>
      <c r="X126" s="635">
        <f>IFERROR(SUM(X124:X124),"0")</f>
        <v>3</v>
      </c>
      <c r="Y126" s="635">
        <f>IFERROR(SUM(Y124:Y124),"0")</f>
        <v>3.96</v>
      </c>
      <c r="Z126" s="37"/>
      <c r="AA126" s="636"/>
      <c r="AB126" s="636"/>
      <c r="AC126" s="636"/>
    </row>
    <row r="127" spans="1:68" ht="16.5" customHeight="1" x14ac:dyDescent="0.25">
      <c r="A127" s="652" t="s">
        <v>232</v>
      </c>
      <c r="B127" s="646"/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646"/>
      <c r="Z127" s="646"/>
      <c r="AA127" s="628"/>
      <c r="AB127" s="628"/>
      <c r="AC127" s="628"/>
    </row>
    <row r="128" spans="1:68" ht="14.25" customHeight="1" x14ac:dyDescent="0.25">
      <c r="A128" s="645" t="s">
        <v>111</v>
      </c>
      <c r="B128" s="646"/>
      <c r="C128" s="646"/>
      <c r="D128" s="646"/>
      <c r="E128" s="646"/>
      <c r="F128" s="646"/>
      <c r="G128" s="646"/>
      <c r="H128" s="646"/>
      <c r="I128" s="646"/>
      <c r="J128" s="646"/>
      <c r="K128" s="646"/>
      <c r="L128" s="646"/>
      <c r="M128" s="646"/>
      <c r="N128" s="646"/>
      <c r="O128" s="646"/>
      <c r="P128" s="646"/>
      <c r="Q128" s="646"/>
      <c r="R128" s="646"/>
      <c r="S128" s="646"/>
      <c r="T128" s="646"/>
      <c r="U128" s="646"/>
      <c r="V128" s="646"/>
      <c r="W128" s="646"/>
      <c r="X128" s="646"/>
      <c r="Y128" s="646"/>
      <c r="Z128" s="646"/>
      <c r="AA128" s="629"/>
      <c r="AB128" s="629"/>
      <c r="AC128" s="629"/>
    </row>
    <row r="129" spans="1:68" ht="27" customHeight="1" x14ac:dyDescent="0.25">
      <c r="A129" s="54" t="s">
        <v>233</v>
      </c>
      <c r="B129" s="54" t="s">
        <v>234</v>
      </c>
      <c r="C129" s="31">
        <v>4301012347</v>
      </c>
      <c r="D129" s="640">
        <v>4680115888784</v>
      </c>
      <c r="E129" s="641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5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38"/>
      <c r="R129" s="638"/>
      <c r="S129" s="638"/>
      <c r="T129" s="639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40">
        <v>4680115882577</v>
      </c>
      <c r="E130" s="641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38"/>
      <c r="R130" s="638"/>
      <c r="S130" s="638"/>
      <c r="T130" s="639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237</v>
      </c>
      <c r="B131" s="54" t="s">
        <v>241</v>
      </c>
      <c r="C131" s="31">
        <v>4301011564</v>
      </c>
      <c r="D131" s="640">
        <v>4680115882577</v>
      </c>
      <c r="E131" s="641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38"/>
      <c r="R131" s="638"/>
      <c r="S131" s="638"/>
      <c r="T131" s="639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1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62"/>
      <c r="P132" s="642" t="s">
        <v>72</v>
      </c>
      <c r="Q132" s="643"/>
      <c r="R132" s="643"/>
      <c r="S132" s="643"/>
      <c r="T132" s="643"/>
      <c r="U132" s="643"/>
      <c r="V132" s="644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62"/>
      <c r="P133" s="642" t="s">
        <v>72</v>
      </c>
      <c r="Q133" s="643"/>
      <c r="R133" s="643"/>
      <c r="S133" s="643"/>
      <c r="T133" s="643"/>
      <c r="U133" s="643"/>
      <c r="V133" s="644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customHeight="1" x14ac:dyDescent="0.25">
      <c r="A134" s="645" t="s">
        <v>62</v>
      </c>
      <c r="B134" s="646"/>
      <c r="C134" s="646"/>
      <c r="D134" s="646"/>
      <c r="E134" s="646"/>
      <c r="F134" s="646"/>
      <c r="G134" s="646"/>
      <c r="H134" s="646"/>
      <c r="I134" s="646"/>
      <c r="J134" s="646"/>
      <c r="K134" s="646"/>
      <c r="L134" s="646"/>
      <c r="M134" s="646"/>
      <c r="N134" s="646"/>
      <c r="O134" s="646"/>
      <c r="P134" s="646"/>
      <c r="Q134" s="646"/>
      <c r="R134" s="646"/>
      <c r="S134" s="646"/>
      <c r="T134" s="646"/>
      <c r="U134" s="646"/>
      <c r="V134" s="646"/>
      <c r="W134" s="646"/>
      <c r="X134" s="646"/>
      <c r="Y134" s="646"/>
      <c r="Z134" s="646"/>
      <c r="AA134" s="629"/>
      <c r="AB134" s="629"/>
      <c r="AC134" s="629"/>
    </row>
    <row r="135" spans="1:68" ht="16.5" customHeight="1" x14ac:dyDescent="0.25">
      <c r="A135" s="54" t="s">
        <v>242</v>
      </c>
      <c r="B135" s="54" t="s">
        <v>243</v>
      </c>
      <c r="C135" s="31">
        <v>4301031506</v>
      </c>
      <c r="D135" s="640">
        <v>4680115888913</v>
      </c>
      <c r="E135" s="641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38"/>
      <c r="R135" s="638"/>
      <c r="S135" s="638"/>
      <c r="T135" s="639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40">
        <v>4680115883444</v>
      </c>
      <c r="E136" s="641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8"/>
      <c r="R136" s="638"/>
      <c r="S136" s="638"/>
      <c r="T136" s="639"/>
      <c r="U136" s="34"/>
      <c r="V136" s="34"/>
      <c r="W136" s="35" t="s">
        <v>67</v>
      </c>
      <c r="X136" s="633">
        <v>15</v>
      </c>
      <c r="Y136" s="634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customHeight="1" x14ac:dyDescent="0.25">
      <c r="A137" s="54" t="s">
        <v>245</v>
      </c>
      <c r="B137" s="54" t="s">
        <v>248</v>
      </c>
      <c r="C137" s="31">
        <v>4301031235</v>
      </c>
      <c r="D137" s="640">
        <v>4680115883444</v>
      </c>
      <c r="E137" s="641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8"/>
      <c r="R137" s="638"/>
      <c r="S137" s="638"/>
      <c r="T137" s="639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249</v>
      </c>
      <c r="B138" s="54" t="s">
        <v>250</v>
      </c>
      <c r="C138" s="31">
        <v>4301031504</v>
      </c>
      <c r="D138" s="640">
        <v>4680115888920</v>
      </c>
      <c r="E138" s="641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38"/>
      <c r="R138" s="638"/>
      <c r="S138" s="638"/>
      <c r="T138" s="639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1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62"/>
      <c r="P139" s="642" t="s">
        <v>72</v>
      </c>
      <c r="Q139" s="643"/>
      <c r="R139" s="643"/>
      <c r="S139" s="643"/>
      <c r="T139" s="643"/>
      <c r="U139" s="643"/>
      <c r="V139" s="644"/>
      <c r="W139" s="37" t="s">
        <v>73</v>
      </c>
      <c r="X139" s="635">
        <f>IFERROR(X135/H135,"0")+IFERROR(X136/H136,"0")+IFERROR(X137/H137,"0")+IFERROR(X138/H138,"0")</f>
        <v>5.3571428571428577</v>
      </c>
      <c r="Y139" s="635">
        <f>IFERROR(Y135/H135,"0")+IFERROR(Y136/H136,"0")+IFERROR(Y137/H137,"0")+IFERROR(Y138/H138,"0")</f>
        <v>5.9999999999999991</v>
      </c>
      <c r="Z139" s="635">
        <f>IFERROR(IF(Z135="",0,Z135),"0")+IFERROR(IF(Z136="",0,Z136),"0")+IFERROR(IF(Z137="",0,Z137),"0")+IFERROR(IF(Z138="",0,Z138),"0")</f>
        <v>3.9059999999999997E-2</v>
      </c>
      <c r="AA139" s="636"/>
      <c r="AB139" s="636"/>
      <c r="AC139" s="636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62"/>
      <c r="P140" s="642" t="s">
        <v>72</v>
      </c>
      <c r="Q140" s="643"/>
      <c r="R140" s="643"/>
      <c r="S140" s="643"/>
      <c r="T140" s="643"/>
      <c r="U140" s="643"/>
      <c r="V140" s="644"/>
      <c r="W140" s="37" t="s">
        <v>67</v>
      </c>
      <c r="X140" s="635">
        <f>IFERROR(SUM(X135:X138),"0")</f>
        <v>15</v>
      </c>
      <c r="Y140" s="635">
        <f>IFERROR(SUM(Y135:Y138),"0")</f>
        <v>16.799999999999997</v>
      </c>
      <c r="Z140" s="37"/>
      <c r="AA140" s="636"/>
      <c r="AB140" s="636"/>
      <c r="AC140" s="636"/>
    </row>
    <row r="141" spans="1:68" ht="14.25" customHeight="1" x14ac:dyDescent="0.25">
      <c r="A141" s="645" t="s">
        <v>74</v>
      </c>
      <c r="B141" s="646"/>
      <c r="C141" s="646"/>
      <c r="D141" s="646"/>
      <c r="E141" s="646"/>
      <c r="F141" s="646"/>
      <c r="G141" s="646"/>
      <c r="H141" s="646"/>
      <c r="I141" s="646"/>
      <c r="J141" s="646"/>
      <c r="K141" s="646"/>
      <c r="L141" s="646"/>
      <c r="M141" s="646"/>
      <c r="N141" s="646"/>
      <c r="O141" s="646"/>
      <c r="P141" s="646"/>
      <c r="Q141" s="646"/>
      <c r="R141" s="646"/>
      <c r="S141" s="646"/>
      <c r="T141" s="646"/>
      <c r="U141" s="646"/>
      <c r="V141" s="646"/>
      <c r="W141" s="646"/>
      <c r="X141" s="646"/>
      <c r="Y141" s="646"/>
      <c r="Z141" s="646"/>
      <c r="AA141" s="629"/>
      <c r="AB141" s="629"/>
      <c r="AC141" s="629"/>
    </row>
    <row r="142" spans="1:68" ht="16.5" customHeight="1" x14ac:dyDescent="0.25">
      <c r="A142" s="54" t="s">
        <v>251</v>
      </c>
      <c r="B142" s="54" t="s">
        <v>252</v>
      </c>
      <c r="C142" s="31">
        <v>4301052219</v>
      </c>
      <c r="D142" s="640">
        <v>4680115888944</v>
      </c>
      <c r="E142" s="641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38"/>
      <c r="R142" s="638"/>
      <c r="S142" s="638"/>
      <c r="T142" s="639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customHeight="1" x14ac:dyDescent="0.25">
      <c r="A143" s="54" t="s">
        <v>253</v>
      </c>
      <c r="B143" s="54" t="s">
        <v>254</v>
      </c>
      <c r="C143" s="31">
        <v>4301051476</v>
      </c>
      <c r="D143" s="640">
        <v>4680115882584</v>
      </c>
      <c r="E143" s="641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38"/>
      <c r="R143" s="638"/>
      <c r="S143" s="638"/>
      <c r="T143" s="639"/>
      <c r="U143" s="34"/>
      <c r="V143" s="34"/>
      <c r="W143" s="35" t="s">
        <v>67</v>
      </c>
      <c r="X143" s="633">
        <v>3</v>
      </c>
      <c r="Y143" s="634">
        <f>IFERROR(IF(X143="",0,CEILING((X143/$H143),1)*$H143),"")</f>
        <v>5.28</v>
      </c>
      <c r="Z143" s="36">
        <f>IFERROR(IF(Y143=0,"",ROUNDUP(Y143/H143,0)*0.00651),"")</f>
        <v>1.302E-2</v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3.3045454545454547</v>
      </c>
      <c r="BN143" s="64">
        <f>IFERROR(Y143*I143/H143,"0")</f>
        <v>5.8159999999999998</v>
      </c>
      <c r="BO143" s="64">
        <f>IFERROR(1/J143*(X143/H143),"0")</f>
        <v>6.243756243756244E-3</v>
      </c>
      <c r="BP143" s="64">
        <f>IFERROR(1/J143*(Y143/H143),"0")</f>
        <v>1.098901098901099E-2</v>
      </c>
    </row>
    <row r="144" spans="1:68" ht="16.5" customHeight="1" x14ac:dyDescent="0.25">
      <c r="A144" s="54" t="s">
        <v>253</v>
      </c>
      <c r="B144" s="54" t="s">
        <v>255</v>
      </c>
      <c r="C144" s="31">
        <v>4301051477</v>
      </c>
      <c r="D144" s="640">
        <v>4680115882584</v>
      </c>
      <c r="E144" s="641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6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38"/>
      <c r="R144" s="638"/>
      <c r="S144" s="638"/>
      <c r="T144" s="639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61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62"/>
      <c r="P145" s="642" t="s">
        <v>72</v>
      </c>
      <c r="Q145" s="643"/>
      <c r="R145" s="643"/>
      <c r="S145" s="643"/>
      <c r="T145" s="643"/>
      <c r="U145" s="643"/>
      <c r="V145" s="644"/>
      <c r="W145" s="37" t="s">
        <v>73</v>
      </c>
      <c r="X145" s="635">
        <f>IFERROR(X142/H142,"0")+IFERROR(X143/H143,"0")+IFERROR(X144/H144,"0")</f>
        <v>1.1363636363636362</v>
      </c>
      <c r="Y145" s="635">
        <f>IFERROR(Y142/H142,"0")+IFERROR(Y143/H143,"0")+IFERROR(Y144/H144,"0")</f>
        <v>2</v>
      </c>
      <c r="Z145" s="635">
        <f>IFERROR(IF(Z142="",0,Z142),"0")+IFERROR(IF(Z143="",0,Z143),"0")+IFERROR(IF(Z144="",0,Z144),"0")</f>
        <v>1.302E-2</v>
      </c>
      <c r="AA145" s="636"/>
      <c r="AB145" s="636"/>
      <c r="AC145" s="636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62"/>
      <c r="P146" s="642" t="s">
        <v>72</v>
      </c>
      <c r="Q146" s="643"/>
      <c r="R146" s="643"/>
      <c r="S146" s="643"/>
      <c r="T146" s="643"/>
      <c r="U146" s="643"/>
      <c r="V146" s="644"/>
      <c r="W146" s="37" t="s">
        <v>67</v>
      </c>
      <c r="X146" s="635">
        <f>IFERROR(SUM(X142:X144),"0")</f>
        <v>3</v>
      </c>
      <c r="Y146" s="635">
        <f>IFERROR(SUM(Y142:Y144),"0")</f>
        <v>5.28</v>
      </c>
      <c r="Z146" s="37"/>
      <c r="AA146" s="636"/>
      <c r="AB146" s="636"/>
      <c r="AC146" s="636"/>
    </row>
    <row r="147" spans="1:68" ht="16.5" customHeight="1" x14ac:dyDescent="0.25">
      <c r="A147" s="652" t="s">
        <v>256</v>
      </c>
      <c r="B147" s="646"/>
      <c r="C147" s="646"/>
      <c r="D147" s="646"/>
      <c r="E147" s="646"/>
      <c r="F147" s="646"/>
      <c r="G147" s="646"/>
      <c r="H147" s="646"/>
      <c r="I147" s="646"/>
      <c r="J147" s="646"/>
      <c r="K147" s="646"/>
      <c r="L147" s="646"/>
      <c r="M147" s="646"/>
      <c r="N147" s="646"/>
      <c r="O147" s="646"/>
      <c r="P147" s="646"/>
      <c r="Q147" s="646"/>
      <c r="R147" s="646"/>
      <c r="S147" s="646"/>
      <c r="T147" s="646"/>
      <c r="U147" s="646"/>
      <c r="V147" s="646"/>
      <c r="W147" s="646"/>
      <c r="X147" s="646"/>
      <c r="Y147" s="646"/>
      <c r="Z147" s="646"/>
      <c r="AA147" s="628"/>
      <c r="AB147" s="628"/>
      <c r="AC147" s="628"/>
    </row>
    <row r="148" spans="1:68" ht="14.25" customHeight="1" x14ac:dyDescent="0.25">
      <c r="A148" s="645" t="s">
        <v>74</v>
      </c>
      <c r="B148" s="646"/>
      <c r="C148" s="646"/>
      <c r="D148" s="646"/>
      <c r="E148" s="646"/>
      <c r="F148" s="646"/>
      <c r="G148" s="646"/>
      <c r="H148" s="646"/>
      <c r="I148" s="646"/>
      <c r="J148" s="646"/>
      <c r="K148" s="646"/>
      <c r="L148" s="646"/>
      <c r="M148" s="646"/>
      <c r="N148" s="646"/>
      <c r="O148" s="646"/>
      <c r="P148" s="646"/>
      <c r="Q148" s="646"/>
      <c r="R148" s="646"/>
      <c r="S148" s="646"/>
      <c r="T148" s="646"/>
      <c r="U148" s="646"/>
      <c r="V148" s="646"/>
      <c r="W148" s="646"/>
      <c r="X148" s="646"/>
      <c r="Y148" s="646"/>
      <c r="Z148" s="646"/>
      <c r="AA148" s="629"/>
      <c r="AB148" s="629"/>
      <c r="AC148" s="629"/>
    </row>
    <row r="149" spans="1:68" ht="27" customHeight="1" x14ac:dyDescent="0.25">
      <c r="A149" s="54" t="s">
        <v>257</v>
      </c>
      <c r="B149" s="54" t="s">
        <v>258</v>
      </c>
      <c r="C149" s="31">
        <v>4301052254</v>
      </c>
      <c r="D149" s="640">
        <v>4680115888203</v>
      </c>
      <c r="E149" s="641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38"/>
      <c r="R149" s="638"/>
      <c r="S149" s="638"/>
      <c r="T149" s="639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customHeight="1" x14ac:dyDescent="0.25">
      <c r="A150" s="54" t="s">
        <v>260</v>
      </c>
      <c r="B150" s="54" t="s">
        <v>261</v>
      </c>
      <c r="C150" s="31">
        <v>4301052172</v>
      </c>
      <c r="D150" s="640">
        <v>4680115888180</v>
      </c>
      <c r="E150" s="641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8"/>
      <c r="R150" s="638"/>
      <c r="S150" s="638"/>
      <c r="T150" s="639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customHeight="1" x14ac:dyDescent="0.25">
      <c r="A151" s="54" t="s">
        <v>260</v>
      </c>
      <c r="B151" s="54" t="s">
        <v>263</v>
      </c>
      <c r="C151" s="31">
        <v>4301052252</v>
      </c>
      <c r="D151" s="640">
        <v>4680115888180</v>
      </c>
      <c r="E151" s="641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9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38"/>
      <c r="R151" s="638"/>
      <c r="S151" s="638"/>
      <c r="T151" s="639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customHeight="1" x14ac:dyDescent="0.25">
      <c r="A152" s="54" t="s">
        <v>264</v>
      </c>
      <c r="B152" s="54" t="s">
        <v>265</v>
      </c>
      <c r="C152" s="31">
        <v>4301052173</v>
      </c>
      <c r="D152" s="640">
        <v>4680115888197</v>
      </c>
      <c r="E152" s="641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7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8"/>
      <c r="R152" s="638"/>
      <c r="S152" s="638"/>
      <c r="T152" s="639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customHeight="1" x14ac:dyDescent="0.25">
      <c r="A153" s="54" t="s">
        <v>264</v>
      </c>
      <c r="B153" s="54" t="s">
        <v>267</v>
      </c>
      <c r="C153" s="31">
        <v>4301052253</v>
      </c>
      <c r="D153" s="640">
        <v>4680115888197</v>
      </c>
      <c r="E153" s="641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38"/>
      <c r="R153" s="638"/>
      <c r="S153" s="638"/>
      <c r="T153" s="639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customHeight="1" x14ac:dyDescent="0.25">
      <c r="A154" s="54" t="s">
        <v>268</v>
      </c>
      <c r="B154" s="54" t="s">
        <v>269</v>
      </c>
      <c r="C154" s="31">
        <v>4301052175</v>
      </c>
      <c r="D154" s="640">
        <v>4680115888210</v>
      </c>
      <c r="E154" s="641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8"/>
      <c r="R154" s="638"/>
      <c r="S154" s="638"/>
      <c r="T154" s="639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customHeight="1" x14ac:dyDescent="0.25">
      <c r="A155" s="54" t="s">
        <v>268</v>
      </c>
      <c r="B155" s="54" t="s">
        <v>271</v>
      </c>
      <c r="C155" s="31">
        <v>4301052255</v>
      </c>
      <c r="D155" s="640">
        <v>4680115888210</v>
      </c>
      <c r="E155" s="641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38"/>
      <c r="R155" s="638"/>
      <c r="S155" s="638"/>
      <c r="T155" s="639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x14ac:dyDescent="0.2">
      <c r="A156" s="661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62"/>
      <c r="P156" s="642" t="s">
        <v>72</v>
      </c>
      <c r="Q156" s="643"/>
      <c r="R156" s="643"/>
      <c r="S156" s="643"/>
      <c r="T156" s="643"/>
      <c r="U156" s="643"/>
      <c r="V156" s="644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62"/>
      <c r="P157" s="642" t="s">
        <v>72</v>
      </c>
      <c r="Q157" s="643"/>
      <c r="R157" s="643"/>
      <c r="S157" s="643"/>
      <c r="T157" s="643"/>
      <c r="U157" s="643"/>
      <c r="V157" s="644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customHeight="1" x14ac:dyDescent="0.25">
      <c r="A158" s="645" t="s">
        <v>272</v>
      </c>
      <c r="B158" s="646"/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  <c r="Z158" s="646"/>
      <c r="AA158" s="629"/>
      <c r="AB158" s="629"/>
      <c r="AC158" s="629"/>
    </row>
    <row r="159" spans="1:68" ht="27" customHeight="1" x14ac:dyDescent="0.25">
      <c r="A159" s="54" t="s">
        <v>273</v>
      </c>
      <c r="B159" s="54" t="s">
        <v>274</v>
      </c>
      <c r="C159" s="31">
        <v>4301032067</v>
      </c>
      <c r="D159" s="640">
        <v>4680115889132</v>
      </c>
      <c r="E159" s="641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38"/>
      <c r="R159" s="638"/>
      <c r="S159" s="638"/>
      <c r="T159" s="639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61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62"/>
      <c r="P160" s="642" t="s">
        <v>72</v>
      </c>
      <c r="Q160" s="643"/>
      <c r="R160" s="643"/>
      <c r="S160" s="643"/>
      <c r="T160" s="643"/>
      <c r="U160" s="643"/>
      <c r="V160" s="644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62"/>
      <c r="P161" s="642" t="s">
        <v>72</v>
      </c>
      <c r="Q161" s="643"/>
      <c r="R161" s="643"/>
      <c r="S161" s="643"/>
      <c r="T161" s="643"/>
      <c r="U161" s="643"/>
      <c r="V161" s="644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customHeight="1" x14ac:dyDescent="0.25">
      <c r="A162" s="652" t="s">
        <v>109</v>
      </c>
      <c r="B162" s="646"/>
      <c r="C162" s="646"/>
      <c r="D162" s="646"/>
      <c r="E162" s="646"/>
      <c r="F162" s="646"/>
      <c r="G162" s="646"/>
      <c r="H162" s="646"/>
      <c r="I162" s="646"/>
      <c r="J162" s="646"/>
      <c r="K162" s="646"/>
      <c r="L162" s="646"/>
      <c r="M162" s="646"/>
      <c r="N162" s="646"/>
      <c r="O162" s="646"/>
      <c r="P162" s="646"/>
      <c r="Q162" s="646"/>
      <c r="R162" s="646"/>
      <c r="S162" s="646"/>
      <c r="T162" s="646"/>
      <c r="U162" s="646"/>
      <c r="V162" s="646"/>
      <c r="W162" s="646"/>
      <c r="X162" s="646"/>
      <c r="Y162" s="646"/>
      <c r="Z162" s="646"/>
      <c r="AA162" s="628"/>
      <c r="AB162" s="628"/>
      <c r="AC162" s="628"/>
    </row>
    <row r="163" spans="1:68" ht="14.25" customHeight="1" x14ac:dyDescent="0.25">
      <c r="A163" s="645" t="s">
        <v>111</v>
      </c>
      <c r="B163" s="646"/>
      <c r="C163" s="646"/>
      <c r="D163" s="646"/>
      <c r="E163" s="646"/>
      <c r="F163" s="646"/>
      <c r="G163" s="646"/>
      <c r="H163" s="646"/>
      <c r="I163" s="646"/>
      <c r="J163" s="646"/>
      <c r="K163" s="646"/>
      <c r="L163" s="646"/>
      <c r="M163" s="646"/>
      <c r="N163" s="646"/>
      <c r="O163" s="646"/>
      <c r="P163" s="646"/>
      <c r="Q163" s="646"/>
      <c r="R163" s="646"/>
      <c r="S163" s="646"/>
      <c r="T163" s="646"/>
      <c r="U163" s="646"/>
      <c r="V163" s="646"/>
      <c r="W163" s="646"/>
      <c r="X163" s="646"/>
      <c r="Y163" s="646"/>
      <c r="Z163" s="646"/>
      <c r="AA163" s="629"/>
      <c r="AB163" s="629"/>
      <c r="AC163" s="629"/>
    </row>
    <row r="164" spans="1:68" ht="27" customHeight="1" x14ac:dyDescent="0.25">
      <c r="A164" s="54" t="s">
        <v>279</v>
      </c>
      <c r="B164" s="54" t="s">
        <v>280</v>
      </c>
      <c r="C164" s="31">
        <v>4301012338</v>
      </c>
      <c r="D164" s="640">
        <v>4680115887374</v>
      </c>
      <c r="E164" s="641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1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38"/>
      <c r="R164" s="638"/>
      <c r="S164" s="638"/>
      <c r="T164" s="639"/>
      <c r="U164" s="34"/>
      <c r="V164" s="34"/>
      <c r="W164" s="35" t="s">
        <v>67</v>
      </c>
      <c r="X164" s="633">
        <v>100</v>
      </c>
      <c r="Y164" s="634">
        <f>IFERROR(IF(X164="",0,CEILING((X164/$H164),1)*$H164),"")</f>
        <v>102</v>
      </c>
      <c r="Z164" s="36">
        <f>IFERROR(IF(Y164=0,"",ROUNDUP(Y164/H164,0)*0.01196),"")</f>
        <v>0.20332</v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105.83333333333333</v>
      </c>
      <c r="BN164" s="64">
        <f>IFERROR(Y164*I164/H164,"0")</f>
        <v>107.94999999999999</v>
      </c>
      <c r="BO164" s="64">
        <f>IFERROR(1/J164*(X164/H164),"0")</f>
        <v>0.16025641025641027</v>
      </c>
      <c r="BP164" s="64">
        <f>IFERROR(1/J164*(Y164/H164),"0")</f>
        <v>0.16346153846153846</v>
      </c>
    </row>
    <row r="165" spans="1:68" ht="27" customHeight="1" x14ac:dyDescent="0.25">
      <c r="A165" s="54" t="s">
        <v>282</v>
      </c>
      <c r="B165" s="54" t="s">
        <v>283</v>
      </c>
      <c r="C165" s="31">
        <v>4301011705</v>
      </c>
      <c r="D165" s="640">
        <v>4607091384604</v>
      </c>
      <c r="E165" s="641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38"/>
      <c r="R165" s="638"/>
      <c r="S165" s="638"/>
      <c r="T165" s="639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customHeight="1" x14ac:dyDescent="0.25">
      <c r="A166" s="54" t="s">
        <v>285</v>
      </c>
      <c r="B166" s="54" t="s">
        <v>286</v>
      </c>
      <c r="C166" s="31">
        <v>4301012344</v>
      </c>
      <c r="D166" s="640">
        <v>4680115888876</v>
      </c>
      <c r="E166" s="641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8"/>
      <c r="R166" s="638"/>
      <c r="S166" s="638"/>
      <c r="T166" s="639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x14ac:dyDescent="0.2">
      <c r="A167" s="661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62"/>
      <c r="P167" s="642" t="s">
        <v>72</v>
      </c>
      <c r="Q167" s="643"/>
      <c r="R167" s="643"/>
      <c r="S167" s="643"/>
      <c r="T167" s="643"/>
      <c r="U167" s="643"/>
      <c r="V167" s="644"/>
      <c r="W167" s="37" t="s">
        <v>73</v>
      </c>
      <c r="X167" s="635">
        <f>IFERROR(X164/H164,"0")+IFERROR(X165/H165,"0")+IFERROR(X166/H166,"0")</f>
        <v>16.666666666666668</v>
      </c>
      <c r="Y167" s="635">
        <f>IFERROR(Y164/H164,"0")+IFERROR(Y165/H165,"0")+IFERROR(Y166/H166,"0")</f>
        <v>17</v>
      </c>
      <c r="Z167" s="635">
        <f>IFERROR(IF(Z164="",0,Z164),"0")+IFERROR(IF(Z165="",0,Z165),"0")+IFERROR(IF(Z166="",0,Z166),"0")</f>
        <v>0.20332</v>
      </c>
      <c r="AA167" s="636"/>
      <c r="AB167" s="636"/>
      <c r="AC167" s="636"/>
    </row>
    <row r="168" spans="1:68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62"/>
      <c r="P168" s="642" t="s">
        <v>72</v>
      </c>
      <c r="Q168" s="643"/>
      <c r="R168" s="643"/>
      <c r="S168" s="643"/>
      <c r="T168" s="643"/>
      <c r="U168" s="643"/>
      <c r="V168" s="644"/>
      <c r="W168" s="37" t="s">
        <v>67</v>
      </c>
      <c r="X168" s="635">
        <f>IFERROR(SUM(X164:X166),"0")</f>
        <v>100</v>
      </c>
      <c r="Y168" s="635">
        <f>IFERROR(SUM(Y164:Y166),"0")</f>
        <v>102</v>
      </c>
      <c r="Z168" s="37"/>
      <c r="AA168" s="636"/>
      <c r="AB168" s="636"/>
      <c r="AC168" s="636"/>
    </row>
    <row r="169" spans="1:68" ht="14.25" customHeight="1" x14ac:dyDescent="0.25">
      <c r="A169" s="645" t="s">
        <v>147</v>
      </c>
      <c r="B169" s="646"/>
      <c r="C169" s="646"/>
      <c r="D169" s="646"/>
      <c r="E169" s="646"/>
      <c r="F169" s="646"/>
      <c r="G169" s="646"/>
      <c r="H169" s="646"/>
      <c r="I169" s="646"/>
      <c r="J169" s="646"/>
      <c r="K169" s="646"/>
      <c r="L169" s="646"/>
      <c r="M169" s="646"/>
      <c r="N169" s="646"/>
      <c r="O169" s="646"/>
      <c r="P169" s="646"/>
      <c r="Q169" s="646"/>
      <c r="R169" s="646"/>
      <c r="S169" s="646"/>
      <c r="T169" s="646"/>
      <c r="U169" s="646"/>
      <c r="V169" s="646"/>
      <c r="W169" s="646"/>
      <c r="X169" s="646"/>
      <c r="Y169" s="646"/>
      <c r="Z169" s="646"/>
      <c r="AA169" s="629"/>
      <c r="AB169" s="629"/>
      <c r="AC169" s="629"/>
    </row>
    <row r="170" spans="1:68" ht="16.5" customHeight="1" x14ac:dyDescent="0.25">
      <c r="A170" s="54" t="s">
        <v>288</v>
      </c>
      <c r="B170" s="54" t="s">
        <v>289</v>
      </c>
      <c r="C170" s="31">
        <v>4301020410</v>
      </c>
      <c r="D170" s="640">
        <v>4680115887695</v>
      </c>
      <c r="E170" s="641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38"/>
      <c r="R170" s="638"/>
      <c r="S170" s="638"/>
      <c r="T170" s="639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customHeight="1" x14ac:dyDescent="0.25">
      <c r="A171" s="54" t="s">
        <v>291</v>
      </c>
      <c r="B171" s="54" t="s">
        <v>292</v>
      </c>
      <c r="C171" s="31">
        <v>4301020439</v>
      </c>
      <c r="D171" s="640">
        <v>4680115889491</v>
      </c>
      <c r="E171" s="641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72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38"/>
      <c r="R171" s="638"/>
      <c r="S171" s="638"/>
      <c r="T171" s="639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x14ac:dyDescent="0.2">
      <c r="A172" s="661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62"/>
      <c r="P172" s="642" t="s">
        <v>72</v>
      </c>
      <c r="Q172" s="643"/>
      <c r="R172" s="643"/>
      <c r="S172" s="643"/>
      <c r="T172" s="643"/>
      <c r="U172" s="643"/>
      <c r="V172" s="644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62"/>
      <c r="P173" s="642" t="s">
        <v>72</v>
      </c>
      <c r="Q173" s="643"/>
      <c r="R173" s="643"/>
      <c r="S173" s="643"/>
      <c r="T173" s="643"/>
      <c r="U173" s="643"/>
      <c r="V173" s="644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customHeight="1" x14ac:dyDescent="0.25">
      <c r="A174" s="645" t="s">
        <v>62</v>
      </c>
      <c r="B174" s="646"/>
      <c r="C174" s="646"/>
      <c r="D174" s="646"/>
      <c r="E174" s="646"/>
      <c r="F174" s="646"/>
      <c r="G174" s="646"/>
      <c r="H174" s="646"/>
      <c r="I174" s="646"/>
      <c r="J174" s="646"/>
      <c r="K174" s="646"/>
      <c r="L174" s="646"/>
      <c r="M174" s="646"/>
      <c r="N174" s="646"/>
      <c r="O174" s="646"/>
      <c r="P174" s="646"/>
      <c r="Q174" s="646"/>
      <c r="R174" s="646"/>
      <c r="S174" s="646"/>
      <c r="T174" s="646"/>
      <c r="U174" s="646"/>
      <c r="V174" s="646"/>
      <c r="W174" s="646"/>
      <c r="X174" s="646"/>
      <c r="Y174" s="646"/>
      <c r="Z174" s="646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40">
        <v>4680115887428</v>
      </c>
      <c r="E175" s="641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38"/>
      <c r="R175" s="638"/>
      <c r="S175" s="638"/>
      <c r="T175" s="639"/>
      <c r="U175" s="34"/>
      <c r="V175" s="34"/>
      <c r="W175" s="35" t="s">
        <v>67</v>
      </c>
      <c r="X175" s="633">
        <v>300</v>
      </c>
      <c r="Y175" s="634">
        <f t="shared" ref="Y175:Y185" si="16">IFERROR(IF(X175="",0,CEILING((X175/$H175),1)*$H175),"")</f>
        <v>301</v>
      </c>
      <c r="Z175" s="36">
        <f>IFERROR(IF(Y175=0,"",ROUNDUP(Y175/H175,0)*0.00902),"")</f>
        <v>0.77571999999999997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316.28571428571428</v>
      </c>
      <c r="BN175" s="64">
        <f t="shared" ref="BN175:BN185" si="18">IFERROR(Y175*I175/H175,"0")</f>
        <v>317.34000000000003</v>
      </c>
      <c r="BO175" s="64">
        <f t="shared" ref="BO175:BO185" si="19">IFERROR(1/J175*(X175/H175),"0")</f>
        <v>0.64935064935064934</v>
      </c>
      <c r="BP175" s="64">
        <f t="shared" ref="BP175:BP185" si="20">IFERROR(1/J175*(Y175/H175),"0")</f>
        <v>0.65151515151515149</v>
      </c>
    </row>
    <row r="176" spans="1:68" ht="27" customHeight="1" x14ac:dyDescent="0.25">
      <c r="A176" s="54" t="s">
        <v>297</v>
      </c>
      <c r="B176" s="54" t="s">
        <v>298</v>
      </c>
      <c r="C176" s="31">
        <v>4301031509</v>
      </c>
      <c r="D176" s="640">
        <v>4680115889170</v>
      </c>
      <c r="E176" s="641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38"/>
      <c r="R176" s="638"/>
      <c r="S176" s="638"/>
      <c r="T176" s="639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40">
        <v>4680115887398</v>
      </c>
      <c r="E177" s="641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38"/>
      <c r="R177" s="638"/>
      <c r="S177" s="638"/>
      <c r="T177" s="639"/>
      <c r="U177" s="34"/>
      <c r="V177" s="34"/>
      <c r="W177" s="35" t="s">
        <v>67</v>
      </c>
      <c r="X177" s="633">
        <v>200</v>
      </c>
      <c r="Y177" s="634">
        <f t="shared" si="16"/>
        <v>203</v>
      </c>
      <c r="Z177" s="36">
        <f>IFERROR(IF(Y177=0,"",ROUNDUP(Y177/H177,0)*0.00902),"")</f>
        <v>0.52316000000000007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210.85714285714286</v>
      </c>
      <c r="BN177" s="64">
        <f t="shared" si="18"/>
        <v>214.01999999999998</v>
      </c>
      <c r="BO177" s="64">
        <f t="shared" si="19"/>
        <v>0.43290043290043295</v>
      </c>
      <c r="BP177" s="64">
        <f t="shared" si="20"/>
        <v>0.43939393939393939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40">
        <v>4680115887336</v>
      </c>
      <c r="E178" s="641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38"/>
      <c r="R178" s="638"/>
      <c r="S178" s="638"/>
      <c r="T178" s="639"/>
      <c r="U178" s="34"/>
      <c r="V178" s="34"/>
      <c r="W178" s="35" t="s">
        <v>67</v>
      </c>
      <c r="X178" s="633">
        <v>200</v>
      </c>
      <c r="Y178" s="634">
        <f t="shared" si="16"/>
        <v>203</v>
      </c>
      <c r="Z178" s="36">
        <f>IFERROR(IF(Y178=0,"",ROUNDUP(Y178/H178,0)*0.00902),"")</f>
        <v>0.52316000000000007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210.85714285714286</v>
      </c>
      <c r="BN178" s="64">
        <f t="shared" si="18"/>
        <v>214.01999999999998</v>
      </c>
      <c r="BO178" s="64">
        <f t="shared" si="19"/>
        <v>0.43290043290043295</v>
      </c>
      <c r="BP178" s="64">
        <f t="shared" si="20"/>
        <v>0.43939393939393939</v>
      </c>
    </row>
    <row r="179" spans="1:68" ht="16.5" customHeight="1" x14ac:dyDescent="0.25">
      <c r="A179" s="54" t="s">
        <v>306</v>
      </c>
      <c r="B179" s="54" t="s">
        <v>307</v>
      </c>
      <c r="C179" s="31">
        <v>4301032049</v>
      </c>
      <c r="D179" s="640">
        <v>4680115887787</v>
      </c>
      <c r="E179" s="641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38"/>
      <c r="R179" s="638"/>
      <c r="S179" s="638"/>
      <c r="T179" s="639"/>
      <c r="U179" s="34"/>
      <c r="V179" s="34"/>
      <c r="W179" s="35" t="s">
        <v>67</v>
      </c>
      <c r="X179" s="633">
        <v>2</v>
      </c>
      <c r="Y179" s="634">
        <f t="shared" si="16"/>
        <v>2.7</v>
      </c>
      <c r="Z179" s="36">
        <f>IFERROR(IF(Y179=0,"",ROUNDUP(Y179/H179,0)*0.00417),"")</f>
        <v>1.251E-2</v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2.4666666666666668</v>
      </c>
      <c r="BN179" s="64">
        <f t="shared" si="18"/>
        <v>3.33</v>
      </c>
      <c r="BO179" s="64">
        <f t="shared" si="19"/>
        <v>6.6137566137566134E-3</v>
      </c>
      <c r="BP179" s="64">
        <f t="shared" si="20"/>
        <v>8.9285714285714281E-3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40">
        <v>4680115887503</v>
      </c>
      <c r="E180" s="641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7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38"/>
      <c r="R180" s="638"/>
      <c r="S180" s="638"/>
      <c r="T180" s="639"/>
      <c r="U180" s="34"/>
      <c r="V180" s="34"/>
      <c r="W180" s="35" t="s">
        <v>67</v>
      </c>
      <c r="X180" s="633">
        <v>109</v>
      </c>
      <c r="Y180" s="634">
        <f t="shared" si="16"/>
        <v>109.2</v>
      </c>
      <c r="Z180" s="36">
        <f>IFERROR(IF(Y180=0,"",ROUNDUP(Y180/H180,0)*0.00502),"")</f>
        <v>0.32630000000000003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115.48809523809526</v>
      </c>
      <c r="BN180" s="64">
        <f t="shared" si="18"/>
        <v>115.7</v>
      </c>
      <c r="BO180" s="64">
        <f t="shared" si="19"/>
        <v>0.2772690272690273</v>
      </c>
      <c r="BP180" s="64">
        <f t="shared" si="20"/>
        <v>0.27777777777777779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40">
        <v>4680115887763</v>
      </c>
      <c r="E181" s="641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8"/>
      <c r="R181" s="638"/>
      <c r="S181" s="638"/>
      <c r="T181" s="639"/>
      <c r="U181" s="34"/>
      <c r="V181" s="34"/>
      <c r="W181" s="35" t="s">
        <v>67</v>
      </c>
      <c r="X181" s="633">
        <v>2</v>
      </c>
      <c r="Y181" s="634">
        <f t="shared" si="16"/>
        <v>2.7</v>
      </c>
      <c r="Z181" s="36">
        <f>IFERROR(IF(Y181=0,"",ROUNDUP(Y181/H181,0)*0.00417),"")</f>
        <v>1.251E-2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2.4666666666666668</v>
      </c>
      <c r="BN181" s="64">
        <f t="shared" si="18"/>
        <v>3.33</v>
      </c>
      <c r="BO181" s="64">
        <f t="shared" si="19"/>
        <v>6.6137566137566134E-3</v>
      </c>
      <c r="BP181" s="64">
        <f t="shared" si="20"/>
        <v>8.9285714285714281E-3</v>
      </c>
    </row>
    <row r="182" spans="1:68" ht="27" customHeight="1" x14ac:dyDescent="0.25">
      <c r="A182" s="54" t="s">
        <v>311</v>
      </c>
      <c r="B182" s="54" t="s">
        <v>314</v>
      </c>
      <c r="C182" s="31">
        <v>4301031510</v>
      </c>
      <c r="D182" s="640">
        <v>4680115887763</v>
      </c>
      <c r="E182" s="641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38"/>
      <c r="R182" s="638"/>
      <c r="S182" s="638"/>
      <c r="T182" s="639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40">
        <v>4680115887480</v>
      </c>
      <c r="E183" s="641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38"/>
      <c r="R183" s="638"/>
      <c r="S183" s="638"/>
      <c r="T183" s="639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40">
        <v>4680115888067</v>
      </c>
      <c r="E184" s="641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7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38"/>
      <c r="R184" s="638"/>
      <c r="S184" s="638"/>
      <c r="T184" s="639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40">
        <v>4680115887435</v>
      </c>
      <c r="E185" s="641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38"/>
      <c r="R185" s="638"/>
      <c r="S185" s="638"/>
      <c r="T185" s="639"/>
      <c r="U185" s="34"/>
      <c r="V185" s="34"/>
      <c r="W185" s="35" t="s">
        <v>67</v>
      </c>
      <c r="X185" s="633">
        <v>56</v>
      </c>
      <c r="Y185" s="634">
        <f t="shared" si="16"/>
        <v>57.12</v>
      </c>
      <c r="Z185" s="36">
        <f>IFERROR(IF(Y185=0,"",ROUNDUP(Y185/H185,0)*0.00502),"")</f>
        <v>0.17068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59.333333333333343</v>
      </c>
      <c r="BN185" s="64">
        <f t="shared" si="18"/>
        <v>60.519999999999996</v>
      </c>
      <c r="BO185" s="64">
        <f t="shared" si="19"/>
        <v>0.14245014245014248</v>
      </c>
      <c r="BP185" s="64">
        <f t="shared" si="20"/>
        <v>0.14529914529914531</v>
      </c>
    </row>
    <row r="186" spans="1:68" x14ac:dyDescent="0.2">
      <c r="A186" s="661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62"/>
      <c r="P186" s="642" t="s">
        <v>72</v>
      </c>
      <c r="Q186" s="643"/>
      <c r="R186" s="643"/>
      <c r="S186" s="643"/>
      <c r="T186" s="643"/>
      <c r="U186" s="643"/>
      <c r="V186" s="644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302.65873015873012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307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2.3440399999999997</v>
      </c>
      <c r="AA186" s="636"/>
      <c r="AB186" s="636"/>
      <c r="AC186" s="636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62"/>
      <c r="P187" s="642" t="s">
        <v>72</v>
      </c>
      <c r="Q187" s="643"/>
      <c r="R187" s="643"/>
      <c r="S187" s="643"/>
      <c r="T187" s="643"/>
      <c r="U187" s="643"/>
      <c r="V187" s="644"/>
      <c r="W187" s="37" t="s">
        <v>67</v>
      </c>
      <c r="X187" s="635">
        <f>IFERROR(SUM(X175:X185),"0")</f>
        <v>869</v>
      </c>
      <c r="Y187" s="635">
        <f>IFERROR(SUM(Y175:Y185),"0")</f>
        <v>878.72000000000014</v>
      </c>
      <c r="Z187" s="37"/>
      <c r="AA187" s="636"/>
      <c r="AB187" s="636"/>
      <c r="AC187" s="636"/>
    </row>
    <row r="188" spans="1:68" ht="14.25" customHeight="1" x14ac:dyDescent="0.25">
      <c r="A188" s="645" t="s">
        <v>74</v>
      </c>
      <c r="B188" s="646"/>
      <c r="C188" s="646"/>
      <c r="D188" s="646"/>
      <c r="E188" s="646"/>
      <c r="F188" s="646"/>
      <c r="G188" s="646"/>
      <c r="H188" s="646"/>
      <c r="I188" s="646"/>
      <c r="J188" s="646"/>
      <c r="K188" s="646"/>
      <c r="L188" s="646"/>
      <c r="M188" s="646"/>
      <c r="N188" s="646"/>
      <c r="O188" s="646"/>
      <c r="P188" s="646"/>
      <c r="Q188" s="646"/>
      <c r="R188" s="646"/>
      <c r="S188" s="646"/>
      <c r="T188" s="646"/>
      <c r="U188" s="646"/>
      <c r="V188" s="646"/>
      <c r="W188" s="646"/>
      <c r="X188" s="646"/>
      <c r="Y188" s="646"/>
      <c r="Z188" s="646"/>
      <c r="AA188" s="629"/>
      <c r="AB188" s="629"/>
      <c r="AC188" s="629"/>
    </row>
    <row r="189" spans="1:68" ht="16.5" customHeight="1" x14ac:dyDescent="0.25">
      <c r="A189" s="54" t="s">
        <v>322</v>
      </c>
      <c r="B189" s="54" t="s">
        <v>323</v>
      </c>
      <c r="C189" s="31">
        <v>4301052193</v>
      </c>
      <c r="D189" s="640">
        <v>4680115888395</v>
      </c>
      <c r="E189" s="641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38"/>
      <c r="R189" s="638"/>
      <c r="S189" s="638"/>
      <c r="T189" s="639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customHeight="1" x14ac:dyDescent="0.25">
      <c r="A190" s="54" t="s">
        <v>325</v>
      </c>
      <c r="B190" s="54" t="s">
        <v>326</v>
      </c>
      <c r="C190" s="31">
        <v>4301052191</v>
      </c>
      <c r="D190" s="640">
        <v>4680115888371</v>
      </c>
      <c r="E190" s="641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38"/>
      <c r="R190" s="638"/>
      <c r="S190" s="638"/>
      <c r="T190" s="639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customHeight="1" x14ac:dyDescent="0.25">
      <c r="A191" s="54" t="s">
        <v>328</v>
      </c>
      <c r="B191" s="54" t="s">
        <v>329</v>
      </c>
      <c r="C191" s="31">
        <v>4301052064</v>
      </c>
      <c r="D191" s="640">
        <v>4680115887459</v>
      </c>
      <c r="E191" s="641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38"/>
      <c r="R191" s="638"/>
      <c r="S191" s="638"/>
      <c r="T191" s="639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661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62"/>
      <c r="P192" s="642" t="s">
        <v>72</v>
      </c>
      <c r="Q192" s="643"/>
      <c r="R192" s="643"/>
      <c r="S192" s="643"/>
      <c r="T192" s="643"/>
      <c r="U192" s="643"/>
      <c r="V192" s="644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62"/>
      <c r="P193" s="642" t="s">
        <v>72</v>
      </c>
      <c r="Q193" s="643"/>
      <c r="R193" s="643"/>
      <c r="S193" s="643"/>
      <c r="T193" s="643"/>
      <c r="U193" s="643"/>
      <c r="V193" s="644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customHeight="1" x14ac:dyDescent="0.25">
      <c r="A194" s="645" t="s">
        <v>272</v>
      </c>
      <c r="B194" s="646"/>
      <c r="C194" s="646"/>
      <c r="D194" s="646"/>
      <c r="E194" s="646"/>
      <c r="F194" s="646"/>
      <c r="G194" s="646"/>
      <c r="H194" s="646"/>
      <c r="I194" s="646"/>
      <c r="J194" s="646"/>
      <c r="K194" s="646"/>
      <c r="L194" s="646"/>
      <c r="M194" s="646"/>
      <c r="N194" s="646"/>
      <c r="O194" s="646"/>
      <c r="P194" s="646"/>
      <c r="Q194" s="646"/>
      <c r="R194" s="646"/>
      <c r="S194" s="646"/>
      <c r="T194" s="646"/>
      <c r="U194" s="646"/>
      <c r="V194" s="646"/>
      <c r="W194" s="646"/>
      <c r="X194" s="646"/>
      <c r="Y194" s="646"/>
      <c r="Z194" s="646"/>
      <c r="AA194" s="629"/>
      <c r="AB194" s="629"/>
      <c r="AC194" s="629"/>
    </row>
    <row r="195" spans="1:68" ht="16.5" customHeight="1" x14ac:dyDescent="0.25">
      <c r="A195" s="54" t="s">
        <v>331</v>
      </c>
      <c r="B195" s="54" t="s">
        <v>332</v>
      </c>
      <c r="C195" s="31">
        <v>4301032058</v>
      </c>
      <c r="D195" s="640">
        <v>4680115889026</v>
      </c>
      <c r="E195" s="641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38"/>
      <c r="R195" s="638"/>
      <c r="S195" s="638"/>
      <c r="T195" s="639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335</v>
      </c>
      <c r="B196" s="54" t="s">
        <v>336</v>
      </c>
      <c r="C196" s="31">
        <v>4301032057</v>
      </c>
      <c r="D196" s="640">
        <v>4680115889088</v>
      </c>
      <c r="E196" s="641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5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38"/>
      <c r="R196" s="638"/>
      <c r="S196" s="638"/>
      <c r="T196" s="639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661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62"/>
      <c r="P197" s="642" t="s">
        <v>72</v>
      </c>
      <c r="Q197" s="643"/>
      <c r="R197" s="643"/>
      <c r="S197" s="643"/>
      <c r="T197" s="643"/>
      <c r="U197" s="643"/>
      <c r="V197" s="644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62"/>
      <c r="P198" s="642" t="s">
        <v>72</v>
      </c>
      <c r="Q198" s="643"/>
      <c r="R198" s="643"/>
      <c r="S198" s="643"/>
      <c r="T198" s="643"/>
      <c r="U198" s="643"/>
      <c r="V198" s="644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customHeight="1" x14ac:dyDescent="0.25">
      <c r="A199" s="645" t="s">
        <v>338</v>
      </c>
      <c r="B199" s="646"/>
      <c r="C199" s="646"/>
      <c r="D199" s="646"/>
      <c r="E199" s="646"/>
      <c r="F199" s="646"/>
      <c r="G199" s="646"/>
      <c r="H199" s="646"/>
      <c r="I199" s="646"/>
      <c r="J199" s="646"/>
      <c r="K199" s="646"/>
      <c r="L199" s="646"/>
      <c r="M199" s="646"/>
      <c r="N199" s="646"/>
      <c r="O199" s="646"/>
      <c r="P199" s="646"/>
      <c r="Q199" s="646"/>
      <c r="R199" s="646"/>
      <c r="S199" s="646"/>
      <c r="T199" s="646"/>
      <c r="U199" s="646"/>
      <c r="V199" s="646"/>
      <c r="W199" s="646"/>
      <c r="X199" s="646"/>
      <c r="Y199" s="646"/>
      <c r="Z199" s="646"/>
      <c r="AA199" s="629"/>
      <c r="AB199" s="629"/>
      <c r="AC199" s="629"/>
    </row>
    <row r="200" spans="1:68" ht="27" customHeight="1" x14ac:dyDescent="0.25">
      <c r="A200" s="54" t="s">
        <v>339</v>
      </c>
      <c r="B200" s="54" t="s">
        <v>340</v>
      </c>
      <c r="C200" s="31">
        <v>4301041009</v>
      </c>
      <c r="D200" s="640">
        <v>4680115889033</v>
      </c>
      <c r="E200" s="641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38"/>
      <c r="R200" s="638"/>
      <c r="S200" s="638"/>
      <c r="T200" s="639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61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62"/>
      <c r="P201" s="642" t="s">
        <v>72</v>
      </c>
      <c r="Q201" s="643"/>
      <c r="R201" s="643"/>
      <c r="S201" s="643"/>
      <c r="T201" s="643"/>
      <c r="U201" s="643"/>
      <c r="V201" s="644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62"/>
      <c r="P202" s="642" t="s">
        <v>72</v>
      </c>
      <c r="Q202" s="643"/>
      <c r="R202" s="643"/>
      <c r="S202" s="643"/>
      <c r="T202" s="643"/>
      <c r="U202" s="643"/>
      <c r="V202" s="644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customHeight="1" x14ac:dyDescent="0.2">
      <c r="A203" s="653" t="s">
        <v>342</v>
      </c>
      <c r="B203" s="654"/>
      <c r="C203" s="654"/>
      <c r="D203" s="654"/>
      <c r="E203" s="654"/>
      <c r="F203" s="654"/>
      <c r="G203" s="654"/>
      <c r="H203" s="654"/>
      <c r="I203" s="654"/>
      <c r="J203" s="654"/>
      <c r="K203" s="654"/>
      <c r="L203" s="654"/>
      <c r="M203" s="654"/>
      <c r="N203" s="654"/>
      <c r="O203" s="654"/>
      <c r="P203" s="654"/>
      <c r="Q203" s="654"/>
      <c r="R203" s="654"/>
      <c r="S203" s="654"/>
      <c r="T203" s="654"/>
      <c r="U203" s="654"/>
      <c r="V203" s="654"/>
      <c r="W203" s="654"/>
      <c r="X203" s="654"/>
      <c r="Y203" s="654"/>
      <c r="Z203" s="654"/>
      <c r="AA203" s="48"/>
      <c r="AB203" s="48"/>
      <c r="AC203" s="48"/>
    </row>
    <row r="204" spans="1:68" ht="16.5" customHeight="1" x14ac:dyDescent="0.25">
      <c r="A204" s="652" t="s">
        <v>343</v>
      </c>
      <c r="B204" s="646"/>
      <c r="C204" s="646"/>
      <c r="D204" s="646"/>
      <c r="E204" s="646"/>
      <c r="F204" s="646"/>
      <c r="G204" s="646"/>
      <c r="H204" s="646"/>
      <c r="I204" s="646"/>
      <c r="J204" s="646"/>
      <c r="K204" s="646"/>
      <c r="L204" s="646"/>
      <c r="M204" s="646"/>
      <c r="N204" s="646"/>
      <c r="O204" s="646"/>
      <c r="P204" s="646"/>
      <c r="Q204" s="646"/>
      <c r="R204" s="646"/>
      <c r="S204" s="646"/>
      <c r="T204" s="646"/>
      <c r="U204" s="646"/>
      <c r="V204" s="646"/>
      <c r="W204" s="646"/>
      <c r="X204" s="646"/>
      <c r="Y204" s="646"/>
      <c r="Z204" s="646"/>
      <c r="AA204" s="628"/>
      <c r="AB204" s="628"/>
      <c r="AC204" s="628"/>
    </row>
    <row r="205" spans="1:68" ht="14.25" customHeight="1" x14ac:dyDescent="0.25">
      <c r="A205" s="645" t="s">
        <v>111</v>
      </c>
      <c r="B205" s="646"/>
      <c r="C205" s="646"/>
      <c r="D205" s="646"/>
      <c r="E205" s="646"/>
      <c r="F205" s="646"/>
      <c r="G205" s="646"/>
      <c r="H205" s="646"/>
      <c r="I205" s="646"/>
      <c r="J205" s="646"/>
      <c r="K205" s="646"/>
      <c r="L205" s="646"/>
      <c r="M205" s="646"/>
      <c r="N205" s="646"/>
      <c r="O205" s="646"/>
      <c r="P205" s="646"/>
      <c r="Q205" s="646"/>
      <c r="R205" s="646"/>
      <c r="S205" s="646"/>
      <c r="T205" s="646"/>
      <c r="U205" s="646"/>
      <c r="V205" s="646"/>
      <c r="W205" s="646"/>
      <c r="X205" s="646"/>
      <c r="Y205" s="646"/>
      <c r="Z205" s="646"/>
      <c r="AA205" s="629"/>
      <c r="AB205" s="629"/>
      <c r="AC205" s="629"/>
    </row>
    <row r="206" spans="1:68" ht="27" customHeight="1" x14ac:dyDescent="0.25">
      <c r="A206" s="54" t="s">
        <v>344</v>
      </c>
      <c r="B206" s="54" t="s">
        <v>345</v>
      </c>
      <c r="C206" s="31">
        <v>4301011223</v>
      </c>
      <c r="D206" s="640">
        <v>4607091383423</v>
      </c>
      <c r="E206" s="641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38"/>
      <c r="R206" s="638"/>
      <c r="S206" s="638"/>
      <c r="T206" s="639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4301012340</v>
      </c>
      <c r="D207" s="640">
        <v>4680115888760</v>
      </c>
      <c r="E207" s="641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38"/>
      <c r="R207" s="638"/>
      <c r="S207" s="638"/>
      <c r="T207" s="639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4301012341</v>
      </c>
      <c r="D208" s="640">
        <v>4680115888807</v>
      </c>
      <c r="E208" s="641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0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38"/>
      <c r="R208" s="638"/>
      <c r="S208" s="638"/>
      <c r="T208" s="639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customHeight="1" x14ac:dyDescent="0.25">
      <c r="A209" s="54" t="s">
        <v>352</v>
      </c>
      <c r="B209" s="54" t="s">
        <v>353</v>
      </c>
      <c r="C209" s="31">
        <v>4301012342</v>
      </c>
      <c r="D209" s="640">
        <v>4680115888852</v>
      </c>
      <c r="E209" s="641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69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38"/>
      <c r="R209" s="638"/>
      <c r="S209" s="638"/>
      <c r="T209" s="639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customHeight="1" x14ac:dyDescent="0.25">
      <c r="A210" s="54" t="s">
        <v>355</v>
      </c>
      <c r="B210" s="54" t="s">
        <v>356</v>
      </c>
      <c r="C210" s="31">
        <v>4301012370</v>
      </c>
      <c r="D210" s="640">
        <v>4680115886957</v>
      </c>
      <c r="E210" s="641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38"/>
      <c r="R210" s="638"/>
      <c r="S210" s="638"/>
      <c r="T210" s="639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customHeight="1" x14ac:dyDescent="0.25">
      <c r="A211" s="54" t="s">
        <v>358</v>
      </c>
      <c r="B211" s="54" t="s">
        <v>359</v>
      </c>
      <c r="C211" s="31">
        <v>4301012098</v>
      </c>
      <c r="D211" s="640">
        <v>4680115885660</v>
      </c>
      <c r="E211" s="641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38"/>
      <c r="R211" s="638"/>
      <c r="S211" s="638"/>
      <c r="T211" s="639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customHeight="1" x14ac:dyDescent="0.25">
      <c r="A212" s="54" t="s">
        <v>361</v>
      </c>
      <c r="B212" s="54" t="s">
        <v>362</v>
      </c>
      <c r="C212" s="31">
        <v>4301012369</v>
      </c>
      <c r="D212" s="640">
        <v>4680115886773</v>
      </c>
      <c r="E212" s="641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38"/>
      <c r="R212" s="638"/>
      <c r="S212" s="638"/>
      <c r="T212" s="639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x14ac:dyDescent="0.2">
      <c r="A213" s="661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62"/>
      <c r="P213" s="642" t="s">
        <v>72</v>
      </c>
      <c r="Q213" s="643"/>
      <c r="R213" s="643"/>
      <c r="S213" s="643"/>
      <c r="T213" s="643"/>
      <c r="U213" s="643"/>
      <c r="V213" s="644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62"/>
      <c r="P214" s="642" t="s">
        <v>72</v>
      </c>
      <c r="Q214" s="643"/>
      <c r="R214" s="643"/>
      <c r="S214" s="643"/>
      <c r="T214" s="643"/>
      <c r="U214" s="643"/>
      <c r="V214" s="644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customHeight="1" x14ac:dyDescent="0.25">
      <c r="A215" s="652" t="s">
        <v>364</v>
      </c>
      <c r="B215" s="646"/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  <c r="Z215" s="646"/>
      <c r="AA215" s="628"/>
      <c r="AB215" s="628"/>
      <c r="AC215" s="628"/>
    </row>
    <row r="216" spans="1:68" ht="14.25" customHeight="1" x14ac:dyDescent="0.25">
      <c r="A216" s="645" t="s">
        <v>147</v>
      </c>
      <c r="B216" s="646"/>
      <c r="C216" s="646"/>
      <c r="D216" s="646"/>
      <c r="E216" s="646"/>
      <c r="F216" s="646"/>
      <c r="G216" s="646"/>
      <c r="H216" s="646"/>
      <c r="I216" s="646"/>
      <c r="J216" s="646"/>
      <c r="K216" s="646"/>
      <c r="L216" s="646"/>
      <c r="M216" s="646"/>
      <c r="N216" s="646"/>
      <c r="O216" s="646"/>
      <c r="P216" s="646"/>
      <c r="Q216" s="646"/>
      <c r="R216" s="646"/>
      <c r="S216" s="646"/>
      <c r="T216" s="646"/>
      <c r="U216" s="646"/>
      <c r="V216" s="646"/>
      <c r="W216" s="646"/>
      <c r="X216" s="646"/>
      <c r="Y216" s="646"/>
      <c r="Z216" s="646"/>
      <c r="AA216" s="629"/>
      <c r="AB216" s="629"/>
      <c r="AC216" s="629"/>
    </row>
    <row r="217" spans="1:68" ht="27" customHeight="1" x14ac:dyDescent="0.25">
      <c r="A217" s="54" t="s">
        <v>365</v>
      </c>
      <c r="B217" s="54" t="s">
        <v>366</v>
      </c>
      <c r="C217" s="31">
        <v>4301020323</v>
      </c>
      <c r="D217" s="640">
        <v>4680115886223</v>
      </c>
      <c r="E217" s="641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38"/>
      <c r="R217" s="638"/>
      <c r="S217" s="638"/>
      <c r="T217" s="639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x14ac:dyDescent="0.2">
      <c r="A218" s="661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62"/>
      <c r="P218" s="642" t="s">
        <v>72</v>
      </c>
      <c r="Q218" s="643"/>
      <c r="R218" s="643"/>
      <c r="S218" s="643"/>
      <c r="T218" s="643"/>
      <c r="U218" s="643"/>
      <c r="V218" s="644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62"/>
      <c r="P219" s="642" t="s">
        <v>72</v>
      </c>
      <c r="Q219" s="643"/>
      <c r="R219" s="643"/>
      <c r="S219" s="643"/>
      <c r="T219" s="643"/>
      <c r="U219" s="643"/>
      <c r="V219" s="644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customHeight="1" x14ac:dyDescent="0.25">
      <c r="A220" s="645" t="s">
        <v>62</v>
      </c>
      <c r="B220" s="646"/>
      <c r="C220" s="646"/>
      <c r="D220" s="646"/>
      <c r="E220" s="646"/>
      <c r="F220" s="646"/>
      <c r="G220" s="646"/>
      <c r="H220" s="646"/>
      <c r="I220" s="646"/>
      <c r="J220" s="646"/>
      <c r="K220" s="646"/>
      <c r="L220" s="646"/>
      <c r="M220" s="646"/>
      <c r="N220" s="646"/>
      <c r="O220" s="646"/>
      <c r="P220" s="646"/>
      <c r="Q220" s="646"/>
      <c r="R220" s="646"/>
      <c r="S220" s="646"/>
      <c r="T220" s="646"/>
      <c r="U220" s="646"/>
      <c r="V220" s="646"/>
      <c r="W220" s="646"/>
      <c r="X220" s="646"/>
      <c r="Y220" s="646"/>
      <c r="Z220" s="646"/>
      <c r="AA220" s="629"/>
      <c r="AB220" s="629"/>
      <c r="AC220" s="629"/>
    </row>
    <row r="221" spans="1:68" ht="27" customHeight="1" x14ac:dyDescent="0.25">
      <c r="A221" s="54" t="s">
        <v>368</v>
      </c>
      <c r="B221" s="54" t="s">
        <v>369</v>
      </c>
      <c r="C221" s="31">
        <v>4301031191</v>
      </c>
      <c r="D221" s="640">
        <v>4680115880993</v>
      </c>
      <c r="E221" s="641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38"/>
      <c r="R221" s="638"/>
      <c r="S221" s="638"/>
      <c r="T221" s="639"/>
      <c r="U221" s="34"/>
      <c r="V221" s="34"/>
      <c r="W221" s="35" t="s">
        <v>67</v>
      </c>
      <c r="X221" s="633">
        <v>30</v>
      </c>
      <c r="Y221" s="634">
        <f t="shared" ref="Y221:Y234" si="27">IFERROR(IF(X221="",0,CEILING((X221/$H221),1)*$H221),"")</f>
        <v>33.6</v>
      </c>
      <c r="Z221" s="36">
        <f>IFERROR(IF(Y221=0,"",ROUNDUP(Y221/H221,0)*0.00902),"")</f>
        <v>7.2160000000000002E-2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31.785714285714285</v>
      </c>
      <c r="BN221" s="64">
        <f t="shared" ref="BN221:BN234" si="29">IFERROR(Y221*I221/H221,"0")</f>
        <v>35.6</v>
      </c>
      <c r="BO221" s="64">
        <f t="shared" ref="BO221:BO234" si="30">IFERROR(1/J221*(X221/H221),"0")</f>
        <v>5.4112554112554112E-2</v>
      </c>
      <c r="BP221" s="64">
        <f t="shared" ref="BP221:BP234" si="31">IFERROR(1/J221*(Y221/H221),"0")</f>
        <v>6.0606060606060608E-2</v>
      </c>
    </row>
    <row r="222" spans="1:68" ht="27" customHeight="1" x14ac:dyDescent="0.25">
      <c r="A222" s="54" t="s">
        <v>371</v>
      </c>
      <c r="B222" s="54" t="s">
        <v>372</v>
      </c>
      <c r="C222" s="31">
        <v>4301031204</v>
      </c>
      <c r="D222" s="640">
        <v>4680115881761</v>
      </c>
      <c r="E222" s="641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38"/>
      <c r="R222" s="638"/>
      <c r="S222" s="638"/>
      <c r="T222" s="639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40">
        <v>4680115881563</v>
      </c>
      <c r="E223" s="641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38"/>
      <c r="R223" s="638"/>
      <c r="S223" s="638"/>
      <c r="T223" s="639"/>
      <c r="U223" s="34"/>
      <c r="V223" s="34"/>
      <c r="W223" s="35" t="s">
        <v>67</v>
      </c>
      <c r="X223" s="633">
        <v>52</v>
      </c>
      <c r="Y223" s="634">
        <f t="shared" si="27"/>
        <v>54.6</v>
      </c>
      <c r="Z223" s="36">
        <f>IFERROR(IF(Y223=0,"",ROUNDUP(Y223/H223,0)*0.00902),"")</f>
        <v>0.11726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54.35238095238094</v>
      </c>
      <c r="BN223" s="64">
        <f t="shared" si="29"/>
        <v>57.069999999999993</v>
      </c>
      <c r="BO223" s="64">
        <f t="shared" si="30"/>
        <v>9.3795093795093792E-2</v>
      </c>
      <c r="BP223" s="64">
        <f t="shared" si="31"/>
        <v>9.8484848484848481E-2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40">
        <v>4680115887565</v>
      </c>
      <c r="E224" s="641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38"/>
      <c r="R224" s="638"/>
      <c r="S224" s="638"/>
      <c r="T224" s="639"/>
      <c r="U224" s="34"/>
      <c r="V224" s="34"/>
      <c r="W224" s="35" t="s">
        <v>67</v>
      </c>
      <c r="X224" s="633">
        <v>21</v>
      </c>
      <c r="Y224" s="634">
        <f t="shared" si="27"/>
        <v>21.6</v>
      </c>
      <c r="Z224" s="36">
        <f>IFERROR(IF(Y224=0,"",ROUNDUP(Y224/H224,0)*0.00556),"")</f>
        <v>0.15012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24.412500000000001</v>
      </c>
      <c r="BN224" s="64">
        <f t="shared" si="29"/>
        <v>25.11</v>
      </c>
      <c r="BO224" s="64">
        <f t="shared" si="30"/>
        <v>0.10416666666666666</v>
      </c>
      <c r="BP224" s="64">
        <f t="shared" si="31"/>
        <v>0.10714285714285714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40">
        <v>4680115880986</v>
      </c>
      <c r="E225" s="641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38"/>
      <c r="R225" s="638"/>
      <c r="S225" s="638"/>
      <c r="T225" s="639"/>
      <c r="U225" s="34"/>
      <c r="V225" s="34"/>
      <c r="W225" s="35" t="s">
        <v>67</v>
      </c>
      <c r="X225" s="633">
        <v>35</v>
      </c>
      <c r="Y225" s="634">
        <f t="shared" si="27"/>
        <v>35.700000000000003</v>
      </c>
      <c r="Z225" s="36">
        <f t="shared" ref="Z225:Z230" si="32">IFERROR(IF(Y225=0,"",ROUNDUP(Y225/H225,0)*0.00502),"")</f>
        <v>8.5339999999999999E-2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37.166666666666664</v>
      </c>
      <c r="BN225" s="64">
        <f t="shared" si="29"/>
        <v>37.910000000000004</v>
      </c>
      <c r="BO225" s="64">
        <f t="shared" si="30"/>
        <v>7.1225071225071226E-2</v>
      </c>
      <c r="BP225" s="64">
        <f t="shared" si="31"/>
        <v>7.2649572649572655E-2</v>
      </c>
    </row>
    <row r="226" spans="1:68" ht="27" customHeight="1" x14ac:dyDescent="0.25">
      <c r="A226" s="54" t="s">
        <v>382</v>
      </c>
      <c r="B226" s="54" t="s">
        <v>383</v>
      </c>
      <c r="C226" s="31">
        <v>4301031443</v>
      </c>
      <c r="D226" s="640">
        <v>4680115887213</v>
      </c>
      <c r="E226" s="641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38"/>
      <c r="R226" s="638"/>
      <c r="S226" s="638"/>
      <c r="T226" s="639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4301031205</v>
      </c>
      <c r="D227" s="640">
        <v>4680115881785</v>
      </c>
      <c r="E227" s="641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38"/>
      <c r="R227" s="638"/>
      <c r="S227" s="638"/>
      <c r="T227" s="639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4301031499</v>
      </c>
      <c r="D228" s="640">
        <v>4680115888432</v>
      </c>
      <c r="E228" s="641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38"/>
      <c r="R228" s="638"/>
      <c r="S228" s="638"/>
      <c r="T228" s="639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4301031427</v>
      </c>
      <c r="D229" s="640">
        <v>4680115888104</v>
      </c>
      <c r="E229" s="641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38"/>
      <c r="R229" s="638"/>
      <c r="S229" s="638"/>
      <c r="T229" s="639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40">
        <v>4680115886537</v>
      </c>
      <c r="E230" s="641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74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38"/>
      <c r="R230" s="638"/>
      <c r="S230" s="638"/>
      <c r="T230" s="639"/>
      <c r="U230" s="34"/>
      <c r="V230" s="34"/>
      <c r="W230" s="35" t="s">
        <v>67</v>
      </c>
      <c r="X230" s="633">
        <v>45</v>
      </c>
      <c r="Y230" s="634">
        <f t="shared" si="27"/>
        <v>45</v>
      </c>
      <c r="Z230" s="36">
        <f t="shared" si="32"/>
        <v>0.1255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48.249999999999993</v>
      </c>
      <c r="BN230" s="64">
        <f t="shared" si="29"/>
        <v>48.249999999999993</v>
      </c>
      <c r="BO230" s="64">
        <f t="shared" si="30"/>
        <v>0.10683760683760685</v>
      </c>
      <c r="BP230" s="64">
        <f t="shared" si="31"/>
        <v>0.10683760683760685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40">
        <v>4680115887596</v>
      </c>
      <c r="E231" s="641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38"/>
      <c r="R231" s="638"/>
      <c r="S231" s="638"/>
      <c r="T231" s="639"/>
      <c r="U231" s="34"/>
      <c r="V231" s="34"/>
      <c r="W231" s="35" t="s">
        <v>67</v>
      </c>
      <c r="X231" s="633">
        <v>20</v>
      </c>
      <c r="Y231" s="634">
        <f t="shared" si="27"/>
        <v>20</v>
      </c>
      <c r="Z231" s="36">
        <f>IFERROR(IF(Y231=0,"",ROUNDUP(Y231/H231,0)*0.00417),"")</f>
        <v>0.10425000000000001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25.249999999999996</v>
      </c>
      <c r="BN231" s="64">
        <f t="shared" si="29"/>
        <v>25.249999999999996</v>
      </c>
      <c r="BO231" s="64">
        <f t="shared" si="30"/>
        <v>7.4404761904761904E-2</v>
      </c>
      <c r="BP231" s="64">
        <f t="shared" si="31"/>
        <v>7.4404761904761904E-2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40">
        <v>4680115881679</v>
      </c>
      <c r="E232" s="641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38"/>
      <c r="R232" s="638"/>
      <c r="S232" s="638"/>
      <c r="T232" s="639"/>
      <c r="U232" s="34"/>
      <c r="V232" s="34"/>
      <c r="W232" s="35" t="s">
        <v>67</v>
      </c>
      <c r="X232" s="633">
        <v>100</v>
      </c>
      <c r="Y232" s="634">
        <f t="shared" si="27"/>
        <v>100.80000000000001</v>
      </c>
      <c r="Z232" s="36">
        <f>IFERROR(IF(Y232=0,"",ROUNDUP(Y232/H232,0)*0.00502),"")</f>
        <v>0.24096000000000001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104.76190476190477</v>
      </c>
      <c r="BN232" s="64">
        <f t="shared" si="29"/>
        <v>105.60000000000002</v>
      </c>
      <c r="BO232" s="64">
        <f t="shared" si="30"/>
        <v>0.20350020350020354</v>
      </c>
      <c r="BP232" s="64">
        <f t="shared" si="31"/>
        <v>0.20512820512820515</v>
      </c>
    </row>
    <row r="233" spans="1:68" ht="27" customHeight="1" x14ac:dyDescent="0.25">
      <c r="A233" s="54" t="s">
        <v>401</v>
      </c>
      <c r="B233" s="54" t="s">
        <v>402</v>
      </c>
      <c r="C233" s="31">
        <v>4301031158</v>
      </c>
      <c r="D233" s="640">
        <v>4680115880191</v>
      </c>
      <c r="E233" s="641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38"/>
      <c r="R233" s="638"/>
      <c r="S233" s="638"/>
      <c r="T233" s="639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4301031245</v>
      </c>
      <c r="D234" s="640">
        <v>4680115883963</v>
      </c>
      <c r="E234" s="641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9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38"/>
      <c r="R234" s="638"/>
      <c r="S234" s="638"/>
      <c r="T234" s="639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1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62"/>
      <c r="P235" s="642" t="s">
        <v>72</v>
      </c>
      <c r="Q235" s="643"/>
      <c r="R235" s="643"/>
      <c r="S235" s="643"/>
      <c r="T235" s="643"/>
      <c r="U235" s="643"/>
      <c r="V235" s="644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160.0595238095238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163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0.89559000000000011</v>
      </c>
      <c r="AA235" s="636"/>
      <c r="AB235" s="636"/>
      <c r="AC235" s="636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62"/>
      <c r="P236" s="642" t="s">
        <v>72</v>
      </c>
      <c r="Q236" s="643"/>
      <c r="R236" s="643"/>
      <c r="S236" s="643"/>
      <c r="T236" s="643"/>
      <c r="U236" s="643"/>
      <c r="V236" s="644"/>
      <c r="W236" s="37" t="s">
        <v>67</v>
      </c>
      <c r="X236" s="635">
        <f>IFERROR(SUM(X221:X234),"0")</f>
        <v>303</v>
      </c>
      <c r="Y236" s="635">
        <f>IFERROR(SUM(Y221:Y234),"0")</f>
        <v>311.3</v>
      </c>
      <c r="Z236" s="37"/>
      <c r="AA236" s="636"/>
      <c r="AB236" s="636"/>
      <c r="AC236" s="636"/>
    </row>
    <row r="237" spans="1:68" ht="14.25" customHeight="1" x14ac:dyDescent="0.25">
      <c r="A237" s="645" t="s">
        <v>74</v>
      </c>
      <c r="B237" s="646"/>
      <c r="C237" s="646"/>
      <c r="D237" s="646"/>
      <c r="E237" s="646"/>
      <c r="F237" s="646"/>
      <c r="G237" s="646"/>
      <c r="H237" s="646"/>
      <c r="I237" s="646"/>
      <c r="J237" s="646"/>
      <c r="K237" s="646"/>
      <c r="L237" s="646"/>
      <c r="M237" s="646"/>
      <c r="N237" s="646"/>
      <c r="O237" s="646"/>
      <c r="P237" s="646"/>
      <c r="Q237" s="646"/>
      <c r="R237" s="646"/>
      <c r="S237" s="646"/>
      <c r="T237" s="646"/>
      <c r="U237" s="646"/>
      <c r="V237" s="646"/>
      <c r="W237" s="646"/>
      <c r="X237" s="646"/>
      <c r="Y237" s="646"/>
      <c r="Z237" s="646"/>
      <c r="AA237" s="629"/>
      <c r="AB237" s="629"/>
      <c r="AC237" s="629"/>
    </row>
    <row r="238" spans="1:68" ht="16.5" customHeight="1" x14ac:dyDescent="0.25">
      <c r="A238" s="54" t="s">
        <v>406</v>
      </c>
      <c r="B238" s="54" t="s">
        <v>407</v>
      </c>
      <c r="C238" s="31">
        <v>4301052209</v>
      </c>
      <c r="D238" s="640">
        <v>4680115888692</v>
      </c>
      <c r="E238" s="641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38"/>
      <c r="R238" s="638"/>
      <c r="S238" s="638"/>
      <c r="T238" s="639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409</v>
      </c>
      <c r="B239" s="54" t="s">
        <v>410</v>
      </c>
      <c r="C239" s="31">
        <v>4301052213</v>
      </c>
      <c r="D239" s="640">
        <v>4680115888722</v>
      </c>
      <c r="E239" s="641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38"/>
      <c r="R239" s="638"/>
      <c r="S239" s="638"/>
      <c r="T239" s="639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412</v>
      </c>
      <c r="B240" s="54" t="s">
        <v>413</v>
      </c>
      <c r="C240" s="31">
        <v>4301052177</v>
      </c>
      <c r="D240" s="640">
        <v>4680115888951</v>
      </c>
      <c r="E240" s="641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38"/>
      <c r="R240" s="638"/>
      <c r="S240" s="638"/>
      <c r="T240" s="639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415</v>
      </c>
      <c r="B241" s="54" t="s">
        <v>416</v>
      </c>
      <c r="C241" s="31">
        <v>4301052178</v>
      </c>
      <c r="D241" s="640">
        <v>4680115888975</v>
      </c>
      <c r="E241" s="641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38"/>
      <c r="R241" s="638"/>
      <c r="S241" s="638"/>
      <c r="T241" s="639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418</v>
      </c>
      <c r="B242" s="54" t="s">
        <v>419</v>
      </c>
      <c r="C242" s="31">
        <v>4301052176</v>
      </c>
      <c r="D242" s="640">
        <v>4680115888982</v>
      </c>
      <c r="E242" s="641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2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38"/>
      <c r="R242" s="638"/>
      <c r="S242" s="638"/>
      <c r="T242" s="639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61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62"/>
      <c r="P243" s="642" t="s">
        <v>72</v>
      </c>
      <c r="Q243" s="643"/>
      <c r="R243" s="643"/>
      <c r="S243" s="643"/>
      <c r="T243" s="643"/>
      <c r="U243" s="643"/>
      <c r="V243" s="644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62"/>
      <c r="P244" s="642" t="s">
        <v>72</v>
      </c>
      <c r="Q244" s="643"/>
      <c r="R244" s="643"/>
      <c r="S244" s="643"/>
      <c r="T244" s="643"/>
      <c r="U244" s="643"/>
      <c r="V244" s="644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customHeight="1" x14ac:dyDescent="0.25">
      <c r="A245" s="645" t="s">
        <v>272</v>
      </c>
      <c r="B245" s="646"/>
      <c r="C245" s="646"/>
      <c r="D245" s="646"/>
      <c r="E245" s="646"/>
      <c r="F245" s="646"/>
      <c r="G245" s="646"/>
      <c r="H245" s="646"/>
      <c r="I245" s="646"/>
      <c r="J245" s="646"/>
      <c r="K245" s="646"/>
      <c r="L245" s="646"/>
      <c r="M245" s="646"/>
      <c r="N245" s="646"/>
      <c r="O245" s="646"/>
      <c r="P245" s="646"/>
      <c r="Q245" s="646"/>
      <c r="R245" s="646"/>
      <c r="S245" s="646"/>
      <c r="T245" s="646"/>
      <c r="U245" s="646"/>
      <c r="V245" s="646"/>
      <c r="W245" s="646"/>
      <c r="X245" s="646"/>
      <c r="Y245" s="646"/>
      <c r="Z245" s="646"/>
      <c r="AA245" s="629"/>
      <c r="AB245" s="629"/>
      <c r="AC245" s="629"/>
    </row>
    <row r="246" spans="1:68" ht="27" customHeight="1" x14ac:dyDescent="0.25">
      <c r="A246" s="54" t="s">
        <v>420</v>
      </c>
      <c r="B246" s="54" t="s">
        <v>421</v>
      </c>
      <c r="C246" s="31">
        <v>4301032053</v>
      </c>
      <c r="D246" s="640">
        <v>4680115886780</v>
      </c>
      <c r="E246" s="641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8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38"/>
      <c r="R246" s="638"/>
      <c r="S246" s="638"/>
      <c r="T246" s="639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40">
        <v>4680115886742</v>
      </c>
      <c r="E247" s="641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38"/>
      <c r="R247" s="638"/>
      <c r="S247" s="638"/>
      <c r="T247" s="639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40">
        <v>4680115886766</v>
      </c>
      <c r="E248" s="641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38"/>
      <c r="R248" s="638"/>
      <c r="S248" s="638"/>
      <c r="T248" s="639"/>
      <c r="U248" s="34"/>
      <c r="V248" s="34"/>
      <c r="W248" s="35" t="s">
        <v>67</v>
      </c>
      <c r="X248" s="633">
        <v>7</v>
      </c>
      <c r="Y248" s="634">
        <f>IFERROR(IF(X248="",0,CEILING((X248/$H248),1)*$H248),"")</f>
        <v>7.5600000000000005</v>
      </c>
      <c r="Z248" s="36">
        <f>IFERROR(IF(Y248=0,"",ROUNDUP(Y248/H248,0)*0.0059),"")</f>
        <v>3.5400000000000001E-2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8.0555555555555554</v>
      </c>
      <c r="BN248" s="64">
        <f>IFERROR(Y248*I248/H248,"0")</f>
        <v>8.6999999999999993</v>
      </c>
      <c r="BO248" s="64">
        <f>IFERROR(1/J248*(X248/H248),"0")</f>
        <v>2.5720164609053495E-2</v>
      </c>
      <c r="BP248" s="64">
        <f>IFERROR(1/J248*(Y248/H248),"0")</f>
        <v>2.7777777777777776E-2</v>
      </c>
    </row>
    <row r="249" spans="1:68" x14ac:dyDescent="0.2">
      <c r="A249" s="661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62"/>
      <c r="P249" s="642" t="s">
        <v>72</v>
      </c>
      <c r="Q249" s="643"/>
      <c r="R249" s="643"/>
      <c r="S249" s="643"/>
      <c r="T249" s="643"/>
      <c r="U249" s="643"/>
      <c r="V249" s="644"/>
      <c r="W249" s="37" t="s">
        <v>73</v>
      </c>
      <c r="X249" s="635">
        <f>IFERROR(X246/H246,"0")+IFERROR(X247/H247,"0")+IFERROR(X248/H248,"0")</f>
        <v>5.5555555555555554</v>
      </c>
      <c r="Y249" s="635">
        <f>IFERROR(Y246/H246,"0")+IFERROR(Y247/H247,"0")+IFERROR(Y248/H248,"0")</f>
        <v>6</v>
      </c>
      <c r="Z249" s="635">
        <f>IFERROR(IF(Z246="",0,Z246),"0")+IFERROR(IF(Z247="",0,Z247),"0")+IFERROR(IF(Z248="",0,Z248),"0")</f>
        <v>3.5400000000000001E-2</v>
      </c>
      <c r="AA249" s="636"/>
      <c r="AB249" s="636"/>
      <c r="AC249" s="636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62"/>
      <c r="P250" s="642" t="s">
        <v>72</v>
      </c>
      <c r="Q250" s="643"/>
      <c r="R250" s="643"/>
      <c r="S250" s="643"/>
      <c r="T250" s="643"/>
      <c r="U250" s="643"/>
      <c r="V250" s="644"/>
      <c r="W250" s="37" t="s">
        <v>67</v>
      </c>
      <c r="X250" s="635">
        <f>IFERROR(SUM(X246:X248),"0")</f>
        <v>7</v>
      </c>
      <c r="Y250" s="635">
        <f>IFERROR(SUM(Y246:Y248),"0")</f>
        <v>7.5600000000000005</v>
      </c>
      <c r="Z250" s="37"/>
      <c r="AA250" s="636"/>
      <c r="AB250" s="636"/>
      <c r="AC250" s="636"/>
    </row>
    <row r="251" spans="1:68" ht="14.25" customHeight="1" x14ac:dyDescent="0.25">
      <c r="A251" s="645" t="s">
        <v>428</v>
      </c>
      <c r="B251" s="646"/>
      <c r="C251" s="646"/>
      <c r="D251" s="646"/>
      <c r="E251" s="646"/>
      <c r="F251" s="646"/>
      <c r="G251" s="646"/>
      <c r="H251" s="646"/>
      <c r="I251" s="646"/>
      <c r="J251" s="646"/>
      <c r="K251" s="646"/>
      <c r="L251" s="646"/>
      <c r="M251" s="646"/>
      <c r="N251" s="646"/>
      <c r="O251" s="646"/>
      <c r="P251" s="646"/>
      <c r="Q251" s="646"/>
      <c r="R251" s="646"/>
      <c r="S251" s="646"/>
      <c r="T251" s="646"/>
      <c r="U251" s="646"/>
      <c r="V251" s="646"/>
      <c r="W251" s="646"/>
      <c r="X251" s="646"/>
      <c r="Y251" s="646"/>
      <c r="Z251" s="646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40">
        <v>4680115886797</v>
      </c>
      <c r="E252" s="641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6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38"/>
      <c r="R252" s="638"/>
      <c r="S252" s="638"/>
      <c r="T252" s="639"/>
      <c r="U252" s="34"/>
      <c r="V252" s="34"/>
      <c r="W252" s="35" t="s">
        <v>67</v>
      </c>
      <c r="X252" s="633">
        <v>10</v>
      </c>
      <c r="Y252" s="634">
        <f>IFERROR(IF(X252="",0,CEILING((X252/$H252),1)*$H252),"")</f>
        <v>10.08</v>
      </c>
      <c r="Z252" s="36">
        <f>IFERROR(IF(Y252=0,"",ROUNDUP(Y252/H252,0)*0.0059),"")</f>
        <v>4.7199999999999999E-2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11.507936507936508</v>
      </c>
      <c r="BN252" s="64">
        <f>IFERROR(Y252*I252/H252,"0")</f>
        <v>11.6</v>
      </c>
      <c r="BO252" s="64">
        <f>IFERROR(1/J252*(X252/H252),"0")</f>
        <v>3.6743092298647854E-2</v>
      </c>
      <c r="BP252" s="64">
        <f>IFERROR(1/J252*(Y252/H252),"0")</f>
        <v>3.7037037037037035E-2</v>
      </c>
    </row>
    <row r="253" spans="1:68" x14ac:dyDescent="0.2">
      <c r="A253" s="661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62"/>
      <c r="P253" s="642" t="s">
        <v>72</v>
      </c>
      <c r="Q253" s="643"/>
      <c r="R253" s="643"/>
      <c r="S253" s="643"/>
      <c r="T253" s="643"/>
      <c r="U253" s="643"/>
      <c r="V253" s="644"/>
      <c r="W253" s="37" t="s">
        <v>73</v>
      </c>
      <c r="X253" s="635">
        <f>IFERROR(X252/H252,"0")</f>
        <v>7.9365079365079367</v>
      </c>
      <c r="Y253" s="635">
        <f>IFERROR(Y252/H252,"0")</f>
        <v>8</v>
      </c>
      <c r="Z253" s="635">
        <f>IFERROR(IF(Z252="",0,Z252),"0")</f>
        <v>4.7199999999999999E-2</v>
      </c>
      <c r="AA253" s="636"/>
      <c r="AB253" s="636"/>
      <c r="AC253" s="636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62"/>
      <c r="P254" s="642" t="s">
        <v>72</v>
      </c>
      <c r="Q254" s="643"/>
      <c r="R254" s="643"/>
      <c r="S254" s="643"/>
      <c r="T254" s="643"/>
      <c r="U254" s="643"/>
      <c r="V254" s="644"/>
      <c r="W254" s="37" t="s">
        <v>67</v>
      </c>
      <c r="X254" s="635">
        <f>IFERROR(SUM(X252:X252),"0")</f>
        <v>10</v>
      </c>
      <c r="Y254" s="635">
        <f>IFERROR(SUM(Y252:Y252),"0")</f>
        <v>10.08</v>
      </c>
      <c r="Z254" s="37"/>
      <c r="AA254" s="636"/>
      <c r="AB254" s="636"/>
      <c r="AC254" s="636"/>
    </row>
    <row r="255" spans="1:68" ht="16.5" customHeight="1" x14ac:dyDescent="0.25">
      <c r="A255" s="652" t="s">
        <v>431</v>
      </c>
      <c r="B255" s="646"/>
      <c r="C255" s="646"/>
      <c r="D255" s="646"/>
      <c r="E255" s="646"/>
      <c r="F255" s="646"/>
      <c r="G255" s="646"/>
      <c r="H255" s="646"/>
      <c r="I255" s="646"/>
      <c r="J255" s="646"/>
      <c r="K255" s="646"/>
      <c r="L255" s="646"/>
      <c r="M255" s="646"/>
      <c r="N255" s="646"/>
      <c r="O255" s="646"/>
      <c r="P255" s="646"/>
      <c r="Q255" s="646"/>
      <c r="R255" s="646"/>
      <c r="S255" s="646"/>
      <c r="T255" s="646"/>
      <c r="U255" s="646"/>
      <c r="V255" s="646"/>
      <c r="W255" s="646"/>
      <c r="X255" s="646"/>
      <c r="Y255" s="646"/>
      <c r="Z255" s="646"/>
      <c r="AA255" s="628"/>
      <c r="AB255" s="628"/>
      <c r="AC255" s="628"/>
    </row>
    <row r="256" spans="1:68" ht="14.25" customHeight="1" x14ac:dyDescent="0.25">
      <c r="A256" s="645" t="s">
        <v>111</v>
      </c>
      <c r="B256" s="646"/>
      <c r="C256" s="646"/>
      <c r="D256" s="646"/>
      <c r="E256" s="646"/>
      <c r="F256" s="646"/>
      <c r="G256" s="646"/>
      <c r="H256" s="646"/>
      <c r="I256" s="646"/>
      <c r="J256" s="646"/>
      <c r="K256" s="646"/>
      <c r="L256" s="646"/>
      <c r="M256" s="646"/>
      <c r="N256" s="646"/>
      <c r="O256" s="646"/>
      <c r="P256" s="646"/>
      <c r="Q256" s="646"/>
      <c r="R256" s="646"/>
      <c r="S256" s="646"/>
      <c r="T256" s="646"/>
      <c r="U256" s="646"/>
      <c r="V256" s="646"/>
      <c r="W256" s="646"/>
      <c r="X256" s="646"/>
      <c r="Y256" s="646"/>
      <c r="Z256" s="646"/>
      <c r="AA256" s="629"/>
      <c r="AB256" s="629"/>
      <c r="AC256" s="629"/>
    </row>
    <row r="257" spans="1:68" ht="27" customHeight="1" x14ac:dyDescent="0.25">
      <c r="A257" s="54" t="s">
        <v>432</v>
      </c>
      <c r="B257" s="54" t="s">
        <v>433</v>
      </c>
      <c r="C257" s="31">
        <v>4301011450</v>
      </c>
      <c r="D257" s="640">
        <v>4680115881402</v>
      </c>
      <c r="E257" s="641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38"/>
      <c r="R257" s="638"/>
      <c r="S257" s="638"/>
      <c r="T257" s="639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435</v>
      </c>
      <c r="B258" s="54" t="s">
        <v>436</v>
      </c>
      <c r="C258" s="31">
        <v>4301011768</v>
      </c>
      <c r="D258" s="640">
        <v>4680115881396</v>
      </c>
      <c r="E258" s="641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38"/>
      <c r="R258" s="638"/>
      <c r="S258" s="638"/>
      <c r="T258" s="639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661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62"/>
      <c r="P259" s="642" t="s">
        <v>72</v>
      </c>
      <c r="Q259" s="643"/>
      <c r="R259" s="643"/>
      <c r="S259" s="643"/>
      <c r="T259" s="643"/>
      <c r="U259" s="643"/>
      <c r="V259" s="644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62"/>
      <c r="P260" s="642" t="s">
        <v>72</v>
      </c>
      <c r="Q260" s="643"/>
      <c r="R260" s="643"/>
      <c r="S260" s="643"/>
      <c r="T260" s="643"/>
      <c r="U260" s="643"/>
      <c r="V260" s="644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customHeight="1" x14ac:dyDescent="0.25">
      <c r="A261" s="645" t="s">
        <v>147</v>
      </c>
      <c r="B261" s="646"/>
      <c r="C261" s="646"/>
      <c r="D261" s="646"/>
      <c r="E261" s="646"/>
      <c r="F261" s="646"/>
      <c r="G261" s="646"/>
      <c r="H261" s="646"/>
      <c r="I261" s="646"/>
      <c r="J261" s="646"/>
      <c r="K261" s="646"/>
      <c r="L261" s="646"/>
      <c r="M261" s="646"/>
      <c r="N261" s="646"/>
      <c r="O261" s="646"/>
      <c r="P261" s="646"/>
      <c r="Q261" s="646"/>
      <c r="R261" s="646"/>
      <c r="S261" s="646"/>
      <c r="T261" s="646"/>
      <c r="U261" s="646"/>
      <c r="V261" s="646"/>
      <c r="W261" s="646"/>
      <c r="X261" s="646"/>
      <c r="Y261" s="646"/>
      <c r="Z261" s="646"/>
      <c r="AA261" s="629"/>
      <c r="AB261" s="629"/>
      <c r="AC261" s="629"/>
    </row>
    <row r="262" spans="1:68" ht="16.5" customHeight="1" x14ac:dyDescent="0.25">
      <c r="A262" s="54" t="s">
        <v>437</v>
      </c>
      <c r="B262" s="54" t="s">
        <v>438</v>
      </c>
      <c r="C262" s="31">
        <v>4301020261</v>
      </c>
      <c r="D262" s="640">
        <v>4680115882935</v>
      </c>
      <c r="E262" s="641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38"/>
      <c r="R262" s="638"/>
      <c r="S262" s="638"/>
      <c r="T262" s="639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customHeight="1" x14ac:dyDescent="0.25">
      <c r="A263" s="54" t="s">
        <v>440</v>
      </c>
      <c r="B263" s="54" t="s">
        <v>441</v>
      </c>
      <c r="C263" s="31">
        <v>4301020220</v>
      </c>
      <c r="D263" s="640">
        <v>4680115880764</v>
      </c>
      <c r="E263" s="641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38"/>
      <c r="R263" s="638"/>
      <c r="S263" s="638"/>
      <c r="T263" s="639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661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62"/>
      <c r="P264" s="642" t="s">
        <v>72</v>
      </c>
      <c r="Q264" s="643"/>
      <c r="R264" s="643"/>
      <c r="S264" s="643"/>
      <c r="T264" s="643"/>
      <c r="U264" s="643"/>
      <c r="V264" s="644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62"/>
      <c r="P265" s="642" t="s">
        <v>72</v>
      </c>
      <c r="Q265" s="643"/>
      <c r="R265" s="643"/>
      <c r="S265" s="643"/>
      <c r="T265" s="643"/>
      <c r="U265" s="643"/>
      <c r="V265" s="644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customHeight="1" x14ac:dyDescent="0.25">
      <c r="A266" s="645" t="s">
        <v>62</v>
      </c>
      <c r="B266" s="646"/>
      <c r="C266" s="646"/>
      <c r="D266" s="646"/>
      <c r="E266" s="646"/>
      <c r="F266" s="646"/>
      <c r="G266" s="646"/>
      <c r="H266" s="646"/>
      <c r="I266" s="646"/>
      <c r="J266" s="646"/>
      <c r="K266" s="646"/>
      <c r="L266" s="646"/>
      <c r="M266" s="646"/>
      <c r="N266" s="646"/>
      <c r="O266" s="646"/>
      <c r="P266" s="646"/>
      <c r="Q266" s="646"/>
      <c r="R266" s="646"/>
      <c r="S266" s="646"/>
      <c r="T266" s="646"/>
      <c r="U266" s="646"/>
      <c r="V266" s="646"/>
      <c r="W266" s="646"/>
      <c r="X266" s="646"/>
      <c r="Y266" s="646"/>
      <c r="Z266" s="646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40">
        <v>4680115882683</v>
      </c>
      <c r="E267" s="641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38"/>
      <c r="R267" s="638"/>
      <c r="S267" s="638"/>
      <c r="T267" s="639"/>
      <c r="U267" s="34"/>
      <c r="V267" s="34"/>
      <c r="W267" s="35" t="s">
        <v>67</v>
      </c>
      <c r="X267" s="633">
        <v>343</v>
      </c>
      <c r="Y267" s="634">
        <f t="shared" ref="Y267:Y274" si="33">IFERROR(IF(X267="",0,CEILING((X267/$H267),1)*$H267),"")</f>
        <v>345.6</v>
      </c>
      <c r="Z267" s="36">
        <f>IFERROR(IF(Y267=0,"",ROUNDUP(Y267/H267,0)*0.00902),"")</f>
        <v>0.57728000000000002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355.06851851851849</v>
      </c>
      <c r="BN267" s="64">
        <f t="shared" ref="BN267:BN274" si="35">IFERROR(Y267*I267/H267,"0")</f>
        <v>357.76</v>
      </c>
      <c r="BO267" s="64">
        <f t="shared" ref="BO267:BO274" si="36">IFERROR(1/J267*(X267/H267),"0")</f>
        <v>0.48120089786756448</v>
      </c>
      <c r="BP267" s="64">
        <f t="shared" ref="BP267:BP274" si="37">IFERROR(1/J267*(Y267/H267),"0")</f>
        <v>0.48484848484848486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40">
        <v>4680115882690</v>
      </c>
      <c r="E268" s="641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38"/>
      <c r="R268" s="638"/>
      <c r="S268" s="638"/>
      <c r="T268" s="639"/>
      <c r="U268" s="34"/>
      <c r="V268" s="34"/>
      <c r="W268" s="35" t="s">
        <v>67</v>
      </c>
      <c r="X268" s="633">
        <v>263</v>
      </c>
      <c r="Y268" s="634">
        <f t="shared" si="33"/>
        <v>264.60000000000002</v>
      </c>
      <c r="Z268" s="36">
        <f>IFERROR(IF(Y268=0,"",ROUNDUP(Y268/H268,0)*0.00902),"")</f>
        <v>0.44198000000000004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272.25370370370371</v>
      </c>
      <c r="BN268" s="64">
        <f t="shared" si="35"/>
        <v>273.90999999999997</v>
      </c>
      <c r="BO268" s="64">
        <f t="shared" si="36"/>
        <v>0.36896745230078565</v>
      </c>
      <c r="BP268" s="64">
        <f t="shared" si="37"/>
        <v>0.37121212121212122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40">
        <v>4680115882669</v>
      </c>
      <c r="E269" s="641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38"/>
      <c r="R269" s="638"/>
      <c r="S269" s="638"/>
      <c r="T269" s="639"/>
      <c r="U269" s="34"/>
      <c r="V269" s="34"/>
      <c r="W269" s="35" t="s">
        <v>67</v>
      </c>
      <c r="X269" s="633">
        <v>528</v>
      </c>
      <c r="Y269" s="634">
        <f t="shared" si="33"/>
        <v>529.20000000000005</v>
      </c>
      <c r="Z269" s="36">
        <f>IFERROR(IF(Y269=0,"",ROUNDUP(Y269/H269,0)*0.00902),"")</f>
        <v>0.88396000000000008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546.57777777777778</v>
      </c>
      <c r="BN269" s="64">
        <f t="shared" si="35"/>
        <v>547.81999999999994</v>
      </c>
      <c r="BO269" s="64">
        <f t="shared" si="36"/>
        <v>0.7407407407407407</v>
      </c>
      <c r="BP269" s="64">
        <f t="shared" si="37"/>
        <v>0.74242424242424243</v>
      </c>
    </row>
    <row r="270" spans="1:68" ht="27" customHeight="1" x14ac:dyDescent="0.25">
      <c r="A270" s="54" t="s">
        <v>451</v>
      </c>
      <c r="B270" s="54" t="s">
        <v>452</v>
      </c>
      <c r="C270" s="31">
        <v>4301031221</v>
      </c>
      <c r="D270" s="640">
        <v>4680115882676</v>
      </c>
      <c r="E270" s="641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38"/>
      <c r="R270" s="638"/>
      <c r="S270" s="638"/>
      <c r="T270" s="639"/>
      <c r="U270" s="34"/>
      <c r="V270" s="34"/>
      <c r="W270" s="35" t="s">
        <v>67</v>
      </c>
      <c r="X270" s="633">
        <v>259</v>
      </c>
      <c r="Y270" s="634">
        <f t="shared" si="33"/>
        <v>259.20000000000005</v>
      </c>
      <c r="Z270" s="36">
        <f>IFERROR(IF(Y270=0,"",ROUNDUP(Y270/H270,0)*0.00902),"")</f>
        <v>0.43296000000000001</v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268.11296296296291</v>
      </c>
      <c r="BN270" s="64">
        <f t="shared" si="35"/>
        <v>268.32</v>
      </c>
      <c r="BO270" s="64">
        <f t="shared" si="36"/>
        <v>0.36335578002244667</v>
      </c>
      <c r="BP270" s="64">
        <f t="shared" si="37"/>
        <v>0.3636363636363637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40">
        <v>4680115884014</v>
      </c>
      <c r="E271" s="641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38"/>
      <c r="R271" s="638"/>
      <c r="S271" s="638"/>
      <c r="T271" s="639"/>
      <c r="U271" s="34"/>
      <c r="V271" s="34"/>
      <c r="W271" s="35" t="s">
        <v>67</v>
      </c>
      <c r="X271" s="633">
        <v>90</v>
      </c>
      <c r="Y271" s="634">
        <f t="shared" si="33"/>
        <v>90</v>
      </c>
      <c r="Z271" s="36">
        <f>IFERROR(IF(Y271=0,"",ROUNDUP(Y271/H271,0)*0.00502),"")</f>
        <v>0.251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96.499999999999986</v>
      </c>
      <c r="BN271" s="64">
        <f t="shared" si="35"/>
        <v>96.499999999999986</v>
      </c>
      <c r="BO271" s="64">
        <f t="shared" si="36"/>
        <v>0.21367521367521369</v>
      </c>
      <c r="BP271" s="64">
        <f t="shared" si="37"/>
        <v>0.21367521367521369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40">
        <v>4680115884007</v>
      </c>
      <c r="E272" s="641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38"/>
      <c r="R272" s="638"/>
      <c r="S272" s="638"/>
      <c r="T272" s="639"/>
      <c r="U272" s="34"/>
      <c r="V272" s="34"/>
      <c r="W272" s="35" t="s">
        <v>67</v>
      </c>
      <c r="X272" s="633">
        <v>45</v>
      </c>
      <c r="Y272" s="634">
        <f t="shared" si="33"/>
        <v>45</v>
      </c>
      <c r="Z272" s="36">
        <f>IFERROR(IF(Y272=0,"",ROUNDUP(Y272/H272,0)*0.00502),"")</f>
        <v>0.1255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47.5</v>
      </c>
      <c r="BN272" s="64">
        <f t="shared" si="35"/>
        <v>47.5</v>
      </c>
      <c r="BO272" s="64">
        <f t="shared" si="36"/>
        <v>0.10683760683760685</v>
      </c>
      <c r="BP272" s="64">
        <f t="shared" si="37"/>
        <v>0.10683760683760685</v>
      </c>
    </row>
    <row r="273" spans="1:68" ht="27" customHeight="1" x14ac:dyDescent="0.25">
      <c r="A273" s="54" t="s">
        <v>458</v>
      </c>
      <c r="B273" s="54" t="s">
        <v>459</v>
      </c>
      <c r="C273" s="31">
        <v>4301031229</v>
      </c>
      <c r="D273" s="640">
        <v>4680115884038</v>
      </c>
      <c r="E273" s="641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38"/>
      <c r="R273" s="638"/>
      <c r="S273" s="638"/>
      <c r="T273" s="639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40">
        <v>4680115884021</v>
      </c>
      <c r="E274" s="641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38"/>
      <c r="R274" s="638"/>
      <c r="S274" s="638"/>
      <c r="T274" s="639"/>
      <c r="U274" s="34"/>
      <c r="V274" s="34"/>
      <c r="W274" s="35" t="s">
        <v>67</v>
      </c>
      <c r="X274" s="633">
        <v>45</v>
      </c>
      <c r="Y274" s="634">
        <f t="shared" si="33"/>
        <v>45</v>
      </c>
      <c r="Z274" s="36">
        <f>IFERROR(IF(Y274=0,"",ROUNDUP(Y274/H274,0)*0.00502),"")</f>
        <v>0.1255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47.5</v>
      </c>
      <c r="BN274" s="64">
        <f t="shared" si="35"/>
        <v>47.5</v>
      </c>
      <c r="BO274" s="64">
        <f t="shared" si="36"/>
        <v>0.10683760683760685</v>
      </c>
      <c r="BP274" s="64">
        <f t="shared" si="37"/>
        <v>0.10683760683760685</v>
      </c>
    </row>
    <row r="275" spans="1:68" x14ac:dyDescent="0.2">
      <c r="A275" s="661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62"/>
      <c r="P275" s="642" t="s">
        <v>72</v>
      </c>
      <c r="Q275" s="643"/>
      <c r="R275" s="643"/>
      <c r="S275" s="643"/>
      <c r="T275" s="643"/>
      <c r="U275" s="643"/>
      <c r="V275" s="644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357.96296296296293</v>
      </c>
      <c r="Y275" s="635">
        <f>IFERROR(Y267/H267,"0")+IFERROR(Y268/H268,"0")+IFERROR(Y269/H269,"0")+IFERROR(Y270/H270,"0")+IFERROR(Y271/H271,"0")+IFERROR(Y272/H272,"0")+IFERROR(Y273/H273,"0")+IFERROR(Y274/H274,"0")</f>
        <v>359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2.8381800000000004</v>
      </c>
      <c r="AA275" s="636"/>
      <c r="AB275" s="636"/>
      <c r="AC275" s="636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62"/>
      <c r="P276" s="642" t="s">
        <v>72</v>
      </c>
      <c r="Q276" s="643"/>
      <c r="R276" s="643"/>
      <c r="S276" s="643"/>
      <c r="T276" s="643"/>
      <c r="U276" s="643"/>
      <c r="V276" s="644"/>
      <c r="W276" s="37" t="s">
        <v>67</v>
      </c>
      <c r="X276" s="635">
        <f>IFERROR(SUM(X267:X274),"0")</f>
        <v>1573</v>
      </c>
      <c r="Y276" s="635">
        <f>IFERROR(SUM(Y267:Y274),"0")</f>
        <v>1578.6000000000001</v>
      </c>
      <c r="Z276" s="37"/>
      <c r="AA276" s="636"/>
      <c r="AB276" s="636"/>
      <c r="AC276" s="636"/>
    </row>
    <row r="277" spans="1:68" ht="14.25" customHeight="1" x14ac:dyDescent="0.25">
      <c r="A277" s="645" t="s">
        <v>74</v>
      </c>
      <c r="B277" s="646"/>
      <c r="C277" s="646"/>
      <c r="D277" s="646"/>
      <c r="E277" s="646"/>
      <c r="F277" s="646"/>
      <c r="G277" s="646"/>
      <c r="H277" s="646"/>
      <c r="I277" s="646"/>
      <c r="J277" s="646"/>
      <c r="K277" s="646"/>
      <c r="L277" s="646"/>
      <c r="M277" s="646"/>
      <c r="N277" s="646"/>
      <c r="O277" s="646"/>
      <c r="P277" s="646"/>
      <c r="Q277" s="646"/>
      <c r="R277" s="646"/>
      <c r="S277" s="646"/>
      <c r="T277" s="646"/>
      <c r="U277" s="646"/>
      <c r="V277" s="646"/>
      <c r="W277" s="646"/>
      <c r="X277" s="646"/>
      <c r="Y277" s="646"/>
      <c r="Z277" s="646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40">
        <v>4680115881594</v>
      </c>
      <c r="E278" s="641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38"/>
      <c r="R278" s="638"/>
      <c r="S278" s="638"/>
      <c r="T278" s="639"/>
      <c r="U278" s="34"/>
      <c r="V278" s="34"/>
      <c r="W278" s="35" t="s">
        <v>67</v>
      </c>
      <c r="X278" s="633">
        <v>422</v>
      </c>
      <c r="Y278" s="634">
        <f t="shared" ref="Y278:Y289" si="38">IFERROR(IF(X278="",0,CEILING((X278/$H278),1)*$H278),"")</f>
        <v>429.29999999999995</v>
      </c>
      <c r="Z278" s="36">
        <f>IFERROR(IF(Y278=0,"",ROUNDUP(Y278/H278,0)*0.01898),"")</f>
        <v>1.0059400000000001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447.73679012345679</v>
      </c>
      <c r="BN278" s="64">
        <f t="shared" ref="BN278:BN289" si="40">IFERROR(Y278*I278/H278,"0")</f>
        <v>455.48199999999997</v>
      </c>
      <c r="BO278" s="64">
        <f t="shared" ref="BO278:BO289" si="41">IFERROR(1/J278*(X278/H278),"0")</f>
        <v>0.81404320987654322</v>
      </c>
      <c r="BP278" s="64">
        <f t="shared" ref="BP278:BP289" si="42">IFERROR(1/J278*(Y278/H278),"0")</f>
        <v>0.828125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40">
        <v>4680115881617</v>
      </c>
      <c r="E279" s="641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38"/>
      <c r="R279" s="638"/>
      <c r="S279" s="638"/>
      <c r="T279" s="639"/>
      <c r="U279" s="34"/>
      <c r="V279" s="34"/>
      <c r="W279" s="35" t="s">
        <v>67</v>
      </c>
      <c r="X279" s="633">
        <v>270</v>
      </c>
      <c r="Y279" s="634">
        <f t="shared" si="38"/>
        <v>275.39999999999998</v>
      </c>
      <c r="Z279" s="36">
        <f>IFERROR(IF(Y279=0,"",ROUNDUP(Y279/H279,0)*0.01898),"")</f>
        <v>0.64532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285.86666666666667</v>
      </c>
      <c r="BN279" s="64">
        <f t="shared" si="40"/>
        <v>291.584</v>
      </c>
      <c r="BO279" s="64">
        <f t="shared" si="41"/>
        <v>0.52083333333333337</v>
      </c>
      <c r="BP279" s="64">
        <f t="shared" si="42"/>
        <v>0.53125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40">
        <v>4680115880573</v>
      </c>
      <c r="E280" s="641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8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38"/>
      <c r="R280" s="638"/>
      <c r="S280" s="638"/>
      <c r="T280" s="639"/>
      <c r="U280" s="34"/>
      <c r="V280" s="34"/>
      <c r="W280" s="35" t="s">
        <v>67</v>
      </c>
      <c r="X280" s="633">
        <v>224</v>
      </c>
      <c r="Y280" s="634">
        <f t="shared" si="38"/>
        <v>226.2</v>
      </c>
      <c r="Z280" s="36">
        <f>IFERROR(IF(Y280=0,"",ROUNDUP(Y280/H280,0)*0.01898),"")</f>
        <v>0.49348000000000003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236.71908045977014</v>
      </c>
      <c r="BN280" s="64">
        <f t="shared" si="40"/>
        <v>239.04400000000001</v>
      </c>
      <c r="BO280" s="64">
        <f t="shared" si="41"/>
        <v>0.40229885057471265</v>
      </c>
      <c r="BP280" s="64">
        <f t="shared" si="42"/>
        <v>0.40625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40">
        <v>4680115882195</v>
      </c>
      <c r="E281" s="641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38"/>
      <c r="R281" s="638"/>
      <c r="S281" s="638"/>
      <c r="T281" s="639"/>
      <c r="U281" s="34"/>
      <c r="V281" s="34"/>
      <c r="W281" s="35" t="s">
        <v>67</v>
      </c>
      <c r="X281" s="633">
        <v>295</v>
      </c>
      <c r="Y281" s="634">
        <f t="shared" si="38"/>
        <v>295.2</v>
      </c>
      <c r="Z281" s="36">
        <f>IFERROR(IF(Y281=0,"",ROUNDUP(Y281/H281,0)*0.00651),"")</f>
        <v>0.80073000000000005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328.1875</v>
      </c>
      <c r="BN281" s="64">
        <f t="shared" si="40"/>
        <v>328.41</v>
      </c>
      <c r="BO281" s="64">
        <f t="shared" si="41"/>
        <v>0.67536630036630041</v>
      </c>
      <c r="BP281" s="64">
        <f t="shared" si="42"/>
        <v>0.67582417582417587</v>
      </c>
    </row>
    <row r="282" spans="1:68" ht="27" customHeight="1" x14ac:dyDescent="0.25">
      <c r="A282" s="54" t="s">
        <v>473</v>
      </c>
      <c r="B282" s="54" t="s">
        <v>474</v>
      </c>
      <c r="C282" s="31">
        <v>4301051752</v>
      </c>
      <c r="D282" s="640">
        <v>4680115882607</v>
      </c>
      <c r="E282" s="641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38"/>
      <c r="R282" s="638"/>
      <c r="S282" s="638"/>
      <c r="T282" s="639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customHeight="1" x14ac:dyDescent="0.25">
      <c r="A283" s="54" t="s">
        <v>475</v>
      </c>
      <c r="B283" s="54" t="s">
        <v>476</v>
      </c>
      <c r="C283" s="31">
        <v>4301052143</v>
      </c>
      <c r="D283" s="640">
        <v>4680115882607</v>
      </c>
      <c r="E283" s="641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38"/>
      <c r="R283" s="638"/>
      <c r="S283" s="638"/>
      <c r="T283" s="639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40">
        <v>4680115880092</v>
      </c>
      <c r="E284" s="641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38"/>
      <c r="R284" s="638"/>
      <c r="S284" s="638"/>
      <c r="T284" s="639"/>
      <c r="U284" s="34"/>
      <c r="V284" s="34"/>
      <c r="W284" s="35" t="s">
        <v>67</v>
      </c>
      <c r="X284" s="633">
        <v>574</v>
      </c>
      <c r="Y284" s="634">
        <f t="shared" si="38"/>
        <v>576</v>
      </c>
      <c r="Z284" s="36">
        <f>IFERROR(IF(Y284=0,"",ROUNDUP(Y284/H284,0)*0.00651),"")</f>
        <v>1.5624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634.2700000000001</v>
      </c>
      <c r="BN284" s="64">
        <f t="shared" si="40"/>
        <v>636.48000000000013</v>
      </c>
      <c r="BO284" s="64">
        <f t="shared" si="41"/>
        <v>1.3141025641025643</v>
      </c>
      <c r="BP284" s="64">
        <f t="shared" si="42"/>
        <v>1.3186813186813189</v>
      </c>
    </row>
    <row r="285" spans="1:68" ht="27" customHeight="1" x14ac:dyDescent="0.25">
      <c r="A285" s="54" t="s">
        <v>480</v>
      </c>
      <c r="B285" s="54" t="s">
        <v>481</v>
      </c>
      <c r="C285" s="31">
        <v>4301052214</v>
      </c>
      <c r="D285" s="640">
        <v>4680115889064</v>
      </c>
      <c r="E285" s="641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38"/>
      <c r="R285" s="638"/>
      <c r="S285" s="638"/>
      <c r="T285" s="639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40">
        <v>4680115880221</v>
      </c>
      <c r="E286" s="641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38"/>
      <c r="R286" s="638"/>
      <c r="S286" s="638"/>
      <c r="T286" s="639"/>
      <c r="U286" s="34"/>
      <c r="V286" s="34"/>
      <c r="W286" s="35" t="s">
        <v>67</v>
      </c>
      <c r="X286" s="633">
        <v>200</v>
      </c>
      <c r="Y286" s="634">
        <f t="shared" si="38"/>
        <v>201.6</v>
      </c>
      <c r="Z286" s="36">
        <f>IFERROR(IF(Y286=0,"",ROUNDUP(Y286/H286,0)*0.00651),"")</f>
        <v>0.54683999999999999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221</v>
      </c>
      <c r="BN286" s="64">
        <f t="shared" si="40"/>
        <v>222.768</v>
      </c>
      <c r="BO286" s="64">
        <f t="shared" si="41"/>
        <v>0.45787545787545797</v>
      </c>
      <c r="BP286" s="64">
        <f t="shared" si="42"/>
        <v>0.46153846153846156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40">
        <v>4680115880504</v>
      </c>
      <c r="E287" s="641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38"/>
      <c r="R287" s="638"/>
      <c r="S287" s="638"/>
      <c r="T287" s="639"/>
      <c r="U287" s="34"/>
      <c r="V287" s="34"/>
      <c r="W287" s="35" t="s">
        <v>67</v>
      </c>
      <c r="X287" s="633">
        <v>96</v>
      </c>
      <c r="Y287" s="634">
        <f t="shared" si="38"/>
        <v>96</v>
      </c>
      <c r="Z287" s="36">
        <f>IFERROR(IF(Y287=0,"",ROUNDUP(Y287/H287,0)*0.00651),"")</f>
        <v>0.26040000000000002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106.08000000000001</v>
      </c>
      <c r="BN287" s="64">
        <f t="shared" si="40"/>
        <v>106.08000000000001</v>
      </c>
      <c r="BO287" s="64">
        <f t="shared" si="41"/>
        <v>0.2197802197802198</v>
      </c>
      <c r="BP287" s="64">
        <f t="shared" si="42"/>
        <v>0.2197802197802198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40">
        <v>4680115882164</v>
      </c>
      <c r="E288" s="641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38"/>
      <c r="R288" s="638"/>
      <c r="S288" s="638"/>
      <c r="T288" s="639"/>
      <c r="U288" s="34"/>
      <c r="V288" s="34"/>
      <c r="W288" s="35" t="s">
        <v>67</v>
      </c>
      <c r="X288" s="633">
        <v>148</v>
      </c>
      <c r="Y288" s="634">
        <f t="shared" si="38"/>
        <v>148.79999999999998</v>
      </c>
      <c r="Z288" s="36">
        <f>IFERROR(IF(Y288=0,"",ROUNDUP(Y288/H288,0)*0.00651),"")</f>
        <v>0.40362000000000003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163.91000000000003</v>
      </c>
      <c r="BN288" s="64">
        <f t="shared" si="40"/>
        <v>164.79599999999999</v>
      </c>
      <c r="BO288" s="64">
        <f t="shared" si="41"/>
        <v>0.3388278388278389</v>
      </c>
      <c r="BP288" s="64">
        <f t="shared" si="42"/>
        <v>0.34065934065934067</v>
      </c>
    </row>
    <row r="289" spans="1:68" ht="27" customHeight="1" x14ac:dyDescent="0.25">
      <c r="A289" s="54" t="s">
        <v>490</v>
      </c>
      <c r="B289" s="54" t="s">
        <v>491</v>
      </c>
      <c r="C289" s="31">
        <v>4301052180</v>
      </c>
      <c r="D289" s="640">
        <v>4680115888340</v>
      </c>
      <c r="E289" s="641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38"/>
      <c r="R289" s="638"/>
      <c r="S289" s="638"/>
      <c r="T289" s="639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1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62"/>
      <c r="P290" s="642" t="s">
        <v>72</v>
      </c>
      <c r="Q290" s="643"/>
      <c r="R290" s="643"/>
      <c r="S290" s="643"/>
      <c r="T290" s="643"/>
      <c r="U290" s="643"/>
      <c r="V290" s="644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658.2625585355471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662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5.7187299999999999</v>
      </c>
      <c r="AA290" s="636"/>
      <c r="AB290" s="636"/>
      <c r="AC290" s="636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62"/>
      <c r="P291" s="642" t="s">
        <v>72</v>
      </c>
      <c r="Q291" s="643"/>
      <c r="R291" s="643"/>
      <c r="S291" s="643"/>
      <c r="T291" s="643"/>
      <c r="U291" s="643"/>
      <c r="V291" s="644"/>
      <c r="W291" s="37" t="s">
        <v>67</v>
      </c>
      <c r="X291" s="635">
        <f>IFERROR(SUM(X278:X289),"0")</f>
        <v>2229</v>
      </c>
      <c r="Y291" s="635">
        <f>IFERROR(SUM(Y278:Y289),"0")</f>
        <v>2248.5</v>
      </c>
      <c r="Z291" s="37"/>
      <c r="AA291" s="636"/>
      <c r="AB291" s="636"/>
      <c r="AC291" s="636"/>
    </row>
    <row r="292" spans="1:68" ht="14.25" customHeight="1" x14ac:dyDescent="0.25">
      <c r="A292" s="645" t="s">
        <v>164</v>
      </c>
      <c r="B292" s="646"/>
      <c r="C292" s="646"/>
      <c r="D292" s="646"/>
      <c r="E292" s="646"/>
      <c r="F292" s="646"/>
      <c r="G292" s="646"/>
      <c r="H292" s="646"/>
      <c r="I292" s="646"/>
      <c r="J292" s="646"/>
      <c r="K292" s="646"/>
      <c r="L292" s="646"/>
      <c r="M292" s="646"/>
      <c r="N292" s="646"/>
      <c r="O292" s="646"/>
      <c r="P292" s="646"/>
      <c r="Q292" s="646"/>
      <c r="R292" s="646"/>
      <c r="S292" s="646"/>
      <c r="T292" s="646"/>
      <c r="U292" s="646"/>
      <c r="V292" s="646"/>
      <c r="W292" s="646"/>
      <c r="X292" s="646"/>
      <c r="Y292" s="646"/>
      <c r="Z292" s="646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40">
        <v>4680115880818</v>
      </c>
      <c r="E293" s="641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38"/>
      <c r="R293" s="638"/>
      <c r="S293" s="638"/>
      <c r="T293" s="639"/>
      <c r="U293" s="34"/>
      <c r="V293" s="34"/>
      <c r="W293" s="35" t="s">
        <v>67</v>
      </c>
      <c r="X293" s="633">
        <v>8</v>
      </c>
      <c r="Y293" s="634">
        <f>IFERROR(IF(X293="",0,CEILING((X293/$H293),1)*$H293),"")</f>
        <v>9.6</v>
      </c>
      <c r="Z293" s="36">
        <f>IFERROR(IF(Y293=0,"",ROUNDUP(Y293/H293,0)*0.00651),"")</f>
        <v>2.6040000000000001E-2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8.8400000000000016</v>
      </c>
      <c r="BN293" s="64">
        <f>IFERROR(Y293*I293/H293,"0")</f>
        <v>10.608000000000001</v>
      </c>
      <c r="BO293" s="64">
        <f>IFERROR(1/J293*(X293/H293),"0")</f>
        <v>1.8315018315018316E-2</v>
      </c>
      <c r="BP293" s="64">
        <f>IFERROR(1/J293*(Y293/H293),"0")</f>
        <v>2.197802197802198E-2</v>
      </c>
    </row>
    <row r="294" spans="1:68" ht="27" customHeight="1" x14ac:dyDescent="0.25">
      <c r="A294" s="54" t="s">
        <v>496</v>
      </c>
      <c r="B294" s="54" t="s">
        <v>497</v>
      </c>
      <c r="C294" s="31">
        <v>4301060389</v>
      </c>
      <c r="D294" s="640">
        <v>4680115880801</v>
      </c>
      <c r="E294" s="641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38"/>
      <c r="R294" s="638"/>
      <c r="S294" s="638"/>
      <c r="T294" s="639"/>
      <c r="U294" s="34"/>
      <c r="V294" s="34"/>
      <c r="W294" s="35" t="s">
        <v>67</v>
      </c>
      <c r="X294" s="633">
        <v>60</v>
      </c>
      <c r="Y294" s="634">
        <f>IFERROR(IF(X294="",0,CEILING((X294/$H294),1)*$H294),"")</f>
        <v>60</v>
      </c>
      <c r="Z294" s="36">
        <f>IFERROR(IF(Y294=0,"",ROUNDUP(Y294/H294,0)*0.00651),"")</f>
        <v>0.16275000000000001</v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66.300000000000011</v>
      </c>
      <c r="BN294" s="64">
        <f>IFERROR(Y294*I294/H294,"0")</f>
        <v>66.300000000000011</v>
      </c>
      <c r="BO294" s="64">
        <f>IFERROR(1/J294*(X294/H294),"0")</f>
        <v>0.13736263736263737</v>
      </c>
      <c r="BP294" s="64">
        <f>IFERROR(1/J294*(Y294/H294),"0")</f>
        <v>0.13736263736263737</v>
      </c>
    </row>
    <row r="295" spans="1:68" x14ac:dyDescent="0.2">
      <c r="A295" s="661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62"/>
      <c r="P295" s="642" t="s">
        <v>72</v>
      </c>
      <c r="Q295" s="643"/>
      <c r="R295" s="643"/>
      <c r="S295" s="643"/>
      <c r="T295" s="643"/>
      <c r="U295" s="643"/>
      <c r="V295" s="644"/>
      <c r="W295" s="37" t="s">
        <v>73</v>
      </c>
      <c r="X295" s="635">
        <f>IFERROR(X293/H293,"0")+IFERROR(X294/H294,"0")</f>
        <v>28.333333333333332</v>
      </c>
      <c r="Y295" s="635">
        <f>IFERROR(Y293/H293,"0")+IFERROR(Y294/H294,"0")</f>
        <v>29</v>
      </c>
      <c r="Z295" s="635">
        <f>IFERROR(IF(Z293="",0,Z293),"0")+IFERROR(IF(Z294="",0,Z294),"0")</f>
        <v>0.18879000000000001</v>
      </c>
      <c r="AA295" s="636"/>
      <c r="AB295" s="636"/>
      <c r="AC295" s="636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62"/>
      <c r="P296" s="642" t="s">
        <v>72</v>
      </c>
      <c r="Q296" s="643"/>
      <c r="R296" s="643"/>
      <c r="S296" s="643"/>
      <c r="T296" s="643"/>
      <c r="U296" s="643"/>
      <c r="V296" s="644"/>
      <c r="W296" s="37" t="s">
        <v>67</v>
      </c>
      <c r="X296" s="635">
        <f>IFERROR(SUM(X293:X294),"0")</f>
        <v>68</v>
      </c>
      <c r="Y296" s="635">
        <f>IFERROR(SUM(Y293:Y294),"0")</f>
        <v>69.599999999999994</v>
      </c>
      <c r="Z296" s="37"/>
      <c r="AA296" s="636"/>
      <c r="AB296" s="636"/>
      <c r="AC296" s="636"/>
    </row>
    <row r="297" spans="1:68" ht="16.5" customHeight="1" x14ac:dyDescent="0.25">
      <c r="A297" s="652" t="s">
        <v>499</v>
      </c>
      <c r="B297" s="646"/>
      <c r="C297" s="646"/>
      <c r="D297" s="646"/>
      <c r="E297" s="646"/>
      <c r="F297" s="646"/>
      <c r="G297" s="646"/>
      <c r="H297" s="646"/>
      <c r="I297" s="646"/>
      <c r="J297" s="646"/>
      <c r="K297" s="646"/>
      <c r="L297" s="646"/>
      <c r="M297" s="646"/>
      <c r="N297" s="646"/>
      <c r="O297" s="646"/>
      <c r="P297" s="646"/>
      <c r="Q297" s="646"/>
      <c r="R297" s="646"/>
      <c r="S297" s="646"/>
      <c r="T297" s="646"/>
      <c r="U297" s="646"/>
      <c r="V297" s="646"/>
      <c r="W297" s="646"/>
      <c r="X297" s="646"/>
      <c r="Y297" s="646"/>
      <c r="Z297" s="646"/>
      <c r="AA297" s="628"/>
      <c r="AB297" s="628"/>
      <c r="AC297" s="628"/>
    </row>
    <row r="298" spans="1:68" ht="14.25" customHeight="1" x14ac:dyDescent="0.25">
      <c r="A298" s="645" t="s">
        <v>111</v>
      </c>
      <c r="B298" s="646"/>
      <c r="C298" s="646"/>
      <c r="D298" s="646"/>
      <c r="E298" s="646"/>
      <c r="F298" s="646"/>
      <c r="G298" s="646"/>
      <c r="H298" s="646"/>
      <c r="I298" s="646"/>
      <c r="J298" s="646"/>
      <c r="K298" s="646"/>
      <c r="L298" s="646"/>
      <c r="M298" s="646"/>
      <c r="N298" s="646"/>
      <c r="O298" s="646"/>
      <c r="P298" s="646"/>
      <c r="Q298" s="646"/>
      <c r="R298" s="646"/>
      <c r="S298" s="646"/>
      <c r="T298" s="646"/>
      <c r="U298" s="646"/>
      <c r="V298" s="646"/>
      <c r="W298" s="646"/>
      <c r="X298" s="646"/>
      <c r="Y298" s="646"/>
      <c r="Z298" s="646"/>
      <c r="AA298" s="629"/>
      <c r="AB298" s="629"/>
      <c r="AC298" s="629"/>
    </row>
    <row r="299" spans="1:68" ht="27" customHeight="1" x14ac:dyDescent="0.25">
      <c r="A299" s="54" t="s">
        <v>500</v>
      </c>
      <c r="B299" s="54" t="s">
        <v>501</v>
      </c>
      <c r="C299" s="31">
        <v>4301011826</v>
      </c>
      <c r="D299" s="640">
        <v>4680115884137</v>
      </c>
      <c r="E299" s="641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38"/>
      <c r="R299" s="638"/>
      <c r="S299" s="638"/>
      <c r="T299" s="639"/>
      <c r="U299" s="34"/>
      <c r="V299" s="34"/>
      <c r="W299" s="35" t="s">
        <v>67</v>
      </c>
      <c r="X299" s="633">
        <v>187</v>
      </c>
      <c r="Y299" s="634">
        <f t="shared" ref="Y299:Y305" si="43">IFERROR(IF(X299="",0,CEILING((X299/$H299),1)*$H299),"")</f>
        <v>197.2</v>
      </c>
      <c r="Z299" s="36">
        <f>IFERROR(IF(Y299=0,"",ROUNDUP(Y299/H299,0)*0.01898),"")</f>
        <v>0.32266</v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193.60948275862069</v>
      </c>
      <c r="BN299" s="64">
        <f t="shared" ref="BN299:BN305" si="45">IFERROR(Y299*I299/H299,"0")</f>
        <v>204.17</v>
      </c>
      <c r="BO299" s="64">
        <f t="shared" ref="BO299:BO305" si="46">IFERROR(1/J299*(X299/H299),"0")</f>
        <v>0.25188577586206895</v>
      </c>
      <c r="BP299" s="64">
        <f t="shared" ref="BP299:BP305" si="47">IFERROR(1/J299*(Y299/H299),"0")</f>
        <v>0.265625</v>
      </c>
    </row>
    <row r="300" spans="1:68" ht="27" customHeight="1" x14ac:dyDescent="0.25">
      <c r="A300" s="54" t="s">
        <v>503</v>
      </c>
      <c r="B300" s="54" t="s">
        <v>504</v>
      </c>
      <c r="C300" s="31">
        <v>4301011724</v>
      </c>
      <c r="D300" s="640">
        <v>4680115884236</v>
      </c>
      <c r="E300" s="641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38"/>
      <c r="R300" s="638"/>
      <c r="S300" s="638"/>
      <c r="T300" s="639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customHeight="1" x14ac:dyDescent="0.25">
      <c r="A301" s="54" t="s">
        <v>506</v>
      </c>
      <c r="B301" s="54" t="s">
        <v>507</v>
      </c>
      <c r="C301" s="31">
        <v>4301011721</v>
      </c>
      <c r="D301" s="640">
        <v>4680115884175</v>
      </c>
      <c r="E301" s="641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38"/>
      <c r="R301" s="638"/>
      <c r="S301" s="638"/>
      <c r="T301" s="639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4301011824</v>
      </c>
      <c r="D302" s="640">
        <v>4680115884144</v>
      </c>
      <c r="E302" s="641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6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38"/>
      <c r="R302" s="638"/>
      <c r="S302" s="638"/>
      <c r="T302" s="639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customHeight="1" x14ac:dyDescent="0.25">
      <c r="A303" s="54" t="s">
        <v>510</v>
      </c>
      <c r="B303" s="54" t="s">
        <v>511</v>
      </c>
      <c r="C303" s="31">
        <v>4301012149</v>
      </c>
      <c r="D303" s="640">
        <v>4680115886551</v>
      </c>
      <c r="E303" s="641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38"/>
      <c r="R303" s="638"/>
      <c r="S303" s="638"/>
      <c r="T303" s="639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4301012228</v>
      </c>
      <c r="D304" s="640">
        <v>4680115887282</v>
      </c>
      <c r="E304" s="641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38"/>
      <c r="R304" s="638"/>
      <c r="S304" s="638"/>
      <c r="T304" s="639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40">
        <v>4680115884205</v>
      </c>
      <c r="E305" s="641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38"/>
      <c r="R305" s="638"/>
      <c r="S305" s="638"/>
      <c r="T305" s="639"/>
      <c r="U305" s="34"/>
      <c r="V305" s="34"/>
      <c r="W305" s="35" t="s">
        <v>67</v>
      </c>
      <c r="X305" s="633">
        <v>34</v>
      </c>
      <c r="Y305" s="634">
        <f t="shared" si="43"/>
        <v>36</v>
      </c>
      <c r="Z305" s="36">
        <f>IFERROR(IF(Y305=0,"",ROUNDUP(Y305/H305,0)*0.00902),"")</f>
        <v>8.1180000000000002E-2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35.615000000000002</v>
      </c>
      <c r="BN305" s="64">
        <f t="shared" si="45"/>
        <v>37.71</v>
      </c>
      <c r="BO305" s="64">
        <f t="shared" si="46"/>
        <v>6.4393939393939392E-2</v>
      </c>
      <c r="BP305" s="64">
        <f t="shared" si="47"/>
        <v>6.8181818181818177E-2</v>
      </c>
    </row>
    <row r="306" spans="1:68" x14ac:dyDescent="0.2">
      <c r="A306" s="661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62"/>
      <c r="P306" s="642" t="s">
        <v>72</v>
      </c>
      <c r="Q306" s="643"/>
      <c r="R306" s="643"/>
      <c r="S306" s="643"/>
      <c r="T306" s="643"/>
      <c r="U306" s="643"/>
      <c r="V306" s="644"/>
      <c r="W306" s="37" t="s">
        <v>73</v>
      </c>
      <c r="X306" s="635">
        <f>IFERROR(X299/H299,"0")+IFERROR(X300/H300,"0")+IFERROR(X301/H301,"0")+IFERROR(X302/H302,"0")+IFERROR(X303/H303,"0")+IFERROR(X304/H304,"0")+IFERROR(X305/H305,"0")</f>
        <v>24.620689655172413</v>
      </c>
      <c r="Y306" s="635">
        <f>IFERROR(Y299/H299,"0")+IFERROR(Y300/H300,"0")+IFERROR(Y301/H301,"0")+IFERROR(Y302/H302,"0")+IFERROR(Y303/H303,"0")+IFERROR(Y304/H304,"0")+IFERROR(Y305/H305,"0")</f>
        <v>26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0.40383999999999998</v>
      </c>
      <c r="AA306" s="636"/>
      <c r="AB306" s="636"/>
      <c r="AC306" s="636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62"/>
      <c r="P307" s="642" t="s">
        <v>72</v>
      </c>
      <c r="Q307" s="643"/>
      <c r="R307" s="643"/>
      <c r="S307" s="643"/>
      <c r="T307" s="643"/>
      <c r="U307" s="643"/>
      <c r="V307" s="644"/>
      <c r="W307" s="37" t="s">
        <v>67</v>
      </c>
      <c r="X307" s="635">
        <f>IFERROR(SUM(X299:X305),"0")</f>
        <v>221</v>
      </c>
      <c r="Y307" s="635">
        <f>IFERROR(SUM(Y299:Y305),"0")</f>
        <v>233.2</v>
      </c>
      <c r="Z307" s="37"/>
      <c r="AA307" s="636"/>
      <c r="AB307" s="636"/>
      <c r="AC307" s="636"/>
    </row>
    <row r="308" spans="1:68" ht="14.25" customHeight="1" x14ac:dyDescent="0.25">
      <c r="A308" s="645" t="s">
        <v>147</v>
      </c>
      <c r="B308" s="646"/>
      <c r="C308" s="646"/>
      <c r="D308" s="646"/>
      <c r="E308" s="646"/>
      <c r="F308" s="646"/>
      <c r="G308" s="646"/>
      <c r="H308" s="646"/>
      <c r="I308" s="646"/>
      <c r="J308" s="646"/>
      <c r="K308" s="646"/>
      <c r="L308" s="646"/>
      <c r="M308" s="646"/>
      <c r="N308" s="646"/>
      <c r="O308" s="646"/>
      <c r="P308" s="646"/>
      <c r="Q308" s="646"/>
      <c r="R308" s="646"/>
      <c r="S308" s="646"/>
      <c r="T308" s="646"/>
      <c r="U308" s="646"/>
      <c r="V308" s="646"/>
      <c r="W308" s="646"/>
      <c r="X308" s="646"/>
      <c r="Y308" s="646"/>
      <c r="Z308" s="646"/>
      <c r="AA308" s="629"/>
      <c r="AB308" s="629"/>
      <c r="AC308" s="629"/>
    </row>
    <row r="309" spans="1:68" ht="27" customHeight="1" x14ac:dyDescent="0.25">
      <c r="A309" s="54" t="s">
        <v>518</v>
      </c>
      <c r="B309" s="54" t="s">
        <v>519</v>
      </c>
      <c r="C309" s="31">
        <v>4301020377</v>
      </c>
      <c r="D309" s="640">
        <v>4680115885981</v>
      </c>
      <c r="E309" s="641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4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38"/>
      <c r="R309" s="638"/>
      <c r="S309" s="638"/>
      <c r="T309" s="639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61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62"/>
      <c r="P310" s="642" t="s">
        <v>72</v>
      </c>
      <c r="Q310" s="643"/>
      <c r="R310" s="643"/>
      <c r="S310" s="643"/>
      <c r="T310" s="643"/>
      <c r="U310" s="643"/>
      <c r="V310" s="644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62"/>
      <c r="P311" s="642" t="s">
        <v>72</v>
      </c>
      <c r="Q311" s="643"/>
      <c r="R311" s="643"/>
      <c r="S311" s="643"/>
      <c r="T311" s="643"/>
      <c r="U311" s="643"/>
      <c r="V311" s="644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customHeight="1" x14ac:dyDescent="0.25">
      <c r="A312" s="645" t="s">
        <v>521</v>
      </c>
      <c r="B312" s="646"/>
      <c r="C312" s="646"/>
      <c r="D312" s="646"/>
      <c r="E312" s="646"/>
      <c r="F312" s="646"/>
      <c r="G312" s="646"/>
      <c r="H312" s="646"/>
      <c r="I312" s="646"/>
      <c r="J312" s="646"/>
      <c r="K312" s="646"/>
      <c r="L312" s="646"/>
      <c r="M312" s="646"/>
      <c r="N312" s="646"/>
      <c r="O312" s="646"/>
      <c r="P312" s="646"/>
      <c r="Q312" s="646"/>
      <c r="R312" s="646"/>
      <c r="S312" s="646"/>
      <c r="T312" s="646"/>
      <c r="U312" s="646"/>
      <c r="V312" s="646"/>
      <c r="W312" s="646"/>
      <c r="X312" s="646"/>
      <c r="Y312" s="646"/>
      <c r="Z312" s="646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40">
        <v>4680115886803</v>
      </c>
      <c r="E313" s="641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10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38"/>
      <c r="R313" s="638"/>
      <c r="S313" s="638"/>
      <c r="T313" s="639"/>
      <c r="U313" s="34"/>
      <c r="V313" s="34"/>
      <c r="W313" s="35" t="s">
        <v>67</v>
      </c>
      <c r="X313" s="633">
        <v>4</v>
      </c>
      <c r="Y313" s="634">
        <f>IFERROR(IF(X313="",0,CEILING((X313/$H313),1)*$H313),"")</f>
        <v>5.4</v>
      </c>
      <c r="Z313" s="36">
        <f>IFERROR(IF(Y313=0,"",ROUNDUP(Y313/H313,0)*0.0059),"")</f>
        <v>1.77E-2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4.3888888888888893</v>
      </c>
      <c r="BN313" s="64">
        <f>IFERROR(Y313*I313/H313,"0")</f>
        <v>5.9250000000000007</v>
      </c>
      <c r="BO313" s="64">
        <f>IFERROR(1/J313*(X313/H313),"0")</f>
        <v>1.0288065843621399E-2</v>
      </c>
      <c r="BP313" s="64">
        <f>IFERROR(1/J313*(Y313/H313),"0")</f>
        <v>1.3888888888888888E-2</v>
      </c>
    </row>
    <row r="314" spans="1:68" x14ac:dyDescent="0.2">
      <c r="A314" s="661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62"/>
      <c r="P314" s="642" t="s">
        <v>72</v>
      </c>
      <c r="Q314" s="643"/>
      <c r="R314" s="643"/>
      <c r="S314" s="643"/>
      <c r="T314" s="643"/>
      <c r="U314" s="643"/>
      <c r="V314" s="644"/>
      <c r="W314" s="37" t="s">
        <v>73</v>
      </c>
      <c r="X314" s="635">
        <f>IFERROR(X313/H313,"0")</f>
        <v>2.2222222222222223</v>
      </c>
      <c r="Y314" s="635">
        <f>IFERROR(Y313/H313,"0")</f>
        <v>3</v>
      </c>
      <c r="Z314" s="635">
        <f>IFERROR(IF(Z313="",0,Z313),"0")</f>
        <v>1.77E-2</v>
      </c>
      <c r="AA314" s="636"/>
      <c r="AB314" s="636"/>
      <c r="AC314" s="636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62"/>
      <c r="P315" s="642" t="s">
        <v>72</v>
      </c>
      <c r="Q315" s="643"/>
      <c r="R315" s="643"/>
      <c r="S315" s="643"/>
      <c r="T315" s="643"/>
      <c r="U315" s="643"/>
      <c r="V315" s="644"/>
      <c r="W315" s="37" t="s">
        <v>67</v>
      </c>
      <c r="X315" s="635">
        <f>IFERROR(SUM(X313:X313),"0")</f>
        <v>4</v>
      </c>
      <c r="Y315" s="635">
        <f>IFERROR(SUM(Y313:Y313),"0")</f>
        <v>5.4</v>
      </c>
      <c r="Z315" s="37"/>
      <c r="AA315" s="636"/>
      <c r="AB315" s="636"/>
      <c r="AC315" s="636"/>
    </row>
    <row r="316" spans="1:68" ht="14.25" customHeight="1" x14ac:dyDescent="0.25">
      <c r="A316" s="645" t="s">
        <v>338</v>
      </c>
      <c r="B316" s="646"/>
      <c r="C316" s="646"/>
      <c r="D316" s="646"/>
      <c r="E316" s="646"/>
      <c r="F316" s="646"/>
      <c r="G316" s="646"/>
      <c r="H316" s="646"/>
      <c r="I316" s="646"/>
      <c r="J316" s="646"/>
      <c r="K316" s="646"/>
      <c r="L316" s="646"/>
      <c r="M316" s="646"/>
      <c r="N316" s="646"/>
      <c r="O316" s="646"/>
      <c r="P316" s="646"/>
      <c r="Q316" s="646"/>
      <c r="R316" s="646"/>
      <c r="S316" s="646"/>
      <c r="T316" s="646"/>
      <c r="U316" s="646"/>
      <c r="V316" s="646"/>
      <c r="W316" s="646"/>
      <c r="X316" s="646"/>
      <c r="Y316" s="646"/>
      <c r="Z316" s="646"/>
      <c r="AA316" s="629"/>
      <c r="AB316" s="629"/>
      <c r="AC316" s="629"/>
    </row>
    <row r="317" spans="1:68" ht="27" customHeight="1" x14ac:dyDescent="0.25">
      <c r="A317" s="54" t="s">
        <v>525</v>
      </c>
      <c r="B317" s="54" t="s">
        <v>526</v>
      </c>
      <c r="C317" s="31">
        <v>4301041004</v>
      </c>
      <c r="D317" s="640">
        <v>4680115886704</v>
      </c>
      <c r="E317" s="641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6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38"/>
      <c r="R317" s="638"/>
      <c r="S317" s="638"/>
      <c r="T317" s="639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528</v>
      </c>
      <c r="B318" s="54" t="s">
        <v>529</v>
      </c>
      <c r="C318" s="31">
        <v>4301041008</v>
      </c>
      <c r="D318" s="640">
        <v>4680115886681</v>
      </c>
      <c r="E318" s="641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38"/>
      <c r="R318" s="638"/>
      <c r="S318" s="638"/>
      <c r="T318" s="639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530</v>
      </c>
      <c r="B319" s="54" t="s">
        <v>531</v>
      </c>
      <c r="C319" s="31">
        <v>4301041007</v>
      </c>
      <c r="D319" s="640">
        <v>4680115886735</v>
      </c>
      <c r="E319" s="641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38"/>
      <c r="R319" s="638"/>
      <c r="S319" s="638"/>
      <c r="T319" s="639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661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62"/>
      <c r="P320" s="642" t="s">
        <v>72</v>
      </c>
      <c r="Q320" s="643"/>
      <c r="R320" s="643"/>
      <c r="S320" s="643"/>
      <c r="T320" s="643"/>
      <c r="U320" s="643"/>
      <c r="V320" s="644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62"/>
      <c r="P321" s="642" t="s">
        <v>72</v>
      </c>
      <c r="Q321" s="643"/>
      <c r="R321" s="643"/>
      <c r="S321" s="643"/>
      <c r="T321" s="643"/>
      <c r="U321" s="643"/>
      <c r="V321" s="644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customHeight="1" x14ac:dyDescent="0.25">
      <c r="A322" s="652" t="s">
        <v>532</v>
      </c>
      <c r="B322" s="646"/>
      <c r="C322" s="646"/>
      <c r="D322" s="646"/>
      <c r="E322" s="646"/>
      <c r="F322" s="646"/>
      <c r="G322" s="646"/>
      <c r="H322" s="646"/>
      <c r="I322" s="646"/>
      <c r="J322" s="646"/>
      <c r="K322" s="646"/>
      <c r="L322" s="646"/>
      <c r="M322" s="646"/>
      <c r="N322" s="646"/>
      <c r="O322" s="646"/>
      <c r="P322" s="646"/>
      <c r="Q322" s="646"/>
      <c r="R322" s="646"/>
      <c r="S322" s="646"/>
      <c r="T322" s="646"/>
      <c r="U322" s="646"/>
      <c r="V322" s="646"/>
      <c r="W322" s="646"/>
      <c r="X322" s="646"/>
      <c r="Y322" s="646"/>
      <c r="Z322" s="646"/>
      <c r="AA322" s="628"/>
      <c r="AB322" s="628"/>
      <c r="AC322" s="628"/>
    </row>
    <row r="323" spans="1:68" ht="14.25" customHeight="1" x14ac:dyDescent="0.25">
      <c r="A323" s="645" t="s">
        <v>111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29"/>
      <c r="AB323" s="629"/>
      <c r="AC323" s="629"/>
    </row>
    <row r="324" spans="1:68" ht="27" customHeight="1" x14ac:dyDescent="0.25">
      <c r="A324" s="54" t="s">
        <v>533</v>
      </c>
      <c r="B324" s="54" t="s">
        <v>534</v>
      </c>
      <c r="C324" s="31">
        <v>4301011855</v>
      </c>
      <c r="D324" s="640">
        <v>4680115885837</v>
      </c>
      <c r="E324" s="641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4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38"/>
      <c r="R324" s="638"/>
      <c r="S324" s="638"/>
      <c r="T324" s="639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customHeight="1" x14ac:dyDescent="0.25">
      <c r="A325" s="54" t="s">
        <v>536</v>
      </c>
      <c r="B325" s="54" t="s">
        <v>537</v>
      </c>
      <c r="C325" s="31">
        <v>4301012234</v>
      </c>
      <c r="D325" s="640">
        <v>4680115887237</v>
      </c>
      <c r="E325" s="641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38"/>
      <c r="R325" s="638"/>
      <c r="S325" s="638"/>
      <c r="T325" s="639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539</v>
      </c>
      <c r="B326" s="54" t="s">
        <v>540</v>
      </c>
      <c r="C326" s="31">
        <v>4301011850</v>
      </c>
      <c r="D326" s="640">
        <v>4680115885806</v>
      </c>
      <c r="E326" s="641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38"/>
      <c r="R326" s="638"/>
      <c r="S326" s="638"/>
      <c r="T326" s="639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542</v>
      </c>
      <c r="B327" s="54" t="s">
        <v>543</v>
      </c>
      <c r="C327" s="31">
        <v>4301011852</v>
      </c>
      <c r="D327" s="640">
        <v>4680115885844</v>
      </c>
      <c r="E327" s="641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38"/>
      <c r="R327" s="638"/>
      <c r="S327" s="638"/>
      <c r="T327" s="639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customHeight="1" x14ac:dyDescent="0.25">
      <c r="A328" s="54" t="s">
        <v>545</v>
      </c>
      <c r="B328" s="54" t="s">
        <v>546</v>
      </c>
      <c r="C328" s="31">
        <v>4301011851</v>
      </c>
      <c r="D328" s="640">
        <v>4680115885820</v>
      </c>
      <c r="E328" s="641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38"/>
      <c r="R328" s="638"/>
      <c r="S328" s="638"/>
      <c r="T328" s="639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661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62"/>
      <c r="P329" s="642" t="s">
        <v>72</v>
      </c>
      <c r="Q329" s="643"/>
      <c r="R329" s="643"/>
      <c r="S329" s="643"/>
      <c r="T329" s="643"/>
      <c r="U329" s="643"/>
      <c r="V329" s="644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62"/>
      <c r="P330" s="642" t="s">
        <v>72</v>
      </c>
      <c r="Q330" s="643"/>
      <c r="R330" s="643"/>
      <c r="S330" s="643"/>
      <c r="T330" s="643"/>
      <c r="U330" s="643"/>
      <c r="V330" s="644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customHeight="1" x14ac:dyDescent="0.25">
      <c r="A331" s="652" t="s">
        <v>548</v>
      </c>
      <c r="B331" s="646"/>
      <c r="C331" s="646"/>
      <c r="D331" s="646"/>
      <c r="E331" s="646"/>
      <c r="F331" s="646"/>
      <c r="G331" s="646"/>
      <c r="H331" s="646"/>
      <c r="I331" s="646"/>
      <c r="J331" s="646"/>
      <c r="K331" s="646"/>
      <c r="L331" s="646"/>
      <c r="M331" s="646"/>
      <c r="N331" s="646"/>
      <c r="O331" s="646"/>
      <c r="P331" s="646"/>
      <c r="Q331" s="646"/>
      <c r="R331" s="646"/>
      <c r="S331" s="646"/>
      <c r="T331" s="646"/>
      <c r="U331" s="646"/>
      <c r="V331" s="646"/>
      <c r="W331" s="646"/>
      <c r="X331" s="646"/>
      <c r="Y331" s="646"/>
      <c r="Z331" s="646"/>
      <c r="AA331" s="628"/>
      <c r="AB331" s="628"/>
      <c r="AC331" s="628"/>
    </row>
    <row r="332" spans="1:68" ht="14.25" customHeight="1" x14ac:dyDescent="0.25">
      <c r="A332" s="645" t="s">
        <v>74</v>
      </c>
      <c r="B332" s="646"/>
      <c r="C332" s="646"/>
      <c r="D332" s="646"/>
      <c r="E332" s="646"/>
      <c r="F332" s="646"/>
      <c r="G332" s="646"/>
      <c r="H332" s="646"/>
      <c r="I332" s="646"/>
      <c r="J332" s="646"/>
      <c r="K332" s="646"/>
      <c r="L332" s="646"/>
      <c r="M332" s="646"/>
      <c r="N332" s="646"/>
      <c r="O332" s="646"/>
      <c r="P332" s="646"/>
      <c r="Q332" s="646"/>
      <c r="R332" s="646"/>
      <c r="S332" s="646"/>
      <c r="T332" s="646"/>
      <c r="U332" s="646"/>
      <c r="V332" s="646"/>
      <c r="W332" s="646"/>
      <c r="X332" s="646"/>
      <c r="Y332" s="646"/>
      <c r="Z332" s="646"/>
      <c r="AA332" s="629"/>
      <c r="AB332" s="629"/>
      <c r="AC332" s="629"/>
    </row>
    <row r="333" spans="1:68" ht="27" customHeight="1" x14ac:dyDescent="0.25">
      <c r="A333" s="54" t="s">
        <v>549</v>
      </c>
      <c r="B333" s="54" t="s">
        <v>550</v>
      </c>
      <c r="C333" s="31">
        <v>4301051893</v>
      </c>
      <c r="D333" s="640">
        <v>4680115886186</v>
      </c>
      <c r="E333" s="641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9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38"/>
      <c r="R333" s="638"/>
      <c r="S333" s="638"/>
      <c r="T333" s="639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552</v>
      </c>
      <c r="B334" s="54" t="s">
        <v>553</v>
      </c>
      <c r="C334" s="31">
        <v>4301051795</v>
      </c>
      <c r="D334" s="640">
        <v>4680115881228</v>
      </c>
      <c r="E334" s="641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6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38"/>
      <c r="R334" s="638"/>
      <c r="S334" s="638"/>
      <c r="T334" s="639"/>
      <c r="U334" s="34"/>
      <c r="V334" s="34"/>
      <c r="W334" s="35" t="s">
        <v>67</v>
      </c>
      <c r="X334" s="633">
        <v>48</v>
      </c>
      <c r="Y334" s="634">
        <f>IFERROR(IF(X334="",0,CEILING((X334/$H334),1)*$H334),"")</f>
        <v>48</v>
      </c>
      <c r="Z334" s="36">
        <f>IFERROR(IF(Y334=0,"",ROUNDUP(Y334/H334,0)*0.00651),"")</f>
        <v>0.13020000000000001</v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53.040000000000006</v>
      </c>
      <c r="BN334" s="64">
        <f>IFERROR(Y334*I334/H334,"0")</f>
        <v>53.040000000000006</v>
      </c>
      <c r="BO334" s="64">
        <f>IFERROR(1/J334*(X334/H334),"0")</f>
        <v>0.1098901098901099</v>
      </c>
      <c r="BP334" s="64">
        <f>IFERROR(1/J334*(Y334/H334),"0")</f>
        <v>0.1098901098901099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40">
        <v>4680115881211</v>
      </c>
      <c r="E335" s="641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38"/>
      <c r="R335" s="638"/>
      <c r="S335" s="638"/>
      <c r="T335" s="639"/>
      <c r="U335" s="34"/>
      <c r="V335" s="34"/>
      <c r="W335" s="35" t="s">
        <v>67</v>
      </c>
      <c r="X335" s="633">
        <v>80</v>
      </c>
      <c r="Y335" s="634">
        <f>IFERROR(IF(X335="",0,CEILING((X335/$H335),1)*$H335),"")</f>
        <v>81.599999999999994</v>
      </c>
      <c r="Z335" s="36">
        <f>IFERROR(IF(Y335=0,"",ROUNDUP(Y335/H335,0)*0.00651),"")</f>
        <v>0.22134000000000001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86</v>
      </c>
      <c r="BN335" s="64">
        <f>IFERROR(Y335*I335/H335,"0")</f>
        <v>87.72</v>
      </c>
      <c r="BO335" s="64">
        <f>IFERROR(1/J335*(X335/H335),"0")</f>
        <v>0.18315018315018317</v>
      </c>
      <c r="BP335" s="64">
        <f>IFERROR(1/J335*(Y335/H335),"0")</f>
        <v>0.18681318681318682</v>
      </c>
    </row>
    <row r="336" spans="1:68" x14ac:dyDescent="0.2">
      <c r="A336" s="661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62"/>
      <c r="P336" s="642" t="s">
        <v>72</v>
      </c>
      <c r="Q336" s="643"/>
      <c r="R336" s="643"/>
      <c r="S336" s="643"/>
      <c r="T336" s="643"/>
      <c r="U336" s="643"/>
      <c r="V336" s="644"/>
      <c r="W336" s="37" t="s">
        <v>73</v>
      </c>
      <c r="X336" s="635">
        <f>IFERROR(X333/H333,"0")+IFERROR(X334/H334,"0")+IFERROR(X335/H335,"0")</f>
        <v>53.333333333333336</v>
      </c>
      <c r="Y336" s="635">
        <f>IFERROR(Y333/H333,"0")+IFERROR(Y334/H334,"0")+IFERROR(Y335/H335,"0")</f>
        <v>54</v>
      </c>
      <c r="Z336" s="635">
        <f>IFERROR(IF(Z333="",0,Z333),"0")+IFERROR(IF(Z334="",0,Z334),"0")+IFERROR(IF(Z335="",0,Z335),"0")</f>
        <v>0.35154000000000002</v>
      </c>
      <c r="AA336" s="636"/>
      <c r="AB336" s="636"/>
      <c r="AC336" s="636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62"/>
      <c r="P337" s="642" t="s">
        <v>72</v>
      </c>
      <c r="Q337" s="643"/>
      <c r="R337" s="643"/>
      <c r="S337" s="643"/>
      <c r="T337" s="643"/>
      <c r="U337" s="643"/>
      <c r="V337" s="644"/>
      <c r="W337" s="37" t="s">
        <v>67</v>
      </c>
      <c r="X337" s="635">
        <f>IFERROR(SUM(X333:X335),"0")</f>
        <v>128</v>
      </c>
      <c r="Y337" s="635">
        <f>IFERROR(SUM(Y333:Y335),"0")</f>
        <v>129.6</v>
      </c>
      <c r="Z337" s="37"/>
      <c r="AA337" s="636"/>
      <c r="AB337" s="636"/>
      <c r="AC337" s="636"/>
    </row>
    <row r="338" spans="1:68" ht="16.5" customHeight="1" x14ac:dyDescent="0.25">
      <c r="A338" s="652" t="s">
        <v>557</v>
      </c>
      <c r="B338" s="646"/>
      <c r="C338" s="646"/>
      <c r="D338" s="646"/>
      <c r="E338" s="646"/>
      <c r="F338" s="646"/>
      <c r="G338" s="646"/>
      <c r="H338" s="646"/>
      <c r="I338" s="646"/>
      <c r="J338" s="646"/>
      <c r="K338" s="646"/>
      <c r="L338" s="646"/>
      <c r="M338" s="646"/>
      <c r="N338" s="646"/>
      <c r="O338" s="646"/>
      <c r="P338" s="646"/>
      <c r="Q338" s="646"/>
      <c r="R338" s="646"/>
      <c r="S338" s="646"/>
      <c r="T338" s="646"/>
      <c r="U338" s="646"/>
      <c r="V338" s="646"/>
      <c r="W338" s="646"/>
      <c r="X338" s="646"/>
      <c r="Y338" s="646"/>
      <c r="Z338" s="646"/>
      <c r="AA338" s="628"/>
      <c r="AB338" s="628"/>
      <c r="AC338" s="628"/>
    </row>
    <row r="339" spans="1:68" ht="14.25" customHeight="1" x14ac:dyDescent="0.25">
      <c r="A339" s="645" t="s">
        <v>62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629"/>
      <c r="AB339" s="629"/>
      <c r="AC339" s="629"/>
    </row>
    <row r="340" spans="1:68" ht="27" customHeight="1" x14ac:dyDescent="0.25">
      <c r="A340" s="54" t="s">
        <v>558</v>
      </c>
      <c r="B340" s="54" t="s">
        <v>559</v>
      </c>
      <c r="C340" s="31">
        <v>4301031445</v>
      </c>
      <c r="D340" s="640">
        <v>4680115888319</v>
      </c>
      <c r="E340" s="641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8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38"/>
      <c r="R340" s="638"/>
      <c r="S340" s="638"/>
      <c r="T340" s="639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4301031502</v>
      </c>
      <c r="D341" s="640">
        <v>4680115884700</v>
      </c>
      <c r="E341" s="641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3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38"/>
      <c r="R341" s="638"/>
      <c r="S341" s="638"/>
      <c r="T341" s="639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563</v>
      </c>
      <c r="B342" s="54" t="s">
        <v>564</v>
      </c>
      <c r="C342" s="31">
        <v>4301031307</v>
      </c>
      <c r="D342" s="640">
        <v>4680115880344</v>
      </c>
      <c r="E342" s="641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38"/>
      <c r="R342" s="638"/>
      <c r="S342" s="638"/>
      <c r="T342" s="639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566</v>
      </c>
      <c r="B343" s="54" t="s">
        <v>567</v>
      </c>
      <c r="C343" s="31">
        <v>4301031501</v>
      </c>
      <c r="D343" s="640">
        <v>4680115886919</v>
      </c>
      <c r="E343" s="641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38"/>
      <c r="R343" s="638"/>
      <c r="S343" s="638"/>
      <c r="T343" s="639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569</v>
      </c>
      <c r="B344" s="54" t="s">
        <v>570</v>
      </c>
      <c r="C344" s="31">
        <v>4301031246</v>
      </c>
      <c r="D344" s="640">
        <v>4680115883970</v>
      </c>
      <c r="E344" s="641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38"/>
      <c r="R344" s="638"/>
      <c r="S344" s="638"/>
      <c r="T344" s="639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661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62"/>
      <c r="P345" s="642" t="s">
        <v>72</v>
      </c>
      <c r="Q345" s="643"/>
      <c r="R345" s="643"/>
      <c r="S345" s="643"/>
      <c r="T345" s="643"/>
      <c r="U345" s="643"/>
      <c r="V345" s="644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62"/>
      <c r="P346" s="642" t="s">
        <v>72</v>
      </c>
      <c r="Q346" s="643"/>
      <c r="R346" s="643"/>
      <c r="S346" s="643"/>
      <c r="T346" s="643"/>
      <c r="U346" s="643"/>
      <c r="V346" s="644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customHeight="1" x14ac:dyDescent="0.25">
      <c r="A347" s="645" t="s">
        <v>74</v>
      </c>
      <c r="B347" s="646"/>
      <c r="C347" s="646"/>
      <c r="D347" s="646"/>
      <c r="E347" s="646"/>
      <c r="F347" s="646"/>
      <c r="G347" s="646"/>
      <c r="H347" s="646"/>
      <c r="I347" s="646"/>
      <c r="J347" s="646"/>
      <c r="K347" s="646"/>
      <c r="L347" s="646"/>
      <c r="M347" s="646"/>
      <c r="N347" s="646"/>
      <c r="O347" s="646"/>
      <c r="P347" s="646"/>
      <c r="Q347" s="646"/>
      <c r="R347" s="646"/>
      <c r="S347" s="646"/>
      <c r="T347" s="646"/>
      <c r="U347" s="646"/>
      <c r="V347" s="646"/>
      <c r="W347" s="646"/>
      <c r="X347" s="646"/>
      <c r="Y347" s="646"/>
      <c r="Z347" s="646"/>
      <c r="AA347" s="629"/>
      <c r="AB347" s="629"/>
      <c r="AC347" s="629"/>
    </row>
    <row r="348" spans="1:68" ht="27" customHeight="1" x14ac:dyDescent="0.25">
      <c r="A348" s="54" t="s">
        <v>572</v>
      </c>
      <c r="B348" s="54" t="s">
        <v>573</v>
      </c>
      <c r="C348" s="31">
        <v>4301051782</v>
      </c>
      <c r="D348" s="640">
        <v>4680115884618</v>
      </c>
      <c r="E348" s="641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38"/>
      <c r="R348" s="638"/>
      <c r="S348" s="638"/>
      <c r="T348" s="639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575</v>
      </c>
      <c r="B349" s="54" t="s">
        <v>576</v>
      </c>
      <c r="C349" s="31">
        <v>4301052057</v>
      </c>
      <c r="D349" s="640">
        <v>4680115887114</v>
      </c>
      <c r="E349" s="641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38"/>
      <c r="R349" s="638"/>
      <c r="S349" s="638"/>
      <c r="T349" s="639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x14ac:dyDescent="0.2">
      <c r="A350" s="661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62"/>
      <c r="P350" s="642" t="s">
        <v>72</v>
      </c>
      <c r="Q350" s="643"/>
      <c r="R350" s="643"/>
      <c r="S350" s="643"/>
      <c r="T350" s="643"/>
      <c r="U350" s="643"/>
      <c r="V350" s="644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62"/>
      <c r="P351" s="642" t="s">
        <v>72</v>
      </c>
      <c r="Q351" s="643"/>
      <c r="R351" s="643"/>
      <c r="S351" s="643"/>
      <c r="T351" s="643"/>
      <c r="U351" s="643"/>
      <c r="V351" s="644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customHeight="1" x14ac:dyDescent="0.25">
      <c r="A352" s="652" t="s">
        <v>578</v>
      </c>
      <c r="B352" s="646"/>
      <c r="C352" s="646"/>
      <c r="D352" s="646"/>
      <c r="E352" s="646"/>
      <c r="F352" s="646"/>
      <c r="G352" s="646"/>
      <c r="H352" s="646"/>
      <c r="I352" s="646"/>
      <c r="J352" s="646"/>
      <c r="K352" s="646"/>
      <c r="L352" s="646"/>
      <c r="M352" s="646"/>
      <c r="N352" s="646"/>
      <c r="O352" s="646"/>
      <c r="P352" s="646"/>
      <c r="Q352" s="646"/>
      <c r="R352" s="646"/>
      <c r="S352" s="646"/>
      <c r="T352" s="646"/>
      <c r="U352" s="646"/>
      <c r="V352" s="646"/>
      <c r="W352" s="646"/>
      <c r="X352" s="646"/>
      <c r="Y352" s="646"/>
      <c r="Z352" s="646"/>
      <c r="AA352" s="628"/>
      <c r="AB352" s="628"/>
      <c r="AC352" s="628"/>
    </row>
    <row r="353" spans="1:68" ht="14.25" customHeight="1" x14ac:dyDescent="0.25">
      <c r="A353" s="645" t="s">
        <v>111</v>
      </c>
      <c r="B353" s="646"/>
      <c r="C353" s="646"/>
      <c r="D353" s="646"/>
      <c r="E353" s="646"/>
      <c r="F353" s="646"/>
      <c r="G353" s="646"/>
      <c r="H353" s="646"/>
      <c r="I353" s="646"/>
      <c r="J353" s="646"/>
      <c r="K353" s="646"/>
      <c r="L353" s="646"/>
      <c r="M353" s="646"/>
      <c r="N353" s="646"/>
      <c r="O353" s="646"/>
      <c r="P353" s="646"/>
      <c r="Q353" s="646"/>
      <c r="R353" s="646"/>
      <c r="S353" s="646"/>
      <c r="T353" s="646"/>
      <c r="U353" s="646"/>
      <c r="V353" s="646"/>
      <c r="W353" s="646"/>
      <c r="X353" s="646"/>
      <c r="Y353" s="646"/>
      <c r="Z353" s="646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40">
        <v>4680115887947</v>
      </c>
      <c r="E354" s="641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38"/>
      <c r="R354" s="638"/>
      <c r="S354" s="638"/>
      <c r="T354" s="639"/>
      <c r="U354" s="34"/>
      <c r="V354" s="34"/>
      <c r="W354" s="35" t="s">
        <v>67</v>
      </c>
      <c r="X354" s="633">
        <v>408</v>
      </c>
      <c r="Y354" s="634">
        <f>IFERROR(IF(X354="",0,CEILING((X354/$H354),1)*$H354),"")</f>
        <v>413.4</v>
      </c>
      <c r="Z354" s="36">
        <f>IFERROR(IF(Y354=0,"",ROUNDUP(Y354/H354,0)*0.01898),"")</f>
        <v>1.0059400000000001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429.44615384615389</v>
      </c>
      <c r="BN354" s="64">
        <f>IFERROR(Y354*I354/H354,"0")</f>
        <v>435.13000000000005</v>
      </c>
      <c r="BO354" s="64">
        <f>IFERROR(1/J354*(X354/H354),"0")</f>
        <v>0.81730769230769229</v>
      </c>
      <c r="BP354" s="64">
        <f>IFERROR(1/J354*(Y354/H354),"0")</f>
        <v>0.828125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40">
        <v>4680115887978</v>
      </c>
      <c r="E355" s="641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8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38"/>
      <c r="R355" s="638"/>
      <c r="S355" s="638"/>
      <c r="T355" s="639"/>
      <c r="U355" s="34"/>
      <c r="V355" s="34"/>
      <c r="W355" s="35" t="s">
        <v>67</v>
      </c>
      <c r="X355" s="633">
        <v>208</v>
      </c>
      <c r="Y355" s="634">
        <f>IFERROR(IF(X355="",0,CEILING((X355/$H355),1)*$H355),"")</f>
        <v>210.6</v>
      </c>
      <c r="Z355" s="36">
        <f>IFERROR(IF(Y355=0,"",ROUNDUP(Y355/H355,0)*0.01898),"")</f>
        <v>0.51246000000000003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218.93333333333337</v>
      </c>
      <c r="BN355" s="64">
        <f>IFERROR(Y355*I355/H355,"0")</f>
        <v>221.67000000000002</v>
      </c>
      <c r="BO355" s="64">
        <f>IFERROR(1/J355*(X355/H355),"0")</f>
        <v>0.41666666666666669</v>
      </c>
      <c r="BP355" s="64">
        <f>IFERROR(1/J355*(Y355/H355),"0")</f>
        <v>0.421875</v>
      </c>
    </row>
    <row r="356" spans="1:68" ht="27" customHeight="1" x14ac:dyDescent="0.25">
      <c r="A356" s="54" t="s">
        <v>584</v>
      </c>
      <c r="B356" s="54" t="s">
        <v>585</v>
      </c>
      <c r="C356" s="31">
        <v>4301012327</v>
      </c>
      <c r="D356" s="640">
        <v>4680115887992</v>
      </c>
      <c r="E356" s="641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38"/>
      <c r="R356" s="638"/>
      <c r="S356" s="638"/>
      <c r="T356" s="639"/>
      <c r="U356" s="34"/>
      <c r="V356" s="34"/>
      <c r="W356" s="35" t="s">
        <v>67</v>
      </c>
      <c r="X356" s="633">
        <v>278</v>
      </c>
      <c r="Y356" s="634">
        <f>IFERROR(IF(X356="",0,CEILING((X356/$H356),1)*$H356),"")</f>
        <v>280.8</v>
      </c>
      <c r="Z356" s="36">
        <f>IFERROR(IF(Y356=0,"",ROUNDUP(Y356/H356,0)*0.01898),"")</f>
        <v>0.68328</v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292.61282051282052</v>
      </c>
      <c r="BN356" s="64">
        <f>IFERROR(Y356*I356/H356,"0")</f>
        <v>295.56000000000006</v>
      </c>
      <c r="BO356" s="64">
        <f>IFERROR(1/J356*(X356/H356),"0")</f>
        <v>0.55689102564102566</v>
      </c>
      <c r="BP356" s="64">
        <f>IFERROR(1/J356*(Y356/H356),"0")</f>
        <v>0.5625</v>
      </c>
    </row>
    <row r="357" spans="1:68" x14ac:dyDescent="0.2">
      <c r="A357" s="661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62"/>
      <c r="P357" s="642" t="s">
        <v>72</v>
      </c>
      <c r="Q357" s="643"/>
      <c r="R357" s="643"/>
      <c r="S357" s="643"/>
      <c r="T357" s="643"/>
      <c r="U357" s="643"/>
      <c r="V357" s="644"/>
      <c r="W357" s="37" t="s">
        <v>73</v>
      </c>
      <c r="X357" s="635">
        <f>IFERROR(X354/H354,"0")+IFERROR(X355/H355,"0")+IFERROR(X356/H356,"0")</f>
        <v>114.61538461538461</v>
      </c>
      <c r="Y357" s="635">
        <f>IFERROR(Y354/H354,"0")+IFERROR(Y355/H355,"0")+IFERROR(Y356/H356,"0")</f>
        <v>116</v>
      </c>
      <c r="Z357" s="635">
        <f>IFERROR(IF(Z354="",0,Z354),"0")+IFERROR(IF(Z355="",0,Z355),"0")+IFERROR(IF(Z356="",0,Z356),"0")</f>
        <v>2.2016800000000001</v>
      </c>
      <c r="AA357" s="636"/>
      <c r="AB357" s="636"/>
      <c r="AC357" s="636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62"/>
      <c r="P358" s="642" t="s">
        <v>72</v>
      </c>
      <c r="Q358" s="643"/>
      <c r="R358" s="643"/>
      <c r="S358" s="643"/>
      <c r="T358" s="643"/>
      <c r="U358" s="643"/>
      <c r="V358" s="644"/>
      <c r="W358" s="37" t="s">
        <v>67</v>
      </c>
      <c r="X358" s="635">
        <f>IFERROR(SUM(X354:X356),"0")</f>
        <v>894</v>
      </c>
      <c r="Y358" s="635">
        <f>IFERROR(SUM(Y354:Y356),"0")</f>
        <v>904.8</v>
      </c>
      <c r="Z358" s="37"/>
      <c r="AA358" s="636"/>
      <c r="AB358" s="636"/>
      <c r="AC358" s="636"/>
    </row>
    <row r="359" spans="1:68" ht="16.5" customHeight="1" x14ac:dyDescent="0.25">
      <c r="A359" s="652" t="s">
        <v>587</v>
      </c>
      <c r="B359" s="646"/>
      <c r="C359" s="646"/>
      <c r="D359" s="646"/>
      <c r="E359" s="646"/>
      <c r="F359" s="646"/>
      <c r="G359" s="646"/>
      <c r="H359" s="646"/>
      <c r="I359" s="646"/>
      <c r="J359" s="646"/>
      <c r="K359" s="646"/>
      <c r="L359" s="646"/>
      <c r="M359" s="646"/>
      <c r="N359" s="646"/>
      <c r="O359" s="646"/>
      <c r="P359" s="646"/>
      <c r="Q359" s="646"/>
      <c r="R359" s="646"/>
      <c r="S359" s="646"/>
      <c r="T359" s="646"/>
      <c r="U359" s="646"/>
      <c r="V359" s="646"/>
      <c r="W359" s="646"/>
      <c r="X359" s="646"/>
      <c r="Y359" s="646"/>
      <c r="Z359" s="646"/>
      <c r="AA359" s="628"/>
      <c r="AB359" s="628"/>
      <c r="AC359" s="628"/>
    </row>
    <row r="360" spans="1:68" ht="14.25" customHeight="1" x14ac:dyDescent="0.25">
      <c r="A360" s="645" t="s">
        <v>111</v>
      </c>
      <c r="B360" s="646"/>
      <c r="C360" s="646"/>
      <c r="D360" s="646"/>
      <c r="E360" s="646"/>
      <c r="F360" s="646"/>
      <c r="G360" s="646"/>
      <c r="H360" s="646"/>
      <c r="I360" s="646"/>
      <c r="J360" s="646"/>
      <c r="K360" s="646"/>
      <c r="L360" s="646"/>
      <c r="M360" s="646"/>
      <c r="N360" s="646"/>
      <c r="O360" s="646"/>
      <c r="P360" s="646"/>
      <c r="Q360" s="646"/>
      <c r="R360" s="646"/>
      <c r="S360" s="646"/>
      <c r="T360" s="646"/>
      <c r="U360" s="646"/>
      <c r="V360" s="646"/>
      <c r="W360" s="646"/>
      <c r="X360" s="646"/>
      <c r="Y360" s="646"/>
      <c r="Z360" s="646"/>
      <c r="AA360" s="629"/>
      <c r="AB360" s="629"/>
      <c r="AC360" s="629"/>
    </row>
    <row r="361" spans="1:68" ht="27" customHeight="1" x14ac:dyDescent="0.25">
      <c r="A361" s="54" t="s">
        <v>588</v>
      </c>
      <c r="B361" s="54" t="s">
        <v>589</v>
      </c>
      <c r="C361" s="31">
        <v>4301012235</v>
      </c>
      <c r="D361" s="640">
        <v>4680115887190</v>
      </c>
      <c r="E361" s="641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38"/>
      <c r="R361" s="638"/>
      <c r="S361" s="638"/>
      <c r="T361" s="639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customHeight="1" x14ac:dyDescent="0.25">
      <c r="A362" s="54" t="s">
        <v>591</v>
      </c>
      <c r="B362" s="54" t="s">
        <v>592</v>
      </c>
      <c r="C362" s="31">
        <v>4301012233</v>
      </c>
      <c r="D362" s="640">
        <v>4680115887138</v>
      </c>
      <c r="E362" s="641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38"/>
      <c r="R362" s="638"/>
      <c r="S362" s="638"/>
      <c r="T362" s="639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594</v>
      </c>
      <c r="B363" s="54" t="s">
        <v>595</v>
      </c>
      <c r="C363" s="31">
        <v>4301012016</v>
      </c>
      <c r="D363" s="640">
        <v>4680115885554</v>
      </c>
      <c r="E363" s="641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38"/>
      <c r="R363" s="638"/>
      <c r="S363" s="638"/>
      <c r="T363" s="639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597</v>
      </c>
      <c r="B364" s="54" t="s">
        <v>598</v>
      </c>
      <c r="C364" s="31">
        <v>4301012236</v>
      </c>
      <c r="D364" s="640">
        <v>4680115887220</v>
      </c>
      <c r="E364" s="641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38"/>
      <c r="R364" s="638"/>
      <c r="S364" s="638"/>
      <c r="T364" s="639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4301011859</v>
      </c>
      <c r="D365" s="640">
        <v>4680115885608</v>
      </c>
      <c r="E365" s="641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38"/>
      <c r="R365" s="638"/>
      <c r="S365" s="638"/>
      <c r="T365" s="639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661"/>
      <c r="B366" s="646"/>
      <c r="C366" s="646"/>
      <c r="D366" s="646"/>
      <c r="E366" s="646"/>
      <c r="F366" s="646"/>
      <c r="G366" s="646"/>
      <c r="H366" s="646"/>
      <c r="I366" s="646"/>
      <c r="J366" s="646"/>
      <c r="K366" s="646"/>
      <c r="L366" s="646"/>
      <c r="M366" s="646"/>
      <c r="N366" s="646"/>
      <c r="O366" s="662"/>
      <c r="P366" s="642" t="s">
        <v>72</v>
      </c>
      <c r="Q366" s="643"/>
      <c r="R366" s="643"/>
      <c r="S366" s="643"/>
      <c r="T366" s="643"/>
      <c r="U366" s="643"/>
      <c r="V366" s="644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62"/>
      <c r="P367" s="642" t="s">
        <v>72</v>
      </c>
      <c r="Q367" s="643"/>
      <c r="R367" s="643"/>
      <c r="S367" s="643"/>
      <c r="T367" s="643"/>
      <c r="U367" s="643"/>
      <c r="V367" s="644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customHeight="1" x14ac:dyDescent="0.25">
      <c r="A368" s="645" t="s">
        <v>62</v>
      </c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6"/>
      <c r="P368" s="646"/>
      <c r="Q368" s="646"/>
      <c r="R368" s="646"/>
      <c r="S368" s="646"/>
      <c r="T368" s="646"/>
      <c r="U368" s="646"/>
      <c r="V368" s="646"/>
      <c r="W368" s="646"/>
      <c r="X368" s="646"/>
      <c r="Y368" s="646"/>
      <c r="Z368" s="646"/>
      <c r="AA368" s="629"/>
      <c r="AB368" s="629"/>
      <c r="AC368" s="629"/>
    </row>
    <row r="369" spans="1:68" ht="27" customHeight="1" x14ac:dyDescent="0.25">
      <c r="A369" s="54" t="s">
        <v>602</v>
      </c>
      <c r="B369" s="54" t="s">
        <v>603</v>
      </c>
      <c r="C369" s="31">
        <v>4301030878</v>
      </c>
      <c r="D369" s="640">
        <v>4607091387193</v>
      </c>
      <c r="E369" s="641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38"/>
      <c r="R369" s="638"/>
      <c r="S369" s="638"/>
      <c r="T369" s="639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customHeight="1" x14ac:dyDescent="0.25">
      <c r="A370" s="54" t="s">
        <v>605</v>
      </c>
      <c r="B370" s="54" t="s">
        <v>606</v>
      </c>
      <c r="C370" s="31">
        <v>4301031153</v>
      </c>
      <c r="D370" s="640">
        <v>4607091387230</v>
      </c>
      <c r="E370" s="641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7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38"/>
      <c r="R370" s="638"/>
      <c r="S370" s="638"/>
      <c r="T370" s="639"/>
      <c r="U370" s="34"/>
      <c r="V370" s="34"/>
      <c r="W370" s="35" t="s">
        <v>67</v>
      </c>
      <c r="X370" s="633">
        <v>50</v>
      </c>
      <c r="Y370" s="634">
        <f t="shared" si="48"/>
        <v>50.400000000000006</v>
      </c>
      <c r="Z370" s="36">
        <f>IFERROR(IF(Y370=0,"",ROUNDUP(Y370/H370,0)*0.00902),"")</f>
        <v>0.10824</v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52.976190476190474</v>
      </c>
      <c r="BN370" s="64">
        <f t="shared" si="50"/>
        <v>53.400000000000006</v>
      </c>
      <c r="BO370" s="64">
        <f t="shared" si="51"/>
        <v>9.0187590187590191E-2</v>
      </c>
      <c r="BP370" s="64">
        <f t="shared" si="52"/>
        <v>9.0909090909090912E-2</v>
      </c>
    </row>
    <row r="371" spans="1:68" ht="27" customHeight="1" x14ac:dyDescent="0.25">
      <c r="A371" s="54" t="s">
        <v>608</v>
      </c>
      <c r="B371" s="54" t="s">
        <v>609</v>
      </c>
      <c r="C371" s="31">
        <v>4301031154</v>
      </c>
      <c r="D371" s="640">
        <v>4607091387292</v>
      </c>
      <c r="E371" s="641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38"/>
      <c r="R371" s="638"/>
      <c r="S371" s="638"/>
      <c r="T371" s="639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customHeight="1" x14ac:dyDescent="0.25">
      <c r="A372" s="54" t="s">
        <v>611</v>
      </c>
      <c r="B372" s="54" t="s">
        <v>612</v>
      </c>
      <c r="C372" s="31">
        <v>4301031152</v>
      </c>
      <c r="D372" s="640">
        <v>4607091387285</v>
      </c>
      <c r="E372" s="641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38"/>
      <c r="R372" s="638"/>
      <c r="S372" s="638"/>
      <c r="T372" s="639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4301031305</v>
      </c>
      <c r="D373" s="640">
        <v>4607091389845</v>
      </c>
      <c r="E373" s="641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10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38"/>
      <c r="R373" s="638"/>
      <c r="S373" s="638"/>
      <c r="T373" s="639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4301031460</v>
      </c>
      <c r="D374" s="640">
        <v>4680115887442</v>
      </c>
      <c r="E374" s="641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38"/>
      <c r="R374" s="638"/>
      <c r="S374" s="638"/>
      <c r="T374" s="639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4301031066</v>
      </c>
      <c r="D375" s="640">
        <v>4607091383836</v>
      </c>
      <c r="E375" s="641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38"/>
      <c r="R375" s="638"/>
      <c r="S375" s="638"/>
      <c r="T375" s="639"/>
      <c r="U375" s="34"/>
      <c r="V375" s="34"/>
      <c r="W375" s="35" t="s">
        <v>67</v>
      </c>
      <c r="X375" s="633">
        <v>29</v>
      </c>
      <c r="Y375" s="634">
        <f t="shared" si="48"/>
        <v>30.6</v>
      </c>
      <c r="Z375" s="36">
        <f>IFERROR(IF(Y375=0,"",ROUNDUP(Y375/H375,0)*0.00651),"")</f>
        <v>0.11067</v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32.673333333333332</v>
      </c>
      <c r="BN375" s="64">
        <f t="shared" si="50"/>
        <v>34.475999999999999</v>
      </c>
      <c r="BO375" s="64">
        <f t="shared" si="51"/>
        <v>8.8522588522588527E-2</v>
      </c>
      <c r="BP375" s="64">
        <f t="shared" si="52"/>
        <v>9.3406593406593408E-2</v>
      </c>
    </row>
    <row r="376" spans="1:68" x14ac:dyDescent="0.2">
      <c r="A376" s="661"/>
      <c r="B376" s="646"/>
      <c r="C376" s="646"/>
      <c r="D376" s="646"/>
      <c r="E376" s="646"/>
      <c r="F376" s="646"/>
      <c r="G376" s="646"/>
      <c r="H376" s="646"/>
      <c r="I376" s="646"/>
      <c r="J376" s="646"/>
      <c r="K376" s="646"/>
      <c r="L376" s="646"/>
      <c r="M376" s="646"/>
      <c r="N376" s="646"/>
      <c r="O376" s="662"/>
      <c r="P376" s="642" t="s">
        <v>72</v>
      </c>
      <c r="Q376" s="643"/>
      <c r="R376" s="643"/>
      <c r="S376" s="643"/>
      <c r="T376" s="643"/>
      <c r="U376" s="643"/>
      <c r="V376" s="644"/>
      <c r="W376" s="37" t="s">
        <v>73</v>
      </c>
      <c r="X376" s="635">
        <f>IFERROR(X369/H369,"0")+IFERROR(X370/H370,"0")+IFERROR(X371/H371,"0")+IFERROR(X372/H372,"0")+IFERROR(X373/H373,"0")+IFERROR(X374/H374,"0")+IFERROR(X375/H375,"0")</f>
        <v>28.015873015873016</v>
      </c>
      <c r="Y376" s="635">
        <f>IFERROR(Y369/H369,"0")+IFERROR(Y370/H370,"0")+IFERROR(Y371/H371,"0")+IFERROR(Y372/H372,"0")+IFERROR(Y373/H373,"0")+IFERROR(Y374/H374,"0")+IFERROR(Y375/H375,"0")</f>
        <v>29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0.21890999999999999</v>
      </c>
      <c r="AA376" s="636"/>
      <c r="AB376" s="636"/>
      <c r="AC376" s="636"/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62"/>
      <c r="P377" s="642" t="s">
        <v>72</v>
      </c>
      <c r="Q377" s="643"/>
      <c r="R377" s="643"/>
      <c r="S377" s="643"/>
      <c r="T377" s="643"/>
      <c r="U377" s="643"/>
      <c r="V377" s="644"/>
      <c r="W377" s="37" t="s">
        <v>67</v>
      </c>
      <c r="X377" s="635">
        <f>IFERROR(SUM(X369:X375),"0")</f>
        <v>79</v>
      </c>
      <c r="Y377" s="635">
        <f>IFERROR(SUM(Y369:Y375),"0")</f>
        <v>81</v>
      </c>
      <c r="Z377" s="37"/>
      <c r="AA377" s="636"/>
      <c r="AB377" s="636"/>
      <c r="AC377" s="636"/>
    </row>
    <row r="378" spans="1:68" ht="14.25" customHeight="1" x14ac:dyDescent="0.25">
      <c r="A378" s="645" t="s">
        <v>74</v>
      </c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6"/>
      <c r="P378" s="646"/>
      <c r="Q378" s="646"/>
      <c r="R378" s="646"/>
      <c r="S378" s="646"/>
      <c r="T378" s="646"/>
      <c r="U378" s="646"/>
      <c r="V378" s="646"/>
      <c r="W378" s="646"/>
      <c r="X378" s="646"/>
      <c r="Y378" s="646"/>
      <c r="Z378" s="646"/>
      <c r="AA378" s="629"/>
      <c r="AB378" s="629"/>
      <c r="AC378" s="629"/>
    </row>
    <row r="379" spans="1:68" ht="27" customHeight="1" x14ac:dyDescent="0.25">
      <c r="A379" s="54" t="s">
        <v>621</v>
      </c>
      <c r="B379" s="54" t="s">
        <v>622</v>
      </c>
      <c r="C379" s="31">
        <v>4301051100</v>
      </c>
      <c r="D379" s="640">
        <v>4607091387766</v>
      </c>
      <c r="E379" s="641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6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38"/>
      <c r="R379" s="638"/>
      <c r="S379" s="638"/>
      <c r="T379" s="639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624</v>
      </c>
      <c r="B380" s="54" t="s">
        <v>625</v>
      </c>
      <c r="C380" s="31">
        <v>4301051818</v>
      </c>
      <c r="D380" s="640">
        <v>4607091387957</v>
      </c>
      <c r="E380" s="641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8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38"/>
      <c r="R380" s="638"/>
      <c r="S380" s="638"/>
      <c r="T380" s="639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627</v>
      </c>
      <c r="B381" s="54" t="s">
        <v>628</v>
      </c>
      <c r="C381" s="31">
        <v>4301051819</v>
      </c>
      <c r="D381" s="640">
        <v>4607091387964</v>
      </c>
      <c r="E381" s="641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38"/>
      <c r="R381" s="638"/>
      <c r="S381" s="638"/>
      <c r="T381" s="639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630</v>
      </c>
      <c r="B382" s="54" t="s">
        <v>631</v>
      </c>
      <c r="C382" s="31">
        <v>4301051734</v>
      </c>
      <c r="D382" s="640">
        <v>4680115884588</v>
      </c>
      <c r="E382" s="641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38"/>
      <c r="R382" s="638"/>
      <c r="S382" s="638"/>
      <c r="T382" s="639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61"/>
      <c r="B383" s="646"/>
      <c r="C383" s="646"/>
      <c r="D383" s="646"/>
      <c r="E383" s="646"/>
      <c r="F383" s="646"/>
      <c r="G383" s="646"/>
      <c r="H383" s="646"/>
      <c r="I383" s="646"/>
      <c r="J383" s="646"/>
      <c r="K383" s="646"/>
      <c r="L383" s="646"/>
      <c r="M383" s="646"/>
      <c r="N383" s="646"/>
      <c r="O383" s="662"/>
      <c r="P383" s="642" t="s">
        <v>72</v>
      </c>
      <c r="Q383" s="643"/>
      <c r="R383" s="643"/>
      <c r="S383" s="643"/>
      <c r="T383" s="643"/>
      <c r="U383" s="643"/>
      <c r="V383" s="644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62"/>
      <c r="P384" s="642" t="s">
        <v>72</v>
      </c>
      <c r="Q384" s="643"/>
      <c r="R384" s="643"/>
      <c r="S384" s="643"/>
      <c r="T384" s="643"/>
      <c r="U384" s="643"/>
      <c r="V384" s="644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customHeight="1" x14ac:dyDescent="0.25">
      <c r="A385" s="645" t="s">
        <v>164</v>
      </c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6"/>
      <c r="P385" s="646"/>
      <c r="Q385" s="646"/>
      <c r="R385" s="646"/>
      <c r="S385" s="646"/>
      <c r="T385" s="646"/>
      <c r="U385" s="646"/>
      <c r="V385" s="646"/>
      <c r="W385" s="646"/>
      <c r="X385" s="646"/>
      <c r="Y385" s="646"/>
      <c r="Z385" s="646"/>
      <c r="AA385" s="629"/>
      <c r="AB385" s="629"/>
      <c r="AC385" s="629"/>
    </row>
    <row r="386" spans="1:68" ht="27" customHeight="1" x14ac:dyDescent="0.25">
      <c r="A386" s="54" t="s">
        <v>632</v>
      </c>
      <c r="B386" s="54" t="s">
        <v>633</v>
      </c>
      <c r="C386" s="31">
        <v>4301060387</v>
      </c>
      <c r="D386" s="640">
        <v>4607091380880</v>
      </c>
      <c r="E386" s="641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38"/>
      <c r="R386" s="638"/>
      <c r="S386" s="638"/>
      <c r="T386" s="639"/>
      <c r="U386" s="34"/>
      <c r="V386" s="34"/>
      <c r="W386" s="35" t="s">
        <v>67</v>
      </c>
      <c r="X386" s="633">
        <v>197</v>
      </c>
      <c r="Y386" s="634">
        <f>IFERROR(IF(X386="",0,CEILING((X386/$H386),1)*$H386),"")</f>
        <v>201.60000000000002</v>
      </c>
      <c r="Z386" s="36">
        <f>IFERROR(IF(Y386=0,"",ROUNDUP(Y386/H386,0)*0.01898),"")</f>
        <v>0.45552000000000004</v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208.58547619047619</v>
      </c>
      <c r="BN386" s="64">
        <f>IFERROR(Y386*I386/H386,"0")</f>
        <v>213.45600000000002</v>
      </c>
      <c r="BO386" s="64">
        <f>IFERROR(1/J386*(X386/H386),"0")</f>
        <v>0.36644345238095238</v>
      </c>
      <c r="BP386" s="64">
        <f>IFERROR(1/J386*(Y386/H386),"0")</f>
        <v>0.375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40">
        <v>4607091384482</v>
      </c>
      <c r="E387" s="641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38"/>
      <c r="R387" s="638"/>
      <c r="S387" s="638"/>
      <c r="T387" s="639"/>
      <c r="U387" s="34"/>
      <c r="V387" s="34"/>
      <c r="W387" s="35" t="s">
        <v>67</v>
      </c>
      <c r="X387" s="633">
        <v>717</v>
      </c>
      <c r="Y387" s="634">
        <f>IFERROR(IF(X387="",0,CEILING((X387/$H387),1)*$H387),"")</f>
        <v>717.6</v>
      </c>
      <c r="Z387" s="36">
        <f>IFERROR(IF(Y387=0,"",ROUNDUP(Y387/H387,0)*0.01898),"")</f>
        <v>1.7461599999999999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762.41000000000008</v>
      </c>
      <c r="BN387" s="64">
        <f>IFERROR(Y387*I387/H387,"0")</f>
        <v>763.048</v>
      </c>
      <c r="BO387" s="64">
        <f>IFERROR(1/J387*(X387/H387),"0")</f>
        <v>1.4362980769230769</v>
      </c>
      <c r="BP387" s="64">
        <f>IFERROR(1/J387*(Y387/H387),"0")</f>
        <v>1.4375</v>
      </c>
    </row>
    <row r="388" spans="1:68" ht="27" customHeight="1" x14ac:dyDescent="0.25">
      <c r="A388" s="54" t="s">
        <v>638</v>
      </c>
      <c r="B388" s="54" t="s">
        <v>639</v>
      </c>
      <c r="C388" s="31">
        <v>4301060484</v>
      </c>
      <c r="D388" s="640">
        <v>4607091380897</v>
      </c>
      <c r="E388" s="641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38"/>
      <c r="R388" s="638"/>
      <c r="S388" s="638"/>
      <c r="T388" s="639"/>
      <c r="U388" s="34"/>
      <c r="V388" s="34"/>
      <c r="W388" s="35" t="s">
        <v>67</v>
      </c>
      <c r="X388" s="633">
        <v>200</v>
      </c>
      <c r="Y388" s="634">
        <f>IFERROR(IF(X388="",0,CEILING((X388/$H388),1)*$H388),"")</f>
        <v>201.60000000000002</v>
      </c>
      <c r="Z388" s="36">
        <f>IFERROR(IF(Y388=0,"",ROUNDUP(Y388/H388,0)*0.01898),"")</f>
        <v>0.45552000000000004</v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211.76190476190476</v>
      </c>
      <c r="BN388" s="64">
        <f>IFERROR(Y388*I388/H388,"0")</f>
        <v>213.45600000000002</v>
      </c>
      <c r="BO388" s="64">
        <f>IFERROR(1/J388*(X388/H388),"0")</f>
        <v>0.37202380952380953</v>
      </c>
      <c r="BP388" s="64">
        <f>IFERROR(1/J388*(Y388/H388),"0")</f>
        <v>0.375</v>
      </c>
    </row>
    <row r="389" spans="1:68" x14ac:dyDescent="0.2">
      <c r="A389" s="661"/>
      <c r="B389" s="646"/>
      <c r="C389" s="646"/>
      <c r="D389" s="646"/>
      <c r="E389" s="646"/>
      <c r="F389" s="646"/>
      <c r="G389" s="646"/>
      <c r="H389" s="646"/>
      <c r="I389" s="646"/>
      <c r="J389" s="646"/>
      <c r="K389" s="646"/>
      <c r="L389" s="646"/>
      <c r="M389" s="646"/>
      <c r="N389" s="646"/>
      <c r="O389" s="662"/>
      <c r="P389" s="642" t="s">
        <v>72</v>
      </c>
      <c r="Q389" s="643"/>
      <c r="R389" s="643"/>
      <c r="S389" s="643"/>
      <c r="T389" s="643"/>
      <c r="U389" s="643"/>
      <c r="V389" s="644"/>
      <c r="W389" s="37" t="s">
        <v>73</v>
      </c>
      <c r="X389" s="635">
        <f>IFERROR(X386/H386,"0")+IFERROR(X387/H387,"0")+IFERROR(X388/H388,"0")</f>
        <v>139.18498168498166</v>
      </c>
      <c r="Y389" s="635">
        <f>IFERROR(Y386/H386,"0")+IFERROR(Y387/H387,"0")+IFERROR(Y388/H388,"0")</f>
        <v>140</v>
      </c>
      <c r="Z389" s="635">
        <f>IFERROR(IF(Z386="",0,Z386),"0")+IFERROR(IF(Z387="",0,Z387),"0")+IFERROR(IF(Z388="",0,Z388),"0")</f>
        <v>2.6572</v>
      </c>
      <c r="AA389" s="636"/>
      <c r="AB389" s="636"/>
      <c r="AC389" s="636"/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62"/>
      <c r="P390" s="642" t="s">
        <v>72</v>
      </c>
      <c r="Q390" s="643"/>
      <c r="R390" s="643"/>
      <c r="S390" s="643"/>
      <c r="T390" s="643"/>
      <c r="U390" s="643"/>
      <c r="V390" s="644"/>
      <c r="W390" s="37" t="s">
        <v>67</v>
      </c>
      <c r="X390" s="635">
        <f>IFERROR(SUM(X386:X388),"0")</f>
        <v>1114</v>
      </c>
      <c r="Y390" s="635">
        <f>IFERROR(SUM(Y386:Y388),"0")</f>
        <v>1120.8000000000002</v>
      </c>
      <c r="Z390" s="37"/>
      <c r="AA390" s="636"/>
      <c r="AB390" s="636"/>
      <c r="AC390" s="636"/>
    </row>
    <row r="391" spans="1:68" ht="14.25" customHeight="1" x14ac:dyDescent="0.25">
      <c r="A391" s="645" t="s">
        <v>272</v>
      </c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6"/>
      <c r="P391" s="646"/>
      <c r="Q391" s="646"/>
      <c r="R391" s="646"/>
      <c r="S391" s="646"/>
      <c r="T391" s="646"/>
      <c r="U391" s="646"/>
      <c r="V391" s="646"/>
      <c r="W391" s="646"/>
      <c r="X391" s="646"/>
      <c r="Y391" s="646"/>
      <c r="Z391" s="646"/>
      <c r="AA391" s="629"/>
      <c r="AB391" s="629"/>
      <c r="AC391" s="629"/>
    </row>
    <row r="392" spans="1:68" ht="27" customHeight="1" x14ac:dyDescent="0.25">
      <c r="A392" s="54" t="s">
        <v>641</v>
      </c>
      <c r="B392" s="54" t="s">
        <v>642</v>
      </c>
      <c r="C392" s="31">
        <v>4301030235</v>
      </c>
      <c r="D392" s="640">
        <v>4607091388381</v>
      </c>
      <c r="E392" s="641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38"/>
      <c r="R392" s="638"/>
      <c r="S392" s="638"/>
      <c r="T392" s="639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40">
        <v>4607091388374</v>
      </c>
      <c r="E393" s="641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38"/>
      <c r="R393" s="638"/>
      <c r="S393" s="638"/>
      <c r="T393" s="639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646</v>
      </c>
      <c r="B394" s="54" t="s">
        <v>647</v>
      </c>
      <c r="C394" s="31">
        <v>4301032015</v>
      </c>
      <c r="D394" s="640">
        <v>4607091383102</v>
      </c>
      <c r="E394" s="641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6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38"/>
      <c r="R394" s="638"/>
      <c r="S394" s="638"/>
      <c r="T394" s="639"/>
      <c r="U394" s="34"/>
      <c r="V394" s="34"/>
      <c r="W394" s="35" t="s">
        <v>67</v>
      </c>
      <c r="X394" s="633">
        <v>13</v>
      </c>
      <c r="Y394" s="634">
        <f>IFERROR(IF(X394="",0,CEILING((X394/$H394),1)*$H394),"")</f>
        <v>15.299999999999999</v>
      </c>
      <c r="Z394" s="36">
        <f>IFERROR(IF(Y394=0,"",ROUNDUP(Y394/H394,0)*0.00651),"")</f>
        <v>3.9059999999999997E-2</v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15.064705882352943</v>
      </c>
      <c r="BN394" s="64">
        <f>IFERROR(Y394*I394/H394,"0")</f>
        <v>17.73</v>
      </c>
      <c r="BO394" s="64">
        <f>IFERROR(1/J394*(X394/H394),"0")</f>
        <v>2.8011204481792722E-2</v>
      </c>
      <c r="BP394" s="64">
        <f>IFERROR(1/J394*(Y394/H394),"0")</f>
        <v>3.2967032967032968E-2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40">
        <v>4607091388404</v>
      </c>
      <c r="E395" s="641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38"/>
      <c r="R395" s="638"/>
      <c r="S395" s="638"/>
      <c r="T395" s="639"/>
      <c r="U395" s="34"/>
      <c r="V395" s="34"/>
      <c r="W395" s="35" t="s">
        <v>67</v>
      </c>
      <c r="X395" s="633">
        <v>44</v>
      </c>
      <c r="Y395" s="634">
        <f>IFERROR(IF(X395="",0,CEILING((X395/$H395),1)*$H395),"")</f>
        <v>45.9</v>
      </c>
      <c r="Z395" s="36">
        <f>IFERROR(IF(Y395=0,"",ROUNDUP(Y395/H395,0)*0.00651),"")</f>
        <v>0.11718000000000001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49.694117647058825</v>
      </c>
      <c r="BN395" s="64">
        <f>IFERROR(Y395*I395/H395,"0")</f>
        <v>51.839999999999996</v>
      </c>
      <c r="BO395" s="64">
        <f>IFERROR(1/J395*(X395/H395),"0")</f>
        <v>9.4807153630683066E-2</v>
      </c>
      <c r="BP395" s="64">
        <f>IFERROR(1/J395*(Y395/H395),"0")</f>
        <v>9.8901098901098911E-2</v>
      </c>
    </row>
    <row r="396" spans="1:68" x14ac:dyDescent="0.2">
      <c r="A396" s="661"/>
      <c r="B396" s="646"/>
      <c r="C396" s="646"/>
      <c r="D396" s="646"/>
      <c r="E396" s="646"/>
      <c r="F396" s="646"/>
      <c r="G396" s="646"/>
      <c r="H396" s="646"/>
      <c r="I396" s="646"/>
      <c r="J396" s="646"/>
      <c r="K396" s="646"/>
      <c r="L396" s="646"/>
      <c r="M396" s="646"/>
      <c r="N396" s="646"/>
      <c r="O396" s="662"/>
      <c r="P396" s="642" t="s">
        <v>72</v>
      </c>
      <c r="Q396" s="643"/>
      <c r="R396" s="643"/>
      <c r="S396" s="643"/>
      <c r="T396" s="643"/>
      <c r="U396" s="643"/>
      <c r="V396" s="644"/>
      <c r="W396" s="37" t="s">
        <v>73</v>
      </c>
      <c r="X396" s="635">
        <f>IFERROR(X392/H392,"0")+IFERROR(X393/H393,"0")+IFERROR(X394/H394,"0")+IFERROR(X395/H395,"0")</f>
        <v>22.352941176470591</v>
      </c>
      <c r="Y396" s="635">
        <f>IFERROR(Y392/H392,"0")+IFERROR(Y393/H393,"0")+IFERROR(Y394/H394,"0")+IFERROR(Y395/H395,"0")</f>
        <v>24</v>
      </c>
      <c r="Z396" s="635">
        <f>IFERROR(IF(Z392="",0,Z392),"0")+IFERROR(IF(Z393="",0,Z393),"0")+IFERROR(IF(Z394="",0,Z394),"0")+IFERROR(IF(Z395="",0,Z395),"0")</f>
        <v>0.15623999999999999</v>
      </c>
      <c r="AA396" s="636"/>
      <c r="AB396" s="636"/>
      <c r="AC396" s="636"/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62"/>
      <c r="P397" s="642" t="s">
        <v>72</v>
      </c>
      <c r="Q397" s="643"/>
      <c r="R397" s="643"/>
      <c r="S397" s="643"/>
      <c r="T397" s="643"/>
      <c r="U397" s="643"/>
      <c r="V397" s="644"/>
      <c r="W397" s="37" t="s">
        <v>67</v>
      </c>
      <c r="X397" s="635">
        <f>IFERROR(SUM(X392:X395),"0")</f>
        <v>57</v>
      </c>
      <c r="Y397" s="635">
        <f>IFERROR(SUM(Y392:Y395),"0")</f>
        <v>61.199999999999996</v>
      </c>
      <c r="Z397" s="37"/>
      <c r="AA397" s="636"/>
      <c r="AB397" s="636"/>
      <c r="AC397" s="636"/>
    </row>
    <row r="398" spans="1:68" ht="14.25" customHeight="1" x14ac:dyDescent="0.25">
      <c r="A398" s="645" t="s">
        <v>650</v>
      </c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6"/>
      <c r="P398" s="646"/>
      <c r="Q398" s="646"/>
      <c r="R398" s="646"/>
      <c r="S398" s="646"/>
      <c r="T398" s="646"/>
      <c r="U398" s="646"/>
      <c r="V398" s="646"/>
      <c r="W398" s="646"/>
      <c r="X398" s="646"/>
      <c r="Y398" s="646"/>
      <c r="Z398" s="646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40">
        <v>4680115881808</v>
      </c>
      <c r="E399" s="641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38"/>
      <c r="R399" s="638"/>
      <c r="S399" s="638"/>
      <c r="T399" s="639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40">
        <v>4680115881822</v>
      </c>
      <c r="E400" s="641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38"/>
      <c r="R400" s="638"/>
      <c r="S400" s="638"/>
      <c r="T400" s="639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40">
        <v>4680115880016</v>
      </c>
      <c r="E401" s="641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7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38"/>
      <c r="R401" s="638"/>
      <c r="S401" s="638"/>
      <c r="T401" s="639"/>
      <c r="U401" s="34"/>
      <c r="V401" s="34"/>
      <c r="W401" s="35" t="s">
        <v>67</v>
      </c>
      <c r="X401" s="633">
        <v>8</v>
      </c>
      <c r="Y401" s="634">
        <f>IFERROR(IF(X401="",0,CEILING((X401/$H401),1)*$H401),"")</f>
        <v>8</v>
      </c>
      <c r="Z401" s="36">
        <f>IFERROR(IF(Y401=0,"",ROUNDUP(Y401/H401,0)*0.00474),"")</f>
        <v>1.8960000000000001E-2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8.9600000000000009</v>
      </c>
      <c r="BN401" s="64">
        <f>IFERROR(Y401*I401/H401,"0")</f>
        <v>8.9600000000000009</v>
      </c>
      <c r="BO401" s="64">
        <f>IFERROR(1/J401*(X401/H401),"0")</f>
        <v>1.680672268907563E-2</v>
      </c>
      <c r="BP401" s="64">
        <f>IFERROR(1/J401*(Y401/H401),"0")</f>
        <v>1.680672268907563E-2</v>
      </c>
    </row>
    <row r="402" spans="1:68" x14ac:dyDescent="0.2">
      <c r="A402" s="661"/>
      <c r="B402" s="646"/>
      <c r="C402" s="646"/>
      <c r="D402" s="646"/>
      <c r="E402" s="646"/>
      <c r="F402" s="646"/>
      <c r="G402" s="646"/>
      <c r="H402" s="646"/>
      <c r="I402" s="646"/>
      <c r="J402" s="646"/>
      <c r="K402" s="646"/>
      <c r="L402" s="646"/>
      <c r="M402" s="646"/>
      <c r="N402" s="646"/>
      <c r="O402" s="662"/>
      <c r="P402" s="642" t="s">
        <v>72</v>
      </c>
      <c r="Q402" s="643"/>
      <c r="R402" s="643"/>
      <c r="S402" s="643"/>
      <c r="T402" s="643"/>
      <c r="U402" s="643"/>
      <c r="V402" s="644"/>
      <c r="W402" s="37" t="s">
        <v>73</v>
      </c>
      <c r="X402" s="635">
        <f>IFERROR(X399/H399,"0")+IFERROR(X400/H400,"0")+IFERROR(X401/H401,"0")</f>
        <v>4</v>
      </c>
      <c r="Y402" s="635">
        <f>IFERROR(Y399/H399,"0")+IFERROR(Y400/H400,"0")+IFERROR(Y401/H401,"0")</f>
        <v>4</v>
      </c>
      <c r="Z402" s="635">
        <f>IFERROR(IF(Z399="",0,Z399),"0")+IFERROR(IF(Z400="",0,Z400),"0")+IFERROR(IF(Z401="",0,Z401),"0")</f>
        <v>1.8960000000000001E-2</v>
      </c>
      <c r="AA402" s="636"/>
      <c r="AB402" s="636"/>
      <c r="AC402" s="636"/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62"/>
      <c r="P403" s="642" t="s">
        <v>72</v>
      </c>
      <c r="Q403" s="643"/>
      <c r="R403" s="643"/>
      <c r="S403" s="643"/>
      <c r="T403" s="643"/>
      <c r="U403" s="643"/>
      <c r="V403" s="644"/>
      <c r="W403" s="37" t="s">
        <v>67</v>
      </c>
      <c r="X403" s="635">
        <f>IFERROR(SUM(X399:X401),"0")</f>
        <v>8</v>
      </c>
      <c r="Y403" s="635">
        <f>IFERROR(SUM(Y399:Y401),"0")</f>
        <v>8</v>
      </c>
      <c r="Z403" s="37"/>
      <c r="AA403" s="636"/>
      <c r="AB403" s="636"/>
      <c r="AC403" s="636"/>
    </row>
    <row r="404" spans="1:68" ht="14.25" customHeight="1" x14ac:dyDescent="0.25">
      <c r="A404" s="645" t="s">
        <v>659</v>
      </c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6"/>
      <c r="P404" s="646"/>
      <c r="Q404" s="646"/>
      <c r="R404" s="646"/>
      <c r="S404" s="646"/>
      <c r="T404" s="646"/>
      <c r="U404" s="646"/>
      <c r="V404" s="646"/>
      <c r="W404" s="646"/>
      <c r="X404" s="646"/>
      <c r="Y404" s="646"/>
      <c r="Z404" s="646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40">
        <v>4680115888678</v>
      </c>
      <c r="E405" s="641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71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38"/>
      <c r="R405" s="638"/>
      <c r="S405" s="638"/>
      <c r="T405" s="639"/>
      <c r="U405" s="34"/>
      <c r="V405" s="34"/>
      <c r="W405" s="35" t="s">
        <v>67</v>
      </c>
      <c r="X405" s="633">
        <v>25</v>
      </c>
      <c r="Y405" s="634">
        <f>IFERROR(IF(X405="",0,CEILING((X405/$H405),1)*$H405),"")</f>
        <v>27</v>
      </c>
      <c r="Z405" s="36">
        <f>IFERROR(IF(Y405=0,"",ROUNDUP(Y405/H405,0)*0.0045),"")</f>
        <v>4.0499999999999994E-2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26.833333333333332</v>
      </c>
      <c r="BN405" s="64">
        <f>IFERROR(Y405*I405/H405,"0")</f>
        <v>28.980000000000004</v>
      </c>
      <c r="BO405" s="64">
        <f>IFERROR(1/J405*(X405/H405),"0")</f>
        <v>3.7202380952380952E-2</v>
      </c>
      <c r="BP405" s="64">
        <f>IFERROR(1/J405*(Y405/H405),"0")</f>
        <v>4.0178571428571425E-2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40">
        <v>4680115888654</v>
      </c>
      <c r="E406" s="641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8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38"/>
      <c r="R406" s="638"/>
      <c r="S406" s="638"/>
      <c r="T406" s="639"/>
      <c r="U406" s="34"/>
      <c r="V406" s="34"/>
      <c r="W406" s="35" t="s">
        <v>67</v>
      </c>
      <c r="X406" s="633">
        <v>33</v>
      </c>
      <c r="Y406" s="634">
        <f>IFERROR(IF(X406="",0,CEILING((X406/$H406),1)*$H406),"")</f>
        <v>35.1</v>
      </c>
      <c r="Z406" s="36">
        <f>IFERROR(IF(Y406=0,"",ROUNDUP(Y406/H406,0)*0.006),"")</f>
        <v>5.3999999999999999E-2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35.284615384615378</v>
      </c>
      <c r="BN406" s="64">
        <f>IFERROR(Y406*I406/H406,"0")</f>
        <v>37.53</v>
      </c>
      <c r="BO406" s="64">
        <f>IFERROR(1/J406*(X406/H406),"0")</f>
        <v>5.876068376068376E-2</v>
      </c>
      <c r="BP406" s="64">
        <f>IFERROR(1/J406*(Y406/H406),"0")</f>
        <v>6.25E-2</v>
      </c>
    </row>
    <row r="407" spans="1:68" ht="27" customHeight="1" x14ac:dyDescent="0.25">
      <c r="A407" s="54" t="s">
        <v>666</v>
      </c>
      <c r="B407" s="54" t="s">
        <v>667</v>
      </c>
      <c r="C407" s="31">
        <v>4301220002</v>
      </c>
      <c r="D407" s="640">
        <v>4680115888753</v>
      </c>
      <c r="E407" s="641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38"/>
      <c r="R407" s="638"/>
      <c r="S407" s="638"/>
      <c r="T407" s="639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1"/>
      <c r="B408" s="646"/>
      <c r="C408" s="646"/>
      <c r="D408" s="646"/>
      <c r="E408" s="646"/>
      <c r="F408" s="646"/>
      <c r="G408" s="646"/>
      <c r="H408" s="646"/>
      <c r="I408" s="646"/>
      <c r="J408" s="646"/>
      <c r="K408" s="646"/>
      <c r="L408" s="646"/>
      <c r="M408" s="646"/>
      <c r="N408" s="646"/>
      <c r="O408" s="662"/>
      <c r="P408" s="642" t="s">
        <v>72</v>
      </c>
      <c r="Q408" s="643"/>
      <c r="R408" s="643"/>
      <c r="S408" s="643"/>
      <c r="T408" s="643"/>
      <c r="U408" s="643"/>
      <c r="V408" s="644"/>
      <c r="W408" s="37" t="s">
        <v>73</v>
      </c>
      <c r="X408" s="635">
        <f>IFERROR(X405/H405,"0")+IFERROR(X406/H406,"0")+IFERROR(X407/H407,"0")</f>
        <v>16.794871794871796</v>
      </c>
      <c r="Y408" s="635">
        <f>IFERROR(Y405/H405,"0")+IFERROR(Y406/H406,"0")+IFERROR(Y407/H407,"0")</f>
        <v>18</v>
      </c>
      <c r="Z408" s="635">
        <f>IFERROR(IF(Z405="",0,Z405),"0")+IFERROR(IF(Z406="",0,Z406),"0")+IFERROR(IF(Z407="",0,Z407),"0")</f>
        <v>9.4500000000000001E-2</v>
      </c>
      <c r="AA408" s="636"/>
      <c r="AB408" s="636"/>
      <c r="AC408" s="636"/>
    </row>
    <row r="409" spans="1:68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62"/>
      <c r="P409" s="642" t="s">
        <v>72</v>
      </c>
      <c r="Q409" s="643"/>
      <c r="R409" s="643"/>
      <c r="S409" s="643"/>
      <c r="T409" s="643"/>
      <c r="U409" s="643"/>
      <c r="V409" s="644"/>
      <c r="W409" s="37" t="s">
        <v>67</v>
      </c>
      <c r="X409" s="635">
        <f>IFERROR(SUM(X405:X407),"0")</f>
        <v>58</v>
      </c>
      <c r="Y409" s="635">
        <f>IFERROR(SUM(Y405:Y407),"0")</f>
        <v>62.1</v>
      </c>
      <c r="Z409" s="37"/>
      <c r="AA409" s="636"/>
      <c r="AB409" s="636"/>
      <c r="AC409" s="636"/>
    </row>
    <row r="410" spans="1:68" ht="16.5" customHeight="1" x14ac:dyDescent="0.25">
      <c r="A410" s="652" t="s">
        <v>668</v>
      </c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6"/>
      <c r="P410" s="646"/>
      <c r="Q410" s="646"/>
      <c r="R410" s="646"/>
      <c r="S410" s="646"/>
      <c r="T410" s="646"/>
      <c r="U410" s="646"/>
      <c r="V410" s="646"/>
      <c r="W410" s="646"/>
      <c r="X410" s="646"/>
      <c r="Y410" s="646"/>
      <c r="Z410" s="646"/>
      <c r="AA410" s="628"/>
      <c r="AB410" s="628"/>
      <c r="AC410" s="628"/>
    </row>
    <row r="411" spans="1:68" ht="14.25" customHeight="1" x14ac:dyDescent="0.25">
      <c r="A411" s="645" t="s">
        <v>74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29"/>
      <c r="AB411" s="629"/>
      <c r="AC411" s="629"/>
    </row>
    <row r="412" spans="1:68" ht="16.5" customHeight="1" x14ac:dyDescent="0.25">
      <c r="A412" s="54" t="s">
        <v>669</v>
      </c>
      <c r="B412" s="54" t="s">
        <v>670</v>
      </c>
      <c r="C412" s="31">
        <v>4301052235</v>
      </c>
      <c r="D412" s="640">
        <v>4680115889415</v>
      </c>
      <c r="E412" s="641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3" t="s">
        <v>671</v>
      </c>
      <c r="Q412" s="638"/>
      <c r="R412" s="638"/>
      <c r="S412" s="638"/>
      <c r="T412" s="639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customHeight="1" x14ac:dyDescent="0.25">
      <c r="A413" s="54" t="s">
        <v>674</v>
      </c>
      <c r="B413" s="54" t="s">
        <v>675</v>
      </c>
      <c r="C413" s="31">
        <v>4301052236</v>
      </c>
      <c r="D413" s="640">
        <v>4680115889422</v>
      </c>
      <c r="E413" s="641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38"/>
      <c r="R413" s="638"/>
      <c r="S413" s="638"/>
      <c r="T413" s="639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61"/>
      <c r="B414" s="646"/>
      <c r="C414" s="646"/>
      <c r="D414" s="646"/>
      <c r="E414" s="646"/>
      <c r="F414" s="646"/>
      <c r="G414" s="646"/>
      <c r="H414" s="646"/>
      <c r="I414" s="646"/>
      <c r="J414" s="646"/>
      <c r="K414" s="646"/>
      <c r="L414" s="646"/>
      <c r="M414" s="646"/>
      <c r="N414" s="646"/>
      <c r="O414" s="662"/>
      <c r="P414" s="642" t="s">
        <v>72</v>
      </c>
      <c r="Q414" s="643"/>
      <c r="R414" s="643"/>
      <c r="S414" s="643"/>
      <c r="T414" s="643"/>
      <c r="U414" s="643"/>
      <c r="V414" s="644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62"/>
      <c r="P415" s="642" t="s">
        <v>72</v>
      </c>
      <c r="Q415" s="643"/>
      <c r="R415" s="643"/>
      <c r="S415" s="643"/>
      <c r="T415" s="643"/>
      <c r="U415" s="643"/>
      <c r="V415" s="644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customHeight="1" x14ac:dyDescent="0.25">
      <c r="A416" s="652" t="s">
        <v>678</v>
      </c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6"/>
      <c r="P416" s="646"/>
      <c r="Q416" s="646"/>
      <c r="R416" s="646"/>
      <c r="S416" s="646"/>
      <c r="T416" s="646"/>
      <c r="U416" s="646"/>
      <c r="V416" s="646"/>
      <c r="W416" s="646"/>
      <c r="X416" s="646"/>
      <c r="Y416" s="646"/>
      <c r="Z416" s="646"/>
      <c r="AA416" s="628"/>
      <c r="AB416" s="628"/>
      <c r="AC416" s="628"/>
    </row>
    <row r="417" spans="1:68" ht="14.25" customHeight="1" x14ac:dyDescent="0.25">
      <c r="A417" s="645" t="s">
        <v>74</v>
      </c>
      <c r="B417" s="646"/>
      <c r="C417" s="646"/>
      <c r="D417" s="646"/>
      <c r="E417" s="646"/>
      <c r="F417" s="646"/>
      <c r="G417" s="646"/>
      <c r="H417" s="646"/>
      <c r="I417" s="646"/>
      <c r="J417" s="646"/>
      <c r="K417" s="646"/>
      <c r="L417" s="646"/>
      <c r="M417" s="646"/>
      <c r="N417" s="646"/>
      <c r="O417" s="646"/>
      <c r="P417" s="646"/>
      <c r="Q417" s="646"/>
      <c r="R417" s="646"/>
      <c r="S417" s="646"/>
      <c r="T417" s="646"/>
      <c r="U417" s="646"/>
      <c r="V417" s="646"/>
      <c r="W417" s="646"/>
      <c r="X417" s="646"/>
      <c r="Y417" s="646"/>
      <c r="Z417" s="646"/>
      <c r="AA417" s="629"/>
      <c r="AB417" s="629"/>
      <c r="AC417" s="629"/>
    </row>
    <row r="418" spans="1:68" ht="27" customHeight="1" x14ac:dyDescent="0.25">
      <c r="A418" s="54" t="s">
        <v>679</v>
      </c>
      <c r="B418" s="54" t="s">
        <v>680</v>
      </c>
      <c r="C418" s="31">
        <v>4301051489</v>
      </c>
      <c r="D418" s="640">
        <v>4607091387919</v>
      </c>
      <c r="E418" s="641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38"/>
      <c r="R418" s="638"/>
      <c r="S418" s="638"/>
      <c r="T418" s="639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40">
        <v>4680115883604</v>
      </c>
      <c r="E419" s="641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38"/>
      <c r="R419" s="638"/>
      <c r="S419" s="638"/>
      <c r="T419" s="639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40">
        <v>4680115883567</v>
      </c>
      <c r="E420" s="641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38"/>
      <c r="R420" s="638"/>
      <c r="S420" s="638"/>
      <c r="T420" s="639"/>
      <c r="U420" s="34"/>
      <c r="V420" s="34"/>
      <c r="W420" s="35" t="s">
        <v>67</v>
      </c>
      <c r="X420" s="633">
        <v>18</v>
      </c>
      <c r="Y420" s="634">
        <f>IFERROR(IF(X420="",0,CEILING((X420/$H420),1)*$H420),"")</f>
        <v>18.900000000000002</v>
      </c>
      <c r="Z420" s="36">
        <f>IFERROR(IF(Y420=0,"",ROUNDUP(Y420/H420,0)*0.00651),"")</f>
        <v>5.8590000000000003E-2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20.057142857142853</v>
      </c>
      <c r="BN420" s="64">
        <f>IFERROR(Y420*I420/H420,"0")</f>
        <v>21.06</v>
      </c>
      <c r="BO420" s="64">
        <f>IFERROR(1/J420*(X420/H420),"0")</f>
        <v>4.709576138147567E-2</v>
      </c>
      <c r="BP420" s="64">
        <f>IFERROR(1/J420*(Y420/H420),"0")</f>
        <v>4.9450549450549455E-2</v>
      </c>
    </row>
    <row r="421" spans="1:68" x14ac:dyDescent="0.2">
      <c r="A421" s="661"/>
      <c r="B421" s="646"/>
      <c r="C421" s="646"/>
      <c r="D421" s="646"/>
      <c r="E421" s="646"/>
      <c r="F421" s="646"/>
      <c r="G421" s="646"/>
      <c r="H421" s="646"/>
      <c r="I421" s="646"/>
      <c r="J421" s="646"/>
      <c r="K421" s="646"/>
      <c r="L421" s="646"/>
      <c r="M421" s="646"/>
      <c r="N421" s="646"/>
      <c r="O421" s="662"/>
      <c r="P421" s="642" t="s">
        <v>72</v>
      </c>
      <c r="Q421" s="643"/>
      <c r="R421" s="643"/>
      <c r="S421" s="643"/>
      <c r="T421" s="643"/>
      <c r="U421" s="643"/>
      <c r="V421" s="644"/>
      <c r="W421" s="37" t="s">
        <v>73</v>
      </c>
      <c r="X421" s="635">
        <f>IFERROR(X418/H418,"0")+IFERROR(X419/H419,"0")+IFERROR(X420/H420,"0")</f>
        <v>8.5714285714285712</v>
      </c>
      <c r="Y421" s="635">
        <f>IFERROR(Y418/H418,"0")+IFERROR(Y419/H419,"0")+IFERROR(Y420/H420,"0")</f>
        <v>9</v>
      </c>
      <c r="Z421" s="635">
        <f>IFERROR(IF(Z418="",0,Z418),"0")+IFERROR(IF(Z419="",0,Z419),"0")+IFERROR(IF(Z420="",0,Z420),"0")</f>
        <v>5.8590000000000003E-2</v>
      </c>
      <c r="AA421" s="636"/>
      <c r="AB421" s="636"/>
      <c r="AC421" s="636"/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62"/>
      <c r="P422" s="642" t="s">
        <v>72</v>
      </c>
      <c r="Q422" s="643"/>
      <c r="R422" s="643"/>
      <c r="S422" s="643"/>
      <c r="T422" s="643"/>
      <c r="U422" s="643"/>
      <c r="V422" s="644"/>
      <c r="W422" s="37" t="s">
        <v>67</v>
      </c>
      <c r="X422" s="635">
        <f>IFERROR(SUM(X418:X420),"0")</f>
        <v>18</v>
      </c>
      <c r="Y422" s="635">
        <f>IFERROR(SUM(Y418:Y420),"0")</f>
        <v>18.900000000000002</v>
      </c>
      <c r="Z422" s="37"/>
      <c r="AA422" s="636"/>
      <c r="AB422" s="636"/>
      <c r="AC422" s="636"/>
    </row>
    <row r="423" spans="1:68" ht="27.75" customHeight="1" x14ac:dyDescent="0.2">
      <c r="A423" s="653" t="s">
        <v>688</v>
      </c>
      <c r="B423" s="654"/>
      <c r="C423" s="654"/>
      <c r="D423" s="654"/>
      <c r="E423" s="654"/>
      <c r="F423" s="654"/>
      <c r="G423" s="654"/>
      <c r="H423" s="654"/>
      <c r="I423" s="654"/>
      <c r="J423" s="654"/>
      <c r="K423" s="654"/>
      <c r="L423" s="654"/>
      <c r="M423" s="654"/>
      <c r="N423" s="654"/>
      <c r="O423" s="654"/>
      <c r="P423" s="654"/>
      <c r="Q423" s="654"/>
      <c r="R423" s="654"/>
      <c r="S423" s="654"/>
      <c r="T423" s="654"/>
      <c r="U423" s="654"/>
      <c r="V423" s="654"/>
      <c r="W423" s="654"/>
      <c r="X423" s="654"/>
      <c r="Y423" s="654"/>
      <c r="Z423" s="654"/>
      <c r="AA423" s="48"/>
      <c r="AB423" s="48"/>
      <c r="AC423" s="48"/>
    </row>
    <row r="424" spans="1:68" ht="16.5" customHeight="1" x14ac:dyDescent="0.25">
      <c r="A424" s="652" t="s">
        <v>689</v>
      </c>
      <c r="B424" s="646"/>
      <c r="C424" s="646"/>
      <c r="D424" s="646"/>
      <c r="E424" s="646"/>
      <c r="F424" s="646"/>
      <c r="G424" s="646"/>
      <c r="H424" s="646"/>
      <c r="I424" s="646"/>
      <c r="J424" s="646"/>
      <c r="K424" s="646"/>
      <c r="L424" s="646"/>
      <c r="M424" s="646"/>
      <c r="N424" s="646"/>
      <c r="O424" s="646"/>
      <c r="P424" s="646"/>
      <c r="Q424" s="646"/>
      <c r="R424" s="646"/>
      <c r="S424" s="646"/>
      <c r="T424" s="646"/>
      <c r="U424" s="646"/>
      <c r="V424" s="646"/>
      <c r="W424" s="646"/>
      <c r="X424" s="646"/>
      <c r="Y424" s="646"/>
      <c r="Z424" s="646"/>
      <c r="AA424" s="628"/>
      <c r="AB424" s="628"/>
      <c r="AC424" s="628"/>
    </row>
    <row r="425" spans="1:68" ht="14.25" customHeight="1" x14ac:dyDescent="0.25">
      <c r="A425" s="645" t="s">
        <v>111</v>
      </c>
      <c r="B425" s="646"/>
      <c r="C425" s="646"/>
      <c r="D425" s="646"/>
      <c r="E425" s="646"/>
      <c r="F425" s="646"/>
      <c r="G425" s="646"/>
      <c r="H425" s="646"/>
      <c r="I425" s="646"/>
      <c r="J425" s="646"/>
      <c r="K425" s="646"/>
      <c r="L425" s="646"/>
      <c r="M425" s="646"/>
      <c r="N425" s="646"/>
      <c r="O425" s="646"/>
      <c r="P425" s="646"/>
      <c r="Q425" s="646"/>
      <c r="R425" s="646"/>
      <c r="S425" s="646"/>
      <c r="T425" s="646"/>
      <c r="U425" s="646"/>
      <c r="V425" s="646"/>
      <c r="W425" s="646"/>
      <c r="X425" s="646"/>
      <c r="Y425" s="646"/>
      <c r="Z425" s="646"/>
      <c r="AA425" s="629"/>
      <c r="AB425" s="629"/>
      <c r="AC425" s="629"/>
    </row>
    <row r="426" spans="1:68" ht="27" customHeight="1" x14ac:dyDescent="0.25">
      <c r="A426" s="54" t="s">
        <v>690</v>
      </c>
      <c r="B426" s="54" t="s">
        <v>691</v>
      </c>
      <c r="C426" s="31">
        <v>4301012332</v>
      </c>
      <c r="D426" s="640">
        <v>4680115888401</v>
      </c>
      <c r="E426" s="641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4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38"/>
      <c r="R426" s="638"/>
      <c r="S426" s="638"/>
      <c r="T426" s="639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40">
        <v>4680115884847</v>
      </c>
      <c r="E427" s="641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38"/>
      <c r="R427" s="638"/>
      <c r="S427" s="638"/>
      <c r="T427" s="639"/>
      <c r="U427" s="34"/>
      <c r="V427" s="34"/>
      <c r="W427" s="35" t="s">
        <v>67</v>
      </c>
      <c r="X427" s="633">
        <v>413</v>
      </c>
      <c r="Y427" s="634">
        <f t="shared" si="53"/>
        <v>420</v>
      </c>
      <c r="Z427" s="36">
        <f>IFERROR(IF(Y427=0,"",ROUNDUP(Y427/H427,0)*0.02175),"")</f>
        <v>0.60899999999999999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425.94066666666669</v>
      </c>
      <c r="BN427" s="64">
        <f t="shared" si="55"/>
        <v>433.16</v>
      </c>
      <c r="BO427" s="64">
        <f t="shared" si="56"/>
        <v>0.57361111111111107</v>
      </c>
      <c r="BP427" s="64">
        <f t="shared" si="57"/>
        <v>0.58333333333333326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40">
        <v>4680115884854</v>
      </c>
      <c r="E428" s="641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38"/>
      <c r="R428" s="638"/>
      <c r="S428" s="638"/>
      <c r="T428" s="639"/>
      <c r="U428" s="34"/>
      <c r="V428" s="34"/>
      <c r="W428" s="35" t="s">
        <v>67</v>
      </c>
      <c r="X428" s="633">
        <v>304</v>
      </c>
      <c r="Y428" s="634">
        <f t="shared" si="53"/>
        <v>315</v>
      </c>
      <c r="Z428" s="36">
        <f>IFERROR(IF(Y428=0,"",ROUNDUP(Y428/H428,0)*0.02175),"")</f>
        <v>0.45674999999999999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313.52533333333332</v>
      </c>
      <c r="BN428" s="64">
        <f t="shared" si="55"/>
        <v>324.87</v>
      </c>
      <c r="BO428" s="64">
        <f t="shared" si="56"/>
        <v>0.42222222222222217</v>
      </c>
      <c r="BP428" s="64">
        <f t="shared" si="57"/>
        <v>0.4375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40">
        <v>4680115884830</v>
      </c>
      <c r="E429" s="641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38"/>
      <c r="R429" s="638"/>
      <c r="S429" s="638"/>
      <c r="T429" s="639"/>
      <c r="U429" s="34"/>
      <c r="V429" s="34"/>
      <c r="W429" s="35" t="s">
        <v>67</v>
      </c>
      <c r="X429" s="633">
        <v>836</v>
      </c>
      <c r="Y429" s="634">
        <f t="shared" si="53"/>
        <v>840</v>
      </c>
      <c r="Z429" s="36">
        <f>IFERROR(IF(Y429=0,"",ROUNDUP(Y429/H429,0)*0.02175),"")</f>
        <v>1.218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862.19466666666665</v>
      </c>
      <c r="BN429" s="64">
        <f t="shared" si="55"/>
        <v>866.32</v>
      </c>
      <c r="BO429" s="64">
        <f t="shared" si="56"/>
        <v>1.161111111111111</v>
      </c>
      <c r="BP429" s="64">
        <f t="shared" si="57"/>
        <v>1.1666666666666665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40">
        <v>4680115889231</v>
      </c>
      <c r="E430" s="641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4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38"/>
      <c r="R430" s="638"/>
      <c r="S430" s="638"/>
      <c r="T430" s="639"/>
      <c r="U430" s="34"/>
      <c r="V430" s="34"/>
      <c r="W430" s="35" t="s">
        <v>67</v>
      </c>
      <c r="X430" s="633">
        <v>373</v>
      </c>
      <c r="Y430" s="634">
        <f t="shared" si="53"/>
        <v>375</v>
      </c>
      <c r="Z430" s="36">
        <f>IFERROR(IF(Y430=0,"",ROUNDUP(Y430/H430,0)*0.02175),"")</f>
        <v>0.54374999999999996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384.68733333333336</v>
      </c>
      <c r="BN430" s="64">
        <f t="shared" si="55"/>
        <v>386.75</v>
      </c>
      <c r="BO430" s="64">
        <f t="shared" si="56"/>
        <v>0.51805555555555549</v>
      </c>
      <c r="BP430" s="64">
        <f t="shared" si="57"/>
        <v>0.52083333333333326</v>
      </c>
    </row>
    <row r="431" spans="1:68" ht="27" customHeight="1" x14ac:dyDescent="0.25">
      <c r="A431" s="54" t="s">
        <v>705</v>
      </c>
      <c r="B431" s="54" t="s">
        <v>706</v>
      </c>
      <c r="C431" s="31">
        <v>4301011433</v>
      </c>
      <c r="D431" s="640">
        <v>4680115882638</v>
      </c>
      <c r="E431" s="641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38"/>
      <c r="R431" s="638"/>
      <c r="S431" s="638"/>
      <c r="T431" s="639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708</v>
      </c>
      <c r="B432" s="54" t="s">
        <v>709</v>
      </c>
      <c r="C432" s="31">
        <v>4301011952</v>
      </c>
      <c r="D432" s="640">
        <v>4680115884922</v>
      </c>
      <c r="E432" s="641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38"/>
      <c r="R432" s="638"/>
      <c r="S432" s="638"/>
      <c r="T432" s="639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customHeight="1" x14ac:dyDescent="0.25">
      <c r="A433" s="54" t="s">
        <v>711</v>
      </c>
      <c r="B433" s="54" t="s">
        <v>712</v>
      </c>
      <c r="C433" s="31">
        <v>4301011868</v>
      </c>
      <c r="D433" s="640">
        <v>4680115884861</v>
      </c>
      <c r="E433" s="641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38"/>
      <c r="R433" s="638"/>
      <c r="S433" s="638"/>
      <c r="T433" s="639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1"/>
      <c r="B434" s="646"/>
      <c r="C434" s="646"/>
      <c r="D434" s="646"/>
      <c r="E434" s="646"/>
      <c r="F434" s="646"/>
      <c r="G434" s="646"/>
      <c r="H434" s="646"/>
      <c r="I434" s="646"/>
      <c r="J434" s="646"/>
      <c r="K434" s="646"/>
      <c r="L434" s="646"/>
      <c r="M434" s="646"/>
      <c r="N434" s="646"/>
      <c r="O434" s="662"/>
      <c r="P434" s="642" t="s">
        <v>72</v>
      </c>
      <c r="Q434" s="643"/>
      <c r="R434" s="643"/>
      <c r="S434" s="643"/>
      <c r="T434" s="643"/>
      <c r="U434" s="643"/>
      <c r="V434" s="644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128.4</v>
      </c>
      <c r="Y434" s="635">
        <f>IFERROR(Y426/H426,"0")+IFERROR(Y427/H427,"0")+IFERROR(Y428/H428,"0")+IFERROR(Y429/H429,"0")+IFERROR(Y430/H430,"0")+IFERROR(Y431/H431,"0")+IFERROR(Y432/H432,"0")+IFERROR(Y433/H433,"0")</f>
        <v>130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2.8274999999999997</v>
      </c>
      <c r="AA434" s="636"/>
      <c r="AB434" s="636"/>
      <c r="AC434" s="636"/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62"/>
      <c r="P435" s="642" t="s">
        <v>72</v>
      </c>
      <c r="Q435" s="643"/>
      <c r="R435" s="643"/>
      <c r="S435" s="643"/>
      <c r="T435" s="643"/>
      <c r="U435" s="643"/>
      <c r="V435" s="644"/>
      <c r="W435" s="37" t="s">
        <v>67</v>
      </c>
      <c r="X435" s="635">
        <f>IFERROR(SUM(X426:X433),"0")</f>
        <v>1926</v>
      </c>
      <c r="Y435" s="635">
        <f>IFERROR(SUM(Y426:Y433),"0")</f>
        <v>1950</v>
      </c>
      <c r="Z435" s="37"/>
      <c r="AA435" s="636"/>
      <c r="AB435" s="636"/>
      <c r="AC435" s="636"/>
    </row>
    <row r="436" spans="1:68" ht="14.25" customHeight="1" x14ac:dyDescent="0.25">
      <c r="A436" s="645" t="s">
        <v>147</v>
      </c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6"/>
      <c r="P436" s="646"/>
      <c r="Q436" s="646"/>
      <c r="R436" s="646"/>
      <c r="S436" s="646"/>
      <c r="T436" s="646"/>
      <c r="U436" s="646"/>
      <c r="V436" s="646"/>
      <c r="W436" s="646"/>
      <c r="X436" s="646"/>
      <c r="Y436" s="646"/>
      <c r="Z436" s="646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40">
        <v>4607091383980</v>
      </c>
      <c r="E437" s="641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38"/>
      <c r="R437" s="638"/>
      <c r="S437" s="638"/>
      <c r="T437" s="639"/>
      <c r="U437" s="34"/>
      <c r="V437" s="34"/>
      <c r="W437" s="35" t="s">
        <v>67</v>
      </c>
      <c r="X437" s="633">
        <v>1090</v>
      </c>
      <c r="Y437" s="634">
        <f>IFERROR(IF(X437="",0,CEILING((X437/$H437),1)*$H437),"")</f>
        <v>1095</v>
      </c>
      <c r="Z437" s="36">
        <f>IFERROR(IF(Y437=0,"",ROUNDUP(Y437/H437,0)*0.02175),"")</f>
        <v>1.58775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1124.1533333333332</v>
      </c>
      <c r="BN437" s="64">
        <f>IFERROR(Y437*I437/H437,"0")</f>
        <v>1129.3100000000002</v>
      </c>
      <c r="BO437" s="64">
        <f>IFERROR(1/J437*(X437/H437),"0")</f>
        <v>1.5138888888888888</v>
      </c>
      <c r="BP437" s="64">
        <f>IFERROR(1/J437*(Y437/H437),"0")</f>
        <v>1.5208333333333333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40">
        <v>4680115888425</v>
      </c>
      <c r="E438" s="641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38"/>
      <c r="R438" s="638"/>
      <c r="S438" s="638"/>
      <c r="T438" s="639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customHeight="1" x14ac:dyDescent="0.25">
      <c r="A439" s="54" t="s">
        <v>720</v>
      </c>
      <c r="B439" s="54" t="s">
        <v>721</v>
      </c>
      <c r="C439" s="31">
        <v>4301020179</v>
      </c>
      <c r="D439" s="640">
        <v>4607091384178</v>
      </c>
      <c r="E439" s="641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38"/>
      <c r="R439" s="638"/>
      <c r="S439" s="638"/>
      <c r="T439" s="639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1"/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62"/>
      <c r="P440" s="642" t="s">
        <v>72</v>
      </c>
      <c r="Q440" s="643"/>
      <c r="R440" s="643"/>
      <c r="S440" s="643"/>
      <c r="T440" s="643"/>
      <c r="U440" s="643"/>
      <c r="V440" s="644"/>
      <c r="W440" s="37" t="s">
        <v>73</v>
      </c>
      <c r="X440" s="635">
        <f>IFERROR(X437/H437,"0")+IFERROR(X438/H438,"0")+IFERROR(X439/H439,"0")</f>
        <v>72.666666666666671</v>
      </c>
      <c r="Y440" s="635">
        <f>IFERROR(Y437/H437,"0")+IFERROR(Y438/H438,"0")+IFERROR(Y439/H439,"0")</f>
        <v>73</v>
      </c>
      <c r="Z440" s="635">
        <f>IFERROR(IF(Z437="",0,Z437),"0")+IFERROR(IF(Z438="",0,Z438),"0")+IFERROR(IF(Z439="",0,Z439),"0")</f>
        <v>1.58775</v>
      </c>
      <c r="AA440" s="636"/>
      <c r="AB440" s="636"/>
      <c r="AC440" s="636"/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62"/>
      <c r="P441" s="642" t="s">
        <v>72</v>
      </c>
      <c r="Q441" s="643"/>
      <c r="R441" s="643"/>
      <c r="S441" s="643"/>
      <c r="T441" s="643"/>
      <c r="U441" s="643"/>
      <c r="V441" s="644"/>
      <c r="W441" s="37" t="s">
        <v>67</v>
      </c>
      <c r="X441" s="635">
        <f>IFERROR(SUM(X437:X439),"0")</f>
        <v>1090</v>
      </c>
      <c r="Y441" s="635">
        <f>IFERROR(SUM(Y437:Y439),"0")</f>
        <v>1095</v>
      </c>
      <c r="Z441" s="37"/>
      <c r="AA441" s="636"/>
      <c r="AB441" s="636"/>
      <c r="AC441" s="636"/>
    </row>
    <row r="442" spans="1:68" ht="14.25" customHeight="1" x14ac:dyDescent="0.25">
      <c r="A442" s="645" t="s">
        <v>74</v>
      </c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6"/>
      <c r="P442" s="646"/>
      <c r="Q442" s="646"/>
      <c r="R442" s="646"/>
      <c r="S442" s="646"/>
      <c r="T442" s="646"/>
      <c r="U442" s="646"/>
      <c r="V442" s="646"/>
      <c r="W442" s="646"/>
      <c r="X442" s="646"/>
      <c r="Y442" s="646"/>
      <c r="Z442" s="646"/>
      <c r="AA442" s="629"/>
      <c r="AB442" s="629"/>
      <c r="AC442" s="629"/>
    </row>
    <row r="443" spans="1:68" ht="27" customHeight="1" x14ac:dyDescent="0.25">
      <c r="A443" s="54" t="s">
        <v>723</v>
      </c>
      <c r="B443" s="54" t="s">
        <v>724</v>
      </c>
      <c r="C443" s="31">
        <v>4301051903</v>
      </c>
      <c r="D443" s="640">
        <v>4607091383928</v>
      </c>
      <c r="E443" s="641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38"/>
      <c r="R443" s="638"/>
      <c r="S443" s="638"/>
      <c r="T443" s="639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726</v>
      </c>
      <c r="B444" s="54" t="s">
        <v>727</v>
      </c>
      <c r="C444" s="31">
        <v>4301051897</v>
      </c>
      <c r="D444" s="640">
        <v>4607091384260</v>
      </c>
      <c r="E444" s="641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38"/>
      <c r="R444" s="638"/>
      <c r="S444" s="638"/>
      <c r="T444" s="639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729</v>
      </c>
      <c r="B445" s="54" t="s">
        <v>730</v>
      </c>
      <c r="C445" s="31">
        <v>4301052220</v>
      </c>
      <c r="D445" s="640">
        <v>4680115889538</v>
      </c>
      <c r="E445" s="641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38"/>
      <c r="R445" s="638"/>
      <c r="S445" s="638"/>
      <c r="T445" s="639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61"/>
      <c r="B446" s="646"/>
      <c r="C446" s="646"/>
      <c r="D446" s="646"/>
      <c r="E446" s="646"/>
      <c r="F446" s="646"/>
      <c r="G446" s="646"/>
      <c r="H446" s="646"/>
      <c r="I446" s="646"/>
      <c r="J446" s="646"/>
      <c r="K446" s="646"/>
      <c r="L446" s="646"/>
      <c r="M446" s="646"/>
      <c r="N446" s="646"/>
      <c r="O446" s="662"/>
      <c r="P446" s="642" t="s">
        <v>72</v>
      </c>
      <c r="Q446" s="643"/>
      <c r="R446" s="643"/>
      <c r="S446" s="643"/>
      <c r="T446" s="643"/>
      <c r="U446" s="643"/>
      <c r="V446" s="644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62"/>
      <c r="P447" s="642" t="s">
        <v>72</v>
      </c>
      <c r="Q447" s="643"/>
      <c r="R447" s="643"/>
      <c r="S447" s="643"/>
      <c r="T447" s="643"/>
      <c r="U447" s="643"/>
      <c r="V447" s="644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customHeight="1" x14ac:dyDescent="0.25">
      <c r="A448" s="645" t="s">
        <v>164</v>
      </c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6"/>
      <c r="P448" s="646"/>
      <c r="Q448" s="646"/>
      <c r="R448" s="646"/>
      <c r="S448" s="646"/>
      <c r="T448" s="646"/>
      <c r="U448" s="646"/>
      <c r="V448" s="646"/>
      <c r="W448" s="646"/>
      <c r="X448" s="646"/>
      <c r="Y448" s="646"/>
      <c r="Z448" s="646"/>
      <c r="AA448" s="629"/>
      <c r="AB448" s="629"/>
      <c r="AC448" s="629"/>
    </row>
    <row r="449" spans="1:68" ht="27" customHeight="1" x14ac:dyDescent="0.25">
      <c r="A449" s="54" t="s">
        <v>732</v>
      </c>
      <c r="B449" s="54" t="s">
        <v>733</v>
      </c>
      <c r="C449" s="31">
        <v>4301060537</v>
      </c>
      <c r="D449" s="640">
        <v>4680115889545</v>
      </c>
      <c r="E449" s="641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38"/>
      <c r="R449" s="638"/>
      <c r="S449" s="638"/>
      <c r="T449" s="639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735</v>
      </c>
      <c r="B450" s="54" t="s">
        <v>736</v>
      </c>
      <c r="C450" s="31">
        <v>4301060524</v>
      </c>
      <c r="D450" s="640">
        <v>4607091384673</v>
      </c>
      <c r="E450" s="641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38"/>
      <c r="R450" s="638"/>
      <c r="S450" s="638"/>
      <c r="T450" s="639"/>
      <c r="U450" s="34"/>
      <c r="V450" s="34"/>
      <c r="W450" s="35" t="s">
        <v>67</v>
      </c>
      <c r="X450" s="633">
        <v>100</v>
      </c>
      <c r="Y450" s="634">
        <f>IFERROR(IF(X450="",0,CEILING((X450/$H450),1)*$H450),"")</f>
        <v>108</v>
      </c>
      <c r="Z450" s="36">
        <f>IFERROR(IF(Y450=0,"",ROUNDUP(Y450/H450,0)*0.01898),"")</f>
        <v>0.22776000000000002</v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105.48888888888888</v>
      </c>
      <c r="BN450" s="64">
        <f>IFERROR(Y450*I450/H450,"0")</f>
        <v>113.92799999999998</v>
      </c>
      <c r="BO450" s="64">
        <f>IFERROR(1/J450*(X450/H450),"0")</f>
        <v>0.1736111111111111</v>
      </c>
      <c r="BP450" s="64">
        <f>IFERROR(1/J450*(Y450/H450),"0")</f>
        <v>0.1875</v>
      </c>
    </row>
    <row r="451" spans="1:68" x14ac:dyDescent="0.2">
      <c r="A451" s="661"/>
      <c r="B451" s="646"/>
      <c r="C451" s="646"/>
      <c r="D451" s="646"/>
      <c r="E451" s="646"/>
      <c r="F451" s="646"/>
      <c r="G451" s="646"/>
      <c r="H451" s="646"/>
      <c r="I451" s="646"/>
      <c r="J451" s="646"/>
      <c r="K451" s="646"/>
      <c r="L451" s="646"/>
      <c r="M451" s="646"/>
      <c r="N451" s="646"/>
      <c r="O451" s="662"/>
      <c r="P451" s="642" t="s">
        <v>72</v>
      </c>
      <c r="Q451" s="643"/>
      <c r="R451" s="643"/>
      <c r="S451" s="643"/>
      <c r="T451" s="643"/>
      <c r="U451" s="643"/>
      <c r="V451" s="644"/>
      <c r="W451" s="37" t="s">
        <v>73</v>
      </c>
      <c r="X451" s="635">
        <f>IFERROR(X449/H449,"0")+IFERROR(X450/H450,"0")</f>
        <v>11.111111111111111</v>
      </c>
      <c r="Y451" s="635">
        <f>IFERROR(Y449/H449,"0")+IFERROR(Y450/H450,"0")</f>
        <v>12</v>
      </c>
      <c r="Z451" s="635">
        <f>IFERROR(IF(Z449="",0,Z449),"0")+IFERROR(IF(Z450="",0,Z450),"0")</f>
        <v>0.22776000000000002</v>
      </c>
      <c r="AA451" s="636"/>
      <c r="AB451" s="636"/>
      <c r="AC451" s="636"/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62"/>
      <c r="P452" s="642" t="s">
        <v>72</v>
      </c>
      <c r="Q452" s="643"/>
      <c r="R452" s="643"/>
      <c r="S452" s="643"/>
      <c r="T452" s="643"/>
      <c r="U452" s="643"/>
      <c r="V452" s="644"/>
      <c r="W452" s="37" t="s">
        <v>67</v>
      </c>
      <c r="X452" s="635">
        <f>IFERROR(SUM(X449:X450),"0")</f>
        <v>100</v>
      </c>
      <c r="Y452" s="635">
        <f>IFERROR(SUM(Y449:Y450),"0")</f>
        <v>108</v>
      </c>
      <c r="Z452" s="37"/>
      <c r="AA452" s="636"/>
      <c r="AB452" s="636"/>
      <c r="AC452" s="636"/>
    </row>
    <row r="453" spans="1:68" ht="16.5" customHeight="1" x14ac:dyDescent="0.25">
      <c r="A453" s="652" t="s">
        <v>738</v>
      </c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6"/>
      <c r="P453" s="646"/>
      <c r="Q453" s="646"/>
      <c r="R453" s="646"/>
      <c r="S453" s="646"/>
      <c r="T453" s="646"/>
      <c r="U453" s="646"/>
      <c r="V453" s="646"/>
      <c r="W453" s="646"/>
      <c r="X453" s="646"/>
      <c r="Y453" s="646"/>
      <c r="Z453" s="646"/>
      <c r="AA453" s="628"/>
      <c r="AB453" s="628"/>
      <c r="AC453" s="628"/>
    </row>
    <row r="454" spans="1:68" ht="14.25" customHeight="1" x14ac:dyDescent="0.25">
      <c r="A454" s="645" t="s">
        <v>111</v>
      </c>
      <c r="B454" s="646"/>
      <c r="C454" s="646"/>
      <c r="D454" s="646"/>
      <c r="E454" s="646"/>
      <c r="F454" s="646"/>
      <c r="G454" s="646"/>
      <c r="H454" s="646"/>
      <c r="I454" s="646"/>
      <c r="J454" s="646"/>
      <c r="K454" s="646"/>
      <c r="L454" s="646"/>
      <c r="M454" s="646"/>
      <c r="N454" s="646"/>
      <c r="O454" s="646"/>
      <c r="P454" s="646"/>
      <c r="Q454" s="646"/>
      <c r="R454" s="646"/>
      <c r="S454" s="646"/>
      <c r="T454" s="646"/>
      <c r="U454" s="646"/>
      <c r="V454" s="646"/>
      <c r="W454" s="646"/>
      <c r="X454" s="646"/>
      <c r="Y454" s="646"/>
      <c r="Z454" s="646"/>
      <c r="AA454" s="629"/>
      <c r="AB454" s="629"/>
      <c r="AC454" s="629"/>
    </row>
    <row r="455" spans="1:68" ht="27" customHeight="1" x14ac:dyDescent="0.25">
      <c r="A455" s="54" t="s">
        <v>739</v>
      </c>
      <c r="B455" s="54" t="s">
        <v>740</v>
      </c>
      <c r="C455" s="31">
        <v>4301011875</v>
      </c>
      <c r="D455" s="640">
        <v>4680115884885</v>
      </c>
      <c r="E455" s="641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38"/>
      <c r="R455" s="638"/>
      <c r="S455" s="638"/>
      <c r="T455" s="639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customHeight="1" x14ac:dyDescent="0.25">
      <c r="A456" s="54" t="s">
        <v>742</v>
      </c>
      <c r="B456" s="54" t="s">
        <v>743</v>
      </c>
      <c r="C456" s="31">
        <v>4301011871</v>
      </c>
      <c r="D456" s="640">
        <v>4680115884908</v>
      </c>
      <c r="E456" s="641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38"/>
      <c r="R456" s="638"/>
      <c r="S456" s="638"/>
      <c r="T456" s="639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61"/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62"/>
      <c r="P457" s="642" t="s">
        <v>72</v>
      </c>
      <c r="Q457" s="643"/>
      <c r="R457" s="643"/>
      <c r="S457" s="643"/>
      <c r="T457" s="643"/>
      <c r="U457" s="643"/>
      <c r="V457" s="644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62"/>
      <c r="P458" s="642" t="s">
        <v>72</v>
      </c>
      <c r="Q458" s="643"/>
      <c r="R458" s="643"/>
      <c r="S458" s="643"/>
      <c r="T458" s="643"/>
      <c r="U458" s="643"/>
      <c r="V458" s="644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customHeight="1" x14ac:dyDescent="0.25">
      <c r="A459" s="645" t="s">
        <v>62</v>
      </c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6"/>
      <c r="P459" s="646"/>
      <c r="Q459" s="646"/>
      <c r="R459" s="646"/>
      <c r="S459" s="646"/>
      <c r="T459" s="646"/>
      <c r="U459" s="646"/>
      <c r="V459" s="646"/>
      <c r="W459" s="646"/>
      <c r="X459" s="646"/>
      <c r="Y459" s="646"/>
      <c r="Z459" s="646"/>
      <c r="AA459" s="629"/>
      <c r="AB459" s="629"/>
      <c r="AC459" s="629"/>
    </row>
    <row r="460" spans="1:68" ht="27" customHeight="1" x14ac:dyDescent="0.25">
      <c r="A460" s="54" t="s">
        <v>744</v>
      </c>
      <c r="B460" s="54" t="s">
        <v>745</v>
      </c>
      <c r="C460" s="31">
        <v>4301031457</v>
      </c>
      <c r="D460" s="640">
        <v>4607091384802</v>
      </c>
      <c r="E460" s="641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38"/>
      <c r="R460" s="638"/>
      <c r="S460" s="638"/>
      <c r="T460" s="639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61"/>
      <c r="B461" s="646"/>
      <c r="C461" s="646"/>
      <c r="D461" s="646"/>
      <c r="E461" s="646"/>
      <c r="F461" s="646"/>
      <c r="G461" s="646"/>
      <c r="H461" s="646"/>
      <c r="I461" s="646"/>
      <c r="J461" s="646"/>
      <c r="K461" s="646"/>
      <c r="L461" s="646"/>
      <c r="M461" s="646"/>
      <c r="N461" s="646"/>
      <c r="O461" s="662"/>
      <c r="P461" s="642" t="s">
        <v>72</v>
      </c>
      <c r="Q461" s="643"/>
      <c r="R461" s="643"/>
      <c r="S461" s="643"/>
      <c r="T461" s="643"/>
      <c r="U461" s="643"/>
      <c r="V461" s="644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62"/>
      <c r="P462" s="642" t="s">
        <v>72</v>
      </c>
      <c r="Q462" s="643"/>
      <c r="R462" s="643"/>
      <c r="S462" s="643"/>
      <c r="T462" s="643"/>
      <c r="U462" s="643"/>
      <c r="V462" s="644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customHeight="1" x14ac:dyDescent="0.25">
      <c r="A463" s="645" t="s">
        <v>74</v>
      </c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6"/>
      <c r="P463" s="646"/>
      <c r="Q463" s="646"/>
      <c r="R463" s="646"/>
      <c r="S463" s="646"/>
      <c r="T463" s="646"/>
      <c r="U463" s="646"/>
      <c r="V463" s="646"/>
      <c r="W463" s="646"/>
      <c r="X463" s="646"/>
      <c r="Y463" s="646"/>
      <c r="Z463" s="646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40">
        <v>4607091384246</v>
      </c>
      <c r="E464" s="641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38"/>
      <c r="R464" s="638"/>
      <c r="S464" s="638"/>
      <c r="T464" s="639"/>
      <c r="U464" s="34"/>
      <c r="V464" s="34"/>
      <c r="W464" s="35" t="s">
        <v>67</v>
      </c>
      <c r="X464" s="633">
        <v>574</v>
      </c>
      <c r="Y464" s="634">
        <f>IFERROR(IF(X464="",0,CEILING((X464/$H464),1)*$H464),"")</f>
        <v>576</v>
      </c>
      <c r="Z464" s="36">
        <f>IFERROR(IF(Y464=0,"",ROUNDUP(Y464/H464,0)*0.01898),"")</f>
        <v>1.21472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605.50622222222216</v>
      </c>
      <c r="BN464" s="64">
        <f>IFERROR(Y464*I464/H464,"0")</f>
        <v>607.61599999999999</v>
      </c>
      <c r="BO464" s="64">
        <f>IFERROR(1/J464*(X464/H464),"0")</f>
        <v>0.99652777777777779</v>
      </c>
      <c r="BP464" s="64">
        <f>IFERROR(1/J464*(Y464/H464),"0")</f>
        <v>1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40">
        <v>4607091384253</v>
      </c>
      <c r="E465" s="641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38"/>
      <c r="R465" s="638"/>
      <c r="S465" s="638"/>
      <c r="T465" s="639"/>
      <c r="U465" s="34"/>
      <c r="V465" s="34"/>
      <c r="W465" s="35" t="s">
        <v>67</v>
      </c>
      <c r="X465" s="633">
        <v>12</v>
      </c>
      <c r="Y465" s="634">
        <f>IFERROR(IF(X465="",0,CEILING((X465/$H465),1)*$H465),"")</f>
        <v>12</v>
      </c>
      <c r="Z465" s="36">
        <f>IFERROR(IF(Y465=0,"",ROUNDUP(Y465/H465,0)*0.00651),"")</f>
        <v>3.2550000000000003E-2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13.320000000000002</v>
      </c>
      <c r="BN465" s="64">
        <f>IFERROR(Y465*I465/H465,"0")</f>
        <v>13.320000000000002</v>
      </c>
      <c r="BO465" s="64">
        <f>IFERROR(1/J465*(X465/H465),"0")</f>
        <v>2.7472527472527476E-2</v>
      </c>
      <c r="BP465" s="64">
        <f>IFERROR(1/J465*(Y465/H465),"0")</f>
        <v>2.7472527472527476E-2</v>
      </c>
    </row>
    <row r="466" spans="1:68" ht="27" customHeight="1" x14ac:dyDescent="0.25">
      <c r="A466" s="54" t="s">
        <v>750</v>
      </c>
      <c r="B466" s="54" t="s">
        <v>752</v>
      </c>
      <c r="C466" s="31">
        <v>4301052069</v>
      </c>
      <c r="D466" s="640">
        <v>4607091384253</v>
      </c>
      <c r="E466" s="641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38"/>
      <c r="R466" s="638"/>
      <c r="S466" s="638"/>
      <c r="T466" s="639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1"/>
      <c r="B467" s="646"/>
      <c r="C467" s="646"/>
      <c r="D467" s="646"/>
      <c r="E467" s="646"/>
      <c r="F467" s="646"/>
      <c r="G467" s="646"/>
      <c r="H467" s="646"/>
      <c r="I467" s="646"/>
      <c r="J467" s="646"/>
      <c r="K467" s="646"/>
      <c r="L467" s="646"/>
      <c r="M467" s="646"/>
      <c r="N467" s="646"/>
      <c r="O467" s="662"/>
      <c r="P467" s="642" t="s">
        <v>72</v>
      </c>
      <c r="Q467" s="643"/>
      <c r="R467" s="643"/>
      <c r="S467" s="643"/>
      <c r="T467" s="643"/>
      <c r="U467" s="643"/>
      <c r="V467" s="644"/>
      <c r="W467" s="37" t="s">
        <v>73</v>
      </c>
      <c r="X467" s="635">
        <f>IFERROR(X464/H464,"0")+IFERROR(X465/H465,"0")+IFERROR(X466/H466,"0")</f>
        <v>68.777777777777771</v>
      </c>
      <c r="Y467" s="635">
        <f>IFERROR(Y464/H464,"0")+IFERROR(Y465/H465,"0")+IFERROR(Y466/H466,"0")</f>
        <v>69</v>
      </c>
      <c r="Z467" s="635">
        <f>IFERROR(IF(Z464="",0,Z464),"0")+IFERROR(IF(Z465="",0,Z465),"0")+IFERROR(IF(Z466="",0,Z466),"0")</f>
        <v>1.2472700000000001</v>
      </c>
      <c r="AA467" s="636"/>
      <c r="AB467" s="636"/>
      <c r="AC467" s="636"/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62"/>
      <c r="P468" s="642" t="s">
        <v>72</v>
      </c>
      <c r="Q468" s="643"/>
      <c r="R468" s="643"/>
      <c r="S468" s="643"/>
      <c r="T468" s="643"/>
      <c r="U468" s="643"/>
      <c r="V468" s="644"/>
      <c r="W468" s="37" t="s">
        <v>67</v>
      </c>
      <c r="X468" s="635">
        <f>IFERROR(SUM(X464:X466),"0")</f>
        <v>586</v>
      </c>
      <c r="Y468" s="635">
        <f>IFERROR(SUM(Y464:Y466),"0")</f>
        <v>588</v>
      </c>
      <c r="Z468" s="37"/>
      <c r="AA468" s="636"/>
      <c r="AB468" s="636"/>
      <c r="AC468" s="636"/>
    </row>
    <row r="469" spans="1:68" ht="27.75" customHeight="1" x14ac:dyDescent="0.2">
      <c r="A469" s="653" t="s">
        <v>754</v>
      </c>
      <c r="B469" s="654"/>
      <c r="C469" s="654"/>
      <c r="D469" s="654"/>
      <c r="E469" s="654"/>
      <c r="F469" s="654"/>
      <c r="G469" s="654"/>
      <c r="H469" s="654"/>
      <c r="I469" s="654"/>
      <c r="J469" s="654"/>
      <c r="K469" s="654"/>
      <c r="L469" s="654"/>
      <c r="M469" s="654"/>
      <c r="N469" s="654"/>
      <c r="O469" s="654"/>
      <c r="P469" s="654"/>
      <c r="Q469" s="654"/>
      <c r="R469" s="654"/>
      <c r="S469" s="654"/>
      <c r="T469" s="654"/>
      <c r="U469" s="654"/>
      <c r="V469" s="654"/>
      <c r="W469" s="654"/>
      <c r="X469" s="654"/>
      <c r="Y469" s="654"/>
      <c r="Z469" s="654"/>
      <c r="AA469" s="48"/>
      <c r="AB469" s="48"/>
      <c r="AC469" s="48"/>
    </row>
    <row r="470" spans="1:68" ht="16.5" customHeight="1" x14ac:dyDescent="0.25">
      <c r="A470" s="652" t="s">
        <v>755</v>
      </c>
      <c r="B470" s="646"/>
      <c r="C470" s="646"/>
      <c r="D470" s="646"/>
      <c r="E470" s="646"/>
      <c r="F470" s="646"/>
      <c r="G470" s="646"/>
      <c r="H470" s="646"/>
      <c r="I470" s="646"/>
      <c r="J470" s="646"/>
      <c r="K470" s="646"/>
      <c r="L470" s="646"/>
      <c r="M470" s="646"/>
      <c r="N470" s="646"/>
      <c r="O470" s="646"/>
      <c r="P470" s="646"/>
      <c r="Q470" s="646"/>
      <c r="R470" s="646"/>
      <c r="S470" s="646"/>
      <c r="T470" s="646"/>
      <c r="U470" s="646"/>
      <c r="V470" s="646"/>
      <c r="W470" s="646"/>
      <c r="X470" s="646"/>
      <c r="Y470" s="646"/>
      <c r="Z470" s="646"/>
      <c r="AA470" s="628"/>
      <c r="AB470" s="628"/>
      <c r="AC470" s="628"/>
    </row>
    <row r="471" spans="1:68" ht="14.25" customHeight="1" x14ac:dyDescent="0.25">
      <c r="A471" s="645" t="s">
        <v>62</v>
      </c>
      <c r="B471" s="646"/>
      <c r="C471" s="646"/>
      <c r="D471" s="646"/>
      <c r="E471" s="646"/>
      <c r="F471" s="646"/>
      <c r="G471" s="646"/>
      <c r="H471" s="646"/>
      <c r="I471" s="646"/>
      <c r="J471" s="646"/>
      <c r="K471" s="646"/>
      <c r="L471" s="646"/>
      <c r="M471" s="646"/>
      <c r="N471" s="646"/>
      <c r="O471" s="646"/>
      <c r="P471" s="646"/>
      <c r="Q471" s="646"/>
      <c r="R471" s="646"/>
      <c r="S471" s="646"/>
      <c r="T471" s="646"/>
      <c r="U471" s="646"/>
      <c r="V471" s="646"/>
      <c r="W471" s="646"/>
      <c r="X471" s="646"/>
      <c r="Y471" s="646"/>
      <c r="Z471" s="646"/>
      <c r="AA471" s="629"/>
      <c r="AB471" s="629"/>
      <c r="AC471" s="629"/>
    </row>
    <row r="472" spans="1:68" ht="27" customHeight="1" x14ac:dyDescent="0.25">
      <c r="A472" s="54" t="s">
        <v>756</v>
      </c>
      <c r="B472" s="54" t="s">
        <v>757</v>
      </c>
      <c r="C472" s="31">
        <v>4301031405</v>
      </c>
      <c r="D472" s="640">
        <v>4680115886100</v>
      </c>
      <c r="E472" s="641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38"/>
      <c r="R472" s="638"/>
      <c r="S472" s="638"/>
      <c r="T472" s="639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customHeight="1" x14ac:dyDescent="0.25">
      <c r="A473" s="54" t="s">
        <v>759</v>
      </c>
      <c r="B473" s="54" t="s">
        <v>760</v>
      </c>
      <c r="C473" s="31">
        <v>4301031402</v>
      </c>
      <c r="D473" s="640">
        <v>4680115886124</v>
      </c>
      <c r="E473" s="641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38"/>
      <c r="R473" s="638"/>
      <c r="S473" s="638"/>
      <c r="T473" s="639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customHeight="1" x14ac:dyDescent="0.25">
      <c r="A474" s="54" t="s">
        <v>762</v>
      </c>
      <c r="B474" s="54" t="s">
        <v>763</v>
      </c>
      <c r="C474" s="31">
        <v>4301031362</v>
      </c>
      <c r="D474" s="640">
        <v>4607091384338</v>
      </c>
      <c r="E474" s="641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38"/>
      <c r="R474" s="638"/>
      <c r="S474" s="638"/>
      <c r="T474" s="639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customHeight="1" x14ac:dyDescent="0.25">
      <c r="A475" s="54" t="s">
        <v>764</v>
      </c>
      <c r="B475" s="54" t="s">
        <v>765</v>
      </c>
      <c r="C475" s="31">
        <v>4301031364</v>
      </c>
      <c r="D475" s="640">
        <v>4680115883161</v>
      </c>
      <c r="E475" s="641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38"/>
      <c r="R475" s="638"/>
      <c r="S475" s="638"/>
      <c r="T475" s="639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customHeight="1" x14ac:dyDescent="0.25">
      <c r="A476" s="54" t="s">
        <v>767</v>
      </c>
      <c r="B476" s="54" t="s">
        <v>768</v>
      </c>
      <c r="C476" s="31">
        <v>4301031358</v>
      </c>
      <c r="D476" s="640">
        <v>4607091389531</v>
      </c>
      <c r="E476" s="641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1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38"/>
      <c r="R476" s="638"/>
      <c r="S476" s="638"/>
      <c r="T476" s="639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customHeight="1" x14ac:dyDescent="0.25">
      <c r="A477" s="54" t="s">
        <v>770</v>
      </c>
      <c r="B477" s="54" t="s">
        <v>771</v>
      </c>
      <c r="C477" s="31">
        <v>4301031360</v>
      </c>
      <c r="D477" s="640">
        <v>4607091384345</v>
      </c>
      <c r="E477" s="641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38"/>
      <c r="R477" s="638"/>
      <c r="S477" s="638"/>
      <c r="T477" s="639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x14ac:dyDescent="0.2">
      <c r="A478" s="661"/>
      <c r="B478" s="646"/>
      <c r="C478" s="646"/>
      <c r="D478" s="646"/>
      <c r="E478" s="646"/>
      <c r="F478" s="646"/>
      <c r="G478" s="646"/>
      <c r="H478" s="646"/>
      <c r="I478" s="646"/>
      <c r="J478" s="646"/>
      <c r="K478" s="646"/>
      <c r="L478" s="646"/>
      <c r="M478" s="646"/>
      <c r="N478" s="646"/>
      <c r="O478" s="662"/>
      <c r="P478" s="642" t="s">
        <v>72</v>
      </c>
      <c r="Q478" s="643"/>
      <c r="R478" s="643"/>
      <c r="S478" s="643"/>
      <c r="T478" s="643"/>
      <c r="U478" s="643"/>
      <c r="V478" s="644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62"/>
      <c r="P479" s="642" t="s">
        <v>72</v>
      </c>
      <c r="Q479" s="643"/>
      <c r="R479" s="643"/>
      <c r="S479" s="643"/>
      <c r="T479" s="643"/>
      <c r="U479" s="643"/>
      <c r="V479" s="644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customHeight="1" x14ac:dyDescent="0.25">
      <c r="A480" s="645" t="s">
        <v>74</v>
      </c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6"/>
      <c r="P480" s="646"/>
      <c r="Q480" s="646"/>
      <c r="R480" s="646"/>
      <c r="S480" s="646"/>
      <c r="T480" s="646"/>
      <c r="U480" s="646"/>
      <c r="V480" s="646"/>
      <c r="W480" s="646"/>
      <c r="X480" s="646"/>
      <c r="Y480" s="646"/>
      <c r="Z480" s="646"/>
      <c r="AA480" s="629"/>
      <c r="AB480" s="629"/>
      <c r="AC480" s="629"/>
    </row>
    <row r="481" spans="1:68" ht="27" customHeight="1" x14ac:dyDescent="0.25">
      <c r="A481" s="54" t="s">
        <v>772</v>
      </c>
      <c r="B481" s="54" t="s">
        <v>773</v>
      </c>
      <c r="C481" s="31">
        <v>4301051284</v>
      </c>
      <c r="D481" s="640">
        <v>4607091384352</v>
      </c>
      <c r="E481" s="641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38"/>
      <c r="R481" s="638"/>
      <c r="S481" s="638"/>
      <c r="T481" s="639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775</v>
      </c>
      <c r="B482" s="54" t="s">
        <v>776</v>
      </c>
      <c r="C482" s="31">
        <v>4301051431</v>
      </c>
      <c r="D482" s="640">
        <v>4607091389654</v>
      </c>
      <c r="E482" s="641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3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38"/>
      <c r="R482" s="638"/>
      <c r="S482" s="638"/>
      <c r="T482" s="639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661"/>
      <c r="B483" s="646"/>
      <c r="C483" s="646"/>
      <c r="D483" s="646"/>
      <c r="E483" s="646"/>
      <c r="F483" s="646"/>
      <c r="G483" s="646"/>
      <c r="H483" s="646"/>
      <c r="I483" s="646"/>
      <c r="J483" s="646"/>
      <c r="K483" s="646"/>
      <c r="L483" s="646"/>
      <c r="M483" s="646"/>
      <c r="N483" s="646"/>
      <c r="O483" s="662"/>
      <c r="P483" s="642" t="s">
        <v>72</v>
      </c>
      <c r="Q483" s="643"/>
      <c r="R483" s="643"/>
      <c r="S483" s="643"/>
      <c r="T483" s="643"/>
      <c r="U483" s="643"/>
      <c r="V483" s="644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62"/>
      <c r="P484" s="642" t="s">
        <v>72</v>
      </c>
      <c r="Q484" s="643"/>
      <c r="R484" s="643"/>
      <c r="S484" s="643"/>
      <c r="T484" s="643"/>
      <c r="U484" s="643"/>
      <c r="V484" s="644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customHeight="1" x14ac:dyDescent="0.25">
      <c r="A485" s="652" t="s">
        <v>778</v>
      </c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6"/>
      <c r="P485" s="646"/>
      <c r="Q485" s="646"/>
      <c r="R485" s="646"/>
      <c r="S485" s="646"/>
      <c r="T485" s="646"/>
      <c r="U485" s="646"/>
      <c r="V485" s="646"/>
      <c r="W485" s="646"/>
      <c r="X485" s="646"/>
      <c r="Y485" s="646"/>
      <c r="Z485" s="646"/>
      <c r="AA485" s="628"/>
      <c r="AB485" s="628"/>
      <c r="AC485" s="628"/>
    </row>
    <row r="486" spans="1:68" ht="14.25" customHeight="1" x14ac:dyDescent="0.25">
      <c r="A486" s="645" t="s">
        <v>147</v>
      </c>
      <c r="B486" s="646"/>
      <c r="C486" s="646"/>
      <c r="D486" s="646"/>
      <c r="E486" s="646"/>
      <c r="F486" s="646"/>
      <c r="G486" s="646"/>
      <c r="H486" s="646"/>
      <c r="I486" s="646"/>
      <c r="J486" s="646"/>
      <c r="K486" s="646"/>
      <c r="L486" s="646"/>
      <c r="M486" s="646"/>
      <c r="N486" s="646"/>
      <c r="O486" s="646"/>
      <c r="P486" s="646"/>
      <c r="Q486" s="646"/>
      <c r="R486" s="646"/>
      <c r="S486" s="646"/>
      <c r="T486" s="646"/>
      <c r="U486" s="646"/>
      <c r="V486" s="646"/>
      <c r="W486" s="646"/>
      <c r="X486" s="646"/>
      <c r="Y486" s="646"/>
      <c r="Z486" s="646"/>
      <c r="AA486" s="629"/>
      <c r="AB486" s="629"/>
      <c r="AC486" s="629"/>
    </row>
    <row r="487" spans="1:68" ht="27" customHeight="1" x14ac:dyDescent="0.25">
      <c r="A487" s="54" t="s">
        <v>779</v>
      </c>
      <c r="B487" s="54" t="s">
        <v>780</v>
      </c>
      <c r="C487" s="31">
        <v>4301020416</v>
      </c>
      <c r="D487" s="640">
        <v>4680115885240</v>
      </c>
      <c r="E487" s="641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38"/>
      <c r="R487" s="638"/>
      <c r="S487" s="638"/>
      <c r="T487" s="639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661"/>
      <c r="B488" s="646"/>
      <c r="C488" s="646"/>
      <c r="D488" s="646"/>
      <c r="E488" s="646"/>
      <c r="F488" s="646"/>
      <c r="G488" s="646"/>
      <c r="H488" s="646"/>
      <c r="I488" s="646"/>
      <c r="J488" s="646"/>
      <c r="K488" s="646"/>
      <c r="L488" s="646"/>
      <c r="M488" s="646"/>
      <c r="N488" s="646"/>
      <c r="O488" s="662"/>
      <c r="P488" s="642" t="s">
        <v>72</v>
      </c>
      <c r="Q488" s="643"/>
      <c r="R488" s="643"/>
      <c r="S488" s="643"/>
      <c r="T488" s="643"/>
      <c r="U488" s="643"/>
      <c r="V488" s="644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62"/>
      <c r="P489" s="642" t="s">
        <v>72</v>
      </c>
      <c r="Q489" s="643"/>
      <c r="R489" s="643"/>
      <c r="S489" s="643"/>
      <c r="T489" s="643"/>
      <c r="U489" s="643"/>
      <c r="V489" s="644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customHeight="1" x14ac:dyDescent="0.25">
      <c r="A490" s="645" t="s">
        <v>62</v>
      </c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6"/>
      <c r="P490" s="646"/>
      <c r="Q490" s="646"/>
      <c r="R490" s="646"/>
      <c r="S490" s="646"/>
      <c r="T490" s="646"/>
      <c r="U490" s="646"/>
      <c r="V490" s="646"/>
      <c r="W490" s="646"/>
      <c r="X490" s="646"/>
      <c r="Y490" s="646"/>
      <c r="Z490" s="646"/>
      <c r="AA490" s="629"/>
      <c r="AB490" s="629"/>
      <c r="AC490" s="629"/>
    </row>
    <row r="491" spans="1:68" ht="27" customHeight="1" x14ac:dyDescent="0.25">
      <c r="A491" s="54" t="s">
        <v>782</v>
      </c>
      <c r="B491" s="54" t="s">
        <v>783</v>
      </c>
      <c r="C491" s="31">
        <v>4301031407</v>
      </c>
      <c r="D491" s="640">
        <v>4680115886094</v>
      </c>
      <c r="E491" s="641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38"/>
      <c r="R491" s="638"/>
      <c r="S491" s="638"/>
      <c r="T491" s="639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4301031373</v>
      </c>
      <c r="D492" s="640">
        <v>4680115880771</v>
      </c>
      <c r="E492" s="641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38"/>
      <c r="R492" s="638"/>
      <c r="S492" s="638"/>
      <c r="T492" s="639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customHeight="1" x14ac:dyDescent="0.25">
      <c r="A493" s="54" t="s">
        <v>788</v>
      </c>
      <c r="B493" s="54" t="s">
        <v>789</v>
      </c>
      <c r="C493" s="31">
        <v>4301031359</v>
      </c>
      <c r="D493" s="640">
        <v>4607091389500</v>
      </c>
      <c r="E493" s="641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38"/>
      <c r="R493" s="638"/>
      <c r="S493" s="638"/>
      <c r="T493" s="639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661"/>
      <c r="B494" s="646"/>
      <c r="C494" s="646"/>
      <c r="D494" s="646"/>
      <c r="E494" s="646"/>
      <c r="F494" s="646"/>
      <c r="G494" s="646"/>
      <c r="H494" s="646"/>
      <c r="I494" s="646"/>
      <c r="J494" s="646"/>
      <c r="K494" s="646"/>
      <c r="L494" s="646"/>
      <c r="M494" s="646"/>
      <c r="N494" s="646"/>
      <c r="O494" s="662"/>
      <c r="P494" s="642" t="s">
        <v>72</v>
      </c>
      <c r="Q494" s="643"/>
      <c r="R494" s="643"/>
      <c r="S494" s="643"/>
      <c r="T494" s="643"/>
      <c r="U494" s="643"/>
      <c r="V494" s="644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62"/>
      <c r="P495" s="642" t="s">
        <v>72</v>
      </c>
      <c r="Q495" s="643"/>
      <c r="R495" s="643"/>
      <c r="S495" s="643"/>
      <c r="T495" s="643"/>
      <c r="U495" s="643"/>
      <c r="V495" s="644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customHeight="1" x14ac:dyDescent="0.2">
      <c r="A496" s="653" t="s">
        <v>790</v>
      </c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4"/>
      <c r="P496" s="654"/>
      <c r="Q496" s="654"/>
      <c r="R496" s="654"/>
      <c r="S496" s="654"/>
      <c r="T496" s="654"/>
      <c r="U496" s="654"/>
      <c r="V496" s="654"/>
      <c r="W496" s="654"/>
      <c r="X496" s="654"/>
      <c r="Y496" s="654"/>
      <c r="Z496" s="654"/>
      <c r="AA496" s="48"/>
      <c r="AB496" s="48"/>
      <c r="AC496" s="48"/>
    </row>
    <row r="497" spans="1:68" ht="16.5" customHeight="1" x14ac:dyDescent="0.25">
      <c r="A497" s="652" t="s">
        <v>790</v>
      </c>
      <c r="B497" s="646"/>
      <c r="C497" s="646"/>
      <c r="D497" s="646"/>
      <c r="E497" s="646"/>
      <c r="F497" s="646"/>
      <c r="G497" s="646"/>
      <c r="H497" s="646"/>
      <c r="I497" s="646"/>
      <c r="J497" s="646"/>
      <c r="K497" s="646"/>
      <c r="L497" s="646"/>
      <c r="M497" s="646"/>
      <c r="N497" s="646"/>
      <c r="O497" s="646"/>
      <c r="P497" s="646"/>
      <c r="Q497" s="646"/>
      <c r="R497" s="646"/>
      <c r="S497" s="646"/>
      <c r="T497" s="646"/>
      <c r="U497" s="646"/>
      <c r="V497" s="646"/>
      <c r="W497" s="646"/>
      <c r="X497" s="646"/>
      <c r="Y497" s="646"/>
      <c r="Z497" s="646"/>
      <c r="AA497" s="628"/>
      <c r="AB497" s="628"/>
      <c r="AC497" s="628"/>
    </row>
    <row r="498" spans="1:68" ht="14.25" customHeight="1" x14ac:dyDescent="0.25">
      <c r="A498" s="645" t="s">
        <v>111</v>
      </c>
      <c r="B498" s="646"/>
      <c r="C498" s="646"/>
      <c r="D498" s="646"/>
      <c r="E498" s="646"/>
      <c r="F498" s="646"/>
      <c r="G498" s="646"/>
      <c r="H498" s="646"/>
      <c r="I498" s="646"/>
      <c r="J498" s="646"/>
      <c r="K498" s="646"/>
      <c r="L498" s="646"/>
      <c r="M498" s="646"/>
      <c r="N498" s="646"/>
      <c r="O498" s="646"/>
      <c r="P498" s="646"/>
      <c r="Q498" s="646"/>
      <c r="R498" s="646"/>
      <c r="S498" s="646"/>
      <c r="T498" s="646"/>
      <c r="U498" s="646"/>
      <c r="V498" s="646"/>
      <c r="W498" s="646"/>
      <c r="X498" s="646"/>
      <c r="Y498" s="646"/>
      <c r="Z498" s="646"/>
      <c r="AA498" s="629"/>
      <c r="AB498" s="629"/>
      <c r="AC498" s="629"/>
    </row>
    <row r="499" spans="1:68" ht="27" customHeight="1" x14ac:dyDescent="0.25">
      <c r="A499" s="54" t="s">
        <v>791</v>
      </c>
      <c r="B499" s="54" t="s">
        <v>792</v>
      </c>
      <c r="C499" s="31">
        <v>4301011769</v>
      </c>
      <c r="D499" s="640">
        <v>4607091389067</v>
      </c>
      <c r="E499" s="641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38"/>
      <c r="R499" s="638"/>
      <c r="S499" s="638"/>
      <c r="T499" s="639"/>
      <c r="U499" s="34"/>
      <c r="V499" s="34"/>
      <c r="W499" s="35" t="s">
        <v>67</v>
      </c>
      <c r="X499" s="633">
        <v>31</v>
      </c>
      <c r="Y499" s="634">
        <f t="shared" ref="Y499:Y507" si="63">IFERROR(IF(X499="",0,CEILING((X499/$H499),1)*$H499),"")</f>
        <v>31.68</v>
      </c>
      <c r="Z499" s="36">
        <f t="shared" ref="Z499:Z504" si="64">IFERROR(IF(Y499=0,"",ROUNDUP(Y499/H499,0)*0.01196),"")</f>
        <v>7.1760000000000004E-2</v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33.054924242424242</v>
      </c>
      <c r="BN499" s="64">
        <f t="shared" ref="BN499:BN507" si="66">IFERROR(Y499*I499/H499,"0")</f>
        <v>33.779999999999994</v>
      </c>
      <c r="BO499" s="64">
        <f t="shared" ref="BO499:BO507" si="67">IFERROR(1/J499*(X499/H499),"0")</f>
        <v>5.6453962703962704E-2</v>
      </c>
      <c r="BP499" s="64">
        <f t="shared" ref="BP499:BP507" si="68">IFERROR(1/J499*(Y499/H499),"0")</f>
        <v>5.7692307692307696E-2</v>
      </c>
    </row>
    <row r="500" spans="1:68" ht="16.5" customHeight="1" x14ac:dyDescent="0.25">
      <c r="A500" s="54" t="s">
        <v>793</v>
      </c>
      <c r="B500" s="54" t="s">
        <v>794</v>
      </c>
      <c r="C500" s="31">
        <v>4301012380</v>
      </c>
      <c r="D500" s="640">
        <v>4680115889576</v>
      </c>
      <c r="E500" s="641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38"/>
      <c r="R500" s="638"/>
      <c r="S500" s="638"/>
      <c r="T500" s="639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customHeight="1" x14ac:dyDescent="0.25">
      <c r="A501" s="54" t="s">
        <v>796</v>
      </c>
      <c r="B501" s="54" t="s">
        <v>797</v>
      </c>
      <c r="C501" s="31">
        <v>4301011961</v>
      </c>
      <c r="D501" s="640">
        <v>4680115885271</v>
      </c>
      <c r="E501" s="641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38"/>
      <c r="R501" s="638"/>
      <c r="S501" s="638"/>
      <c r="T501" s="639"/>
      <c r="U501" s="34"/>
      <c r="V501" s="34"/>
      <c r="W501" s="35" t="s">
        <v>67</v>
      </c>
      <c r="X501" s="633">
        <v>63</v>
      </c>
      <c r="Y501" s="634">
        <f t="shared" si="63"/>
        <v>63.36</v>
      </c>
      <c r="Z501" s="36">
        <f t="shared" si="64"/>
        <v>0.14352000000000001</v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67.17613636363636</v>
      </c>
      <c r="BN501" s="64">
        <f t="shared" si="66"/>
        <v>67.559999999999988</v>
      </c>
      <c r="BO501" s="64">
        <f t="shared" si="67"/>
        <v>0.11472902097902099</v>
      </c>
      <c r="BP501" s="64">
        <f t="shared" si="68"/>
        <v>0.11538461538461539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40">
        <v>4680115885226</v>
      </c>
      <c r="E502" s="641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38"/>
      <c r="R502" s="638"/>
      <c r="S502" s="638"/>
      <c r="T502" s="639"/>
      <c r="U502" s="34"/>
      <c r="V502" s="34"/>
      <c r="W502" s="35" t="s">
        <v>67</v>
      </c>
      <c r="X502" s="633">
        <v>377</v>
      </c>
      <c r="Y502" s="634">
        <f t="shared" si="63"/>
        <v>380.16</v>
      </c>
      <c r="Z502" s="36">
        <f t="shared" si="64"/>
        <v>0.86112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401.99053030303025</v>
      </c>
      <c r="BN502" s="64">
        <f t="shared" si="66"/>
        <v>405.35999999999996</v>
      </c>
      <c r="BO502" s="64">
        <f t="shared" si="67"/>
        <v>0.68655303030303028</v>
      </c>
      <c r="BP502" s="64">
        <f t="shared" si="68"/>
        <v>0.69230769230769229</v>
      </c>
    </row>
    <row r="503" spans="1:68" ht="16.5" customHeight="1" x14ac:dyDescent="0.25">
      <c r="A503" s="54" t="s">
        <v>802</v>
      </c>
      <c r="B503" s="54" t="s">
        <v>803</v>
      </c>
      <c r="C503" s="31">
        <v>4301011797</v>
      </c>
      <c r="D503" s="640">
        <v>4680115884502</v>
      </c>
      <c r="E503" s="641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38"/>
      <c r="R503" s="638"/>
      <c r="S503" s="638"/>
      <c r="T503" s="639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40">
        <v>4607091389104</v>
      </c>
      <c r="E504" s="641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38"/>
      <c r="R504" s="638"/>
      <c r="S504" s="638"/>
      <c r="T504" s="639"/>
      <c r="U504" s="34"/>
      <c r="V504" s="34"/>
      <c r="W504" s="35" t="s">
        <v>67</v>
      </c>
      <c r="X504" s="633">
        <v>303</v>
      </c>
      <c r="Y504" s="634">
        <f t="shared" si="63"/>
        <v>306.24</v>
      </c>
      <c r="Z504" s="36">
        <f t="shared" si="64"/>
        <v>0.69367999999999996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323.08522727272725</v>
      </c>
      <c r="BN504" s="64">
        <f t="shared" si="66"/>
        <v>326.53999999999996</v>
      </c>
      <c r="BO504" s="64">
        <f t="shared" si="67"/>
        <v>0.55179195804195802</v>
      </c>
      <c r="BP504" s="64">
        <f t="shared" si="68"/>
        <v>0.55769230769230771</v>
      </c>
    </row>
    <row r="505" spans="1:68" ht="27" customHeight="1" x14ac:dyDescent="0.25">
      <c r="A505" s="54" t="s">
        <v>808</v>
      </c>
      <c r="B505" s="54" t="s">
        <v>809</v>
      </c>
      <c r="C505" s="31">
        <v>4301012125</v>
      </c>
      <c r="D505" s="640">
        <v>4680115886391</v>
      </c>
      <c r="E505" s="641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38"/>
      <c r="R505" s="638"/>
      <c r="S505" s="638"/>
      <c r="T505" s="639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40">
        <v>4680115880603</v>
      </c>
      <c r="E506" s="641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38"/>
      <c r="R506" s="638"/>
      <c r="S506" s="638"/>
      <c r="T506" s="639"/>
      <c r="U506" s="34"/>
      <c r="V506" s="34"/>
      <c r="W506" s="35" t="s">
        <v>67</v>
      </c>
      <c r="X506" s="633">
        <v>66</v>
      </c>
      <c r="Y506" s="634">
        <f t="shared" si="63"/>
        <v>67.2</v>
      </c>
      <c r="Z506" s="36">
        <f>IFERROR(IF(Y506=0,"",ROUNDUP(Y506/H506,0)*0.00902),"")</f>
        <v>0.12628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95.012500000000003</v>
      </c>
      <c r="BN506" s="64">
        <f t="shared" si="66"/>
        <v>96.740000000000009</v>
      </c>
      <c r="BO506" s="64">
        <f t="shared" si="67"/>
        <v>0.10416666666666667</v>
      </c>
      <c r="BP506" s="64">
        <f t="shared" si="68"/>
        <v>0.10606060606060608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40">
        <v>4607091389982</v>
      </c>
      <c r="E507" s="641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10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38"/>
      <c r="R507" s="638"/>
      <c r="S507" s="638"/>
      <c r="T507" s="639"/>
      <c r="U507" s="34"/>
      <c r="V507" s="34"/>
      <c r="W507" s="35" t="s">
        <v>67</v>
      </c>
      <c r="X507" s="633">
        <v>18</v>
      </c>
      <c r="Y507" s="634">
        <f t="shared" si="63"/>
        <v>19.2</v>
      </c>
      <c r="Z507" s="36">
        <f>IFERROR(IF(Y507=0,"",ROUNDUP(Y507/H507,0)*0.00902),"")</f>
        <v>3.6080000000000001E-2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25.912500000000001</v>
      </c>
      <c r="BN507" s="64">
        <f t="shared" si="66"/>
        <v>27.64</v>
      </c>
      <c r="BO507" s="64">
        <f t="shared" si="67"/>
        <v>2.8409090909090912E-2</v>
      </c>
      <c r="BP507" s="64">
        <f t="shared" si="68"/>
        <v>3.0303030303030304E-2</v>
      </c>
    </row>
    <row r="508" spans="1:68" x14ac:dyDescent="0.2">
      <c r="A508" s="661"/>
      <c r="B508" s="646"/>
      <c r="C508" s="646"/>
      <c r="D508" s="646"/>
      <c r="E508" s="646"/>
      <c r="F508" s="646"/>
      <c r="G508" s="646"/>
      <c r="H508" s="646"/>
      <c r="I508" s="646"/>
      <c r="J508" s="646"/>
      <c r="K508" s="646"/>
      <c r="L508" s="646"/>
      <c r="M508" s="646"/>
      <c r="N508" s="646"/>
      <c r="O508" s="662"/>
      <c r="P508" s="642" t="s">
        <v>72</v>
      </c>
      <c r="Q508" s="643"/>
      <c r="R508" s="643"/>
      <c r="S508" s="643"/>
      <c r="T508" s="643"/>
      <c r="U508" s="643"/>
      <c r="V508" s="644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164.09090909090907</v>
      </c>
      <c r="Y508" s="635">
        <f>IFERROR(Y499/H499,"0")+IFERROR(Y500/H500,"0")+IFERROR(Y501/H501,"0")+IFERROR(Y502/H502,"0")+IFERROR(Y503/H503,"0")+IFERROR(Y504/H504,"0")+IFERROR(Y505/H505,"0")+IFERROR(Y506/H506,"0")+IFERROR(Y507/H507,"0")</f>
        <v>166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1.9324400000000002</v>
      </c>
      <c r="AA508" s="636"/>
      <c r="AB508" s="636"/>
      <c r="AC508" s="636"/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62"/>
      <c r="P509" s="642" t="s">
        <v>72</v>
      </c>
      <c r="Q509" s="643"/>
      <c r="R509" s="643"/>
      <c r="S509" s="643"/>
      <c r="T509" s="643"/>
      <c r="U509" s="643"/>
      <c r="V509" s="644"/>
      <c r="W509" s="37" t="s">
        <v>67</v>
      </c>
      <c r="X509" s="635">
        <f>IFERROR(SUM(X499:X507),"0")</f>
        <v>858</v>
      </c>
      <c r="Y509" s="635">
        <f>IFERROR(SUM(Y499:Y507),"0")</f>
        <v>867.84000000000015</v>
      </c>
      <c r="Z509" s="37"/>
      <c r="AA509" s="636"/>
      <c r="AB509" s="636"/>
      <c r="AC509" s="636"/>
    </row>
    <row r="510" spans="1:68" ht="14.25" customHeight="1" x14ac:dyDescent="0.25">
      <c r="A510" s="645" t="s">
        <v>147</v>
      </c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6"/>
      <c r="P510" s="646"/>
      <c r="Q510" s="646"/>
      <c r="R510" s="646"/>
      <c r="S510" s="646"/>
      <c r="T510" s="646"/>
      <c r="U510" s="646"/>
      <c r="V510" s="646"/>
      <c r="W510" s="646"/>
      <c r="X510" s="646"/>
      <c r="Y510" s="646"/>
      <c r="Z510" s="646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40">
        <v>4607091388930</v>
      </c>
      <c r="E511" s="641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4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38"/>
      <c r="R511" s="638"/>
      <c r="S511" s="638"/>
      <c r="T511" s="639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customHeight="1" x14ac:dyDescent="0.25">
      <c r="A512" s="54" t="s">
        <v>817</v>
      </c>
      <c r="B512" s="54" t="s">
        <v>818</v>
      </c>
      <c r="C512" s="31">
        <v>4301020374</v>
      </c>
      <c r="D512" s="640">
        <v>4680115886407</v>
      </c>
      <c r="E512" s="641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38"/>
      <c r="R512" s="638"/>
      <c r="S512" s="638"/>
      <c r="T512" s="639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customHeight="1" x14ac:dyDescent="0.25">
      <c r="A513" s="54" t="s">
        <v>819</v>
      </c>
      <c r="B513" s="54" t="s">
        <v>820</v>
      </c>
      <c r="C513" s="31">
        <v>4301020385</v>
      </c>
      <c r="D513" s="640">
        <v>4680115880054</v>
      </c>
      <c r="E513" s="641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80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38"/>
      <c r="R513" s="638"/>
      <c r="S513" s="638"/>
      <c r="T513" s="639"/>
      <c r="U513" s="34"/>
      <c r="V513" s="34"/>
      <c r="W513" s="35" t="s">
        <v>67</v>
      </c>
      <c r="X513" s="633">
        <v>73</v>
      </c>
      <c r="Y513" s="634">
        <f>IFERROR(IF(X513="",0,CEILING((X513/$H513),1)*$H513),"")</f>
        <v>76.8</v>
      </c>
      <c r="Z513" s="36">
        <f>IFERROR(IF(Y513=0,"",ROUNDUP(Y513/H513,0)*0.00902),"")</f>
        <v>0.14432</v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105.08958333333334</v>
      </c>
      <c r="BN513" s="64">
        <f>IFERROR(Y513*I513/H513,"0")</f>
        <v>110.56</v>
      </c>
      <c r="BO513" s="64">
        <f>IFERROR(1/J513*(X513/H513),"0")</f>
        <v>0.11521464646464648</v>
      </c>
      <c r="BP513" s="64">
        <f>IFERROR(1/J513*(Y513/H513),"0")</f>
        <v>0.12121212121212122</v>
      </c>
    </row>
    <row r="514" spans="1:68" x14ac:dyDescent="0.2">
      <c r="A514" s="661"/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62"/>
      <c r="P514" s="642" t="s">
        <v>72</v>
      </c>
      <c r="Q514" s="643"/>
      <c r="R514" s="643"/>
      <c r="S514" s="643"/>
      <c r="T514" s="643"/>
      <c r="U514" s="643"/>
      <c r="V514" s="644"/>
      <c r="W514" s="37" t="s">
        <v>73</v>
      </c>
      <c r="X514" s="635">
        <f>IFERROR(X511/H511,"0")+IFERROR(X512/H512,"0")+IFERROR(X513/H513,"0")</f>
        <v>15.208333333333334</v>
      </c>
      <c r="Y514" s="635">
        <f>IFERROR(Y511/H511,"0")+IFERROR(Y512/H512,"0")+IFERROR(Y513/H513,"0")</f>
        <v>16</v>
      </c>
      <c r="Z514" s="635">
        <f>IFERROR(IF(Z511="",0,Z511),"0")+IFERROR(IF(Z512="",0,Z512),"0")+IFERROR(IF(Z513="",0,Z513),"0")</f>
        <v>0.14432</v>
      </c>
      <c r="AA514" s="636"/>
      <c r="AB514" s="636"/>
      <c r="AC514" s="636"/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62"/>
      <c r="P515" s="642" t="s">
        <v>72</v>
      </c>
      <c r="Q515" s="643"/>
      <c r="R515" s="643"/>
      <c r="S515" s="643"/>
      <c r="T515" s="643"/>
      <c r="U515" s="643"/>
      <c r="V515" s="644"/>
      <c r="W515" s="37" t="s">
        <v>67</v>
      </c>
      <c r="X515" s="635">
        <f>IFERROR(SUM(X511:X513),"0")</f>
        <v>73</v>
      </c>
      <c r="Y515" s="635">
        <f>IFERROR(SUM(Y511:Y513),"0")</f>
        <v>76.8</v>
      </c>
      <c r="Z515" s="37"/>
      <c r="AA515" s="636"/>
      <c r="AB515" s="636"/>
      <c r="AC515" s="636"/>
    </row>
    <row r="516" spans="1:68" ht="14.25" customHeight="1" x14ac:dyDescent="0.25">
      <c r="A516" s="645" t="s">
        <v>62</v>
      </c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6"/>
      <c r="P516" s="646"/>
      <c r="Q516" s="646"/>
      <c r="R516" s="646"/>
      <c r="S516" s="646"/>
      <c r="T516" s="646"/>
      <c r="U516" s="646"/>
      <c r="V516" s="646"/>
      <c r="W516" s="646"/>
      <c r="X516" s="646"/>
      <c r="Y516" s="646"/>
      <c r="Z516" s="646"/>
      <c r="AA516" s="629"/>
      <c r="AB516" s="629"/>
      <c r="AC516" s="629"/>
    </row>
    <row r="517" spans="1:68" ht="27" customHeight="1" x14ac:dyDescent="0.25">
      <c r="A517" s="54" t="s">
        <v>821</v>
      </c>
      <c r="B517" s="54" t="s">
        <v>822</v>
      </c>
      <c r="C517" s="31">
        <v>4301031349</v>
      </c>
      <c r="D517" s="640">
        <v>4680115883116</v>
      </c>
      <c r="E517" s="641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38"/>
      <c r="R517" s="638"/>
      <c r="S517" s="638"/>
      <c r="T517" s="639"/>
      <c r="U517" s="34"/>
      <c r="V517" s="34"/>
      <c r="W517" s="35" t="s">
        <v>67</v>
      </c>
      <c r="X517" s="633">
        <v>271</v>
      </c>
      <c r="Y517" s="634">
        <f t="shared" ref="Y517:Y523" si="69">IFERROR(IF(X517="",0,CEILING((X517/$H517),1)*$H517),"")</f>
        <v>274.56</v>
      </c>
      <c r="Z517" s="36">
        <f>IFERROR(IF(Y517=0,"",ROUNDUP(Y517/H517,0)*0.01196),"")</f>
        <v>0.62192000000000003</v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288.96401515151513</v>
      </c>
      <c r="BN517" s="64">
        <f t="shared" ref="BN517:BN523" si="71">IFERROR(Y517*I517/H517,"0")</f>
        <v>292.76</v>
      </c>
      <c r="BO517" s="64">
        <f t="shared" ref="BO517:BO523" si="72">IFERROR(1/J517*(X517/H517),"0")</f>
        <v>0.49351689976689972</v>
      </c>
      <c r="BP517" s="64">
        <f t="shared" ref="BP517:BP523" si="73">IFERROR(1/J517*(Y517/H517),"0")</f>
        <v>0.5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40">
        <v>4680115883093</v>
      </c>
      <c r="E518" s="641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38"/>
      <c r="R518" s="638"/>
      <c r="S518" s="638"/>
      <c r="T518" s="639"/>
      <c r="U518" s="34"/>
      <c r="V518" s="34"/>
      <c r="W518" s="35" t="s">
        <v>67</v>
      </c>
      <c r="X518" s="633">
        <v>261</v>
      </c>
      <c r="Y518" s="634">
        <f t="shared" si="69"/>
        <v>264</v>
      </c>
      <c r="Z518" s="36">
        <f>IFERROR(IF(Y518=0,"",ROUNDUP(Y518/H518,0)*0.01196),"")</f>
        <v>0.59799999999999998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278.30113636363637</v>
      </c>
      <c r="BN518" s="64">
        <f t="shared" si="71"/>
        <v>281.5</v>
      </c>
      <c r="BO518" s="64">
        <f t="shared" si="72"/>
        <v>0.47530594405594406</v>
      </c>
      <c r="BP518" s="64">
        <f t="shared" si="73"/>
        <v>0.48076923076923078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40">
        <v>4680115883109</v>
      </c>
      <c r="E519" s="641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8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38"/>
      <c r="R519" s="638"/>
      <c r="S519" s="638"/>
      <c r="T519" s="639"/>
      <c r="U519" s="34"/>
      <c r="V519" s="34"/>
      <c r="W519" s="35" t="s">
        <v>67</v>
      </c>
      <c r="X519" s="633">
        <v>448</v>
      </c>
      <c r="Y519" s="634">
        <f t="shared" si="69"/>
        <v>448.8</v>
      </c>
      <c r="Z519" s="36">
        <f>IFERROR(IF(Y519=0,"",ROUNDUP(Y519/H519,0)*0.01196),"")</f>
        <v>1.0165999999999999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477.69696969696963</v>
      </c>
      <c r="BN519" s="64">
        <f t="shared" si="71"/>
        <v>478.55</v>
      </c>
      <c r="BO519" s="64">
        <f t="shared" si="72"/>
        <v>0.81585081585081587</v>
      </c>
      <c r="BP519" s="64">
        <f t="shared" si="73"/>
        <v>0.8173076923076924</v>
      </c>
    </row>
    <row r="520" spans="1:68" ht="27" customHeight="1" x14ac:dyDescent="0.25">
      <c r="A520" s="54" t="s">
        <v>830</v>
      </c>
      <c r="B520" s="54" t="s">
        <v>831</v>
      </c>
      <c r="C520" s="31">
        <v>4301031419</v>
      </c>
      <c r="D520" s="640">
        <v>4680115882072</v>
      </c>
      <c r="E520" s="641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38"/>
      <c r="R520" s="638"/>
      <c r="S520" s="638"/>
      <c r="T520" s="639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customHeight="1" x14ac:dyDescent="0.25">
      <c r="A521" s="54" t="s">
        <v>832</v>
      </c>
      <c r="B521" s="54" t="s">
        <v>833</v>
      </c>
      <c r="C521" s="31">
        <v>4301031352</v>
      </c>
      <c r="D521" s="640">
        <v>4680115882102</v>
      </c>
      <c r="E521" s="641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38"/>
      <c r="R521" s="638"/>
      <c r="S521" s="638"/>
      <c r="T521" s="639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customHeight="1" x14ac:dyDescent="0.25">
      <c r="A522" s="54" t="s">
        <v>832</v>
      </c>
      <c r="B522" s="54" t="s">
        <v>834</v>
      </c>
      <c r="C522" s="31">
        <v>4301031418</v>
      </c>
      <c r="D522" s="640">
        <v>4680115882102</v>
      </c>
      <c r="E522" s="641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38"/>
      <c r="R522" s="638"/>
      <c r="S522" s="638"/>
      <c r="T522" s="639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customHeight="1" x14ac:dyDescent="0.25">
      <c r="A523" s="54" t="s">
        <v>835</v>
      </c>
      <c r="B523" s="54" t="s">
        <v>836</v>
      </c>
      <c r="C523" s="31">
        <v>4301031417</v>
      </c>
      <c r="D523" s="640">
        <v>4680115882096</v>
      </c>
      <c r="E523" s="641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38"/>
      <c r="R523" s="638"/>
      <c r="S523" s="638"/>
      <c r="T523" s="639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1"/>
      <c r="B524" s="646"/>
      <c r="C524" s="646"/>
      <c r="D524" s="646"/>
      <c r="E524" s="646"/>
      <c r="F524" s="646"/>
      <c r="G524" s="646"/>
      <c r="H524" s="646"/>
      <c r="I524" s="646"/>
      <c r="J524" s="646"/>
      <c r="K524" s="646"/>
      <c r="L524" s="646"/>
      <c r="M524" s="646"/>
      <c r="N524" s="646"/>
      <c r="O524" s="662"/>
      <c r="P524" s="642" t="s">
        <v>72</v>
      </c>
      <c r="Q524" s="643"/>
      <c r="R524" s="643"/>
      <c r="S524" s="643"/>
      <c r="T524" s="643"/>
      <c r="U524" s="643"/>
      <c r="V524" s="644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185.60606060606059</v>
      </c>
      <c r="Y524" s="635">
        <f>IFERROR(Y517/H517,"0")+IFERROR(Y518/H518,"0")+IFERROR(Y519/H519,"0")+IFERROR(Y520/H520,"0")+IFERROR(Y521/H521,"0")+IFERROR(Y522/H522,"0")+IFERROR(Y523/H523,"0")</f>
        <v>187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2.2365200000000001</v>
      </c>
      <c r="AA524" s="636"/>
      <c r="AB524" s="636"/>
      <c r="AC524" s="636"/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62"/>
      <c r="P525" s="642" t="s">
        <v>72</v>
      </c>
      <c r="Q525" s="643"/>
      <c r="R525" s="643"/>
      <c r="S525" s="643"/>
      <c r="T525" s="643"/>
      <c r="U525" s="643"/>
      <c r="V525" s="644"/>
      <c r="W525" s="37" t="s">
        <v>67</v>
      </c>
      <c r="X525" s="635">
        <f>IFERROR(SUM(X517:X523),"0")</f>
        <v>980</v>
      </c>
      <c r="Y525" s="635">
        <f>IFERROR(SUM(Y517:Y523),"0")</f>
        <v>987.3599999999999</v>
      </c>
      <c r="Z525" s="37"/>
      <c r="AA525" s="636"/>
      <c r="AB525" s="636"/>
      <c r="AC525" s="636"/>
    </row>
    <row r="526" spans="1:68" ht="27.75" customHeight="1" x14ac:dyDescent="0.2">
      <c r="A526" s="653" t="s">
        <v>837</v>
      </c>
      <c r="B526" s="654"/>
      <c r="C526" s="654"/>
      <c r="D526" s="654"/>
      <c r="E526" s="654"/>
      <c r="F526" s="654"/>
      <c r="G526" s="654"/>
      <c r="H526" s="654"/>
      <c r="I526" s="654"/>
      <c r="J526" s="654"/>
      <c r="K526" s="654"/>
      <c r="L526" s="654"/>
      <c r="M526" s="654"/>
      <c r="N526" s="654"/>
      <c r="O526" s="654"/>
      <c r="P526" s="654"/>
      <c r="Q526" s="654"/>
      <c r="R526" s="654"/>
      <c r="S526" s="654"/>
      <c r="T526" s="654"/>
      <c r="U526" s="654"/>
      <c r="V526" s="654"/>
      <c r="W526" s="654"/>
      <c r="X526" s="654"/>
      <c r="Y526" s="654"/>
      <c r="Z526" s="654"/>
      <c r="AA526" s="48"/>
      <c r="AB526" s="48"/>
      <c r="AC526" s="48"/>
    </row>
    <row r="527" spans="1:68" ht="16.5" customHeight="1" x14ac:dyDescent="0.25">
      <c r="A527" s="652" t="s">
        <v>837</v>
      </c>
      <c r="B527" s="646"/>
      <c r="C527" s="646"/>
      <c r="D527" s="646"/>
      <c r="E527" s="646"/>
      <c r="F527" s="646"/>
      <c r="G527" s="646"/>
      <c r="H527" s="646"/>
      <c r="I527" s="646"/>
      <c r="J527" s="646"/>
      <c r="K527" s="646"/>
      <c r="L527" s="646"/>
      <c r="M527" s="646"/>
      <c r="N527" s="646"/>
      <c r="O527" s="646"/>
      <c r="P527" s="646"/>
      <c r="Q527" s="646"/>
      <c r="R527" s="646"/>
      <c r="S527" s="646"/>
      <c r="T527" s="646"/>
      <c r="U527" s="646"/>
      <c r="V527" s="646"/>
      <c r="W527" s="646"/>
      <c r="X527" s="646"/>
      <c r="Y527" s="646"/>
      <c r="Z527" s="646"/>
      <c r="AA527" s="628"/>
      <c r="AB527" s="628"/>
      <c r="AC527" s="628"/>
    </row>
    <row r="528" spans="1:68" ht="14.25" customHeight="1" x14ac:dyDescent="0.25">
      <c r="A528" s="645" t="s">
        <v>111</v>
      </c>
      <c r="B528" s="646"/>
      <c r="C528" s="646"/>
      <c r="D528" s="646"/>
      <c r="E528" s="646"/>
      <c r="F528" s="646"/>
      <c r="G528" s="646"/>
      <c r="H528" s="646"/>
      <c r="I528" s="646"/>
      <c r="J528" s="646"/>
      <c r="K528" s="646"/>
      <c r="L528" s="646"/>
      <c r="M528" s="646"/>
      <c r="N528" s="646"/>
      <c r="O528" s="646"/>
      <c r="P528" s="646"/>
      <c r="Q528" s="646"/>
      <c r="R528" s="646"/>
      <c r="S528" s="646"/>
      <c r="T528" s="646"/>
      <c r="U528" s="646"/>
      <c r="V528" s="646"/>
      <c r="W528" s="646"/>
      <c r="X528" s="646"/>
      <c r="Y528" s="646"/>
      <c r="Z528" s="646"/>
      <c r="AA528" s="629"/>
      <c r="AB528" s="629"/>
      <c r="AC528" s="629"/>
    </row>
    <row r="529" spans="1:68" ht="27" customHeight="1" x14ac:dyDescent="0.25">
      <c r="A529" s="54" t="s">
        <v>838</v>
      </c>
      <c r="B529" s="54" t="s">
        <v>839</v>
      </c>
      <c r="C529" s="31">
        <v>4301011584</v>
      </c>
      <c r="D529" s="640">
        <v>4640242180564</v>
      </c>
      <c r="E529" s="641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38"/>
      <c r="R529" s="638"/>
      <c r="S529" s="638"/>
      <c r="T529" s="639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61"/>
      <c r="B530" s="646"/>
      <c r="C530" s="646"/>
      <c r="D530" s="646"/>
      <c r="E530" s="646"/>
      <c r="F530" s="646"/>
      <c r="G530" s="646"/>
      <c r="H530" s="646"/>
      <c r="I530" s="646"/>
      <c r="J530" s="646"/>
      <c r="K530" s="646"/>
      <c r="L530" s="646"/>
      <c r="M530" s="646"/>
      <c r="N530" s="646"/>
      <c r="O530" s="662"/>
      <c r="P530" s="642" t="s">
        <v>72</v>
      </c>
      <c r="Q530" s="643"/>
      <c r="R530" s="643"/>
      <c r="S530" s="643"/>
      <c r="T530" s="643"/>
      <c r="U530" s="643"/>
      <c r="V530" s="644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62"/>
      <c r="P531" s="642" t="s">
        <v>72</v>
      </c>
      <c r="Q531" s="643"/>
      <c r="R531" s="643"/>
      <c r="S531" s="643"/>
      <c r="T531" s="643"/>
      <c r="U531" s="643"/>
      <c r="V531" s="644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customHeight="1" x14ac:dyDescent="0.25">
      <c r="A532" s="645" t="s">
        <v>147</v>
      </c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6"/>
      <c r="P532" s="646"/>
      <c r="Q532" s="646"/>
      <c r="R532" s="646"/>
      <c r="S532" s="646"/>
      <c r="T532" s="646"/>
      <c r="U532" s="646"/>
      <c r="V532" s="646"/>
      <c r="W532" s="646"/>
      <c r="X532" s="646"/>
      <c r="Y532" s="646"/>
      <c r="Z532" s="646"/>
      <c r="AA532" s="629"/>
      <c r="AB532" s="629"/>
      <c r="AC532" s="629"/>
    </row>
    <row r="533" spans="1:68" ht="27" customHeight="1" x14ac:dyDescent="0.25">
      <c r="A533" s="54" t="s">
        <v>841</v>
      </c>
      <c r="B533" s="54" t="s">
        <v>842</v>
      </c>
      <c r="C533" s="31">
        <v>4301020400</v>
      </c>
      <c r="D533" s="640">
        <v>4640242180519</v>
      </c>
      <c r="E533" s="641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38"/>
      <c r="R533" s="638"/>
      <c r="S533" s="638"/>
      <c r="T533" s="639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61"/>
      <c r="B534" s="646"/>
      <c r="C534" s="646"/>
      <c r="D534" s="646"/>
      <c r="E534" s="646"/>
      <c r="F534" s="646"/>
      <c r="G534" s="646"/>
      <c r="H534" s="646"/>
      <c r="I534" s="646"/>
      <c r="J534" s="646"/>
      <c r="K534" s="646"/>
      <c r="L534" s="646"/>
      <c r="M534" s="646"/>
      <c r="N534" s="646"/>
      <c r="O534" s="662"/>
      <c r="P534" s="642" t="s">
        <v>72</v>
      </c>
      <c r="Q534" s="643"/>
      <c r="R534" s="643"/>
      <c r="S534" s="643"/>
      <c r="T534" s="643"/>
      <c r="U534" s="643"/>
      <c r="V534" s="644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62"/>
      <c r="P535" s="642" t="s">
        <v>72</v>
      </c>
      <c r="Q535" s="643"/>
      <c r="R535" s="643"/>
      <c r="S535" s="643"/>
      <c r="T535" s="643"/>
      <c r="U535" s="643"/>
      <c r="V535" s="644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customHeight="1" x14ac:dyDescent="0.25">
      <c r="A536" s="645" t="s">
        <v>62</v>
      </c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6"/>
      <c r="P536" s="646"/>
      <c r="Q536" s="646"/>
      <c r="R536" s="646"/>
      <c r="S536" s="646"/>
      <c r="T536" s="646"/>
      <c r="U536" s="646"/>
      <c r="V536" s="646"/>
      <c r="W536" s="646"/>
      <c r="X536" s="646"/>
      <c r="Y536" s="646"/>
      <c r="Z536" s="646"/>
      <c r="AA536" s="629"/>
      <c r="AB536" s="629"/>
      <c r="AC536" s="629"/>
    </row>
    <row r="537" spans="1:68" ht="27" customHeight="1" x14ac:dyDescent="0.25">
      <c r="A537" s="54" t="s">
        <v>844</v>
      </c>
      <c r="B537" s="54" t="s">
        <v>845</v>
      </c>
      <c r="C537" s="31">
        <v>4301031500</v>
      </c>
      <c r="D537" s="640">
        <v>4640242180595</v>
      </c>
      <c r="E537" s="641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38"/>
      <c r="R537" s="638"/>
      <c r="S537" s="638"/>
      <c r="T537" s="639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61"/>
      <c r="B538" s="646"/>
      <c r="C538" s="646"/>
      <c r="D538" s="646"/>
      <c r="E538" s="646"/>
      <c r="F538" s="646"/>
      <c r="G538" s="646"/>
      <c r="H538" s="646"/>
      <c r="I538" s="646"/>
      <c r="J538" s="646"/>
      <c r="K538" s="646"/>
      <c r="L538" s="646"/>
      <c r="M538" s="646"/>
      <c r="N538" s="646"/>
      <c r="O538" s="662"/>
      <c r="P538" s="642" t="s">
        <v>72</v>
      </c>
      <c r="Q538" s="643"/>
      <c r="R538" s="643"/>
      <c r="S538" s="643"/>
      <c r="T538" s="643"/>
      <c r="U538" s="643"/>
      <c r="V538" s="644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62"/>
      <c r="P539" s="642" t="s">
        <v>72</v>
      </c>
      <c r="Q539" s="643"/>
      <c r="R539" s="643"/>
      <c r="S539" s="643"/>
      <c r="T539" s="643"/>
      <c r="U539" s="643"/>
      <c r="V539" s="644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customHeight="1" x14ac:dyDescent="0.25">
      <c r="A540" s="645" t="s">
        <v>74</v>
      </c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6"/>
      <c r="P540" s="646"/>
      <c r="Q540" s="646"/>
      <c r="R540" s="646"/>
      <c r="S540" s="646"/>
      <c r="T540" s="646"/>
      <c r="U540" s="646"/>
      <c r="V540" s="646"/>
      <c r="W540" s="646"/>
      <c r="X540" s="646"/>
      <c r="Y540" s="646"/>
      <c r="Z540" s="646"/>
      <c r="AA540" s="629"/>
      <c r="AB540" s="629"/>
      <c r="AC540" s="629"/>
    </row>
    <row r="541" spans="1:68" ht="27" customHeight="1" x14ac:dyDescent="0.25">
      <c r="A541" s="54" t="s">
        <v>847</v>
      </c>
      <c r="B541" s="54" t="s">
        <v>848</v>
      </c>
      <c r="C541" s="31">
        <v>4301052043</v>
      </c>
      <c r="D541" s="640">
        <v>4640242180533</v>
      </c>
      <c r="E541" s="641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89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38"/>
      <c r="R541" s="638"/>
      <c r="S541" s="638"/>
      <c r="T541" s="639"/>
      <c r="U541" s="34"/>
      <c r="V541" s="34"/>
      <c r="W541" s="35" t="s">
        <v>67</v>
      </c>
      <c r="X541" s="633">
        <v>50</v>
      </c>
      <c r="Y541" s="634">
        <f>IFERROR(IF(X541="",0,CEILING((X541/$H541),1)*$H541),"")</f>
        <v>54</v>
      </c>
      <c r="Z541" s="36">
        <f>IFERROR(IF(Y541=0,"",ROUNDUP(Y541/H541,0)*0.01898),"")</f>
        <v>0.11388000000000001</v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52.74444444444444</v>
      </c>
      <c r="BN541" s="64">
        <f>IFERROR(Y541*I541/H541,"0")</f>
        <v>56.963999999999992</v>
      </c>
      <c r="BO541" s="64">
        <f>IFERROR(1/J541*(X541/H541),"0")</f>
        <v>8.6805555555555552E-2</v>
      </c>
      <c r="BP541" s="64">
        <f>IFERROR(1/J541*(Y541/H541),"0")</f>
        <v>9.375E-2</v>
      </c>
    </row>
    <row r="542" spans="1:68" x14ac:dyDescent="0.2">
      <c r="A542" s="661"/>
      <c r="B542" s="646"/>
      <c r="C542" s="646"/>
      <c r="D542" s="646"/>
      <c r="E542" s="646"/>
      <c r="F542" s="646"/>
      <c r="G542" s="646"/>
      <c r="H542" s="646"/>
      <c r="I542" s="646"/>
      <c r="J542" s="646"/>
      <c r="K542" s="646"/>
      <c r="L542" s="646"/>
      <c r="M542" s="646"/>
      <c r="N542" s="646"/>
      <c r="O542" s="662"/>
      <c r="P542" s="642" t="s">
        <v>72</v>
      </c>
      <c r="Q542" s="643"/>
      <c r="R542" s="643"/>
      <c r="S542" s="643"/>
      <c r="T542" s="643"/>
      <c r="U542" s="643"/>
      <c r="V542" s="644"/>
      <c r="W542" s="37" t="s">
        <v>73</v>
      </c>
      <c r="X542" s="635">
        <f>IFERROR(X541/H541,"0")</f>
        <v>5.5555555555555554</v>
      </c>
      <c r="Y542" s="635">
        <f>IFERROR(Y541/H541,"0")</f>
        <v>6</v>
      </c>
      <c r="Z542" s="635">
        <f>IFERROR(IF(Z541="",0,Z541),"0")</f>
        <v>0.11388000000000001</v>
      </c>
      <c r="AA542" s="636"/>
      <c r="AB542" s="636"/>
      <c r="AC542" s="636"/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62"/>
      <c r="P543" s="642" t="s">
        <v>72</v>
      </c>
      <c r="Q543" s="643"/>
      <c r="R543" s="643"/>
      <c r="S543" s="643"/>
      <c r="T543" s="643"/>
      <c r="U543" s="643"/>
      <c r="V543" s="644"/>
      <c r="W543" s="37" t="s">
        <v>67</v>
      </c>
      <c r="X543" s="635">
        <f>IFERROR(SUM(X541:X541),"0")</f>
        <v>50</v>
      </c>
      <c r="Y543" s="635">
        <f>IFERROR(SUM(Y541:Y541),"0")</f>
        <v>54</v>
      </c>
      <c r="Z543" s="37"/>
      <c r="AA543" s="636"/>
      <c r="AB543" s="636"/>
      <c r="AC543" s="636"/>
    </row>
    <row r="544" spans="1:68" ht="14.25" customHeight="1" x14ac:dyDescent="0.25">
      <c r="A544" s="645" t="s">
        <v>164</v>
      </c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6"/>
      <c r="P544" s="646"/>
      <c r="Q544" s="646"/>
      <c r="R544" s="646"/>
      <c r="S544" s="646"/>
      <c r="T544" s="646"/>
      <c r="U544" s="646"/>
      <c r="V544" s="646"/>
      <c r="W544" s="646"/>
      <c r="X544" s="646"/>
      <c r="Y544" s="646"/>
      <c r="Z544" s="646"/>
      <c r="AA544" s="629"/>
      <c r="AB544" s="629"/>
      <c r="AC544" s="629"/>
    </row>
    <row r="545" spans="1:68" ht="27" customHeight="1" x14ac:dyDescent="0.25">
      <c r="A545" s="54" t="s">
        <v>850</v>
      </c>
      <c r="B545" s="54" t="s">
        <v>851</v>
      </c>
      <c r="C545" s="31">
        <v>4301060535</v>
      </c>
      <c r="D545" s="640">
        <v>4640242180120</v>
      </c>
      <c r="E545" s="641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38"/>
      <c r="R545" s="638"/>
      <c r="S545" s="638"/>
      <c r="T545" s="639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853</v>
      </c>
      <c r="B546" s="54" t="s">
        <v>854</v>
      </c>
      <c r="C546" s="31">
        <v>4301060536</v>
      </c>
      <c r="D546" s="640">
        <v>4640242180137</v>
      </c>
      <c r="E546" s="641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38"/>
      <c r="R546" s="638"/>
      <c r="S546" s="638"/>
      <c r="T546" s="639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61"/>
      <c r="B547" s="646"/>
      <c r="C547" s="646"/>
      <c r="D547" s="646"/>
      <c r="E547" s="646"/>
      <c r="F547" s="646"/>
      <c r="G547" s="646"/>
      <c r="H547" s="646"/>
      <c r="I547" s="646"/>
      <c r="J547" s="646"/>
      <c r="K547" s="646"/>
      <c r="L547" s="646"/>
      <c r="M547" s="646"/>
      <c r="N547" s="646"/>
      <c r="O547" s="662"/>
      <c r="P547" s="642" t="s">
        <v>72</v>
      </c>
      <c r="Q547" s="643"/>
      <c r="R547" s="643"/>
      <c r="S547" s="643"/>
      <c r="T547" s="643"/>
      <c r="U547" s="643"/>
      <c r="V547" s="644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62"/>
      <c r="P548" s="642" t="s">
        <v>72</v>
      </c>
      <c r="Q548" s="643"/>
      <c r="R548" s="643"/>
      <c r="S548" s="643"/>
      <c r="T548" s="643"/>
      <c r="U548" s="643"/>
      <c r="V548" s="644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customHeight="1" x14ac:dyDescent="0.25">
      <c r="A549" s="652" t="s">
        <v>856</v>
      </c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6"/>
      <c r="P549" s="646"/>
      <c r="Q549" s="646"/>
      <c r="R549" s="646"/>
      <c r="S549" s="646"/>
      <c r="T549" s="646"/>
      <c r="U549" s="646"/>
      <c r="V549" s="646"/>
      <c r="W549" s="646"/>
      <c r="X549" s="646"/>
      <c r="Y549" s="646"/>
      <c r="Z549" s="646"/>
      <c r="AA549" s="628"/>
      <c r="AB549" s="628"/>
      <c r="AC549" s="628"/>
    </row>
    <row r="550" spans="1:68" ht="14.25" customHeight="1" x14ac:dyDescent="0.25">
      <c r="A550" s="645" t="s">
        <v>147</v>
      </c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46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29"/>
      <c r="AB550" s="629"/>
      <c r="AC550" s="629"/>
    </row>
    <row r="551" spans="1:68" ht="27" customHeight="1" x14ac:dyDescent="0.25">
      <c r="A551" s="54" t="s">
        <v>857</v>
      </c>
      <c r="B551" s="54" t="s">
        <v>858</v>
      </c>
      <c r="C551" s="31">
        <v>4301020428</v>
      </c>
      <c r="D551" s="640">
        <v>4640242180090</v>
      </c>
      <c r="E551" s="641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38"/>
      <c r="R551" s="638"/>
      <c r="S551" s="638"/>
      <c r="T551" s="639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61"/>
      <c r="B552" s="646"/>
      <c r="C552" s="646"/>
      <c r="D552" s="646"/>
      <c r="E552" s="646"/>
      <c r="F552" s="646"/>
      <c r="G552" s="646"/>
      <c r="H552" s="646"/>
      <c r="I552" s="646"/>
      <c r="J552" s="646"/>
      <c r="K552" s="646"/>
      <c r="L552" s="646"/>
      <c r="M552" s="646"/>
      <c r="N552" s="646"/>
      <c r="O552" s="662"/>
      <c r="P552" s="642" t="s">
        <v>72</v>
      </c>
      <c r="Q552" s="643"/>
      <c r="R552" s="643"/>
      <c r="S552" s="643"/>
      <c r="T552" s="643"/>
      <c r="U552" s="643"/>
      <c r="V552" s="644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62"/>
      <c r="P553" s="642" t="s">
        <v>72</v>
      </c>
      <c r="Q553" s="643"/>
      <c r="R553" s="643"/>
      <c r="S553" s="643"/>
      <c r="T553" s="643"/>
      <c r="U553" s="643"/>
      <c r="V553" s="644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31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732"/>
      <c r="P554" s="657" t="s">
        <v>860</v>
      </c>
      <c r="Q554" s="658"/>
      <c r="R554" s="658"/>
      <c r="S554" s="658"/>
      <c r="T554" s="658"/>
      <c r="U554" s="658"/>
      <c r="V554" s="659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17609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17830.800000000003</v>
      </c>
      <c r="Z554" s="37"/>
      <c r="AA554" s="636"/>
      <c r="AB554" s="636"/>
      <c r="AC554" s="636"/>
    </row>
    <row r="555" spans="1:68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732"/>
      <c r="P555" s="657" t="s">
        <v>861</v>
      </c>
      <c r="Q555" s="658"/>
      <c r="R555" s="658"/>
      <c r="S555" s="658"/>
      <c r="T555" s="658"/>
      <c r="U555" s="658"/>
      <c r="V555" s="659"/>
      <c r="W555" s="37" t="s">
        <v>67</v>
      </c>
      <c r="X555" s="635">
        <f>IFERROR(SUM(BM22:BM551),"0")</f>
        <v>18694.768867596449</v>
      </c>
      <c r="Y555" s="635">
        <f>IFERROR(SUM(BN22:BN551),"0")</f>
        <v>18932.748999999996</v>
      </c>
      <c r="Z555" s="37"/>
      <c r="AA555" s="636"/>
      <c r="AB555" s="636"/>
      <c r="AC555" s="636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732"/>
      <c r="P556" s="657" t="s">
        <v>862</v>
      </c>
      <c r="Q556" s="658"/>
      <c r="R556" s="658"/>
      <c r="S556" s="658"/>
      <c r="T556" s="658"/>
      <c r="U556" s="658"/>
      <c r="V556" s="659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732"/>
      <c r="P557" s="657" t="s">
        <v>864</v>
      </c>
      <c r="Q557" s="658"/>
      <c r="R557" s="658"/>
      <c r="S557" s="658"/>
      <c r="T557" s="658"/>
      <c r="U557" s="658"/>
      <c r="V557" s="659"/>
      <c r="W557" s="37" t="s">
        <v>67</v>
      </c>
      <c r="X557" s="635">
        <f>GrossWeightTotal+PalletQtyTotal*25</f>
        <v>19494.768867596449</v>
      </c>
      <c r="Y557" s="635">
        <f>GrossWeightTotalR+PalletQtyTotalR*25</f>
        <v>19732.748999999996</v>
      </c>
      <c r="Z557" s="37"/>
      <c r="AA557" s="636"/>
      <c r="AB557" s="636"/>
      <c r="AC557" s="636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732"/>
      <c r="P558" s="657" t="s">
        <v>865</v>
      </c>
      <c r="Q558" s="658"/>
      <c r="R558" s="658"/>
      <c r="S558" s="658"/>
      <c r="T558" s="658"/>
      <c r="U558" s="658"/>
      <c r="V558" s="659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3181.8112067922084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3223</v>
      </c>
      <c r="Z558" s="37"/>
      <c r="AA558" s="636"/>
      <c r="AB558" s="636"/>
      <c r="AC558" s="636"/>
    </row>
    <row r="559" spans="1:68" ht="14.25" customHeight="1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732"/>
      <c r="P559" s="657" t="s">
        <v>866</v>
      </c>
      <c r="Q559" s="658"/>
      <c r="R559" s="658"/>
      <c r="S559" s="658"/>
      <c r="T559" s="658"/>
      <c r="U559" s="658"/>
      <c r="V559" s="659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37.411139999999996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682" t="s">
        <v>109</v>
      </c>
      <c r="E561" s="771"/>
      <c r="F561" s="771"/>
      <c r="G561" s="771"/>
      <c r="H561" s="771"/>
      <c r="I561" s="771"/>
      <c r="J561" s="735"/>
      <c r="K561" s="682" t="s">
        <v>342</v>
      </c>
      <c r="L561" s="771"/>
      <c r="M561" s="771"/>
      <c r="N561" s="771"/>
      <c r="O561" s="771"/>
      <c r="P561" s="771"/>
      <c r="Q561" s="771"/>
      <c r="R561" s="771"/>
      <c r="S561" s="771"/>
      <c r="T561" s="771"/>
      <c r="U561" s="771"/>
      <c r="V561" s="735"/>
      <c r="W561" s="682" t="s">
        <v>688</v>
      </c>
      <c r="X561" s="735"/>
      <c r="Y561" s="682" t="s">
        <v>754</v>
      </c>
      <c r="Z561" s="735"/>
      <c r="AA561" s="630" t="s">
        <v>790</v>
      </c>
      <c r="AB561" s="682" t="s">
        <v>837</v>
      </c>
      <c r="AC561" s="735"/>
      <c r="AF561" s="631"/>
    </row>
    <row r="562" spans="1:32" ht="14.25" customHeight="1" thickTop="1" x14ac:dyDescent="0.2">
      <c r="A562" s="710" t="s">
        <v>869</v>
      </c>
      <c r="B562" s="682" t="s">
        <v>61</v>
      </c>
      <c r="C562" s="682" t="s">
        <v>93</v>
      </c>
      <c r="D562" s="682" t="s">
        <v>110</v>
      </c>
      <c r="E562" s="682" t="s">
        <v>126</v>
      </c>
      <c r="F562" s="682" t="s">
        <v>171</v>
      </c>
      <c r="G562" s="682" t="s">
        <v>192</v>
      </c>
      <c r="H562" s="682" t="s">
        <v>232</v>
      </c>
      <c r="I562" s="682" t="s">
        <v>256</v>
      </c>
      <c r="J562" s="682" t="s">
        <v>109</v>
      </c>
      <c r="K562" s="682" t="s">
        <v>343</v>
      </c>
      <c r="L562" s="682" t="s">
        <v>364</v>
      </c>
      <c r="M562" s="682" t="s">
        <v>431</v>
      </c>
      <c r="N562" s="631"/>
      <c r="O562" s="682" t="s">
        <v>499</v>
      </c>
      <c r="P562" s="682" t="s">
        <v>532</v>
      </c>
      <c r="Q562" s="682" t="s">
        <v>548</v>
      </c>
      <c r="R562" s="682" t="s">
        <v>557</v>
      </c>
      <c r="S562" s="682" t="s">
        <v>578</v>
      </c>
      <c r="T562" s="682" t="s">
        <v>587</v>
      </c>
      <c r="U562" s="682" t="s">
        <v>668</v>
      </c>
      <c r="V562" s="682" t="s">
        <v>678</v>
      </c>
      <c r="W562" s="682" t="s">
        <v>689</v>
      </c>
      <c r="X562" s="682" t="s">
        <v>738</v>
      </c>
      <c r="Y562" s="682" t="s">
        <v>755</v>
      </c>
      <c r="Z562" s="682" t="s">
        <v>778</v>
      </c>
      <c r="AA562" s="682" t="s">
        <v>790</v>
      </c>
      <c r="AB562" s="682" t="s">
        <v>837</v>
      </c>
      <c r="AC562" s="682" t="s">
        <v>856</v>
      </c>
      <c r="AF562" s="631"/>
    </row>
    <row r="563" spans="1:32" ht="13.5" customHeight="1" thickBot="1" x14ac:dyDescent="0.25">
      <c r="A563" s="711"/>
      <c r="B563" s="683"/>
      <c r="C563" s="683"/>
      <c r="D563" s="683"/>
      <c r="E563" s="683"/>
      <c r="F563" s="683"/>
      <c r="G563" s="683"/>
      <c r="H563" s="683"/>
      <c r="I563" s="683"/>
      <c r="J563" s="683"/>
      <c r="K563" s="683"/>
      <c r="L563" s="683"/>
      <c r="M563" s="683"/>
      <c r="N563" s="631"/>
      <c r="O563" s="683"/>
      <c r="P563" s="683"/>
      <c r="Q563" s="683"/>
      <c r="R563" s="683"/>
      <c r="S563" s="683"/>
      <c r="T563" s="683"/>
      <c r="U563" s="683"/>
      <c r="V563" s="683"/>
      <c r="W563" s="683"/>
      <c r="X563" s="683"/>
      <c r="Y563" s="683"/>
      <c r="Z563" s="683"/>
      <c r="AA563" s="683"/>
      <c r="AB563" s="683"/>
      <c r="AC563" s="683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99.000000000000014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365.90000000000003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1543.2</v>
      </c>
      <c r="F564" s="46">
        <f>IFERROR(Y84*1,"0")+IFERROR(Y85*1,"0")+IFERROR(Y86*1,"0")+IFERROR(Y87*1,"0")+IFERROR(Y91*1,"0")+IFERROR(Y92*1,"0")+IFERROR(Y93*1,"0")+IFERROR(Y94*1,"0")</f>
        <v>966.6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1275.6600000000001</v>
      </c>
      <c r="H564" s="46">
        <f>IFERROR(Y129*1,"0")+IFERROR(Y130*1,"0")+IFERROR(Y131*1,"0")+IFERROR(Y135*1,"0")+IFERROR(Y136*1,"0")+IFERROR(Y137*1,"0")+IFERROR(Y138*1,"0")+IFERROR(Y142*1,"0")+IFERROR(Y143*1,"0")+IFERROR(Y144*1,"0")</f>
        <v>22.08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980.72000000000014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328.94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3896.7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238.6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129.6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904.8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1333.1000000000001</v>
      </c>
      <c r="U564" s="46">
        <f>IFERROR(Y412*1,"0")+IFERROR(Y413*1,"0")</f>
        <v>0</v>
      </c>
      <c r="V564" s="46">
        <f>IFERROR(Y418*1,"0")+IFERROR(Y419*1,"0")+IFERROR(Y420*1,"0")</f>
        <v>18.900000000000002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3153</v>
      </c>
      <c r="X564" s="46">
        <f>IFERROR(Y455*1,"0")+IFERROR(Y456*1,"0")+IFERROR(Y460*1,"0")+IFERROR(Y464*1,"0")+IFERROR(Y465*1,"0")+IFERROR(Y466*1,"0")</f>
        <v>588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1932</v>
      </c>
      <c r="AB564" s="46">
        <f>IFERROR(Y529*1,"0")+IFERROR(Y533*1,"0")+IFERROR(Y537*1,"0")+IFERROR(Y541*1,"0")+IFERROR(Y545*1,"0")+IFERROR(Y546*1,"0")</f>
        <v>54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549:Z549"/>
    <mergeCell ref="P524:V524"/>
    <mergeCell ref="D105:E105"/>
    <mergeCell ref="D341:E341"/>
    <mergeCell ref="D170:E170"/>
    <mergeCell ref="A536:Z536"/>
    <mergeCell ref="P132:V132"/>
    <mergeCell ref="N17:N18"/>
    <mergeCell ref="D49:E49"/>
    <mergeCell ref="A329:O330"/>
    <mergeCell ref="P60:T60"/>
    <mergeCell ref="P397:V397"/>
    <mergeCell ref="D239:E239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Q13:R13"/>
    <mergeCell ref="D318:E318"/>
    <mergeCell ref="A391:Z391"/>
    <mergeCell ref="A220:Z220"/>
    <mergeCell ref="A125:O126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A80:O81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D138:E138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D27:E27"/>
    <mergeCell ref="D325:E325"/>
    <mergeCell ref="P208:T208"/>
    <mergeCell ref="A398:Z398"/>
    <mergeCell ref="P450:T450"/>
    <mergeCell ref="D456:E456"/>
    <mergeCell ref="A132:O133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427:T427"/>
    <mergeCell ref="P283:T283"/>
    <mergeCell ref="D93:E93"/>
    <mergeCell ref="A251:Z251"/>
    <mergeCell ref="A322:Z322"/>
    <mergeCell ref="A53:Z53"/>
    <mergeCell ref="D59:E59"/>
    <mergeCell ref="D178:E178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A26:Z26"/>
    <mergeCell ref="P401:T401"/>
    <mergeCell ref="P268:T268"/>
    <mergeCell ref="D382:E382"/>
    <mergeCell ref="P230:T230"/>
    <mergeCell ref="D211:E211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D87:E87"/>
    <mergeCell ref="P474:T474"/>
    <mergeCell ref="D224:E224"/>
    <mergeCell ref="P103:T103"/>
    <mergeCell ref="P258:T258"/>
    <mergeCell ref="D369:E369"/>
    <mergeCell ref="P223:T223"/>
    <mergeCell ref="D460:E460"/>
    <mergeCell ref="P519:T519"/>
    <mergeCell ref="A156:O157"/>
    <mergeCell ref="P153:T153"/>
    <mergeCell ref="P71:V71"/>
    <mergeCell ref="P307:V307"/>
    <mergeCell ref="D55:E55"/>
    <mergeCell ref="A524:O525"/>
    <mergeCell ref="D30:E30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P482:T482"/>
    <mergeCell ref="D354:E354"/>
    <mergeCell ref="P106:V106"/>
    <mergeCell ref="P33:V33"/>
    <mergeCell ref="D356:E356"/>
    <mergeCell ref="P264:V264"/>
    <mergeCell ref="A396:O397"/>
    <mergeCell ref="A216:Z216"/>
    <mergeCell ref="P462:V462"/>
    <mergeCell ref="A45:Z45"/>
    <mergeCell ref="P273:T273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A34:Z34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3:E473"/>
    <mergeCell ref="P514:V514"/>
    <mergeCell ref="A510:Z510"/>
    <mergeCell ref="P73:T73"/>
    <mergeCell ref="P437:T437"/>
    <mergeCell ref="P144:T144"/>
    <mergeCell ref="D60:E60"/>
    <mergeCell ref="P231:T231"/>
    <mergeCell ref="P302:T302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2026-08-19T10:07:15Z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