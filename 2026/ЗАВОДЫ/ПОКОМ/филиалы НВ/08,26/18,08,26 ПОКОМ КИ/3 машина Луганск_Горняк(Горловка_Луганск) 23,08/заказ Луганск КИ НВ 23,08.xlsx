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1E515E1-029C-47E2-A006-1BA7C769DD2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4" i="1" l="1"/>
  <c r="X553" i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8" i="1"/>
  <c r="X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Y330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Y243" i="1" s="1"/>
  <c r="P239" i="1"/>
  <c r="BP238" i="1"/>
  <c r="BO238" i="1"/>
  <c r="BN238" i="1"/>
  <c r="BM238" i="1"/>
  <c r="Z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Y172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259" i="1" l="1"/>
  <c r="Y25" i="1"/>
  <c r="Y43" i="1"/>
  <c r="Y51" i="1"/>
  <c r="Y64" i="1"/>
  <c r="Y76" i="1"/>
  <c r="Y114" i="1"/>
  <c r="Y145" i="1"/>
  <c r="Y160" i="1"/>
  <c r="BP159" i="1"/>
  <c r="BN159" i="1"/>
  <c r="Z159" i="1"/>
  <c r="Z160" i="1" s="1"/>
  <c r="Y161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Z197" i="1" s="1"/>
  <c r="Y201" i="1"/>
  <c r="BP200" i="1"/>
  <c r="BN200" i="1"/>
  <c r="Z200" i="1"/>
  <c r="Z201" i="1" s="1"/>
  <c r="K564" i="1"/>
  <c r="Y213" i="1"/>
  <c r="BP206" i="1"/>
  <c r="BN206" i="1"/>
  <c r="Z206" i="1"/>
  <c r="BP210" i="1"/>
  <c r="BN210" i="1"/>
  <c r="Z210" i="1"/>
  <c r="BP227" i="1"/>
  <c r="BN227" i="1"/>
  <c r="Z227" i="1"/>
  <c r="BP231" i="1"/>
  <c r="BN231" i="1"/>
  <c r="Z231" i="1"/>
  <c r="Y33" i="1"/>
  <c r="Y70" i="1"/>
  <c r="Y80" i="1"/>
  <c r="Y89" i="1"/>
  <c r="Y95" i="1"/>
  <c r="Y106" i="1"/>
  <c r="Y122" i="1"/>
  <c r="Y126" i="1"/>
  <c r="Y133" i="1"/>
  <c r="Y139" i="1"/>
  <c r="Y157" i="1"/>
  <c r="J564" i="1"/>
  <c r="Y167" i="1"/>
  <c r="BP164" i="1"/>
  <c r="BN164" i="1"/>
  <c r="Z164" i="1"/>
  <c r="Y198" i="1"/>
  <c r="Y202" i="1"/>
  <c r="BP223" i="1"/>
  <c r="BN223" i="1"/>
  <c r="Z223" i="1"/>
  <c r="Y235" i="1"/>
  <c r="BP239" i="1"/>
  <c r="BN239" i="1"/>
  <c r="Z239" i="1"/>
  <c r="Z243" i="1" s="1"/>
  <c r="BP247" i="1"/>
  <c r="BN247" i="1"/>
  <c r="Z247" i="1"/>
  <c r="Z249" i="1" s="1"/>
  <c r="BP268" i="1"/>
  <c r="BN268" i="1"/>
  <c r="Z268" i="1"/>
  <c r="Z275" i="1" s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Z457" i="1"/>
  <c r="P564" i="1"/>
  <c r="H9" i="1"/>
  <c r="B564" i="1"/>
  <c r="X555" i="1"/>
  <c r="X557" i="1" s="1"/>
  <c r="X556" i="1"/>
  <c r="Z23" i="1"/>
  <c r="Z24" i="1" s="1"/>
  <c r="BN23" i="1"/>
  <c r="Y24" i="1"/>
  <c r="X554" i="1"/>
  <c r="Z27" i="1"/>
  <c r="Z32" i="1" s="1"/>
  <c r="BN27" i="1"/>
  <c r="BP27" i="1"/>
  <c r="Y556" i="1" s="1"/>
  <c r="Z29" i="1"/>
  <c r="BN29" i="1"/>
  <c r="Y555" i="1" s="1"/>
  <c r="Y557" i="1" s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BN91" i="1"/>
  <c r="BP91" i="1"/>
  <c r="Z93" i="1"/>
  <c r="BN93" i="1"/>
  <c r="G564" i="1"/>
  <c r="Z100" i="1"/>
  <c r="Z106" i="1" s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Z156" i="1" s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Z186" i="1" s="1"/>
  <c r="BP182" i="1"/>
  <c r="BN182" i="1"/>
  <c r="Z182" i="1"/>
  <c r="Y186" i="1"/>
  <c r="Z192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Y250" i="1"/>
  <c r="Y249" i="1"/>
  <c r="BP258" i="1"/>
  <c r="BN258" i="1"/>
  <c r="Z258" i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Z320" i="1"/>
  <c r="BP318" i="1"/>
  <c r="BN318" i="1"/>
  <c r="Z318" i="1"/>
  <c r="Y320" i="1"/>
  <c r="BP341" i="1"/>
  <c r="BN341" i="1"/>
  <c r="Z341" i="1"/>
  <c r="Z345" i="1" s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Z306" i="1" s="1"/>
  <c r="BP304" i="1"/>
  <c r="BN304" i="1"/>
  <c r="Z304" i="1"/>
  <c r="Y321" i="1"/>
  <c r="BP325" i="1"/>
  <c r="BN325" i="1"/>
  <c r="Z325" i="1"/>
  <c r="Z329" i="1" s="1"/>
  <c r="Y329" i="1"/>
  <c r="Z336" i="1"/>
  <c r="BP334" i="1"/>
  <c r="BN334" i="1"/>
  <c r="Z334" i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Z434" i="1" s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494" i="1" l="1"/>
  <c r="Z290" i="1"/>
  <c r="Z357" i="1"/>
  <c r="Y558" i="1"/>
  <c r="Z167" i="1"/>
  <c r="Z508" i="1"/>
  <c r="Z478" i="1"/>
  <c r="Z440" i="1"/>
  <c r="Z524" i="1"/>
  <c r="Z467" i="1"/>
  <c r="Z446" i="1"/>
  <c r="Z396" i="1"/>
  <c r="Z376" i="1"/>
  <c r="Z366" i="1"/>
  <c r="Z383" i="1"/>
  <c r="Z235" i="1"/>
  <c r="Z139" i="1"/>
  <c r="Z132" i="1"/>
  <c r="Z95" i="1"/>
  <c r="Z70" i="1"/>
  <c r="Z51" i="1"/>
  <c r="Z42" i="1"/>
  <c r="Z559" i="1" s="1"/>
  <c r="Z402" i="1"/>
  <c r="Z213" i="1"/>
  <c r="Y554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<sst xmlns="http://schemas.openxmlformats.org/spreadsheetml/2006/main" count="2515" uniqueCount="912">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</sst>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6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296</v>
      </c>
      <c r="Y47" s="634">
        <f>IFERROR(IF(X47="",0,CEILING((X47/$H47),1)*$H47),"")</f>
        <v>302.40000000000003</v>
      </c>
      <c r="Z47" s="36">
        <f>IFERROR(IF(Y47=0,"",ROUNDUP(Y47/H47,0)*0.01898),"")</f>
        <v>0.53144000000000002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307.23703703703706</v>
      </c>
      <c r="BN47" s="64">
        <f>IFERROR(Y47*I47/H47,"0")</f>
        <v>313.88</v>
      </c>
      <c r="BO47" s="64">
        <f>IFERROR(1/J47*(X47/H47),"0")</f>
        <v>0.4282407407407407</v>
      </c>
      <c r="BP47" s="64">
        <f>IFERROR(1/J47*(Y47/H47),"0")</f>
        <v>0.4375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27.407407407407405</v>
      </c>
      <c r="Y51" s="635">
        <f>IFERROR(Y47/H47,"0")+IFERROR(Y48/H48,"0")+IFERROR(Y49/H49,"0")+IFERROR(Y50/H50,"0")</f>
        <v>28</v>
      </c>
      <c r="Z51" s="635">
        <f>IFERROR(IF(Z47="",0,Z47),"0")+IFERROR(IF(Z48="",0,Z48),"0")+IFERROR(IF(Z49="",0,Z49),"0")+IFERROR(IF(Z50="",0,Z50),"0")</f>
        <v>0.53144000000000002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296</v>
      </c>
      <c r="Y52" s="635">
        <f>IFERROR(SUM(Y47:Y50),"0")</f>
        <v>302.40000000000003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388</v>
      </c>
      <c r="Y91" s="634">
        <f>IFERROR(IF(X91="",0,CEILING((X91/$H91),1)*$H91),"")</f>
        <v>388.79999999999995</v>
      </c>
      <c r="Z91" s="36">
        <f>IFERROR(IF(Y91=0,"",ROUNDUP(Y91/H91,0)*0.01898),"")</f>
        <v>0.91104000000000007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411.66320987654319</v>
      </c>
      <c r="BN91" s="64">
        <f>IFERROR(Y91*I91/H91,"0")</f>
        <v>412.51199999999994</v>
      </c>
      <c r="BO91" s="64">
        <f>IFERROR(1/J91*(X91/H91),"0")</f>
        <v>0.74845679012345678</v>
      </c>
      <c r="BP91" s="64">
        <f>IFERROR(1/J91*(Y91/H91),"0")</f>
        <v>0.75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47.901234567901234</v>
      </c>
      <c r="Y95" s="635">
        <f>IFERROR(Y91/H91,"0")+IFERROR(Y92/H92,"0")+IFERROR(Y93/H93,"0")+IFERROR(Y94/H94,"0")</f>
        <v>48</v>
      </c>
      <c r="Z95" s="635">
        <f>IFERROR(IF(Z91="",0,Z91),"0")+IFERROR(IF(Z92="",0,Z92),"0")+IFERROR(IF(Z93="",0,Z93),"0")+IFERROR(IF(Z94="",0,Z94),"0")</f>
        <v>0.91104000000000007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388</v>
      </c>
      <c r="Y96" s="635">
        <f>IFERROR(SUM(Y91:Y94),"0")</f>
        <v>388.79999999999995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421</v>
      </c>
      <c r="Y117" s="634">
        <f>IFERROR(IF(X117="",0,CEILING((X117/$H117),1)*$H117),"")</f>
        <v>421.2</v>
      </c>
      <c r="Z117" s="36">
        <f>IFERROR(IF(Y117=0,"",ROUNDUP(Y117/H117,0)*0.01898),"")</f>
        <v>0.98696000000000006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446.36395061728393</v>
      </c>
      <c r="BN117" s="64">
        <f>IFERROR(Y117*I117/H117,"0")</f>
        <v>446.57599999999996</v>
      </c>
      <c r="BO117" s="64">
        <f>IFERROR(1/J117*(X117/H117),"0")</f>
        <v>0.81211419753086422</v>
      </c>
      <c r="BP117" s="64">
        <f>IFERROR(1/J117*(Y117/H117),"0")</f>
        <v>0.8125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173</v>
      </c>
      <c r="Y119" s="634">
        <f>IFERROR(IF(X119="",0,CEILING((X119/$H119),1)*$H119),"")</f>
        <v>175.5</v>
      </c>
      <c r="Z119" s="36">
        <f>IFERROR(IF(Y119=0,"",ROUNDUP(Y119/H119,0)*0.00651),"")</f>
        <v>0.42315000000000003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189.14666666666665</v>
      </c>
      <c r="BN119" s="64">
        <f>IFERROR(Y119*I119/H119,"0")</f>
        <v>191.88</v>
      </c>
      <c r="BO119" s="64">
        <f>IFERROR(1/J119*(X119/H119),"0")</f>
        <v>0.3520553520553521</v>
      </c>
      <c r="BP119" s="64">
        <f>IFERROR(1/J119*(Y119/H119),"0")</f>
        <v>0.35714285714285715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116.04938271604939</v>
      </c>
      <c r="Y121" s="635">
        <f>IFERROR(Y117/H117,"0")+IFERROR(Y118/H118,"0")+IFERROR(Y119/H119,"0")+IFERROR(Y120/H120,"0")</f>
        <v>117</v>
      </c>
      <c r="Z121" s="635">
        <f>IFERROR(IF(Z117="",0,Z117),"0")+IFERROR(IF(Z118="",0,Z118),"0")+IFERROR(IF(Z119="",0,Z119),"0")+IFERROR(IF(Z120="",0,Z120),"0")</f>
        <v>1.41011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594</v>
      </c>
      <c r="Y122" s="635">
        <f>IFERROR(SUM(Y117:Y120),"0")</f>
        <v>596.70000000000005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110</v>
      </c>
      <c r="Y232" s="634">
        <f t="shared" si="27"/>
        <v>111.30000000000001</v>
      </c>
      <c r="Z232" s="36">
        <f>IFERROR(IF(Y232=0,"",ROUNDUP(Y232/H232,0)*0.00502),"")</f>
        <v>0.26606000000000002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115.23809523809524</v>
      </c>
      <c r="BN232" s="64">
        <f t="shared" si="29"/>
        <v>116.60000000000001</v>
      </c>
      <c r="BO232" s="64">
        <f t="shared" si="30"/>
        <v>0.22385022385022388</v>
      </c>
      <c r="BP232" s="64">
        <f t="shared" si="31"/>
        <v>0.22649572649572652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52.38095238095238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53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0.26606000000000002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110</v>
      </c>
      <c r="Y236" s="635">
        <f>IFERROR(SUM(Y221:Y234),"0")</f>
        <v>111.30000000000001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287</v>
      </c>
      <c r="Y268" s="634">
        <f t="shared" si="33"/>
        <v>291.60000000000002</v>
      </c>
      <c r="Z268" s="36">
        <f>IFERROR(IF(Y268=0,"",ROUNDUP(Y268/H268,0)*0.00902),"")</f>
        <v>0.48708000000000001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297.09814814814814</v>
      </c>
      <c r="BN268" s="64">
        <f t="shared" si="35"/>
        <v>301.86</v>
      </c>
      <c r="BO268" s="64">
        <f t="shared" si="36"/>
        <v>0.40263748597081928</v>
      </c>
      <c r="BP268" s="64">
        <f t="shared" si="37"/>
        <v>0.40909090909090912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576</v>
      </c>
      <c r="Y269" s="634">
        <f t="shared" si="33"/>
        <v>577.80000000000007</v>
      </c>
      <c r="Z269" s="36">
        <f>IFERROR(IF(Y269=0,"",ROUNDUP(Y269/H269,0)*0.00902),"")</f>
        <v>0.96514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596.26666666666665</v>
      </c>
      <c r="BN269" s="64">
        <f t="shared" si="35"/>
        <v>598.13000000000011</v>
      </c>
      <c r="BO269" s="64">
        <f t="shared" si="36"/>
        <v>0.80808080808080807</v>
      </c>
      <c r="BP269" s="64">
        <f t="shared" si="37"/>
        <v>0.81060606060606066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159.81481481481481</v>
      </c>
      <c r="Y275" s="635">
        <f>IFERROR(Y267/H267,"0")+IFERROR(Y268/H268,"0")+IFERROR(Y269/H269,"0")+IFERROR(Y270/H270,"0")+IFERROR(Y271/H271,"0")+IFERROR(Y272/H272,"0")+IFERROR(Y273/H273,"0")+IFERROR(Y274/H274,"0")</f>
        <v>161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1.4522200000000001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863</v>
      </c>
      <c r="Y276" s="635">
        <f>IFERROR(SUM(Y267:Y274),"0")</f>
        <v>869.40000000000009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322</v>
      </c>
      <c r="Y281" s="634">
        <f t="shared" si="38"/>
        <v>324</v>
      </c>
      <c r="Z281" s="36">
        <f>IFERROR(IF(Y281=0,"",ROUNDUP(Y281/H281,0)*0.00651),"")</f>
        <v>0.87885000000000002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358.22500000000002</v>
      </c>
      <c r="BN281" s="64">
        <f t="shared" si="40"/>
        <v>360.45</v>
      </c>
      <c r="BO281" s="64">
        <f t="shared" si="41"/>
        <v>0.73717948717948734</v>
      </c>
      <c r="BP281" s="64">
        <f t="shared" si="42"/>
        <v>0.74175824175824179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626</v>
      </c>
      <c r="Y284" s="634">
        <f t="shared" si="38"/>
        <v>626.4</v>
      </c>
      <c r="Z284" s="36">
        <f>IFERROR(IF(Y284=0,"",ROUNDUP(Y284/H284,0)*0.00651),"")</f>
        <v>1.6991100000000001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691.73</v>
      </c>
      <c r="BN284" s="64">
        <f t="shared" si="40"/>
        <v>692.17200000000003</v>
      </c>
      <c r="BO284" s="64">
        <f t="shared" si="41"/>
        <v>1.4331501831501834</v>
      </c>
      <c r="BP284" s="64">
        <f t="shared" si="42"/>
        <v>1.4340659340659341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105</v>
      </c>
      <c r="Y287" s="634">
        <f t="shared" si="38"/>
        <v>105.6</v>
      </c>
      <c r="Z287" s="36">
        <f>IFERROR(IF(Y287=0,"",ROUNDUP(Y287/H287,0)*0.00651),"")</f>
        <v>0.28644000000000003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116.02500000000002</v>
      </c>
      <c r="BN287" s="64">
        <f t="shared" si="40"/>
        <v>116.688</v>
      </c>
      <c r="BO287" s="64">
        <f t="shared" si="41"/>
        <v>0.24038461538461539</v>
      </c>
      <c r="BP287" s="64">
        <f t="shared" si="42"/>
        <v>0.24175824175824179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438.75000000000006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440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2.8643999999999998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1053</v>
      </c>
      <c r="Y291" s="635">
        <f>IFERROR(SUM(Y278:Y289),"0")</f>
        <v>1056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783</v>
      </c>
      <c r="Y387" s="634">
        <f>IFERROR(IF(X387="",0,CEILING((X387/$H387),1)*$H387),"")</f>
        <v>787.8</v>
      </c>
      <c r="Z387" s="36">
        <f>IFERROR(IF(Y387=0,"",ROUNDUP(Y387/H387,0)*0.01898),"")</f>
        <v>1.9169800000000001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832.59</v>
      </c>
      <c r="BN387" s="64">
        <f>IFERROR(Y387*I387/H387,"0")</f>
        <v>837.69400000000007</v>
      </c>
      <c r="BO387" s="64">
        <f>IFERROR(1/J387*(X387/H387),"0")</f>
        <v>1.5685096153846154</v>
      </c>
      <c r="BP387" s="64">
        <f>IFERROR(1/J387*(Y387/H387),"0")</f>
        <v>1.578125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100.38461538461539</v>
      </c>
      <c r="Y389" s="635">
        <f>IFERROR(Y386/H386,"0")+IFERROR(Y387/H387,"0")+IFERROR(Y388/H388,"0")</f>
        <v>101</v>
      </c>
      <c r="Z389" s="635">
        <f>IFERROR(IF(Z386="",0,Z386),"0")+IFERROR(IF(Z387="",0,Z387),"0")+IFERROR(IF(Z388="",0,Z388),"0")</f>
        <v>1.9169800000000001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783</v>
      </c>
      <c r="Y390" s="635">
        <f>IFERROR(SUM(Y386:Y388),"0")</f>
        <v>787.8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451</v>
      </c>
      <c r="Y427" s="634">
        <f t="shared" si="53"/>
        <v>465</v>
      </c>
      <c r="Z427" s="36">
        <f>IFERROR(IF(Y427=0,"",ROUNDUP(Y427/H427,0)*0.02175),"")</f>
        <v>0.6742499999999999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465.13133333333337</v>
      </c>
      <c r="BN427" s="64">
        <f t="shared" si="55"/>
        <v>479.57</v>
      </c>
      <c r="BO427" s="64">
        <f t="shared" si="56"/>
        <v>0.62638888888888888</v>
      </c>
      <c r="BP427" s="64">
        <f t="shared" si="57"/>
        <v>0.64583333333333326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913</v>
      </c>
      <c r="Y429" s="634">
        <f t="shared" si="53"/>
        <v>915</v>
      </c>
      <c r="Z429" s="36">
        <f>IFERROR(IF(Y429=0,"",ROUNDUP(Y429/H429,0)*0.02175),"")</f>
        <v>1.3267499999999999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941.60733333333337</v>
      </c>
      <c r="BN429" s="64">
        <f t="shared" si="55"/>
        <v>943.67000000000007</v>
      </c>
      <c r="BO429" s="64">
        <f t="shared" si="56"/>
        <v>1.2680555555555555</v>
      </c>
      <c r="BP429" s="64">
        <f t="shared" si="57"/>
        <v>1.2708333333333333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407</v>
      </c>
      <c r="Y430" s="634">
        <f t="shared" si="53"/>
        <v>420</v>
      </c>
      <c r="Z430" s="36">
        <f>IFERROR(IF(Y430=0,"",ROUNDUP(Y430/H430,0)*0.02175),"")</f>
        <v>0.60899999999999999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419.75266666666664</v>
      </c>
      <c r="BN430" s="64">
        <f t="shared" si="55"/>
        <v>433.16</v>
      </c>
      <c r="BO430" s="64">
        <f t="shared" si="56"/>
        <v>0.56527777777777777</v>
      </c>
      <c r="BP430" s="64">
        <f t="shared" si="57"/>
        <v>0.58333333333333326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118.06666666666666</v>
      </c>
      <c r="Y434" s="635">
        <f>IFERROR(Y426/H426,"0")+IFERROR(Y427/H427,"0")+IFERROR(Y428/H428,"0")+IFERROR(Y429/H429,"0")+IFERROR(Y430/H430,"0")+IFERROR(Y431/H431,"0")+IFERROR(Y432/H432,"0")+IFERROR(Y433/H433,"0")</f>
        <v>120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2.61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1771</v>
      </c>
      <c r="Y435" s="635">
        <f>IFERROR(SUM(Y426:Y433),"0")</f>
        <v>1800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1190</v>
      </c>
      <c r="Y437" s="634">
        <f>IFERROR(IF(X437="",0,CEILING((X437/$H437),1)*$H437),"")</f>
        <v>1200</v>
      </c>
      <c r="Z437" s="36">
        <f>IFERROR(IF(Y437=0,"",ROUNDUP(Y437/H437,0)*0.02175),"")</f>
        <v>1.7399999999999998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1227.2866666666666</v>
      </c>
      <c r="BN437" s="64">
        <f>IFERROR(Y437*I437/H437,"0")</f>
        <v>1237.5999999999999</v>
      </c>
      <c r="BO437" s="64">
        <f>IFERROR(1/J437*(X437/H437),"0")</f>
        <v>1.6527777777777777</v>
      </c>
      <c r="BP437" s="64">
        <f>IFERROR(1/J437*(Y437/H437),"0")</f>
        <v>1.6666666666666665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79.333333333333329</v>
      </c>
      <c r="Y440" s="635">
        <f>IFERROR(Y437/H437,"0")+IFERROR(Y438/H438,"0")+IFERROR(Y439/H439,"0")</f>
        <v>80</v>
      </c>
      <c r="Z440" s="635">
        <f>IFERROR(IF(Z437="",0,Z437),"0")+IFERROR(IF(Z438="",0,Z438),"0")+IFERROR(IF(Z439="",0,Z439),"0")</f>
        <v>1.7399999999999998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1190</v>
      </c>
      <c r="Y441" s="635">
        <f>IFERROR(SUM(Y437:Y439),"0")</f>
        <v>1200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626</v>
      </c>
      <c r="Y464" s="634">
        <f>IFERROR(IF(X464="",0,CEILING((X464/$H464),1)*$H464),"")</f>
        <v>630</v>
      </c>
      <c r="Z464" s="36">
        <f>IFERROR(IF(Y464=0,"",ROUNDUP(Y464/H464,0)*0.01898),"")</f>
        <v>1.3286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660.3604444444444</v>
      </c>
      <c r="BN464" s="64">
        <f>IFERROR(Y464*I464/H464,"0")</f>
        <v>664.58</v>
      </c>
      <c r="BO464" s="64">
        <f>IFERROR(1/J464*(X464/H464),"0")</f>
        <v>1.0868055555555556</v>
      </c>
      <c r="BP464" s="64">
        <f>IFERROR(1/J464*(Y464/H464),"0")</f>
        <v>1.09375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69.555555555555557</v>
      </c>
      <c r="Y467" s="635">
        <f>IFERROR(Y464/H464,"0")+IFERROR(Y465/H465,"0")+IFERROR(Y466/H466,"0")</f>
        <v>70</v>
      </c>
      <c r="Z467" s="635">
        <f>IFERROR(IF(Z464="",0,Z464),"0")+IFERROR(IF(Z465="",0,Z465),"0")+IFERROR(IF(Z466="",0,Z466),"0")</f>
        <v>1.3286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626</v>
      </c>
      <c r="Y468" s="635">
        <f>IFERROR(SUM(Y464:Y466),"0")</f>
        <v>630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331</v>
      </c>
      <c r="Y504" s="634">
        <f t="shared" si="63"/>
        <v>332.64000000000004</v>
      </c>
      <c r="Z504" s="36">
        <f t="shared" si="64"/>
        <v>0.75348000000000004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352.94128787878788</v>
      </c>
      <c r="BN504" s="64">
        <f t="shared" si="66"/>
        <v>354.69</v>
      </c>
      <c r="BO504" s="64">
        <f t="shared" si="67"/>
        <v>0.6027826340326341</v>
      </c>
      <c r="BP504" s="64">
        <f t="shared" si="68"/>
        <v>0.60576923076923084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62.689393939393938</v>
      </c>
      <c r="Y508" s="635">
        <f>IFERROR(Y499/H499,"0")+IFERROR(Y500/H500,"0")+IFERROR(Y501/H501,"0")+IFERROR(Y502/H502,"0")+IFERROR(Y503/H503,"0")+IFERROR(Y504/H504,"0")+IFERROR(Y505/H505,"0")+IFERROR(Y506/H506,"0")+IFERROR(Y507/H507,"0")</f>
        <v>63.000000000000007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0.75348000000000004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331</v>
      </c>
      <c r="Y509" s="635">
        <f>IFERROR(SUM(Y499:Y507),"0")</f>
        <v>332.64000000000004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8005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8075.0400000000009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8428.6635065736737</v>
      </c>
      <c r="Y555" s="635">
        <f>IFERROR(SUM(BN22:BN551),"0")</f>
        <v>8501.7119999999995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14</v>
      </c>
      <c r="Y556" s="38">
        <f>ROUNDUP(SUM(BP22:BP551),0)</f>
        <v>14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8778.6635065736737</v>
      </c>
      <c r="Y557" s="635">
        <f>GrossWeightTotalR+PalletQtyTotalR*25</f>
        <v>8851.7119999999995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1272.3333567666903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1281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15.784329999999999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302.40000000000003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388.79999999999995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596.70000000000005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111.30000000000001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1925.4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787.8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3000</v>
      </c>
      <c r="X564" s="46">
        <f>IFERROR(Y455*1,"0")+IFERROR(Y456*1,"0")+IFERROR(Y460*1,"0")+IFERROR(Y464*1,"0")+IFERROR(Y465*1,"0")+IFERROR(Y466*1,"0")</f>
        <v>630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332.64000000000004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2026-08-19T10:08:58Z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