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17,08 Горняк(Горловка_Луганск) КИ НВ на погрузку с филиалами 22,07\"/>
    </mc:Choice>
  </mc:AlternateContent>
  <xr:revisionPtr revIDLastSave="0" documentId="13_ncr:1_{A2D097C7-988A-45F9-9FA7-C9973B752B5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<sst xmlns="http://schemas.openxmlformats.org/spreadsheetml/2006/main" count="3643" uniqueCount="787">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</sst>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topLeftCell="A35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/>
      <c r="R5" s="870"/>
      <c r="T5" s="871" t="s">
        <v>3</v>
      </c>
      <c r="U5" s="872"/>
      <c r="V5" s="873" t="s">
        <v>750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 xml:space="preserve"> 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46259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hidden="1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hidden="1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hidden="1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hidden="1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hidden="1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hidden="1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hidden="1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hidden="1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hidden="1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hidden="1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hidden="1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hidden="1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hidden="1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hidden="1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hidden="1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hidden="1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hidden="1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hidden="1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hidden="1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hidden="1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hidden="1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hidden="1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hidden="1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hidden="1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hidden="1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120</v>
      </c>
      <c r="Y360" s="55">
        <f>IFERROR(IF(X360="",0,CEILING((X360/$H360),1)*$H360),"")</f>
        <v>120</v>
      </c>
      <c r="Z360" s="41">
        <f>IFERROR(IF(Y360=0,"",ROUNDUP(Y360/H360,0)*0.02175),"")</f>
        <v>0.17399999999999999</v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123.76</v>
      </c>
      <c r="BN360" s="78">
        <f>IFERROR(Y360*I360/H360,"0")</f>
        <v>123.76</v>
      </c>
      <c r="BO360" s="78">
        <f>IFERROR(1/J360*(X360/H360),"0")</f>
        <v>0.16666666666666666</v>
      </c>
      <c r="BP360" s="78">
        <f>IFERROR(1/J360*(Y360/H360),"0")</f>
        <v>0.16666666666666666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8</v>
      </c>
      <c r="Y362" s="43">
        <f>IFERROR(Y360/H360,"0")+IFERROR(Y361/H361,"0")</f>
        <v>8</v>
      </c>
      <c r="Z362" s="43">
        <f>IFERROR(IF(Z360="",0,Z360),"0")+IFERROR(IF(Z361="",0,Z361),"0")</f>
        <v>0.17399999999999999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120</v>
      </c>
      <c r="Y363" s="43">
        <f>IFERROR(SUM(Y360:Y361),"0")</f>
        <v>120</v>
      </c>
      <c r="Z363" s="42"/>
      <c r="AA363" s="67"/>
      <c r="AB363" s="67"/>
      <c r="AC363" s="67"/>
    </row>
    <row r="364" spans="1:68" ht="14.25" hidden="1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hidden="1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96</v>
      </c>
      <c r="Y375" s="55">
        <f>IFERROR(IF(X375="",0,CEILING((X375/$H375),1)*$H375),"")</f>
        <v>96</v>
      </c>
      <c r="Z375" s="41">
        <f>IFERROR(IF(Y375=0,"",ROUNDUP(Y375/H375,0)*0.01898),"")</f>
        <v>0.15184</v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99.280000000000015</v>
      </c>
      <c r="BN375" s="78">
        <f>IFERROR(Y375*I375/H375,"0")</f>
        <v>99.280000000000015</v>
      </c>
      <c r="BO375" s="78">
        <f>IFERROR(1/J375*(X375/H375),"0")</f>
        <v>0.125</v>
      </c>
      <c r="BP375" s="78">
        <f>IFERROR(1/J375*(Y375/H375),"0")</f>
        <v>0.125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8</v>
      </c>
      <c r="Y377" s="43">
        <f>IFERROR(Y375/H375,"0")+IFERROR(Y376/H376,"0")</f>
        <v>8</v>
      </c>
      <c r="Z377" s="43">
        <f>IFERROR(IF(Z375="",0,Z375),"0")+IFERROR(IF(Z376="",0,Z376),"0")</f>
        <v>0.15184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96</v>
      </c>
      <c r="Y378" s="43">
        <f>IFERROR(SUM(Y375:Y376),"0")</f>
        <v>96</v>
      </c>
      <c r="Z378" s="42"/>
      <c r="AA378" s="67"/>
      <c r="AB378" s="67"/>
      <c r="AC378" s="67"/>
    </row>
    <row r="379" spans="1:68" ht="14.25" hidden="1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hidden="1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hidden="1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hidden="1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hidden="1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hidden="1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hidden="1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hidden="1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42.24</v>
      </c>
      <c r="Y431" s="55">
        <f t="shared" si="48"/>
        <v>42.24</v>
      </c>
      <c r="Z431" s="41">
        <f t="shared" si="49"/>
        <v>9.5680000000000001E-2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45.04</v>
      </c>
      <c r="BN431" s="78">
        <f t="shared" si="51"/>
        <v>45.04</v>
      </c>
      <c r="BO431" s="78">
        <f t="shared" si="52"/>
        <v>7.6923076923076927E-2</v>
      </c>
      <c r="BP431" s="78">
        <f t="shared" si="53"/>
        <v>7.6923076923076927E-2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hidden="1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/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hidden="1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16</v>
      </c>
      <c r="Y455" s="43">
        <f>IFERROR(Y448/H448,"0")+IFERROR(Y449/H449,"0")+IFERROR(Y450/H450,"0")+IFERROR(Y451/H451,"0")+IFERROR(Y452/H452,"0")+IFERROR(Y453/H453,"0")+IFERROR(Y454/H454,"0")</f>
        <v>16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84.48</v>
      </c>
      <c r="Y456" s="43">
        <f>IFERROR(SUM(Y448:Y454),"0")</f>
        <v>84.48</v>
      </c>
      <c r="Z456" s="42"/>
      <c r="AA456" s="67"/>
      <c r="AB456" s="67"/>
      <c r="AC456" s="67"/>
    </row>
    <row r="457" spans="1:68" ht="27.75" hidden="1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hidden="1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hidden="1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hidden="1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933.12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933.12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974.2399999999999</v>
      </c>
      <c r="Y489" s="43">
        <f>IFERROR(SUM(BN22:BN485),"0")</f>
        <v>974.2399999999999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1024.2399999999998</v>
      </c>
      <c r="Y491" s="43">
        <f>GrossWeightTotalR+PalletQtyTotalR*25</f>
        <v>1024.2399999999998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102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102</v>
      </c>
      <c r="Z492" s="42"/>
      <c r="AA492" s="67"/>
      <c r="AB492" s="67"/>
      <c r="AC492" s="67"/>
    </row>
    <row r="493" spans="1:68" ht="14.25" hidden="1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1.6593799999999999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360</v>
      </c>
      <c r="T498" s="52">
        <f>IFERROR(Y375*1,"0")+IFERROR(Y376*1,"0")+IFERROR(Y380*1,"0")+IFERROR(Y384*1,"0")+IFERROR(Y385*1,"0")+IFERROR(Y386*1,"0")</f>
        <v>273.60000000000002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126.72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4,24"/>
        <filter val="102,00"/>
        <filter val="120,00"/>
        <filter val="144,00"/>
        <filter val="16,00"/>
        <filter val="177,60"/>
        <filter val="2"/>
        <filter val="240,00"/>
        <filter val="30,00"/>
        <filter val="33,60"/>
        <filter val="42,24"/>
        <filter val="8,00"/>
        <filter val="84,48"/>
        <filter val="86,40"/>
        <filter val="933,12"/>
        <filter val="96,00"/>
        <filter val="974,24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2026-08-19T08:19:14Z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