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A0B97F5C-EF62-4903-B9EB-11AB0DDDD1EE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едогруз 15,08,26" sheetId="2" r:id="rId2"/>
    <sheet name="недогруз 17,08,26" sheetId="3" r:id="rId3"/>
  </sheets>
  <externalReferences>
    <externalReference r:id="rId4"/>
  </externalReferences>
  <definedNames>
    <definedName name="_xlnm._FilterDatabase" localSheetId="0" hidden="1">Sheet!$A$3:$AM$131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" i="1" l="1"/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1" i="2"/>
  <c r="S5" i="1"/>
  <c r="Y5" i="1" l="1"/>
  <c r="T5" i="1" l="1"/>
  <c r="T1" i="1" s="1"/>
  <c r="W131" i="1"/>
  <c r="U131" i="1"/>
  <c r="AA131" i="1" s="1"/>
  <c r="L131" i="1"/>
  <c r="W130" i="1"/>
  <c r="U130" i="1"/>
  <c r="AA130" i="1" s="1"/>
  <c r="L130" i="1"/>
  <c r="U129" i="1"/>
  <c r="V129" i="1" s="1"/>
  <c r="L129" i="1"/>
  <c r="W128" i="1"/>
  <c r="U128" i="1"/>
  <c r="AA128" i="1" s="1"/>
  <c r="L128" i="1"/>
  <c r="W127" i="1"/>
  <c r="U127" i="1"/>
  <c r="AA127" i="1" s="1"/>
  <c r="L127" i="1"/>
  <c r="W126" i="1"/>
  <c r="U126" i="1"/>
  <c r="AA126" i="1" s="1"/>
  <c r="L126" i="1"/>
  <c r="W125" i="1"/>
  <c r="U125" i="1"/>
  <c r="AA125" i="1" s="1"/>
  <c r="L125" i="1"/>
  <c r="W124" i="1"/>
  <c r="U124" i="1"/>
  <c r="AA124" i="1" s="1"/>
  <c r="L124" i="1"/>
  <c r="W123" i="1"/>
  <c r="U123" i="1"/>
  <c r="L123" i="1"/>
  <c r="W122" i="1"/>
  <c r="U122" i="1"/>
  <c r="AA122" i="1" s="1"/>
  <c r="L122" i="1"/>
  <c r="W121" i="1"/>
  <c r="U121" i="1"/>
  <c r="L121" i="1"/>
  <c r="W120" i="1"/>
  <c r="U120" i="1"/>
  <c r="AA120" i="1" s="1"/>
  <c r="L120" i="1"/>
  <c r="U119" i="1"/>
  <c r="V119" i="1" s="1"/>
  <c r="L119" i="1"/>
  <c r="U118" i="1"/>
  <c r="AA118" i="1" s="1"/>
  <c r="L118" i="1"/>
  <c r="U117" i="1"/>
  <c r="AA117" i="1" s="1"/>
  <c r="L117" i="1"/>
  <c r="U116" i="1"/>
  <c r="AA116" i="1" s="1"/>
  <c r="L116" i="1"/>
  <c r="U115" i="1"/>
  <c r="V115" i="1" s="1"/>
  <c r="L115" i="1"/>
  <c r="W114" i="1"/>
  <c r="U114" i="1"/>
  <c r="AA114" i="1" s="1"/>
  <c r="L114" i="1"/>
  <c r="W113" i="1"/>
  <c r="U113" i="1"/>
  <c r="AA113" i="1" s="1"/>
  <c r="L113" i="1"/>
  <c r="U112" i="1"/>
  <c r="AA112" i="1" s="1"/>
  <c r="L112" i="1"/>
  <c r="U111" i="1"/>
  <c r="AA111" i="1" s="1"/>
  <c r="L111" i="1"/>
  <c r="U110" i="1"/>
  <c r="AA110" i="1" s="1"/>
  <c r="L110" i="1"/>
  <c r="W109" i="1"/>
  <c r="U109" i="1"/>
  <c r="L109" i="1"/>
  <c r="W108" i="1"/>
  <c r="U108" i="1"/>
  <c r="AA108" i="1" s="1"/>
  <c r="L108" i="1"/>
  <c r="U107" i="1"/>
  <c r="V107" i="1" s="1"/>
  <c r="L107" i="1"/>
  <c r="U106" i="1"/>
  <c r="AA106" i="1" s="1"/>
  <c r="L106" i="1"/>
  <c r="U105" i="1"/>
  <c r="V105" i="1" s="1"/>
  <c r="L105" i="1"/>
  <c r="W104" i="1"/>
  <c r="U104" i="1"/>
  <c r="AA104" i="1" s="1"/>
  <c r="L104" i="1"/>
  <c r="W103" i="1"/>
  <c r="U103" i="1"/>
  <c r="AA103" i="1" s="1"/>
  <c r="L103" i="1"/>
  <c r="W102" i="1"/>
  <c r="U102" i="1"/>
  <c r="AA102" i="1" s="1"/>
  <c r="L102" i="1"/>
  <c r="W101" i="1"/>
  <c r="U101" i="1"/>
  <c r="AA101" i="1" s="1"/>
  <c r="L101" i="1"/>
  <c r="W100" i="1"/>
  <c r="U100" i="1"/>
  <c r="L100" i="1"/>
  <c r="W99" i="1"/>
  <c r="U99" i="1"/>
  <c r="AA99" i="1" s="1"/>
  <c r="L99" i="1"/>
  <c r="W98" i="1"/>
  <c r="U98" i="1"/>
  <c r="L98" i="1"/>
  <c r="W97" i="1"/>
  <c r="U97" i="1"/>
  <c r="AA97" i="1" s="1"/>
  <c r="L97" i="1"/>
  <c r="W96" i="1"/>
  <c r="U96" i="1"/>
  <c r="AA96" i="1" s="1"/>
  <c r="L96" i="1"/>
  <c r="W95" i="1"/>
  <c r="U95" i="1"/>
  <c r="L95" i="1"/>
  <c r="W94" i="1"/>
  <c r="U94" i="1"/>
  <c r="AA94" i="1" s="1"/>
  <c r="L94" i="1"/>
  <c r="W93" i="1"/>
  <c r="U93" i="1"/>
  <c r="AA93" i="1" s="1"/>
  <c r="L93" i="1"/>
  <c r="U92" i="1"/>
  <c r="AA92" i="1" s="1"/>
  <c r="L92" i="1"/>
  <c r="W91" i="1"/>
  <c r="U91" i="1"/>
  <c r="L91" i="1"/>
  <c r="W90" i="1"/>
  <c r="U90" i="1"/>
  <c r="L90" i="1"/>
  <c r="U89" i="1"/>
  <c r="AA89" i="1" s="1"/>
  <c r="L89" i="1"/>
  <c r="U88" i="1"/>
  <c r="V88" i="1" s="1"/>
  <c r="L88" i="1"/>
  <c r="W87" i="1"/>
  <c r="U87" i="1"/>
  <c r="AA87" i="1" s="1"/>
  <c r="L87" i="1"/>
  <c r="U86" i="1"/>
  <c r="V86" i="1" s="1"/>
  <c r="L86" i="1"/>
  <c r="W85" i="1"/>
  <c r="U85" i="1"/>
  <c r="AA85" i="1" s="1"/>
  <c r="L85" i="1"/>
  <c r="W84" i="1"/>
  <c r="U84" i="1"/>
  <c r="L84" i="1"/>
  <c r="W83" i="1"/>
  <c r="U83" i="1"/>
  <c r="AA83" i="1" s="1"/>
  <c r="L83" i="1"/>
  <c r="U82" i="1"/>
  <c r="V82" i="1" s="1"/>
  <c r="L82" i="1"/>
  <c r="U81" i="1"/>
  <c r="V81" i="1" s="1"/>
  <c r="L81" i="1"/>
  <c r="W80" i="1"/>
  <c r="U80" i="1"/>
  <c r="AA80" i="1" s="1"/>
  <c r="L80" i="1"/>
  <c r="W79" i="1"/>
  <c r="U79" i="1"/>
  <c r="AA79" i="1" s="1"/>
  <c r="L79" i="1"/>
  <c r="U78" i="1"/>
  <c r="V78" i="1" s="1"/>
  <c r="L78" i="1"/>
  <c r="W77" i="1"/>
  <c r="U77" i="1"/>
  <c r="L77" i="1"/>
  <c r="U76" i="1"/>
  <c r="V76" i="1" s="1"/>
  <c r="L76" i="1"/>
  <c r="U75" i="1"/>
  <c r="V75" i="1" s="1"/>
  <c r="L75" i="1"/>
  <c r="U74" i="1"/>
  <c r="AA74" i="1" s="1"/>
  <c r="L74" i="1"/>
  <c r="U73" i="1"/>
  <c r="AA73" i="1" s="1"/>
  <c r="L73" i="1"/>
  <c r="U72" i="1"/>
  <c r="V72" i="1" s="1"/>
  <c r="L72" i="1"/>
  <c r="U71" i="1"/>
  <c r="AA71" i="1" s="1"/>
  <c r="L71" i="1"/>
  <c r="W70" i="1"/>
  <c r="U70" i="1"/>
  <c r="AA70" i="1" s="1"/>
  <c r="L70" i="1"/>
  <c r="U69" i="1"/>
  <c r="V69" i="1" s="1"/>
  <c r="L69" i="1"/>
  <c r="U68" i="1"/>
  <c r="V68" i="1" s="1"/>
  <c r="L68" i="1"/>
  <c r="U67" i="1"/>
  <c r="V67" i="1" s="1"/>
  <c r="L67" i="1"/>
  <c r="U66" i="1"/>
  <c r="AA66" i="1" s="1"/>
  <c r="L66" i="1"/>
  <c r="W65" i="1"/>
  <c r="U65" i="1"/>
  <c r="AA65" i="1" s="1"/>
  <c r="L65" i="1"/>
  <c r="U64" i="1"/>
  <c r="V64" i="1" s="1"/>
  <c r="L64" i="1"/>
  <c r="U63" i="1"/>
  <c r="AA63" i="1" s="1"/>
  <c r="L63" i="1"/>
  <c r="W62" i="1"/>
  <c r="U62" i="1"/>
  <c r="AA62" i="1" s="1"/>
  <c r="L62" i="1"/>
  <c r="W61" i="1"/>
  <c r="U61" i="1"/>
  <c r="AA61" i="1" s="1"/>
  <c r="L61" i="1"/>
  <c r="W60" i="1"/>
  <c r="U60" i="1"/>
  <c r="AA60" i="1" s="1"/>
  <c r="L60" i="1"/>
  <c r="U59" i="1"/>
  <c r="AA59" i="1" s="1"/>
  <c r="L59" i="1"/>
  <c r="U58" i="1"/>
  <c r="AA58" i="1" s="1"/>
  <c r="L58" i="1"/>
  <c r="W57" i="1"/>
  <c r="U57" i="1"/>
  <c r="L57" i="1"/>
  <c r="U56" i="1"/>
  <c r="AA56" i="1" s="1"/>
  <c r="L56" i="1"/>
  <c r="W55" i="1"/>
  <c r="U55" i="1"/>
  <c r="L55" i="1"/>
  <c r="U54" i="1"/>
  <c r="V54" i="1" s="1"/>
  <c r="L54" i="1"/>
  <c r="U53" i="1"/>
  <c r="AA53" i="1" s="1"/>
  <c r="L53" i="1"/>
  <c r="U52" i="1"/>
  <c r="AA52" i="1" s="1"/>
  <c r="L52" i="1"/>
  <c r="U51" i="1"/>
  <c r="V51" i="1" s="1"/>
  <c r="L51" i="1"/>
  <c r="W50" i="1"/>
  <c r="U50" i="1"/>
  <c r="AA50" i="1" s="1"/>
  <c r="L50" i="1"/>
  <c r="U49" i="1"/>
  <c r="V49" i="1" s="1"/>
  <c r="L49" i="1"/>
  <c r="W48" i="1"/>
  <c r="U48" i="1"/>
  <c r="AA48" i="1" s="1"/>
  <c r="L48" i="1"/>
  <c r="U47" i="1"/>
  <c r="AA47" i="1" s="1"/>
  <c r="L47" i="1"/>
  <c r="U46" i="1"/>
  <c r="V46" i="1" s="1"/>
  <c r="L46" i="1"/>
  <c r="W45" i="1"/>
  <c r="U45" i="1"/>
  <c r="AA45" i="1" s="1"/>
  <c r="L45" i="1"/>
  <c r="W44" i="1"/>
  <c r="U44" i="1"/>
  <c r="AA44" i="1" s="1"/>
  <c r="L44" i="1"/>
  <c r="W43" i="1"/>
  <c r="U43" i="1"/>
  <c r="L43" i="1"/>
  <c r="U42" i="1"/>
  <c r="V42" i="1" s="1"/>
  <c r="L42" i="1"/>
  <c r="W41" i="1"/>
  <c r="U41" i="1"/>
  <c r="AA41" i="1" s="1"/>
  <c r="L41" i="1"/>
  <c r="W40" i="1"/>
  <c r="U40" i="1"/>
  <c r="L40" i="1"/>
  <c r="W39" i="1"/>
  <c r="U39" i="1"/>
  <c r="AA39" i="1" s="1"/>
  <c r="L39" i="1"/>
  <c r="U38" i="1"/>
  <c r="AA38" i="1" s="1"/>
  <c r="L38" i="1"/>
  <c r="U37" i="1"/>
  <c r="AA37" i="1" s="1"/>
  <c r="L37" i="1"/>
  <c r="W36" i="1"/>
  <c r="U36" i="1"/>
  <c r="AA36" i="1" s="1"/>
  <c r="L36" i="1"/>
  <c r="U35" i="1"/>
  <c r="AA35" i="1" s="1"/>
  <c r="L35" i="1"/>
  <c r="W34" i="1"/>
  <c r="U34" i="1"/>
  <c r="AA34" i="1" s="1"/>
  <c r="L34" i="1"/>
  <c r="W33" i="1"/>
  <c r="U33" i="1"/>
  <c r="L33" i="1"/>
  <c r="W32" i="1"/>
  <c r="U32" i="1"/>
  <c r="AA32" i="1" s="1"/>
  <c r="L32" i="1"/>
  <c r="U31" i="1"/>
  <c r="AA31" i="1" s="1"/>
  <c r="L31" i="1"/>
  <c r="W30" i="1"/>
  <c r="U30" i="1"/>
  <c r="AA30" i="1" s="1"/>
  <c r="L30" i="1"/>
  <c r="W29" i="1"/>
  <c r="U29" i="1"/>
  <c r="L29" i="1"/>
  <c r="W28" i="1"/>
  <c r="U28" i="1"/>
  <c r="AA28" i="1" s="1"/>
  <c r="L28" i="1"/>
  <c r="W27" i="1"/>
  <c r="U27" i="1"/>
  <c r="AA27" i="1" s="1"/>
  <c r="L27" i="1"/>
  <c r="W26" i="1"/>
  <c r="U26" i="1"/>
  <c r="AA26" i="1" s="1"/>
  <c r="L26" i="1"/>
  <c r="U25" i="1"/>
  <c r="AA25" i="1" s="1"/>
  <c r="L25" i="1"/>
  <c r="U24" i="1"/>
  <c r="AA24" i="1" s="1"/>
  <c r="L24" i="1"/>
  <c r="U23" i="1"/>
  <c r="V23" i="1" s="1"/>
  <c r="L23" i="1"/>
  <c r="U22" i="1"/>
  <c r="AA22" i="1" s="1"/>
  <c r="L22" i="1"/>
  <c r="U21" i="1"/>
  <c r="AA21" i="1" s="1"/>
  <c r="L21" i="1"/>
  <c r="U20" i="1"/>
  <c r="V20" i="1" s="1"/>
  <c r="L20" i="1"/>
  <c r="W19" i="1"/>
  <c r="U19" i="1"/>
  <c r="AA19" i="1" s="1"/>
  <c r="L19" i="1"/>
  <c r="U18" i="1"/>
  <c r="AA18" i="1" s="1"/>
  <c r="L18" i="1"/>
  <c r="W17" i="1"/>
  <c r="U17" i="1"/>
  <c r="L17" i="1"/>
  <c r="U16" i="1"/>
  <c r="AA16" i="1" s="1"/>
  <c r="L16" i="1"/>
  <c r="U15" i="1"/>
  <c r="AA15" i="1" s="1"/>
  <c r="L15" i="1"/>
  <c r="U14" i="1"/>
  <c r="V14" i="1" s="1"/>
  <c r="L14" i="1"/>
  <c r="U13" i="1"/>
  <c r="AA13" i="1" s="1"/>
  <c r="L13" i="1"/>
  <c r="U12" i="1"/>
  <c r="V12" i="1" s="1"/>
  <c r="L12" i="1"/>
  <c r="U11" i="1"/>
  <c r="AA11" i="1" s="1"/>
  <c r="L11" i="1"/>
  <c r="W10" i="1"/>
  <c r="U10" i="1"/>
  <c r="AA10" i="1" s="1"/>
  <c r="L10" i="1"/>
  <c r="U9" i="1"/>
  <c r="V9" i="1" s="1"/>
  <c r="L9" i="1"/>
  <c r="U8" i="1"/>
  <c r="AA8" i="1" s="1"/>
  <c r="L8" i="1"/>
  <c r="W7" i="1"/>
  <c r="U7" i="1"/>
  <c r="L7" i="1"/>
  <c r="U6" i="1"/>
  <c r="V6" i="1" s="1"/>
  <c r="L6" i="1"/>
  <c r="AK5" i="1"/>
  <c r="AJ5" i="1"/>
  <c r="AI5" i="1"/>
  <c r="AH5" i="1"/>
  <c r="AG5" i="1"/>
  <c r="AF5" i="1"/>
  <c r="AE5" i="1"/>
  <c r="AD5" i="1"/>
  <c r="AC5" i="1"/>
  <c r="AB5" i="1"/>
  <c r="R5" i="1"/>
  <c r="Q5" i="1"/>
  <c r="P5" i="1"/>
  <c r="O5" i="1"/>
  <c r="N5" i="1"/>
  <c r="M5" i="1"/>
  <c r="K5" i="1"/>
  <c r="F5" i="1"/>
  <c r="E5" i="1"/>
  <c r="AM10" i="1" l="1"/>
  <c r="Z10" i="1"/>
  <c r="AM19" i="1"/>
  <c r="Z19" i="1"/>
  <c r="AM27" i="1"/>
  <c r="Z27" i="1"/>
  <c r="AM29" i="1"/>
  <c r="Z29" i="1"/>
  <c r="AM32" i="1"/>
  <c r="Z32" i="1"/>
  <c r="AM34" i="1"/>
  <c r="Z34" i="1"/>
  <c r="AM39" i="1"/>
  <c r="Z39" i="1"/>
  <c r="AM41" i="1"/>
  <c r="Z41" i="1"/>
  <c r="AM44" i="1"/>
  <c r="Z44" i="1"/>
  <c r="AM48" i="1"/>
  <c r="Z48" i="1"/>
  <c r="AM55" i="1"/>
  <c r="Z55" i="1"/>
  <c r="AM60" i="1"/>
  <c r="Z60" i="1"/>
  <c r="AM62" i="1"/>
  <c r="Z62" i="1"/>
  <c r="AM70" i="1"/>
  <c r="Z70" i="1"/>
  <c r="AM79" i="1"/>
  <c r="Z79" i="1"/>
  <c r="AM83" i="1"/>
  <c r="Z83" i="1"/>
  <c r="AM85" i="1"/>
  <c r="Z85" i="1"/>
  <c r="AM90" i="1"/>
  <c r="Z90" i="1"/>
  <c r="AM93" i="1"/>
  <c r="Z93" i="1"/>
  <c r="AM95" i="1"/>
  <c r="Z95" i="1"/>
  <c r="AM97" i="1"/>
  <c r="Z97" i="1"/>
  <c r="AM99" i="1"/>
  <c r="Z99" i="1"/>
  <c r="AM101" i="1"/>
  <c r="Z101" i="1"/>
  <c r="AM103" i="1"/>
  <c r="Z103" i="1"/>
  <c r="AM108" i="1"/>
  <c r="Z108" i="1"/>
  <c r="AM113" i="1"/>
  <c r="Z113" i="1"/>
  <c r="AM120" i="1"/>
  <c r="Z120" i="1"/>
  <c r="AM122" i="1"/>
  <c r="Z122" i="1"/>
  <c r="AM124" i="1"/>
  <c r="Z124" i="1"/>
  <c r="AM126" i="1"/>
  <c r="Z126" i="1"/>
  <c r="AM128" i="1"/>
  <c r="Z128" i="1"/>
  <c r="AM131" i="1"/>
  <c r="Z131" i="1"/>
  <c r="AM7" i="1"/>
  <c r="Z7" i="1"/>
  <c r="AM17" i="1"/>
  <c r="Z17" i="1"/>
  <c r="AM26" i="1"/>
  <c r="Z26" i="1"/>
  <c r="AM28" i="1"/>
  <c r="Z28" i="1"/>
  <c r="AM30" i="1"/>
  <c r="Z30" i="1"/>
  <c r="AM33" i="1"/>
  <c r="Z33" i="1"/>
  <c r="AM36" i="1"/>
  <c r="Z36" i="1"/>
  <c r="AM40" i="1"/>
  <c r="Z40" i="1"/>
  <c r="AM43" i="1"/>
  <c r="Z43" i="1"/>
  <c r="AM45" i="1"/>
  <c r="Z45" i="1"/>
  <c r="AM50" i="1"/>
  <c r="Z50" i="1"/>
  <c r="AM57" i="1"/>
  <c r="Z57" i="1"/>
  <c r="AM61" i="1"/>
  <c r="Z61" i="1"/>
  <c r="AM65" i="1"/>
  <c r="Z65" i="1"/>
  <c r="AM77" i="1"/>
  <c r="Z77" i="1"/>
  <c r="AM80" i="1"/>
  <c r="Z80" i="1"/>
  <c r="AM84" i="1"/>
  <c r="Z84" i="1"/>
  <c r="AM87" i="1"/>
  <c r="Z87" i="1"/>
  <c r="AM91" i="1"/>
  <c r="Z91" i="1"/>
  <c r="AM94" i="1"/>
  <c r="Z94" i="1"/>
  <c r="AM96" i="1"/>
  <c r="Z96" i="1"/>
  <c r="AM98" i="1"/>
  <c r="Z98" i="1"/>
  <c r="AM100" i="1"/>
  <c r="Z100" i="1"/>
  <c r="AM102" i="1"/>
  <c r="Z102" i="1"/>
  <c r="AM104" i="1"/>
  <c r="Z104" i="1"/>
  <c r="AM109" i="1"/>
  <c r="Z109" i="1"/>
  <c r="AM114" i="1"/>
  <c r="Z114" i="1"/>
  <c r="AM121" i="1"/>
  <c r="Z121" i="1"/>
  <c r="AM123" i="1"/>
  <c r="Z123" i="1"/>
  <c r="AM125" i="1"/>
  <c r="Z125" i="1"/>
  <c r="AM127" i="1"/>
  <c r="Z127" i="1"/>
  <c r="AM130" i="1"/>
  <c r="Z130" i="1"/>
  <c r="AA90" i="1"/>
  <c r="AA17" i="1"/>
  <c r="AA9" i="1"/>
  <c r="V11" i="1"/>
  <c r="W11" i="1" s="1"/>
  <c r="AA75" i="1"/>
  <c r="AA23" i="1"/>
  <c r="V116" i="1"/>
  <c r="AA46" i="1"/>
  <c r="V110" i="1"/>
  <c r="AA49" i="1"/>
  <c r="AA119" i="1"/>
  <c r="AA78" i="1"/>
  <c r="V15" i="1"/>
  <c r="W15" i="1" s="1"/>
  <c r="AA57" i="1"/>
  <c r="AA42" i="1"/>
  <c r="V16" i="1"/>
  <c r="V58" i="1"/>
  <c r="W58" i="1" s="1"/>
  <c r="AA64" i="1"/>
  <c r="AA129" i="1"/>
  <c r="V59" i="1"/>
  <c r="AA82" i="1"/>
  <c r="AA33" i="1"/>
  <c r="AA12" i="1"/>
  <c r="V18" i="1"/>
  <c r="W42" i="1"/>
  <c r="V47" i="1"/>
  <c r="V52" i="1"/>
  <c r="AA6" i="1"/>
  <c r="L5" i="1"/>
  <c r="V53" i="1"/>
  <c r="V63" i="1"/>
  <c r="AA88" i="1"/>
  <c r="V111" i="1"/>
  <c r="V117" i="1"/>
  <c r="W117" i="1" s="1"/>
  <c r="V8" i="1"/>
  <c r="AA54" i="1"/>
  <c r="V21" i="1"/>
  <c r="W21" i="1" s="1"/>
  <c r="V22" i="1"/>
  <c r="V56" i="1"/>
  <c r="V73" i="1"/>
  <c r="AA107" i="1"/>
  <c r="V66" i="1"/>
  <c r="AA91" i="1"/>
  <c r="AA67" i="1"/>
  <c r="V74" i="1"/>
  <c r="W68" i="1"/>
  <c r="W75" i="1"/>
  <c r="W86" i="1"/>
  <c r="W115" i="1"/>
  <c r="W69" i="1"/>
  <c r="W81" i="1"/>
  <c r="W76" i="1"/>
  <c r="W12" i="1"/>
  <c r="W6" i="1"/>
  <c r="Z6" i="1" s="1"/>
  <c r="W88" i="1"/>
  <c r="W20" i="1"/>
  <c r="W54" i="1"/>
  <c r="W64" i="1"/>
  <c r="W78" i="1"/>
  <c r="W105" i="1"/>
  <c r="W129" i="1"/>
  <c r="W119" i="1"/>
  <c r="W14" i="1"/>
  <c r="W9" i="1"/>
  <c r="W72" i="1"/>
  <c r="W107" i="1"/>
  <c r="W23" i="1"/>
  <c r="W67" i="1"/>
  <c r="W51" i="1"/>
  <c r="AA98" i="1"/>
  <c r="W56" i="1"/>
  <c r="AA68" i="1"/>
  <c r="AA29" i="1"/>
  <c r="AA84" i="1"/>
  <c r="AA100" i="1"/>
  <c r="AA76" i="1"/>
  <c r="AA14" i="1"/>
  <c r="AA51" i="1"/>
  <c r="AA72" i="1"/>
  <c r="AA81" i="1"/>
  <c r="W110" i="1"/>
  <c r="W46" i="1"/>
  <c r="V37" i="1"/>
  <c r="AA86" i="1"/>
  <c r="AA115" i="1"/>
  <c r="AA121" i="1"/>
  <c r="AA20" i="1"/>
  <c r="W49" i="1"/>
  <c r="AA123" i="1"/>
  <c r="AA7" i="1"/>
  <c r="V25" i="1"/>
  <c r="AA109" i="1"/>
  <c r="AA69" i="1"/>
  <c r="V24" i="1"/>
  <c r="W82" i="1"/>
  <c r="AA55" i="1"/>
  <c r="AA43" i="1"/>
  <c r="V92" i="1"/>
  <c r="AA40" i="1"/>
  <c r="V89" i="1"/>
  <c r="AA95" i="1"/>
  <c r="V13" i="1"/>
  <c r="V71" i="1"/>
  <c r="AA105" i="1"/>
  <c r="U5" i="1"/>
  <c r="V31" i="1"/>
  <c r="V35" i="1"/>
  <c r="V38" i="1"/>
  <c r="AA77" i="1"/>
  <c r="V106" i="1"/>
  <c r="V112" i="1"/>
  <c r="V118" i="1"/>
  <c r="AM11" i="1" l="1"/>
  <c r="Z11" i="1"/>
  <c r="AM82" i="1"/>
  <c r="Z82" i="1"/>
  <c r="AM110" i="1"/>
  <c r="Z110" i="1"/>
  <c r="AM56" i="1"/>
  <c r="Z56" i="1"/>
  <c r="AM51" i="1"/>
  <c r="Z51" i="1"/>
  <c r="AM23" i="1"/>
  <c r="Z23" i="1"/>
  <c r="AM72" i="1"/>
  <c r="Z72" i="1"/>
  <c r="AM14" i="1"/>
  <c r="Z14" i="1"/>
  <c r="AM129" i="1"/>
  <c r="Z129" i="1"/>
  <c r="AM78" i="1"/>
  <c r="Z78" i="1"/>
  <c r="AM54" i="1"/>
  <c r="Z54" i="1"/>
  <c r="AM88" i="1"/>
  <c r="Z88" i="1"/>
  <c r="AM12" i="1"/>
  <c r="Z12" i="1"/>
  <c r="AM81" i="1"/>
  <c r="Z81" i="1"/>
  <c r="AM115" i="1"/>
  <c r="Z115" i="1"/>
  <c r="AM75" i="1"/>
  <c r="Z75" i="1"/>
  <c r="AM21" i="1"/>
  <c r="Z21" i="1"/>
  <c r="AM42" i="1"/>
  <c r="Z42" i="1"/>
  <c r="AM58" i="1"/>
  <c r="Z58" i="1"/>
  <c r="AM15" i="1"/>
  <c r="Z15" i="1"/>
  <c r="AM49" i="1"/>
  <c r="Z49" i="1"/>
  <c r="AM46" i="1"/>
  <c r="Z46" i="1"/>
  <c r="AM67" i="1"/>
  <c r="Z67" i="1"/>
  <c r="AM107" i="1"/>
  <c r="Z107" i="1"/>
  <c r="AM9" i="1"/>
  <c r="Z9" i="1"/>
  <c r="AM119" i="1"/>
  <c r="Z119" i="1"/>
  <c r="AM105" i="1"/>
  <c r="Z105" i="1"/>
  <c r="AM64" i="1"/>
  <c r="Z64" i="1"/>
  <c r="AM20" i="1"/>
  <c r="Z20" i="1"/>
  <c r="AM76" i="1"/>
  <c r="Z76" i="1"/>
  <c r="AM69" i="1"/>
  <c r="Z69" i="1"/>
  <c r="AM86" i="1"/>
  <c r="Z86" i="1"/>
  <c r="AM68" i="1"/>
  <c r="Z68" i="1"/>
  <c r="AM117" i="1"/>
  <c r="Z117" i="1"/>
  <c r="W52" i="1"/>
  <c r="W116" i="1"/>
  <c r="W73" i="1"/>
  <c r="W8" i="1"/>
  <c r="W59" i="1"/>
  <c r="W53" i="1"/>
  <c r="W16" i="1"/>
  <c r="W47" i="1"/>
  <c r="W22" i="1"/>
  <c r="W18" i="1"/>
  <c r="W111" i="1"/>
  <c r="W63" i="1"/>
  <c r="W66" i="1"/>
  <c r="W74" i="1"/>
  <c r="V5" i="1"/>
  <c r="AM6" i="1"/>
  <c r="W38" i="1"/>
  <c r="W37" i="1"/>
  <c r="W71" i="1"/>
  <c r="W35" i="1"/>
  <c r="W31" i="1"/>
  <c r="W24" i="1"/>
  <c r="W118" i="1"/>
  <c r="W13" i="1"/>
  <c r="W112" i="1"/>
  <c r="W89" i="1"/>
  <c r="W25" i="1"/>
  <c r="W106" i="1"/>
  <c r="W92" i="1"/>
  <c r="AM106" i="1" l="1"/>
  <c r="Z106" i="1"/>
  <c r="AM89" i="1"/>
  <c r="Z89" i="1"/>
  <c r="AM13" i="1"/>
  <c r="Z13" i="1"/>
  <c r="AM24" i="1"/>
  <c r="Z24" i="1"/>
  <c r="AM35" i="1"/>
  <c r="Z35" i="1"/>
  <c r="AM37" i="1"/>
  <c r="Z37" i="1"/>
  <c r="AM74" i="1"/>
  <c r="Z74" i="1"/>
  <c r="AM63" i="1"/>
  <c r="Z63" i="1"/>
  <c r="AM18" i="1"/>
  <c r="Z18" i="1"/>
  <c r="AM47" i="1"/>
  <c r="Z47" i="1"/>
  <c r="AM53" i="1"/>
  <c r="Z53" i="1"/>
  <c r="AM8" i="1"/>
  <c r="Z8" i="1"/>
  <c r="AM116" i="1"/>
  <c r="Z116" i="1"/>
  <c r="AM92" i="1"/>
  <c r="Z92" i="1"/>
  <c r="AM25" i="1"/>
  <c r="Z25" i="1"/>
  <c r="AM112" i="1"/>
  <c r="Z112" i="1"/>
  <c r="AM118" i="1"/>
  <c r="Z118" i="1"/>
  <c r="AM31" i="1"/>
  <c r="Z31" i="1"/>
  <c r="AM71" i="1"/>
  <c r="Z71" i="1"/>
  <c r="AM38" i="1"/>
  <c r="Z38" i="1"/>
  <c r="AM66" i="1"/>
  <c r="Z66" i="1"/>
  <c r="AM111" i="1"/>
  <c r="Z111" i="1"/>
  <c r="AM22" i="1"/>
  <c r="Z22" i="1"/>
  <c r="AM16" i="1"/>
  <c r="Z16" i="1"/>
  <c r="AM59" i="1"/>
  <c r="Z59" i="1"/>
  <c r="AM73" i="1"/>
  <c r="Z73" i="1"/>
  <c r="AM52" i="1"/>
  <c r="Z52" i="1"/>
  <c r="W5" i="1"/>
  <c r="AM5" i="1" l="1"/>
</calcChain>
</file>

<file path=xl/sharedStrings.xml><?xml version="1.0" encoding="utf-8"?>
<sst xmlns="http://schemas.openxmlformats.org/spreadsheetml/2006/main" count="882" uniqueCount="472">
  <si>
    <t>дн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</si>
  <si>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</si>
  <si>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</si>
  <si>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</si>
  <si>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</si>
  <si>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</si>
  <si>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</si>
  <si>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</si>
  <si>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</si>
  <si>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</si>
  <si>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</si>
  <si>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</si>
  <si>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</si>
  <si>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</si>
  <si>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</si>
  <si>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</si>
  <si>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</si>
  <si>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</si>
  <si>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</t>
  </si>
  <si>
    <t>кон ост</t>
  </si>
  <si>
    <t>факт</t>
  </si>
  <si>
    <t>ср</t>
  </si>
  <si>
    <t>комментарии</t>
  </si>
  <si>
    <t>вес</t>
  </si>
  <si>
    <t>11,08,</t>
  </si>
  <si>
    <t>11,08,недогр</t>
  </si>
  <si>
    <t>11,08,доз</t>
  </si>
  <si>
    <t>15,08,</t>
  </si>
  <si>
    <t>13,08,</t>
  </si>
  <si>
    <t>17,08,</t>
  </si>
  <si>
    <t>06,08,</t>
  </si>
  <si>
    <t>04,08,</t>
  </si>
  <si>
    <t>30,07,</t>
  </si>
  <si>
    <t>28,07,</t>
  </si>
  <si>
    <t>23,07,</t>
  </si>
  <si>
    <t>21,07,</t>
  </si>
  <si>
    <t>16,07,</t>
  </si>
  <si>
    <t>14,07,</t>
  </si>
  <si>
    <t>09,07,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</si>
  <si>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</si>
  <si>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</si>
  <si>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</si>
  <si>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</si>
  <si>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008  Колбаса Домашняя, Вязанка фиброуз в/у ПОКОМ</t>
  </si>
  <si>
    <t>не в матрице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</si>
  <si>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</si>
  <si>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</si>
  <si>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</si>
  <si>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</si>
  <si>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</si>
  <si>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</si>
  <si>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нет потребности</t>
  </si>
  <si>
    <t>SU001485</t>
  </si>
  <si>
    <t xml:space="preserve"> 030  Сосиски Вязанка Молочные, Вязанка вискофан МГС, 0.45кг, ПОКОМ</t>
  </si>
  <si>
    <t>SU001718</t>
  </si>
  <si>
    <t xml:space="preserve"> 032  Сосиски Вязанка Сливочные, Вязанка амицел МГС, 0.45кг, ПОКОМ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</si>
  <si>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</si>
  <si>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</si>
  <si>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</si>
  <si>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062  Колбаса Кракушка пряная с сальцем, 0.3кг в/у п/к, БАВАРУШКА ПОКОМ</t>
  </si>
  <si>
    <t>SU002252</t>
  </si>
  <si>
    <t xml:space="preserve"> 083  Колбаса Швейцарская 0,17 кг., ШТ., сырокопченая   ПОКОМ</t>
  </si>
  <si>
    <t>SU001869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</si>
  <si>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</si>
  <si>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</si>
  <si>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</si>
  <si>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нужно увеличить продажи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</si>
  <si>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</si>
  <si>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</si>
  <si>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</si>
  <si>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</si>
  <si>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</si>
  <si>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</si>
  <si>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</si>
  <si>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</si>
  <si>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</si>
  <si>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</si>
  <si>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</si>
  <si>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</si>
  <si>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</si>
  <si>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</si>
  <si>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</si>
  <si>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</si>
  <si>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</si>
  <si>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244  Колбаса Сервелат Кремлевский, ВЕС. ПОКОМ</t>
  </si>
  <si>
    <t>SU001822</t>
  </si>
  <si>
    <t xml:space="preserve"> 247  Сардельки Нежные, ВЕС.  ПОКОМ</t>
  </si>
  <si>
    <t>заказываем с 22,07,26</t>
  </si>
  <si>
    <t>SU001051</t>
  </si>
  <si>
    <t xml:space="preserve"> 248  Сардельки Сочные ТМ Особый рецепт,   ПОКОМ</t>
  </si>
  <si>
    <t>НЕДОГРУЗ / матрица</t>
  </si>
  <si>
    <t>SU002287</t>
  </si>
  <si>
    <t xml:space="preserve"> 250  Сардельки стародворские с говядиной в обол. NDX, ВЕС. ПОКОМ</t>
  </si>
  <si>
    <t>SU000227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</si>
  <si>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</si>
  <si>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</si>
  <si>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</si>
  <si>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</si>
  <si>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</si>
  <si>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</si>
  <si>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</si>
  <si>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</si>
  <si>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</si>
  <si>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</si>
  <si>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</si>
  <si>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</si>
  <si>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</si>
  <si>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</si>
  <si>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</si>
  <si>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</si>
  <si>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</si>
  <si>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</si>
  <si>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</si>
  <si>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</si>
  <si>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</si>
  <si>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</si>
  <si>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</si>
  <si>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</si>
  <si>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</si>
  <si>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</si>
  <si>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298  Колбаса Сливушка ТМ Вязанка, 0,375кг,  ПОКОМ</t>
  </si>
  <si>
    <t>SU002733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</si>
  <si>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</si>
  <si>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</si>
  <si>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</si>
  <si>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</si>
  <si>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</si>
  <si>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</si>
  <si>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</si>
  <si>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</si>
  <si>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</si>
  <si>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</si>
  <si>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</si>
  <si>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</si>
  <si>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</si>
  <si>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181кг списание (11,08,26)</t>
  </si>
  <si>
    <t>SU002830</t>
  </si>
  <si>
    <t xml:space="preserve"> 318  Сосиски Датские ТМ Зареченские, ВЕС  ПОКОМ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</si>
  <si>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</si>
  <si>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</si>
  <si>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</si>
  <si>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</si>
  <si>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</si>
  <si>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</si>
  <si>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</si>
  <si>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</si>
  <si>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</si>
  <si>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</si>
  <si>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</si>
  <si>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</si>
  <si>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</si>
  <si>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</si>
  <si>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</si>
  <si>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</si>
  <si>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</si>
  <si>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</si>
  <si>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</si>
  <si>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</si>
  <si>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</si>
  <si>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</si>
  <si>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SU002843</t>
  </si>
  <si>
    <t xml:space="preserve"> 341 Сосиски Сочинки Сливочные ТМ Стародворье ВЕС ПОКОМ</t>
  </si>
  <si>
    <t>80кг под задачи ТК (31,07,26)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</si>
  <si>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</si>
  <si>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</si>
  <si>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</si>
  <si>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</si>
  <si>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</si>
  <si>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</si>
  <si>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</si>
  <si>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</si>
  <si>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</si>
  <si>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</si>
  <si>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</si>
  <si>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</si>
  <si>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</si>
  <si>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</si>
  <si>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</si>
  <si>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</si>
  <si>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</si>
  <si>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</si>
  <si>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</si>
  <si>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</si>
  <si>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</si>
  <si>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</si>
  <si>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</si>
  <si>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</si>
  <si>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</si>
  <si>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</si>
  <si>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</si>
  <si>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</si>
  <si>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</si>
  <si>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</si>
  <si>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</si>
  <si>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</si>
  <si>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</si>
  <si>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</si>
  <si>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</si>
  <si>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</si>
  <si>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17шт списание сроки (11,08,26)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</si>
  <si>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</si>
  <si>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</si>
  <si>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</si>
  <si>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</si>
  <si>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</si>
  <si>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</si>
  <si>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</si>
  <si>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</si>
  <si>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</si>
  <si>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</si>
  <si>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</si>
  <si>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</si>
  <si>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</si>
  <si>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</si>
  <si>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</si>
  <si>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</si>
  <si>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</si>
  <si>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457  Колбаса Молочная ТМ Особый рецепт ВЕС большой батон  ПОКОМ</t>
  </si>
  <si>
    <t>SU003422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</si>
  <si>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</si>
  <si>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</si>
  <si>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</si>
  <si>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</si>
  <si>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</si>
  <si>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SU003665</t>
  </si>
  <si>
    <t xml:space="preserve"> 523  Колбаса Сальчичон нарезка 0,07кг ТМ Стародворье  ПОКОМ </t>
  </si>
  <si>
    <t>80шт сеть Молоко (07,08,26)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</si>
  <si>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</si>
  <si>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</si>
  <si>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</si>
  <si>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</si>
  <si>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нужно увеличить продажи / 80шт сеть Молоко (07,08,26)</t>
  </si>
  <si>
    <t>SU003896</t>
  </si>
  <si>
    <t xml:space="preserve"> 526  Корейка вяленая выдержанная нарезка 0,05кг ТМ Стародворье  ПОКОМ</t>
  </si>
  <si>
    <t>SU003925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</si>
  <si>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</si>
  <si>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</si>
  <si>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</si>
  <si>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46кг списание сроки (11,08,26)</t>
  </si>
  <si>
    <t>SU004157</t>
  </si>
  <si>
    <t xml:space="preserve"> 551  Колбаса Сливушка ТМ Вязанка в модифицированной газовой среде 0,11 кг нарезка  ПОКОМ</t>
  </si>
  <si>
    <t>70шт сеть Молоко (07,08,26)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</si>
  <si>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</si>
  <si>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</si>
  <si>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SU002356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</si>
  <si>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</si>
  <si>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</si>
  <si>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</si>
  <si>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</si>
  <si>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</si>
  <si>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14шт списание сроки (11,08,26) / 70шт сеть Молоко (07,08,26)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</si>
  <si>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</si>
  <si>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</si>
  <si>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</si>
  <si>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</si>
  <si>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</si>
  <si>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</si>
  <si>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</si>
  <si>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</si>
  <si>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</si>
  <si>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</si>
  <si>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</si>
  <si>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</si>
  <si>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</si>
  <si>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</si>
  <si>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</si>
  <si>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</si>
  <si>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</si>
  <si>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</si>
  <si>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SU003751</t>
  </si>
  <si>
    <t xml:space="preserve"> 579  Колбаса Ветчинно-рубленая ТМ Особый рецепт в оболочке полиамид.ВЕС  ПОКОМ</t>
  </si>
  <si>
    <t>нужно увеличить продажи!!!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</si>
  <si>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</si>
  <si>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</si>
  <si>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</si>
  <si>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</si>
  <si>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</si>
  <si>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</si>
  <si>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</si>
  <si>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</si>
  <si>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</si>
  <si>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</si>
  <si>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</si>
  <si>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</si>
  <si>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</si>
  <si>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597  Колбаса Классическая ТМ Особый рецепт в оболочке полиамид ВЕС. ПОКОМ</t>
  </si>
  <si>
    <t>SU004238</t>
  </si>
  <si>
    <t xml:space="preserve"> 614  Буженина в пряном маринаде 0,25 кг консервы из мяса индейки ТМ Стародворье  ПОКОМ</t>
  </si>
  <si>
    <t>новинка / 500шт Боярко (07,08,26)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</si>
  <si>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</si>
  <si>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</si>
  <si>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</si>
  <si>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</si>
  <si>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</si>
  <si>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</si>
  <si>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</si>
  <si>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</si>
  <si>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</si>
  <si>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</si>
  <si>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</si>
  <si>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</si>
  <si>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</si>
  <si>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</si>
  <si>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</si>
  <si>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БОНУС_615  Гречка по-купечески с говядиной и овощами 0,325кг ТМ Стародворье  ПОКОМ</t>
  </si>
  <si>
    <t>бонус</t>
  </si>
  <si>
    <t>ДУБЛЬ 285  Паштет печеночный со слив.маслом ТМ Стародворье ламистер 0,1 кг  ПОКОМ</t>
  </si>
  <si>
    <t>дубль</t>
  </si>
  <si>
    <t>15,08,доз</t>
  </si>
  <si>
    <t>17,08,доз</t>
  </si>
  <si>
    <t>15,08,недогр</t>
  </si>
  <si>
    <t> SU000246 </t>
  </si>
  <si>
    <t> Сосиски «Молочные оригинальные» Весовой п/а ТМ «Особый рецепт» </t>
  </si>
  <si>
    <t> 54 </t>
  </si>
  <si>
    <t> 0 </t>
  </si>
  <si>
    <t> -54 </t>
  </si>
  <si>
    <t> SU002074 </t>
  </si>
  <si>
    <t> Сосиски «Молочные для завтрака» Весовой п/а ТМ «Особый рецепт» </t>
  </si>
  <si>
    <t> 450 </t>
  </si>
  <si>
    <t> -450 </t>
  </si>
  <si>
    <t> SU002092 </t>
  </si>
  <si>
    <t> С/к колбасы Баварская Бавария Фикс.вес 0,17 б/о терм/п Стародворье </t>
  </si>
  <si>
    <t> 18 </t>
  </si>
  <si>
    <t> -18 </t>
  </si>
  <si>
    <t> SU002252 </t>
  </si>
  <si>
    <t> П/к колбасы Кракушка пряная с сальцем Бавария Фикс.вес 0,3 н/о в/у Стародворье </t>
  </si>
  <si>
    <t> 34 </t>
  </si>
  <si>
    <t> -34 </t>
  </si>
  <si>
    <t> SU002287 </t>
  </si>
  <si>
    <t> Сардельки «Сочные» Весовой п/а ТМ «Особый рецепт» </t>
  </si>
  <si>
    <t> 108 </t>
  </si>
  <si>
    <t> -108 </t>
  </si>
  <si>
    <t> SU002618 </t>
  </si>
  <si>
    <t> Сосиски «Сочинки с сочной грудинкой» Фикс.вес 0,4 П/а мгс ТМ «Стародворье» </t>
  </si>
  <si>
    <t> 468 </t>
  </si>
  <si>
    <t> -468 </t>
  </si>
  <si>
    <t> SU002621 </t>
  </si>
  <si>
    <t> Сосиски «Сочинки с сочным окороком» Фикс.вес 0,4 П/а мгс ТМ «Стародворье» </t>
  </si>
  <si>
    <t> 257 </t>
  </si>
  <si>
    <t> -257 </t>
  </si>
  <si>
    <t> SU002655 </t>
  </si>
  <si>
    <t> Сосиски «Датские» Весовой п/а ТМ «Зареченские продукты» </t>
  </si>
  <si>
    <t> 306 </t>
  </si>
  <si>
    <t> -306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</si>
  <si>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</si>
  <si>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</si>
  <si>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21 </t>
  </si>
  <si>
    <t> -21 </t>
  </si>
  <si>
    <t> SU002843 </t>
  </si>
  <si>
    <t> Сосиски «Сочинки Молочные» Весовой п/а мгс ТМ «Стародворье» </t>
  </si>
  <si>
    <t> 211 </t>
  </si>
  <si>
    <t> -211 </t>
  </si>
  <si>
    <t> SU002847 </t>
  </si>
  <si>
    <t> В/к колбасы Сервелат Мясорубский с мелкорубленным окороком Бордо Весовой фиброуз Стародворье </t>
  </si>
  <si>
    <t> 76 </t>
  </si>
  <si>
    <t> -76 </t>
  </si>
  <si>
    <t> SU002942 </t>
  </si>
  <si>
    <t> В/к колбасы «Сочинка по-фински с сочным окороком» срез Фикс.вес 0,3 фиброуз ТМ «Стародворье» </t>
  </si>
  <si>
    <t> 16 </t>
  </si>
  <si>
    <t> -16 </t>
  </si>
  <si>
    <t> SU002943 </t>
  </si>
  <si>
    <t> В/к колбасы «Сочинка по-фински с сочным окороком» Весовой фиброуз ТМ «Стародворье» </t>
  </si>
  <si>
    <t> 22 </t>
  </si>
  <si>
    <t> -22 </t>
  </si>
  <si>
    <t> SU002945 </t>
  </si>
  <si>
    <t> П/к колбасы «Сочинка зернистая с сочной грудинкой» Весовой фиброуз ТМ «Стародворье» </t>
  </si>
  <si>
    <t> 610 </t>
  </si>
  <si>
    <t> 305 </t>
  </si>
  <si>
    <t> 225 </t>
  </si>
  <si>
    <t> -385 </t>
  </si>
  <si>
    <t> SU004039 </t>
  </si>
  <si>
    <t> Копченые колбасы «Балыковая» Фикс.вес 0,28 фиброуз срез ТМ «Вязанка» </t>
  </si>
  <si>
    <t> 15 </t>
  </si>
  <si>
    <t> -15 </t>
  </si>
  <si>
    <t> SU004041 </t>
  </si>
  <si>
    <t> Копченые колбасы «Балыковая» Весовой фиброуз ТМ «Вязанка» </t>
  </si>
  <si>
    <t> 63 </t>
  </si>
  <si>
    <t> -63 </t>
  </si>
  <si>
    <t> SU004044 </t>
  </si>
  <si>
    <t> Копченые колбасы «Сервелат Ореховый» Весовой фиброуз ТМ «Вязанка» </t>
  </si>
  <si>
    <t> 53 </t>
  </si>
  <si>
    <t> -53 </t>
  </si>
  <si>
    <t> SU004045 </t>
  </si>
  <si>
    <t> Копченые колбасы «Сервелат Финский» Фикс.вес 0,28 фиброуз срез ТМ «Вязанка» </t>
  </si>
  <si>
    <t> 32 </t>
  </si>
  <si>
    <t> -32 </t>
  </si>
  <si>
    <t> SU004047 </t>
  </si>
  <si>
    <t> Копченые колбасы «Сервелат Финский» Весовой фиброуз ТМ «Вязанка» </t>
  </si>
  <si>
    <t>17,08,недогр</t>
  </si>
  <si>
    <t>Сардельки «Стародворские с говядиной» Весовые NDX ТМ «Стародворье»</t>
  </si>
  <si>
    <t>Сосиски «Молочные оригинальные» Весовой п/а ТМ «Особый рецепт»</t>
  </si>
  <si>
    <t>Вареные колбасы Докторская ГОСТ Вязанка Весовые Вектор Вязанка</t>
  </si>
  <si>
    <t>Сосиски «Молокуши (Вязанка Молочные)» Весовой п/а мгс ТМ «Вязанка»</t>
  </si>
  <si>
    <t>Сосиски «Молокуши» ф/в 0,45 п/а мгс ТМ «Вязанка»</t>
  </si>
  <si>
    <t>Сосиски «Сливочные» ф/в 0,45 п/а мгс ТМ «Вязанка»</t>
  </si>
  <si>
    <t>Сосиски «Сливочные Вязанка» Весовой п/а мгс ТМ «Вязанка»</t>
  </si>
  <si>
    <t>С/к колбасы Швейцарская Бордо Фикс.вес 0,17 Фиброуз терм/п Стародворье</t>
  </si>
  <si>
    <t>С/к колбасы Княжеская Бордо Весовые б/о терм/п Стародворье</t>
  </si>
  <si>
    <t>С/к колбасы Салями Охотничья Бордо Весовые б/о терм/п 180 Стародворье</t>
  </si>
  <si>
    <t>Вареные колбасы «Молочная Дугушка» Весовые Вектор ТМ «Дугушка»</t>
  </si>
  <si>
    <t>Вареные колбасы Докторская ГОСТ Дугушка Весовые Вектор Дугушка</t>
  </si>
  <si>
    <t>Ветчины Дугушка Дугушка Вес б/о Дугушка</t>
  </si>
  <si>
    <t>Сосиски «Молочные для завтрака» Весовой п/а ТМ «Особый рецепт»</t>
  </si>
  <si>
    <t>С/к колбасы Баварская Бавария Фикс.вес 0,17 б/о терм/п Стародворье</t>
  </si>
  <si>
    <t>В/к колбасы «Рубленая Запеченная» Весовые Вектор ТМ «Дугушка»</t>
  </si>
  <si>
    <t>В/к колбасы «Сервелат Запеченный» Весовые Вектор ТМ «Дугушка»</t>
  </si>
  <si>
    <t>В/к колбасы «Салями Запеченая» Весовые ТМ «Дугушка»</t>
  </si>
  <si>
    <t>Сосиски «Молочные для завтрака» Фикс.вес 0,4 П/а мгс ТМ «Особый рецепт»</t>
  </si>
  <si>
    <t>П/к колбасы Кракушка пряная с сальцем Бавария Фикс.вес 0,3 н/о в/у Стародворье</t>
  </si>
  <si>
    <t>Сардельки «Сочные» Весовой п/а ТМ «Особый рецепт»</t>
  </si>
  <si>
    <t>Вареные колбасы «Молокуша» Фикс.вес 0,17 нарезка ТМ «Вязанка»</t>
  </si>
  <si>
    <t>Сосиски «Сочинки с сочной грудинкой» Фикс.вес 0,4 П/а мгс ТМ «Стародворье»</t>
  </si>
  <si>
    <t>Сосиски «Сочинки с сочным окороком» Фикс.вес 0,4 П/а мгс ТМ «Стародворье»</t>
  </si>
  <si>
    <t>Вареные колбасы «Молочная Дугушка» Фикс.вес 0,6 П/а ТМ «Дугушка»</t>
  </si>
  <si>
    <t>Вареные колбасы «Докторская ГОСТ» Фикс.вес 0,6 п/а ТМ «Дугушка»</t>
  </si>
  <si>
    <t>Вареные колбасы «Дугушка Стародворская» Вес п/а ТМ «Дугушка»</t>
  </si>
  <si>
    <t>Ветчины «Дугушка» Фикс.вес 0,6 полиамид ТМ «Дугушка»</t>
  </si>
  <si>
    <t>Сосиски «Датские» Весовой п/а ТМ «Зареченские продукты»</t>
  </si>
  <si>
    <t>Колбаса Мясорубская ТМ Стародворье с рубленой грудинкой в оболочке фиброуз в вакуумной упаковке 0,35 кг срез</t>
  </si>
  <si>
    <t>Сосиски Сочинки с сыром Бордо ф/в 0,4 кг п/а Стародворье</t>
  </si>
  <si>
    <t>Колбаса Мясорубская ТМ Стародворье с рубленой грудинкой в оболочке фиброуз в вакуумной упаковке</t>
  </si>
  <si>
    <t>Сардельки «Сочинки» Фикс.вес 0,4 п/а ТМ «Стародворье»</t>
  </si>
  <si>
    <t>Сардельки «Сочинки с сыром» Фикс.вес 0,4 п/а ТМ «Стародворье»</t>
  </si>
  <si>
    <t>Сосиски Сочинки по-баварски Бавария Фикс.вес 0,4 П/а мгс Стародворье</t>
  </si>
  <si>
    <t>Сосиски «Сочинки по-баварски с сыром» Фикс.вес 0,4 П/а мгс ТМ «Стародворье»</t>
  </si>
  <si>
    <t>Вареные колбасы «Филейская» Фикс.вес 0,45 Вектор ТМ «Вязанка»</t>
  </si>
  <si>
    <t>Вареные колбасы Молокуша Вязанка Фикс.вес 0,45 п/а Вязанка</t>
  </si>
  <si>
    <t>Ветчины «Филейская» Весовые Вектор ТМ «Вязанка»</t>
  </si>
  <si>
    <t>Вареные колбасы «Филейская» Весовые Вектор ТМ «Вязанка»</t>
  </si>
  <si>
    <t>Вареные колбасы Молокуша Вязанка Вес п/а Вязанка</t>
  </si>
  <si>
    <t>Ветчины «Сливушка с индейкой» Весовой п/а ТМ «Вязанка»</t>
  </si>
  <si>
    <t>Сардельки «Филейские» Весовые н/о мгс ТМ «Вязанка»</t>
  </si>
  <si>
    <t>Сосиски «Сочинки Молочные» Фикс.вес 0,4 п/а мгс ТМ «Стародворье»</t>
  </si>
  <si>
    <t>Сосиски «Сочинки Сливочные» Фикс.вес 0,4 п/а мгс ТМ «Стародворье»</t>
  </si>
  <si>
    <t>Сосиски «Сочинки Сливочные» Весовые ТМ «Стародворье» 1,35 кг</t>
  </si>
  <si>
    <t>В/к колбасы Сервелат Мясорубский с мелкорубленным окороком Бордо Весовой фиброуз Стародворье</t>
  </si>
  <si>
    <t>В/к колбасы Сервелат Мясорубский с мелкорубленным окороком срез Бордо Фикс.вес 0,35 фиброуз Стародворье</t>
  </si>
  <si>
    <t>Вареные колбасы «Сливушка» Вес П/а ТМ «Вязанка»</t>
  </si>
  <si>
    <t>В/к колбасы «Сочинка по-европейски с сочной грудинкой» Весовой фиброуз ТМ «Стародворье»</t>
  </si>
  <si>
    <t>В/к колбасы «Сочинка по-фински с сочным окороком» срез Фикс.вес 0,3 фиброуз ТМ «Стародворье»</t>
  </si>
  <si>
    <t>В/к колбасы «Сочинка по-фински с сочным окороком» Весовой фиброуз ТМ «Стародворье»</t>
  </si>
  <si>
    <t>В/к колбасы «Сочинка по-европейски с сочной грудинкой» срез Фикс.вес 0,3 фиброуз ТМ «Стародворье»</t>
  </si>
  <si>
    <t>П/к колбасы «Сочинка зернистая с сочной грудинкой» Весовой фиброуз ТМ «Стародворье»</t>
  </si>
  <si>
    <t>П/к колбасы «Сочинка рубленая с сочным окороком» Весовой фиброуз ТМ «Стародворье»</t>
  </si>
  <si>
    <t>П/к колбасы «Сочинка рубленая с сочным окороком» срез Фикс.вес 0,3 фиброуз ТМ «Стародворье»</t>
  </si>
  <si>
    <t>Колбаса вареная Мусульманская ТМ Вязанка Халяль вектор ф/в 0,4 кг Казахстан АК</t>
  </si>
  <si>
    <t>Сосиски Восточные халяль ТМ Вязанка полиамид в/у ф/в 0,33 кг Казахстан АК</t>
  </si>
  <si>
    <t>П/к колбасы «Аль-Ислами халяль» ф/в 0,35 фиброуз ТМ «Вязанка»</t>
  </si>
  <si>
    <t>Сосиски «Баварские» Фикс.вес 0,35 П/а ТМ «Стародворье»</t>
  </si>
  <si>
    <t>Сосиски «Баварские с сыром» Фикс.вес 0,35 п/а ТМ «Стародворье»</t>
  </si>
  <si>
    <t>Вареные колбасы «Филейная» Весовой п/а ТМ «Особый рецепт» большой батон</t>
  </si>
  <si>
    <t>Вареные колбасы «Со шпиком» Весовой п/а ТМ «Особый рецепт» большой батон</t>
  </si>
  <si>
    <t>Ветчины «Нежная с индейкой» Весовой п/а ТМ «Особый рецепт»</t>
  </si>
  <si>
    <t>Копченые колбасы «Сервелат Финский» Фикс.вес 0,09 нарезка ТМ «Вязанка»</t>
  </si>
  <si>
    <t>Копченые колбасы «Балыковая » Фикс.вес 0,09 нарезка ТМ «Вязанка»</t>
  </si>
  <si>
    <t>Копченые колбасы «Сервелат Мясорубский Делюкс» Фикс.вес 0,3 фиброуз ТМ «Стародворье»</t>
  </si>
  <si>
    <t>Сырокопченые колбасы «Сальчичон» Фикс.вес 0,07 нарезка ТМ «Стародворье»</t>
  </si>
  <si>
    <t>Сырокопченые колбасы «Сервелат Ореховый» Фикс.вес 0,07 нарезка ТМ «Стародворье»</t>
  </si>
  <si>
    <t>Деликатесы в/к «Грудинка копчено-вареная» Фикс.вес 0,12 нарезка ТМ «Стародворье»</t>
  </si>
  <si>
    <t>Копченые колбасы «Сервелат Ореховый» Фикс.вес 0,09 нарезка ТМ «Вязанка»</t>
  </si>
  <si>
    <t>Копченые колбасы «Ассорти Мясорубская коллекция: Сервелат Делюкс, С балыком» Фикс.вес 0,08 нарезка ТМ «Стародворье»</t>
  </si>
  <si>
    <t>Копченые колбасы «Балыковая» Фикс.вес 0,28 фиброуз срез ТМ «Вязанка»</t>
  </si>
  <si>
    <t>Копченые колбасы «Балыковая» Весовой фиброуз ТМ «Вязанка»</t>
  </si>
  <si>
    <t>Копченые колбасы «Сервелат Ореховый» Фикс.вес 0,28 фиброуз срез ТМ «Вязанка»</t>
  </si>
  <si>
    <t>Копченые колбасы «Сервелат Ореховый» Весовой фиброуз ТМ «Вязанка»</t>
  </si>
  <si>
    <t>Копченые колбасы «Сервелат Финский» Фикс.вес 0,28 фиброуз срез ТМ «Вязанка»</t>
  </si>
  <si>
    <t>Копченые колбасы «Сервелат Финский» Весовой фиброуз ТМ «Вязанка»</t>
  </si>
  <si>
    <t>Вареные колбасы «Молочная» Весовой п/а ТМ «Стародворье»</t>
  </si>
  <si>
    <t>Вареные колбасы «Мясная» Весовой п/а ТМ «Стародворье»</t>
  </si>
  <si>
    <t>Консервы «Гречка по-купечески с говядиной и овощами» Фикс.вес 0,325 ТМ «Стародворье»</t>
  </si>
  <si>
    <t>Консервы «Буженина в пряном маринаде» Фикс.вес 0,25 ТМ «Стародворье»</t>
  </si>
  <si>
    <t>Вареные колбасы «Мясная Классическая» Весовой п/а ТМ «Вязанка»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</si>
</sst>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5" fillId="0" borderId="1"/>
  </cellStyleXfs>
  <cellXfs count="25">
    <xf numFmtId="0" fontId="0" fillId="0" borderId="0" xfId="0" applyBorder="1"/>
    <xf numFmtId="164" fontId="1" fillId="0" borderId="1" xfId="1" applyNumberFormat="1" applyFon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ont="1" applyFill="1"/>
    <xf numFmtId="164" fontId="1" fillId="0" borderId="2" xfId="1" applyNumberFormat="1" applyFont="1" applyBorder="1"/>
    <xf numFmtId="2" fontId="0" fillId="0" borderId="0" xfId="0" applyNumberFormat="1" applyBorder="1"/>
    <xf numFmtId="2" fontId="1" fillId="0" borderId="1" xfId="1" applyNumberFormat="1" applyFont="1"/>
    <xf numFmtId="2" fontId="2" fillId="2" borderId="1" xfId="1" applyNumberFormat="1" applyFont="1" applyFill="1"/>
    <xf numFmtId="164" fontId="1" fillId="4" borderId="1" xfId="1" applyNumberFormat="1" applyFont="1" applyFill="1"/>
    <xf numFmtId="2" fontId="1" fillId="4" borderId="1" xfId="1" applyNumberFormat="1" applyFont="1" applyFill="1"/>
    <xf numFmtId="164" fontId="1" fillId="4" borderId="2" xfId="1" applyNumberFormat="1" applyFont="1" applyFill="1" applyBorder="1"/>
    <xf numFmtId="164" fontId="1" fillId="5" borderId="1" xfId="1" applyNumberFormat="1" applyFont="1" applyFill="1"/>
    <xf numFmtId="164" fontId="1" fillId="6" borderId="1" xfId="1" applyNumberFormat="1" applyFont="1" applyFill="1"/>
    <xf numFmtId="164" fontId="4" fillId="5" borderId="1" xfId="1" applyNumberFormat="1" applyFont="1" applyFill="1"/>
    <xf numFmtId="164" fontId="5" fillId="0" borderId="1" xfId="1" applyNumberFormat="1"/>
    <xf numFmtId="165" fontId="1" fillId="0" borderId="1" xfId="1" applyNumberFormat="1" applyFont="1"/>
    <xf numFmtId="164" fontId="7" fillId="0" borderId="1" xfId="1" applyNumberFormat="1" applyFont="1"/>
    <xf numFmtId="164" fontId="7" fillId="3" borderId="1" xfId="1" applyNumberFormat="1" applyFont="1" applyFill="1"/>
    <xf numFmtId="0" fontId="6" fillId="0" borderId="1" xfId="0" applyFont="1"/>
    <xf numFmtId="165" fontId="7" fillId="0" borderId="1" xfId="1" applyNumberFormat="1" applyFont="1"/>
    <xf numFmtId="164" fontId="7" fillId="0" borderId="2" xfId="1" applyNumberFormat="1" applyFont="1" applyBorder="1"/>
    <xf numFmtId="0" fontId="6" fillId="0" borderId="0" xfId="0" applyFont="1" applyBorder="1"/>
    <xf numFmtId="164" fontId="1" fillId="7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13,08,26%20&#1084;&#1083;&#1088;&#1089;&#1095;%20&#1087;&#1086;&#1082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5">
          <cell r="T5">
            <v>2340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O5" sqref="AO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7" style="24" customWidth="1"/>
    <col min="20" max="20" width="7" style="19" customWidth="1"/>
    <col min="21" max="23" width="7" customWidth="1"/>
    <col min="24" max="24" width="7" style="24" customWidth="1"/>
    <col min="25" max="25" width="7" style="22" customWidth="1"/>
    <col min="26" max="27" width="5" customWidth="1"/>
    <col min="28" max="37" width="6" customWidth="1"/>
    <col min="38" max="38" width="11.28515625" customWidth="1"/>
    <col min="39" max="39" width="7" customWidth="1"/>
  </cols>
  <sheetData>
    <row r="1" spans="1:4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7">
        <f>T2-T5-[1]Sheet!$T$5</f>
        <v>0</v>
      </c>
      <c r="U1" s="1"/>
      <c r="V1" s="1"/>
      <c r="W1" s="16">
        <v>-0.66</v>
      </c>
      <c r="X1" s="16"/>
      <c r="Y1" s="20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4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7">
        <v>3600</v>
      </c>
      <c r="U2" s="1"/>
      <c r="V2" s="1"/>
      <c r="W2" s="1" t="s">
        <v>0</v>
      </c>
      <c r="X2" s="1"/>
      <c r="Y2" s="17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40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8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15</v>
      </c>
      <c r="Q3" s="2" t="s">
        <v>15</v>
      </c>
      <c r="R3" s="2" t="s">
        <v>15</v>
      </c>
      <c r="S3" s="2" t="s">
        <v>15</v>
      </c>
      <c r="T3" s="2" t="s">
        <v>15</v>
      </c>
      <c r="U3" s="2" t="s">
        <v>16</v>
      </c>
      <c r="V3" s="3" t="s">
        <v>17</v>
      </c>
      <c r="W3" s="3" t="s">
        <v>18</v>
      </c>
      <c r="X3" s="3" t="s">
        <v>18</v>
      </c>
      <c r="Y3" s="3" t="s">
        <v>18</v>
      </c>
      <c r="Z3" s="2" t="s">
        <v>19</v>
      </c>
      <c r="AA3" s="2" t="s">
        <v>20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21</v>
      </c>
      <c r="AK3" s="2" t="s">
        <v>21</v>
      </c>
      <c r="AL3" s="2" t="s">
        <v>22</v>
      </c>
      <c r="AM3" s="2" t="s">
        <v>23</v>
      </c>
    </row>
    <row r="4" spans="1:4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 t="s">
        <v>310</v>
      </c>
      <c r="T4" s="17" t="s">
        <v>308</v>
      </c>
      <c r="U4" s="1" t="s">
        <v>28</v>
      </c>
      <c r="V4" s="1"/>
      <c r="W4" s="1" t="s">
        <v>29</v>
      </c>
      <c r="X4" s="1" t="s">
        <v>388</v>
      </c>
      <c r="Y4" s="17" t="s">
        <v>309</v>
      </c>
      <c r="Z4" s="1"/>
      <c r="AA4" s="1"/>
      <c r="AB4" s="1" t="s">
        <v>24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/>
      <c r="AM4" s="1"/>
    </row>
    <row r="5" spans="1:40" x14ac:dyDescent="0.25">
      <c r="A5" s="1"/>
      <c r="B5" s="1"/>
      <c r="C5" s="1"/>
      <c r="D5" s="1"/>
      <c r="E5" s="4">
        <f>SUM(E6:E499)</f>
        <v>22338.295999999995</v>
      </c>
      <c r="F5" s="4">
        <f>SUM(F6:F499)</f>
        <v>25838.31</v>
      </c>
      <c r="G5" s="7"/>
      <c r="H5" s="1"/>
      <c r="I5" s="1"/>
      <c r="J5" s="1"/>
      <c r="K5" s="4">
        <f t="shared" ref="K5:W5" si="0">SUM(K6:K499)</f>
        <v>23888.399999999998</v>
      </c>
      <c r="L5" s="4">
        <f t="shared" si="0"/>
        <v>-1550.104</v>
      </c>
      <c r="M5" s="4">
        <f t="shared" si="0"/>
        <v>0</v>
      </c>
      <c r="N5" s="4">
        <f t="shared" si="0"/>
        <v>0</v>
      </c>
      <c r="O5" s="4">
        <f t="shared" si="0"/>
        <v>11344.882069999998</v>
      </c>
      <c r="P5" s="4">
        <f t="shared" si="0"/>
        <v>-2295.2750000000001</v>
      </c>
      <c r="Q5" s="4">
        <f t="shared" si="0"/>
        <v>1500</v>
      </c>
      <c r="R5" s="4">
        <f t="shared" si="0"/>
        <v>7238.1140580000028</v>
      </c>
      <c r="S5" s="4">
        <f t="shared" ref="S5" si="1">SUM(S6:S499)</f>
        <v>-4072.9061624649858</v>
      </c>
      <c r="T5" s="18">
        <f t="shared" ref="T5" si="2">SUM(T6:T499)</f>
        <v>1260</v>
      </c>
      <c r="U5" s="4">
        <f t="shared" si="0"/>
        <v>4467.6592000000001</v>
      </c>
      <c r="V5" s="4">
        <f t="shared" si="0"/>
        <v>14865.180472000004</v>
      </c>
      <c r="W5" s="4">
        <f t="shared" si="0"/>
        <v>13199.154220000002</v>
      </c>
      <c r="X5" s="4">
        <f t="shared" ref="X5" si="3">SUM(X6:X499)</f>
        <v>-3393.2559999999999</v>
      </c>
      <c r="Y5" s="18">
        <f t="shared" ref="Y5" si="4">SUM(Y6:Y499)</f>
        <v>1700</v>
      </c>
      <c r="Z5" s="1"/>
      <c r="AA5" s="1"/>
      <c r="AB5" s="4">
        <f t="shared" ref="AB5:AK5" si="5">SUM(AB6:AB499)</f>
        <v>4046.9829999999988</v>
      </c>
      <c r="AC5" s="4">
        <f t="shared" si="5"/>
        <v>3390.857199999999</v>
      </c>
      <c r="AD5" s="4">
        <f t="shared" si="5"/>
        <v>3745.7852000000003</v>
      </c>
      <c r="AE5" s="4">
        <f t="shared" si="5"/>
        <v>4644.2882000000009</v>
      </c>
      <c r="AF5" s="4">
        <f t="shared" si="5"/>
        <v>4604.8541999999989</v>
      </c>
      <c r="AG5" s="4">
        <f t="shared" si="5"/>
        <v>4923.7491999999984</v>
      </c>
      <c r="AH5" s="4">
        <f t="shared" si="5"/>
        <v>4846.7421999999979</v>
      </c>
      <c r="AI5" s="4">
        <f t="shared" si="5"/>
        <v>4677.3707999999961</v>
      </c>
      <c r="AJ5" s="4">
        <f t="shared" si="5"/>
        <v>5292.9487999999983</v>
      </c>
      <c r="AK5" s="4">
        <f t="shared" si="5"/>
        <v>5236.8094000000001</v>
      </c>
      <c r="AL5" s="1"/>
      <c r="AM5" s="4">
        <f>SUM(AM6:AM499)</f>
        <v>8406</v>
      </c>
    </row>
    <row r="6" spans="1:40" x14ac:dyDescent="0.25">
      <c r="A6" s="23" t="s">
        <v>39</v>
      </c>
      <c r="B6" s="1" t="s">
        <v>40</v>
      </c>
      <c r="C6" s="1">
        <v>328.50700000000001</v>
      </c>
      <c r="D6" s="1">
        <v>201.58500000000001</v>
      </c>
      <c r="E6" s="1">
        <v>271.63799999999998</v>
      </c>
      <c r="F6" s="1">
        <v>243.61799999999999</v>
      </c>
      <c r="G6" s="7">
        <v>1</v>
      </c>
      <c r="H6" s="1">
        <v>50</v>
      </c>
      <c r="I6" s="1" t="s">
        <v>41</v>
      </c>
      <c r="J6" s="1"/>
      <c r="K6" s="1">
        <v>258.3</v>
      </c>
      <c r="L6" s="1">
        <f t="shared" ref="L6:L37" si="6">E6-K6</f>
        <v>13.337999999999965</v>
      </c>
      <c r="M6" s="1"/>
      <c r="N6" s="1"/>
      <c r="O6" s="1">
        <v>0</v>
      </c>
      <c r="P6" s="1"/>
      <c r="Q6" s="1"/>
      <c r="R6" s="1">
        <v>141.85669999999999</v>
      </c>
      <c r="S6" s="1"/>
      <c r="T6" s="17">
        <v>100</v>
      </c>
      <c r="U6" s="1">
        <f t="shared" ref="U6:U37" si="7">E6/5</f>
        <v>54.327599999999997</v>
      </c>
      <c r="V6" s="5">
        <f>12*U6-R6-Q6-P6-O6-F6</f>
        <v>266.45650000000001</v>
      </c>
      <c r="W6" s="5">
        <f>V6+$W$1*U6</f>
        <v>230.60028400000002</v>
      </c>
      <c r="X6" s="5"/>
      <c r="Y6" s="21">
        <v>100</v>
      </c>
      <c r="Z6" s="1">
        <f>(F6+O6+P6+Q6+R6+W6+T6+Y6)/U6</f>
        <v>15.02137005868104</v>
      </c>
      <c r="AA6" s="1">
        <f t="shared" ref="AA6:AA37" si="8">(F6+O6+P6+Q6+R6)/U6</f>
        <v>7.0953750947952789</v>
      </c>
      <c r="AB6" s="1">
        <v>47.706800000000001</v>
      </c>
      <c r="AC6" s="1">
        <v>28.063800000000001</v>
      </c>
      <c r="AD6" s="1">
        <v>26.715599999999998</v>
      </c>
      <c r="AE6" s="1">
        <v>48.6646</v>
      </c>
      <c r="AF6" s="1">
        <v>55.111400000000003</v>
      </c>
      <c r="AG6" s="1">
        <v>50.386399999999988</v>
      </c>
      <c r="AH6" s="1">
        <v>51.108400000000003</v>
      </c>
      <c r="AI6" s="1">
        <v>52.763399999999997</v>
      </c>
      <c r="AJ6" s="1">
        <v>58.165599999999998</v>
      </c>
      <c r="AK6" s="1">
        <v>54.690600000000003</v>
      </c>
      <c r="AL6" s="1"/>
      <c r="AM6" s="1">
        <f t="shared" ref="AM6:AM37" si="9">ROUND(G6*W6,0)</f>
        <v>231</v>
      </c>
      <c r="AN6" t="s">
        <v>42</v>
      </c>
    </row>
    <row r="7" spans="1:40" x14ac:dyDescent="0.25">
      <c r="A7" s="9" t="s">
        <v>43</v>
      </c>
      <c r="B7" s="9" t="s">
        <v>40</v>
      </c>
      <c r="C7" s="9">
        <v>8</v>
      </c>
      <c r="D7" s="9"/>
      <c r="E7" s="9"/>
      <c r="F7" s="9"/>
      <c r="G7" s="10">
        <v>0</v>
      </c>
      <c r="H7" s="9"/>
      <c r="I7" s="9" t="s">
        <v>44</v>
      </c>
      <c r="J7" s="9"/>
      <c r="K7" s="9"/>
      <c r="L7" s="9">
        <f t="shared" si="6"/>
        <v>0</v>
      </c>
      <c r="M7" s="9"/>
      <c r="N7" s="9"/>
      <c r="O7" s="9">
        <v>0</v>
      </c>
      <c r="P7" s="9"/>
      <c r="Q7" s="9"/>
      <c r="R7" s="9">
        <v>0</v>
      </c>
      <c r="S7" s="9"/>
      <c r="T7" s="9"/>
      <c r="U7" s="9">
        <f t="shared" si="7"/>
        <v>0</v>
      </c>
      <c r="V7" s="11"/>
      <c r="W7" s="5">
        <f>V7</f>
        <v>0</v>
      </c>
      <c r="X7" s="5"/>
      <c r="Y7" s="21"/>
      <c r="Z7" s="1" t="e">
        <f t="shared" ref="Z7:Z70" si="10">(F7+O7+P7+Q7+R7+W7+T7+Y7)/U7</f>
        <v>#DIV/0!</v>
      </c>
      <c r="AA7" s="9" t="e">
        <f t="shared" si="8"/>
        <v>#DIV/0!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/>
      <c r="AM7" s="1">
        <f t="shared" si="9"/>
        <v>0</v>
      </c>
    </row>
    <row r="8" spans="1:40" x14ac:dyDescent="0.25">
      <c r="A8" s="1" t="s">
        <v>45</v>
      </c>
      <c r="B8" s="1" t="s">
        <v>40</v>
      </c>
      <c r="C8" s="1">
        <v>514.51499999999999</v>
      </c>
      <c r="D8" s="1">
        <v>111.098</v>
      </c>
      <c r="E8" s="1">
        <v>474.66899999999998</v>
      </c>
      <c r="F8" s="1">
        <v>97.340999999999994</v>
      </c>
      <c r="G8" s="7">
        <v>1</v>
      </c>
      <c r="H8" s="1">
        <v>45</v>
      </c>
      <c r="I8" s="1" t="s">
        <v>41</v>
      </c>
      <c r="J8" s="1"/>
      <c r="K8" s="1">
        <v>651.79999999999995</v>
      </c>
      <c r="L8" s="1">
        <f t="shared" si="6"/>
        <v>-177.13099999999997</v>
      </c>
      <c r="M8" s="1"/>
      <c r="N8" s="1"/>
      <c r="O8" s="1">
        <v>369.03300000000002</v>
      </c>
      <c r="P8" s="1">
        <v>0</v>
      </c>
      <c r="Q8" s="1"/>
      <c r="R8" s="1">
        <v>227.97810000000001</v>
      </c>
      <c r="S8" s="1"/>
      <c r="T8" s="17">
        <v>200</v>
      </c>
      <c r="U8" s="1">
        <f t="shared" si="7"/>
        <v>94.933799999999991</v>
      </c>
      <c r="V8" s="5">
        <f>12*U8-R8-Q8-P8-O8-F8</f>
        <v>444.85349999999971</v>
      </c>
      <c r="W8" s="5">
        <f>V8+$W$1*U8</f>
        <v>382.19719199999975</v>
      </c>
      <c r="X8" s="5"/>
      <c r="Y8" s="21"/>
      <c r="Z8" s="1">
        <f t="shared" si="10"/>
        <v>13.44673121691115</v>
      </c>
      <c r="AA8" s="1">
        <f t="shared" si="8"/>
        <v>7.3140662229890738</v>
      </c>
      <c r="AB8" s="1">
        <v>81.040400000000005</v>
      </c>
      <c r="AC8" s="1">
        <v>58.811599999999999</v>
      </c>
      <c r="AD8" s="1">
        <v>63.0702</v>
      </c>
      <c r="AE8" s="1">
        <v>39.780999999999999</v>
      </c>
      <c r="AF8" s="1">
        <v>30.569600000000001</v>
      </c>
      <c r="AG8" s="1">
        <v>17.161999999999999</v>
      </c>
      <c r="AH8" s="1">
        <v>29.265599999999999</v>
      </c>
      <c r="AI8" s="1">
        <v>120.8122</v>
      </c>
      <c r="AJ8" s="1">
        <v>121.6172</v>
      </c>
      <c r="AK8" s="1">
        <v>57.033000000000001</v>
      </c>
      <c r="AL8" s="1"/>
      <c r="AM8" s="1">
        <f t="shared" si="9"/>
        <v>382</v>
      </c>
      <c r="AN8" t="s">
        <v>46</v>
      </c>
    </row>
    <row r="9" spans="1:40" x14ac:dyDescent="0.25">
      <c r="A9" s="1" t="s">
        <v>47</v>
      </c>
      <c r="B9" s="1" t="s">
        <v>40</v>
      </c>
      <c r="C9" s="1">
        <v>262.14100000000002</v>
      </c>
      <c r="D9" s="1">
        <v>558.68100000000004</v>
      </c>
      <c r="E9" s="1">
        <v>551.67499999999995</v>
      </c>
      <c r="F9" s="1">
        <v>164.37700000000001</v>
      </c>
      <c r="G9" s="7">
        <v>1</v>
      </c>
      <c r="H9" s="1">
        <v>45</v>
      </c>
      <c r="I9" s="1" t="s">
        <v>41</v>
      </c>
      <c r="J9" s="1"/>
      <c r="K9" s="1">
        <v>622.29999999999995</v>
      </c>
      <c r="L9" s="1">
        <f t="shared" si="6"/>
        <v>-70.625</v>
      </c>
      <c r="M9" s="1"/>
      <c r="N9" s="1"/>
      <c r="O9" s="1">
        <v>373.18699999999978</v>
      </c>
      <c r="P9" s="1">
        <v>0</v>
      </c>
      <c r="Q9" s="1"/>
      <c r="R9" s="1">
        <v>261.97550000000018</v>
      </c>
      <c r="S9" s="1"/>
      <c r="T9" s="17">
        <v>200</v>
      </c>
      <c r="U9" s="1">
        <f t="shared" si="7"/>
        <v>110.33499999999999</v>
      </c>
      <c r="V9" s="5">
        <f>12*U9-R9-Q9-P9-O9-F9</f>
        <v>524.48049999999989</v>
      </c>
      <c r="W9" s="5">
        <f>V9+$W$1*U9</f>
        <v>451.65939999999989</v>
      </c>
      <c r="X9" s="5"/>
      <c r="Y9" s="21"/>
      <c r="Z9" s="1">
        <f t="shared" si="10"/>
        <v>13.152661440159514</v>
      </c>
      <c r="AA9" s="1">
        <f t="shared" si="8"/>
        <v>7.2464721076720906</v>
      </c>
      <c r="AB9" s="1">
        <v>93.042000000000002</v>
      </c>
      <c r="AC9" s="1">
        <v>68.473199999999991</v>
      </c>
      <c r="AD9" s="1">
        <v>73.171999999999997</v>
      </c>
      <c r="AE9" s="1">
        <v>62.864999999999988</v>
      </c>
      <c r="AF9" s="1">
        <v>52.998600000000003</v>
      </c>
      <c r="AG9" s="1">
        <v>41.674400000000013</v>
      </c>
      <c r="AH9" s="1">
        <v>95.290599999999998</v>
      </c>
      <c r="AI9" s="1">
        <v>107.0196</v>
      </c>
      <c r="AJ9" s="1">
        <v>70.07419999999999</v>
      </c>
      <c r="AK9" s="1">
        <v>65.295199999999994</v>
      </c>
      <c r="AL9" s="1"/>
      <c r="AM9" s="1">
        <f t="shared" si="9"/>
        <v>452</v>
      </c>
      <c r="AN9" t="s">
        <v>48</v>
      </c>
    </row>
    <row r="10" spans="1:40" x14ac:dyDescent="0.25">
      <c r="A10" s="9" t="s">
        <v>49</v>
      </c>
      <c r="B10" s="9" t="s">
        <v>50</v>
      </c>
      <c r="C10" s="9"/>
      <c r="D10" s="9"/>
      <c r="E10" s="9"/>
      <c r="F10" s="9"/>
      <c r="G10" s="10">
        <v>0</v>
      </c>
      <c r="H10" s="9"/>
      <c r="I10" s="9" t="s">
        <v>41</v>
      </c>
      <c r="J10" s="9"/>
      <c r="K10" s="9"/>
      <c r="L10" s="9">
        <f t="shared" si="6"/>
        <v>0</v>
      </c>
      <c r="M10" s="9"/>
      <c r="N10" s="9"/>
      <c r="O10" s="9">
        <v>0</v>
      </c>
      <c r="P10" s="9"/>
      <c r="Q10" s="9"/>
      <c r="R10" s="9">
        <v>0</v>
      </c>
      <c r="S10" s="9"/>
      <c r="T10" s="9"/>
      <c r="U10" s="9">
        <f t="shared" si="7"/>
        <v>0</v>
      </c>
      <c r="V10" s="11"/>
      <c r="W10" s="5">
        <f>V10</f>
        <v>0</v>
      </c>
      <c r="X10" s="5"/>
      <c r="Y10" s="21"/>
      <c r="Z10" s="1" t="e">
        <f t="shared" si="10"/>
        <v>#DIV/0!</v>
      </c>
      <c r="AA10" s="9" t="e">
        <f t="shared" si="8"/>
        <v>#DIV/0!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 t="s">
        <v>51</v>
      </c>
      <c r="AM10" s="1">
        <f t="shared" si="9"/>
        <v>0</v>
      </c>
      <c r="AN10" t="s">
        <v>52</v>
      </c>
    </row>
    <row r="11" spans="1:40" x14ac:dyDescent="0.25">
      <c r="A11" s="1" t="s">
        <v>53</v>
      </c>
      <c r="B11" s="1" t="s">
        <v>50</v>
      </c>
      <c r="C11" s="1">
        <v>864</v>
      </c>
      <c r="D11" s="1">
        <v>515</v>
      </c>
      <c r="E11" s="1">
        <v>561</v>
      </c>
      <c r="F11" s="1">
        <v>559</v>
      </c>
      <c r="G11" s="7">
        <v>0.45</v>
      </c>
      <c r="H11" s="1">
        <v>45</v>
      </c>
      <c r="I11" s="1" t="s">
        <v>41</v>
      </c>
      <c r="J11" s="1"/>
      <c r="K11" s="1">
        <v>649</v>
      </c>
      <c r="L11" s="1">
        <f t="shared" si="6"/>
        <v>-88</v>
      </c>
      <c r="M11" s="1"/>
      <c r="N11" s="1"/>
      <c r="O11" s="1">
        <v>18.388000000000019</v>
      </c>
      <c r="P11" s="1">
        <v>0</v>
      </c>
      <c r="Q11" s="1"/>
      <c r="R11" s="1">
        <v>0</v>
      </c>
      <c r="S11" s="1"/>
      <c r="T11" s="1"/>
      <c r="U11" s="1">
        <f t="shared" si="7"/>
        <v>112.2</v>
      </c>
      <c r="V11" s="5">
        <f t="shared" ref="V11:V16" si="11">12*U11-R11-Q11-P11-O11-F11</f>
        <v>769.01200000000017</v>
      </c>
      <c r="W11" s="5">
        <f>V11+$W$1*U11</f>
        <v>694.96000000000015</v>
      </c>
      <c r="X11" s="5"/>
      <c r="Y11" s="21"/>
      <c r="Z11" s="1">
        <f t="shared" si="10"/>
        <v>11.340000000000002</v>
      </c>
      <c r="AA11" s="1">
        <f t="shared" si="8"/>
        <v>5.1460606060606064</v>
      </c>
      <c r="AB11" s="1">
        <v>85.6</v>
      </c>
      <c r="AC11" s="1">
        <v>78.400000000000006</v>
      </c>
      <c r="AD11" s="1">
        <v>92.6</v>
      </c>
      <c r="AE11" s="1">
        <v>123.8</v>
      </c>
      <c r="AF11" s="1">
        <v>121.2</v>
      </c>
      <c r="AG11" s="1">
        <v>130.4</v>
      </c>
      <c r="AH11" s="1">
        <v>130.80000000000001</v>
      </c>
      <c r="AI11" s="1">
        <v>112.4</v>
      </c>
      <c r="AJ11" s="1">
        <v>123</v>
      </c>
      <c r="AK11" s="1">
        <v>122</v>
      </c>
      <c r="AL11" s="1"/>
      <c r="AM11" s="1">
        <f t="shared" si="9"/>
        <v>313</v>
      </c>
      <c r="AN11" t="s">
        <v>54</v>
      </c>
    </row>
    <row r="12" spans="1:40" x14ac:dyDescent="0.25">
      <c r="A12" s="1" t="s">
        <v>55</v>
      </c>
      <c r="B12" s="1" t="s">
        <v>50</v>
      </c>
      <c r="C12" s="1">
        <v>31</v>
      </c>
      <c r="D12" s="1">
        <v>1518</v>
      </c>
      <c r="E12" s="1">
        <v>756</v>
      </c>
      <c r="F12" s="1">
        <v>599</v>
      </c>
      <c r="G12" s="7">
        <v>0.45</v>
      </c>
      <c r="H12" s="1">
        <v>45</v>
      </c>
      <c r="I12" s="1" t="s">
        <v>41</v>
      </c>
      <c r="J12" s="1"/>
      <c r="K12" s="1">
        <v>794</v>
      </c>
      <c r="L12" s="1">
        <f t="shared" si="6"/>
        <v>-38</v>
      </c>
      <c r="M12" s="1"/>
      <c r="N12" s="1"/>
      <c r="O12" s="1">
        <v>347.7999999999999</v>
      </c>
      <c r="P12" s="1">
        <v>0</v>
      </c>
      <c r="Q12" s="1"/>
      <c r="R12" s="1">
        <v>0</v>
      </c>
      <c r="S12" s="1"/>
      <c r="T12" s="1"/>
      <c r="U12" s="1">
        <f t="shared" si="7"/>
        <v>151.19999999999999</v>
      </c>
      <c r="V12" s="5">
        <f t="shared" si="11"/>
        <v>867.59999999999991</v>
      </c>
      <c r="W12" s="5">
        <f>V12+$W$1*U12</f>
        <v>767.80799999999988</v>
      </c>
      <c r="X12" s="5"/>
      <c r="Y12" s="21"/>
      <c r="Z12" s="1">
        <f t="shared" si="10"/>
        <v>11.34</v>
      </c>
      <c r="AA12" s="1">
        <f t="shared" si="8"/>
        <v>6.2619047619047619</v>
      </c>
      <c r="AB12" s="1">
        <v>121.8</v>
      </c>
      <c r="AC12" s="1">
        <v>115.2</v>
      </c>
      <c r="AD12" s="1">
        <v>136.4</v>
      </c>
      <c r="AE12" s="1">
        <v>154.6</v>
      </c>
      <c r="AF12" s="1">
        <v>104</v>
      </c>
      <c r="AG12" s="1">
        <v>95.2</v>
      </c>
      <c r="AH12" s="1">
        <v>133.4</v>
      </c>
      <c r="AI12" s="1">
        <v>138</v>
      </c>
      <c r="AJ12" s="1">
        <v>155.19999999999999</v>
      </c>
      <c r="AK12" s="1">
        <v>140.19999999999999</v>
      </c>
      <c r="AL12" s="1"/>
      <c r="AM12" s="1">
        <f t="shared" si="9"/>
        <v>346</v>
      </c>
      <c r="AN12" t="s">
        <v>56</v>
      </c>
    </row>
    <row r="13" spans="1:40" x14ac:dyDescent="0.25">
      <c r="A13" s="1" t="s">
        <v>57</v>
      </c>
      <c r="B13" s="1" t="s">
        <v>50</v>
      </c>
      <c r="C13" s="1">
        <v>139</v>
      </c>
      <c r="D13" s="1">
        <v>11</v>
      </c>
      <c r="E13" s="1">
        <v>97</v>
      </c>
      <c r="F13" s="1"/>
      <c r="G13" s="7">
        <v>0.17</v>
      </c>
      <c r="H13" s="1">
        <v>180</v>
      </c>
      <c r="I13" s="1" t="s">
        <v>41</v>
      </c>
      <c r="J13" s="1"/>
      <c r="K13" s="1">
        <v>102</v>
      </c>
      <c r="L13" s="1">
        <f t="shared" si="6"/>
        <v>-5</v>
      </c>
      <c r="M13" s="1"/>
      <c r="N13" s="1"/>
      <c r="O13" s="1">
        <v>36.000000000000007</v>
      </c>
      <c r="P13" s="1">
        <v>0</v>
      </c>
      <c r="Q13" s="1"/>
      <c r="R13" s="1">
        <v>100.5</v>
      </c>
      <c r="S13" s="1">
        <v>-105.88235294117646</v>
      </c>
      <c r="T13" s="1"/>
      <c r="U13" s="1">
        <f t="shared" si="7"/>
        <v>19.399999999999999</v>
      </c>
      <c r="V13" s="5">
        <f t="shared" si="11"/>
        <v>96.299999999999983</v>
      </c>
      <c r="W13" s="5">
        <f>V13</f>
        <v>96.299999999999983</v>
      </c>
      <c r="X13" s="5"/>
      <c r="Y13" s="21"/>
      <c r="Z13" s="1">
        <f t="shared" si="10"/>
        <v>12</v>
      </c>
      <c r="AA13" s="1">
        <f t="shared" si="8"/>
        <v>7.0360824742268049</v>
      </c>
      <c r="AB13" s="1">
        <v>18</v>
      </c>
      <c r="AC13" s="1">
        <v>11.6</v>
      </c>
      <c r="AD13" s="1">
        <v>15</v>
      </c>
      <c r="AE13" s="1">
        <v>14</v>
      </c>
      <c r="AF13" s="1">
        <v>14.8</v>
      </c>
      <c r="AG13" s="1">
        <v>20</v>
      </c>
      <c r="AH13" s="1">
        <v>20.2</v>
      </c>
      <c r="AI13" s="1">
        <v>24.8</v>
      </c>
      <c r="AJ13" s="1">
        <v>23.6</v>
      </c>
      <c r="AK13" s="1">
        <v>20.6</v>
      </c>
      <c r="AL13" s="1"/>
      <c r="AM13" s="1">
        <f t="shared" si="9"/>
        <v>16</v>
      </c>
      <c r="AN13" t="s">
        <v>58</v>
      </c>
    </row>
    <row r="14" spans="1:40" x14ac:dyDescent="0.25">
      <c r="A14" s="1" t="s">
        <v>59</v>
      </c>
      <c r="B14" s="1" t="s">
        <v>50</v>
      </c>
      <c r="C14" s="1">
        <v>75</v>
      </c>
      <c r="D14" s="1">
        <v>143</v>
      </c>
      <c r="E14" s="1">
        <v>172</v>
      </c>
      <c r="F14" s="1">
        <v>49</v>
      </c>
      <c r="G14" s="7">
        <v>0.3</v>
      </c>
      <c r="H14" s="1">
        <v>40</v>
      </c>
      <c r="I14" s="1" t="s">
        <v>41</v>
      </c>
      <c r="J14" s="1"/>
      <c r="K14" s="1">
        <v>159</v>
      </c>
      <c r="L14" s="1">
        <f t="shared" si="6"/>
        <v>13</v>
      </c>
      <c r="M14" s="1"/>
      <c r="N14" s="1"/>
      <c r="O14" s="1">
        <v>76.79999999999994</v>
      </c>
      <c r="P14" s="1">
        <v>0</v>
      </c>
      <c r="Q14" s="1"/>
      <c r="R14" s="1">
        <v>110.5</v>
      </c>
      <c r="S14" s="1">
        <v>-113.33333333333334</v>
      </c>
      <c r="T14" s="1"/>
      <c r="U14" s="1">
        <f t="shared" si="7"/>
        <v>34.4</v>
      </c>
      <c r="V14" s="5">
        <f t="shared" si="11"/>
        <v>176.5</v>
      </c>
      <c r="W14" s="5">
        <f>V14+$W$1*U14</f>
        <v>153.79599999999999</v>
      </c>
      <c r="X14" s="5">
        <v>-156</v>
      </c>
      <c r="Y14" s="21"/>
      <c r="Z14" s="1">
        <f t="shared" si="10"/>
        <v>11.339999999999998</v>
      </c>
      <c r="AA14" s="1">
        <f t="shared" si="8"/>
        <v>6.8691860465116266</v>
      </c>
      <c r="AB14" s="1">
        <v>29.2</v>
      </c>
      <c r="AC14" s="1">
        <v>16.399999999999999</v>
      </c>
      <c r="AD14" s="1">
        <v>19.8</v>
      </c>
      <c r="AE14" s="1">
        <v>23.6</v>
      </c>
      <c r="AF14" s="1">
        <v>21</v>
      </c>
      <c r="AG14" s="1">
        <v>13.6</v>
      </c>
      <c r="AH14" s="1">
        <v>30.4</v>
      </c>
      <c r="AI14" s="1">
        <v>28.8</v>
      </c>
      <c r="AJ14" s="1">
        <v>27.8</v>
      </c>
      <c r="AK14" s="1">
        <v>31.8</v>
      </c>
      <c r="AL14" s="1"/>
      <c r="AM14" s="1">
        <f t="shared" si="9"/>
        <v>46</v>
      </c>
      <c r="AN14" t="s">
        <v>60</v>
      </c>
    </row>
    <row r="15" spans="1:40" x14ac:dyDescent="0.25">
      <c r="A15" s="1" t="s">
        <v>61</v>
      </c>
      <c r="B15" s="1" t="s">
        <v>50</v>
      </c>
      <c r="C15" s="1">
        <v>168</v>
      </c>
      <c r="D15" s="1">
        <v>76</v>
      </c>
      <c r="E15" s="1">
        <v>228</v>
      </c>
      <c r="F15" s="1">
        <v>20</v>
      </c>
      <c r="G15" s="7">
        <v>0.17</v>
      </c>
      <c r="H15" s="1">
        <v>180</v>
      </c>
      <c r="I15" s="1" t="s">
        <v>41</v>
      </c>
      <c r="J15" s="1"/>
      <c r="K15" s="1">
        <v>225</v>
      </c>
      <c r="L15" s="1">
        <f t="shared" si="6"/>
        <v>3</v>
      </c>
      <c r="M15" s="1"/>
      <c r="N15" s="1"/>
      <c r="O15" s="1">
        <v>126.4</v>
      </c>
      <c r="P15" s="1">
        <v>0</v>
      </c>
      <c r="Q15" s="1"/>
      <c r="R15" s="1">
        <v>77.599999999999994</v>
      </c>
      <c r="S15" s="1"/>
      <c r="T15" s="1"/>
      <c r="U15" s="1">
        <f t="shared" si="7"/>
        <v>45.6</v>
      </c>
      <c r="V15" s="5">
        <f t="shared" si="11"/>
        <v>323.20000000000005</v>
      </c>
      <c r="W15" s="5">
        <f>V15+$W$1*U15</f>
        <v>293.10400000000004</v>
      </c>
      <c r="X15" s="5"/>
      <c r="Y15" s="21"/>
      <c r="Z15" s="1">
        <f t="shared" si="10"/>
        <v>11.34</v>
      </c>
      <c r="AA15" s="1">
        <f t="shared" si="8"/>
        <v>4.9122807017543861</v>
      </c>
      <c r="AB15" s="1">
        <v>32</v>
      </c>
      <c r="AC15" s="1">
        <v>21.4</v>
      </c>
      <c r="AD15" s="1">
        <v>18.2</v>
      </c>
      <c r="AE15" s="1">
        <v>21.2</v>
      </c>
      <c r="AF15" s="1">
        <v>27.6</v>
      </c>
      <c r="AG15" s="1">
        <v>28.6</v>
      </c>
      <c r="AH15" s="1">
        <v>30.2</v>
      </c>
      <c r="AI15" s="1">
        <v>40.200000000000003</v>
      </c>
      <c r="AJ15" s="1">
        <v>31.4</v>
      </c>
      <c r="AK15" s="1">
        <v>25.6</v>
      </c>
      <c r="AL15" s="1"/>
      <c r="AM15" s="1">
        <f t="shared" si="9"/>
        <v>50</v>
      </c>
      <c r="AN15" t="s">
        <v>62</v>
      </c>
    </row>
    <row r="16" spans="1:40" x14ac:dyDescent="0.25">
      <c r="A16" s="23" t="s">
        <v>63</v>
      </c>
      <c r="B16" s="1" t="s">
        <v>40</v>
      </c>
      <c r="C16" s="1">
        <v>686.62199999999996</v>
      </c>
      <c r="D16" s="1">
        <v>590.16800000000001</v>
      </c>
      <c r="E16" s="1">
        <v>396.78899999999999</v>
      </c>
      <c r="F16" s="1">
        <v>684.798</v>
      </c>
      <c r="G16" s="7">
        <v>1</v>
      </c>
      <c r="H16" s="1">
        <v>70</v>
      </c>
      <c r="I16" s="1" t="s">
        <v>41</v>
      </c>
      <c r="J16" s="1"/>
      <c r="K16" s="1">
        <v>367.4</v>
      </c>
      <c r="L16" s="1">
        <f t="shared" si="6"/>
        <v>29.38900000000001</v>
      </c>
      <c r="M16" s="1"/>
      <c r="N16" s="1"/>
      <c r="O16" s="1">
        <v>0</v>
      </c>
      <c r="P16" s="1"/>
      <c r="Q16" s="1"/>
      <c r="R16" s="1">
        <v>56.248199999999997</v>
      </c>
      <c r="S16" s="1"/>
      <c r="T16" s="17">
        <v>150</v>
      </c>
      <c r="U16" s="1">
        <f t="shared" si="7"/>
        <v>79.357799999999997</v>
      </c>
      <c r="V16" s="5">
        <f t="shared" si="11"/>
        <v>211.24739999999997</v>
      </c>
      <c r="W16" s="5">
        <f>V16+$W$1*U16</f>
        <v>158.87125199999997</v>
      </c>
      <c r="X16" s="5"/>
      <c r="Y16" s="21">
        <v>200</v>
      </c>
      <c r="Z16" s="1">
        <f t="shared" si="10"/>
        <v>15.750404522302786</v>
      </c>
      <c r="AA16" s="1">
        <f t="shared" si="8"/>
        <v>9.3380386049008415</v>
      </c>
      <c r="AB16" s="1">
        <v>76.665199999999999</v>
      </c>
      <c r="AC16" s="1">
        <v>60.802999999999997</v>
      </c>
      <c r="AD16" s="1">
        <v>75.010400000000004</v>
      </c>
      <c r="AE16" s="1">
        <v>103.798</v>
      </c>
      <c r="AF16" s="1">
        <v>100.63639999999999</v>
      </c>
      <c r="AG16" s="1">
        <v>101.03440000000001</v>
      </c>
      <c r="AH16" s="1">
        <v>101.12820000000001</v>
      </c>
      <c r="AI16" s="1">
        <v>101.80880000000001</v>
      </c>
      <c r="AJ16" s="1">
        <v>108.13339999999999</v>
      </c>
      <c r="AK16" s="1">
        <v>101.485</v>
      </c>
      <c r="AL16" s="1"/>
      <c r="AM16" s="1">
        <f t="shared" si="9"/>
        <v>159</v>
      </c>
      <c r="AN16" t="s">
        <v>64</v>
      </c>
    </row>
    <row r="17" spans="1:40" x14ac:dyDescent="0.25">
      <c r="A17" s="23" t="s">
        <v>65</v>
      </c>
      <c r="B17" s="1" t="s">
        <v>40</v>
      </c>
      <c r="C17" s="1">
        <v>3428.625</v>
      </c>
      <c r="D17" s="1">
        <v>3410.55</v>
      </c>
      <c r="E17" s="1">
        <v>1663.925</v>
      </c>
      <c r="F17" s="1">
        <v>4416.5460000000003</v>
      </c>
      <c r="G17" s="7">
        <v>1</v>
      </c>
      <c r="H17" s="1">
        <v>50</v>
      </c>
      <c r="I17" s="1" t="s">
        <v>41</v>
      </c>
      <c r="J17" s="1"/>
      <c r="K17" s="1">
        <v>1661.5</v>
      </c>
      <c r="L17" s="1">
        <f t="shared" si="6"/>
        <v>2.4249999999999545</v>
      </c>
      <c r="M17" s="1"/>
      <c r="N17" s="1"/>
      <c r="O17" s="1">
        <v>0</v>
      </c>
      <c r="P17" s="1"/>
      <c r="Q17" s="1"/>
      <c r="R17" s="1">
        <v>0</v>
      </c>
      <c r="S17" s="1"/>
      <c r="T17" s="17">
        <v>0</v>
      </c>
      <c r="U17" s="1">
        <f t="shared" si="7"/>
        <v>332.78499999999997</v>
      </c>
      <c r="V17" s="5"/>
      <c r="W17" s="5">
        <f>V17</f>
        <v>0</v>
      </c>
      <c r="X17" s="5"/>
      <c r="Y17" s="21">
        <v>900</v>
      </c>
      <c r="Z17" s="1">
        <f t="shared" si="10"/>
        <v>15.975918385744553</v>
      </c>
      <c r="AA17" s="1">
        <f t="shared" si="8"/>
        <v>13.271469567438439</v>
      </c>
      <c r="AB17" s="1">
        <v>290.48419999999999</v>
      </c>
      <c r="AC17" s="1">
        <v>294.3408</v>
      </c>
      <c r="AD17" s="1">
        <v>370.44220000000001</v>
      </c>
      <c r="AE17" s="1">
        <v>447.33139999999997</v>
      </c>
      <c r="AF17" s="1">
        <v>426.28320000000002</v>
      </c>
      <c r="AG17" s="1">
        <v>485.00200000000012</v>
      </c>
      <c r="AH17" s="1">
        <v>444.64399999999989</v>
      </c>
      <c r="AI17" s="1">
        <v>417.89479999999998</v>
      </c>
      <c r="AJ17" s="1">
        <v>444.3236</v>
      </c>
      <c r="AK17" s="1">
        <v>493.88639999999998</v>
      </c>
      <c r="AL17" s="12" t="s">
        <v>66</v>
      </c>
      <c r="AM17" s="1">
        <f t="shared" si="9"/>
        <v>0</v>
      </c>
      <c r="AN17" t="s">
        <v>67</v>
      </c>
    </row>
    <row r="18" spans="1:40" x14ac:dyDescent="0.25">
      <c r="A18" s="1" t="s">
        <v>68</v>
      </c>
      <c r="B18" s="1" t="s">
        <v>40</v>
      </c>
      <c r="C18" s="1">
        <v>61.082999999999998</v>
      </c>
      <c r="D18" s="1">
        <v>215.14</v>
      </c>
      <c r="E18" s="1">
        <v>72.625</v>
      </c>
      <c r="F18" s="1">
        <v>88.659000000000006</v>
      </c>
      <c r="G18" s="7">
        <v>1</v>
      </c>
      <c r="H18" s="1">
        <v>60</v>
      </c>
      <c r="I18" s="1" t="s">
        <v>41</v>
      </c>
      <c r="J18" s="1"/>
      <c r="K18" s="1">
        <v>72.8</v>
      </c>
      <c r="L18" s="1">
        <f t="shared" si="6"/>
        <v>-0.17499999999999716</v>
      </c>
      <c r="M18" s="1"/>
      <c r="N18" s="1"/>
      <c r="O18" s="1">
        <v>0</v>
      </c>
      <c r="P18" s="1"/>
      <c r="Q18" s="1"/>
      <c r="R18" s="1">
        <v>0</v>
      </c>
      <c r="S18" s="1"/>
      <c r="T18" s="1"/>
      <c r="U18" s="1">
        <f t="shared" si="7"/>
        <v>14.525</v>
      </c>
      <c r="V18" s="5">
        <f>12*U18-R18-Q18-P18-O18-F18</f>
        <v>85.641000000000005</v>
      </c>
      <c r="W18" s="5">
        <f>V18</f>
        <v>85.641000000000005</v>
      </c>
      <c r="X18" s="5"/>
      <c r="Y18" s="21"/>
      <c r="Z18" s="1">
        <f t="shared" si="10"/>
        <v>12</v>
      </c>
      <c r="AA18" s="1">
        <f t="shared" si="8"/>
        <v>6.103889845094665</v>
      </c>
      <c r="AB18" s="1">
        <v>9.8002000000000002</v>
      </c>
      <c r="AC18" s="1">
        <v>6.9792000000000014</v>
      </c>
      <c r="AD18" s="1">
        <v>11.373200000000001</v>
      </c>
      <c r="AE18" s="1">
        <v>21.314399999999999</v>
      </c>
      <c r="AF18" s="1">
        <v>17.635999999999999</v>
      </c>
      <c r="AG18" s="1">
        <v>7.6536</v>
      </c>
      <c r="AH18" s="1">
        <v>10.663399999999999</v>
      </c>
      <c r="AI18" s="1">
        <v>17.847000000000001</v>
      </c>
      <c r="AJ18" s="1">
        <v>16.242799999999999</v>
      </c>
      <c r="AK18" s="1">
        <v>14.605600000000001</v>
      </c>
      <c r="AL18" s="1"/>
      <c r="AM18" s="1">
        <f t="shared" si="9"/>
        <v>86</v>
      </c>
      <c r="AN18" t="s">
        <v>69</v>
      </c>
    </row>
    <row r="19" spans="1:40" x14ac:dyDescent="0.25">
      <c r="A19" s="1" t="s">
        <v>70</v>
      </c>
      <c r="B19" s="1" t="s">
        <v>40</v>
      </c>
      <c r="C19" s="1">
        <v>3.004</v>
      </c>
      <c r="D19" s="1">
        <v>54.085999999999999</v>
      </c>
      <c r="E19" s="1">
        <v>31.696999999999999</v>
      </c>
      <c r="F19" s="1">
        <v>23.561</v>
      </c>
      <c r="G19" s="7">
        <v>1</v>
      </c>
      <c r="H19" s="1">
        <v>60</v>
      </c>
      <c r="I19" s="1" t="s">
        <v>41</v>
      </c>
      <c r="J19" s="1"/>
      <c r="K19" s="1">
        <v>32.1</v>
      </c>
      <c r="L19" s="1">
        <f t="shared" si="6"/>
        <v>-0.40300000000000225</v>
      </c>
      <c r="M19" s="1"/>
      <c r="N19" s="1"/>
      <c r="O19" s="1">
        <v>53.266599999999997</v>
      </c>
      <c r="P19" s="1">
        <v>0</v>
      </c>
      <c r="Q19" s="1"/>
      <c r="R19" s="1">
        <v>0</v>
      </c>
      <c r="S19" s="1"/>
      <c r="T19" s="1"/>
      <c r="U19" s="1">
        <f t="shared" si="7"/>
        <v>6.3393999999999995</v>
      </c>
      <c r="V19" s="5"/>
      <c r="W19" s="5">
        <f>V19</f>
        <v>0</v>
      </c>
      <c r="X19" s="5"/>
      <c r="Y19" s="21"/>
      <c r="Z19" s="1">
        <f t="shared" si="10"/>
        <v>12.119064895731457</v>
      </c>
      <c r="AA19" s="1">
        <f t="shared" si="8"/>
        <v>12.119064895731457</v>
      </c>
      <c r="AB19" s="1">
        <v>6.4408000000000003</v>
      </c>
      <c r="AC19" s="1">
        <v>6.5603999999999996</v>
      </c>
      <c r="AD19" s="1">
        <v>4.7707999999999986</v>
      </c>
      <c r="AE19" s="1">
        <v>6.2031999999999998</v>
      </c>
      <c r="AF19" s="1">
        <v>6.2096</v>
      </c>
      <c r="AG19" s="1">
        <v>4.9654000000000007</v>
      </c>
      <c r="AH19" s="1">
        <v>3.7240000000000002</v>
      </c>
      <c r="AI19" s="1">
        <v>4.6079999999999997</v>
      </c>
      <c r="AJ19" s="1">
        <v>6.5492000000000008</v>
      </c>
      <c r="AK19" s="1">
        <v>9.0280000000000005</v>
      </c>
      <c r="AL19" s="1"/>
      <c r="AM19" s="1">
        <f t="shared" si="9"/>
        <v>0</v>
      </c>
      <c r="AN19" t="s">
        <v>71</v>
      </c>
    </row>
    <row r="20" spans="1:40" x14ac:dyDescent="0.25">
      <c r="A20" s="1" t="s">
        <v>72</v>
      </c>
      <c r="B20" s="1" t="s">
        <v>40</v>
      </c>
      <c r="C20" s="1">
        <v>31.28</v>
      </c>
      <c r="D20" s="1">
        <v>8.8010000000000002</v>
      </c>
      <c r="E20" s="1">
        <v>28.164999999999999</v>
      </c>
      <c r="F20" s="1">
        <v>14.038</v>
      </c>
      <c r="G20" s="7">
        <v>1</v>
      </c>
      <c r="H20" s="1">
        <v>180</v>
      </c>
      <c r="I20" s="1" t="s">
        <v>41</v>
      </c>
      <c r="J20" s="1"/>
      <c r="K20" s="1">
        <v>21.1</v>
      </c>
      <c r="L20" s="1">
        <f t="shared" si="6"/>
        <v>7.0649999999999977</v>
      </c>
      <c r="M20" s="1"/>
      <c r="N20" s="1"/>
      <c r="O20" s="1">
        <v>10.583</v>
      </c>
      <c r="P20" s="1">
        <v>0</v>
      </c>
      <c r="Q20" s="1"/>
      <c r="R20" s="1">
        <v>21.6374</v>
      </c>
      <c r="S20" s="1"/>
      <c r="T20" s="1"/>
      <c r="U20" s="1">
        <f t="shared" si="7"/>
        <v>5.633</v>
      </c>
      <c r="V20" s="5">
        <f t="shared" ref="V20:V25" si="12">12*U20-R20-Q20-P20-O20-F20</f>
        <v>21.337600000000005</v>
      </c>
      <c r="W20" s="5">
        <f>V20</f>
        <v>21.337600000000005</v>
      </c>
      <c r="X20" s="5"/>
      <c r="Y20" s="21"/>
      <c r="Z20" s="1">
        <f t="shared" si="10"/>
        <v>12</v>
      </c>
      <c r="AA20" s="1">
        <f t="shared" si="8"/>
        <v>8.2120362151606603</v>
      </c>
      <c r="AB20" s="1">
        <v>5.0154000000000014</v>
      </c>
      <c r="AC20" s="1">
        <v>2.7675999999999998</v>
      </c>
      <c r="AD20" s="1">
        <v>2.0844</v>
      </c>
      <c r="AE20" s="1">
        <v>1.048</v>
      </c>
      <c r="AF20" s="1">
        <v>2.5106000000000002</v>
      </c>
      <c r="AG20" s="1">
        <v>4.2141999999999999</v>
      </c>
      <c r="AH20" s="1">
        <v>3.7368000000000001</v>
      </c>
      <c r="AI20" s="1">
        <v>4.8635999999999999</v>
      </c>
      <c r="AJ20" s="1">
        <v>4.5688000000000004</v>
      </c>
      <c r="AK20" s="1">
        <v>4.2078000000000007</v>
      </c>
      <c r="AL20" s="1"/>
      <c r="AM20" s="1">
        <f t="shared" si="9"/>
        <v>21</v>
      </c>
      <c r="AN20" t="s">
        <v>73</v>
      </c>
    </row>
    <row r="21" spans="1:40" x14ac:dyDescent="0.25">
      <c r="A21" s="1" t="s">
        <v>74</v>
      </c>
      <c r="B21" s="1" t="s">
        <v>40</v>
      </c>
      <c r="C21" s="1">
        <v>553.87199999999996</v>
      </c>
      <c r="D21" s="1">
        <v>317.10500000000002</v>
      </c>
      <c r="E21" s="1">
        <v>363.04700000000003</v>
      </c>
      <c r="F21" s="1">
        <v>395.41300000000001</v>
      </c>
      <c r="G21" s="7">
        <v>1</v>
      </c>
      <c r="H21" s="1">
        <v>60</v>
      </c>
      <c r="I21" s="1" t="s">
        <v>41</v>
      </c>
      <c r="J21" s="1"/>
      <c r="K21" s="1">
        <v>348</v>
      </c>
      <c r="L21" s="1">
        <f t="shared" si="6"/>
        <v>15.047000000000025</v>
      </c>
      <c r="M21" s="1"/>
      <c r="N21" s="1"/>
      <c r="O21" s="1">
        <v>45.725527999999898</v>
      </c>
      <c r="P21" s="1">
        <v>0</v>
      </c>
      <c r="Q21" s="1"/>
      <c r="R21" s="1">
        <v>0</v>
      </c>
      <c r="S21" s="1"/>
      <c r="T21" s="1"/>
      <c r="U21" s="1">
        <f t="shared" si="7"/>
        <v>72.609400000000008</v>
      </c>
      <c r="V21" s="5">
        <f t="shared" si="12"/>
        <v>430.1742720000002</v>
      </c>
      <c r="W21" s="5">
        <f>V21+$W$1*U21</f>
        <v>382.25206800000018</v>
      </c>
      <c r="X21" s="5"/>
      <c r="Y21" s="21"/>
      <c r="Z21" s="1">
        <f t="shared" si="10"/>
        <v>11.34</v>
      </c>
      <c r="AA21" s="1">
        <f t="shared" si="8"/>
        <v>6.0755016292656299</v>
      </c>
      <c r="AB21" s="1">
        <v>53.276200000000003</v>
      </c>
      <c r="AC21" s="1">
        <v>50.758800000000001</v>
      </c>
      <c r="AD21" s="1">
        <v>59.435799999999993</v>
      </c>
      <c r="AE21" s="1">
        <v>77.672799999999995</v>
      </c>
      <c r="AF21" s="1">
        <v>76.057199999999995</v>
      </c>
      <c r="AG21" s="1">
        <v>82.202399999999997</v>
      </c>
      <c r="AH21" s="1">
        <v>88.697599999999994</v>
      </c>
      <c r="AI21" s="1">
        <v>89.646000000000001</v>
      </c>
      <c r="AJ21" s="1">
        <v>88.110399999999998</v>
      </c>
      <c r="AK21" s="1">
        <v>82.381200000000007</v>
      </c>
      <c r="AL21" s="1"/>
      <c r="AM21" s="1">
        <f t="shared" si="9"/>
        <v>382</v>
      </c>
      <c r="AN21" t="s">
        <v>75</v>
      </c>
    </row>
    <row r="22" spans="1:40" x14ac:dyDescent="0.25">
      <c r="A22" s="1" t="s">
        <v>76</v>
      </c>
      <c r="B22" s="1" t="s">
        <v>40</v>
      </c>
      <c r="C22" s="1">
        <v>80.38</v>
      </c>
      <c r="D22" s="1">
        <v>168.691</v>
      </c>
      <c r="E22" s="1">
        <v>87.575000000000003</v>
      </c>
      <c r="F22" s="1">
        <v>101.229</v>
      </c>
      <c r="G22" s="7">
        <v>1</v>
      </c>
      <c r="H22" s="1">
        <v>70</v>
      </c>
      <c r="I22" s="1" t="s">
        <v>41</v>
      </c>
      <c r="J22" s="1"/>
      <c r="K22" s="1">
        <v>137.69999999999999</v>
      </c>
      <c r="L22" s="1">
        <f t="shared" si="6"/>
        <v>-50.124999999999986</v>
      </c>
      <c r="M22" s="1"/>
      <c r="N22" s="1"/>
      <c r="O22" s="1"/>
      <c r="P22" s="1"/>
      <c r="Q22" s="1"/>
      <c r="R22" s="1">
        <v>85.87164999999996</v>
      </c>
      <c r="S22" s="1"/>
      <c r="T22" s="1"/>
      <c r="U22" s="1">
        <f t="shared" si="7"/>
        <v>17.515000000000001</v>
      </c>
      <c r="V22" s="5">
        <f t="shared" si="12"/>
        <v>23.079350000000048</v>
      </c>
      <c r="W22" s="5">
        <f>V22</f>
        <v>23.079350000000048</v>
      </c>
      <c r="X22" s="5"/>
      <c r="Y22" s="21"/>
      <c r="Z22" s="1">
        <f t="shared" si="10"/>
        <v>12</v>
      </c>
      <c r="AA22" s="1">
        <f t="shared" si="8"/>
        <v>10.682309449043675</v>
      </c>
      <c r="AB22" s="1">
        <v>20.354600000000001</v>
      </c>
      <c r="AC22" s="1">
        <v>12.7774</v>
      </c>
      <c r="AD22" s="1">
        <v>14.9056</v>
      </c>
      <c r="AE22" s="1">
        <v>21.267399999999999</v>
      </c>
      <c r="AF22" s="1">
        <v>15.830399999999999</v>
      </c>
      <c r="AG22" s="1">
        <v>19.5242</v>
      </c>
      <c r="AH22" s="1">
        <v>23.744399999999999</v>
      </c>
      <c r="AI22" s="1">
        <v>22.281199999999998</v>
      </c>
      <c r="AJ22" s="1">
        <v>26.270199999999999</v>
      </c>
      <c r="AK22" s="1">
        <v>28.505600000000001</v>
      </c>
      <c r="AL22" s="1"/>
      <c r="AM22" s="1">
        <f t="shared" si="9"/>
        <v>23</v>
      </c>
      <c r="AN22" t="s">
        <v>77</v>
      </c>
    </row>
    <row r="23" spans="1:40" x14ac:dyDescent="0.25">
      <c r="A23" s="1" t="s">
        <v>78</v>
      </c>
      <c r="B23" s="1" t="s">
        <v>40</v>
      </c>
      <c r="C23" s="1">
        <v>207.64699999999999</v>
      </c>
      <c r="D23" s="1">
        <v>171.375</v>
      </c>
      <c r="E23" s="1">
        <v>180.40199999999999</v>
      </c>
      <c r="F23" s="1">
        <v>158.40199999999999</v>
      </c>
      <c r="G23" s="7">
        <v>1</v>
      </c>
      <c r="H23" s="1">
        <v>70</v>
      </c>
      <c r="I23" s="1" t="s">
        <v>41</v>
      </c>
      <c r="J23" s="1"/>
      <c r="K23" s="1">
        <v>176</v>
      </c>
      <c r="L23" s="1">
        <f t="shared" si="6"/>
        <v>4.4019999999999868</v>
      </c>
      <c r="M23" s="1"/>
      <c r="N23" s="1"/>
      <c r="O23" s="1">
        <v>0</v>
      </c>
      <c r="P23" s="1"/>
      <c r="Q23" s="1"/>
      <c r="R23" s="1">
        <v>61.99320000000003</v>
      </c>
      <c r="S23" s="1"/>
      <c r="T23" s="1"/>
      <c r="U23" s="1">
        <f t="shared" si="7"/>
        <v>36.080399999999997</v>
      </c>
      <c r="V23" s="5">
        <f t="shared" si="12"/>
        <v>212.56959999999998</v>
      </c>
      <c r="W23" s="5">
        <f>V23+$W$1*U23</f>
        <v>188.75653599999998</v>
      </c>
      <c r="X23" s="5"/>
      <c r="Y23" s="21"/>
      <c r="Z23" s="1">
        <f t="shared" si="10"/>
        <v>11.340000000000002</v>
      </c>
      <c r="AA23" s="1">
        <f t="shared" si="8"/>
        <v>6.1084466912783677</v>
      </c>
      <c r="AB23" s="1">
        <v>27.281199999999998</v>
      </c>
      <c r="AC23" s="1">
        <v>19.441600000000001</v>
      </c>
      <c r="AD23" s="1">
        <v>26.1462</v>
      </c>
      <c r="AE23" s="1">
        <v>35.3934</v>
      </c>
      <c r="AF23" s="1">
        <v>33.106000000000002</v>
      </c>
      <c r="AG23" s="1">
        <v>38.613</v>
      </c>
      <c r="AH23" s="1">
        <v>42.749600000000001</v>
      </c>
      <c r="AI23" s="1">
        <v>46.347000000000001</v>
      </c>
      <c r="AJ23" s="1">
        <v>45.730200000000004</v>
      </c>
      <c r="AK23" s="1">
        <v>49.275599999999997</v>
      </c>
      <c r="AL23" s="1"/>
      <c r="AM23" s="1">
        <f t="shared" si="9"/>
        <v>189</v>
      </c>
      <c r="AN23" t="s">
        <v>79</v>
      </c>
    </row>
    <row r="24" spans="1:40" x14ac:dyDescent="0.25">
      <c r="A24" s="1" t="s">
        <v>80</v>
      </c>
      <c r="B24" s="1" t="s">
        <v>40</v>
      </c>
      <c r="C24" s="1">
        <v>43.99</v>
      </c>
      <c r="D24" s="1">
        <v>4.7210000000000001</v>
      </c>
      <c r="E24" s="1">
        <v>47.572000000000003</v>
      </c>
      <c r="F24" s="1">
        <v>0.23400000000000001</v>
      </c>
      <c r="G24" s="7">
        <v>1</v>
      </c>
      <c r="H24" s="1">
        <v>180</v>
      </c>
      <c r="I24" s="1" t="s">
        <v>41</v>
      </c>
      <c r="J24" s="1"/>
      <c r="K24" s="1">
        <v>41.56</v>
      </c>
      <c r="L24" s="1">
        <f t="shared" si="6"/>
        <v>6.0120000000000005</v>
      </c>
      <c r="M24" s="1"/>
      <c r="N24" s="1"/>
      <c r="O24" s="1">
        <v>0</v>
      </c>
      <c r="P24" s="1"/>
      <c r="Q24" s="1"/>
      <c r="R24" s="1">
        <v>54.636599999999987</v>
      </c>
      <c r="S24" s="1"/>
      <c r="T24" s="1"/>
      <c r="U24" s="1">
        <f t="shared" si="7"/>
        <v>9.5144000000000002</v>
      </c>
      <c r="V24" s="5">
        <f t="shared" si="12"/>
        <v>59.302200000000006</v>
      </c>
      <c r="W24" s="5">
        <f>V24</f>
        <v>59.302200000000006</v>
      </c>
      <c r="X24" s="5"/>
      <c r="Y24" s="21"/>
      <c r="Z24" s="1">
        <f t="shared" si="10"/>
        <v>12</v>
      </c>
      <c r="AA24" s="1">
        <f t="shared" si="8"/>
        <v>5.7671109055747065</v>
      </c>
      <c r="AB24" s="1">
        <v>7.9891999999999994</v>
      </c>
      <c r="AC24" s="1">
        <v>1.3806</v>
      </c>
      <c r="AD24" s="1">
        <v>1.7283999999999999</v>
      </c>
      <c r="AE24" s="1">
        <v>4.5865999999999998</v>
      </c>
      <c r="AF24" s="1">
        <v>6.9908000000000001</v>
      </c>
      <c r="AG24" s="1">
        <v>5.9451999999999998</v>
      </c>
      <c r="AH24" s="1">
        <v>3.044</v>
      </c>
      <c r="AI24" s="1">
        <v>3.5346000000000002</v>
      </c>
      <c r="AJ24" s="1">
        <v>4.4659999999999993</v>
      </c>
      <c r="AK24" s="1">
        <v>4.6436000000000002</v>
      </c>
      <c r="AL24" s="1"/>
      <c r="AM24" s="1">
        <f t="shared" si="9"/>
        <v>59</v>
      </c>
      <c r="AN24" t="s">
        <v>81</v>
      </c>
    </row>
    <row r="25" spans="1:40" x14ac:dyDescent="0.25">
      <c r="A25" s="1" t="s">
        <v>82</v>
      </c>
      <c r="B25" s="1" t="s">
        <v>40</v>
      </c>
      <c r="C25" s="1">
        <v>282.53100000000001</v>
      </c>
      <c r="D25" s="1">
        <v>270.822</v>
      </c>
      <c r="E25" s="1">
        <v>192.21600000000001</v>
      </c>
      <c r="F25" s="1">
        <v>291.596</v>
      </c>
      <c r="G25" s="7">
        <v>1</v>
      </c>
      <c r="H25" s="1">
        <v>70</v>
      </c>
      <c r="I25" s="1" t="s">
        <v>41</v>
      </c>
      <c r="J25" s="1"/>
      <c r="K25" s="1">
        <v>195.8</v>
      </c>
      <c r="L25" s="1">
        <f t="shared" si="6"/>
        <v>-3.5840000000000032</v>
      </c>
      <c r="M25" s="1"/>
      <c r="N25" s="1"/>
      <c r="O25" s="1">
        <v>0</v>
      </c>
      <c r="P25" s="1"/>
      <c r="Q25" s="1"/>
      <c r="R25" s="1">
        <v>0</v>
      </c>
      <c r="S25" s="1"/>
      <c r="T25" s="17">
        <v>50</v>
      </c>
      <c r="U25" s="1">
        <f t="shared" si="7"/>
        <v>38.443200000000004</v>
      </c>
      <c r="V25" s="5">
        <f t="shared" si="12"/>
        <v>169.72240000000005</v>
      </c>
      <c r="W25" s="5">
        <f>V25+$W$1*U25</f>
        <v>144.34988800000005</v>
      </c>
      <c r="X25" s="5"/>
      <c r="Y25" s="21"/>
      <c r="Z25" s="1">
        <f t="shared" si="10"/>
        <v>12.640620135680694</v>
      </c>
      <c r="AA25" s="1">
        <f t="shared" si="8"/>
        <v>7.5851125816789438</v>
      </c>
      <c r="AB25" s="1">
        <v>28.137799999999999</v>
      </c>
      <c r="AC25" s="1">
        <v>28.372</v>
      </c>
      <c r="AD25" s="1">
        <v>35.245800000000003</v>
      </c>
      <c r="AE25" s="1">
        <v>48.939599999999999</v>
      </c>
      <c r="AF25" s="1">
        <v>43.491199999999999</v>
      </c>
      <c r="AG25" s="1">
        <v>38.692599999999999</v>
      </c>
      <c r="AH25" s="1">
        <v>45.932200000000002</v>
      </c>
      <c r="AI25" s="1">
        <v>42.074399999999997</v>
      </c>
      <c r="AJ25" s="1">
        <v>40.281599999999997</v>
      </c>
      <c r="AK25" s="1">
        <v>49.956400000000002</v>
      </c>
      <c r="AL25" s="1"/>
      <c r="AM25" s="1">
        <f t="shared" si="9"/>
        <v>144</v>
      </c>
      <c r="AN25" t="s">
        <v>83</v>
      </c>
    </row>
    <row r="26" spans="1:40" x14ac:dyDescent="0.25">
      <c r="A26" s="9" t="s">
        <v>84</v>
      </c>
      <c r="B26" s="9" t="s">
        <v>40</v>
      </c>
      <c r="C26" s="9"/>
      <c r="D26" s="9"/>
      <c r="E26" s="9"/>
      <c r="F26" s="9"/>
      <c r="G26" s="10">
        <v>0</v>
      </c>
      <c r="H26" s="9"/>
      <c r="I26" s="9" t="s">
        <v>41</v>
      </c>
      <c r="J26" s="9"/>
      <c r="K26" s="9"/>
      <c r="L26" s="9">
        <f t="shared" si="6"/>
        <v>0</v>
      </c>
      <c r="M26" s="9"/>
      <c r="N26" s="9"/>
      <c r="O26" s="9">
        <v>0</v>
      </c>
      <c r="P26" s="9"/>
      <c r="Q26" s="9"/>
      <c r="R26" s="9">
        <v>0</v>
      </c>
      <c r="S26" s="9"/>
      <c r="T26" s="9"/>
      <c r="U26" s="9">
        <f t="shared" si="7"/>
        <v>0</v>
      </c>
      <c r="V26" s="11"/>
      <c r="W26" s="5">
        <f t="shared" ref="W26:W34" si="13">V26</f>
        <v>0</v>
      </c>
      <c r="X26" s="5"/>
      <c r="Y26" s="21"/>
      <c r="Z26" s="1" t="e">
        <f t="shared" si="10"/>
        <v>#DIV/0!</v>
      </c>
      <c r="AA26" s="9" t="e">
        <f t="shared" si="8"/>
        <v>#DIV/0!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 t="s">
        <v>51</v>
      </c>
      <c r="AM26" s="1">
        <f t="shared" si="9"/>
        <v>0</v>
      </c>
      <c r="AN26" t="s">
        <v>85</v>
      </c>
    </row>
    <row r="27" spans="1:40" x14ac:dyDescent="0.25">
      <c r="A27" s="1" t="s">
        <v>86</v>
      </c>
      <c r="B27" s="1" t="s">
        <v>40</v>
      </c>
      <c r="C27" s="1">
        <v>10.56</v>
      </c>
      <c r="D27" s="1">
        <v>6.0839999999999996</v>
      </c>
      <c r="E27" s="1">
        <v>18.564</v>
      </c>
      <c r="F27" s="1">
        <v>5.5609999999999999</v>
      </c>
      <c r="G27" s="7">
        <v>1</v>
      </c>
      <c r="H27" s="1"/>
      <c r="I27" s="1" t="s">
        <v>41</v>
      </c>
      <c r="J27" s="1"/>
      <c r="K27" s="1">
        <v>57</v>
      </c>
      <c r="L27" s="1">
        <f t="shared" si="6"/>
        <v>-38.436</v>
      </c>
      <c r="M27" s="1"/>
      <c r="N27" s="1"/>
      <c r="O27" s="1">
        <v>324.714</v>
      </c>
      <c r="P27" s="1">
        <v>0</v>
      </c>
      <c r="Q27" s="1"/>
      <c r="R27" s="1">
        <v>0</v>
      </c>
      <c r="S27" s="1"/>
      <c r="T27" s="1"/>
      <c r="U27" s="1">
        <f t="shared" si="7"/>
        <v>3.7128000000000001</v>
      </c>
      <c r="V27" s="5"/>
      <c r="W27" s="5">
        <f t="shared" si="13"/>
        <v>0</v>
      </c>
      <c r="X27" s="5"/>
      <c r="Y27" s="21"/>
      <c r="Z27" s="1">
        <f t="shared" si="10"/>
        <v>88.955774617539319</v>
      </c>
      <c r="AA27" s="1">
        <f t="shared" si="8"/>
        <v>88.955774617539319</v>
      </c>
      <c r="AB27" s="1">
        <v>7.3063999999999991</v>
      </c>
      <c r="AC27" s="1">
        <v>22.351600000000001</v>
      </c>
      <c r="AD27" s="1">
        <v>23.732600000000001</v>
      </c>
      <c r="AE27" s="1">
        <v>5.7994000000000003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 t="s">
        <v>87</v>
      </c>
      <c r="AM27" s="1">
        <f t="shared" si="9"/>
        <v>0</v>
      </c>
      <c r="AN27" t="s">
        <v>88</v>
      </c>
    </row>
    <row r="28" spans="1:40" x14ac:dyDescent="0.25">
      <c r="A28" s="1" t="s">
        <v>89</v>
      </c>
      <c r="B28" s="1" t="s">
        <v>40</v>
      </c>
      <c r="C28" s="1">
        <v>-12.327</v>
      </c>
      <c r="D28" s="1">
        <v>33.351999999999997</v>
      </c>
      <c r="E28" s="1">
        <v>-1.0840000000000001</v>
      </c>
      <c r="F28" s="1">
        <v>-2.5000000000000001E-2</v>
      </c>
      <c r="G28" s="7">
        <v>1</v>
      </c>
      <c r="H28" s="1">
        <v>40</v>
      </c>
      <c r="I28" s="13" t="s">
        <v>90</v>
      </c>
      <c r="J28" s="1"/>
      <c r="K28" s="1">
        <v>32.700000000000003</v>
      </c>
      <c r="L28" s="1">
        <f t="shared" si="6"/>
        <v>-33.784000000000006</v>
      </c>
      <c r="M28" s="1"/>
      <c r="N28" s="1"/>
      <c r="O28" s="1">
        <v>150</v>
      </c>
      <c r="P28" s="1">
        <v>-153</v>
      </c>
      <c r="Q28" s="1"/>
      <c r="R28" s="1">
        <v>100</v>
      </c>
      <c r="S28" s="1">
        <v>-108</v>
      </c>
      <c r="T28" s="1"/>
      <c r="U28" s="1">
        <f t="shared" si="7"/>
        <v>-0.21680000000000002</v>
      </c>
      <c r="V28" s="5">
        <v>100</v>
      </c>
      <c r="W28" s="5">
        <f t="shared" si="13"/>
        <v>100</v>
      </c>
      <c r="X28" s="5">
        <v>-108</v>
      </c>
      <c r="Y28" s="21"/>
      <c r="Z28" s="1">
        <f t="shared" si="10"/>
        <v>-908.5562730627305</v>
      </c>
      <c r="AA28" s="1">
        <f t="shared" si="8"/>
        <v>-447.30166051660512</v>
      </c>
      <c r="AB28" s="1">
        <v>-0.21679999999999999</v>
      </c>
      <c r="AC28" s="1">
        <v>9.5777999999999999</v>
      </c>
      <c r="AD28" s="1">
        <v>37.691400000000002</v>
      </c>
      <c r="AE28" s="1">
        <v>56.543799999999997</v>
      </c>
      <c r="AF28" s="1">
        <v>34.541200000000003</v>
      </c>
      <c r="AG28" s="1">
        <v>38.505600000000001</v>
      </c>
      <c r="AH28" s="1">
        <v>32.977800000000002</v>
      </c>
      <c r="AI28" s="1">
        <v>14.902200000000001</v>
      </c>
      <c r="AJ28" s="1">
        <v>40.676000000000002</v>
      </c>
      <c r="AK28" s="1">
        <v>54.751800000000003</v>
      </c>
      <c r="AL28" s="1"/>
      <c r="AM28" s="1">
        <f t="shared" si="9"/>
        <v>100</v>
      </c>
      <c r="AN28" t="s">
        <v>91</v>
      </c>
    </row>
    <row r="29" spans="1:40" x14ac:dyDescent="0.25">
      <c r="A29" s="1" t="s">
        <v>92</v>
      </c>
      <c r="B29" s="1" t="s">
        <v>40</v>
      </c>
      <c r="C29" s="1">
        <v>11.032999999999999</v>
      </c>
      <c r="D29" s="1">
        <v>380.69600000000003</v>
      </c>
      <c r="E29" s="1">
        <v>209.18100000000001</v>
      </c>
      <c r="F29" s="1">
        <v>142.84</v>
      </c>
      <c r="G29" s="7">
        <v>1</v>
      </c>
      <c r="H29" s="1">
        <v>30</v>
      </c>
      <c r="I29" s="13" t="s">
        <v>90</v>
      </c>
      <c r="J29" s="1"/>
      <c r="K29" s="1">
        <v>275.8</v>
      </c>
      <c r="L29" s="1">
        <f t="shared" si="6"/>
        <v>-66.619</v>
      </c>
      <c r="M29" s="1"/>
      <c r="N29" s="1"/>
      <c r="O29" s="1">
        <v>70</v>
      </c>
      <c r="P29" s="1">
        <v>0</v>
      </c>
      <c r="Q29" s="1"/>
      <c r="R29" s="1">
        <v>60</v>
      </c>
      <c r="S29" s="1"/>
      <c r="T29" s="1"/>
      <c r="U29" s="1">
        <f t="shared" si="7"/>
        <v>41.836200000000005</v>
      </c>
      <c r="V29" s="5">
        <v>180</v>
      </c>
      <c r="W29" s="5">
        <f t="shared" si="13"/>
        <v>180</v>
      </c>
      <c r="X29" s="5"/>
      <c r="Y29" s="21"/>
      <c r="Z29" s="1">
        <f t="shared" si="10"/>
        <v>10.824118825323524</v>
      </c>
      <c r="AA29" s="1">
        <f t="shared" si="8"/>
        <v>6.5216248129610239</v>
      </c>
      <c r="AB29" s="1">
        <v>28.0486</v>
      </c>
      <c r="AC29" s="1">
        <v>11.816000000000001</v>
      </c>
      <c r="AD29" s="1">
        <v>3.6137999999999999</v>
      </c>
      <c r="AE29" s="1">
        <v>28.007400000000001</v>
      </c>
      <c r="AF29" s="1">
        <v>35.287799999999997</v>
      </c>
      <c r="AG29" s="1">
        <v>16.3886</v>
      </c>
      <c r="AH29" s="1">
        <v>14.622999999999999</v>
      </c>
      <c r="AI29" s="1">
        <v>57.747199999999999</v>
      </c>
      <c r="AJ29" s="1">
        <v>92.522199999999998</v>
      </c>
      <c r="AK29" s="1">
        <v>52.175400000000003</v>
      </c>
      <c r="AL29" s="1"/>
      <c r="AM29" s="1">
        <f t="shared" si="9"/>
        <v>180</v>
      </c>
      <c r="AN29" t="s">
        <v>93</v>
      </c>
    </row>
    <row r="30" spans="1:40" x14ac:dyDescent="0.25">
      <c r="A30" s="1" t="s">
        <v>94</v>
      </c>
      <c r="B30" s="1" t="s">
        <v>40</v>
      </c>
      <c r="C30" s="1">
        <v>-20.568000000000001</v>
      </c>
      <c r="D30" s="1">
        <v>624.34199999999998</v>
      </c>
      <c r="E30" s="1">
        <v>10.212999999999999</v>
      </c>
      <c r="F30" s="1">
        <v>1.518</v>
      </c>
      <c r="G30" s="7">
        <v>1</v>
      </c>
      <c r="H30" s="1">
        <v>40</v>
      </c>
      <c r="I30" s="13" t="s">
        <v>90</v>
      </c>
      <c r="J30" s="1"/>
      <c r="K30" s="1">
        <v>155.30000000000001</v>
      </c>
      <c r="L30" s="1">
        <f t="shared" si="6"/>
        <v>-145.08700000000002</v>
      </c>
      <c r="M30" s="1"/>
      <c r="N30" s="1"/>
      <c r="O30" s="1">
        <v>300</v>
      </c>
      <c r="P30" s="1">
        <v>-306</v>
      </c>
      <c r="Q30" s="1"/>
      <c r="R30" s="1">
        <v>445.47559999999999</v>
      </c>
      <c r="S30" s="1">
        <v>-450</v>
      </c>
      <c r="T30" s="1"/>
      <c r="U30" s="1">
        <f t="shared" si="7"/>
        <v>2.0425999999999997</v>
      </c>
      <c r="V30" s="5">
        <v>500</v>
      </c>
      <c r="W30" s="5">
        <f t="shared" si="13"/>
        <v>500</v>
      </c>
      <c r="X30" s="5">
        <v>-504</v>
      </c>
      <c r="Y30" s="21"/>
      <c r="Z30" s="1">
        <f t="shared" si="10"/>
        <v>460.68422598648789</v>
      </c>
      <c r="AA30" s="1">
        <f t="shared" si="8"/>
        <v>215.89816900029376</v>
      </c>
      <c r="AB30" s="1">
        <v>72.69919999999999</v>
      </c>
      <c r="AC30" s="1">
        <v>116.389</v>
      </c>
      <c r="AD30" s="1">
        <v>99.9422</v>
      </c>
      <c r="AE30" s="1">
        <v>194.2286</v>
      </c>
      <c r="AF30" s="1">
        <v>221.15479999999999</v>
      </c>
      <c r="AG30" s="1">
        <v>290.73820000000001</v>
      </c>
      <c r="AH30" s="1">
        <v>221.20740000000001</v>
      </c>
      <c r="AI30" s="1">
        <v>21.023</v>
      </c>
      <c r="AJ30" s="1">
        <v>97.070799999999991</v>
      </c>
      <c r="AK30" s="1">
        <v>200.02199999999999</v>
      </c>
      <c r="AL30" s="1"/>
      <c r="AM30" s="1">
        <f t="shared" si="9"/>
        <v>500</v>
      </c>
      <c r="AN30" t="s">
        <v>95</v>
      </c>
    </row>
    <row r="31" spans="1:40" x14ac:dyDescent="0.25">
      <c r="A31" s="1" t="s">
        <v>96</v>
      </c>
      <c r="B31" s="1" t="s">
        <v>40</v>
      </c>
      <c r="C31" s="1">
        <v>32.61</v>
      </c>
      <c r="D31" s="1">
        <v>3.286</v>
      </c>
      <c r="E31" s="1">
        <v>34.438000000000002</v>
      </c>
      <c r="F31" s="1">
        <v>2.95</v>
      </c>
      <c r="G31" s="7">
        <v>1</v>
      </c>
      <c r="H31" s="1">
        <v>40</v>
      </c>
      <c r="I31" s="1" t="s">
        <v>41</v>
      </c>
      <c r="J31" s="1"/>
      <c r="K31" s="1">
        <v>30.2</v>
      </c>
      <c r="L31" s="1">
        <f t="shared" si="6"/>
        <v>4.2380000000000031</v>
      </c>
      <c r="M31" s="1"/>
      <c r="N31" s="1"/>
      <c r="O31" s="1">
        <v>0</v>
      </c>
      <c r="P31" s="1"/>
      <c r="Q31" s="1"/>
      <c r="R31" s="1">
        <v>48.558800000000012</v>
      </c>
      <c r="S31" s="1">
        <v>-54</v>
      </c>
      <c r="T31" s="1"/>
      <c r="U31" s="1">
        <f t="shared" si="7"/>
        <v>6.8876000000000008</v>
      </c>
      <c r="V31" s="5">
        <f>12*U31-R31-Q31-P31-O31-F31</f>
        <v>31.142400000000006</v>
      </c>
      <c r="W31" s="5">
        <f t="shared" si="13"/>
        <v>31.142400000000006</v>
      </c>
      <c r="X31" s="5">
        <v>-36</v>
      </c>
      <c r="Y31" s="21"/>
      <c r="Z31" s="1">
        <f t="shared" si="10"/>
        <v>12.000000000000002</v>
      </c>
      <c r="AA31" s="1">
        <f t="shared" si="8"/>
        <v>7.4784830710261936</v>
      </c>
      <c r="AB31" s="1">
        <v>7.1876000000000007</v>
      </c>
      <c r="AC31" s="1">
        <v>1.4984</v>
      </c>
      <c r="AD31" s="1">
        <v>0</v>
      </c>
      <c r="AE31" s="1">
        <v>0</v>
      </c>
      <c r="AF31" s="1">
        <v>0.90600000000000003</v>
      </c>
      <c r="AG31" s="1">
        <v>5.2767999999999997</v>
      </c>
      <c r="AH31" s="1">
        <v>4.3708</v>
      </c>
      <c r="AI31" s="1">
        <v>-0.6048</v>
      </c>
      <c r="AJ31" s="1">
        <v>-0.6048</v>
      </c>
      <c r="AK31" s="1">
        <v>0</v>
      </c>
      <c r="AL31" s="1"/>
      <c r="AM31" s="1">
        <f t="shared" si="9"/>
        <v>31</v>
      </c>
      <c r="AN31" t="s">
        <v>97</v>
      </c>
    </row>
    <row r="32" spans="1:40" x14ac:dyDescent="0.25">
      <c r="A32" s="1" t="s">
        <v>98</v>
      </c>
      <c r="B32" s="1" t="s">
        <v>40</v>
      </c>
      <c r="C32" s="1">
        <v>64.36</v>
      </c>
      <c r="D32" s="1">
        <v>84.694000000000003</v>
      </c>
      <c r="E32" s="1">
        <v>63.999000000000002</v>
      </c>
      <c r="F32" s="1">
        <v>48.177999999999997</v>
      </c>
      <c r="G32" s="7">
        <v>1</v>
      </c>
      <c r="H32" s="1">
        <v>30</v>
      </c>
      <c r="I32" s="1" t="s">
        <v>41</v>
      </c>
      <c r="J32" s="1"/>
      <c r="K32" s="1">
        <v>53.7</v>
      </c>
      <c r="L32" s="1">
        <f t="shared" si="6"/>
        <v>10.298999999999999</v>
      </c>
      <c r="M32" s="1"/>
      <c r="N32" s="1"/>
      <c r="O32" s="1">
        <v>52.96119999999997</v>
      </c>
      <c r="P32" s="1">
        <v>0</v>
      </c>
      <c r="Q32" s="1"/>
      <c r="R32" s="1">
        <v>95.928100000000029</v>
      </c>
      <c r="S32" s="1"/>
      <c r="T32" s="1"/>
      <c r="U32" s="1">
        <f t="shared" si="7"/>
        <v>12.799800000000001</v>
      </c>
      <c r="V32" s="5"/>
      <c r="W32" s="5">
        <f t="shared" si="13"/>
        <v>0</v>
      </c>
      <c r="X32" s="5"/>
      <c r="Y32" s="21"/>
      <c r="Z32" s="1">
        <f t="shared" si="10"/>
        <v>15.396123376927763</v>
      </c>
      <c r="AA32" s="1">
        <f t="shared" si="8"/>
        <v>15.396123376927763</v>
      </c>
      <c r="AB32" s="1">
        <v>20.229199999999999</v>
      </c>
      <c r="AC32" s="1">
        <v>9.969199999999999</v>
      </c>
      <c r="AD32" s="1">
        <v>5.0338000000000003</v>
      </c>
      <c r="AE32" s="1">
        <v>7.6532</v>
      </c>
      <c r="AF32" s="1">
        <v>15.609400000000001</v>
      </c>
      <c r="AG32" s="1">
        <v>19.0808</v>
      </c>
      <c r="AH32" s="1">
        <v>10.242800000000001</v>
      </c>
      <c r="AI32" s="1">
        <v>10.489800000000001</v>
      </c>
      <c r="AJ32" s="1">
        <v>15.446199999999999</v>
      </c>
      <c r="AK32" s="1">
        <v>15.259600000000001</v>
      </c>
      <c r="AL32" s="1"/>
      <c r="AM32" s="1">
        <f t="shared" si="9"/>
        <v>0</v>
      </c>
      <c r="AN32" t="s">
        <v>99</v>
      </c>
    </row>
    <row r="33" spans="1:40" x14ac:dyDescent="0.25">
      <c r="A33" s="1" t="s">
        <v>100</v>
      </c>
      <c r="B33" s="1" t="s">
        <v>40</v>
      </c>
      <c r="C33" s="1">
        <v>199.14400000000001</v>
      </c>
      <c r="D33" s="1">
        <v>16.808</v>
      </c>
      <c r="E33" s="1">
        <v>65.358000000000004</v>
      </c>
      <c r="F33" s="1">
        <v>147.94</v>
      </c>
      <c r="G33" s="7">
        <v>1</v>
      </c>
      <c r="H33" s="1">
        <v>50</v>
      </c>
      <c r="I33" s="1" t="s">
        <v>41</v>
      </c>
      <c r="J33" s="1"/>
      <c r="K33" s="1">
        <v>57.1</v>
      </c>
      <c r="L33" s="1">
        <f t="shared" si="6"/>
        <v>8.2580000000000027</v>
      </c>
      <c r="M33" s="1"/>
      <c r="N33" s="1"/>
      <c r="O33" s="1">
        <v>50.939000000000007</v>
      </c>
      <c r="P33" s="1">
        <v>0</v>
      </c>
      <c r="Q33" s="1"/>
      <c r="R33" s="1">
        <v>0</v>
      </c>
      <c r="S33" s="1"/>
      <c r="T33" s="1"/>
      <c r="U33" s="1">
        <f t="shared" si="7"/>
        <v>13.0716</v>
      </c>
      <c r="V33" s="5"/>
      <c r="W33" s="5">
        <f t="shared" si="13"/>
        <v>0</v>
      </c>
      <c r="X33" s="5"/>
      <c r="Y33" s="21"/>
      <c r="Z33" s="1">
        <f t="shared" si="10"/>
        <v>15.214587349674105</v>
      </c>
      <c r="AA33" s="1">
        <f t="shared" si="8"/>
        <v>15.214587349674105</v>
      </c>
      <c r="AB33" s="1">
        <v>12.183</v>
      </c>
      <c r="AC33" s="1">
        <v>16.6722</v>
      </c>
      <c r="AD33" s="1">
        <v>19.813600000000001</v>
      </c>
      <c r="AE33" s="1">
        <v>12.786799999999999</v>
      </c>
      <c r="AF33" s="1">
        <v>7.3365999999999998</v>
      </c>
      <c r="AG33" s="1">
        <v>20.953199999999999</v>
      </c>
      <c r="AH33" s="1">
        <v>32.764400000000002</v>
      </c>
      <c r="AI33" s="1">
        <v>27.847000000000001</v>
      </c>
      <c r="AJ33" s="1">
        <v>21.542999999999999</v>
      </c>
      <c r="AK33" s="1">
        <v>17.402000000000001</v>
      </c>
      <c r="AL33" s="12" t="s">
        <v>66</v>
      </c>
      <c r="AM33" s="1">
        <f t="shared" si="9"/>
        <v>0</v>
      </c>
      <c r="AN33" t="s">
        <v>101</v>
      </c>
    </row>
    <row r="34" spans="1:40" x14ac:dyDescent="0.25">
      <c r="A34" s="1" t="s">
        <v>102</v>
      </c>
      <c r="B34" s="1" t="s">
        <v>40</v>
      </c>
      <c r="C34" s="1">
        <v>99.837999999999994</v>
      </c>
      <c r="D34" s="1">
        <v>15.592000000000001</v>
      </c>
      <c r="E34" s="1">
        <v>57.927999999999997</v>
      </c>
      <c r="F34" s="1">
        <v>51.743000000000002</v>
      </c>
      <c r="G34" s="7">
        <v>1</v>
      </c>
      <c r="H34" s="1">
        <v>50</v>
      </c>
      <c r="I34" s="1" t="s">
        <v>41</v>
      </c>
      <c r="J34" s="1"/>
      <c r="K34" s="1">
        <v>61.8</v>
      </c>
      <c r="L34" s="1">
        <f t="shared" si="6"/>
        <v>-3.8719999999999999</v>
      </c>
      <c r="M34" s="1"/>
      <c r="N34" s="1"/>
      <c r="O34" s="1">
        <v>103.76300000000001</v>
      </c>
      <c r="P34" s="1">
        <v>0</v>
      </c>
      <c r="Q34" s="1"/>
      <c r="R34" s="1">
        <v>0</v>
      </c>
      <c r="S34" s="1"/>
      <c r="T34" s="1"/>
      <c r="U34" s="1">
        <f t="shared" si="7"/>
        <v>11.585599999999999</v>
      </c>
      <c r="V34" s="5"/>
      <c r="W34" s="5">
        <f t="shared" si="13"/>
        <v>0</v>
      </c>
      <c r="X34" s="5"/>
      <c r="Y34" s="21"/>
      <c r="Z34" s="1">
        <f t="shared" si="10"/>
        <v>13.422351885098744</v>
      </c>
      <c r="AA34" s="1">
        <f t="shared" si="8"/>
        <v>13.422351885098744</v>
      </c>
      <c r="AB34" s="1">
        <v>11.974</v>
      </c>
      <c r="AC34" s="1">
        <v>13.573399999999999</v>
      </c>
      <c r="AD34" s="1">
        <v>14.6586</v>
      </c>
      <c r="AE34" s="1">
        <v>12.297599999999999</v>
      </c>
      <c r="AF34" s="1">
        <v>10.6524</v>
      </c>
      <c r="AG34" s="1">
        <v>7.8666</v>
      </c>
      <c r="AH34" s="1">
        <v>12.2232</v>
      </c>
      <c r="AI34" s="1">
        <v>20.489599999999999</v>
      </c>
      <c r="AJ34" s="1">
        <v>20.728200000000001</v>
      </c>
      <c r="AK34" s="1">
        <v>15.374000000000001</v>
      </c>
      <c r="AL34" s="1"/>
      <c r="AM34" s="1">
        <f t="shared" si="9"/>
        <v>0</v>
      </c>
      <c r="AN34" t="s">
        <v>103</v>
      </c>
    </row>
    <row r="35" spans="1:40" x14ac:dyDescent="0.25">
      <c r="A35" s="1" t="s">
        <v>104</v>
      </c>
      <c r="B35" s="1" t="s">
        <v>50</v>
      </c>
      <c r="C35" s="1">
        <v>2295</v>
      </c>
      <c r="D35" s="1">
        <v>624.01</v>
      </c>
      <c r="E35" s="1">
        <v>1725</v>
      </c>
      <c r="F35" s="1">
        <v>656.505</v>
      </c>
      <c r="G35" s="7">
        <v>0.4</v>
      </c>
      <c r="H35" s="1">
        <v>45</v>
      </c>
      <c r="I35" s="1" t="s">
        <v>41</v>
      </c>
      <c r="J35" s="1"/>
      <c r="K35" s="1">
        <v>1710</v>
      </c>
      <c r="L35" s="1">
        <f t="shared" si="6"/>
        <v>15</v>
      </c>
      <c r="M35" s="1"/>
      <c r="N35" s="1"/>
      <c r="O35" s="1">
        <v>500</v>
      </c>
      <c r="P35" s="1">
        <v>0</v>
      </c>
      <c r="Q35" s="1"/>
      <c r="R35" s="1">
        <v>1169.6949999999999</v>
      </c>
      <c r="S35" s="1">
        <v>-1170</v>
      </c>
      <c r="T35" s="1"/>
      <c r="U35" s="1">
        <f t="shared" si="7"/>
        <v>345</v>
      </c>
      <c r="V35" s="5">
        <f>12*U35-R35-Q35-P35-O35-F35</f>
        <v>1813.8000000000002</v>
      </c>
      <c r="W35" s="5">
        <f>V35+$W$1*U35</f>
        <v>1586.1000000000001</v>
      </c>
      <c r="X35" s="5"/>
      <c r="Y35" s="21"/>
      <c r="Z35" s="1">
        <f t="shared" si="10"/>
        <v>11.34</v>
      </c>
      <c r="AA35" s="1">
        <f t="shared" si="8"/>
        <v>6.7426086956521738</v>
      </c>
      <c r="AB35" s="1">
        <v>296.8</v>
      </c>
      <c r="AC35" s="1">
        <v>241.8</v>
      </c>
      <c r="AD35" s="1">
        <v>278.8</v>
      </c>
      <c r="AE35" s="1">
        <v>324.39999999999998</v>
      </c>
      <c r="AF35" s="1">
        <v>336.4</v>
      </c>
      <c r="AG35" s="1">
        <v>363</v>
      </c>
      <c r="AH35" s="1">
        <v>355.6</v>
      </c>
      <c r="AI35" s="1">
        <v>357.8</v>
      </c>
      <c r="AJ35" s="1">
        <v>387.50299999999999</v>
      </c>
      <c r="AK35" s="1">
        <v>375.50299999999999</v>
      </c>
      <c r="AL35" s="1"/>
      <c r="AM35" s="1">
        <f t="shared" si="9"/>
        <v>634</v>
      </c>
      <c r="AN35" t="s">
        <v>105</v>
      </c>
    </row>
    <row r="36" spans="1:40" x14ac:dyDescent="0.25">
      <c r="A36" s="1" t="s">
        <v>106</v>
      </c>
      <c r="B36" s="1" t="s">
        <v>50</v>
      </c>
      <c r="C36" s="1">
        <v>191</v>
      </c>
      <c r="D36" s="1">
        <v>977</v>
      </c>
      <c r="E36" s="1">
        <v>278</v>
      </c>
      <c r="F36" s="1">
        <v>699</v>
      </c>
      <c r="G36" s="7">
        <v>0.45</v>
      </c>
      <c r="H36" s="1">
        <v>50</v>
      </c>
      <c r="I36" s="1" t="s">
        <v>41</v>
      </c>
      <c r="J36" s="1"/>
      <c r="K36" s="1">
        <v>300</v>
      </c>
      <c r="L36" s="1">
        <f t="shared" si="6"/>
        <v>-22</v>
      </c>
      <c r="M36" s="1"/>
      <c r="N36" s="1"/>
      <c r="O36" s="1">
        <v>0</v>
      </c>
      <c r="P36" s="1"/>
      <c r="Q36" s="1"/>
      <c r="R36" s="1">
        <v>0</v>
      </c>
      <c r="S36" s="1"/>
      <c r="T36" s="1"/>
      <c r="U36" s="1">
        <f t="shared" si="7"/>
        <v>55.6</v>
      </c>
      <c r="V36" s="5"/>
      <c r="W36" s="5">
        <f t="shared" ref="W36:W45" si="14">V36</f>
        <v>0</v>
      </c>
      <c r="X36" s="5"/>
      <c r="Y36" s="21"/>
      <c r="Z36" s="1">
        <f t="shared" si="10"/>
        <v>12.571942446043165</v>
      </c>
      <c r="AA36" s="1">
        <f t="shared" si="8"/>
        <v>12.571942446043165</v>
      </c>
      <c r="AB36" s="1">
        <v>41.6</v>
      </c>
      <c r="AC36" s="1">
        <v>39.4</v>
      </c>
      <c r="AD36" s="1">
        <v>68.8</v>
      </c>
      <c r="AE36" s="1">
        <v>92.6</v>
      </c>
      <c r="AF36" s="1">
        <v>61</v>
      </c>
      <c r="AG36" s="1">
        <v>66.8</v>
      </c>
      <c r="AH36" s="1">
        <v>81</v>
      </c>
      <c r="AI36" s="1">
        <v>67.8</v>
      </c>
      <c r="AJ36" s="1">
        <v>74.8</v>
      </c>
      <c r="AK36" s="1">
        <v>65.599999999999994</v>
      </c>
      <c r="AL36" s="1"/>
      <c r="AM36" s="1">
        <f t="shared" si="9"/>
        <v>0</v>
      </c>
      <c r="AN36" t="s">
        <v>107</v>
      </c>
    </row>
    <row r="37" spans="1:40" x14ac:dyDescent="0.25">
      <c r="A37" s="1" t="s">
        <v>108</v>
      </c>
      <c r="B37" s="1" t="s">
        <v>50</v>
      </c>
      <c r="C37" s="1">
        <v>489</v>
      </c>
      <c r="D37" s="1">
        <v>291</v>
      </c>
      <c r="E37" s="1">
        <v>534</v>
      </c>
      <c r="F37" s="1">
        <v>13</v>
      </c>
      <c r="G37" s="7">
        <v>0.4</v>
      </c>
      <c r="H37" s="1">
        <v>45</v>
      </c>
      <c r="I37" s="13" t="s">
        <v>90</v>
      </c>
      <c r="J37" s="1"/>
      <c r="K37" s="1">
        <v>687</v>
      </c>
      <c r="L37" s="1">
        <f t="shared" si="6"/>
        <v>-153</v>
      </c>
      <c r="M37" s="1"/>
      <c r="N37" s="1"/>
      <c r="O37" s="1">
        <v>300</v>
      </c>
      <c r="P37" s="1">
        <v>0</v>
      </c>
      <c r="Q37" s="1"/>
      <c r="R37" s="1">
        <v>636.44999999999993</v>
      </c>
      <c r="S37" s="1">
        <v>-642.5</v>
      </c>
      <c r="T37" s="1"/>
      <c r="U37" s="1">
        <f t="shared" si="7"/>
        <v>106.8</v>
      </c>
      <c r="V37" s="5">
        <f>12*U37-R37-Q37-P37-O37-F37</f>
        <v>332.15</v>
      </c>
      <c r="W37" s="5">
        <f t="shared" si="14"/>
        <v>332.15</v>
      </c>
      <c r="X37" s="5">
        <v>-336</v>
      </c>
      <c r="Y37" s="21"/>
      <c r="Z37" s="1">
        <f t="shared" si="10"/>
        <v>12</v>
      </c>
      <c r="AA37" s="1">
        <f t="shared" si="8"/>
        <v>8.8899812734082388</v>
      </c>
      <c r="AB37" s="1">
        <v>113.8</v>
      </c>
      <c r="AC37" s="1">
        <v>107</v>
      </c>
      <c r="AD37" s="1">
        <v>101.8</v>
      </c>
      <c r="AE37" s="1">
        <v>124.8</v>
      </c>
      <c r="AF37" s="1">
        <v>136.80000000000001</v>
      </c>
      <c r="AG37" s="1">
        <v>134</v>
      </c>
      <c r="AH37" s="1">
        <v>123.8</v>
      </c>
      <c r="AI37" s="1">
        <v>108.4</v>
      </c>
      <c r="AJ37" s="1">
        <v>141.80000000000001</v>
      </c>
      <c r="AK37" s="1">
        <v>155.80000000000001</v>
      </c>
      <c r="AL37" s="1"/>
      <c r="AM37" s="1">
        <f t="shared" si="9"/>
        <v>133</v>
      </c>
      <c r="AN37" t="s">
        <v>109</v>
      </c>
    </row>
    <row r="38" spans="1:40" x14ac:dyDescent="0.25">
      <c r="A38" s="1" t="s">
        <v>110</v>
      </c>
      <c r="B38" s="1" t="s">
        <v>50</v>
      </c>
      <c r="C38" s="1">
        <v>134</v>
      </c>
      <c r="D38" s="1">
        <v>113</v>
      </c>
      <c r="E38" s="1">
        <v>81</v>
      </c>
      <c r="F38" s="1">
        <v>130</v>
      </c>
      <c r="G38" s="7">
        <v>0.4</v>
      </c>
      <c r="H38" s="1">
        <v>40</v>
      </c>
      <c r="I38" s="13" t="s">
        <v>90</v>
      </c>
      <c r="J38" s="1"/>
      <c r="K38" s="1">
        <v>146</v>
      </c>
      <c r="L38" s="1">
        <f t="shared" ref="L38:L69" si="15">E38-K38</f>
        <v>-65</v>
      </c>
      <c r="M38" s="1"/>
      <c r="N38" s="1"/>
      <c r="O38" s="1">
        <v>0</v>
      </c>
      <c r="P38" s="1"/>
      <c r="Q38" s="1"/>
      <c r="R38" s="1">
        <v>0</v>
      </c>
      <c r="S38" s="1"/>
      <c r="T38" s="1"/>
      <c r="U38" s="1">
        <f t="shared" ref="U38:U69" si="16">E38/5</f>
        <v>16.2</v>
      </c>
      <c r="V38" s="5">
        <f>12*U38-R38-Q38-P38-O38-F38</f>
        <v>64.399999999999977</v>
      </c>
      <c r="W38" s="5">
        <f t="shared" si="14"/>
        <v>64.399999999999977</v>
      </c>
      <c r="X38" s="5">
        <v>-65.999999999999986</v>
      </c>
      <c r="Y38" s="21"/>
      <c r="Z38" s="1">
        <f t="shared" si="10"/>
        <v>12</v>
      </c>
      <c r="AA38" s="1">
        <f t="shared" ref="AA38:AA69" si="17">(F38+O38+P38+Q38+R38)/U38</f>
        <v>8.0246913580246915</v>
      </c>
      <c r="AB38" s="1">
        <v>11.8</v>
      </c>
      <c r="AC38" s="1">
        <v>10.6</v>
      </c>
      <c r="AD38" s="1">
        <v>20.6</v>
      </c>
      <c r="AE38" s="1">
        <v>26</v>
      </c>
      <c r="AF38" s="1">
        <v>27.2</v>
      </c>
      <c r="AG38" s="1">
        <v>26</v>
      </c>
      <c r="AH38" s="1">
        <v>11</v>
      </c>
      <c r="AI38" s="1">
        <v>9</v>
      </c>
      <c r="AJ38" s="1">
        <v>29.8</v>
      </c>
      <c r="AK38" s="1">
        <v>28.6</v>
      </c>
      <c r="AL38" s="1"/>
      <c r="AM38" s="1">
        <f t="shared" ref="AM38:AM69" si="18">ROUND(G38*W38,0)</f>
        <v>26</v>
      </c>
      <c r="AN38" t="s">
        <v>111</v>
      </c>
    </row>
    <row r="39" spans="1:40" x14ac:dyDescent="0.25">
      <c r="A39" s="1" t="s">
        <v>112</v>
      </c>
      <c r="B39" s="1" t="s">
        <v>40</v>
      </c>
      <c r="C39" s="1">
        <v>23.353000000000002</v>
      </c>
      <c r="D39" s="1">
        <v>3.8690000000000002</v>
      </c>
      <c r="E39" s="1">
        <v>26.074000000000002</v>
      </c>
      <c r="F39" s="1">
        <v>-2.1999999999999999E-2</v>
      </c>
      <c r="G39" s="7">
        <v>1</v>
      </c>
      <c r="H39" s="1">
        <v>45</v>
      </c>
      <c r="I39" s="1" t="s">
        <v>41</v>
      </c>
      <c r="J39" s="1"/>
      <c r="K39" s="1">
        <v>26</v>
      </c>
      <c r="L39" s="1">
        <f t="shared" si="15"/>
        <v>7.400000000000162E-2</v>
      </c>
      <c r="M39" s="1"/>
      <c r="N39" s="1"/>
      <c r="O39" s="1">
        <v>46.654999999999987</v>
      </c>
      <c r="P39" s="1">
        <v>0</v>
      </c>
      <c r="Q39" s="1"/>
      <c r="R39" s="1">
        <v>20.873999999999999</v>
      </c>
      <c r="S39" s="1"/>
      <c r="T39" s="1"/>
      <c r="U39" s="1">
        <f t="shared" si="16"/>
        <v>5.2148000000000003</v>
      </c>
      <c r="V39" s="5"/>
      <c r="W39" s="5">
        <f t="shared" si="14"/>
        <v>0</v>
      </c>
      <c r="X39" s="5"/>
      <c r="Y39" s="21"/>
      <c r="Z39" s="1">
        <f t="shared" si="10"/>
        <v>12.945271151338495</v>
      </c>
      <c r="AA39" s="1">
        <f t="shared" si="17"/>
        <v>12.945271151338495</v>
      </c>
      <c r="AB39" s="1">
        <v>6.1369999999999996</v>
      </c>
      <c r="AC39" s="1">
        <v>4.6671999999999993</v>
      </c>
      <c r="AD39" s="1">
        <v>6.0350000000000001</v>
      </c>
      <c r="AE39" s="1">
        <v>5.3391999999999999</v>
      </c>
      <c r="AF39" s="1">
        <v>4.4689999999999994</v>
      </c>
      <c r="AG39" s="1">
        <v>1.9303999999999999</v>
      </c>
      <c r="AH39" s="1">
        <v>2.2482000000000002</v>
      </c>
      <c r="AI39" s="1">
        <v>5.7770000000000001</v>
      </c>
      <c r="AJ39" s="1">
        <v>6.0679999999999996</v>
      </c>
      <c r="AK39" s="1">
        <v>3.7372000000000001</v>
      </c>
      <c r="AL39" s="1"/>
      <c r="AM39" s="1">
        <f t="shared" si="18"/>
        <v>0</v>
      </c>
      <c r="AN39" t="s">
        <v>113</v>
      </c>
    </row>
    <row r="40" spans="1:40" x14ac:dyDescent="0.25">
      <c r="A40" s="1" t="s">
        <v>114</v>
      </c>
      <c r="B40" s="1" t="s">
        <v>50</v>
      </c>
      <c r="C40" s="1">
        <v>-37</v>
      </c>
      <c r="D40" s="1">
        <v>222</v>
      </c>
      <c r="E40" s="1">
        <v>59</v>
      </c>
      <c r="F40" s="1">
        <v>129</v>
      </c>
      <c r="G40" s="7">
        <v>0.1</v>
      </c>
      <c r="H40" s="1">
        <v>731</v>
      </c>
      <c r="I40" s="1" t="s">
        <v>41</v>
      </c>
      <c r="J40" s="1"/>
      <c r="K40" s="1">
        <v>56</v>
      </c>
      <c r="L40" s="1">
        <f t="shared" si="15"/>
        <v>3</v>
      </c>
      <c r="M40" s="1"/>
      <c r="N40" s="1"/>
      <c r="O40" s="1">
        <v>155.39999999999989</v>
      </c>
      <c r="P40" s="1">
        <v>0</v>
      </c>
      <c r="Q40" s="1"/>
      <c r="R40" s="1">
        <v>0</v>
      </c>
      <c r="S40" s="1"/>
      <c r="T40" s="1"/>
      <c r="U40" s="1">
        <f t="shared" si="16"/>
        <v>11.8</v>
      </c>
      <c r="V40" s="5"/>
      <c r="W40" s="5">
        <f t="shared" si="14"/>
        <v>0</v>
      </c>
      <c r="X40" s="5"/>
      <c r="Y40" s="21"/>
      <c r="Z40" s="1">
        <f t="shared" si="10"/>
        <v>24.101694915254225</v>
      </c>
      <c r="AA40" s="1">
        <f t="shared" si="17"/>
        <v>24.101694915254225</v>
      </c>
      <c r="AB40" s="1">
        <v>17.600000000000001</v>
      </c>
      <c r="AC40" s="1">
        <v>22.8</v>
      </c>
      <c r="AD40" s="1">
        <v>20.2</v>
      </c>
      <c r="AE40" s="1">
        <v>22</v>
      </c>
      <c r="AF40" s="1">
        <v>19.399999999999999</v>
      </c>
      <c r="AG40" s="1">
        <v>23.4</v>
      </c>
      <c r="AH40" s="1">
        <v>27.4</v>
      </c>
      <c r="AI40" s="1">
        <v>21.2</v>
      </c>
      <c r="AJ40" s="1">
        <v>16</v>
      </c>
      <c r="AK40" s="1">
        <v>12.8</v>
      </c>
      <c r="AL40" s="1"/>
      <c r="AM40" s="1">
        <f t="shared" si="18"/>
        <v>0</v>
      </c>
      <c r="AN40" t="s">
        <v>115</v>
      </c>
    </row>
    <row r="41" spans="1:40" x14ac:dyDescent="0.25">
      <c r="A41" s="1" t="s">
        <v>116</v>
      </c>
      <c r="B41" s="1" t="s">
        <v>50</v>
      </c>
      <c r="C41" s="1">
        <v>8</v>
      </c>
      <c r="D41" s="1">
        <v>41</v>
      </c>
      <c r="E41" s="1">
        <v>-7</v>
      </c>
      <c r="F41" s="1"/>
      <c r="G41" s="7">
        <v>0.35</v>
      </c>
      <c r="H41" s="1">
        <v>40</v>
      </c>
      <c r="I41" s="13" t="s">
        <v>90</v>
      </c>
      <c r="J41" s="1"/>
      <c r="K41" s="1">
        <v>29</v>
      </c>
      <c r="L41" s="1">
        <f t="shared" si="15"/>
        <v>-36</v>
      </c>
      <c r="M41" s="1"/>
      <c r="N41" s="1"/>
      <c r="O41" s="1">
        <v>154</v>
      </c>
      <c r="P41" s="1">
        <v>-156</v>
      </c>
      <c r="Q41" s="1"/>
      <c r="R41" s="1">
        <v>60</v>
      </c>
      <c r="S41" s="1">
        <v>-60.000000000000007</v>
      </c>
      <c r="T41" s="1"/>
      <c r="U41" s="1">
        <f t="shared" si="16"/>
        <v>-1.4</v>
      </c>
      <c r="V41" s="5">
        <v>60</v>
      </c>
      <c r="W41" s="5">
        <f t="shared" si="14"/>
        <v>60</v>
      </c>
      <c r="X41" s="5">
        <v>-60.000000000000007</v>
      </c>
      <c r="Y41" s="21"/>
      <c r="Z41" s="1">
        <f t="shared" si="10"/>
        <v>-84.285714285714292</v>
      </c>
      <c r="AA41" s="1">
        <f t="shared" si="17"/>
        <v>-41.428571428571431</v>
      </c>
      <c r="AB41" s="1">
        <v>-0.8</v>
      </c>
      <c r="AC41" s="1">
        <v>10.8</v>
      </c>
      <c r="AD41" s="1">
        <v>15.8</v>
      </c>
      <c r="AE41" s="1">
        <v>20.2</v>
      </c>
      <c r="AF41" s="1">
        <v>28.4</v>
      </c>
      <c r="AG41" s="1">
        <v>33</v>
      </c>
      <c r="AH41" s="1">
        <v>19.600000000000001</v>
      </c>
      <c r="AI41" s="1">
        <v>-0.4</v>
      </c>
      <c r="AJ41" s="1">
        <v>12.2</v>
      </c>
      <c r="AK41" s="1">
        <v>26.4</v>
      </c>
      <c r="AL41" s="1"/>
      <c r="AM41" s="1">
        <f t="shared" si="18"/>
        <v>21</v>
      </c>
      <c r="AN41" t="s">
        <v>117</v>
      </c>
    </row>
    <row r="42" spans="1:40" x14ac:dyDescent="0.25">
      <c r="A42" s="1" t="s">
        <v>118</v>
      </c>
      <c r="B42" s="1" t="s">
        <v>40</v>
      </c>
      <c r="C42" s="1">
        <v>5.6669999999999998</v>
      </c>
      <c r="D42" s="1">
        <v>107.82599999999999</v>
      </c>
      <c r="E42" s="1">
        <v>57.689</v>
      </c>
      <c r="F42" s="1">
        <v>50.331000000000003</v>
      </c>
      <c r="G42" s="7">
        <v>1</v>
      </c>
      <c r="H42" s="1">
        <v>40</v>
      </c>
      <c r="I42" s="1" t="s">
        <v>41</v>
      </c>
      <c r="J42" s="1"/>
      <c r="K42" s="1">
        <v>59.8</v>
      </c>
      <c r="L42" s="1">
        <f t="shared" si="15"/>
        <v>-2.1109999999999971</v>
      </c>
      <c r="M42" s="1"/>
      <c r="N42" s="1"/>
      <c r="O42" s="1">
        <v>54.679399999999987</v>
      </c>
      <c r="P42" s="1">
        <v>0</v>
      </c>
      <c r="Q42" s="1"/>
      <c r="R42" s="1">
        <v>0</v>
      </c>
      <c r="S42" s="1"/>
      <c r="T42" s="1"/>
      <c r="U42" s="1">
        <f t="shared" si="16"/>
        <v>11.537800000000001</v>
      </c>
      <c r="V42" s="5">
        <f>12*U42-R42-Q42-P42-O42-F42</f>
        <v>33.443200000000004</v>
      </c>
      <c r="W42" s="5">
        <f t="shared" si="14"/>
        <v>33.443200000000004</v>
      </c>
      <c r="X42" s="5">
        <v>-33.6</v>
      </c>
      <c r="Y42" s="21"/>
      <c r="Z42" s="1">
        <f t="shared" si="10"/>
        <v>11.999999999999998</v>
      </c>
      <c r="AA42" s="1">
        <f t="shared" si="17"/>
        <v>9.1014231482604995</v>
      </c>
      <c r="AB42" s="1">
        <v>8.0475999999999992</v>
      </c>
      <c r="AC42" s="1">
        <v>10.005599999999999</v>
      </c>
      <c r="AD42" s="1">
        <v>12.919600000000001</v>
      </c>
      <c r="AE42" s="1">
        <v>11.806800000000001</v>
      </c>
      <c r="AF42" s="1">
        <v>7.1319999999999997</v>
      </c>
      <c r="AG42" s="1">
        <v>-0.14000000000000001</v>
      </c>
      <c r="AH42" s="1">
        <v>1.7484</v>
      </c>
      <c r="AI42" s="1">
        <v>8.5668000000000006</v>
      </c>
      <c r="AJ42" s="1">
        <v>10.9542</v>
      </c>
      <c r="AK42" s="1">
        <v>3.12</v>
      </c>
      <c r="AL42" s="1"/>
      <c r="AM42" s="1">
        <f t="shared" si="18"/>
        <v>33</v>
      </c>
      <c r="AN42" t="s">
        <v>119</v>
      </c>
    </row>
    <row r="43" spans="1:40" x14ac:dyDescent="0.25">
      <c r="A43" s="9" t="s">
        <v>120</v>
      </c>
      <c r="B43" s="9" t="s">
        <v>50</v>
      </c>
      <c r="C43" s="9">
        <v>33</v>
      </c>
      <c r="D43" s="9">
        <v>8</v>
      </c>
      <c r="E43" s="9">
        <v>22</v>
      </c>
      <c r="F43" s="9">
        <v>13</v>
      </c>
      <c r="G43" s="10">
        <v>0</v>
      </c>
      <c r="H43" s="9">
        <v>50</v>
      </c>
      <c r="I43" s="9" t="s">
        <v>44</v>
      </c>
      <c r="J43" s="9"/>
      <c r="K43" s="9">
        <v>24</v>
      </c>
      <c r="L43" s="9">
        <f t="shared" si="15"/>
        <v>-2</v>
      </c>
      <c r="M43" s="9"/>
      <c r="N43" s="9"/>
      <c r="O43" s="9">
        <v>0</v>
      </c>
      <c r="P43" s="9"/>
      <c r="Q43" s="9"/>
      <c r="R43" s="9">
        <v>0</v>
      </c>
      <c r="S43" s="9"/>
      <c r="T43" s="9"/>
      <c r="U43" s="9">
        <f t="shared" si="16"/>
        <v>4.4000000000000004</v>
      </c>
      <c r="V43" s="11"/>
      <c r="W43" s="5">
        <f t="shared" si="14"/>
        <v>0</v>
      </c>
      <c r="X43" s="5"/>
      <c r="Y43" s="21"/>
      <c r="Z43" s="1">
        <f t="shared" si="10"/>
        <v>2.9545454545454541</v>
      </c>
      <c r="AA43" s="9">
        <f t="shared" si="17"/>
        <v>2.9545454545454541</v>
      </c>
      <c r="AB43" s="9">
        <v>4</v>
      </c>
      <c r="AC43" s="9">
        <v>2.2000000000000002</v>
      </c>
      <c r="AD43" s="9">
        <v>3.2</v>
      </c>
      <c r="AE43" s="9">
        <v>7</v>
      </c>
      <c r="AF43" s="9">
        <v>7</v>
      </c>
      <c r="AG43" s="9">
        <v>4.5999999999999996</v>
      </c>
      <c r="AH43" s="9">
        <v>4.5999999999999996</v>
      </c>
      <c r="AI43" s="9">
        <v>6.6</v>
      </c>
      <c r="AJ43" s="9">
        <v>8.1999999999999993</v>
      </c>
      <c r="AK43" s="9">
        <v>9.6</v>
      </c>
      <c r="AL43" s="9"/>
      <c r="AM43" s="1">
        <f t="shared" si="18"/>
        <v>0</v>
      </c>
      <c r="AN43" t="s">
        <v>121</v>
      </c>
    </row>
    <row r="44" spans="1:40" x14ac:dyDescent="0.25">
      <c r="A44" s="1" t="s">
        <v>122</v>
      </c>
      <c r="B44" s="1" t="s">
        <v>50</v>
      </c>
      <c r="C44" s="1">
        <v>6</v>
      </c>
      <c r="D44" s="1">
        <v>42</v>
      </c>
      <c r="E44" s="1">
        <v>-12</v>
      </c>
      <c r="F44" s="1">
        <v>48</v>
      </c>
      <c r="G44" s="7">
        <v>0.4</v>
      </c>
      <c r="H44" s="1">
        <v>40</v>
      </c>
      <c r="I44" s="13" t="s">
        <v>90</v>
      </c>
      <c r="J44" s="1"/>
      <c r="K44" s="1">
        <v>201</v>
      </c>
      <c r="L44" s="1">
        <f t="shared" si="15"/>
        <v>-213</v>
      </c>
      <c r="M44" s="1"/>
      <c r="N44" s="1"/>
      <c r="O44" s="1">
        <v>70</v>
      </c>
      <c r="P44" s="1">
        <v>0</v>
      </c>
      <c r="Q44" s="1"/>
      <c r="R44" s="1">
        <v>30</v>
      </c>
      <c r="S44" s="1"/>
      <c r="T44" s="1"/>
      <c r="U44" s="1">
        <f t="shared" si="16"/>
        <v>-2.4</v>
      </c>
      <c r="V44" s="5">
        <v>40</v>
      </c>
      <c r="W44" s="5">
        <f t="shared" si="14"/>
        <v>40</v>
      </c>
      <c r="X44" s="5"/>
      <c r="Y44" s="21"/>
      <c r="Z44" s="1">
        <f t="shared" si="10"/>
        <v>-78.333333333333343</v>
      </c>
      <c r="AA44" s="1">
        <f t="shared" si="17"/>
        <v>-61.666666666666671</v>
      </c>
      <c r="AB44" s="1">
        <v>-3.6</v>
      </c>
      <c r="AC44" s="1">
        <v>-4.2</v>
      </c>
      <c r="AD44" s="1">
        <v>-3</v>
      </c>
      <c r="AE44" s="1">
        <v>8.4</v>
      </c>
      <c r="AF44" s="1">
        <v>11.2</v>
      </c>
      <c r="AG44" s="1">
        <v>18.8</v>
      </c>
      <c r="AH44" s="1">
        <v>25.6</v>
      </c>
      <c r="AI44" s="1">
        <v>53</v>
      </c>
      <c r="AJ44" s="1">
        <v>54</v>
      </c>
      <c r="AK44" s="1">
        <v>22.6</v>
      </c>
      <c r="AL44" s="1"/>
      <c r="AM44" s="1">
        <f t="shared" si="18"/>
        <v>16</v>
      </c>
      <c r="AN44" t="s">
        <v>123</v>
      </c>
    </row>
    <row r="45" spans="1:40" x14ac:dyDescent="0.25">
      <c r="A45" s="1" t="s">
        <v>124</v>
      </c>
      <c r="B45" s="1" t="s">
        <v>50</v>
      </c>
      <c r="C45" s="1">
        <v>275</v>
      </c>
      <c r="D45" s="1">
        <v>17</v>
      </c>
      <c r="E45" s="1">
        <v>227</v>
      </c>
      <c r="F45" s="1">
        <v>53</v>
      </c>
      <c r="G45" s="7">
        <v>0.4</v>
      </c>
      <c r="H45" s="1">
        <v>45</v>
      </c>
      <c r="I45" s="13" t="s">
        <v>90</v>
      </c>
      <c r="J45" s="1"/>
      <c r="K45" s="1">
        <v>263</v>
      </c>
      <c r="L45" s="1">
        <f t="shared" si="15"/>
        <v>-36</v>
      </c>
      <c r="M45" s="1"/>
      <c r="N45" s="1"/>
      <c r="O45" s="1">
        <v>80</v>
      </c>
      <c r="P45" s="1">
        <v>0</v>
      </c>
      <c r="Q45" s="1"/>
      <c r="R45" s="1">
        <v>230.55</v>
      </c>
      <c r="S45" s="1"/>
      <c r="T45" s="1"/>
      <c r="U45" s="1">
        <f t="shared" si="16"/>
        <v>45.4</v>
      </c>
      <c r="V45" s="5">
        <v>150</v>
      </c>
      <c r="W45" s="5">
        <f t="shared" si="14"/>
        <v>150</v>
      </c>
      <c r="X45" s="5"/>
      <c r="Y45" s="21"/>
      <c r="Z45" s="1">
        <f t="shared" si="10"/>
        <v>11.311674008810572</v>
      </c>
      <c r="AA45" s="1">
        <f t="shared" si="17"/>
        <v>8.0077092511013213</v>
      </c>
      <c r="AB45" s="1">
        <v>46.2</v>
      </c>
      <c r="AC45" s="1">
        <v>24.8</v>
      </c>
      <c r="AD45" s="1">
        <v>1</v>
      </c>
      <c r="AE45" s="1">
        <v>13.4</v>
      </c>
      <c r="AF45" s="1">
        <v>25.4</v>
      </c>
      <c r="AG45" s="1">
        <v>53.4</v>
      </c>
      <c r="AH45" s="1">
        <v>48.2</v>
      </c>
      <c r="AI45" s="1">
        <v>27.4</v>
      </c>
      <c r="AJ45" s="1">
        <v>39.4</v>
      </c>
      <c r="AK45" s="1">
        <v>37.799999999999997</v>
      </c>
      <c r="AL45" s="1"/>
      <c r="AM45" s="1">
        <f t="shared" si="18"/>
        <v>60</v>
      </c>
      <c r="AN45" t="s">
        <v>125</v>
      </c>
    </row>
    <row r="46" spans="1:40" x14ac:dyDescent="0.25">
      <c r="A46" s="1" t="s">
        <v>126</v>
      </c>
      <c r="B46" s="1" t="s">
        <v>40</v>
      </c>
      <c r="C46" s="1">
        <v>82.91</v>
      </c>
      <c r="D46" s="1">
        <v>130.405</v>
      </c>
      <c r="E46" s="1">
        <v>129.768</v>
      </c>
      <c r="F46" s="1">
        <v>81.075000000000003</v>
      </c>
      <c r="G46" s="7">
        <v>1</v>
      </c>
      <c r="H46" s="1">
        <v>40</v>
      </c>
      <c r="I46" s="1" t="s">
        <v>41</v>
      </c>
      <c r="J46" s="1"/>
      <c r="K46" s="1">
        <v>133.83000000000001</v>
      </c>
      <c r="L46" s="1">
        <f t="shared" si="15"/>
        <v>-4.0620000000000118</v>
      </c>
      <c r="M46" s="1"/>
      <c r="N46" s="1"/>
      <c r="O46" s="1"/>
      <c r="P46" s="1"/>
      <c r="Q46" s="1"/>
      <c r="R46" s="1">
        <v>74.783600000000007</v>
      </c>
      <c r="S46" s="1">
        <v>-76</v>
      </c>
      <c r="T46" s="1"/>
      <c r="U46" s="1">
        <f t="shared" si="16"/>
        <v>25.953600000000002</v>
      </c>
      <c r="V46" s="5">
        <f>12*U46-R46-Q46-P46-O46-F46</f>
        <v>155.58460000000002</v>
      </c>
      <c r="W46" s="5">
        <f>V46+$W$1*U46</f>
        <v>138.45522400000002</v>
      </c>
      <c r="X46" s="5">
        <v>-138.6</v>
      </c>
      <c r="Y46" s="21"/>
      <c r="Z46" s="1">
        <f t="shared" si="10"/>
        <v>11.340000000000002</v>
      </c>
      <c r="AA46" s="1">
        <f t="shared" si="17"/>
        <v>6.0052786511312499</v>
      </c>
      <c r="AB46" s="1">
        <v>18.532599999999999</v>
      </c>
      <c r="AC46" s="1">
        <v>11.743399999999999</v>
      </c>
      <c r="AD46" s="1">
        <v>20.163799999999998</v>
      </c>
      <c r="AE46" s="1">
        <v>20.949200000000001</v>
      </c>
      <c r="AF46" s="1">
        <v>12.702400000000001</v>
      </c>
      <c r="AG46" s="1">
        <v>19.9008</v>
      </c>
      <c r="AH46" s="1">
        <v>25.02</v>
      </c>
      <c r="AI46" s="1">
        <v>23.82</v>
      </c>
      <c r="AJ46" s="1">
        <v>23.102399999999999</v>
      </c>
      <c r="AK46" s="1">
        <v>16.805800000000001</v>
      </c>
      <c r="AL46" s="1"/>
      <c r="AM46" s="1">
        <f t="shared" si="18"/>
        <v>138</v>
      </c>
      <c r="AN46" t="s">
        <v>127</v>
      </c>
    </row>
    <row r="47" spans="1:40" x14ac:dyDescent="0.25">
      <c r="A47" s="1" t="s">
        <v>128</v>
      </c>
      <c r="B47" s="1" t="s">
        <v>50</v>
      </c>
      <c r="C47" s="1">
        <v>493</v>
      </c>
      <c r="D47" s="1">
        <v>407</v>
      </c>
      <c r="E47" s="1">
        <v>266</v>
      </c>
      <c r="F47" s="1">
        <v>447</v>
      </c>
      <c r="G47" s="7">
        <v>0.35</v>
      </c>
      <c r="H47" s="1">
        <v>40</v>
      </c>
      <c r="I47" s="1" t="s">
        <v>41</v>
      </c>
      <c r="J47" s="1"/>
      <c r="K47" s="1">
        <v>268</v>
      </c>
      <c r="L47" s="1">
        <f t="shared" si="15"/>
        <v>-2</v>
      </c>
      <c r="M47" s="1"/>
      <c r="N47" s="1"/>
      <c r="O47" s="1">
        <v>0</v>
      </c>
      <c r="P47" s="1"/>
      <c r="Q47" s="1"/>
      <c r="R47" s="1">
        <v>0</v>
      </c>
      <c r="S47" s="1"/>
      <c r="T47" s="1"/>
      <c r="U47" s="1">
        <f t="shared" si="16"/>
        <v>53.2</v>
      </c>
      <c r="V47" s="5">
        <f>12*U47-R47-Q47-P47-O47-F47</f>
        <v>191.40000000000009</v>
      </c>
      <c r="W47" s="5">
        <f>V47+$W$1*U47</f>
        <v>156.2880000000001</v>
      </c>
      <c r="X47" s="5">
        <v>-162.00000000000003</v>
      </c>
      <c r="Y47" s="21"/>
      <c r="Z47" s="1">
        <f t="shared" si="10"/>
        <v>11.340000000000002</v>
      </c>
      <c r="AA47" s="1">
        <f t="shared" si="17"/>
        <v>8.4022556390977439</v>
      </c>
      <c r="AB47" s="1">
        <v>48.8</v>
      </c>
      <c r="AC47" s="1">
        <v>40.6</v>
      </c>
      <c r="AD47" s="1">
        <v>37.200000000000003</v>
      </c>
      <c r="AE47" s="1">
        <v>44</v>
      </c>
      <c r="AF47" s="1">
        <v>52.6</v>
      </c>
      <c r="AG47" s="1">
        <v>65.599999999999994</v>
      </c>
      <c r="AH47" s="1">
        <v>46.2</v>
      </c>
      <c r="AI47" s="1">
        <v>30.6</v>
      </c>
      <c r="AJ47" s="1">
        <v>58.6</v>
      </c>
      <c r="AK47" s="1">
        <v>64.400000000000006</v>
      </c>
      <c r="AL47" s="1"/>
      <c r="AM47" s="1">
        <f t="shared" si="18"/>
        <v>55</v>
      </c>
      <c r="AN47" t="s">
        <v>129</v>
      </c>
    </row>
    <row r="48" spans="1:40" x14ac:dyDescent="0.25">
      <c r="A48" s="1" t="s">
        <v>130</v>
      </c>
      <c r="B48" s="1" t="s">
        <v>50</v>
      </c>
      <c r="C48" s="1">
        <v>53</v>
      </c>
      <c r="D48" s="1">
        <v>368</v>
      </c>
      <c r="E48" s="1">
        <v>261</v>
      </c>
      <c r="F48" s="1">
        <v>80</v>
      </c>
      <c r="G48" s="7">
        <v>0.4</v>
      </c>
      <c r="H48" s="1">
        <v>40</v>
      </c>
      <c r="I48" s="13" t="s">
        <v>90</v>
      </c>
      <c r="J48" s="1"/>
      <c r="K48" s="1">
        <v>337</v>
      </c>
      <c r="L48" s="1">
        <f t="shared" si="15"/>
        <v>-76</v>
      </c>
      <c r="M48" s="1"/>
      <c r="N48" s="1"/>
      <c r="O48" s="1">
        <v>120</v>
      </c>
      <c r="P48" s="1">
        <v>0</v>
      </c>
      <c r="Q48" s="1"/>
      <c r="R48" s="1">
        <v>195.35</v>
      </c>
      <c r="S48" s="1"/>
      <c r="T48" s="1"/>
      <c r="U48" s="1">
        <f t="shared" si="16"/>
        <v>52.2</v>
      </c>
      <c r="V48" s="5">
        <v>150</v>
      </c>
      <c r="W48" s="5">
        <f>V48</f>
        <v>150</v>
      </c>
      <c r="X48" s="5"/>
      <c r="Y48" s="21"/>
      <c r="Z48" s="1">
        <f t="shared" si="10"/>
        <v>10.447318007662835</v>
      </c>
      <c r="AA48" s="1">
        <f t="shared" si="17"/>
        <v>7.5737547892720309</v>
      </c>
      <c r="AB48" s="1">
        <v>49.4</v>
      </c>
      <c r="AC48" s="1">
        <v>36</v>
      </c>
      <c r="AD48" s="1">
        <v>40.799999999999997</v>
      </c>
      <c r="AE48" s="1">
        <v>54</v>
      </c>
      <c r="AF48" s="1">
        <v>35.799999999999997</v>
      </c>
      <c r="AG48" s="1">
        <v>5.6</v>
      </c>
      <c r="AH48" s="1">
        <v>1</v>
      </c>
      <c r="AI48" s="1">
        <v>56</v>
      </c>
      <c r="AJ48" s="1">
        <v>90.8</v>
      </c>
      <c r="AK48" s="1">
        <v>85.6</v>
      </c>
      <c r="AL48" s="1"/>
      <c r="AM48" s="1">
        <f t="shared" si="18"/>
        <v>60</v>
      </c>
      <c r="AN48" t="s">
        <v>131</v>
      </c>
    </row>
    <row r="49" spans="1:40" x14ac:dyDescent="0.25">
      <c r="A49" s="1" t="s">
        <v>132</v>
      </c>
      <c r="B49" s="1" t="s">
        <v>40</v>
      </c>
      <c r="C49" s="1">
        <v>61.978999999999999</v>
      </c>
      <c r="D49" s="1">
        <v>126.346</v>
      </c>
      <c r="E49" s="1">
        <v>97.603999999999999</v>
      </c>
      <c r="F49" s="1">
        <v>86.105000000000004</v>
      </c>
      <c r="G49" s="7">
        <v>1</v>
      </c>
      <c r="H49" s="1">
        <v>50</v>
      </c>
      <c r="I49" s="1" t="s">
        <v>41</v>
      </c>
      <c r="J49" s="1"/>
      <c r="K49" s="1">
        <v>101.3</v>
      </c>
      <c r="L49" s="1">
        <f t="shared" si="15"/>
        <v>-3.695999999999998</v>
      </c>
      <c r="M49" s="1"/>
      <c r="N49" s="1"/>
      <c r="O49" s="1">
        <v>9.4576000000000171</v>
      </c>
      <c r="P49" s="1">
        <v>0</v>
      </c>
      <c r="Q49" s="1"/>
      <c r="R49" s="1">
        <v>23.1602</v>
      </c>
      <c r="S49" s="1"/>
      <c r="T49" s="1"/>
      <c r="U49" s="1">
        <f t="shared" si="16"/>
        <v>19.520800000000001</v>
      </c>
      <c r="V49" s="5">
        <f>12*U49-R49-Q49-P49-O49-F49</f>
        <v>115.52679999999999</v>
      </c>
      <c r="W49" s="5">
        <f>V49+$W$1*U49</f>
        <v>102.64307199999999</v>
      </c>
      <c r="X49" s="5"/>
      <c r="Y49" s="21"/>
      <c r="Z49" s="1">
        <f t="shared" si="10"/>
        <v>11.34</v>
      </c>
      <c r="AA49" s="1">
        <f t="shared" si="17"/>
        <v>6.0818613991229871</v>
      </c>
      <c r="AB49" s="1">
        <v>15.0738</v>
      </c>
      <c r="AC49" s="1">
        <v>11.8742</v>
      </c>
      <c r="AD49" s="1">
        <v>13.991400000000001</v>
      </c>
      <c r="AE49" s="1">
        <v>17.976199999999999</v>
      </c>
      <c r="AF49" s="1">
        <v>14.181800000000001</v>
      </c>
      <c r="AG49" s="1">
        <v>13.4892</v>
      </c>
      <c r="AH49" s="1">
        <v>18.758400000000002</v>
      </c>
      <c r="AI49" s="1">
        <v>21.601400000000002</v>
      </c>
      <c r="AJ49" s="1">
        <v>23.608799999999999</v>
      </c>
      <c r="AK49" s="1">
        <v>18.345400000000001</v>
      </c>
      <c r="AL49" s="1"/>
      <c r="AM49" s="1">
        <f t="shared" si="18"/>
        <v>103</v>
      </c>
      <c r="AN49" t="s">
        <v>133</v>
      </c>
    </row>
    <row r="50" spans="1:40" x14ac:dyDescent="0.25">
      <c r="A50" s="1" t="s">
        <v>134</v>
      </c>
      <c r="B50" s="1" t="s">
        <v>40</v>
      </c>
      <c r="C50" s="1">
        <v>220.74100000000001</v>
      </c>
      <c r="D50" s="1">
        <v>82.78</v>
      </c>
      <c r="E50" s="1">
        <v>72.546000000000006</v>
      </c>
      <c r="F50" s="1">
        <v>29.724</v>
      </c>
      <c r="G50" s="7">
        <v>1</v>
      </c>
      <c r="H50" s="1">
        <v>50</v>
      </c>
      <c r="I50" s="1" t="s">
        <v>41</v>
      </c>
      <c r="J50" s="1"/>
      <c r="K50" s="1">
        <v>132.4</v>
      </c>
      <c r="L50" s="1">
        <f t="shared" si="15"/>
        <v>-59.853999999999999</v>
      </c>
      <c r="M50" s="1"/>
      <c r="N50" s="1"/>
      <c r="O50" s="1">
        <v>0</v>
      </c>
      <c r="P50" s="1"/>
      <c r="Q50" s="1"/>
      <c r="R50" s="1">
        <v>0</v>
      </c>
      <c r="S50" s="1"/>
      <c r="T50" s="1"/>
      <c r="U50" s="1">
        <f t="shared" si="16"/>
        <v>14.509200000000002</v>
      </c>
      <c r="V50" s="5">
        <v>80</v>
      </c>
      <c r="W50" s="5">
        <f>V50</f>
        <v>80</v>
      </c>
      <c r="X50" s="5"/>
      <c r="Y50" s="21"/>
      <c r="Z50" s="1">
        <f t="shared" si="10"/>
        <v>7.5623742177377107</v>
      </c>
      <c r="AA50" s="1">
        <f t="shared" si="17"/>
        <v>2.048631213299148</v>
      </c>
      <c r="AB50" s="1">
        <v>18.899000000000001</v>
      </c>
      <c r="AC50" s="1">
        <v>16.585999999999999</v>
      </c>
      <c r="AD50" s="1">
        <v>22.036000000000001</v>
      </c>
      <c r="AE50" s="1">
        <v>27.9922</v>
      </c>
      <c r="AF50" s="1">
        <v>30.0686</v>
      </c>
      <c r="AG50" s="1">
        <v>29.352599999999999</v>
      </c>
      <c r="AH50" s="1">
        <v>27.397400000000001</v>
      </c>
      <c r="AI50" s="1">
        <v>30.834</v>
      </c>
      <c r="AJ50" s="1">
        <v>34.377200000000002</v>
      </c>
      <c r="AK50" s="1">
        <v>30.298400000000001</v>
      </c>
      <c r="AL50" s="15" t="s">
        <v>135</v>
      </c>
      <c r="AM50" s="1">
        <f t="shared" si="18"/>
        <v>80</v>
      </c>
      <c r="AN50" t="s">
        <v>136</v>
      </c>
    </row>
    <row r="51" spans="1:40" x14ac:dyDescent="0.25">
      <c r="A51" s="1" t="s">
        <v>137</v>
      </c>
      <c r="B51" s="1" t="s">
        <v>40</v>
      </c>
      <c r="C51" s="1">
        <v>183.434</v>
      </c>
      <c r="D51" s="1">
        <v>95.346000000000004</v>
      </c>
      <c r="E51" s="1">
        <v>217.208</v>
      </c>
      <c r="F51" s="1">
        <v>0.434</v>
      </c>
      <c r="G51" s="7">
        <v>1</v>
      </c>
      <c r="H51" s="1">
        <v>45</v>
      </c>
      <c r="I51" s="1" t="s">
        <v>41</v>
      </c>
      <c r="J51" s="1"/>
      <c r="K51" s="1">
        <v>202</v>
      </c>
      <c r="L51" s="1">
        <f t="shared" si="15"/>
        <v>15.207999999999998</v>
      </c>
      <c r="M51" s="1"/>
      <c r="N51" s="1"/>
      <c r="O51" s="1">
        <v>0</v>
      </c>
      <c r="P51" s="1"/>
      <c r="Q51" s="1"/>
      <c r="R51" s="1">
        <v>297.53224999999998</v>
      </c>
      <c r="S51" s="1">
        <v>-306</v>
      </c>
      <c r="T51" s="1"/>
      <c r="U51" s="1">
        <f t="shared" si="16"/>
        <v>43.441600000000001</v>
      </c>
      <c r="V51" s="5">
        <f>12*U51-R51-Q51-P51-O51-F51</f>
        <v>223.33295000000007</v>
      </c>
      <c r="W51" s="5">
        <f>V51+$W$1*U51</f>
        <v>194.66149400000006</v>
      </c>
      <c r="X51" s="5">
        <v>-198</v>
      </c>
      <c r="Y51" s="21"/>
      <c r="Z51" s="1">
        <f t="shared" si="10"/>
        <v>11.340000000000002</v>
      </c>
      <c r="AA51" s="1">
        <f t="shared" si="17"/>
        <v>6.8590072649257854</v>
      </c>
      <c r="AB51" s="1">
        <v>47.674599999999998</v>
      </c>
      <c r="AC51" s="1">
        <v>5.6109999999999998</v>
      </c>
      <c r="AD51" s="1">
        <v>1.4787999999999999</v>
      </c>
      <c r="AE51" s="1">
        <v>26.138999999999999</v>
      </c>
      <c r="AF51" s="1">
        <v>35.246200000000002</v>
      </c>
      <c r="AG51" s="1">
        <v>41.248800000000003</v>
      </c>
      <c r="AH51" s="1">
        <v>33.955399999999997</v>
      </c>
      <c r="AI51" s="1">
        <v>1.6262000000000001</v>
      </c>
      <c r="AJ51" s="1">
        <v>13.767799999999999</v>
      </c>
      <c r="AK51" s="1">
        <v>26.409400000000002</v>
      </c>
      <c r="AL51" s="1"/>
      <c r="AM51" s="1">
        <f t="shared" si="18"/>
        <v>195</v>
      </c>
      <c r="AN51" t="s">
        <v>138</v>
      </c>
    </row>
    <row r="52" spans="1:40" x14ac:dyDescent="0.25">
      <c r="A52" s="1" t="s">
        <v>139</v>
      </c>
      <c r="B52" s="1" t="s">
        <v>50</v>
      </c>
      <c r="C52" s="1">
        <v>148</v>
      </c>
      <c r="D52" s="1">
        <v>270</v>
      </c>
      <c r="E52" s="1">
        <v>126</v>
      </c>
      <c r="F52" s="1">
        <v>263</v>
      </c>
      <c r="G52" s="7">
        <v>0.45</v>
      </c>
      <c r="H52" s="1">
        <v>50</v>
      </c>
      <c r="I52" s="1" t="s">
        <v>41</v>
      </c>
      <c r="J52" s="1"/>
      <c r="K52" s="1">
        <v>143</v>
      </c>
      <c r="L52" s="1">
        <f t="shared" si="15"/>
        <v>-17</v>
      </c>
      <c r="M52" s="1"/>
      <c r="N52" s="1"/>
      <c r="O52" s="1">
        <v>0</v>
      </c>
      <c r="P52" s="1"/>
      <c r="Q52" s="1"/>
      <c r="R52" s="1">
        <v>0</v>
      </c>
      <c r="S52" s="1"/>
      <c r="T52" s="1"/>
      <c r="U52" s="1">
        <f t="shared" si="16"/>
        <v>25.2</v>
      </c>
      <c r="V52" s="5">
        <f>12*U52-R52-Q52-P52-O52-F52</f>
        <v>39.399999999999977</v>
      </c>
      <c r="W52" s="5">
        <f t="shared" ref="W52:W57" si="19">V52</f>
        <v>39.399999999999977</v>
      </c>
      <c r="X52" s="5"/>
      <c r="Y52" s="21"/>
      <c r="Z52" s="1">
        <f t="shared" si="10"/>
        <v>12</v>
      </c>
      <c r="AA52" s="1">
        <f t="shared" si="17"/>
        <v>10.436507936507937</v>
      </c>
      <c r="AB52" s="1">
        <v>18.399999999999999</v>
      </c>
      <c r="AC52" s="1">
        <v>19.8</v>
      </c>
      <c r="AD52" s="1">
        <v>29.6</v>
      </c>
      <c r="AE52" s="1">
        <v>39.4</v>
      </c>
      <c r="AF52" s="1">
        <v>27.6</v>
      </c>
      <c r="AG52" s="1">
        <v>20.8</v>
      </c>
      <c r="AH52" s="1">
        <v>35.4</v>
      </c>
      <c r="AI52" s="1">
        <v>42.4</v>
      </c>
      <c r="AJ52" s="1">
        <v>34.4</v>
      </c>
      <c r="AK52" s="1">
        <v>31</v>
      </c>
      <c r="AL52" s="1"/>
      <c r="AM52" s="1">
        <f t="shared" si="18"/>
        <v>18</v>
      </c>
      <c r="AN52" t="s">
        <v>140</v>
      </c>
    </row>
    <row r="53" spans="1:40" x14ac:dyDescent="0.25">
      <c r="A53" s="1" t="s">
        <v>141</v>
      </c>
      <c r="B53" s="1" t="s">
        <v>50</v>
      </c>
      <c r="C53" s="1">
        <v>39</v>
      </c>
      <c r="D53" s="1">
        <v>687</v>
      </c>
      <c r="E53" s="1">
        <v>227</v>
      </c>
      <c r="F53" s="1">
        <v>492</v>
      </c>
      <c r="G53" s="7">
        <v>0.45</v>
      </c>
      <c r="H53" s="1">
        <v>50</v>
      </c>
      <c r="I53" s="1" t="s">
        <v>41</v>
      </c>
      <c r="J53" s="1"/>
      <c r="K53" s="1">
        <v>242</v>
      </c>
      <c r="L53" s="1">
        <f t="shared" si="15"/>
        <v>-15</v>
      </c>
      <c r="M53" s="1"/>
      <c r="N53" s="1"/>
      <c r="O53" s="1">
        <v>0</v>
      </c>
      <c r="P53" s="1"/>
      <c r="Q53" s="1"/>
      <c r="R53" s="1">
        <v>0</v>
      </c>
      <c r="S53" s="1"/>
      <c r="T53" s="1"/>
      <c r="U53" s="1">
        <f t="shared" si="16"/>
        <v>45.4</v>
      </c>
      <c r="V53" s="5">
        <f>12*U53-R53-Q53-P53-O53-F53</f>
        <v>52.799999999999955</v>
      </c>
      <c r="W53" s="5">
        <f t="shared" si="19"/>
        <v>52.799999999999955</v>
      </c>
      <c r="X53" s="5"/>
      <c r="Y53" s="21"/>
      <c r="Z53" s="1">
        <f t="shared" si="10"/>
        <v>12</v>
      </c>
      <c r="AA53" s="1">
        <f t="shared" si="17"/>
        <v>10.837004405286343</v>
      </c>
      <c r="AB53" s="1">
        <v>38.200000000000003</v>
      </c>
      <c r="AC53" s="1">
        <v>34.200000000000003</v>
      </c>
      <c r="AD53" s="1">
        <v>42.6</v>
      </c>
      <c r="AE53" s="1">
        <v>64.400000000000006</v>
      </c>
      <c r="AF53" s="1">
        <v>46.6</v>
      </c>
      <c r="AG53" s="1">
        <v>38.4</v>
      </c>
      <c r="AH53" s="1">
        <v>47.2</v>
      </c>
      <c r="AI53" s="1">
        <v>63.6</v>
      </c>
      <c r="AJ53" s="1">
        <v>69.599999999999994</v>
      </c>
      <c r="AK53" s="1">
        <v>55.4</v>
      </c>
      <c r="AL53" s="1"/>
      <c r="AM53" s="1">
        <f t="shared" si="18"/>
        <v>24</v>
      </c>
      <c r="AN53" t="s">
        <v>142</v>
      </c>
    </row>
    <row r="54" spans="1:40" x14ac:dyDescent="0.25">
      <c r="A54" s="1" t="s">
        <v>143</v>
      </c>
      <c r="B54" s="1" t="s">
        <v>50</v>
      </c>
      <c r="C54" s="1">
        <v>37</v>
      </c>
      <c r="D54" s="1">
        <v>29</v>
      </c>
      <c r="E54" s="1">
        <v>58</v>
      </c>
      <c r="F54" s="1">
        <v>3</v>
      </c>
      <c r="G54" s="7">
        <v>0.4</v>
      </c>
      <c r="H54" s="1">
        <v>40</v>
      </c>
      <c r="I54" s="1" t="s">
        <v>41</v>
      </c>
      <c r="J54" s="1"/>
      <c r="K54" s="1">
        <v>50</v>
      </c>
      <c r="L54" s="1">
        <f t="shared" si="15"/>
        <v>8</v>
      </c>
      <c r="M54" s="1"/>
      <c r="N54" s="1"/>
      <c r="O54" s="1">
        <v>47.000000000000007</v>
      </c>
      <c r="P54" s="1">
        <v>0</v>
      </c>
      <c r="Q54" s="1"/>
      <c r="R54" s="1">
        <v>72</v>
      </c>
      <c r="S54" s="1"/>
      <c r="T54" s="1"/>
      <c r="U54" s="1">
        <f t="shared" si="16"/>
        <v>11.6</v>
      </c>
      <c r="V54" s="5">
        <f>12*U54-R54-Q54-P54-O54-F54</f>
        <v>17.199999999999982</v>
      </c>
      <c r="W54" s="5">
        <f t="shared" si="19"/>
        <v>17.199999999999982</v>
      </c>
      <c r="X54" s="5">
        <v>-18</v>
      </c>
      <c r="Y54" s="21"/>
      <c r="Z54" s="1">
        <f t="shared" si="10"/>
        <v>12</v>
      </c>
      <c r="AA54" s="1">
        <f t="shared" si="17"/>
        <v>10.517241379310345</v>
      </c>
      <c r="AB54" s="1">
        <v>12.6</v>
      </c>
      <c r="AC54" s="1">
        <v>5.4</v>
      </c>
      <c r="AD54" s="1">
        <v>5</v>
      </c>
      <c r="AE54" s="1">
        <v>4.8</v>
      </c>
      <c r="AF54" s="1">
        <v>5.2</v>
      </c>
      <c r="AG54" s="1">
        <v>8.4</v>
      </c>
      <c r="AH54" s="1">
        <v>6.2</v>
      </c>
      <c r="AI54" s="1">
        <v>0.6</v>
      </c>
      <c r="AJ54" s="1">
        <v>1</v>
      </c>
      <c r="AK54" s="1">
        <v>7.6</v>
      </c>
      <c r="AL54" s="1"/>
      <c r="AM54" s="1">
        <f t="shared" si="18"/>
        <v>7</v>
      </c>
      <c r="AN54" t="s">
        <v>144</v>
      </c>
    </row>
    <row r="55" spans="1:40" x14ac:dyDescent="0.25">
      <c r="A55" s="1" t="s">
        <v>145</v>
      </c>
      <c r="B55" s="1" t="s">
        <v>50</v>
      </c>
      <c r="C55" s="1">
        <v>5</v>
      </c>
      <c r="D55" s="1">
        <v>24</v>
      </c>
      <c r="E55" s="1">
        <v>13</v>
      </c>
      <c r="F55" s="1">
        <v>11</v>
      </c>
      <c r="G55" s="7">
        <v>0.4</v>
      </c>
      <c r="H55" s="1">
        <v>40</v>
      </c>
      <c r="I55" s="13" t="s">
        <v>90</v>
      </c>
      <c r="J55" s="1"/>
      <c r="K55" s="1">
        <v>32</v>
      </c>
      <c r="L55" s="1">
        <f t="shared" si="15"/>
        <v>-19</v>
      </c>
      <c r="M55" s="1"/>
      <c r="N55" s="1"/>
      <c r="O55" s="1">
        <v>40</v>
      </c>
      <c r="P55" s="1">
        <v>0</v>
      </c>
      <c r="Q55" s="1"/>
      <c r="R55" s="1">
        <v>20</v>
      </c>
      <c r="S55" s="1"/>
      <c r="T55" s="1"/>
      <c r="U55" s="1">
        <f t="shared" si="16"/>
        <v>2.6</v>
      </c>
      <c r="V55" s="5">
        <v>20</v>
      </c>
      <c r="W55" s="5">
        <f t="shared" si="19"/>
        <v>20</v>
      </c>
      <c r="X55" s="5"/>
      <c r="Y55" s="21"/>
      <c r="Z55" s="1">
        <f t="shared" si="10"/>
        <v>35</v>
      </c>
      <c r="AA55" s="1">
        <f t="shared" si="17"/>
        <v>27.307692307692307</v>
      </c>
      <c r="AB55" s="1">
        <v>2.4</v>
      </c>
      <c r="AC55" s="1">
        <v>5.6</v>
      </c>
      <c r="AD55" s="1">
        <v>7.2</v>
      </c>
      <c r="AE55" s="1">
        <v>17.2</v>
      </c>
      <c r="AF55" s="1">
        <v>18.600000000000001</v>
      </c>
      <c r="AG55" s="1">
        <v>9.4</v>
      </c>
      <c r="AH55" s="1">
        <v>6.2</v>
      </c>
      <c r="AI55" s="1">
        <v>10.199999999999999</v>
      </c>
      <c r="AJ55" s="1">
        <v>12</v>
      </c>
      <c r="AK55" s="1">
        <v>12.4</v>
      </c>
      <c r="AL55" s="1"/>
      <c r="AM55" s="1">
        <f t="shared" si="18"/>
        <v>8</v>
      </c>
      <c r="AN55" t="s">
        <v>146</v>
      </c>
    </row>
    <row r="56" spans="1:40" x14ac:dyDescent="0.25">
      <c r="A56" s="1" t="s">
        <v>147</v>
      </c>
      <c r="B56" s="1" t="s">
        <v>40</v>
      </c>
      <c r="C56" s="1">
        <v>81.643000000000001</v>
      </c>
      <c r="D56" s="1">
        <v>79.790999999999997</v>
      </c>
      <c r="E56" s="1">
        <v>56.203000000000003</v>
      </c>
      <c r="F56" s="1">
        <v>82.049000000000007</v>
      </c>
      <c r="G56" s="7">
        <v>1</v>
      </c>
      <c r="H56" s="1">
        <v>50</v>
      </c>
      <c r="I56" s="1" t="s">
        <v>41</v>
      </c>
      <c r="J56" s="1"/>
      <c r="K56" s="1">
        <v>65</v>
      </c>
      <c r="L56" s="1">
        <f t="shared" si="15"/>
        <v>-8.796999999999997</v>
      </c>
      <c r="M56" s="1"/>
      <c r="N56" s="1"/>
      <c r="O56" s="1">
        <v>24.558800000000019</v>
      </c>
      <c r="P56" s="1">
        <v>0</v>
      </c>
      <c r="Q56" s="1"/>
      <c r="R56" s="1">
        <v>0</v>
      </c>
      <c r="S56" s="1"/>
      <c r="T56" s="1"/>
      <c r="U56" s="1">
        <f t="shared" si="16"/>
        <v>11.240600000000001</v>
      </c>
      <c r="V56" s="5">
        <f>12*U56-R56-Q56-P56-O56-F56</f>
        <v>28.279399999999981</v>
      </c>
      <c r="W56" s="5">
        <f t="shared" si="19"/>
        <v>28.279399999999981</v>
      </c>
      <c r="X56" s="5"/>
      <c r="Y56" s="21"/>
      <c r="Z56" s="1">
        <f t="shared" si="10"/>
        <v>12</v>
      </c>
      <c r="AA56" s="1">
        <f t="shared" si="17"/>
        <v>9.4841734426987898</v>
      </c>
      <c r="AB56" s="1">
        <v>10.952</v>
      </c>
      <c r="AC56" s="1">
        <v>10.156599999999999</v>
      </c>
      <c r="AD56" s="1">
        <v>6.9614000000000003</v>
      </c>
      <c r="AE56" s="1">
        <v>12.7996</v>
      </c>
      <c r="AF56" s="1">
        <v>15.9956</v>
      </c>
      <c r="AG56" s="1">
        <v>14.400600000000001</v>
      </c>
      <c r="AH56" s="1">
        <v>10.9184</v>
      </c>
      <c r="AI56" s="1">
        <v>9.3290000000000006</v>
      </c>
      <c r="AJ56" s="1">
        <v>14.9518</v>
      </c>
      <c r="AK56" s="1">
        <v>16.250800000000002</v>
      </c>
      <c r="AL56" s="1"/>
      <c r="AM56" s="1">
        <f t="shared" si="18"/>
        <v>28</v>
      </c>
      <c r="AN56" t="s">
        <v>148</v>
      </c>
    </row>
    <row r="57" spans="1:40" x14ac:dyDescent="0.25">
      <c r="A57" s="1" t="s">
        <v>149</v>
      </c>
      <c r="B57" s="1" t="s">
        <v>50</v>
      </c>
      <c r="C57" s="1">
        <v>81</v>
      </c>
      <c r="D57" s="1">
        <v>21</v>
      </c>
      <c r="E57" s="1">
        <v>28</v>
      </c>
      <c r="F57" s="1">
        <v>74</v>
      </c>
      <c r="G57" s="7">
        <v>0.1</v>
      </c>
      <c r="H57" s="1">
        <v>731</v>
      </c>
      <c r="I57" s="1" t="s">
        <v>41</v>
      </c>
      <c r="J57" s="1"/>
      <c r="K57" s="1">
        <v>28</v>
      </c>
      <c r="L57" s="1">
        <f t="shared" si="15"/>
        <v>0</v>
      </c>
      <c r="M57" s="1"/>
      <c r="N57" s="1"/>
      <c r="O57" s="1">
        <v>208.4</v>
      </c>
      <c r="P57" s="1">
        <v>0</v>
      </c>
      <c r="Q57" s="1"/>
      <c r="R57" s="1">
        <v>0</v>
      </c>
      <c r="S57" s="1"/>
      <c r="T57" s="1"/>
      <c r="U57" s="1">
        <f t="shared" si="16"/>
        <v>5.6</v>
      </c>
      <c r="V57" s="5"/>
      <c r="W57" s="5">
        <f t="shared" si="19"/>
        <v>0</v>
      </c>
      <c r="X57" s="5"/>
      <c r="Y57" s="21"/>
      <c r="Z57" s="1">
        <f t="shared" si="10"/>
        <v>50.428571428571431</v>
      </c>
      <c r="AA57" s="1">
        <f t="shared" si="17"/>
        <v>50.428571428571431</v>
      </c>
      <c r="AB57" s="1">
        <v>9</v>
      </c>
      <c r="AC57" s="1">
        <v>20</v>
      </c>
      <c r="AD57" s="1">
        <v>18.8</v>
      </c>
      <c r="AE57" s="1">
        <v>13.8</v>
      </c>
      <c r="AF57" s="1">
        <v>10.4</v>
      </c>
      <c r="AG57" s="1">
        <v>7.8</v>
      </c>
      <c r="AH57" s="1">
        <v>11</v>
      </c>
      <c r="AI57" s="1">
        <v>13.6</v>
      </c>
      <c r="AJ57" s="1">
        <v>13.2</v>
      </c>
      <c r="AK57" s="1">
        <v>11.6</v>
      </c>
      <c r="AL57" s="12" t="s">
        <v>66</v>
      </c>
      <c r="AM57" s="1">
        <f t="shared" si="18"/>
        <v>0</v>
      </c>
      <c r="AN57" t="s">
        <v>150</v>
      </c>
    </row>
    <row r="58" spans="1:40" x14ac:dyDescent="0.25">
      <c r="A58" s="1" t="s">
        <v>151</v>
      </c>
      <c r="B58" s="1" t="s">
        <v>40</v>
      </c>
      <c r="C58" s="1">
        <v>267.59699999999998</v>
      </c>
      <c r="D58" s="1">
        <v>23.256</v>
      </c>
      <c r="E58" s="1">
        <v>159.56200000000001</v>
      </c>
      <c r="F58" s="1">
        <v>87.093999999999994</v>
      </c>
      <c r="G58" s="7">
        <v>1</v>
      </c>
      <c r="H58" s="1">
        <v>50</v>
      </c>
      <c r="I58" s="1" t="s">
        <v>41</v>
      </c>
      <c r="J58" s="1"/>
      <c r="K58" s="1">
        <v>147.19999999999999</v>
      </c>
      <c r="L58" s="1">
        <f t="shared" si="15"/>
        <v>12.362000000000023</v>
      </c>
      <c r="M58" s="1"/>
      <c r="N58" s="1"/>
      <c r="O58" s="1"/>
      <c r="P58" s="1"/>
      <c r="Q58" s="1"/>
      <c r="R58" s="1">
        <v>45.538200000000018</v>
      </c>
      <c r="S58" s="1"/>
      <c r="T58" s="1"/>
      <c r="U58" s="1">
        <f t="shared" si="16"/>
        <v>31.912400000000002</v>
      </c>
      <c r="V58" s="5">
        <f>11*U58-R58-Q58-P58-O58-F58</f>
        <v>218.4042</v>
      </c>
      <c r="W58" s="5">
        <f>V58+$W$1*U58</f>
        <v>197.342016</v>
      </c>
      <c r="X58" s="5"/>
      <c r="Y58" s="21"/>
      <c r="Z58" s="1">
        <f t="shared" si="10"/>
        <v>10.34</v>
      </c>
      <c r="AA58" s="1">
        <f t="shared" si="17"/>
        <v>4.1561336659104295</v>
      </c>
      <c r="AB58" s="1">
        <v>21.061199999999999</v>
      </c>
      <c r="AC58" s="1">
        <v>16.559200000000001</v>
      </c>
      <c r="AD58" s="1">
        <v>14.959199999999999</v>
      </c>
      <c r="AE58" s="1">
        <v>24.415600000000001</v>
      </c>
      <c r="AF58" s="1">
        <v>28.695599999999999</v>
      </c>
      <c r="AG58" s="1">
        <v>35.496600000000001</v>
      </c>
      <c r="AH58" s="1">
        <v>35.494799999999998</v>
      </c>
      <c r="AI58" s="1">
        <v>30.4786</v>
      </c>
      <c r="AJ58" s="1">
        <v>39.569600000000001</v>
      </c>
      <c r="AK58" s="1">
        <v>35.916200000000003</v>
      </c>
      <c r="AL58" s="1"/>
      <c r="AM58" s="1">
        <f t="shared" si="18"/>
        <v>197</v>
      </c>
      <c r="AN58" t="s">
        <v>152</v>
      </c>
    </row>
    <row r="59" spans="1:40" x14ac:dyDescent="0.25">
      <c r="A59" s="1" t="s">
        <v>153</v>
      </c>
      <c r="B59" s="1" t="s">
        <v>40</v>
      </c>
      <c r="C59" s="1">
        <v>32.517000000000003</v>
      </c>
      <c r="D59" s="1">
        <v>31.405999999999999</v>
      </c>
      <c r="E59" s="1">
        <v>31.265000000000001</v>
      </c>
      <c r="F59" s="1">
        <v>23.192</v>
      </c>
      <c r="G59" s="7">
        <v>1</v>
      </c>
      <c r="H59" s="1">
        <v>55</v>
      </c>
      <c r="I59" s="1" t="s">
        <v>41</v>
      </c>
      <c r="J59" s="1"/>
      <c r="K59" s="1">
        <v>28.6</v>
      </c>
      <c r="L59" s="1">
        <f t="shared" si="15"/>
        <v>2.6649999999999991</v>
      </c>
      <c r="M59" s="1"/>
      <c r="N59" s="1"/>
      <c r="O59" s="1">
        <v>40.505199999999988</v>
      </c>
      <c r="P59" s="1">
        <v>0</v>
      </c>
      <c r="Q59" s="1"/>
      <c r="R59" s="1">
        <v>3.9236000000000111</v>
      </c>
      <c r="S59" s="1"/>
      <c r="T59" s="1"/>
      <c r="U59" s="1">
        <f t="shared" si="16"/>
        <v>6.2530000000000001</v>
      </c>
      <c r="V59" s="5">
        <f>12*U59-R59-Q59-P59-O59-F59</f>
        <v>7.4152000000000058</v>
      </c>
      <c r="W59" s="5">
        <f>V59</f>
        <v>7.4152000000000058</v>
      </c>
      <c r="X59" s="5"/>
      <c r="Y59" s="21"/>
      <c r="Z59" s="1">
        <f t="shared" si="10"/>
        <v>12</v>
      </c>
      <c r="AA59" s="1">
        <f t="shared" si="17"/>
        <v>10.814137214137215</v>
      </c>
      <c r="AB59" s="1">
        <v>6.7727999999999993</v>
      </c>
      <c r="AC59" s="1">
        <v>5.6981999999999999</v>
      </c>
      <c r="AD59" s="1">
        <v>4.8959999999999999</v>
      </c>
      <c r="AE59" s="1">
        <v>5.1875999999999998</v>
      </c>
      <c r="AF59" s="1">
        <v>7.9328000000000003</v>
      </c>
      <c r="AG59" s="1">
        <v>9.3141999999999996</v>
      </c>
      <c r="AH59" s="1">
        <v>6.2875999999999994</v>
      </c>
      <c r="AI59" s="1">
        <v>7.8018000000000001</v>
      </c>
      <c r="AJ59" s="1">
        <v>9.2653999999999996</v>
      </c>
      <c r="AK59" s="1">
        <v>6.8365999999999998</v>
      </c>
      <c r="AL59" s="1"/>
      <c r="AM59" s="1">
        <f t="shared" si="18"/>
        <v>7</v>
      </c>
      <c r="AN59" t="s">
        <v>154</v>
      </c>
    </row>
    <row r="60" spans="1:40" x14ac:dyDescent="0.25">
      <c r="A60" s="1" t="s">
        <v>155</v>
      </c>
      <c r="B60" s="1" t="s">
        <v>50</v>
      </c>
      <c r="C60" s="1">
        <v>2</v>
      </c>
      <c r="D60" s="1">
        <v>181</v>
      </c>
      <c r="E60" s="1">
        <v>51</v>
      </c>
      <c r="F60" s="1">
        <v>135</v>
      </c>
      <c r="G60" s="7">
        <v>0.1</v>
      </c>
      <c r="H60" s="1">
        <v>731</v>
      </c>
      <c r="I60" s="1" t="s">
        <v>41</v>
      </c>
      <c r="J60" s="1"/>
      <c r="K60" s="1">
        <v>48</v>
      </c>
      <c r="L60" s="1">
        <f t="shared" si="15"/>
        <v>3</v>
      </c>
      <c r="M60" s="1"/>
      <c r="N60" s="1"/>
      <c r="O60" s="1">
        <v>72.799999999999969</v>
      </c>
      <c r="P60" s="1">
        <v>0</v>
      </c>
      <c r="Q60" s="1"/>
      <c r="R60" s="1">
        <v>0</v>
      </c>
      <c r="S60" s="1"/>
      <c r="T60" s="1"/>
      <c r="U60" s="1">
        <f t="shared" si="16"/>
        <v>10.199999999999999</v>
      </c>
      <c r="V60" s="5"/>
      <c r="W60" s="5">
        <f>V60</f>
        <v>0</v>
      </c>
      <c r="X60" s="5"/>
      <c r="Y60" s="21"/>
      <c r="Z60" s="1">
        <f t="shared" si="10"/>
        <v>20.372549019607842</v>
      </c>
      <c r="AA60" s="1">
        <f t="shared" si="17"/>
        <v>20.372549019607842</v>
      </c>
      <c r="AB60" s="1">
        <v>8.1999999999999993</v>
      </c>
      <c r="AC60" s="1">
        <v>17.2</v>
      </c>
      <c r="AD60" s="1">
        <v>17.8</v>
      </c>
      <c r="AE60" s="1">
        <v>18.600000000000001</v>
      </c>
      <c r="AF60" s="1">
        <v>16.8</v>
      </c>
      <c r="AG60" s="1">
        <v>10.8</v>
      </c>
      <c r="AH60" s="1">
        <v>12.8</v>
      </c>
      <c r="AI60" s="1">
        <v>10.199999999999999</v>
      </c>
      <c r="AJ60" s="1">
        <v>12.6</v>
      </c>
      <c r="AK60" s="1">
        <v>14.6</v>
      </c>
      <c r="AL60" s="1"/>
      <c r="AM60" s="1">
        <f t="shared" si="18"/>
        <v>0</v>
      </c>
      <c r="AN60" t="s">
        <v>156</v>
      </c>
    </row>
    <row r="61" spans="1:40" x14ac:dyDescent="0.25">
      <c r="A61" s="1" t="s">
        <v>157</v>
      </c>
      <c r="B61" s="1" t="s">
        <v>50</v>
      </c>
      <c r="C61" s="1">
        <v>-1</v>
      </c>
      <c r="D61" s="1">
        <v>34</v>
      </c>
      <c r="E61" s="1">
        <v>10</v>
      </c>
      <c r="F61" s="1">
        <v>23</v>
      </c>
      <c r="G61" s="7">
        <v>0.4</v>
      </c>
      <c r="H61" s="1">
        <v>50</v>
      </c>
      <c r="I61" s="1" t="s">
        <v>41</v>
      </c>
      <c r="J61" s="1"/>
      <c r="K61" s="1">
        <v>10</v>
      </c>
      <c r="L61" s="1">
        <f t="shared" si="15"/>
        <v>0</v>
      </c>
      <c r="M61" s="1"/>
      <c r="N61" s="1"/>
      <c r="O61" s="1">
        <v>0</v>
      </c>
      <c r="P61" s="1"/>
      <c r="Q61" s="1"/>
      <c r="R61" s="1">
        <v>0</v>
      </c>
      <c r="S61" s="1"/>
      <c r="T61" s="1"/>
      <c r="U61" s="1">
        <f t="shared" si="16"/>
        <v>2</v>
      </c>
      <c r="V61" s="5"/>
      <c r="W61" s="5">
        <f>V61</f>
        <v>0</v>
      </c>
      <c r="X61" s="5"/>
      <c r="Y61" s="21"/>
      <c r="Z61" s="1">
        <f t="shared" si="10"/>
        <v>11.5</v>
      </c>
      <c r="AA61" s="1">
        <f t="shared" si="17"/>
        <v>11.5</v>
      </c>
      <c r="AB61" s="1">
        <v>1.2</v>
      </c>
      <c r="AC61" s="1">
        <v>1</v>
      </c>
      <c r="AD61" s="1">
        <v>1.4</v>
      </c>
      <c r="AE61" s="1">
        <v>2.4</v>
      </c>
      <c r="AF61" s="1">
        <v>2</v>
      </c>
      <c r="AG61" s="1">
        <v>0.8</v>
      </c>
      <c r="AH61" s="1">
        <v>0.8</v>
      </c>
      <c r="AI61" s="1">
        <v>1.6</v>
      </c>
      <c r="AJ61" s="1">
        <v>3.2</v>
      </c>
      <c r="AK61" s="1">
        <v>2.4</v>
      </c>
      <c r="AL61" s="1"/>
      <c r="AM61" s="1">
        <f t="shared" si="18"/>
        <v>0</v>
      </c>
      <c r="AN61" t="s">
        <v>158</v>
      </c>
    </row>
    <row r="62" spans="1:40" x14ac:dyDescent="0.25">
      <c r="A62" s="1" t="s">
        <v>159</v>
      </c>
      <c r="B62" s="1" t="s">
        <v>40</v>
      </c>
      <c r="C62" s="1">
        <v>21.097000000000001</v>
      </c>
      <c r="D62" s="1">
        <v>107.477</v>
      </c>
      <c r="E62" s="1">
        <v>122.702</v>
      </c>
      <c r="F62" s="1">
        <v>-30.9</v>
      </c>
      <c r="G62" s="7">
        <v>1</v>
      </c>
      <c r="H62" s="1">
        <v>40</v>
      </c>
      <c r="I62" s="1" t="s">
        <v>41</v>
      </c>
      <c r="J62" s="1"/>
      <c r="K62" s="1">
        <v>120.4</v>
      </c>
      <c r="L62" s="1">
        <f t="shared" si="15"/>
        <v>2.3019999999999925</v>
      </c>
      <c r="M62" s="1"/>
      <c r="N62" s="1"/>
      <c r="O62" s="1">
        <v>212.97239999999999</v>
      </c>
      <c r="P62" s="1">
        <v>0</v>
      </c>
      <c r="Q62" s="1"/>
      <c r="R62" s="1">
        <v>208.2353</v>
      </c>
      <c r="S62" s="1">
        <v>-211</v>
      </c>
      <c r="T62" s="1"/>
      <c r="U62" s="1">
        <f t="shared" si="16"/>
        <v>24.540399999999998</v>
      </c>
      <c r="V62" s="5"/>
      <c r="W62" s="5">
        <f>V62</f>
        <v>0</v>
      </c>
      <c r="X62" s="5"/>
      <c r="Y62" s="21"/>
      <c r="Z62" s="1">
        <f t="shared" si="10"/>
        <v>15.904700004889895</v>
      </c>
      <c r="AA62" s="1">
        <f t="shared" si="17"/>
        <v>15.904700004889895</v>
      </c>
      <c r="AB62" s="1">
        <v>38.078800000000001</v>
      </c>
      <c r="AC62" s="1">
        <v>18.853999999999999</v>
      </c>
      <c r="AD62" s="1">
        <v>16.659800000000001</v>
      </c>
      <c r="AE62" s="1">
        <v>14.296200000000001</v>
      </c>
      <c r="AF62" s="1">
        <v>17.922999999999998</v>
      </c>
      <c r="AG62" s="1">
        <v>17.2974</v>
      </c>
      <c r="AH62" s="1">
        <v>4.2414000000000014</v>
      </c>
      <c r="AI62" s="1">
        <v>8.469199999999999</v>
      </c>
      <c r="AJ62" s="1">
        <v>20.630199999999999</v>
      </c>
      <c r="AK62" s="1">
        <v>17.4864</v>
      </c>
      <c r="AL62" s="1"/>
      <c r="AM62" s="1">
        <f t="shared" si="18"/>
        <v>0</v>
      </c>
      <c r="AN62" t="s">
        <v>160</v>
      </c>
    </row>
    <row r="63" spans="1:40" x14ac:dyDescent="0.25">
      <c r="A63" s="1" t="s">
        <v>161</v>
      </c>
      <c r="B63" s="1" t="s">
        <v>40</v>
      </c>
      <c r="C63" s="1">
        <v>-1.498</v>
      </c>
      <c r="D63" s="1">
        <v>100.468</v>
      </c>
      <c r="E63" s="1">
        <v>70.400000000000006</v>
      </c>
      <c r="F63" s="1">
        <v>-3.6920000000000002</v>
      </c>
      <c r="G63" s="7">
        <v>1</v>
      </c>
      <c r="H63" s="1">
        <v>40</v>
      </c>
      <c r="I63" s="1" t="s">
        <v>41</v>
      </c>
      <c r="J63" s="1"/>
      <c r="K63" s="1">
        <v>92.3</v>
      </c>
      <c r="L63" s="1">
        <f t="shared" si="15"/>
        <v>-21.899999999999991</v>
      </c>
      <c r="M63" s="1"/>
      <c r="N63" s="1"/>
      <c r="O63" s="1">
        <v>20.186999999999991</v>
      </c>
      <c r="P63" s="1">
        <v>0</v>
      </c>
      <c r="Q63" s="1"/>
      <c r="R63" s="1">
        <v>108.73135000000001</v>
      </c>
      <c r="S63" s="1"/>
      <c r="T63" s="1"/>
      <c r="U63" s="1">
        <f t="shared" si="16"/>
        <v>14.080000000000002</v>
      </c>
      <c r="V63" s="5">
        <f>12*U63-R63-Q63-P63-O63-F63</f>
        <v>43.73365000000004</v>
      </c>
      <c r="W63" s="5">
        <f>V63</f>
        <v>43.73365000000004</v>
      </c>
      <c r="X63" s="5"/>
      <c r="Y63" s="21"/>
      <c r="Z63" s="1">
        <f t="shared" si="10"/>
        <v>12.000000000000002</v>
      </c>
      <c r="AA63" s="1">
        <f t="shared" si="17"/>
        <v>8.8939169034090888</v>
      </c>
      <c r="AB63" s="1">
        <v>17.272600000000001</v>
      </c>
      <c r="AC63" s="1">
        <v>5.9125999999999994</v>
      </c>
      <c r="AD63" s="1">
        <v>4.6542000000000003</v>
      </c>
      <c r="AE63" s="1">
        <v>3.8302</v>
      </c>
      <c r="AF63" s="1">
        <v>5.4445999999999994</v>
      </c>
      <c r="AG63" s="1">
        <v>7.3133999999999997</v>
      </c>
      <c r="AH63" s="1">
        <v>8.4963999999999995</v>
      </c>
      <c r="AI63" s="1">
        <v>5.2677999999999994</v>
      </c>
      <c r="AJ63" s="1">
        <v>2.68</v>
      </c>
      <c r="AK63" s="1">
        <v>5.5876000000000001</v>
      </c>
      <c r="AL63" s="1" t="s">
        <v>162</v>
      </c>
      <c r="AM63" s="1">
        <f t="shared" si="18"/>
        <v>44</v>
      </c>
      <c r="AN63" t="s">
        <v>163</v>
      </c>
    </row>
    <row r="64" spans="1:40" x14ac:dyDescent="0.25">
      <c r="A64" s="1" t="s">
        <v>164</v>
      </c>
      <c r="B64" s="1" t="s">
        <v>50</v>
      </c>
      <c r="C64" s="1">
        <v>409</v>
      </c>
      <c r="D64" s="1">
        <v>971</v>
      </c>
      <c r="E64" s="1">
        <v>582</v>
      </c>
      <c r="F64" s="1">
        <v>494</v>
      </c>
      <c r="G64" s="7">
        <v>0.4</v>
      </c>
      <c r="H64" s="1">
        <v>40</v>
      </c>
      <c r="I64" s="1" t="s">
        <v>41</v>
      </c>
      <c r="J64" s="1"/>
      <c r="K64" s="1">
        <v>587</v>
      </c>
      <c r="L64" s="1">
        <f t="shared" si="15"/>
        <v>-5</v>
      </c>
      <c r="M64" s="1"/>
      <c r="N64" s="1"/>
      <c r="O64" s="1">
        <v>72.605999999999611</v>
      </c>
      <c r="P64" s="1">
        <v>0</v>
      </c>
      <c r="Q64" s="1"/>
      <c r="R64" s="1">
        <v>213.4940000000004</v>
      </c>
      <c r="S64" s="1"/>
      <c r="T64" s="1"/>
      <c r="U64" s="1">
        <f t="shared" si="16"/>
        <v>116.4</v>
      </c>
      <c r="V64" s="5">
        <f>12*U64-R64-Q64-P64-O64-F64</f>
        <v>616.70000000000027</v>
      </c>
      <c r="W64" s="5">
        <f>V64+$W$1*U64</f>
        <v>539.8760000000002</v>
      </c>
      <c r="X64" s="5"/>
      <c r="Y64" s="21"/>
      <c r="Z64" s="1">
        <f t="shared" si="10"/>
        <v>11.34</v>
      </c>
      <c r="AA64" s="1">
        <f t="shared" si="17"/>
        <v>6.7018900343642613</v>
      </c>
      <c r="AB64" s="1">
        <v>96.4</v>
      </c>
      <c r="AC64" s="1">
        <v>76.2</v>
      </c>
      <c r="AD64" s="1">
        <v>89.8</v>
      </c>
      <c r="AE64" s="1">
        <v>109.4</v>
      </c>
      <c r="AF64" s="1">
        <v>105.6</v>
      </c>
      <c r="AG64" s="1">
        <v>92.6</v>
      </c>
      <c r="AH64" s="1">
        <v>65.8</v>
      </c>
      <c r="AI64" s="1">
        <v>9.1999999999999993</v>
      </c>
      <c r="AJ64" s="1">
        <v>52.6</v>
      </c>
      <c r="AK64" s="1">
        <v>111.4</v>
      </c>
      <c r="AL64" s="1"/>
      <c r="AM64" s="1">
        <f t="shared" si="18"/>
        <v>216</v>
      </c>
      <c r="AN64" t="s">
        <v>165</v>
      </c>
    </row>
    <row r="65" spans="1:40" x14ac:dyDescent="0.25">
      <c r="A65" s="1" t="s">
        <v>166</v>
      </c>
      <c r="B65" s="1" t="s">
        <v>50</v>
      </c>
      <c r="C65" s="1">
        <v>363</v>
      </c>
      <c r="D65" s="1">
        <v>103</v>
      </c>
      <c r="E65" s="1">
        <v>343</v>
      </c>
      <c r="F65" s="1">
        <v>30</v>
      </c>
      <c r="G65" s="7">
        <v>0.4</v>
      </c>
      <c r="H65" s="1">
        <v>40</v>
      </c>
      <c r="I65" s="13" t="s">
        <v>90</v>
      </c>
      <c r="J65" s="1"/>
      <c r="K65" s="1">
        <v>358</v>
      </c>
      <c r="L65" s="1">
        <f t="shared" si="15"/>
        <v>-15</v>
      </c>
      <c r="M65" s="1"/>
      <c r="N65" s="1"/>
      <c r="O65" s="1">
        <v>120</v>
      </c>
      <c r="P65" s="1">
        <v>0</v>
      </c>
      <c r="Q65" s="1"/>
      <c r="R65" s="1">
        <v>99.75</v>
      </c>
      <c r="S65" s="1"/>
      <c r="T65" s="1"/>
      <c r="U65" s="1">
        <f t="shared" si="16"/>
        <v>68.599999999999994</v>
      </c>
      <c r="V65" s="5">
        <v>300</v>
      </c>
      <c r="W65" s="5">
        <f>V65</f>
        <v>300</v>
      </c>
      <c r="X65" s="5"/>
      <c r="Y65" s="21"/>
      <c r="Z65" s="1">
        <f t="shared" si="10"/>
        <v>8.0138483965014586</v>
      </c>
      <c r="AA65" s="1">
        <f t="shared" si="17"/>
        <v>3.6406705539358604</v>
      </c>
      <c r="AB65" s="1">
        <v>67</v>
      </c>
      <c r="AC65" s="1">
        <v>23</v>
      </c>
      <c r="AD65" s="1">
        <v>6</v>
      </c>
      <c r="AE65" s="1">
        <v>53.4</v>
      </c>
      <c r="AF65" s="1">
        <v>72</v>
      </c>
      <c r="AG65" s="1">
        <v>66.2</v>
      </c>
      <c r="AH65" s="1">
        <v>60.8</v>
      </c>
      <c r="AI65" s="1">
        <v>62.2</v>
      </c>
      <c r="AJ65" s="1">
        <v>77.400000000000006</v>
      </c>
      <c r="AK65" s="1">
        <v>76.8</v>
      </c>
      <c r="AL65" s="1"/>
      <c r="AM65" s="1">
        <f t="shared" si="18"/>
        <v>120</v>
      </c>
      <c r="AN65" t="s">
        <v>167</v>
      </c>
    </row>
    <row r="66" spans="1:40" x14ac:dyDescent="0.25">
      <c r="A66" s="1" t="s">
        <v>168</v>
      </c>
      <c r="B66" s="1" t="s">
        <v>40</v>
      </c>
      <c r="C66" s="1">
        <v>89.388000000000005</v>
      </c>
      <c r="D66" s="1">
        <v>230.34899999999999</v>
      </c>
      <c r="E66" s="1">
        <v>126.965</v>
      </c>
      <c r="F66" s="1">
        <v>163.16200000000001</v>
      </c>
      <c r="G66" s="7">
        <v>1</v>
      </c>
      <c r="H66" s="1">
        <v>40</v>
      </c>
      <c r="I66" s="1" t="s">
        <v>41</v>
      </c>
      <c r="J66" s="1"/>
      <c r="K66" s="1">
        <v>126.4</v>
      </c>
      <c r="L66" s="1">
        <f t="shared" si="15"/>
        <v>0.56499999999999773</v>
      </c>
      <c r="M66" s="1"/>
      <c r="N66" s="1"/>
      <c r="O66" s="1">
        <v>0</v>
      </c>
      <c r="P66" s="1"/>
      <c r="Q66" s="1"/>
      <c r="R66" s="1">
        <v>0</v>
      </c>
      <c r="S66" s="1"/>
      <c r="T66" s="1"/>
      <c r="U66" s="1">
        <f t="shared" si="16"/>
        <v>25.393000000000001</v>
      </c>
      <c r="V66" s="5">
        <f>12*U66-R66-Q66-P66-O66-F66</f>
        <v>141.554</v>
      </c>
      <c r="W66" s="5">
        <f>V66+$W$1*U66</f>
        <v>124.79462000000001</v>
      </c>
      <c r="X66" s="5"/>
      <c r="Y66" s="21"/>
      <c r="Z66" s="1">
        <f t="shared" si="10"/>
        <v>11.340000000000002</v>
      </c>
      <c r="AA66" s="1">
        <f t="shared" si="17"/>
        <v>6.4254715866577401</v>
      </c>
      <c r="AB66" s="1">
        <v>20.536000000000001</v>
      </c>
      <c r="AC66" s="1">
        <v>16.688199999999998</v>
      </c>
      <c r="AD66" s="1">
        <v>22.345800000000001</v>
      </c>
      <c r="AE66" s="1">
        <v>30.636800000000001</v>
      </c>
      <c r="AF66" s="1">
        <v>29.345600000000001</v>
      </c>
      <c r="AG66" s="1">
        <v>27.9176</v>
      </c>
      <c r="AH66" s="1">
        <v>32.401799999999987</v>
      </c>
      <c r="AI66" s="1">
        <v>36.8142</v>
      </c>
      <c r="AJ66" s="1">
        <v>33.589199999999998</v>
      </c>
      <c r="AK66" s="1">
        <v>33.845399999999998</v>
      </c>
      <c r="AL66" s="1"/>
      <c r="AM66" s="1">
        <f t="shared" si="18"/>
        <v>125</v>
      </c>
      <c r="AN66" t="s">
        <v>169</v>
      </c>
    </row>
    <row r="67" spans="1:40" x14ac:dyDescent="0.25">
      <c r="A67" s="1" t="s">
        <v>170</v>
      </c>
      <c r="B67" s="1" t="s">
        <v>40</v>
      </c>
      <c r="C67" s="1">
        <v>205.41800000000001</v>
      </c>
      <c r="D67" s="1">
        <v>86.944000000000003</v>
      </c>
      <c r="E67" s="1">
        <v>140.64500000000001</v>
      </c>
      <c r="F67" s="1">
        <v>152.59700000000001</v>
      </c>
      <c r="G67" s="7">
        <v>1</v>
      </c>
      <c r="H67" s="1">
        <v>40</v>
      </c>
      <c r="I67" s="1" t="s">
        <v>41</v>
      </c>
      <c r="J67" s="1"/>
      <c r="K67" s="1">
        <v>124.21</v>
      </c>
      <c r="L67" s="1">
        <f t="shared" si="15"/>
        <v>16.435000000000016</v>
      </c>
      <c r="M67" s="1"/>
      <c r="N67" s="1"/>
      <c r="O67" s="1">
        <v>12.459599999999989</v>
      </c>
      <c r="P67" s="1">
        <v>-16.2</v>
      </c>
      <c r="Q67" s="1"/>
      <c r="R67" s="1">
        <v>20</v>
      </c>
      <c r="S67" s="1">
        <v>-22</v>
      </c>
      <c r="T67" s="1"/>
      <c r="U67" s="1">
        <f t="shared" si="16"/>
        <v>28.129000000000001</v>
      </c>
      <c r="V67" s="5">
        <f>12*U67-R67-Q67-P67-O67-F67</f>
        <v>168.69140000000002</v>
      </c>
      <c r="W67" s="5">
        <f>V67+$W$1*U67</f>
        <v>150.12626</v>
      </c>
      <c r="X67" s="5"/>
      <c r="Y67" s="21"/>
      <c r="Z67" s="1">
        <f t="shared" si="10"/>
        <v>11.34</v>
      </c>
      <c r="AA67" s="1">
        <f t="shared" si="17"/>
        <v>6.0029364712574216</v>
      </c>
      <c r="AB67" s="1">
        <v>21.1816</v>
      </c>
      <c r="AC67" s="1">
        <v>16.5672</v>
      </c>
      <c r="AD67" s="1">
        <v>20.6828</v>
      </c>
      <c r="AE67" s="1">
        <v>25.505199999999999</v>
      </c>
      <c r="AF67" s="1">
        <v>30.630400000000002</v>
      </c>
      <c r="AG67" s="1">
        <v>35.2286</v>
      </c>
      <c r="AH67" s="1">
        <v>27.577400000000001</v>
      </c>
      <c r="AI67" s="1">
        <v>23.778400000000001</v>
      </c>
      <c r="AJ67" s="1">
        <v>29.741199999999999</v>
      </c>
      <c r="AK67" s="1">
        <v>31.115600000000001</v>
      </c>
      <c r="AL67" s="1"/>
      <c r="AM67" s="1">
        <f t="shared" si="18"/>
        <v>150</v>
      </c>
      <c r="AN67" t="s">
        <v>171</v>
      </c>
    </row>
    <row r="68" spans="1:40" x14ac:dyDescent="0.25">
      <c r="A68" s="1" t="s">
        <v>172</v>
      </c>
      <c r="B68" s="1" t="s">
        <v>40</v>
      </c>
      <c r="C68" s="1">
        <v>401.28300000000002</v>
      </c>
      <c r="D68" s="1">
        <v>250.62100000000001</v>
      </c>
      <c r="E68" s="1">
        <v>560.14</v>
      </c>
      <c r="F68" s="1">
        <v>11.715999999999999</v>
      </c>
      <c r="G68" s="7">
        <v>1</v>
      </c>
      <c r="H68" s="1">
        <v>40</v>
      </c>
      <c r="I68" s="1" t="s">
        <v>41</v>
      </c>
      <c r="J68" s="1"/>
      <c r="K68" s="1">
        <v>608.20000000000005</v>
      </c>
      <c r="L68" s="1">
        <f t="shared" si="15"/>
        <v>-48.060000000000059</v>
      </c>
      <c r="M68" s="1"/>
      <c r="N68" s="1"/>
      <c r="O68" s="1">
        <v>232.88574199999979</v>
      </c>
      <c r="P68" s="1">
        <v>0</v>
      </c>
      <c r="Q68" s="1"/>
      <c r="R68" s="1">
        <v>607.74045800000022</v>
      </c>
      <c r="S68" s="1">
        <v>-385</v>
      </c>
      <c r="T68" s="1"/>
      <c r="U68" s="1">
        <f t="shared" si="16"/>
        <v>112.02799999999999</v>
      </c>
      <c r="V68" s="5">
        <f>12*U68-R68-Q68-P68-O68-F68</f>
        <v>491.99379999999974</v>
      </c>
      <c r="W68" s="5">
        <f>V68+$W$1*U68</f>
        <v>418.05531999999971</v>
      </c>
      <c r="X68" s="5"/>
      <c r="Y68" s="21"/>
      <c r="Z68" s="1">
        <f t="shared" si="10"/>
        <v>11.339999999999998</v>
      </c>
      <c r="AA68" s="1">
        <f t="shared" si="17"/>
        <v>7.608296140250653</v>
      </c>
      <c r="AB68" s="1">
        <v>120.03919999999999</v>
      </c>
      <c r="AC68" s="1">
        <v>49.153199999999998</v>
      </c>
      <c r="AD68" s="1">
        <v>53.758000000000003</v>
      </c>
      <c r="AE68" s="1">
        <v>60.426599999999993</v>
      </c>
      <c r="AF68" s="1">
        <v>71.873000000000005</v>
      </c>
      <c r="AG68" s="1">
        <v>68.0488</v>
      </c>
      <c r="AH68" s="1">
        <v>44.416800000000002</v>
      </c>
      <c r="AI68" s="1">
        <v>80.647599999999997</v>
      </c>
      <c r="AJ68" s="1">
        <v>104.0168</v>
      </c>
      <c r="AK68" s="1">
        <v>79.371600000000001</v>
      </c>
      <c r="AL68" s="1"/>
      <c r="AM68" s="1">
        <f t="shared" si="18"/>
        <v>418</v>
      </c>
      <c r="AN68" t="s">
        <v>173</v>
      </c>
    </row>
    <row r="69" spans="1:40" x14ac:dyDescent="0.25">
      <c r="A69" s="1" t="s">
        <v>174</v>
      </c>
      <c r="B69" s="1" t="s">
        <v>40</v>
      </c>
      <c r="C69" s="1">
        <v>325.221</v>
      </c>
      <c r="D69" s="1">
        <v>4.6100000000000003</v>
      </c>
      <c r="E69" s="1">
        <v>172.79400000000001</v>
      </c>
      <c r="F69" s="1">
        <v>119.944</v>
      </c>
      <c r="G69" s="7">
        <v>1</v>
      </c>
      <c r="H69" s="1">
        <v>40</v>
      </c>
      <c r="I69" s="1" t="s">
        <v>41</v>
      </c>
      <c r="J69" s="1"/>
      <c r="K69" s="1">
        <v>158.19999999999999</v>
      </c>
      <c r="L69" s="1">
        <f t="shared" si="15"/>
        <v>14.594000000000023</v>
      </c>
      <c r="M69" s="1"/>
      <c r="N69" s="1"/>
      <c r="O69" s="1">
        <v>36.567</v>
      </c>
      <c r="P69" s="1">
        <v>0</v>
      </c>
      <c r="Q69" s="1"/>
      <c r="R69" s="1">
        <v>40.71999999999997</v>
      </c>
      <c r="S69" s="1"/>
      <c r="T69" s="1"/>
      <c r="U69" s="1">
        <f t="shared" si="16"/>
        <v>34.558800000000005</v>
      </c>
      <c r="V69" s="5">
        <f>12*U69-R69-Q69-P69-O69-F69</f>
        <v>217.47460000000007</v>
      </c>
      <c r="W69" s="5">
        <f>V69+$W$1*U69</f>
        <v>194.66579200000007</v>
      </c>
      <c r="X69" s="5"/>
      <c r="Y69" s="21"/>
      <c r="Z69" s="1">
        <f t="shared" si="10"/>
        <v>11.339999999999998</v>
      </c>
      <c r="AA69" s="1">
        <f t="shared" si="17"/>
        <v>5.7071136729284566</v>
      </c>
      <c r="AB69" s="1">
        <v>25.469000000000001</v>
      </c>
      <c r="AC69" s="1">
        <v>24.119199999999999</v>
      </c>
      <c r="AD69" s="1">
        <v>27.015599999999999</v>
      </c>
      <c r="AE69" s="1">
        <v>23.341799999999999</v>
      </c>
      <c r="AF69" s="1">
        <v>16.409400000000002</v>
      </c>
      <c r="AG69" s="1">
        <v>37.777799999999999</v>
      </c>
      <c r="AH69" s="1">
        <v>58.898200000000003</v>
      </c>
      <c r="AI69" s="1">
        <v>45.1404</v>
      </c>
      <c r="AJ69" s="1">
        <v>32.860199999999999</v>
      </c>
      <c r="AK69" s="1">
        <v>31.357600000000001</v>
      </c>
      <c r="AL69" s="1"/>
      <c r="AM69" s="1">
        <f t="shared" si="18"/>
        <v>195</v>
      </c>
      <c r="AN69" t="s">
        <v>175</v>
      </c>
    </row>
    <row r="70" spans="1:40" x14ac:dyDescent="0.25">
      <c r="A70" s="9" t="s">
        <v>176</v>
      </c>
      <c r="B70" s="9" t="s">
        <v>50</v>
      </c>
      <c r="C70" s="9"/>
      <c r="D70" s="9"/>
      <c r="E70" s="9"/>
      <c r="F70" s="9"/>
      <c r="G70" s="10">
        <v>0</v>
      </c>
      <c r="H70" s="9"/>
      <c r="I70" s="9" t="s">
        <v>41</v>
      </c>
      <c r="J70" s="9"/>
      <c r="K70" s="9"/>
      <c r="L70" s="9">
        <f t="shared" ref="L70:L101" si="20">E70-K70</f>
        <v>0</v>
      </c>
      <c r="M70" s="9"/>
      <c r="N70" s="9"/>
      <c r="O70" s="9">
        <v>0</v>
      </c>
      <c r="P70" s="9"/>
      <c r="Q70" s="9"/>
      <c r="R70" s="9">
        <v>0</v>
      </c>
      <c r="S70" s="9"/>
      <c r="T70" s="9"/>
      <c r="U70" s="9">
        <f t="shared" ref="U70:U101" si="21">E70/5</f>
        <v>0</v>
      </c>
      <c r="V70" s="11"/>
      <c r="W70" s="5">
        <f>V70</f>
        <v>0</v>
      </c>
      <c r="X70" s="5"/>
      <c r="Y70" s="21"/>
      <c r="Z70" s="1" t="e">
        <f t="shared" si="10"/>
        <v>#DIV/0!</v>
      </c>
      <c r="AA70" s="9" t="e">
        <f t="shared" ref="AA70:AA101" si="22">(F70+O70+P70+Q70+R70)/U70</f>
        <v>#DIV/0!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 t="s">
        <v>51</v>
      </c>
      <c r="AM70" s="1">
        <f t="shared" ref="AM70:AM101" si="23">ROUND(G70*W70,0)</f>
        <v>0</v>
      </c>
      <c r="AN70" t="s">
        <v>177</v>
      </c>
    </row>
    <row r="71" spans="1:40" x14ac:dyDescent="0.25">
      <c r="A71" s="1" t="s">
        <v>178</v>
      </c>
      <c r="B71" s="1" t="s">
        <v>40</v>
      </c>
      <c r="C71" s="1">
        <v>155.93199999999999</v>
      </c>
      <c r="D71" s="1">
        <v>99.262</v>
      </c>
      <c r="E71" s="1">
        <v>142.821</v>
      </c>
      <c r="F71" s="1">
        <v>37.328000000000003</v>
      </c>
      <c r="G71" s="7">
        <v>1</v>
      </c>
      <c r="H71" s="1">
        <v>30</v>
      </c>
      <c r="I71" s="1" t="s">
        <v>41</v>
      </c>
      <c r="J71" s="1"/>
      <c r="K71" s="1">
        <v>158.30000000000001</v>
      </c>
      <c r="L71" s="1">
        <f t="shared" si="20"/>
        <v>-15.479000000000013</v>
      </c>
      <c r="M71" s="1"/>
      <c r="N71" s="1"/>
      <c r="O71" s="1">
        <v>152.005</v>
      </c>
      <c r="P71" s="1">
        <v>0</v>
      </c>
      <c r="Q71" s="1"/>
      <c r="R71" s="1">
        <v>147.00985</v>
      </c>
      <c r="S71" s="1"/>
      <c r="T71" s="1"/>
      <c r="U71" s="1">
        <f t="shared" si="21"/>
        <v>28.5642</v>
      </c>
      <c r="V71" s="5">
        <f t="shared" ref="V71:V76" si="24">12*U71-R71-Q71-P71-O71-F71</f>
        <v>6.4275499999999965</v>
      </c>
      <c r="W71" s="5">
        <f>V71</f>
        <v>6.4275499999999965</v>
      </c>
      <c r="X71" s="5"/>
      <c r="Y71" s="21"/>
      <c r="Z71" s="1">
        <f t="shared" ref="Z71:Z131" si="25">(F71+O71+P71+Q71+R71+W71+T71+Y71)/U71</f>
        <v>12</v>
      </c>
      <c r="AA71" s="1">
        <f t="shared" si="22"/>
        <v>11.774978819641369</v>
      </c>
      <c r="AB71" s="1">
        <v>35.5794</v>
      </c>
      <c r="AC71" s="1">
        <v>22.786799999999999</v>
      </c>
      <c r="AD71" s="1">
        <v>21.472200000000001</v>
      </c>
      <c r="AE71" s="1">
        <v>26.0868</v>
      </c>
      <c r="AF71" s="1">
        <v>29.864999999999998</v>
      </c>
      <c r="AG71" s="1">
        <v>35.738799999999998</v>
      </c>
      <c r="AH71" s="1">
        <v>40.323999999999977</v>
      </c>
      <c r="AI71" s="1">
        <v>35.8322</v>
      </c>
      <c r="AJ71" s="1">
        <v>35.826999999999998</v>
      </c>
      <c r="AK71" s="1">
        <v>37.896599999999999</v>
      </c>
      <c r="AL71" s="1"/>
      <c r="AM71" s="1">
        <f t="shared" si="23"/>
        <v>6</v>
      </c>
      <c r="AN71" t="s">
        <v>179</v>
      </c>
    </row>
    <row r="72" spans="1:40" x14ac:dyDescent="0.25">
      <c r="A72" s="1" t="s">
        <v>180</v>
      </c>
      <c r="B72" s="1" t="s">
        <v>50</v>
      </c>
      <c r="C72" s="1">
        <v>6</v>
      </c>
      <c r="D72" s="1">
        <v>209</v>
      </c>
      <c r="E72" s="1">
        <v>114</v>
      </c>
      <c r="F72" s="1">
        <v>74</v>
      </c>
      <c r="G72" s="7">
        <v>0.6</v>
      </c>
      <c r="H72" s="1">
        <v>60</v>
      </c>
      <c r="I72" s="1" t="s">
        <v>41</v>
      </c>
      <c r="J72" s="1"/>
      <c r="K72" s="1">
        <v>127</v>
      </c>
      <c r="L72" s="1">
        <f t="shared" si="20"/>
        <v>-13</v>
      </c>
      <c r="M72" s="1"/>
      <c r="N72" s="1"/>
      <c r="O72" s="1">
        <v>42.599999999999987</v>
      </c>
      <c r="P72" s="1">
        <v>0</v>
      </c>
      <c r="Q72" s="1"/>
      <c r="R72" s="1">
        <v>0</v>
      </c>
      <c r="S72" s="1"/>
      <c r="T72" s="1"/>
      <c r="U72" s="1">
        <f t="shared" si="21"/>
        <v>22.8</v>
      </c>
      <c r="V72" s="5">
        <f t="shared" si="24"/>
        <v>157.00000000000003</v>
      </c>
      <c r="W72" s="5">
        <f>V72+$W$1*U72</f>
        <v>141.95200000000003</v>
      </c>
      <c r="X72" s="5"/>
      <c r="Y72" s="21"/>
      <c r="Z72" s="1">
        <f t="shared" si="25"/>
        <v>11.34</v>
      </c>
      <c r="AA72" s="1">
        <f t="shared" si="22"/>
        <v>5.1140350877192979</v>
      </c>
      <c r="AB72" s="1">
        <v>9.8000000000000007</v>
      </c>
      <c r="AC72" s="1">
        <v>15.2</v>
      </c>
      <c r="AD72" s="1">
        <v>27</v>
      </c>
      <c r="AE72" s="1">
        <v>26.6</v>
      </c>
      <c r="AF72" s="1">
        <v>13.2</v>
      </c>
      <c r="AG72" s="1">
        <v>11.8</v>
      </c>
      <c r="AH72" s="1">
        <v>20.399999999999999</v>
      </c>
      <c r="AI72" s="1">
        <v>20.2</v>
      </c>
      <c r="AJ72" s="1">
        <v>18.8</v>
      </c>
      <c r="AK72" s="1">
        <v>23.4</v>
      </c>
      <c r="AL72" s="1"/>
      <c r="AM72" s="1">
        <f t="shared" si="23"/>
        <v>85</v>
      </c>
      <c r="AN72" t="s">
        <v>181</v>
      </c>
    </row>
    <row r="73" spans="1:40" x14ac:dyDescent="0.25">
      <c r="A73" s="1" t="s">
        <v>182</v>
      </c>
      <c r="B73" s="1" t="s">
        <v>50</v>
      </c>
      <c r="C73" s="1">
        <v>148</v>
      </c>
      <c r="D73" s="1">
        <v>406</v>
      </c>
      <c r="E73" s="1">
        <v>194</v>
      </c>
      <c r="F73" s="1">
        <v>234</v>
      </c>
      <c r="G73" s="7">
        <v>0.6</v>
      </c>
      <c r="H73" s="1">
        <v>60</v>
      </c>
      <c r="I73" s="1" t="s">
        <v>41</v>
      </c>
      <c r="J73" s="1"/>
      <c r="K73" s="1">
        <v>186</v>
      </c>
      <c r="L73" s="1">
        <f t="shared" si="20"/>
        <v>8</v>
      </c>
      <c r="M73" s="1"/>
      <c r="N73" s="1"/>
      <c r="O73" s="1">
        <v>0</v>
      </c>
      <c r="P73" s="1"/>
      <c r="Q73" s="1"/>
      <c r="R73" s="1">
        <v>0</v>
      </c>
      <c r="S73" s="1"/>
      <c r="T73" s="1"/>
      <c r="U73" s="1">
        <f t="shared" si="21"/>
        <v>38.799999999999997</v>
      </c>
      <c r="V73" s="5">
        <f t="shared" si="24"/>
        <v>231.59999999999997</v>
      </c>
      <c r="W73" s="5">
        <f>V73+$W$1*U73</f>
        <v>205.99199999999996</v>
      </c>
      <c r="X73" s="5"/>
      <c r="Y73" s="21"/>
      <c r="Z73" s="1">
        <f t="shared" si="25"/>
        <v>11.34</v>
      </c>
      <c r="AA73" s="1">
        <f t="shared" si="22"/>
        <v>6.0309278350515472</v>
      </c>
      <c r="AB73" s="1">
        <v>27.8</v>
      </c>
      <c r="AC73" s="1">
        <v>15.2</v>
      </c>
      <c r="AD73" s="1">
        <v>26.6</v>
      </c>
      <c r="AE73" s="1">
        <v>40.799999999999997</v>
      </c>
      <c r="AF73" s="1">
        <v>41.2</v>
      </c>
      <c r="AG73" s="1">
        <v>32.6</v>
      </c>
      <c r="AH73" s="1">
        <v>37.200000000000003</v>
      </c>
      <c r="AI73" s="1">
        <v>36.200000000000003</v>
      </c>
      <c r="AJ73" s="1">
        <v>28.2</v>
      </c>
      <c r="AK73" s="1">
        <v>30.8</v>
      </c>
      <c r="AL73" s="1"/>
      <c r="AM73" s="1">
        <f t="shared" si="23"/>
        <v>124</v>
      </c>
      <c r="AN73" t="s">
        <v>183</v>
      </c>
    </row>
    <row r="74" spans="1:40" x14ac:dyDescent="0.25">
      <c r="A74" s="1" t="s">
        <v>184</v>
      </c>
      <c r="B74" s="1" t="s">
        <v>50</v>
      </c>
      <c r="C74" s="1">
        <v>91</v>
      </c>
      <c r="D74" s="1">
        <v>118</v>
      </c>
      <c r="E74" s="1">
        <v>94</v>
      </c>
      <c r="F74" s="1">
        <v>51</v>
      </c>
      <c r="G74" s="7">
        <v>0.4</v>
      </c>
      <c r="H74" s="1">
        <v>90</v>
      </c>
      <c r="I74" s="1" t="s">
        <v>41</v>
      </c>
      <c r="J74" s="1"/>
      <c r="K74" s="1">
        <v>95</v>
      </c>
      <c r="L74" s="1">
        <f t="shared" si="20"/>
        <v>-1</v>
      </c>
      <c r="M74" s="1"/>
      <c r="N74" s="1"/>
      <c r="O74" s="1">
        <v>109.4</v>
      </c>
      <c r="P74" s="1">
        <v>0</v>
      </c>
      <c r="Q74" s="1"/>
      <c r="R74" s="1">
        <v>10</v>
      </c>
      <c r="S74" s="1"/>
      <c r="T74" s="1"/>
      <c r="U74" s="1">
        <f t="shared" si="21"/>
        <v>18.8</v>
      </c>
      <c r="V74" s="5">
        <f t="shared" si="24"/>
        <v>55.200000000000017</v>
      </c>
      <c r="W74" s="5">
        <f>V74</f>
        <v>55.200000000000017</v>
      </c>
      <c r="X74" s="5"/>
      <c r="Y74" s="21"/>
      <c r="Z74" s="1">
        <f t="shared" si="25"/>
        <v>12</v>
      </c>
      <c r="AA74" s="1">
        <f t="shared" si="22"/>
        <v>9.0638297872340416</v>
      </c>
      <c r="AB74" s="1">
        <v>19.8</v>
      </c>
      <c r="AC74" s="1">
        <v>17.600000000000001</v>
      </c>
      <c r="AD74" s="1">
        <v>13.6</v>
      </c>
      <c r="AE74" s="1">
        <v>19</v>
      </c>
      <c r="AF74" s="1">
        <v>22.6</v>
      </c>
      <c r="AG74" s="1">
        <v>21.8</v>
      </c>
      <c r="AH74" s="1">
        <v>17.8</v>
      </c>
      <c r="AI74" s="1">
        <v>17.2</v>
      </c>
      <c r="AJ74" s="1">
        <v>23.2</v>
      </c>
      <c r="AK74" s="1">
        <v>27</v>
      </c>
      <c r="AL74" s="1"/>
      <c r="AM74" s="1">
        <f t="shared" si="23"/>
        <v>22</v>
      </c>
      <c r="AN74" t="s">
        <v>185</v>
      </c>
    </row>
    <row r="75" spans="1:40" x14ac:dyDescent="0.25">
      <c r="A75" s="1" t="s">
        <v>186</v>
      </c>
      <c r="B75" s="1" t="s">
        <v>50</v>
      </c>
      <c r="C75" s="1">
        <v>64</v>
      </c>
      <c r="D75" s="1">
        <v>238</v>
      </c>
      <c r="E75" s="1">
        <v>185</v>
      </c>
      <c r="F75" s="1">
        <v>49</v>
      </c>
      <c r="G75" s="7">
        <v>0.33</v>
      </c>
      <c r="H75" s="1">
        <v>60</v>
      </c>
      <c r="I75" s="1" t="s">
        <v>41</v>
      </c>
      <c r="J75" s="1"/>
      <c r="K75" s="1">
        <v>181</v>
      </c>
      <c r="L75" s="1">
        <f t="shared" si="20"/>
        <v>4</v>
      </c>
      <c r="M75" s="1"/>
      <c r="N75" s="1"/>
      <c r="O75" s="1">
        <v>264.20000000000022</v>
      </c>
      <c r="P75" s="1">
        <v>0</v>
      </c>
      <c r="Q75" s="1"/>
      <c r="R75" s="1">
        <v>13.999999999999829</v>
      </c>
      <c r="S75" s="1"/>
      <c r="T75" s="1"/>
      <c r="U75" s="1">
        <f t="shared" si="21"/>
        <v>37</v>
      </c>
      <c r="V75" s="5">
        <f t="shared" si="24"/>
        <v>116.79999999999995</v>
      </c>
      <c r="W75" s="5">
        <f>V75+$W$1*U75</f>
        <v>92.379999999999953</v>
      </c>
      <c r="X75" s="5"/>
      <c r="Y75" s="21"/>
      <c r="Z75" s="1">
        <f t="shared" si="25"/>
        <v>11.34</v>
      </c>
      <c r="AA75" s="1">
        <f t="shared" si="22"/>
        <v>8.8432432432432453</v>
      </c>
      <c r="AB75" s="1">
        <v>38.200000000000003</v>
      </c>
      <c r="AC75" s="1">
        <v>31.8</v>
      </c>
      <c r="AD75" s="1">
        <v>24.8</v>
      </c>
      <c r="AE75" s="1">
        <v>29.4</v>
      </c>
      <c r="AF75" s="1">
        <v>26.2</v>
      </c>
      <c r="AG75" s="1">
        <v>28.6</v>
      </c>
      <c r="AH75" s="1">
        <v>30.2</v>
      </c>
      <c r="AI75" s="1">
        <v>28.8</v>
      </c>
      <c r="AJ75" s="1">
        <v>29.6</v>
      </c>
      <c r="AK75" s="1">
        <v>27.4</v>
      </c>
      <c r="AL75" s="1"/>
      <c r="AM75" s="1">
        <f t="shared" si="23"/>
        <v>30</v>
      </c>
      <c r="AN75" t="s">
        <v>187</v>
      </c>
    </row>
    <row r="76" spans="1:40" x14ac:dyDescent="0.25">
      <c r="A76" s="1" t="s">
        <v>188</v>
      </c>
      <c r="B76" s="1" t="s">
        <v>50</v>
      </c>
      <c r="C76" s="1">
        <v>90</v>
      </c>
      <c r="D76" s="1">
        <v>106</v>
      </c>
      <c r="E76" s="1">
        <v>134</v>
      </c>
      <c r="F76" s="1">
        <v>26</v>
      </c>
      <c r="G76" s="7">
        <v>0.35</v>
      </c>
      <c r="H76" s="1">
        <v>90</v>
      </c>
      <c r="I76" s="1" t="s">
        <v>41</v>
      </c>
      <c r="J76" s="1"/>
      <c r="K76" s="1">
        <v>133</v>
      </c>
      <c r="L76" s="1">
        <f t="shared" si="20"/>
        <v>1</v>
      </c>
      <c r="M76" s="1"/>
      <c r="N76" s="1"/>
      <c r="O76" s="1">
        <v>291.79999999999978</v>
      </c>
      <c r="P76" s="1">
        <v>0</v>
      </c>
      <c r="Q76" s="1"/>
      <c r="R76" s="1">
        <v>0</v>
      </c>
      <c r="S76" s="1"/>
      <c r="T76" s="1"/>
      <c r="U76" s="1">
        <f t="shared" si="21"/>
        <v>26.8</v>
      </c>
      <c r="V76" s="5">
        <f t="shared" si="24"/>
        <v>3.8000000000002387</v>
      </c>
      <c r="W76" s="5">
        <f t="shared" ref="W76:W85" si="26">V76</f>
        <v>3.8000000000002387</v>
      </c>
      <c r="X76" s="5"/>
      <c r="Y76" s="21"/>
      <c r="Z76" s="1">
        <f t="shared" si="25"/>
        <v>12</v>
      </c>
      <c r="AA76" s="1">
        <f t="shared" si="22"/>
        <v>11.858208955223873</v>
      </c>
      <c r="AB76" s="1">
        <v>32.6</v>
      </c>
      <c r="AC76" s="1">
        <v>30.2</v>
      </c>
      <c r="AD76" s="1">
        <v>21.8</v>
      </c>
      <c r="AE76" s="1">
        <v>25.6</v>
      </c>
      <c r="AF76" s="1">
        <v>22</v>
      </c>
      <c r="AG76" s="1">
        <v>30.2</v>
      </c>
      <c r="AH76" s="1">
        <v>31</v>
      </c>
      <c r="AI76" s="1">
        <v>18.600000000000001</v>
      </c>
      <c r="AJ76" s="1">
        <v>26.4</v>
      </c>
      <c r="AK76" s="1">
        <v>40</v>
      </c>
      <c r="AL76" s="1"/>
      <c r="AM76" s="1">
        <f t="shared" si="23"/>
        <v>1</v>
      </c>
      <c r="AN76" t="s">
        <v>189</v>
      </c>
    </row>
    <row r="77" spans="1:40" x14ac:dyDescent="0.25">
      <c r="A77" s="9" t="s">
        <v>190</v>
      </c>
      <c r="B77" s="9" t="s">
        <v>50</v>
      </c>
      <c r="C77" s="9"/>
      <c r="D77" s="9"/>
      <c r="E77" s="9"/>
      <c r="F77" s="9"/>
      <c r="G77" s="10">
        <v>0</v>
      </c>
      <c r="H77" s="9"/>
      <c r="I77" s="9" t="s">
        <v>41</v>
      </c>
      <c r="J77" s="9"/>
      <c r="K77" s="9"/>
      <c r="L77" s="9">
        <f t="shared" si="20"/>
        <v>0</v>
      </c>
      <c r="M77" s="9"/>
      <c r="N77" s="9"/>
      <c r="O77" s="9">
        <v>0</v>
      </c>
      <c r="P77" s="9"/>
      <c r="Q77" s="9"/>
      <c r="R77" s="9">
        <v>0</v>
      </c>
      <c r="S77" s="9"/>
      <c r="T77" s="9"/>
      <c r="U77" s="9">
        <f t="shared" si="21"/>
        <v>0</v>
      </c>
      <c r="V77" s="11"/>
      <c r="W77" s="5">
        <f t="shared" si="26"/>
        <v>0</v>
      </c>
      <c r="X77" s="5"/>
      <c r="Y77" s="21"/>
      <c r="Z77" s="1" t="e">
        <f t="shared" si="25"/>
        <v>#DIV/0!</v>
      </c>
      <c r="AA77" s="9" t="e">
        <f t="shared" si="22"/>
        <v>#DIV/0!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 t="s">
        <v>51</v>
      </c>
      <c r="AM77" s="1">
        <f t="shared" si="23"/>
        <v>0</v>
      </c>
      <c r="AN77" t="s">
        <v>191</v>
      </c>
    </row>
    <row r="78" spans="1:40" x14ac:dyDescent="0.25">
      <c r="A78" s="1" t="s">
        <v>192</v>
      </c>
      <c r="B78" s="1" t="s">
        <v>50</v>
      </c>
      <c r="C78" s="1">
        <v>109</v>
      </c>
      <c r="D78" s="1">
        <v>117</v>
      </c>
      <c r="E78" s="1">
        <v>73</v>
      </c>
      <c r="F78" s="1">
        <v>132</v>
      </c>
      <c r="G78" s="7">
        <v>0.6</v>
      </c>
      <c r="H78" s="1">
        <v>70</v>
      </c>
      <c r="I78" s="1" t="s">
        <v>41</v>
      </c>
      <c r="J78" s="1"/>
      <c r="K78" s="1">
        <v>65</v>
      </c>
      <c r="L78" s="1">
        <f t="shared" si="20"/>
        <v>8</v>
      </c>
      <c r="M78" s="1"/>
      <c r="N78" s="1"/>
      <c r="O78" s="1">
        <v>0</v>
      </c>
      <c r="P78" s="1"/>
      <c r="Q78" s="1"/>
      <c r="R78" s="1">
        <v>32</v>
      </c>
      <c r="S78" s="1"/>
      <c r="T78" s="1"/>
      <c r="U78" s="1">
        <f t="shared" si="21"/>
        <v>14.6</v>
      </c>
      <c r="V78" s="5">
        <f>12*U78-R78-Q78-P78-O78-F78</f>
        <v>11.199999999999989</v>
      </c>
      <c r="W78" s="5">
        <f t="shared" si="26"/>
        <v>11.199999999999989</v>
      </c>
      <c r="X78" s="5"/>
      <c r="Y78" s="21"/>
      <c r="Z78" s="1">
        <f t="shared" si="25"/>
        <v>12</v>
      </c>
      <c r="AA78" s="1">
        <f t="shared" si="22"/>
        <v>11.232876712328768</v>
      </c>
      <c r="AB78" s="1">
        <v>17</v>
      </c>
      <c r="AC78" s="1">
        <v>8.1999999999999993</v>
      </c>
      <c r="AD78" s="1">
        <v>3</v>
      </c>
      <c r="AE78" s="1">
        <v>16</v>
      </c>
      <c r="AF78" s="1">
        <v>20.2</v>
      </c>
      <c r="AG78" s="1">
        <v>17.399999999999999</v>
      </c>
      <c r="AH78" s="1">
        <v>11.6</v>
      </c>
      <c r="AI78" s="1">
        <v>2</v>
      </c>
      <c r="AJ78" s="1">
        <v>8.6</v>
      </c>
      <c r="AK78" s="1">
        <v>13.6</v>
      </c>
      <c r="AL78" s="1"/>
      <c r="AM78" s="1">
        <f t="shared" si="23"/>
        <v>7</v>
      </c>
      <c r="AN78" t="s">
        <v>193</v>
      </c>
    </row>
    <row r="79" spans="1:40" x14ac:dyDescent="0.25">
      <c r="A79" s="1" t="s">
        <v>194</v>
      </c>
      <c r="B79" s="1" t="s">
        <v>50</v>
      </c>
      <c r="C79" s="1">
        <v>14</v>
      </c>
      <c r="D79" s="1">
        <v>39</v>
      </c>
      <c r="E79" s="1">
        <v>24</v>
      </c>
      <c r="F79" s="1">
        <v>20</v>
      </c>
      <c r="G79" s="7">
        <v>0.33</v>
      </c>
      <c r="H79" s="1">
        <v>40</v>
      </c>
      <c r="I79" s="1" t="s">
        <v>41</v>
      </c>
      <c r="J79" s="1"/>
      <c r="K79" s="1">
        <v>58</v>
      </c>
      <c r="L79" s="1">
        <f t="shared" si="20"/>
        <v>-34</v>
      </c>
      <c r="M79" s="1"/>
      <c r="N79" s="1"/>
      <c r="O79" s="1">
        <v>118.4</v>
      </c>
      <c r="P79" s="1">
        <v>0</v>
      </c>
      <c r="Q79" s="1"/>
      <c r="R79" s="1">
        <v>0</v>
      </c>
      <c r="S79" s="1"/>
      <c r="T79" s="1"/>
      <c r="U79" s="1">
        <f t="shared" si="21"/>
        <v>4.8</v>
      </c>
      <c r="V79" s="5"/>
      <c r="W79" s="5">
        <f t="shared" si="26"/>
        <v>0</v>
      </c>
      <c r="X79" s="5"/>
      <c r="Y79" s="21"/>
      <c r="Z79" s="1">
        <f t="shared" si="25"/>
        <v>28.833333333333336</v>
      </c>
      <c r="AA79" s="1">
        <f t="shared" si="22"/>
        <v>28.833333333333336</v>
      </c>
      <c r="AB79" s="1">
        <v>6.8</v>
      </c>
      <c r="AC79" s="1">
        <v>9.8000000000000007</v>
      </c>
      <c r="AD79" s="1">
        <v>10.8</v>
      </c>
      <c r="AE79" s="1">
        <v>16.2</v>
      </c>
      <c r="AF79" s="1">
        <v>8.8000000000000007</v>
      </c>
      <c r="AG79" s="1">
        <v>5.4</v>
      </c>
      <c r="AH79" s="1">
        <v>11.6</v>
      </c>
      <c r="AI79" s="1">
        <v>9</v>
      </c>
      <c r="AJ79" s="1">
        <v>16.2</v>
      </c>
      <c r="AK79" s="1">
        <v>13.4</v>
      </c>
      <c r="AL79" s="1"/>
      <c r="AM79" s="1">
        <f t="shared" si="23"/>
        <v>0</v>
      </c>
      <c r="AN79" t="s">
        <v>195</v>
      </c>
    </row>
    <row r="80" spans="1:40" x14ac:dyDescent="0.25">
      <c r="A80" s="1" t="s">
        <v>196</v>
      </c>
      <c r="B80" s="1" t="s">
        <v>50</v>
      </c>
      <c r="C80" s="1">
        <v>64</v>
      </c>
      <c r="D80" s="1">
        <v>11</v>
      </c>
      <c r="E80" s="1">
        <v>45</v>
      </c>
      <c r="F80" s="1">
        <v>19</v>
      </c>
      <c r="G80" s="7">
        <v>0.4</v>
      </c>
      <c r="H80" s="1">
        <v>55</v>
      </c>
      <c r="I80" s="1" t="s">
        <v>41</v>
      </c>
      <c r="J80" s="1"/>
      <c r="K80" s="1">
        <v>44</v>
      </c>
      <c r="L80" s="1">
        <f t="shared" si="20"/>
        <v>1</v>
      </c>
      <c r="M80" s="1"/>
      <c r="N80" s="1"/>
      <c r="O80" s="1">
        <v>44</v>
      </c>
      <c r="P80" s="1">
        <v>0</v>
      </c>
      <c r="Q80" s="1"/>
      <c r="R80" s="1">
        <v>56.199999999999989</v>
      </c>
      <c r="S80" s="1"/>
      <c r="T80" s="1"/>
      <c r="U80" s="1">
        <f t="shared" si="21"/>
        <v>9</v>
      </c>
      <c r="V80" s="5"/>
      <c r="W80" s="5">
        <f t="shared" si="26"/>
        <v>0</v>
      </c>
      <c r="X80" s="5"/>
      <c r="Y80" s="21"/>
      <c r="Z80" s="1">
        <f t="shared" si="25"/>
        <v>13.244444444444444</v>
      </c>
      <c r="AA80" s="1">
        <f t="shared" si="22"/>
        <v>13.244444444444444</v>
      </c>
      <c r="AB80" s="1">
        <v>11.2</v>
      </c>
      <c r="AC80" s="1">
        <v>7.2</v>
      </c>
      <c r="AD80" s="1">
        <v>6</v>
      </c>
      <c r="AE80" s="1">
        <v>7.2</v>
      </c>
      <c r="AF80" s="1">
        <v>5.8</v>
      </c>
      <c r="AG80" s="1">
        <v>10.4</v>
      </c>
      <c r="AH80" s="1">
        <v>12.2</v>
      </c>
      <c r="AI80" s="1">
        <v>7.2</v>
      </c>
      <c r="AJ80" s="1">
        <v>7.2</v>
      </c>
      <c r="AK80" s="1">
        <v>9.4</v>
      </c>
      <c r="AL80" s="1"/>
      <c r="AM80" s="1">
        <f t="shared" si="23"/>
        <v>0</v>
      </c>
      <c r="AN80" t="s">
        <v>197</v>
      </c>
    </row>
    <row r="81" spans="1:40" x14ac:dyDescent="0.25">
      <c r="A81" s="1" t="s">
        <v>198</v>
      </c>
      <c r="B81" s="1" t="s">
        <v>50</v>
      </c>
      <c r="C81" s="1">
        <v>19</v>
      </c>
      <c r="D81" s="1">
        <v>48</v>
      </c>
      <c r="E81" s="1">
        <v>7</v>
      </c>
      <c r="F81" s="1">
        <v>-3</v>
      </c>
      <c r="G81" s="7">
        <v>0.35</v>
      </c>
      <c r="H81" s="1">
        <v>40</v>
      </c>
      <c r="I81" s="1" t="s">
        <v>41</v>
      </c>
      <c r="J81" s="1"/>
      <c r="K81" s="1">
        <v>19</v>
      </c>
      <c r="L81" s="1">
        <f t="shared" si="20"/>
        <v>-12</v>
      </c>
      <c r="M81" s="1"/>
      <c r="N81" s="1"/>
      <c r="O81" s="1">
        <v>0</v>
      </c>
      <c r="P81" s="1"/>
      <c r="Q81" s="1"/>
      <c r="R81" s="1">
        <v>0</v>
      </c>
      <c r="S81" s="1"/>
      <c r="T81" s="1"/>
      <c r="U81" s="1">
        <f t="shared" si="21"/>
        <v>1.4</v>
      </c>
      <c r="V81" s="5">
        <f>12*U81-R81-Q81-P81-O81-F81</f>
        <v>19.799999999999997</v>
      </c>
      <c r="W81" s="5">
        <f t="shared" si="26"/>
        <v>19.799999999999997</v>
      </c>
      <c r="X81" s="5"/>
      <c r="Y81" s="21"/>
      <c r="Z81" s="1">
        <f t="shared" si="25"/>
        <v>11.999999999999998</v>
      </c>
      <c r="AA81" s="1">
        <f t="shared" si="22"/>
        <v>-2.1428571428571428</v>
      </c>
      <c r="AB81" s="1">
        <v>0.6</v>
      </c>
      <c r="AC81" s="1">
        <v>1.4</v>
      </c>
      <c r="AD81" s="1">
        <v>4</v>
      </c>
      <c r="AE81" s="1">
        <v>6.8</v>
      </c>
      <c r="AF81" s="1">
        <v>6.8</v>
      </c>
      <c r="AG81" s="1">
        <v>4.4000000000000004</v>
      </c>
      <c r="AH81" s="1">
        <v>3.8</v>
      </c>
      <c r="AI81" s="1">
        <v>4.8</v>
      </c>
      <c r="AJ81" s="1">
        <v>5</v>
      </c>
      <c r="AK81" s="1">
        <v>5.8</v>
      </c>
      <c r="AL81" s="15" t="s">
        <v>199</v>
      </c>
      <c r="AM81" s="1">
        <f t="shared" si="23"/>
        <v>7</v>
      </c>
      <c r="AN81" t="s">
        <v>200</v>
      </c>
    </row>
    <row r="82" spans="1:40" x14ac:dyDescent="0.25">
      <c r="A82" s="1" t="s">
        <v>201</v>
      </c>
      <c r="B82" s="1" t="s">
        <v>50</v>
      </c>
      <c r="C82" s="1">
        <v>216</v>
      </c>
      <c r="D82" s="1">
        <v>88</v>
      </c>
      <c r="E82" s="1">
        <v>83</v>
      </c>
      <c r="F82" s="1">
        <v>142</v>
      </c>
      <c r="G82" s="7">
        <v>0.35</v>
      </c>
      <c r="H82" s="1">
        <v>45</v>
      </c>
      <c r="I82" s="1" t="s">
        <v>41</v>
      </c>
      <c r="J82" s="1"/>
      <c r="K82" s="1">
        <v>85</v>
      </c>
      <c r="L82" s="1">
        <f t="shared" si="20"/>
        <v>-2</v>
      </c>
      <c r="M82" s="1"/>
      <c r="N82" s="1"/>
      <c r="O82" s="1">
        <v>0</v>
      </c>
      <c r="P82" s="1"/>
      <c r="Q82" s="1"/>
      <c r="R82" s="1">
        <v>0</v>
      </c>
      <c r="S82" s="1"/>
      <c r="T82" s="1"/>
      <c r="U82" s="1">
        <f t="shared" si="21"/>
        <v>16.600000000000001</v>
      </c>
      <c r="V82" s="5">
        <f>12*U82-R82-Q82-P82-O82-F82</f>
        <v>57.200000000000017</v>
      </c>
      <c r="W82" s="5">
        <f t="shared" si="26"/>
        <v>57.200000000000017</v>
      </c>
      <c r="X82" s="5"/>
      <c r="Y82" s="21"/>
      <c r="Z82" s="1">
        <f t="shared" si="25"/>
        <v>12</v>
      </c>
      <c r="AA82" s="1">
        <f t="shared" si="22"/>
        <v>8.5542168674698793</v>
      </c>
      <c r="AB82" s="1">
        <v>12.4</v>
      </c>
      <c r="AC82" s="1">
        <v>5.6</v>
      </c>
      <c r="AD82" s="1">
        <v>14.8</v>
      </c>
      <c r="AE82" s="1">
        <v>33</v>
      </c>
      <c r="AF82" s="1">
        <v>26</v>
      </c>
      <c r="AG82" s="1">
        <v>36.6</v>
      </c>
      <c r="AH82" s="1">
        <v>33.4</v>
      </c>
      <c r="AI82" s="1">
        <v>18.8</v>
      </c>
      <c r="AJ82" s="1">
        <v>31.2</v>
      </c>
      <c r="AK82" s="1">
        <v>21.6</v>
      </c>
      <c r="AL82" s="1"/>
      <c r="AM82" s="1">
        <f t="shared" si="23"/>
        <v>20</v>
      </c>
      <c r="AN82" t="s">
        <v>202</v>
      </c>
    </row>
    <row r="83" spans="1:40" x14ac:dyDescent="0.25">
      <c r="A83" s="9" t="s">
        <v>203</v>
      </c>
      <c r="B83" s="9" t="s">
        <v>50</v>
      </c>
      <c r="C83" s="9"/>
      <c r="D83" s="9"/>
      <c r="E83" s="9"/>
      <c r="F83" s="9"/>
      <c r="G83" s="10">
        <v>0</v>
      </c>
      <c r="H83" s="9"/>
      <c r="I83" s="9" t="s">
        <v>41</v>
      </c>
      <c r="J83" s="9"/>
      <c r="K83" s="9"/>
      <c r="L83" s="9">
        <f t="shared" si="20"/>
        <v>0</v>
      </c>
      <c r="M83" s="9"/>
      <c r="N83" s="9"/>
      <c r="O83" s="9">
        <v>0</v>
      </c>
      <c r="P83" s="9"/>
      <c r="Q83" s="9"/>
      <c r="R83" s="9">
        <v>0</v>
      </c>
      <c r="S83" s="9"/>
      <c r="T83" s="9"/>
      <c r="U83" s="9">
        <f t="shared" si="21"/>
        <v>0</v>
      </c>
      <c r="V83" s="11"/>
      <c r="W83" s="5">
        <f t="shared" si="26"/>
        <v>0</v>
      </c>
      <c r="X83" s="5"/>
      <c r="Y83" s="21"/>
      <c r="Z83" s="1" t="e">
        <f t="shared" si="25"/>
        <v>#DIV/0!</v>
      </c>
      <c r="AA83" s="9" t="e">
        <f t="shared" si="22"/>
        <v>#DIV/0!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 t="s">
        <v>51</v>
      </c>
      <c r="AM83" s="1">
        <f t="shared" si="23"/>
        <v>0</v>
      </c>
      <c r="AN83" t="s">
        <v>204</v>
      </c>
    </row>
    <row r="84" spans="1:40" x14ac:dyDescent="0.25">
      <c r="A84" s="9" t="s">
        <v>205</v>
      </c>
      <c r="B84" s="9" t="s">
        <v>40</v>
      </c>
      <c r="C84" s="9"/>
      <c r="D84" s="9"/>
      <c r="E84" s="9"/>
      <c r="F84" s="9"/>
      <c r="G84" s="10">
        <v>0</v>
      </c>
      <c r="H84" s="9"/>
      <c r="I84" s="9" t="s">
        <v>41</v>
      </c>
      <c r="J84" s="9"/>
      <c r="K84" s="9"/>
      <c r="L84" s="9">
        <f t="shared" si="20"/>
        <v>0</v>
      </c>
      <c r="M84" s="9"/>
      <c r="N84" s="9"/>
      <c r="O84" s="9">
        <v>0</v>
      </c>
      <c r="P84" s="9"/>
      <c r="Q84" s="9"/>
      <c r="R84" s="9">
        <v>0</v>
      </c>
      <c r="S84" s="9"/>
      <c r="T84" s="9"/>
      <c r="U84" s="9">
        <f t="shared" si="21"/>
        <v>0</v>
      </c>
      <c r="V84" s="11"/>
      <c r="W84" s="5">
        <f t="shared" si="26"/>
        <v>0</v>
      </c>
      <c r="X84" s="5"/>
      <c r="Y84" s="21"/>
      <c r="Z84" s="1" t="e">
        <f t="shared" si="25"/>
        <v>#DIV/0!</v>
      </c>
      <c r="AA84" s="9" t="e">
        <f t="shared" si="22"/>
        <v>#DIV/0!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>
        <v>0</v>
      </c>
      <c r="AJ84" s="9">
        <v>0</v>
      </c>
      <c r="AK84" s="9">
        <v>0</v>
      </c>
      <c r="AL84" s="9" t="s">
        <v>51</v>
      </c>
      <c r="AM84" s="1">
        <f t="shared" si="23"/>
        <v>0</v>
      </c>
      <c r="AN84" t="s">
        <v>206</v>
      </c>
    </row>
    <row r="85" spans="1:40" x14ac:dyDescent="0.25">
      <c r="A85" s="9" t="s">
        <v>207</v>
      </c>
      <c r="B85" s="9" t="s">
        <v>40</v>
      </c>
      <c r="C85" s="9"/>
      <c r="D85" s="9"/>
      <c r="E85" s="9"/>
      <c r="F85" s="9"/>
      <c r="G85" s="10">
        <v>0</v>
      </c>
      <c r="H85" s="9"/>
      <c r="I85" s="9" t="s">
        <v>41</v>
      </c>
      <c r="J85" s="9"/>
      <c r="K85" s="9"/>
      <c r="L85" s="9">
        <f t="shared" si="20"/>
        <v>0</v>
      </c>
      <c r="M85" s="9"/>
      <c r="N85" s="9"/>
      <c r="O85" s="9">
        <v>0</v>
      </c>
      <c r="P85" s="9"/>
      <c r="Q85" s="9"/>
      <c r="R85" s="9">
        <v>0</v>
      </c>
      <c r="S85" s="9"/>
      <c r="T85" s="9"/>
      <c r="U85" s="9">
        <f t="shared" si="21"/>
        <v>0</v>
      </c>
      <c r="V85" s="11"/>
      <c r="W85" s="5">
        <f t="shared" si="26"/>
        <v>0</v>
      </c>
      <c r="X85" s="5"/>
      <c r="Y85" s="21"/>
      <c r="Z85" s="1" t="e">
        <f t="shared" si="25"/>
        <v>#DIV/0!</v>
      </c>
      <c r="AA85" s="9" t="e">
        <f t="shared" si="22"/>
        <v>#DIV/0!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 t="s">
        <v>51</v>
      </c>
      <c r="AM85" s="1">
        <f t="shared" si="23"/>
        <v>0</v>
      </c>
      <c r="AN85" t="s">
        <v>208</v>
      </c>
    </row>
    <row r="86" spans="1:40" x14ac:dyDescent="0.25">
      <c r="A86" s="1" t="s">
        <v>209</v>
      </c>
      <c r="B86" s="1" t="s">
        <v>40</v>
      </c>
      <c r="C86" s="1">
        <v>371.18299999999999</v>
      </c>
      <c r="D86" s="1">
        <v>82.97</v>
      </c>
      <c r="E86" s="1">
        <v>159.99</v>
      </c>
      <c r="F86" s="1">
        <v>225.84899999999999</v>
      </c>
      <c r="G86" s="7">
        <v>1</v>
      </c>
      <c r="H86" s="1">
        <v>60</v>
      </c>
      <c r="I86" s="1" t="s">
        <v>41</v>
      </c>
      <c r="J86" s="1"/>
      <c r="K86" s="1">
        <v>203.9</v>
      </c>
      <c r="L86" s="1">
        <f t="shared" si="20"/>
        <v>-43.91</v>
      </c>
      <c r="M86" s="1"/>
      <c r="N86" s="1"/>
      <c r="O86" s="1">
        <v>0</v>
      </c>
      <c r="P86" s="1"/>
      <c r="Q86" s="1"/>
      <c r="R86" s="1">
        <v>0</v>
      </c>
      <c r="S86" s="1"/>
      <c r="T86" s="17">
        <v>60</v>
      </c>
      <c r="U86" s="1">
        <f t="shared" si="21"/>
        <v>31.998000000000001</v>
      </c>
      <c r="V86" s="5">
        <f>12*U86-R86-Q86-P86-O86-F86</f>
        <v>158.12700000000001</v>
      </c>
      <c r="W86" s="5">
        <f>V86+$W$1*U86</f>
        <v>137.00832</v>
      </c>
      <c r="X86" s="5"/>
      <c r="Y86" s="21"/>
      <c r="Z86" s="1">
        <f t="shared" si="25"/>
        <v>13.215117194824675</v>
      </c>
      <c r="AA86" s="1">
        <f t="shared" si="22"/>
        <v>7.0582223888993054</v>
      </c>
      <c r="AB86" s="1">
        <v>23.875599999999999</v>
      </c>
      <c r="AC86" s="1">
        <v>20.068999999999999</v>
      </c>
      <c r="AD86" s="1">
        <v>23.865600000000001</v>
      </c>
      <c r="AE86" s="1">
        <v>32.620199999999997</v>
      </c>
      <c r="AF86" s="1">
        <v>28.968800000000002</v>
      </c>
      <c r="AG86" s="1">
        <v>43.807400000000001</v>
      </c>
      <c r="AH86" s="1">
        <v>49.8904</v>
      </c>
      <c r="AI86" s="1">
        <v>45.323</v>
      </c>
      <c r="AJ86" s="1">
        <v>52.400599999999997</v>
      </c>
      <c r="AK86" s="1">
        <v>49.375999999999998</v>
      </c>
      <c r="AL86" s="1"/>
      <c r="AM86" s="1">
        <f t="shared" si="23"/>
        <v>137</v>
      </c>
      <c r="AN86" t="s">
        <v>210</v>
      </c>
    </row>
    <row r="87" spans="1:40" x14ac:dyDescent="0.25">
      <c r="A87" s="9" t="s">
        <v>211</v>
      </c>
      <c r="B87" s="9" t="s">
        <v>50</v>
      </c>
      <c r="C87" s="9"/>
      <c r="D87" s="9"/>
      <c r="E87" s="9"/>
      <c r="F87" s="9"/>
      <c r="G87" s="10">
        <v>0</v>
      </c>
      <c r="H87" s="9"/>
      <c r="I87" s="9" t="s">
        <v>41</v>
      </c>
      <c r="J87" s="9"/>
      <c r="K87" s="9"/>
      <c r="L87" s="9">
        <f t="shared" si="20"/>
        <v>0</v>
      </c>
      <c r="M87" s="9"/>
      <c r="N87" s="9"/>
      <c r="O87" s="9">
        <v>0</v>
      </c>
      <c r="P87" s="9"/>
      <c r="Q87" s="9"/>
      <c r="R87" s="9">
        <v>0</v>
      </c>
      <c r="S87" s="9"/>
      <c r="T87" s="9"/>
      <c r="U87" s="9">
        <f t="shared" si="21"/>
        <v>0</v>
      </c>
      <c r="V87" s="11"/>
      <c r="W87" s="5">
        <f>V87</f>
        <v>0</v>
      </c>
      <c r="X87" s="5"/>
      <c r="Y87" s="21"/>
      <c r="Z87" s="1" t="e">
        <f t="shared" si="25"/>
        <v>#DIV/0!</v>
      </c>
      <c r="AA87" s="9" t="e">
        <f t="shared" si="22"/>
        <v>#DIV/0!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0</v>
      </c>
      <c r="AH87" s="9">
        <v>0</v>
      </c>
      <c r="AI87" s="9">
        <v>0</v>
      </c>
      <c r="AJ87" s="9">
        <v>0</v>
      </c>
      <c r="AK87" s="9">
        <v>0</v>
      </c>
      <c r="AL87" s="9" t="s">
        <v>51</v>
      </c>
      <c r="AM87" s="1">
        <f t="shared" si="23"/>
        <v>0</v>
      </c>
      <c r="AN87" t="s">
        <v>212</v>
      </c>
    </row>
    <row r="88" spans="1:40" x14ac:dyDescent="0.25">
      <c r="A88" s="23" t="s">
        <v>213</v>
      </c>
      <c r="B88" s="1" t="s">
        <v>40</v>
      </c>
      <c r="C88" s="1">
        <v>2404.31</v>
      </c>
      <c r="D88" s="1">
        <v>555.96400000000006</v>
      </c>
      <c r="E88" s="1">
        <v>1252.097</v>
      </c>
      <c r="F88" s="1">
        <v>1427.962</v>
      </c>
      <c r="G88" s="7">
        <v>1</v>
      </c>
      <c r="H88" s="1">
        <v>60</v>
      </c>
      <c r="I88" s="1" t="s">
        <v>41</v>
      </c>
      <c r="J88" s="1"/>
      <c r="K88" s="1">
        <v>1245</v>
      </c>
      <c r="L88" s="1">
        <f t="shared" si="20"/>
        <v>7.09699999999998</v>
      </c>
      <c r="M88" s="1"/>
      <c r="N88" s="1"/>
      <c r="O88" s="1">
        <v>900</v>
      </c>
      <c r="P88" s="1">
        <v>0</v>
      </c>
      <c r="Q88" s="1">
        <v>500</v>
      </c>
      <c r="R88" s="1">
        <v>0</v>
      </c>
      <c r="S88" s="1"/>
      <c r="T88" s="17">
        <v>500</v>
      </c>
      <c r="U88" s="1">
        <f t="shared" si="21"/>
        <v>250.4194</v>
      </c>
      <c r="V88" s="5">
        <f>12*U88-R88-Q88-P88-O88-F88</f>
        <v>177.07079999999996</v>
      </c>
      <c r="W88" s="5">
        <f>V88+$W$1*U88</f>
        <v>11.793995999999964</v>
      </c>
      <c r="X88" s="5"/>
      <c r="Y88" s="21">
        <v>500</v>
      </c>
      <c r="Z88" s="1">
        <f t="shared" si="25"/>
        <v>15.33330083851331</v>
      </c>
      <c r="AA88" s="1">
        <f t="shared" si="22"/>
        <v>11.292903025883778</v>
      </c>
      <c r="AB88" s="1">
        <v>227.70859999999999</v>
      </c>
      <c r="AC88" s="1">
        <v>184.99260000000001</v>
      </c>
      <c r="AD88" s="1">
        <v>192.30119999999999</v>
      </c>
      <c r="AE88" s="1">
        <v>242.393</v>
      </c>
      <c r="AF88" s="1">
        <v>281.09039999999999</v>
      </c>
      <c r="AG88" s="1">
        <v>332.67239999999998</v>
      </c>
      <c r="AH88" s="1">
        <v>305.48419999999999</v>
      </c>
      <c r="AI88" s="1">
        <v>286.5274</v>
      </c>
      <c r="AJ88" s="1">
        <v>307.87279999999998</v>
      </c>
      <c r="AK88" s="1">
        <v>311.91879999999998</v>
      </c>
      <c r="AL88" s="1"/>
      <c r="AM88" s="1">
        <f t="shared" si="23"/>
        <v>12</v>
      </c>
      <c r="AN88" t="s">
        <v>214</v>
      </c>
    </row>
    <row r="89" spans="1:40" x14ac:dyDescent="0.25">
      <c r="A89" s="1" t="s">
        <v>215</v>
      </c>
      <c r="B89" s="1" t="s">
        <v>40</v>
      </c>
      <c r="C89" s="1">
        <v>1885.1020000000001</v>
      </c>
      <c r="D89" s="1">
        <v>1513.1949999999999</v>
      </c>
      <c r="E89" s="1">
        <v>1205.345</v>
      </c>
      <c r="F89" s="1">
        <v>1560.107</v>
      </c>
      <c r="G89" s="7">
        <v>1</v>
      </c>
      <c r="H89" s="1">
        <v>60</v>
      </c>
      <c r="I89" s="1" t="s">
        <v>41</v>
      </c>
      <c r="J89" s="1"/>
      <c r="K89" s="1">
        <v>1159.5</v>
      </c>
      <c r="L89" s="1">
        <f t="shared" si="20"/>
        <v>45.845000000000027</v>
      </c>
      <c r="M89" s="1"/>
      <c r="N89" s="1"/>
      <c r="O89" s="1">
        <v>0</v>
      </c>
      <c r="P89" s="1"/>
      <c r="Q89" s="1">
        <v>1000</v>
      </c>
      <c r="R89" s="1">
        <v>0</v>
      </c>
      <c r="S89" s="1"/>
      <c r="T89" s="1"/>
      <c r="U89" s="1">
        <f t="shared" si="21"/>
        <v>241.06900000000002</v>
      </c>
      <c r="V89" s="5">
        <f>12*U89-R89-Q89-P89-O89-F89</f>
        <v>332.72100000000046</v>
      </c>
      <c r="W89" s="5">
        <f>V89+$W$1*U89</f>
        <v>173.61546000000044</v>
      </c>
      <c r="X89" s="5"/>
      <c r="Y89" s="21"/>
      <c r="Z89" s="1">
        <f t="shared" si="25"/>
        <v>11.340000000000002</v>
      </c>
      <c r="AA89" s="1">
        <f t="shared" si="22"/>
        <v>10.619810095864668</v>
      </c>
      <c r="AB89" s="1">
        <v>210.56899999999999</v>
      </c>
      <c r="AC89" s="1">
        <v>112.8832</v>
      </c>
      <c r="AD89" s="1">
        <v>123.03279999999999</v>
      </c>
      <c r="AE89" s="1">
        <v>190.5642</v>
      </c>
      <c r="AF89" s="1">
        <v>220.67740000000001</v>
      </c>
      <c r="AG89" s="1">
        <v>250.80779999999999</v>
      </c>
      <c r="AH89" s="1">
        <v>213.42420000000001</v>
      </c>
      <c r="AI89" s="1">
        <v>191.51259999999999</v>
      </c>
      <c r="AJ89" s="1">
        <v>214.91640000000001</v>
      </c>
      <c r="AK89" s="1">
        <v>247.22239999999999</v>
      </c>
      <c r="AL89" s="1"/>
      <c r="AM89" s="1">
        <f t="shared" si="23"/>
        <v>174</v>
      </c>
      <c r="AN89" t="s">
        <v>216</v>
      </c>
    </row>
    <row r="90" spans="1:40" x14ac:dyDescent="0.25">
      <c r="A90" s="23" t="s">
        <v>217</v>
      </c>
      <c r="B90" s="1" t="s">
        <v>40</v>
      </c>
      <c r="C90" s="1">
        <v>2568.9789999999998</v>
      </c>
      <c r="D90" s="1">
        <v>4123.2309999999998</v>
      </c>
      <c r="E90" s="1">
        <v>1682.6369999999999</v>
      </c>
      <c r="F90" s="1">
        <v>4617.4799999999996</v>
      </c>
      <c r="G90" s="7">
        <v>1</v>
      </c>
      <c r="H90" s="1">
        <v>60</v>
      </c>
      <c r="I90" s="1" t="s">
        <v>41</v>
      </c>
      <c r="J90" s="1"/>
      <c r="K90" s="1">
        <v>1654</v>
      </c>
      <c r="L90" s="1">
        <f t="shared" si="20"/>
        <v>28.636999999999944</v>
      </c>
      <c r="M90" s="1"/>
      <c r="N90" s="1"/>
      <c r="O90" s="1">
        <v>600</v>
      </c>
      <c r="P90" s="1">
        <v>0</v>
      </c>
      <c r="Q90" s="1"/>
      <c r="R90" s="1">
        <v>0</v>
      </c>
      <c r="S90" s="1"/>
      <c r="T90" s="17">
        <v>0</v>
      </c>
      <c r="U90" s="1">
        <f t="shared" si="21"/>
        <v>336.5274</v>
      </c>
      <c r="V90" s="5"/>
      <c r="W90" s="5">
        <f>V90</f>
        <v>0</v>
      </c>
      <c r="X90" s="5"/>
      <c r="Y90" s="21"/>
      <c r="Z90" s="1">
        <f t="shared" si="25"/>
        <v>15.503878733202704</v>
      </c>
      <c r="AA90" s="1">
        <f t="shared" si="22"/>
        <v>15.503878733202704</v>
      </c>
      <c r="AB90" s="1">
        <v>281.4778</v>
      </c>
      <c r="AC90" s="1">
        <v>275.24520000000001</v>
      </c>
      <c r="AD90" s="1">
        <v>319.42960000000011</v>
      </c>
      <c r="AE90" s="1">
        <v>353.96559999999999</v>
      </c>
      <c r="AF90" s="1">
        <v>357.76280000000003</v>
      </c>
      <c r="AG90" s="1">
        <v>414.20119999999997</v>
      </c>
      <c r="AH90" s="1">
        <v>411.19539999999989</v>
      </c>
      <c r="AI90" s="1">
        <v>457.66879999999998</v>
      </c>
      <c r="AJ90" s="1">
        <v>475.00880000000001</v>
      </c>
      <c r="AK90" s="1">
        <v>401.34320000000002</v>
      </c>
      <c r="AL90" s="12" t="s">
        <v>66</v>
      </c>
      <c r="AM90" s="1">
        <f t="shared" si="23"/>
        <v>0</v>
      </c>
      <c r="AN90" t="s">
        <v>218</v>
      </c>
    </row>
    <row r="91" spans="1:40" x14ac:dyDescent="0.25">
      <c r="A91" s="9" t="s">
        <v>219</v>
      </c>
      <c r="B91" s="9" t="s">
        <v>40</v>
      </c>
      <c r="C91" s="9"/>
      <c r="D91" s="9"/>
      <c r="E91" s="9"/>
      <c r="F91" s="9"/>
      <c r="G91" s="10">
        <v>0</v>
      </c>
      <c r="H91" s="9"/>
      <c r="I91" s="9" t="s">
        <v>41</v>
      </c>
      <c r="J91" s="9"/>
      <c r="K91" s="9"/>
      <c r="L91" s="9">
        <f t="shared" si="20"/>
        <v>0</v>
      </c>
      <c r="M91" s="9"/>
      <c r="N91" s="9"/>
      <c r="O91" s="9">
        <v>0</v>
      </c>
      <c r="P91" s="9"/>
      <c r="Q91" s="9"/>
      <c r="R91" s="9">
        <v>0</v>
      </c>
      <c r="S91" s="9"/>
      <c r="T91" s="9"/>
      <c r="U91" s="9">
        <f t="shared" si="21"/>
        <v>0</v>
      </c>
      <c r="V91" s="11"/>
      <c r="W91" s="5">
        <f>V91</f>
        <v>0</v>
      </c>
      <c r="X91" s="5"/>
      <c r="Y91" s="21"/>
      <c r="Z91" s="1" t="e">
        <f t="shared" si="25"/>
        <v>#DIV/0!</v>
      </c>
      <c r="AA91" s="9" t="e">
        <f t="shared" si="22"/>
        <v>#DIV/0!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>
        <v>0</v>
      </c>
      <c r="AK91" s="9">
        <v>0</v>
      </c>
      <c r="AL91" s="9" t="s">
        <v>51</v>
      </c>
      <c r="AM91" s="1">
        <f t="shared" si="23"/>
        <v>0</v>
      </c>
      <c r="AN91" t="s">
        <v>220</v>
      </c>
    </row>
    <row r="92" spans="1:40" x14ac:dyDescent="0.25">
      <c r="A92" s="1" t="s">
        <v>221</v>
      </c>
      <c r="B92" s="1" t="s">
        <v>50</v>
      </c>
      <c r="C92" s="1"/>
      <c r="D92" s="1">
        <v>209</v>
      </c>
      <c r="E92" s="1">
        <v>101</v>
      </c>
      <c r="F92" s="1">
        <v>59</v>
      </c>
      <c r="G92" s="7">
        <v>0.3</v>
      </c>
      <c r="H92" s="1">
        <v>40</v>
      </c>
      <c r="I92" s="1" t="s">
        <v>41</v>
      </c>
      <c r="J92" s="1"/>
      <c r="K92" s="1">
        <v>133</v>
      </c>
      <c r="L92" s="1">
        <f t="shared" si="20"/>
        <v>-32</v>
      </c>
      <c r="M92" s="1"/>
      <c r="N92" s="1"/>
      <c r="O92" s="1">
        <v>0</v>
      </c>
      <c r="P92" s="1"/>
      <c r="Q92" s="1"/>
      <c r="R92" s="1">
        <v>0</v>
      </c>
      <c r="S92" s="1"/>
      <c r="T92" s="1"/>
      <c r="U92" s="1">
        <f t="shared" si="21"/>
        <v>20.2</v>
      </c>
      <c r="V92" s="5">
        <f>10*U92-R92-Q92-P92-O92-F92</f>
        <v>143</v>
      </c>
      <c r="W92" s="5">
        <f>V92+$W$1*U92</f>
        <v>129.66800000000001</v>
      </c>
      <c r="X92" s="5">
        <v>-132</v>
      </c>
      <c r="Y92" s="21"/>
      <c r="Z92" s="1">
        <f t="shared" si="25"/>
        <v>9.34</v>
      </c>
      <c r="AA92" s="1">
        <f t="shared" si="22"/>
        <v>2.9207920792079207</v>
      </c>
      <c r="AB92" s="1">
        <v>9.8000000000000007</v>
      </c>
      <c r="AC92" s="1">
        <v>5.4</v>
      </c>
      <c r="AD92" s="1">
        <v>12.2</v>
      </c>
      <c r="AE92" s="1">
        <v>28.4</v>
      </c>
      <c r="AF92" s="1">
        <v>31.2</v>
      </c>
      <c r="AG92" s="1">
        <v>25.6</v>
      </c>
      <c r="AH92" s="1">
        <v>17</v>
      </c>
      <c r="AI92" s="1">
        <v>10.199999999999999</v>
      </c>
      <c r="AJ92" s="1">
        <v>23.4</v>
      </c>
      <c r="AK92" s="1">
        <v>31.2</v>
      </c>
      <c r="AL92" s="1"/>
      <c r="AM92" s="1">
        <f t="shared" si="23"/>
        <v>39</v>
      </c>
      <c r="AN92" t="s">
        <v>222</v>
      </c>
    </row>
    <row r="93" spans="1:40" x14ac:dyDescent="0.25">
      <c r="A93" s="9" t="s">
        <v>223</v>
      </c>
      <c r="B93" s="9" t="s">
        <v>50</v>
      </c>
      <c r="C93" s="9"/>
      <c r="D93" s="9"/>
      <c r="E93" s="9"/>
      <c r="F93" s="9"/>
      <c r="G93" s="10">
        <v>0</v>
      </c>
      <c r="H93" s="9"/>
      <c r="I93" s="9" t="s">
        <v>41</v>
      </c>
      <c r="J93" s="9"/>
      <c r="K93" s="9"/>
      <c r="L93" s="9">
        <f t="shared" si="20"/>
        <v>0</v>
      </c>
      <c r="M93" s="9"/>
      <c r="N93" s="9"/>
      <c r="O93" s="9">
        <v>0</v>
      </c>
      <c r="P93" s="9"/>
      <c r="Q93" s="9"/>
      <c r="R93" s="9">
        <v>0</v>
      </c>
      <c r="S93" s="9"/>
      <c r="T93" s="9"/>
      <c r="U93" s="9">
        <f t="shared" si="21"/>
        <v>0</v>
      </c>
      <c r="V93" s="11"/>
      <c r="W93" s="5">
        <f t="shared" ref="W93:W104" si="27">V93</f>
        <v>0</v>
      </c>
      <c r="X93" s="5"/>
      <c r="Y93" s="21"/>
      <c r="Z93" s="1" t="e">
        <f t="shared" si="25"/>
        <v>#DIV/0!</v>
      </c>
      <c r="AA93" s="9" t="e">
        <f t="shared" si="22"/>
        <v>#DIV/0!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 t="s">
        <v>51</v>
      </c>
      <c r="AM93" s="1">
        <f t="shared" si="23"/>
        <v>0</v>
      </c>
      <c r="AN93" t="s">
        <v>224</v>
      </c>
    </row>
    <row r="94" spans="1:40" x14ac:dyDescent="0.25">
      <c r="A94" s="1" t="s">
        <v>225</v>
      </c>
      <c r="B94" s="1" t="s">
        <v>50</v>
      </c>
      <c r="C94" s="1">
        <v>33</v>
      </c>
      <c r="D94" s="1">
        <v>216</v>
      </c>
      <c r="E94" s="1">
        <v>77</v>
      </c>
      <c r="F94" s="1">
        <v>165</v>
      </c>
      <c r="G94" s="7">
        <v>7.0000000000000007E-2</v>
      </c>
      <c r="H94" s="1">
        <v>90</v>
      </c>
      <c r="I94" s="1" t="s">
        <v>41</v>
      </c>
      <c r="J94" s="1"/>
      <c r="K94" s="1">
        <v>80</v>
      </c>
      <c r="L94" s="1">
        <f t="shared" si="20"/>
        <v>-3</v>
      </c>
      <c r="M94" s="1"/>
      <c r="N94" s="1"/>
      <c r="O94" s="1">
        <v>80</v>
      </c>
      <c r="P94" s="1">
        <v>0</v>
      </c>
      <c r="Q94" s="1"/>
      <c r="R94" s="1">
        <v>0</v>
      </c>
      <c r="S94" s="1"/>
      <c r="T94" s="1"/>
      <c r="U94" s="1">
        <f t="shared" si="21"/>
        <v>15.4</v>
      </c>
      <c r="V94" s="5">
        <v>15</v>
      </c>
      <c r="W94" s="5">
        <f t="shared" si="27"/>
        <v>15</v>
      </c>
      <c r="X94" s="5">
        <v>-18</v>
      </c>
      <c r="Y94" s="21"/>
      <c r="Z94" s="1">
        <f t="shared" si="25"/>
        <v>16.883116883116884</v>
      </c>
      <c r="AA94" s="1">
        <f t="shared" si="22"/>
        <v>15.909090909090908</v>
      </c>
      <c r="AB94" s="1">
        <v>12.2</v>
      </c>
      <c r="AC94" s="1">
        <v>8.4</v>
      </c>
      <c r="AD94" s="1">
        <v>10.8</v>
      </c>
      <c r="AE94" s="1">
        <v>19.600000000000001</v>
      </c>
      <c r="AF94" s="1">
        <v>20.399999999999999</v>
      </c>
      <c r="AG94" s="1">
        <v>13</v>
      </c>
      <c r="AH94" s="1">
        <v>11</v>
      </c>
      <c r="AI94" s="1">
        <v>13.2</v>
      </c>
      <c r="AJ94" s="1">
        <v>16.399999999999999</v>
      </c>
      <c r="AK94" s="1">
        <v>17.2</v>
      </c>
      <c r="AL94" s="1" t="s">
        <v>226</v>
      </c>
      <c r="AM94" s="1">
        <f t="shared" si="23"/>
        <v>1</v>
      </c>
      <c r="AN94" t="s">
        <v>227</v>
      </c>
    </row>
    <row r="95" spans="1:40" x14ac:dyDescent="0.25">
      <c r="A95" s="1" t="s">
        <v>228</v>
      </c>
      <c r="B95" s="1" t="s">
        <v>50</v>
      </c>
      <c r="C95" s="1">
        <v>13</v>
      </c>
      <c r="D95" s="1">
        <v>56</v>
      </c>
      <c r="E95" s="1">
        <v>49</v>
      </c>
      <c r="F95" s="1">
        <v>14</v>
      </c>
      <c r="G95" s="7">
        <v>7.0000000000000007E-2</v>
      </c>
      <c r="H95" s="1">
        <v>90</v>
      </c>
      <c r="I95" s="13" t="s">
        <v>90</v>
      </c>
      <c r="J95" s="1"/>
      <c r="K95" s="1">
        <v>84</v>
      </c>
      <c r="L95" s="1">
        <f t="shared" si="20"/>
        <v>-35</v>
      </c>
      <c r="M95" s="1"/>
      <c r="N95" s="1"/>
      <c r="O95" s="1">
        <v>290</v>
      </c>
      <c r="P95" s="1">
        <v>-288</v>
      </c>
      <c r="Q95" s="1"/>
      <c r="R95" s="1">
        <v>50</v>
      </c>
      <c r="S95" s="1"/>
      <c r="T95" s="1"/>
      <c r="U95" s="1">
        <f t="shared" si="21"/>
        <v>9.8000000000000007</v>
      </c>
      <c r="V95" s="5">
        <v>50</v>
      </c>
      <c r="W95" s="5">
        <f t="shared" si="27"/>
        <v>50</v>
      </c>
      <c r="X95" s="5">
        <v>-72</v>
      </c>
      <c r="Y95" s="21"/>
      <c r="Z95" s="1">
        <f t="shared" si="25"/>
        <v>11.836734693877551</v>
      </c>
      <c r="AA95" s="1">
        <f t="shared" si="22"/>
        <v>6.7346938775510203</v>
      </c>
      <c r="AB95" s="1">
        <v>13.8</v>
      </c>
      <c r="AC95" s="1">
        <v>17.8</v>
      </c>
      <c r="AD95" s="1">
        <v>18.8</v>
      </c>
      <c r="AE95" s="1">
        <v>16.399999999999999</v>
      </c>
      <c r="AF95" s="1">
        <v>14</v>
      </c>
      <c r="AG95" s="1">
        <v>15</v>
      </c>
      <c r="AH95" s="1">
        <v>20.8</v>
      </c>
      <c r="AI95" s="1">
        <v>16.8</v>
      </c>
      <c r="AJ95" s="1">
        <v>19.2</v>
      </c>
      <c r="AK95" s="1">
        <v>18</v>
      </c>
      <c r="AL95" s="1" t="s">
        <v>226</v>
      </c>
      <c r="AM95" s="1">
        <f t="shared" si="23"/>
        <v>4</v>
      </c>
      <c r="AN95" t="s">
        <v>229</v>
      </c>
    </row>
    <row r="96" spans="1:40" x14ac:dyDescent="0.25">
      <c r="A96" s="1" t="s">
        <v>230</v>
      </c>
      <c r="B96" s="1" t="s">
        <v>50</v>
      </c>
      <c r="C96" s="1">
        <v>16</v>
      </c>
      <c r="D96" s="1">
        <v>249</v>
      </c>
      <c r="E96" s="1">
        <v>62</v>
      </c>
      <c r="F96" s="1">
        <v>178</v>
      </c>
      <c r="G96" s="7">
        <v>7.0000000000000007E-2</v>
      </c>
      <c r="H96" s="1">
        <v>90</v>
      </c>
      <c r="I96" s="1" t="s">
        <v>41</v>
      </c>
      <c r="J96" s="1"/>
      <c r="K96" s="1">
        <v>65</v>
      </c>
      <c r="L96" s="1">
        <f t="shared" si="20"/>
        <v>-3</v>
      </c>
      <c r="M96" s="1"/>
      <c r="N96" s="1"/>
      <c r="O96" s="1">
        <v>80</v>
      </c>
      <c r="P96" s="1">
        <v>0</v>
      </c>
      <c r="Q96" s="1"/>
      <c r="R96" s="1">
        <v>0</v>
      </c>
      <c r="S96" s="1"/>
      <c r="T96" s="1"/>
      <c r="U96" s="1">
        <f t="shared" si="21"/>
        <v>12.4</v>
      </c>
      <c r="V96" s="5"/>
      <c r="W96" s="5">
        <f t="shared" si="27"/>
        <v>0</v>
      </c>
      <c r="X96" s="5"/>
      <c r="Y96" s="21"/>
      <c r="Z96" s="1">
        <f t="shared" si="25"/>
        <v>20.806451612903224</v>
      </c>
      <c r="AA96" s="1">
        <f t="shared" si="22"/>
        <v>20.806451612903224</v>
      </c>
      <c r="AB96" s="1">
        <v>7.2</v>
      </c>
      <c r="AC96" s="1">
        <v>6.8</v>
      </c>
      <c r="AD96" s="1">
        <v>10</v>
      </c>
      <c r="AE96" s="1">
        <v>18.399999999999999</v>
      </c>
      <c r="AF96" s="1">
        <v>16.399999999999999</v>
      </c>
      <c r="AG96" s="1">
        <v>10.199999999999999</v>
      </c>
      <c r="AH96" s="1">
        <v>12</v>
      </c>
      <c r="AI96" s="1">
        <v>10.6</v>
      </c>
      <c r="AJ96" s="1">
        <v>11.6</v>
      </c>
      <c r="AK96" s="1">
        <v>15.6</v>
      </c>
      <c r="AL96" s="12" t="s">
        <v>231</v>
      </c>
      <c r="AM96" s="1">
        <f t="shared" si="23"/>
        <v>0</v>
      </c>
      <c r="AN96" t="s">
        <v>232</v>
      </c>
    </row>
    <row r="97" spans="1:40" x14ac:dyDescent="0.25">
      <c r="A97" s="9" t="s">
        <v>233</v>
      </c>
      <c r="B97" s="9" t="s">
        <v>50</v>
      </c>
      <c r="C97" s="9">
        <v>108</v>
      </c>
      <c r="D97" s="9">
        <v>3</v>
      </c>
      <c r="E97" s="9">
        <v>49</v>
      </c>
      <c r="F97" s="9">
        <v>57</v>
      </c>
      <c r="G97" s="10">
        <v>0</v>
      </c>
      <c r="H97" s="9">
        <v>90</v>
      </c>
      <c r="I97" s="9" t="s">
        <v>44</v>
      </c>
      <c r="J97" s="9"/>
      <c r="K97" s="9">
        <v>52</v>
      </c>
      <c r="L97" s="9">
        <f t="shared" si="20"/>
        <v>-3</v>
      </c>
      <c r="M97" s="9"/>
      <c r="N97" s="9"/>
      <c r="O97" s="9">
        <v>0</v>
      </c>
      <c r="P97" s="9"/>
      <c r="Q97" s="9"/>
      <c r="R97" s="9">
        <v>0</v>
      </c>
      <c r="S97" s="9"/>
      <c r="T97" s="9"/>
      <c r="U97" s="9">
        <f t="shared" si="21"/>
        <v>9.8000000000000007</v>
      </c>
      <c r="V97" s="11"/>
      <c r="W97" s="5">
        <f t="shared" si="27"/>
        <v>0</v>
      </c>
      <c r="X97" s="5"/>
      <c r="Y97" s="21"/>
      <c r="Z97" s="1">
        <f t="shared" si="25"/>
        <v>5.8163265306122449</v>
      </c>
      <c r="AA97" s="9">
        <f t="shared" si="22"/>
        <v>5.8163265306122449</v>
      </c>
      <c r="AB97" s="9">
        <v>9</v>
      </c>
      <c r="AC97" s="9">
        <v>7.4</v>
      </c>
      <c r="AD97" s="9">
        <v>7.4</v>
      </c>
      <c r="AE97" s="9">
        <v>8.6</v>
      </c>
      <c r="AF97" s="9">
        <v>12</v>
      </c>
      <c r="AG97" s="9">
        <v>14.4</v>
      </c>
      <c r="AH97" s="9">
        <v>13.8</v>
      </c>
      <c r="AI97" s="9">
        <v>14.8</v>
      </c>
      <c r="AJ97" s="9">
        <v>16.2</v>
      </c>
      <c r="AK97" s="9">
        <v>17</v>
      </c>
      <c r="AL97" s="9"/>
      <c r="AM97" s="1">
        <f t="shared" si="23"/>
        <v>0</v>
      </c>
      <c r="AN97" t="s">
        <v>234</v>
      </c>
    </row>
    <row r="98" spans="1:40" x14ac:dyDescent="0.25">
      <c r="A98" s="9" t="s">
        <v>235</v>
      </c>
      <c r="B98" s="9" t="s">
        <v>50</v>
      </c>
      <c r="C98" s="9"/>
      <c r="D98" s="9"/>
      <c r="E98" s="9"/>
      <c r="F98" s="9"/>
      <c r="G98" s="10">
        <v>0</v>
      </c>
      <c r="H98" s="9"/>
      <c r="I98" s="9" t="s">
        <v>41</v>
      </c>
      <c r="J98" s="9"/>
      <c r="K98" s="9"/>
      <c r="L98" s="9">
        <f t="shared" si="20"/>
        <v>0</v>
      </c>
      <c r="M98" s="9"/>
      <c r="N98" s="9"/>
      <c r="O98" s="9">
        <v>0</v>
      </c>
      <c r="P98" s="9"/>
      <c r="Q98" s="9"/>
      <c r="R98" s="9">
        <v>0</v>
      </c>
      <c r="S98" s="9"/>
      <c r="T98" s="9"/>
      <c r="U98" s="9">
        <f t="shared" si="21"/>
        <v>0</v>
      </c>
      <c r="V98" s="11"/>
      <c r="W98" s="5">
        <f t="shared" si="27"/>
        <v>0</v>
      </c>
      <c r="X98" s="5"/>
      <c r="Y98" s="21"/>
      <c r="Z98" s="1" t="e">
        <f t="shared" si="25"/>
        <v>#DIV/0!</v>
      </c>
      <c r="AA98" s="9" t="e">
        <f t="shared" si="22"/>
        <v>#DIV/0!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 t="s">
        <v>51</v>
      </c>
      <c r="AM98" s="1">
        <f t="shared" si="23"/>
        <v>0</v>
      </c>
      <c r="AN98" t="s">
        <v>236</v>
      </c>
    </row>
    <row r="99" spans="1:40" x14ac:dyDescent="0.25">
      <c r="A99" s="1" t="s">
        <v>237</v>
      </c>
      <c r="B99" s="1" t="s">
        <v>40</v>
      </c>
      <c r="C99" s="1">
        <v>59.645000000000003</v>
      </c>
      <c r="D99" s="1">
        <v>5.37</v>
      </c>
      <c r="E99" s="1"/>
      <c r="F99" s="1">
        <v>4.0960000000000001</v>
      </c>
      <c r="G99" s="7">
        <v>1</v>
      </c>
      <c r="H99" s="1">
        <v>55</v>
      </c>
      <c r="I99" s="1" t="s">
        <v>41</v>
      </c>
      <c r="J99" s="1"/>
      <c r="K99" s="1">
        <v>11.8</v>
      </c>
      <c r="L99" s="1">
        <f t="shared" si="20"/>
        <v>-11.8</v>
      </c>
      <c r="M99" s="1"/>
      <c r="N99" s="1"/>
      <c r="O99" s="1">
        <v>0</v>
      </c>
      <c r="P99" s="1"/>
      <c r="Q99" s="1"/>
      <c r="R99" s="1">
        <v>0</v>
      </c>
      <c r="S99" s="1"/>
      <c r="T99" s="1"/>
      <c r="U99" s="1">
        <f t="shared" si="21"/>
        <v>0</v>
      </c>
      <c r="V99" s="5">
        <v>8</v>
      </c>
      <c r="W99" s="5">
        <f t="shared" si="27"/>
        <v>8</v>
      </c>
      <c r="X99" s="5"/>
      <c r="Y99" s="21"/>
      <c r="Z99" s="1" t="e">
        <f t="shared" si="25"/>
        <v>#DIV/0!</v>
      </c>
      <c r="AA99" s="1" t="e">
        <f t="shared" si="22"/>
        <v>#DIV/0!</v>
      </c>
      <c r="AB99" s="1">
        <v>2.1076000000000001</v>
      </c>
      <c r="AC99" s="1">
        <v>1.9372</v>
      </c>
      <c r="AD99" s="1">
        <v>2.2138</v>
      </c>
      <c r="AE99" s="1">
        <v>4.1204000000000001</v>
      </c>
      <c r="AF99" s="1">
        <v>3.4714</v>
      </c>
      <c r="AG99" s="1">
        <v>2.1972</v>
      </c>
      <c r="AH99" s="1">
        <v>3.1594000000000002</v>
      </c>
      <c r="AI99" s="1">
        <v>4.0695999999999994</v>
      </c>
      <c r="AJ99" s="1">
        <v>3.1516000000000002</v>
      </c>
      <c r="AK99" s="1">
        <v>3.5156000000000001</v>
      </c>
      <c r="AL99" s="1" t="s">
        <v>238</v>
      </c>
      <c r="AM99" s="1">
        <f t="shared" si="23"/>
        <v>8</v>
      </c>
      <c r="AN99" t="s">
        <v>239</v>
      </c>
    </row>
    <row r="100" spans="1:40" x14ac:dyDescent="0.25">
      <c r="A100" s="1" t="s">
        <v>240</v>
      </c>
      <c r="B100" s="1" t="s">
        <v>50</v>
      </c>
      <c r="C100" s="1"/>
      <c r="D100" s="1"/>
      <c r="E100" s="1"/>
      <c r="F100" s="1"/>
      <c r="G100" s="7">
        <v>0.11</v>
      </c>
      <c r="H100" s="1">
        <v>30</v>
      </c>
      <c r="I100" s="1" t="s">
        <v>41</v>
      </c>
      <c r="J100" s="1"/>
      <c r="K100" s="1"/>
      <c r="L100" s="1">
        <f t="shared" si="20"/>
        <v>0</v>
      </c>
      <c r="M100" s="1"/>
      <c r="N100" s="1"/>
      <c r="O100" s="1">
        <v>110</v>
      </c>
      <c r="P100" s="1">
        <v>0</v>
      </c>
      <c r="Q100" s="1"/>
      <c r="R100" s="1">
        <v>0</v>
      </c>
      <c r="S100" s="1"/>
      <c r="T100" s="1"/>
      <c r="U100" s="1">
        <f t="shared" si="21"/>
        <v>0</v>
      </c>
      <c r="V100" s="5"/>
      <c r="W100" s="5">
        <f t="shared" si="27"/>
        <v>0</v>
      </c>
      <c r="X100" s="5"/>
      <c r="Y100" s="21"/>
      <c r="Z100" s="1" t="e">
        <f t="shared" si="25"/>
        <v>#DIV/0!</v>
      </c>
      <c r="AA100" s="1" t="e">
        <f t="shared" si="22"/>
        <v>#DIV/0!</v>
      </c>
      <c r="AB100" s="1">
        <v>0</v>
      </c>
      <c r="AC100" s="1">
        <v>0</v>
      </c>
      <c r="AD100" s="1">
        <v>3.2</v>
      </c>
      <c r="AE100" s="1">
        <v>3.2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 t="s">
        <v>241</v>
      </c>
      <c r="AM100" s="1">
        <f t="shared" si="23"/>
        <v>0</v>
      </c>
      <c r="AN100" t="s">
        <v>242</v>
      </c>
    </row>
    <row r="101" spans="1:40" x14ac:dyDescent="0.25">
      <c r="A101" s="9" t="s">
        <v>243</v>
      </c>
      <c r="B101" s="9" t="s">
        <v>50</v>
      </c>
      <c r="C101" s="9"/>
      <c r="D101" s="9"/>
      <c r="E101" s="9"/>
      <c r="F101" s="9"/>
      <c r="G101" s="10">
        <v>0</v>
      </c>
      <c r="H101" s="9"/>
      <c r="I101" s="9" t="s">
        <v>41</v>
      </c>
      <c r="J101" s="9"/>
      <c r="K101" s="9"/>
      <c r="L101" s="9">
        <f t="shared" si="20"/>
        <v>0</v>
      </c>
      <c r="M101" s="9"/>
      <c r="N101" s="9"/>
      <c r="O101" s="9">
        <v>0</v>
      </c>
      <c r="P101" s="9"/>
      <c r="Q101" s="9"/>
      <c r="R101" s="9">
        <v>0</v>
      </c>
      <c r="S101" s="9"/>
      <c r="T101" s="9"/>
      <c r="U101" s="9">
        <f t="shared" si="21"/>
        <v>0</v>
      </c>
      <c r="V101" s="11"/>
      <c r="W101" s="5">
        <f t="shared" si="27"/>
        <v>0</v>
      </c>
      <c r="X101" s="5"/>
      <c r="Y101" s="21"/>
      <c r="Z101" s="1" t="e">
        <f t="shared" si="25"/>
        <v>#DIV/0!</v>
      </c>
      <c r="AA101" s="9" t="e">
        <f t="shared" si="22"/>
        <v>#DIV/0!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>
        <v>0</v>
      </c>
      <c r="AI101" s="9">
        <v>0</v>
      </c>
      <c r="AJ101" s="9">
        <v>0</v>
      </c>
      <c r="AK101" s="9">
        <v>0</v>
      </c>
      <c r="AL101" s="9" t="s">
        <v>51</v>
      </c>
      <c r="AM101" s="1">
        <f t="shared" si="23"/>
        <v>0</v>
      </c>
      <c r="AN101" t="s">
        <v>244</v>
      </c>
    </row>
    <row r="102" spans="1:40" x14ac:dyDescent="0.25">
      <c r="A102" s="1" t="s">
        <v>245</v>
      </c>
      <c r="B102" s="1" t="s">
        <v>50</v>
      </c>
      <c r="C102" s="1">
        <v>4</v>
      </c>
      <c r="D102" s="1">
        <v>277</v>
      </c>
      <c r="E102" s="1">
        <v>82</v>
      </c>
      <c r="F102" s="1">
        <v>155</v>
      </c>
      <c r="G102" s="7">
        <v>0.08</v>
      </c>
      <c r="H102" s="1">
        <v>45</v>
      </c>
      <c r="I102" s="1" t="s">
        <v>41</v>
      </c>
      <c r="J102" s="1"/>
      <c r="K102" s="1">
        <v>88</v>
      </c>
      <c r="L102" s="1">
        <f t="shared" ref="L102:L131" si="28">E102-K102</f>
        <v>-6</v>
      </c>
      <c r="M102" s="1"/>
      <c r="N102" s="1"/>
      <c r="O102" s="1">
        <v>70</v>
      </c>
      <c r="P102" s="1">
        <v>0</v>
      </c>
      <c r="Q102" s="1"/>
      <c r="R102" s="1">
        <v>0</v>
      </c>
      <c r="S102" s="1"/>
      <c r="T102" s="1"/>
      <c r="U102" s="1">
        <f t="shared" ref="U102:U131" si="29">E102/5</f>
        <v>16.399999999999999</v>
      </c>
      <c r="V102" s="5">
        <v>45</v>
      </c>
      <c r="W102" s="5">
        <f t="shared" si="27"/>
        <v>45</v>
      </c>
      <c r="X102" s="5"/>
      <c r="Y102" s="21"/>
      <c r="Z102" s="1">
        <f t="shared" si="25"/>
        <v>16.463414634146343</v>
      </c>
      <c r="AA102" s="1">
        <f t="shared" ref="AA102:AA131" si="30">(F102+O102+P102+Q102+R102)/U102</f>
        <v>13.719512195121952</v>
      </c>
      <c r="AB102" s="1">
        <v>14.8</v>
      </c>
      <c r="AC102" s="1">
        <v>14</v>
      </c>
      <c r="AD102" s="1">
        <v>17.399999999999999</v>
      </c>
      <c r="AE102" s="1">
        <v>23</v>
      </c>
      <c r="AF102" s="1">
        <v>22.2</v>
      </c>
      <c r="AG102" s="1">
        <v>15.4</v>
      </c>
      <c r="AH102" s="1">
        <v>9.8000000000000007</v>
      </c>
      <c r="AI102" s="1">
        <v>10.6</v>
      </c>
      <c r="AJ102" s="1">
        <v>19</v>
      </c>
      <c r="AK102" s="1">
        <v>23.2</v>
      </c>
      <c r="AL102" s="1" t="s">
        <v>241</v>
      </c>
      <c r="AM102" s="1">
        <f t="shared" ref="AM102:AM131" si="31">ROUND(G102*W102,0)</f>
        <v>4</v>
      </c>
      <c r="AN102" t="s">
        <v>246</v>
      </c>
    </row>
    <row r="103" spans="1:40" x14ac:dyDescent="0.25">
      <c r="A103" s="1" t="s">
        <v>247</v>
      </c>
      <c r="B103" s="1" t="s">
        <v>50</v>
      </c>
      <c r="C103" s="1">
        <v>29</v>
      </c>
      <c r="D103" s="1">
        <v>114</v>
      </c>
      <c r="E103" s="1">
        <v>51</v>
      </c>
      <c r="F103" s="1">
        <v>63</v>
      </c>
      <c r="G103" s="7">
        <v>0.08</v>
      </c>
      <c r="H103" s="1">
        <v>45</v>
      </c>
      <c r="I103" s="1" t="s">
        <v>41</v>
      </c>
      <c r="J103" s="1"/>
      <c r="K103" s="1">
        <v>54</v>
      </c>
      <c r="L103" s="1">
        <f t="shared" si="28"/>
        <v>-3</v>
      </c>
      <c r="M103" s="1"/>
      <c r="N103" s="1"/>
      <c r="O103" s="1">
        <v>147.19999999999999</v>
      </c>
      <c r="P103" s="1">
        <v>0</v>
      </c>
      <c r="Q103" s="1"/>
      <c r="R103" s="1">
        <v>40</v>
      </c>
      <c r="S103" s="1"/>
      <c r="T103" s="1"/>
      <c r="U103" s="1">
        <f t="shared" si="29"/>
        <v>10.199999999999999</v>
      </c>
      <c r="V103" s="5"/>
      <c r="W103" s="5">
        <f t="shared" si="27"/>
        <v>0</v>
      </c>
      <c r="X103" s="5"/>
      <c r="Y103" s="21"/>
      <c r="Z103" s="1">
        <f t="shared" si="25"/>
        <v>24.529411764705884</v>
      </c>
      <c r="AA103" s="1">
        <f t="shared" si="30"/>
        <v>24.529411764705884</v>
      </c>
      <c r="AB103" s="1">
        <v>18.2</v>
      </c>
      <c r="AC103" s="1">
        <v>15.6</v>
      </c>
      <c r="AD103" s="1">
        <v>12</v>
      </c>
      <c r="AE103" s="1">
        <v>14</v>
      </c>
      <c r="AF103" s="1">
        <v>14</v>
      </c>
      <c r="AG103" s="1">
        <v>12.4</v>
      </c>
      <c r="AH103" s="1">
        <v>17.399999999999999</v>
      </c>
      <c r="AI103" s="1">
        <v>17</v>
      </c>
      <c r="AJ103" s="1">
        <v>11</v>
      </c>
      <c r="AK103" s="1">
        <v>13</v>
      </c>
      <c r="AL103" s="1" t="s">
        <v>241</v>
      </c>
      <c r="AM103" s="1">
        <f t="shared" si="31"/>
        <v>0</v>
      </c>
      <c r="AN103" t="s">
        <v>248</v>
      </c>
    </row>
    <row r="104" spans="1:40" x14ac:dyDescent="0.25">
      <c r="A104" s="1" t="s">
        <v>249</v>
      </c>
      <c r="B104" s="1" t="s">
        <v>50</v>
      </c>
      <c r="C104" s="1">
        <v>14</v>
      </c>
      <c r="D104" s="1"/>
      <c r="E104" s="1"/>
      <c r="F104" s="1"/>
      <c r="G104" s="7">
        <v>0.17</v>
      </c>
      <c r="H104" s="1">
        <v>30</v>
      </c>
      <c r="I104" s="1" t="s">
        <v>41</v>
      </c>
      <c r="J104" s="1"/>
      <c r="K104" s="1"/>
      <c r="L104" s="1">
        <f t="shared" si="28"/>
        <v>0</v>
      </c>
      <c r="M104" s="1"/>
      <c r="N104" s="1"/>
      <c r="O104" s="1">
        <v>70</v>
      </c>
      <c r="P104" s="1">
        <v>0</v>
      </c>
      <c r="Q104" s="1"/>
      <c r="R104" s="1">
        <v>0</v>
      </c>
      <c r="S104" s="1"/>
      <c r="T104" s="1"/>
      <c r="U104" s="1">
        <f t="shared" si="29"/>
        <v>0</v>
      </c>
      <c r="V104" s="5">
        <v>8</v>
      </c>
      <c r="W104" s="5">
        <f t="shared" si="27"/>
        <v>8</v>
      </c>
      <c r="X104" s="5"/>
      <c r="Y104" s="21"/>
      <c r="Z104" s="1" t="e">
        <f t="shared" si="25"/>
        <v>#DIV/0!</v>
      </c>
      <c r="AA104" s="1" t="e">
        <f t="shared" si="30"/>
        <v>#DIV/0!</v>
      </c>
      <c r="AB104" s="1">
        <v>0</v>
      </c>
      <c r="AC104" s="1">
        <v>0.4</v>
      </c>
      <c r="AD104" s="1">
        <v>0.8</v>
      </c>
      <c r="AE104" s="1">
        <v>0.4</v>
      </c>
      <c r="AF104" s="1">
        <v>0.2</v>
      </c>
      <c r="AG104" s="1">
        <v>0.4</v>
      </c>
      <c r="AH104" s="1">
        <v>0.2</v>
      </c>
      <c r="AI104" s="1">
        <v>0</v>
      </c>
      <c r="AJ104" s="1">
        <v>0</v>
      </c>
      <c r="AK104" s="1">
        <v>0</v>
      </c>
      <c r="AL104" s="15" t="s">
        <v>250</v>
      </c>
      <c r="AM104" s="1">
        <f t="shared" si="31"/>
        <v>1</v>
      </c>
      <c r="AN104" t="s">
        <v>251</v>
      </c>
    </row>
    <row r="105" spans="1:40" x14ac:dyDescent="0.25">
      <c r="A105" s="1" t="s">
        <v>252</v>
      </c>
      <c r="B105" s="1" t="s">
        <v>40</v>
      </c>
      <c r="C105" s="1">
        <v>202.464</v>
      </c>
      <c r="D105" s="1">
        <v>40.244999999999997</v>
      </c>
      <c r="E105" s="1">
        <v>124.73699999999999</v>
      </c>
      <c r="F105" s="1">
        <v>52.978999999999999</v>
      </c>
      <c r="G105" s="7">
        <v>1</v>
      </c>
      <c r="H105" s="1">
        <v>40</v>
      </c>
      <c r="I105" s="1" t="s">
        <v>41</v>
      </c>
      <c r="J105" s="1"/>
      <c r="K105" s="1">
        <v>111.5</v>
      </c>
      <c r="L105" s="1">
        <f t="shared" si="28"/>
        <v>13.236999999999995</v>
      </c>
      <c r="M105" s="1"/>
      <c r="N105" s="1"/>
      <c r="O105" s="1">
        <v>26.897999999999989</v>
      </c>
      <c r="P105" s="1">
        <v>-0.13900000000000001</v>
      </c>
      <c r="Q105" s="1"/>
      <c r="R105" s="1">
        <v>50</v>
      </c>
      <c r="S105" s="1">
        <v>-53</v>
      </c>
      <c r="T105" s="1"/>
      <c r="U105" s="1">
        <f t="shared" si="29"/>
        <v>24.947399999999998</v>
      </c>
      <c r="V105" s="5">
        <f>12*U105-R105-Q105-P105-O105-F105</f>
        <v>169.63079999999997</v>
      </c>
      <c r="W105" s="5">
        <f>V105+$W$1*U105</f>
        <v>153.16551599999997</v>
      </c>
      <c r="X105" s="5">
        <v>-154</v>
      </c>
      <c r="Y105" s="21"/>
      <c r="Z105" s="1">
        <f t="shared" si="25"/>
        <v>11.34</v>
      </c>
      <c r="AA105" s="1">
        <f t="shared" si="30"/>
        <v>5.2004617715673778</v>
      </c>
      <c r="AB105" s="1">
        <v>22.3066</v>
      </c>
      <c r="AC105" s="1">
        <v>15.290800000000001</v>
      </c>
      <c r="AD105" s="1">
        <v>20.459199999999999</v>
      </c>
      <c r="AE105" s="1">
        <v>22.341999999999999</v>
      </c>
      <c r="AF105" s="1">
        <v>26.3384</v>
      </c>
      <c r="AG105" s="1">
        <v>31.392800000000001</v>
      </c>
      <c r="AH105" s="1">
        <v>26.237200000000001</v>
      </c>
      <c r="AI105" s="1">
        <v>30.513999999999999</v>
      </c>
      <c r="AJ105" s="1">
        <v>35.223799999999997</v>
      </c>
      <c r="AK105" s="1">
        <v>32.168799999999997</v>
      </c>
      <c r="AL105" s="1"/>
      <c r="AM105" s="1">
        <f t="shared" si="31"/>
        <v>153</v>
      </c>
      <c r="AN105" t="s">
        <v>253</v>
      </c>
    </row>
    <row r="106" spans="1:40" x14ac:dyDescent="0.25">
      <c r="A106" s="1" t="s">
        <v>254</v>
      </c>
      <c r="B106" s="1" t="s">
        <v>40</v>
      </c>
      <c r="C106" s="1">
        <v>199.84100000000001</v>
      </c>
      <c r="D106" s="1">
        <v>28.393999999999998</v>
      </c>
      <c r="E106" s="1">
        <v>101.494</v>
      </c>
      <c r="F106" s="1">
        <v>128.94200000000001</v>
      </c>
      <c r="G106" s="7">
        <v>1</v>
      </c>
      <c r="H106" s="1">
        <v>40</v>
      </c>
      <c r="I106" s="1" t="s">
        <v>41</v>
      </c>
      <c r="J106" s="1"/>
      <c r="K106" s="1">
        <v>88.6</v>
      </c>
      <c r="L106" s="1">
        <f t="shared" si="28"/>
        <v>12.894000000000005</v>
      </c>
      <c r="M106" s="1"/>
      <c r="N106" s="1"/>
      <c r="O106" s="1">
        <v>0</v>
      </c>
      <c r="P106" s="1"/>
      <c r="Q106" s="1"/>
      <c r="R106" s="1">
        <v>29.927999999999969</v>
      </c>
      <c r="S106" s="1">
        <v>-32</v>
      </c>
      <c r="T106" s="1"/>
      <c r="U106" s="1">
        <f t="shared" si="29"/>
        <v>20.2988</v>
      </c>
      <c r="V106" s="5">
        <f>12*U106-R106-Q106-P106-O106-F106</f>
        <v>84.715600000000023</v>
      </c>
      <c r="W106" s="5">
        <f>V106</f>
        <v>84.715600000000023</v>
      </c>
      <c r="X106" s="5">
        <v>-87.5</v>
      </c>
      <c r="Y106" s="21"/>
      <c r="Z106" s="1">
        <f t="shared" si="25"/>
        <v>12</v>
      </c>
      <c r="AA106" s="1">
        <f t="shared" si="30"/>
        <v>7.8265710288292896</v>
      </c>
      <c r="AB106" s="1">
        <v>19.150400000000001</v>
      </c>
      <c r="AC106" s="1">
        <v>10.0184</v>
      </c>
      <c r="AD106" s="1">
        <v>10.5992</v>
      </c>
      <c r="AE106" s="1">
        <v>15.360799999999999</v>
      </c>
      <c r="AF106" s="1">
        <v>21.815000000000001</v>
      </c>
      <c r="AG106" s="1">
        <v>26.238600000000002</v>
      </c>
      <c r="AH106" s="1">
        <v>26.207999999999998</v>
      </c>
      <c r="AI106" s="1">
        <v>30.0702</v>
      </c>
      <c r="AJ106" s="1">
        <v>27.5472</v>
      </c>
      <c r="AK106" s="1">
        <v>24.343599999999999</v>
      </c>
      <c r="AL106" s="1"/>
      <c r="AM106" s="1">
        <f t="shared" si="31"/>
        <v>85</v>
      </c>
      <c r="AN106" t="s">
        <v>255</v>
      </c>
    </row>
    <row r="107" spans="1:40" x14ac:dyDescent="0.25">
      <c r="A107" s="1" t="s">
        <v>256</v>
      </c>
      <c r="B107" s="1" t="s">
        <v>40</v>
      </c>
      <c r="C107" s="1">
        <v>103.48699999999999</v>
      </c>
      <c r="D107" s="1">
        <v>139.87200000000001</v>
      </c>
      <c r="E107" s="1">
        <v>124.884</v>
      </c>
      <c r="F107" s="1">
        <v>105.149</v>
      </c>
      <c r="G107" s="7">
        <v>1</v>
      </c>
      <c r="H107" s="1">
        <v>40</v>
      </c>
      <c r="I107" s="1" t="s">
        <v>41</v>
      </c>
      <c r="J107" s="1"/>
      <c r="K107" s="1">
        <v>106.2</v>
      </c>
      <c r="L107" s="1">
        <f t="shared" si="28"/>
        <v>18.683999999999997</v>
      </c>
      <c r="M107" s="1"/>
      <c r="N107" s="1"/>
      <c r="O107" s="1">
        <v>109.5882</v>
      </c>
      <c r="P107" s="1">
        <v>-109.93600000000001</v>
      </c>
      <c r="Q107" s="1"/>
      <c r="R107" s="1">
        <v>60</v>
      </c>
      <c r="S107" s="1">
        <v>-63</v>
      </c>
      <c r="T107" s="1"/>
      <c r="U107" s="1">
        <f t="shared" si="29"/>
        <v>24.976800000000001</v>
      </c>
      <c r="V107" s="5">
        <f>12*U107-R107-Q107-P107-O107-F107</f>
        <v>134.9204</v>
      </c>
      <c r="W107" s="5">
        <f>V107+$W$1*U107</f>
        <v>118.435712</v>
      </c>
      <c r="X107" s="5">
        <v>-75.555999999999997</v>
      </c>
      <c r="Y107" s="21"/>
      <c r="Z107" s="1">
        <f t="shared" si="25"/>
        <v>11.339999999999998</v>
      </c>
      <c r="AA107" s="1">
        <f t="shared" si="30"/>
        <v>6.5981711027833825</v>
      </c>
      <c r="AB107" s="1">
        <v>27.531199999999998</v>
      </c>
      <c r="AC107" s="1">
        <v>20.959199999999999</v>
      </c>
      <c r="AD107" s="1">
        <v>21.774000000000001</v>
      </c>
      <c r="AE107" s="1">
        <v>25.6434</v>
      </c>
      <c r="AF107" s="1">
        <v>20.285</v>
      </c>
      <c r="AG107" s="1">
        <v>3.4573999999999998</v>
      </c>
      <c r="AH107" s="1">
        <v>9.8133999999999997</v>
      </c>
      <c r="AI107" s="1">
        <v>30.8186</v>
      </c>
      <c r="AJ107" s="1">
        <v>32.925199999999997</v>
      </c>
      <c r="AK107" s="1">
        <v>17.869199999999999</v>
      </c>
      <c r="AL107" s="1"/>
      <c r="AM107" s="1">
        <f t="shared" si="31"/>
        <v>118</v>
      </c>
      <c r="AN107" t="s">
        <v>257</v>
      </c>
    </row>
    <row r="108" spans="1:40" x14ac:dyDescent="0.25">
      <c r="A108" s="9" t="s">
        <v>258</v>
      </c>
      <c r="B108" s="9" t="s">
        <v>50</v>
      </c>
      <c r="C108" s="9"/>
      <c r="D108" s="9"/>
      <c r="E108" s="9"/>
      <c r="F108" s="9"/>
      <c r="G108" s="10">
        <v>0</v>
      </c>
      <c r="H108" s="9"/>
      <c r="I108" s="9" t="s">
        <v>41</v>
      </c>
      <c r="J108" s="9"/>
      <c r="K108" s="9"/>
      <c r="L108" s="9">
        <f t="shared" si="28"/>
        <v>0</v>
      </c>
      <c r="M108" s="9"/>
      <c r="N108" s="9"/>
      <c r="O108" s="9">
        <v>0</v>
      </c>
      <c r="P108" s="9"/>
      <c r="Q108" s="9"/>
      <c r="R108" s="9">
        <v>0</v>
      </c>
      <c r="S108" s="9"/>
      <c r="T108" s="9"/>
      <c r="U108" s="9">
        <f t="shared" si="29"/>
        <v>0</v>
      </c>
      <c r="V108" s="11"/>
      <c r="W108" s="5">
        <f>V108</f>
        <v>0</v>
      </c>
      <c r="X108" s="5"/>
      <c r="Y108" s="21"/>
      <c r="Z108" s="1" t="e">
        <f t="shared" si="25"/>
        <v>#DIV/0!</v>
      </c>
      <c r="AA108" s="9" t="e">
        <f t="shared" si="30"/>
        <v>#DIV/0!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>
        <v>0</v>
      </c>
      <c r="AJ108" s="9">
        <v>0</v>
      </c>
      <c r="AK108" s="9">
        <v>0</v>
      </c>
      <c r="AL108" s="9" t="s">
        <v>51</v>
      </c>
      <c r="AM108" s="1">
        <f t="shared" si="31"/>
        <v>0</v>
      </c>
      <c r="AN108" t="s">
        <v>259</v>
      </c>
    </row>
    <row r="109" spans="1:40" x14ac:dyDescent="0.25">
      <c r="A109" s="9" t="s">
        <v>260</v>
      </c>
      <c r="B109" s="9" t="s">
        <v>40</v>
      </c>
      <c r="C109" s="9"/>
      <c r="D109" s="9"/>
      <c r="E109" s="9"/>
      <c r="F109" s="9"/>
      <c r="G109" s="10">
        <v>0</v>
      </c>
      <c r="H109" s="9"/>
      <c r="I109" s="9" t="s">
        <v>41</v>
      </c>
      <c r="J109" s="9"/>
      <c r="K109" s="9"/>
      <c r="L109" s="9">
        <f t="shared" si="28"/>
        <v>0</v>
      </c>
      <c r="M109" s="9"/>
      <c r="N109" s="9"/>
      <c r="O109" s="9">
        <v>0</v>
      </c>
      <c r="P109" s="9"/>
      <c r="Q109" s="9"/>
      <c r="R109" s="9">
        <v>0</v>
      </c>
      <c r="S109" s="9"/>
      <c r="T109" s="9"/>
      <c r="U109" s="9">
        <f t="shared" si="29"/>
        <v>0</v>
      </c>
      <c r="V109" s="11"/>
      <c r="W109" s="5">
        <f>V109</f>
        <v>0</v>
      </c>
      <c r="X109" s="5"/>
      <c r="Y109" s="21"/>
      <c r="Z109" s="1" t="e">
        <f t="shared" si="25"/>
        <v>#DIV/0!</v>
      </c>
      <c r="AA109" s="9" t="e">
        <f t="shared" si="30"/>
        <v>#DIV/0!</v>
      </c>
      <c r="AB109" s="9">
        <v>0</v>
      </c>
      <c r="AC109" s="9">
        <v>0</v>
      </c>
      <c r="AD109" s="9">
        <v>0</v>
      </c>
      <c r="AE109" s="9">
        <v>0</v>
      </c>
      <c r="AF109" s="9">
        <v>0</v>
      </c>
      <c r="AG109" s="9">
        <v>0</v>
      </c>
      <c r="AH109" s="9">
        <v>0</v>
      </c>
      <c r="AI109" s="9">
        <v>0</v>
      </c>
      <c r="AJ109" s="9">
        <v>0</v>
      </c>
      <c r="AK109" s="9">
        <v>0</v>
      </c>
      <c r="AL109" s="9" t="s">
        <v>51</v>
      </c>
      <c r="AM109" s="1">
        <f t="shared" si="31"/>
        <v>0</v>
      </c>
      <c r="AN109" t="s">
        <v>261</v>
      </c>
    </row>
    <row r="110" spans="1:40" x14ac:dyDescent="0.25">
      <c r="A110" s="1" t="s">
        <v>262</v>
      </c>
      <c r="B110" s="1" t="s">
        <v>50</v>
      </c>
      <c r="C110" s="1">
        <v>406</v>
      </c>
      <c r="D110" s="1">
        <v>54</v>
      </c>
      <c r="E110" s="1">
        <v>216</v>
      </c>
      <c r="F110" s="1">
        <v>133</v>
      </c>
      <c r="G110" s="7">
        <v>0.28000000000000003</v>
      </c>
      <c r="H110" s="1">
        <v>40</v>
      </c>
      <c r="I110" s="1" t="s">
        <v>41</v>
      </c>
      <c r="J110" s="1"/>
      <c r="K110" s="1">
        <v>242</v>
      </c>
      <c r="L110" s="1">
        <f t="shared" si="28"/>
        <v>-26</v>
      </c>
      <c r="M110" s="1"/>
      <c r="N110" s="1"/>
      <c r="O110" s="1">
        <v>102</v>
      </c>
      <c r="P110" s="1">
        <v>-108</v>
      </c>
      <c r="Q110" s="1"/>
      <c r="R110" s="1">
        <v>50</v>
      </c>
      <c r="S110" s="1">
        <v>-53.571428571428569</v>
      </c>
      <c r="T110" s="1"/>
      <c r="U110" s="1">
        <f t="shared" si="29"/>
        <v>43.2</v>
      </c>
      <c r="V110" s="5">
        <f>10*U110-R110-Q110-P110-O110-F110</f>
        <v>255</v>
      </c>
      <c r="W110" s="5">
        <f>V110+$W$1*U110</f>
        <v>226.488</v>
      </c>
      <c r="X110" s="5">
        <v>-228</v>
      </c>
      <c r="Y110" s="21"/>
      <c r="Z110" s="1">
        <f t="shared" si="25"/>
        <v>9.34</v>
      </c>
      <c r="AA110" s="1">
        <f t="shared" si="30"/>
        <v>4.0972222222222223</v>
      </c>
      <c r="AB110" s="1">
        <v>41</v>
      </c>
      <c r="AC110" s="1">
        <v>34</v>
      </c>
      <c r="AD110" s="1">
        <v>24.2</v>
      </c>
      <c r="AE110" s="1">
        <v>32.6</v>
      </c>
      <c r="AF110" s="1">
        <v>45.6</v>
      </c>
      <c r="AG110" s="1">
        <v>52.8</v>
      </c>
      <c r="AH110" s="1">
        <v>57.2</v>
      </c>
      <c r="AI110" s="1">
        <v>51.4</v>
      </c>
      <c r="AJ110" s="1">
        <v>46.4</v>
      </c>
      <c r="AK110" s="1">
        <v>51</v>
      </c>
      <c r="AL110" s="1"/>
      <c r="AM110" s="1">
        <f t="shared" si="31"/>
        <v>63</v>
      </c>
      <c r="AN110" t="s">
        <v>263</v>
      </c>
    </row>
    <row r="111" spans="1:40" x14ac:dyDescent="0.25">
      <c r="A111" s="1" t="s">
        <v>264</v>
      </c>
      <c r="B111" s="1" t="s">
        <v>50</v>
      </c>
      <c r="C111" s="1">
        <v>319</v>
      </c>
      <c r="D111" s="1">
        <v>115</v>
      </c>
      <c r="E111" s="1">
        <v>231</v>
      </c>
      <c r="F111" s="1">
        <v>131</v>
      </c>
      <c r="G111" s="7">
        <v>0.28000000000000003</v>
      </c>
      <c r="H111" s="1">
        <v>40</v>
      </c>
      <c r="I111" s="1" t="s">
        <v>41</v>
      </c>
      <c r="J111" s="1"/>
      <c r="K111" s="1">
        <v>254</v>
      </c>
      <c r="L111" s="1">
        <f t="shared" si="28"/>
        <v>-23</v>
      </c>
      <c r="M111" s="1"/>
      <c r="N111" s="1"/>
      <c r="O111" s="1">
        <v>0</v>
      </c>
      <c r="P111" s="1"/>
      <c r="Q111" s="1"/>
      <c r="R111" s="1">
        <v>109</v>
      </c>
      <c r="S111" s="1">
        <v>-114.28571428571428</v>
      </c>
      <c r="T111" s="1"/>
      <c r="U111" s="1">
        <f t="shared" si="29"/>
        <v>46.2</v>
      </c>
      <c r="V111" s="5">
        <f>12*U111-R111-Q111-P111-O111-F111</f>
        <v>314.40000000000009</v>
      </c>
      <c r="W111" s="5">
        <f>V111+$W$1*U111</f>
        <v>283.90800000000007</v>
      </c>
      <c r="X111" s="5">
        <v>-288</v>
      </c>
      <c r="Y111" s="21"/>
      <c r="Z111" s="1">
        <f t="shared" si="25"/>
        <v>11.340000000000002</v>
      </c>
      <c r="AA111" s="1">
        <f t="shared" si="30"/>
        <v>5.1948051948051948</v>
      </c>
      <c r="AB111" s="1">
        <v>36</v>
      </c>
      <c r="AC111" s="1">
        <v>21</v>
      </c>
      <c r="AD111" s="1">
        <v>19.399999999999999</v>
      </c>
      <c r="AE111" s="1">
        <v>32.799999999999997</v>
      </c>
      <c r="AF111" s="1">
        <v>43.4</v>
      </c>
      <c r="AG111" s="1">
        <v>46.6</v>
      </c>
      <c r="AH111" s="1">
        <v>24</v>
      </c>
      <c r="AI111" s="1">
        <v>-0.2</v>
      </c>
      <c r="AJ111" s="1">
        <v>1.8</v>
      </c>
      <c r="AK111" s="1">
        <v>19.2</v>
      </c>
      <c r="AL111" s="1"/>
      <c r="AM111" s="1">
        <f t="shared" si="31"/>
        <v>79</v>
      </c>
      <c r="AN111" t="s">
        <v>265</v>
      </c>
    </row>
    <row r="112" spans="1:40" x14ac:dyDescent="0.25">
      <c r="A112" s="1" t="s">
        <v>266</v>
      </c>
      <c r="B112" s="1" t="s">
        <v>50</v>
      </c>
      <c r="C112" s="1">
        <v>279</v>
      </c>
      <c r="D112" s="1">
        <v>69</v>
      </c>
      <c r="E112" s="1">
        <v>235</v>
      </c>
      <c r="F112" s="1">
        <v>44</v>
      </c>
      <c r="G112" s="7">
        <v>0.28000000000000003</v>
      </c>
      <c r="H112" s="1">
        <v>40</v>
      </c>
      <c r="I112" s="1" t="s">
        <v>41</v>
      </c>
      <c r="J112" s="1"/>
      <c r="K112" s="1">
        <v>271</v>
      </c>
      <c r="L112" s="1">
        <f t="shared" si="28"/>
        <v>-36</v>
      </c>
      <c r="M112" s="1"/>
      <c r="N112" s="1"/>
      <c r="O112" s="1">
        <v>237.3</v>
      </c>
      <c r="P112" s="1">
        <v>0</v>
      </c>
      <c r="Q112" s="1"/>
      <c r="R112" s="1">
        <v>0</v>
      </c>
      <c r="S112" s="1"/>
      <c r="T112" s="1"/>
      <c r="U112" s="1">
        <f t="shared" si="29"/>
        <v>47</v>
      </c>
      <c r="V112" s="5">
        <f>12*U112-R112-Q112-P112-O112-F112</f>
        <v>282.7</v>
      </c>
      <c r="W112" s="5">
        <f>V112+$W$1*U112</f>
        <v>251.67999999999998</v>
      </c>
      <c r="X112" s="5">
        <v>-251.99999999999997</v>
      </c>
      <c r="Y112" s="21"/>
      <c r="Z112" s="1">
        <f t="shared" si="25"/>
        <v>11.34</v>
      </c>
      <c r="AA112" s="1">
        <f t="shared" si="30"/>
        <v>5.9851063829787234</v>
      </c>
      <c r="AB112" s="1">
        <v>37.200000000000003</v>
      </c>
      <c r="AC112" s="1">
        <v>34.799999999999997</v>
      </c>
      <c r="AD112" s="1">
        <v>33.200000000000003</v>
      </c>
      <c r="AE112" s="1">
        <v>37.799999999999997</v>
      </c>
      <c r="AF112" s="1">
        <v>41.6</v>
      </c>
      <c r="AG112" s="1">
        <v>45</v>
      </c>
      <c r="AH112" s="1">
        <v>46</v>
      </c>
      <c r="AI112" s="1">
        <v>43.4</v>
      </c>
      <c r="AJ112" s="1">
        <v>45.8</v>
      </c>
      <c r="AK112" s="1">
        <v>41</v>
      </c>
      <c r="AL112" s="1"/>
      <c r="AM112" s="1">
        <f t="shared" si="31"/>
        <v>70</v>
      </c>
      <c r="AN112" t="s">
        <v>267</v>
      </c>
    </row>
    <row r="113" spans="1:40" x14ac:dyDescent="0.25">
      <c r="A113" s="1" t="s">
        <v>268</v>
      </c>
      <c r="B113" s="1" t="s">
        <v>50</v>
      </c>
      <c r="C113" s="1">
        <v>33</v>
      </c>
      <c r="D113" s="1">
        <v>94</v>
      </c>
      <c r="E113" s="1">
        <v>50</v>
      </c>
      <c r="F113" s="1">
        <v>67</v>
      </c>
      <c r="G113" s="7">
        <v>0.09</v>
      </c>
      <c r="H113" s="1">
        <v>45</v>
      </c>
      <c r="I113" s="1" t="s">
        <v>41</v>
      </c>
      <c r="J113" s="1"/>
      <c r="K113" s="1">
        <v>55</v>
      </c>
      <c r="L113" s="1">
        <f t="shared" si="28"/>
        <v>-5</v>
      </c>
      <c r="M113" s="1"/>
      <c r="N113" s="1"/>
      <c r="O113" s="1">
        <v>70</v>
      </c>
      <c r="P113" s="1">
        <v>0</v>
      </c>
      <c r="Q113" s="1"/>
      <c r="R113" s="1">
        <v>0</v>
      </c>
      <c r="S113" s="1"/>
      <c r="T113" s="1"/>
      <c r="U113" s="1">
        <f t="shared" si="29"/>
        <v>10</v>
      </c>
      <c r="V113" s="5">
        <v>40</v>
      </c>
      <c r="W113" s="5">
        <f t="shared" ref="W113:W118" si="32">V113</f>
        <v>40</v>
      </c>
      <c r="X113" s="5"/>
      <c r="Y113" s="21"/>
      <c r="Z113" s="1">
        <f t="shared" si="25"/>
        <v>17.7</v>
      </c>
      <c r="AA113" s="1">
        <f t="shared" si="30"/>
        <v>13.7</v>
      </c>
      <c r="AB113" s="1">
        <v>5.6</v>
      </c>
      <c r="AC113" s="1">
        <v>2.4</v>
      </c>
      <c r="AD113" s="1">
        <v>3.6</v>
      </c>
      <c r="AE113" s="1">
        <v>8.1999999999999993</v>
      </c>
      <c r="AF113" s="1">
        <v>9.6</v>
      </c>
      <c r="AG113" s="1">
        <v>6.6</v>
      </c>
      <c r="AH113" s="1">
        <v>2.8</v>
      </c>
      <c r="AI113" s="1">
        <v>4.2</v>
      </c>
      <c r="AJ113" s="1">
        <v>6</v>
      </c>
      <c r="AK113" s="1">
        <v>1.8</v>
      </c>
      <c r="AL113" s="1" t="s">
        <v>241</v>
      </c>
      <c r="AM113" s="1">
        <f t="shared" si="31"/>
        <v>4</v>
      </c>
      <c r="AN113" t="s">
        <v>269</v>
      </c>
    </row>
    <row r="114" spans="1:40" x14ac:dyDescent="0.25">
      <c r="A114" s="1" t="s">
        <v>270</v>
      </c>
      <c r="B114" s="1" t="s">
        <v>40</v>
      </c>
      <c r="C114" s="1">
        <v>189.84</v>
      </c>
      <c r="D114" s="1">
        <v>22.908000000000001</v>
      </c>
      <c r="E114" s="1">
        <v>46.320999999999998</v>
      </c>
      <c r="F114" s="1">
        <v>155.19200000000001</v>
      </c>
      <c r="G114" s="7">
        <v>1</v>
      </c>
      <c r="H114" s="1">
        <v>60</v>
      </c>
      <c r="I114" s="1" t="s">
        <v>41</v>
      </c>
      <c r="J114" s="1"/>
      <c r="K114" s="1">
        <v>47.5</v>
      </c>
      <c r="L114" s="1">
        <f t="shared" si="28"/>
        <v>-1.179000000000002</v>
      </c>
      <c r="M114" s="1"/>
      <c r="N114" s="1"/>
      <c r="O114" s="1">
        <v>0</v>
      </c>
      <c r="P114" s="1"/>
      <c r="Q114" s="1"/>
      <c r="R114" s="1">
        <v>0</v>
      </c>
      <c r="S114" s="1"/>
      <c r="T114" s="1"/>
      <c r="U114" s="1">
        <f t="shared" si="29"/>
        <v>9.2641999999999989</v>
      </c>
      <c r="V114" s="5"/>
      <c r="W114" s="5">
        <f t="shared" si="32"/>
        <v>0</v>
      </c>
      <c r="X114" s="5"/>
      <c r="Y114" s="21"/>
      <c r="Z114" s="1">
        <f t="shared" si="25"/>
        <v>16.751797240992211</v>
      </c>
      <c r="AA114" s="1">
        <f t="shared" si="30"/>
        <v>16.751797240992211</v>
      </c>
      <c r="AB114" s="1">
        <v>7.4257999999999997</v>
      </c>
      <c r="AC114" s="1">
        <v>8.0817999999999994</v>
      </c>
      <c r="AD114" s="1">
        <v>7.9066000000000001</v>
      </c>
      <c r="AE114" s="1">
        <v>7.5061999999999998</v>
      </c>
      <c r="AF114" s="1">
        <v>11.083399999999999</v>
      </c>
      <c r="AG114" s="1">
        <v>18.972999999999999</v>
      </c>
      <c r="AH114" s="1">
        <v>21.614599999999999</v>
      </c>
      <c r="AI114" s="1">
        <v>13.019600000000001</v>
      </c>
      <c r="AJ114" s="1">
        <v>9.3587999999999987</v>
      </c>
      <c r="AK114" s="1">
        <v>18.064599999999999</v>
      </c>
      <c r="AL114" s="14" t="s">
        <v>271</v>
      </c>
      <c r="AM114" s="1">
        <f t="shared" si="31"/>
        <v>0</v>
      </c>
      <c r="AN114" t="s">
        <v>272</v>
      </c>
    </row>
    <row r="115" spans="1:40" x14ac:dyDescent="0.25">
      <c r="A115" s="1" t="s">
        <v>273</v>
      </c>
      <c r="B115" s="1" t="s">
        <v>40</v>
      </c>
      <c r="C115" s="1">
        <v>164.959</v>
      </c>
      <c r="D115" s="1">
        <v>9.8079999999999998</v>
      </c>
      <c r="E115" s="1">
        <v>68.510000000000005</v>
      </c>
      <c r="F115" s="1">
        <v>99.858999999999995</v>
      </c>
      <c r="G115" s="7">
        <v>1</v>
      </c>
      <c r="H115" s="1">
        <v>50</v>
      </c>
      <c r="I115" s="1" t="s">
        <v>41</v>
      </c>
      <c r="J115" s="1"/>
      <c r="K115" s="1">
        <v>67.5</v>
      </c>
      <c r="L115" s="1">
        <f t="shared" si="28"/>
        <v>1.0100000000000051</v>
      </c>
      <c r="M115" s="1"/>
      <c r="N115" s="1"/>
      <c r="O115" s="1">
        <v>43.966999999999999</v>
      </c>
      <c r="P115" s="1">
        <v>0</v>
      </c>
      <c r="Q115" s="1"/>
      <c r="R115" s="1">
        <v>0</v>
      </c>
      <c r="S115" s="1"/>
      <c r="T115" s="1"/>
      <c r="U115" s="1">
        <f t="shared" si="29"/>
        <v>13.702000000000002</v>
      </c>
      <c r="V115" s="5">
        <f>12*U115-R115-Q115-P115-O115-F115</f>
        <v>20.598000000000042</v>
      </c>
      <c r="W115" s="5">
        <f t="shared" si="32"/>
        <v>20.598000000000042</v>
      </c>
      <c r="X115" s="5"/>
      <c r="Y115" s="21"/>
      <c r="Z115" s="1">
        <f t="shared" si="25"/>
        <v>12.000000000000002</v>
      </c>
      <c r="AA115" s="1">
        <f t="shared" si="30"/>
        <v>10.496715807911253</v>
      </c>
      <c r="AB115" s="1">
        <v>12.7056</v>
      </c>
      <c r="AC115" s="1">
        <v>13.9284</v>
      </c>
      <c r="AD115" s="1">
        <v>8.4375999999999998</v>
      </c>
      <c r="AE115" s="1">
        <v>7.9498000000000006</v>
      </c>
      <c r="AF115" s="1">
        <v>13.4292</v>
      </c>
      <c r="AG115" s="1">
        <v>21.123000000000001</v>
      </c>
      <c r="AH115" s="1">
        <v>25.892800000000001</v>
      </c>
      <c r="AI115" s="1">
        <v>21.508199999999999</v>
      </c>
      <c r="AJ115" s="1">
        <v>16.107800000000001</v>
      </c>
      <c r="AK115" s="1">
        <v>20.5518</v>
      </c>
      <c r="AL115" s="1"/>
      <c r="AM115" s="1">
        <f t="shared" si="31"/>
        <v>21</v>
      </c>
      <c r="AN115" t="s">
        <v>274</v>
      </c>
    </row>
    <row r="116" spans="1:40" x14ac:dyDescent="0.25">
      <c r="A116" s="1" t="s">
        <v>275</v>
      </c>
      <c r="B116" s="1" t="s">
        <v>50</v>
      </c>
      <c r="C116" s="1">
        <v>17</v>
      </c>
      <c r="D116" s="1">
        <v>101</v>
      </c>
      <c r="E116" s="1">
        <v>59</v>
      </c>
      <c r="F116" s="1">
        <v>58</v>
      </c>
      <c r="G116" s="7">
        <v>0.09</v>
      </c>
      <c r="H116" s="1">
        <v>45</v>
      </c>
      <c r="I116" s="1" t="s">
        <v>41</v>
      </c>
      <c r="J116" s="1"/>
      <c r="K116" s="1">
        <v>61</v>
      </c>
      <c r="L116" s="1">
        <f t="shared" si="28"/>
        <v>-2</v>
      </c>
      <c r="M116" s="1"/>
      <c r="N116" s="1"/>
      <c r="O116" s="1">
        <v>70</v>
      </c>
      <c r="P116" s="1">
        <v>0</v>
      </c>
      <c r="Q116" s="1"/>
      <c r="R116" s="1">
        <v>0</v>
      </c>
      <c r="S116" s="1"/>
      <c r="T116" s="1"/>
      <c r="U116" s="1">
        <f t="shared" si="29"/>
        <v>11.8</v>
      </c>
      <c r="V116" s="5">
        <f>12*U116-R116-Q116-P116-O116-F116</f>
        <v>13.600000000000023</v>
      </c>
      <c r="W116" s="5">
        <f t="shared" si="32"/>
        <v>13.600000000000023</v>
      </c>
      <c r="X116" s="5"/>
      <c r="Y116" s="21"/>
      <c r="Z116" s="1">
        <f t="shared" si="25"/>
        <v>12.000000000000002</v>
      </c>
      <c r="AA116" s="1">
        <f t="shared" si="30"/>
        <v>10.847457627118644</v>
      </c>
      <c r="AB116" s="1">
        <v>6</v>
      </c>
      <c r="AC116" s="1">
        <v>3.4</v>
      </c>
      <c r="AD116" s="1">
        <v>6.2</v>
      </c>
      <c r="AE116" s="1">
        <v>9.4</v>
      </c>
      <c r="AF116" s="1">
        <v>6</v>
      </c>
      <c r="AG116" s="1">
        <v>3.8</v>
      </c>
      <c r="AH116" s="1">
        <v>5.2</v>
      </c>
      <c r="AI116" s="1">
        <v>5.6</v>
      </c>
      <c r="AJ116" s="1">
        <v>6.4</v>
      </c>
      <c r="AK116" s="1">
        <v>2.4</v>
      </c>
      <c r="AL116" s="1" t="s">
        <v>241</v>
      </c>
      <c r="AM116" s="1">
        <f t="shared" si="31"/>
        <v>1</v>
      </c>
      <c r="AN116" t="s">
        <v>276</v>
      </c>
    </row>
    <row r="117" spans="1:40" x14ac:dyDescent="0.25">
      <c r="A117" s="1" t="s">
        <v>277</v>
      </c>
      <c r="B117" s="1" t="s">
        <v>50</v>
      </c>
      <c r="C117" s="1">
        <v>25</v>
      </c>
      <c r="D117" s="1">
        <v>51</v>
      </c>
      <c r="E117" s="1">
        <v>67</v>
      </c>
      <c r="F117" s="1">
        <v>5</v>
      </c>
      <c r="G117" s="7">
        <v>0.09</v>
      </c>
      <c r="H117" s="1">
        <v>45</v>
      </c>
      <c r="I117" s="1" t="s">
        <v>41</v>
      </c>
      <c r="J117" s="1"/>
      <c r="K117" s="1">
        <v>71</v>
      </c>
      <c r="L117" s="1">
        <f t="shared" si="28"/>
        <v>-4</v>
      </c>
      <c r="M117" s="1"/>
      <c r="N117" s="1"/>
      <c r="O117" s="1">
        <v>70</v>
      </c>
      <c r="P117" s="1">
        <v>0</v>
      </c>
      <c r="Q117" s="1"/>
      <c r="R117" s="1">
        <v>0</v>
      </c>
      <c r="S117" s="1"/>
      <c r="T117" s="1"/>
      <c r="U117" s="1">
        <f t="shared" si="29"/>
        <v>13.4</v>
      </c>
      <c r="V117" s="5">
        <f>12*U117-R117-Q117-P117-O117-F117</f>
        <v>85.800000000000011</v>
      </c>
      <c r="W117" s="5">
        <f t="shared" si="32"/>
        <v>85.800000000000011</v>
      </c>
      <c r="X117" s="5"/>
      <c r="Y117" s="21"/>
      <c r="Z117" s="1">
        <f t="shared" si="25"/>
        <v>12</v>
      </c>
      <c r="AA117" s="1">
        <f t="shared" si="30"/>
        <v>5.5970149253731343</v>
      </c>
      <c r="AB117" s="1">
        <v>7.2</v>
      </c>
      <c r="AC117" s="1">
        <v>5.6</v>
      </c>
      <c r="AD117" s="1">
        <v>5.6</v>
      </c>
      <c r="AE117" s="1">
        <v>7.8</v>
      </c>
      <c r="AF117" s="1">
        <v>6</v>
      </c>
      <c r="AG117" s="1">
        <v>3.2</v>
      </c>
      <c r="AH117" s="1">
        <v>3.8</v>
      </c>
      <c r="AI117" s="1">
        <v>6.2</v>
      </c>
      <c r="AJ117" s="1">
        <v>6.2</v>
      </c>
      <c r="AK117" s="1">
        <v>2</v>
      </c>
      <c r="AL117" s="1" t="s">
        <v>241</v>
      </c>
      <c r="AM117" s="1">
        <f t="shared" si="31"/>
        <v>8</v>
      </c>
      <c r="AN117" t="s">
        <v>278</v>
      </c>
    </row>
    <row r="118" spans="1:40" x14ac:dyDescent="0.25">
      <c r="A118" s="1" t="s">
        <v>279</v>
      </c>
      <c r="B118" s="1" t="s">
        <v>40</v>
      </c>
      <c r="C118" s="1">
        <v>152.58600000000001</v>
      </c>
      <c r="D118" s="1">
        <v>39.04</v>
      </c>
      <c r="E118" s="1">
        <v>78.462000000000003</v>
      </c>
      <c r="F118" s="1">
        <v>96.287999999999997</v>
      </c>
      <c r="G118" s="7">
        <v>1</v>
      </c>
      <c r="H118" s="1">
        <v>60</v>
      </c>
      <c r="I118" s="1" t="s">
        <v>41</v>
      </c>
      <c r="J118" s="1"/>
      <c r="K118" s="1">
        <v>80.599999999999994</v>
      </c>
      <c r="L118" s="1">
        <f t="shared" si="28"/>
        <v>-2.137999999999991</v>
      </c>
      <c r="M118" s="1"/>
      <c r="N118" s="1"/>
      <c r="O118" s="1">
        <v>0</v>
      </c>
      <c r="P118" s="1"/>
      <c r="Q118" s="1"/>
      <c r="R118" s="1">
        <v>38.290399999999991</v>
      </c>
      <c r="S118" s="1"/>
      <c r="T118" s="1"/>
      <c r="U118" s="1">
        <f t="shared" si="29"/>
        <v>15.692400000000001</v>
      </c>
      <c r="V118" s="5">
        <f>12*U118-R118-Q118-P118-O118-F118</f>
        <v>53.730400000000046</v>
      </c>
      <c r="W118" s="5">
        <f t="shared" si="32"/>
        <v>53.730400000000046</v>
      </c>
      <c r="X118" s="5"/>
      <c r="Y118" s="21"/>
      <c r="Z118" s="1">
        <f t="shared" si="25"/>
        <v>12</v>
      </c>
      <c r="AA118" s="1">
        <f t="shared" si="30"/>
        <v>8.5760240626035511</v>
      </c>
      <c r="AB118" s="1">
        <v>14.6084</v>
      </c>
      <c r="AC118" s="1">
        <v>7.5492000000000008</v>
      </c>
      <c r="AD118" s="1">
        <v>5.8979999999999997</v>
      </c>
      <c r="AE118" s="1">
        <v>11.662599999999999</v>
      </c>
      <c r="AF118" s="1">
        <v>14.193199999999999</v>
      </c>
      <c r="AG118" s="1">
        <v>18.148800000000001</v>
      </c>
      <c r="AH118" s="1">
        <v>14.731400000000001</v>
      </c>
      <c r="AI118" s="1">
        <v>11.702199999999999</v>
      </c>
      <c r="AJ118" s="1">
        <v>16.356999999999999</v>
      </c>
      <c r="AK118" s="1">
        <v>14.2948</v>
      </c>
      <c r="AL118" s="1"/>
      <c r="AM118" s="1">
        <f t="shared" si="31"/>
        <v>54</v>
      </c>
      <c r="AN118" t="s">
        <v>280</v>
      </c>
    </row>
    <row r="119" spans="1:40" x14ac:dyDescent="0.25">
      <c r="A119" s="1" t="s">
        <v>281</v>
      </c>
      <c r="B119" s="1" t="s">
        <v>40</v>
      </c>
      <c r="C119" s="1">
        <v>246.709</v>
      </c>
      <c r="D119" s="1">
        <v>50.978000000000002</v>
      </c>
      <c r="E119" s="1">
        <v>153.23599999999999</v>
      </c>
      <c r="F119" s="1">
        <v>99.981999999999999</v>
      </c>
      <c r="G119" s="7">
        <v>1</v>
      </c>
      <c r="H119" s="1">
        <v>60</v>
      </c>
      <c r="I119" s="1" t="s">
        <v>41</v>
      </c>
      <c r="J119" s="1"/>
      <c r="K119" s="1">
        <v>154.9</v>
      </c>
      <c r="L119" s="1">
        <f t="shared" si="28"/>
        <v>-1.6640000000000157</v>
      </c>
      <c r="M119" s="1"/>
      <c r="N119" s="1"/>
      <c r="O119" s="1">
        <v>0</v>
      </c>
      <c r="P119" s="1"/>
      <c r="Q119" s="1"/>
      <c r="R119" s="1">
        <v>111.94799999999999</v>
      </c>
      <c r="S119" s="1"/>
      <c r="T119" s="1"/>
      <c r="U119" s="1">
        <f t="shared" si="29"/>
        <v>30.647199999999998</v>
      </c>
      <c r="V119" s="5">
        <f>12*U119-R119-Q119-P119-O119-F119</f>
        <v>155.8364</v>
      </c>
      <c r="W119" s="5">
        <f>V119+$W$1*U119</f>
        <v>135.60924800000001</v>
      </c>
      <c r="X119" s="5"/>
      <c r="Y119" s="21"/>
      <c r="Z119" s="1">
        <f t="shared" si="25"/>
        <v>11.340000000000002</v>
      </c>
      <c r="AA119" s="1">
        <f t="shared" si="30"/>
        <v>6.9151504868307718</v>
      </c>
      <c r="AB119" s="1">
        <v>27.384</v>
      </c>
      <c r="AC119" s="1">
        <v>11.255599999999999</v>
      </c>
      <c r="AD119" s="1">
        <v>13.8432</v>
      </c>
      <c r="AE119" s="1">
        <v>24.488800000000001</v>
      </c>
      <c r="AF119" s="1">
        <v>27.658799999999999</v>
      </c>
      <c r="AG119" s="1">
        <v>32.487400000000001</v>
      </c>
      <c r="AH119" s="1">
        <v>32.491</v>
      </c>
      <c r="AI119" s="1">
        <v>33.539200000000001</v>
      </c>
      <c r="AJ119" s="1">
        <v>38.166400000000003</v>
      </c>
      <c r="AK119" s="1">
        <v>33.573999999999998</v>
      </c>
      <c r="AL119" s="1"/>
      <c r="AM119" s="1">
        <f t="shared" si="31"/>
        <v>136</v>
      </c>
      <c r="AN119" t="s">
        <v>282</v>
      </c>
    </row>
    <row r="120" spans="1:40" x14ac:dyDescent="0.25">
      <c r="A120" s="1" t="s">
        <v>283</v>
      </c>
      <c r="B120" s="1" t="s">
        <v>40</v>
      </c>
      <c r="C120" s="1">
        <v>40.773000000000003</v>
      </c>
      <c r="D120" s="1">
        <v>27.041</v>
      </c>
      <c r="E120" s="1">
        <v>19.681000000000001</v>
      </c>
      <c r="F120" s="1">
        <v>48.972999999999999</v>
      </c>
      <c r="G120" s="7">
        <v>1</v>
      </c>
      <c r="H120" s="1">
        <v>60</v>
      </c>
      <c r="I120" s="1" t="s">
        <v>41</v>
      </c>
      <c r="J120" s="1"/>
      <c r="K120" s="1">
        <v>18.8</v>
      </c>
      <c r="L120" s="1">
        <f t="shared" si="28"/>
        <v>0.88100000000000023</v>
      </c>
      <c r="M120" s="1"/>
      <c r="N120" s="1"/>
      <c r="O120" s="1">
        <v>27.7498</v>
      </c>
      <c r="P120" s="1">
        <v>0</v>
      </c>
      <c r="Q120" s="1"/>
      <c r="R120" s="1">
        <v>0</v>
      </c>
      <c r="S120" s="1"/>
      <c r="T120" s="1"/>
      <c r="U120" s="1">
        <f t="shared" si="29"/>
        <v>3.9362000000000004</v>
      </c>
      <c r="V120" s="5"/>
      <c r="W120" s="5">
        <f t="shared" ref="W120:W131" si="33">V120</f>
        <v>0</v>
      </c>
      <c r="X120" s="5"/>
      <c r="Y120" s="21"/>
      <c r="Z120" s="1">
        <f t="shared" si="25"/>
        <v>19.491590874447436</v>
      </c>
      <c r="AA120" s="1">
        <f t="shared" si="30"/>
        <v>19.491590874447436</v>
      </c>
      <c r="AB120" s="1">
        <v>5.5831999999999997</v>
      </c>
      <c r="AC120" s="1">
        <v>5.3019999999999996</v>
      </c>
      <c r="AD120" s="1">
        <v>3.3967999999999998</v>
      </c>
      <c r="AE120" s="1">
        <v>6.5150000000000006</v>
      </c>
      <c r="AF120" s="1">
        <v>7.4676</v>
      </c>
      <c r="AG120" s="1">
        <v>6.0911999999999997</v>
      </c>
      <c r="AH120" s="1">
        <v>8.3735999999999997</v>
      </c>
      <c r="AI120" s="1">
        <v>6.7864000000000004</v>
      </c>
      <c r="AJ120" s="1">
        <v>2.7437999999999998</v>
      </c>
      <c r="AK120" s="1">
        <v>5.9551999999999996</v>
      </c>
      <c r="AL120" s="12" t="s">
        <v>66</v>
      </c>
      <c r="AM120" s="1">
        <f t="shared" si="31"/>
        <v>0</v>
      </c>
      <c r="AN120" t="s">
        <v>284</v>
      </c>
    </row>
    <row r="121" spans="1:40" x14ac:dyDescent="0.25">
      <c r="A121" s="1" t="s">
        <v>285</v>
      </c>
      <c r="B121" s="1" t="s">
        <v>40</v>
      </c>
      <c r="C121" s="1">
        <v>1398.93</v>
      </c>
      <c r="D121" s="1">
        <v>1364.634</v>
      </c>
      <c r="E121" s="1">
        <v>825.67100000000005</v>
      </c>
      <c r="F121" s="1">
        <v>1756.7329999999999</v>
      </c>
      <c r="G121" s="7">
        <v>1</v>
      </c>
      <c r="H121" s="1">
        <v>60</v>
      </c>
      <c r="I121" s="1" t="s">
        <v>41</v>
      </c>
      <c r="J121" s="1"/>
      <c r="K121" s="1">
        <v>835</v>
      </c>
      <c r="L121" s="1">
        <f t="shared" si="28"/>
        <v>-9.3289999999999509</v>
      </c>
      <c r="M121" s="1"/>
      <c r="N121" s="1"/>
      <c r="O121" s="1">
        <v>250</v>
      </c>
      <c r="P121" s="1">
        <v>0</v>
      </c>
      <c r="Q121" s="1"/>
      <c r="R121" s="1">
        <v>0</v>
      </c>
      <c r="S121" s="1"/>
      <c r="T121" s="1"/>
      <c r="U121" s="1">
        <f t="shared" si="29"/>
        <v>165.13420000000002</v>
      </c>
      <c r="V121" s="5"/>
      <c r="W121" s="5">
        <f t="shared" si="33"/>
        <v>0</v>
      </c>
      <c r="X121" s="5"/>
      <c r="Y121" s="21"/>
      <c r="Z121" s="1">
        <f t="shared" si="25"/>
        <v>12.152134445802261</v>
      </c>
      <c r="AA121" s="1">
        <f t="shared" si="30"/>
        <v>12.152134445802261</v>
      </c>
      <c r="AB121" s="1">
        <v>149.19040000000001</v>
      </c>
      <c r="AC121" s="1">
        <v>130.2586</v>
      </c>
      <c r="AD121" s="1">
        <v>161.93</v>
      </c>
      <c r="AE121" s="1">
        <v>151.02940000000001</v>
      </c>
      <c r="AF121" s="1">
        <v>117.4376</v>
      </c>
      <c r="AG121" s="1">
        <v>168.51339999999999</v>
      </c>
      <c r="AH121" s="1">
        <v>198.84460000000001</v>
      </c>
      <c r="AI121" s="1">
        <v>196.62360000000001</v>
      </c>
      <c r="AJ121" s="1">
        <v>210.56399999999999</v>
      </c>
      <c r="AK121" s="1">
        <v>163.96199999999999</v>
      </c>
      <c r="AL121" s="1"/>
      <c r="AM121" s="1">
        <f t="shared" si="31"/>
        <v>0</v>
      </c>
      <c r="AN121" t="s">
        <v>286</v>
      </c>
    </row>
    <row r="122" spans="1:40" x14ac:dyDescent="0.25">
      <c r="A122" s="1" t="s">
        <v>287</v>
      </c>
      <c r="B122" s="1" t="s">
        <v>50</v>
      </c>
      <c r="C122" s="1">
        <v>3</v>
      </c>
      <c r="D122" s="1">
        <v>2</v>
      </c>
      <c r="E122" s="1">
        <v>9</v>
      </c>
      <c r="F122" s="1">
        <v>2</v>
      </c>
      <c r="G122" s="7">
        <v>0.25</v>
      </c>
      <c r="H122" s="1"/>
      <c r="I122" s="13" t="s">
        <v>90</v>
      </c>
      <c r="J122" s="1"/>
      <c r="K122" s="1">
        <v>10</v>
      </c>
      <c r="L122" s="1">
        <f t="shared" si="28"/>
        <v>-1</v>
      </c>
      <c r="M122" s="1"/>
      <c r="N122" s="1"/>
      <c r="O122" s="1">
        <v>600.00000000000011</v>
      </c>
      <c r="P122" s="1">
        <v>-600</v>
      </c>
      <c r="Q122" s="1"/>
      <c r="R122" s="1">
        <v>143.85</v>
      </c>
      <c r="S122" s="1"/>
      <c r="T122" s="1"/>
      <c r="U122" s="1">
        <f t="shared" si="29"/>
        <v>1.8</v>
      </c>
      <c r="V122" s="5">
        <v>80</v>
      </c>
      <c r="W122" s="5">
        <f t="shared" si="33"/>
        <v>80</v>
      </c>
      <c r="X122" s="5">
        <v>-84</v>
      </c>
      <c r="Y122" s="21"/>
      <c r="Z122" s="1">
        <f t="shared" si="25"/>
        <v>125.47222222222229</v>
      </c>
      <c r="AA122" s="1">
        <f t="shared" si="30"/>
        <v>81.027777777777843</v>
      </c>
      <c r="AB122" s="1">
        <v>8.1999999999999993</v>
      </c>
      <c r="AC122" s="1">
        <v>40.200000000000003</v>
      </c>
      <c r="AD122" s="1">
        <v>33.799999999999997</v>
      </c>
      <c r="AE122" s="1">
        <v>0</v>
      </c>
      <c r="AF122" s="1">
        <v>0</v>
      </c>
      <c r="AG122" s="1">
        <v>0</v>
      </c>
      <c r="AH122" s="1">
        <v>0.05</v>
      </c>
      <c r="AI122" s="1">
        <v>0</v>
      </c>
      <c r="AJ122" s="1">
        <v>0</v>
      </c>
      <c r="AK122" s="1">
        <v>0</v>
      </c>
      <c r="AL122" s="1" t="s">
        <v>288</v>
      </c>
      <c r="AM122" s="1">
        <f t="shared" si="31"/>
        <v>20</v>
      </c>
      <c r="AN122" t="s">
        <v>289</v>
      </c>
    </row>
    <row r="123" spans="1:40" x14ac:dyDescent="0.25">
      <c r="A123" s="1" t="s">
        <v>290</v>
      </c>
      <c r="B123" s="1" t="s">
        <v>50</v>
      </c>
      <c r="C123" s="1">
        <v>107</v>
      </c>
      <c r="D123" s="1"/>
      <c r="E123" s="1">
        <v>29</v>
      </c>
      <c r="F123" s="1">
        <v>68</v>
      </c>
      <c r="G123" s="7">
        <v>0.32500000000000001</v>
      </c>
      <c r="H123" s="1"/>
      <c r="I123" s="13" t="s">
        <v>90</v>
      </c>
      <c r="J123" s="1"/>
      <c r="K123" s="1">
        <v>29</v>
      </c>
      <c r="L123" s="1">
        <f t="shared" si="28"/>
        <v>0</v>
      </c>
      <c r="M123" s="1"/>
      <c r="N123" s="1"/>
      <c r="O123" s="1">
        <v>220</v>
      </c>
      <c r="P123" s="1">
        <v>-228</v>
      </c>
      <c r="Q123" s="1"/>
      <c r="R123" s="1">
        <v>0</v>
      </c>
      <c r="S123" s="1"/>
      <c r="T123" s="1"/>
      <c r="U123" s="1">
        <f t="shared" si="29"/>
        <v>5.8</v>
      </c>
      <c r="V123" s="5">
        <v>100</v>
      </c>
      <c r="W123" s="5">
        <f t="shared" si="33"/>
        <v>100</v>
      </c>
      <c r="X123" s="5"/>
      <c r="Y123" s="21"/>
      <c r="Z123" s="1">
        <f t="shared" si="25"/>
        <v>27.586206896551726</v>
      </c>
      <c r="AA123" s="1">
        <f t="shared" si="30"/>
        <v>10.344827586206897</v>
      </c>
      <c r="AB123" s="1">
        <v>7.2</v>
      </c>
      <c r="AC123" s="1">
        <v>21.2</v>
      </c>
      <c r="AD123" s="1">
        <v>15.8</v>
      </c>
      <c r="AE123" s="1">
        <v>0</v>
      </c>
      <c r="AF123" s="1">
        <v>0</v>
      </c>
      <c r="AG123" s="1">
        <v>0</v>
      </c>
      <c r="AH123" s="1">
        <v>6.5000000000000002E-2</v>
      </c>
      <c r="AI123" s="1">
        <v>0</v>
      </c>
      <c r="AJ123" s="1">
        <v>0</v>
      </c>
      <c r="AK123" s="1">
        <v>0</v>
      </c>
      <c r="AL123" s="1" t="s">
        <v>288</v>
      </c>
      <c r="AM123" s="1">
        <f t="shared" si="31"/>
        <v>33</v>
      </c>
      <c r="AN123" t="s">
        <v>291</v>
      </c>
    </row>
    <row r="124" spans="1:40" x14ac:dyDescent="0.25">
      <c r="A124" s="1" t="s">
        <v>292</v>
      </c>
      <c r="B124" s="1" t="s">
        <v>50</v>
      </c>
      <c r="C124" s="1">
        <v>1</v>
      </c>
      <c r="D124" s="1">
        <v>1</v>
      </c>
      <c r="E124" s="1">
        <v>9</v>
      </c>
      <c r="F124" s="1"/>
      <c r="G124" s="7">
        <v>0.25</v>
      </c>
      <c r="H124" s="1"/>
      <c r="I124" s="1" t="s">
        <v>41</v>
      </c>
      <c r="J124" s="1"/>
      <c r="K124" s="1">
        <v>6</v>
      </c>
      <c r="L124" s="1">
        <f t="shared" si="28"/>
        <v>3</v>
      </c>
      <c r="M124" s="1"/>
      <c r="N124" s="1"/>
      <c r="O124" s="1">
        <v>604</v>
      </c>
      <c r="P124" s="1">
        <v>0</v>
      </c>
      <c r="Q124" s="1"/>
      <c r="R124" s="1">
        <v>0</v>
      </c>
      <c r="S124" s="1"/>
      <c r="T124" s="1"/>
      <c r="U124" s="1">
        <f t="shared" si="29"/>
        <v>1.8</v>
      </c>
      <c r="V124" s="5"/>
      <c r="W124" s="5">
        <f t="shared" si="33"/>
        <v>0</v>
      </c>
      <c r="X124" s="5"/>
      <c r="Y124" s="21"/>
      <c r="Z124" s="1">
        <f t="shared" si="25"/>
        <v>335.55555555555554</v>
      </c>
      <c r="AA124" s="1">
        <f t="shared" si="30"/>
        <v>335.55555555555554</v>
      </c>
      <c r="AB124" s="1">
        <v>8</v>
      </c>
      <c r="AC124" s="1">
        <v>40.4</v>
      </c>
      <c r="AD124" s="1">
        <v>34.4</v>
      </c>
      <c r="AE124" s="1">
        <v>0</v>
      </c>
      <c r="AF124" s="1">
        <v>0</v>
      </c>
      <c r="AG124" s="1">
        <v>0</v>
      </c>
      <c r="AH124" s="1">
        <v>0.05</v>
      </c>
      <c r="AI124" s="1">
        <v>0</v>
      </c>
      <c r="AJ124" s="1">
        <v>0</v>
      </c>
      <c r="AK124" s="1">
        <v>0</v>
      </c>
      <c r="AL124" s="1" t="s">
        <v>288</v>
      </c>
      <c r="AM124" s="1">
        <f t="shared" si="31"/>
        <v>0</v>
      </c>
      <c r="AN124" t="s">
        <v>293</v>
      </c>
    </row>
    <row r="125" spans="1:40" x14ac:dyDescent="0.25">
      <c r="A125" s="1" t="s">
        <v>294</v>
      </c>
      <c r="B125" s="1" t="s">
        <v>50</v>
      </c>
      <c r="C125" s="1">
        <v>75</v>
      </c>
      <c r="D125" s="1">
        <v>524</v>
      </c>
      <c r="E125" s="1">
        <v>182</v>
      </c>
      <c r="F125" s="1">
        <v>379</v>
      </c>
      <c r="G125" s="7">
        <v>0.3</v>
      </c>
      <c r="H125" s="1">
        <v>40</v>
      </c>
      <c r="I125" s="13" t="s">
        <v>90</v>
      </c>
      <c r="J125" s="1"/>
      <c r="K125" s="1">
        <v>216</v>
      </c>
      <c r="L125" s="1">
        <f t="shared" si="28"/>
        <v>-34</v>
      </c>
      <c r="M125" s="1"/>
      <c r="N125" s="1"/>
      <c r="O125" s="1">
        <v>146.08000000000001</v>
      </c>
      <c r="P125" s="1">
        <v>-150</v>
      </c>
      <c r="Q125" s="1"/>
      <c r="R125" s="1">
        <v>0</v>
      </c>
      <c r="S125" s="1"/>
      <c r="T125" s="1"/>
      <c r="U125" s="1">
        <f t="shared" si="29"/>
        <v>36.4</v>
      </c>
      <c r="V125" s="5">
        <v>60</v>
      </c>
      <c r="W125" s="5">
        <f t="shared" si="33"/>
        <v>60</v>
      </c>
      <c r="X125" s="5">
        <v>-60</v>
      </c>
      <c r="Y125" s="21"/>
      <c r="Z125" s="1">
        <f t="shared" si="25"/>
        <v>11.952747252747255</v>
      </c>
      <c r="AA125" s="1">
        <f t="shared" si="30"/>
        <v>10.304395604395605</v>
      </c>
      <c r="AB125" s="1">
        <v>33.200000000000003</v>
      </c>
      <c r="AC125" s="1">
        <v>32.200000000000003</v>
      </c>
      <c r="AD125" s="1">
        <v>32</v>
      </c>
      <c r="AE125" s="1">
        <v>44.4</v>
      </c>
      <c r="AF125" s="1">
        <v>38.4</v>
      </c>
      <c r="AG125" s="1">
        <v>19.399999999999999</v>
      </c>
      <c r="AH125" s="1">
        <v>29</v>
      </c>
      <c r="AI125" s="1">
        <v>46.8</v>
      </c>
      <c r="AJ125" s="1">
        <v>49.4</v>
      </c>
      <c r="AK125" s="1">
        <v>40.200000000000003</v>
      </c>
      <c r="AL125" s="1"/>
      <c r="AM125" s="1">
        <f t="shared" si="31"/>
        <v>18</v>
      </c>
      <c r="AN125" t="s">
        <v>295</v>
      </c>
    </row>
    <row r="126" spans="1:40" x14ac:dyDescent="0.25">
      <c r="A126" s="1" t="s">
        <v>296</v>
      </c>
      <c r="B126" s="1" t="s">
        <v>50</v>
      </c>
      <c r="C126" s="1">
        <v>201</v>
      </c>
      <c r="D126" s="1">
        <v>32</v>
      </c>
      <c r="E126" s="1">
        <v>153</v>
      </c>
      <c r="F126" s="1">
        <v>57</v>
      </c>
      <c r="G126" s="7">
        <v>0.3</v>
      </c>
      <c r="H126" s="1">
        <v>40</v>
      </c>
      <c r="I126" s="13" t="s">
        <v>90</v>
      </c>
      <c r="J126" s="1"/>
      <c r="K126" s="1">
        <v>159</v>
      </c>
      <c r="L126" s="1">
        <f t="shared" si="28"/>
        <v>-6</v>
      </c>
      <c r="M126" s="1"/>
      <c r="N126" s="1"/>
      <c r="O126" s="1">
        <v>177</v>
      </c>
      <c r="P126" s="1">
        <v>-180</v>
      </c>
      <c r="Q126" s="1"/>
      <c r="R126" s="1">
        <v>50</v>
      </c>
      <c r="S126" s="1">
        <v>-53.333333333333336</v>
      </c>
      <c r="T126" s="1"/>
      <c r="U126" s="1">
        <f t="shared" si="29"/>
        <v>30.6</v>
      </c>
      <c r="V126" s="5">
        <v>80</v>
      </c>
      <c r="W126" s="5">
        <f t="shared" si="33"/>
        <v>80</v>
      </c>
      <c r="X126" s="5">
        <v>-84</v>
      </c>
      <c r="Y126" s="21"/>
      <c r="Z126" s="1">
        <f t="shared" si="25"/>
        <v>6.0130718954248366</v>
      </c>
      <c r="AA126" s="1">
        <f t="shared" si="30"/>
        <v>3.3986928104575163</v>
      </c>
      <c r="AB126" s="1">
        <v>31</v>
      </c>
      <c r="AC126" s="1">
        <v>25.2</v>
      </c>
      <c r="AD126" s="1">
        <v>24.6</v>
      </c>
      <c r="AE126" s="1">
        <v>23.6</v>
      </c>
      <c r="AF126" s="1">
        <v>18.399999999999999</v>
      </c>
      <c r="AG126" s="1">
        <v>7.4</v>
      </c>
      <c r="AH126" s="1">
        <v>13.2</v>
      </c>
      <c r="AI126" s="1">
        <v>39.200000000000003</v>
      </c>
      <c r="AJ126" s="1">
        <v>42.6</v>
      </c>
      <c r="AK126" s="1">
        <v>33.4</v>
      </c>
      <c r="AL126" s="1"/>
      <c r="AM126" s="1">
        <f t="shared" si="31"/>
        <v>24</v>
      </c>
      <c r="AN126" t="s">
        <v>297</v>
      </c>
    </row>
    <row r="127" spans="1:40" x14ac:dyDescent="0.25">
      <c r="A127" s="1" t="s">
        <v>298</v>
      </c>
      <c r="B127" s="1" t="s">
        <v>40</v>
      </c>
      <c r="C127" s="1">
        <v>39.584000000000003</v>
      </c>
      <c r="D127" s="1">
        <v>2.5999999999999999E-2</v>
      </c>
      <c r="E127" s="1">
        <v>5.2530000000000001</v>
      </c>
      <c r="F127" s="1">
        <v>31.56</v>
      </c>
      <c r="G127" s="7">
        <v>1</v>
      </c>
      <c r="H127" s="1">
        <v>50</v>
      </c>
      <c r="I127" s="1" t="s">
        <v>41</v>
      </c>
      <c r="J127" s="1"/>
      <c r="K127" s="1">
        <v>6.5</v>
      </c>
      <c r="L127" s="1">
        <f t="shared" si="28"/>
        <v>-1.2469999999999999</v>
      </c>
      <c r="M127" s="1"/>
      <c r="N127" s="1"/>
      <c r="O127" s="1">
        <v>0</v>
      </c>
      <c r="P127" s="1"/>
      <c r="Q127" s="1"/>
      <c r="R127" s="1">
        <v>0</v>
      </c>
      <c r="S127" s="1"/>
      <c r="T127" s="1"/>
      <c r="U127" s="1">
        <f t="shared" si="29"/>
        <v>1.0506</v>
      </c>
      <c r="V127" s="5"/>
      <c r="W127" s="5">
        <f t="shared" si="33"/>
        <v>0</v>
      </c>
      <c r="X127" s="5"/>
      <c r="Y127" s="21"/>
      <c r="Z127" s="1">
        <f t="shared" si="25"/>
        <v>30.039977155910908</v>
      </c>
      <c r="AA127" s="1">
        <f t="shared" si="30"/>
        <v>30.039977155910908</v>
      </c>
      <c r="AB127" s="1">
        <v>1.6064000000000001</v>
      </c>
      <c r="AC127" s="1">
        <v>2.1257999999999999</v>
      </c>
      <c r="AD127" s="1">
        <v>2.6814</v>
      </c>
      <c r="AE127" s="1">
        <v>3.0156000000000001</v>
      </c>
      <c r="AF127" s="1">
        <v>2.7410000000000001</v>
      </c>
      <c r="AG127" s="1">
        <v>3.8424</v>
      </c>
      <c r="AH127" s="1">
        <v>3.2942</v>
      </c>
      <c r="AI127" s="1">
        <v>3.3081999999999998</v>
      </c>
      <c r="AJ127" s="1">
        <v>3.577</v>
      </c>
      <c r="AK127" s="1">
        <v>3.5870000000000002</v>
      </c>
      <c r="AL127" s="14" t="s">
        <v>271</v>
      </c>
      <c r="AM127" s="1">
        <f t="shared" si="31"/>
        <v>0</v>
      </c>
      <c r="AN127" t="s">
        <v>299</v>
      </c>
    </row>
    <row r="128" spans="1:40" x14ac:dyDescent="0.25">
      <c r="A128" s="1" t="s">
        <v>300</v>
      </c>
      <c r="B128" s="1" t="s">
        <v>50</v>
      </c>
      <c r="C128" s="1">
        <v>86</v>
      </c>
      <c r="D128" s="1">
        <v>14</v>
      </c>
      <c r="E128" s="1">
        <v>89</v>
      </c>
      <c r="F128" s="1">
        <v>7</v>
      </c>
      <c r="G128" s="7">
        <v>0.3</v>
      </c>
      <c r="H128" s="1">
        <v>40</v>
      </c>
      <c r="I128" s="13" t="s">
        <v>90</v>
      </c>
      <c r="J128" s="1"/>
      <c r="K128" s="1">
        <v>86</v>
      </c>
      <c r="L128" s="1">
        <f t="shared" si="28"/>
        <v>3</v>
      </c>
      <c r="M128" s="1"/>
      <c r="N128" s="1"/>
      <c r="O128" s="1">
        <v>80</v>
      </c>
      <c r="P128" s="1">
        <v>0</v>
      </c>
      <c r="Q128" s="1"/>
      <c r="R128" s="1">
        <v>88.600000000000023</v>
      </c>
      <c r="S128" s="1"/>
      <c r="T128" s="1"/>
      <c r="U128" s="1">
        <f t="shared" si="29"/>
        <v>17.8</v>
      </c>
      <c r="V128" s="5">
        <v>40</v>
      </c>
      <c r="W128" s="5">
        <f t="shared" si="33"/>
        <v>40</v>
      </c>
      <c r="X128" s="5">
        <v>-42</v>
      </c>
      <c r="Y128" s="21"/>
      <c r="Z128" s="1">
        <f t="shared" si="25"/>
        <v>12.112359550561798</v>
      </c>
      <c r="AA128" s="1">
        <f t="shared" si="30"/>
        <v>9.8651685393258433</v>
      </c>
      <c r="AB128" s="1">
        <v>18.600000000000001</v>
      </c>
      <c r="AC128" s="1">
        <v>19.600000000000001</v>
      </c>
      <c r="AD128" s="1">
        <v>19.8</v>
      </c>
      <c r="AE128" s="1">
        <v>17.600000000000001</v>
      </c>
      <c r="AF128" s="1">
        <v>21.6</v>
      </c>
      <c r="AG128" s="1">
        <v>22.8</v>
      </c>
      <c r="AH128" s="1">
        <v>13.4</v>
      </c>
      <c r="AI128" s="1">
        <v>-0.8</v>
      </c>
      <c r="AJ128" s="1">
        <v>11.6</v>
      </c>
      <c r="AK128" s="1">
        <v>28.8</v>
      </c>
      <c r="AL128" s="1"/>
      <c r="AM128" s="1">
        <f t="shared" si="31"/>
        <v>12</v>
      </c>
      <c r="AN128" t="s">
        <v>301</v>
      </c>
    </row>
    <row r="129" spans="1:40" x14ac:dyDescent="0.25">
      <c r="A129" s="1" t="s">
        <v>302</v>
      </c>
      <c r="B129" s="1" t="s">
        <v>50</v>
      </c>
      <c r="C129" s="1">
        <v>46</v>
      </c>
      <c r="D129" s="1">
        <v>82</v>
      </c>
      <c r="E129" s="1">
        <v>46</v>
      </c>
      <c r="F129" s="1">
        <v>50</v>
      </c>
      <c r="G129" s="7">
        <v>0.12</v>
      </c>
      <c r="H129" s="1">
        <v>45</v>
      </c>
      <c r="I129" s="1" t="s">
        <v>41</v>
      </c>
      <c r="J129" s="1"/>
      <c r="K129" s="1">
        <v>46</v>
      </c>
      <c r="L129" s="1">
        <f t="shared" si="28"/>
        <v>0</v>
      </c>
      <c r="M129" s="1"/>
      <c r="N129" s="1"/>
      <c r="O129" s="1">
        <v>0</v>
      </c>
      <c r="P129" s="1"/>
      <c r="Q129" s="1"/>
      <c r="R129" s="1">
        <v>28</v>
      </c>
      <c r="S129" s="1"/>
      <c r="T129" s="1"/>
      <c r="U129" s="1">
        <f t="shared" si="29"/>
        <v>9.1999999999999993</v>
      </c>
      <c r="V129" s="5">
        <f>12*U129-R129-Q129-P129-O129-F129</f>
        <v>32.399999999999991</v>
      </c>
      <c r="W129" s="5">
        <f t="shared" si="33"/>
        <v>32.399999999999991</v>
      </c>
      <c r="X129" s="5"/>
      <c r="Y129" s="21"/>
      <c r="Z129" s="1">
        <f t="shared" si="25"/>
        <v>12</v>
      </c>
      <c r="AA129" s="1">
        <f t="shared" si="30"/>
        <v>8.4782608695652186</v>
      </c>
      <c r="AB129" s="1">
        <v>9</v>
      </c>
      <c r="AC129" s="1">
        <v>5.6</v>
      </c>
      <c r="AD129" s="1">
        <v>5.4</v>
      </c>
      <c r="AE129" s="1">
        <v>8</v>
      </c>
      <c r="AF129" s="1">
        <v>11.2</v>
      </c>
      <c r="AG129" s="1">
        <v>9.1999999999999993</v>
      </c>
      <c r="AH129" s="1">
        <v>4.5999999999999996</v>
      </c>
      <c r="AI129" s="1">
        <v>8.1999999999999993</v>
      </c>
      <c r="AJ129" s="1">
        <v>12.6</v>
      </c>
      <c r="AK129" s="1">
        <v>9.1999999999999993</v>
      </c>
      <c r="AL129" s="1"/>
      <c r="AM129" s="1">
        <f t="shared" si="31"/>
        <v>4</v>
      </c>
      <c r="AN129" t="s">
        <v>303</v>
      </c>
    </row>
    <row r="130" spans="1:40" x14ac:dyDescent="0.25">
      <c r="A130" s="9" t="s">
        <v>304</v>
      </c>
      <c r="B130" s="9" t="s">
        <v>50</v>
      </c>
      <c r="C130" s="9">
        <v>-9</v>
      </c>
      <c r="D130" s="9">
        <v>9</v>
      </c>
      <c r="E130" s="9"/>
      <c r="F130" s="9"/>
      <c r="G130" s="10">
        <v>0</v>
      </c>
      <c r="H130" s="9"/>
      <c r="I130" s="9" t="s">
        <v>305</v>
      </c>
      <c r="J130" s="9" t="s">
        <v>290</v>
      </c>
      <c r="K130" s="9"/>
      <c r="L130" s="9">
        <f t="shared" si="28"/>
        <v>0</v>
      </c>
      <c r="M130" s="9"/>
      <c r="N130" s="9"/>
      <c r="O130" s="9">
        <v>0</v>
      </c>
      <c r="P130" s="9"/>
      <c r="Q130" s="9"/>
      <c r="R130" s="9">
        <v>0</v>
      </c>
      <c r="S130" s="9"/>
      <c r="T130" s="9"/>
      <c r="U130" s="9">
        <f t="shared" si="29"/>
        <v>0</v>
      </c>
      <c r="V130" s="11"/>
      <c r="W130" s="5">
        <f t="shared" si="33"/>
        <v>0</v>
      </c>
      <c r="X130" s="5"/>
      <c r="Y130" s="21"/>
      <c r="Z130" s="1" t="e">
        <f t="shared" si="25"/>
        <v>#DIV/0!</v>
      </c>
      <c r="AA130" s="9" t="e">
        <f t="shared" si="30"/>
        <v>#DIV/0!</v>
      </c>
      <c r="AB130" s="9">
        <v>0.8</v>
      </c>
      <c r="AC130" s="9">
        <v>1.8</v>
      </c>
      <c r="AD130" s="9">
        <v>1</v>
      </c>
      <c r="AE130" s="9">
        <v>0</v>
      </c>
      <c r="AF130" s="9">
        <v>0</v>
      </c>
      <c r="AG130" s="9">
        <v>0</v>
      </c>
      <c r="AH130" s="9">
        <v>0</v>
      </c>
      <c r="AI130" s="9">
        <v>0</v>
      </c>
      <c r="AJ130" s="9">
        <v>0</v>
      </c>
      <c r="AK130" s="9">
        <v>0</v>
      </c>
      <c r="AL130" s="9"/>
      <c r="AM130" s="1">
        <f t="shared" si="31"/>
        <v>0</v>
      </c>
    </row>
    <row r="131" spans="1:40" x14ac:dyDescent="0.25">
      <c r="A131" s="9" t="s">
        <v>306</v>
      </c>
      <c r="B131" s="9" t="s">
        <v>50</v>
      </c>
      <c r="C131" s="9">
        <v>120</v>
      </c>
      <c r="D131" s="9"/>
      <c r="E131" s="9"/>
      <c r="F131" s="9"/>
      <c r="G131" s="10">
        <v>0</v>
      </c>
      <c r="H131" s="9"/>
      <c r="I131" s="9" t="s">
        <v>307</v>
      </c>
      <c r="J131" s="9" t="s">
        <v>114</v>
      </c>
      <c r="K131" s="9"/>
      <c r="L131" s="9">
        <f t="shared" si="28"/>
        <v>0</v>
      </c>
      <c r="M131" s="9"/>
      <c r="N131" s="9"/>
      <c r="O131" s="9">
        <v>0</v>
      </c>
      <c r="P131" s="9"/>
      <c r="Q131" s="9"/>
      <c r="R131" s="9">
        <v>0</v>
      </c>
      <c r="S131" s="9"/>
      <c r="T131" s="9"/>
      <c r="U131" s="9">
        <f t="shared" si="29"/>
        <v>0</v>
      </c>
      <c r="V131" s="11"/>
      <c r="W131" s="5">
        <f t="shared" si="33"/>
        <v>0</v>
      </c>
      <c r="X131" s="5"/>
      <c r="Y131" s="21"/>
      <c r="Z131" s="1" t="e">
        <f t="shared" si="25"/>
        <v>#DIV/0!</v>
      </c>
      <c r="AA131" s="9" t="e">
        <f t="shared" si="30"/>
        <v>#DIV/0!</v>
      </c>
      <c r="AB131" s="9">
        <v>0</v>
      </c>
      <c r="AC131" s="9">
        <v>0</v>
      </c>
      <c r="AD131" s="9">
        <v>0</v>
      </c>
      <c r="AE131" s="9">
        <v>0</v>
      </c>
      <c r="AF131" s="9">
        <v>0</v>
      </c>
      <c r="AG131" s="9">
        <v>0</v>
      </c>
      <c r="AH131" s="9">
        <v>0</v>
      </c>
      <c r="AI131" s="9">
        <v>0</v>
      </c>
      <c r="AJ131" s="9">
        <v>0</v>
      </c>
      <c r="AK131" s="9">
        <v>0</v>
      </c>
      <c r="AL131" s="9"/>
      <c r="AM131" s="1">
        <f t="shared" si="31"/>
        <v>0</v>
      </c>
    </row>
    <row r="132" spans="1:4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7"/>
      <c r="U132" s="1"/>
      <c r="V132" s="1"/>
      <c r="W132" s="1"/>
      <c r="X132" s="1"/>
      <c r="Y132" s="17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4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7"/>
      <c r="U133" s="1"/>
      <c r="V133" s="1"/>
      <c r="W133" s="1"/>
      <c r="X133" s="1"/>
      <c r="Y133" s="17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spans="1:4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7"/>
      <c r="U134" s="1"/>
      <c r="V134" s="1"/>
      <c r="W134" s="1"/>
      <c r="X134" s="1"/>
      <c r="Y134" s="17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4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7"/>
      <c r="U135" s="1"/>
      <c r="V135" s="1"/>
      <c r="W135" s="1"/>
      <c r="X135" s="1"/>
      <c r="Y135" s="17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spans="1:4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7"/>
      <c r="U136" s="1"/>
      <c r="V136" s="1"/>
      <c r="W136" s="1"/>
      <c r="X136" s="1"/>
      <c r="Y136" s="17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spans="1:4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7"/>
      <c r="U137" s="1"/>
      <c r="V137" s="1"/>
      <c r="W137" s="1"/>
      <c r="X137" s="1"/>
      <c r="Y137" s="17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4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7"/>
      <c r="U138" s="1"/>
      <c r="V138" s="1"/>
      <c r="W138" s="1"/>
      <c r="X138" s="1"/>
      <c r="Y138" s="17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1:4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7"/>
      <c r="U139" s="1"/>
      <c r="V139" s="1"/>
      <c r="W139" s="1"/>
      <c r="X139" s="1"/>
      <c r="Y139" s="17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:4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7"/>
      <c r="U140" s="1"/>
      <c r="V140" s="1"/>
      <c r="W140" s="1"/>
      <c r="X140" s="1"/>
      <c r="Y140" s="17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1:4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7"/>
      <c r="U141" s="1"/>
      <c r="V141" s="1"/>
      <c r="W141" s="1"/>
      <c r="X141" s="1"/>
      <c r="Y141" s="17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4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7"/>
      <c r="U142" s="1"/>
      <c r="V142" s="1"/>
      <c r="W142" s="1"/>
      <c r="X142" s="1"/>
      <c r="Y142" s="17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:4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7"/>
      <c r="U143" s="1"/>
      <c r="V143" s="1"/>
      <c r="W143" s="1"/>
      <c r="X143" s="1"/>
      <c r="Y143" s="17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:4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7"/>
      <c r="U144" s="1"/>
      <c r="V144" s="1"/>
      <c r="W144" s="1"/>
      <c r="X144" s="1"/>
      <c r="Y144" s="17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7"/>
      <c r="U145" s="1"/>
      <c r="V145" s="1"/>
      <c r="W145" s="1"/>
      <c r="X145" s="1"/>
      <c r="Y145" s="17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:3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7"/>
      <c r="U146" s="1"/>
      <c r="V146" s="1"/>
      <c r="W146" s="1"/>
      <c r="X146" s="1"/>
      <c r="Y146" s="17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7"/>
      <c r="U147" s="1"/>
      <c r="V147" s="1"/>
      <c r="W147" s="1"/>
      <c r="X147" s="1"/>
      <c r="Y147" s="17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:3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7"/>
      <c r="U148" s="1"/>
      <c r="V148" s="1"/>
      <c r="W148" s="1"/>
      <c r="X148" s="1"/>
      <c r="Y148" s="17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:3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7"/>
      <c r="U149" s="1"/>
      <c r="V149" s="1"/>
      <c r="W149" s="1"/>
      <c r="X149" s="1"/>
      <c r="Y149" s="17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1:3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7"/>
      <c r="U150" s="1"/>
      <c r="V150" s="1"/>
      <c r="W150" s="1"/>
      <c r="X150" s="1"/>
      <c r="Y150" s="17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:3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7"/>
      <c r="U151" s="1"/>
      <c r="V151" s="1"/>
      <c r="W151" s="1"/>
      <c r="X151" s="1"/>
      <c r="Y151" s="17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7"/>
      <c r="U152" s="1"/>
      <c r="V152" s="1"/>
      <c r="W152" s="1"/>
      <c r="X152" s="1"/>
      <c r="Y152" s="17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1:3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7"/>
      <c r="U153" s="1"/>
      <c r="V153" s="1"/>
      <c r="W153" s="1"/>
      <c r="X153" s="1"/>
      <c r="Y153" s="17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:3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7"/>
      <c r="U154" s="1"/>
      <c r="V154" s="1"/>
      <c r="W154" s="1"/>
      <c r="X154" s="1"/>
      <c r="Y154" s="17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7"/>
      <c r="U155" s="1"/>
      <c r="V155" s="1"/>
      <c r="W155" s="1"/>
      <c r="X155" s="1"/>
      <c r="Y155" s="17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7"/>
      <c r="U156" s="1"/>
      <c r="V156" s="1"/>
      <c r="W156" s="1"/>
      <c r="X156" s="1"/>
      <c r="Y156" s="17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:3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7"/>
      <c r="U157" s="1"/>
      <c r="V157" s="1"/>
      <c r="W157" s="1"/>
      <c r="X157" s="1"/>
      <c r="Y157" s="17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7"/>
      <c r="U158" s="1"/>
      <c r="V158" s="1"/>
      <c r="W158" s="1"/>
      <c r="X158" s="1"/>
      <c r="Y158" s="17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3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7"/>
      <c r="U159" s="1"/>
      <c r="V159" s="1"/>
      <c r="W159" s="1"/>
      <c r="X159" s="1"/>
      <c r="Y159" s="17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3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7"/>
      <c r="U160" s="1"/>
      <c r="V160" s="1"/>
      <c r="W160" s="1"/>
      <c r="X160" s="1"/>
      <c r="Y160" s="17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7"/>
      <c r="U161" s="1"/>
      <c r="V161" s="1"/>
      <c r="W161" s="1"/>
      <c r="X161" s="1"/>
      <c r="Y161" s="17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7"/>
      <c r="U162" s="1"/>
      <c r="V162" s="1"/>
      <c r="W162" s="1"/>
      <c r="X162" s="1"/>
      <c r="Y162" s="17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7"/>
      <c r="U163" s="1"/>
      <c r="V163" s="1"/>
      <c r="W163" s="1"/>
      <c r="X163" s="1"/>
      <c r="Y163" s="17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7"/>
      <c r="U164" s="1"/>
      <c r="V164" s="1"/>
      <c r="W164" s="1"/>
      <c r="X164" s="1"/>
      <c r="Y164" s="17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7"/>
      <c r="U165" s="1"/>
      <c r="V165" s="1"/>
      <c r="W165" s="1"/>
      <c r="X165" s="1"/>
      <c r="Y165" s="17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7"/>
      <c r="U166" s="1"/>
      <c r="V166" s="1"/>
      <c r="W166" s="1"/>
      <c r="X166" s="1"/>
      <c r="Y166" s="17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7"/>
      <c r="U167" s="1"/>
      <c r="V167" s="1"/>
      <c r="W167" s="1"/>
      <c r="X167" s="1"/>
      <c r="Y167" s="17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7"/>
      <c r="U168" s="1"/>
      <c r="V168" s="1"/>
      <c r="W168" s="1"/>
      <c r="X168" s="1"/>
      <c r="Y168" s="17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7"/>
      <c r="U169" s="1"/>
      <c r="V169" s="1"/>
      <c r="W169" s="1"/>
      <c r="X169" s="1"/>
      <c r="Y169" s="17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7"/>
      <c r="U170" s="1"/>
      <c r="V170" s="1"/>
      <c r="W170" s="1"/>
      <c r="X170" s="1"/>
      <c r="Y170" s="17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7"/>
      <c r="U171" s="1"/>
      <c r="V171" s="1"/>
      <c r="W171" s="1"/>
      <c r="X171" s="1"/>
      <c r="Y171" s="17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7"/>
      <c r="U172" s="1"/>
      <c r="V172" s="1"/>
      <c r="W172" s="1"/>
      <c r="X172" s="1"/>
      <c r="Y172" s="17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7"/>
      <c r="U173" s="1"/>
      <c r="V173" s="1"/>
      <c r="W173" s="1"/>
      <c r="X173" s="1"/>
      <c r="Y173" s="17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7"/>
      <c r="U174" s="1"/>
      <c r="V174" s="1"/>
      <c r="W174" s="1"/>
      <c r="X174" s="1"/>
      <c r="Y174" s="17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7"/>
      <c r="U175" s="1"/>
      <c r="V175" s="1"/>
      <c r="W175" s="1"/>
      <c r="X175" s="1"/>
      <c r="Y175" s="17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7"/>
      <c r="U176" s="1"/>
      <c r="V176" s="1"/>
      <c r="W176" s="1"/>
      <c r="X176" s="1"/>
      <c r="Y176" s="17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7"/>
      <c r="U177" s="1"/>
      <c r="V177" s="1"/>
      <c r="W177" s="1"/>
      <c r="X177" s="1"/>
      <c r="Y177" s="17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7"/>
      <c r="U178" s="1"/>
      <c r="V178" s="1"/>
      <c r="W178" s="1"/>
      <c r="X178" s="1"/>
      <c r="Y178" s="17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7"/>
      <c r="U179" s="1"/>
      <c r="V179" s="1"/>
      <c r="W179" s="1"/>
      <c r="X179" s="1"/>
      <c r="Y179" s="17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7"/>
      <c r="U180" s="1"/>
      <c r="V180" s="1"/>
      <c r="W180" s="1"/>
      <c r="X180" s="1"/>
      <c r="Y180" s="17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7"/>
      <c r="U181" s="1"/>
      <c r="V181" s="1"/>
      <c r="W181" s="1"/>
      <c r="X181" s="1"/>
      <c r="Y181" s="17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7"/>
      <c r="U182" s="1"/>
      <c r="V182" s="1"/>
      <c r="W182" s="1"/>
      <c r="X182" s="1"/>
      <c r="Y182" s="17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7"/>
      <c r="U183" s="1"/>
      <c r="V183" s="1"/>
      <c r="W183" s="1"/>
      <c r="X183" s="1"/>
      <c r="Y183" s="17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7"/>
      <c r="U184" s="1"/>
      <c r="V184" s="1"/>
      <c r="W184" s="1"/>
      <c r="X184" s="1"/>
      <c r="Y184" s="17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7"/>
      <c r="U185" s="1"/>
      <c r="V185" s="1"/>
      <c r="W185" s="1"/>
      <c r="X185" s="1"/>
      <c r="Y185" s="17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7"/>
      <c r="U186" s="1"/>
      <c r="V186" s="1"/>
      <c r="W186" s="1"/>
      <c r="X186" s="1"/>
      <c r="Y186" s="17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7"/>
      <c r="U187" s="1"/>
      <c r="V187" s="1"/>
      <c r="W187" s="1"/>
      <c r="X187" s="1"/>
      <c r="Y187" s="17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7"/>
      <c r="U188" s="1"/>
      <c r="V188" s="1"/>
      <c r="W188" s="1"/>
      <c r="X188" s="1"/>
      <c r="Y188" s="17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:3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7"/>
      <c r="U189" s="1"/>
      <c r="V189" s="1"/>
      <c r="W189" s="1"/>
      <c r="X189" s="1"/>
      <c r="Y189" s="17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7"/>
      <c r="U190" s="1"/>
      <c r="V190" s="1"/>
      <c r="W190" s="1"/>
      <c r="X190" s="1"/>
      <c r="Y190" s="17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7"/>
      <c r="U191" s="1"/>
      <c r="V191" s="1"/>
      <c r="W191" s="1"/>
      <c r="X191" s="1"/>
      <c r="Y191" s="17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:3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7"/>
      <c r="U192" s="1"/>
      <c r="V192" s="1"/>
      <c r="W192" s="1"/>
      <c r="X192" s="1"/>
      <c r="Y192" s="17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7"/>
      <c r="U193" s="1"/>
      <c r="V193" s="1"/>
      <c r="W193" s="1"/>
      <c r="X193" s="1"/>
      <c r="Y193" s="17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7"/>
      <c r="U194" s="1"/>
      <c r="V194" s="1"/>
      <c r="W194" s="1"/>
      <c r="X194" s="1"/>
      <c r="Y194" s="17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7"/>
      <c r="U195" s="1"/>
      <c r="V195" s="1"/>
      <c r="W195" s="1"/>
      <c r="X195" s="1"/>
      <c r="Y195" s="17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7"/>
      <c r="U196" s="1"/>
      <c r="V196" s="1"/>
      <c r="W196" s="1"/>
      <c r="X196" s="1"/>
      <c r="Y196" s="17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7"/>
      <c r="U197" s="1"/>
      <c r="V197" s="1"/>
      <c r="W197" s="1"/>
      <c r="X197" s="1"/>
      <c r="Y197" s="17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7"/>
      <c r="U198" s="1"/>
      <c r="V198" s="1"/>
      <c r="W198" s="1"/>
      <c r="X198" s="1"/>
      <c r="Y198" s="17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7"/>
      <c r="U199" s="1"/>
      <c r="V199" s="1"/>
      <c r="W199" s="1"/>
      <c r="X199" s="1"/>
      <c r="Y199" s="17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7"/>
      <c r="U200" s="1"/>
      <c r="V200" s="1"/>
      <c r="W200" s="1"/>
      <c r="X200" s="1"/>
      <c r="Y200" s="17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7"/>
      <c r="U201" s="1"/>
      <c r="V201" s="1"/>
      <c r="W201" s="1"/>
      <c r="X201" s="1"/>
      <c r="Y201" s="17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7"/>
      <c r="U202" s="1"/>
      <c r="V202" s="1"/>
      <c r="W202" s="1"/>
      <c r="X202" s="1"/>
      <c r="Y202" s="17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7"/>
      <c r="U203" s="1"/>
      <c r="V203" s="1"/>
      <c r="W203" s="1"/>
      <c r="X203" s="1"/>
      <c r="Y203" s="17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7"/>
      <c r="U204" s="1"/>
      <c r="V204" s="1"/>
      <c r="W204" s="1"/>
      <c r="X204" s="1"/>
      <c r="Y204" s="17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7"/>
      <c r="U205" s="1"/>
      <c r="V205" s="1"/>
      <c r="W205" s="1"/>
      <c r="X205" s="1"/>
      <c r="Y205" s="17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7"/>
      <c r="U206" s="1"/>
      <c r="V206" s="1"/>
      <c r="W206" s="1"/>
      <c r="X206" s="1"/>
      <c r="Y206" s="17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7"/>
      <c r="U207" s="1"/>
      <c r="V207" s="1"/>
      <c r="W207" s="1"/>
      <c r="X207" s="1"/>
      <c r="Y207" s="17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7"/>
      <c r="U208" s="1"/>
      <c r="V208" s="1"/>
      <c r="W208" s="1"/>
      <c r="X208" s="1"/>
      <c r="Y208" s="17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7"/>
      <c r="U209" s="1"/>
      <c r="V209" s="1"/>
      <c r="W209" s="1"/>
      <c r="X209" s="1"/>
      <c r="Y209" s="17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7"/>
      <c r="U210" s="1"/>
      <c r="V210" s="1"/>
      <c r="W210" s="1"/>
      <c r="X210" s="1"/>
      <c r="Y210" s="17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7"/>
      <c r="U211" s="1"/>
      <c r="V211" s="1"/>
      <c r="W211" s="1"/>
      <c r="X211" s="1"/>
      <c r="Y211" s="17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7"/>
      <c r="U212" s="1"/>
      <c r="V212" s="1"/>
      <c r="W212" s="1"/>
      <c r="X212" s="1"/>
      <c r="Y212" s="17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7"/>
      <c r="U213" s="1"/>
      <c r="V213" s="1"/>
      <c r="W213" s="1"/>
      <c r="X213" s="1"/>
      <c r="Y213" s="17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7"/>
      <c r="U214" s="1"/>
      <c r="V214" s="1"/>
      <c r="W214" s="1"/>
      <c r="X214" s="1"/>
      <c r="Y214" s="17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7"/>
      <c r="U215" s="1"/>
      <c r="V215" s="1"/>
      <c r="W215" s="1"/>
      <c r="X215" s="1"/>
      <c r="Y215" s="17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7"/>
      <c r="U216" s="1"/>
      <c r="V216" s="1"/>
      <c r="W216" s="1"/>
      <c r="X216" s="1"/>
      <c r="Y216" s="17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7"/>
      <c r="U217" s="1"/>
      <c r="V217" s="1"/>
      <c r="W217" s="1"/>
      <c r="X217" s="1"/>
      <c r="Y217" s="17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7"/>
      <c r="U218" s="1"/>
      <c r="V218" s="1"/>
      <c r="W218" s="1"/>
      <c r="X218" s="1"/>
      <c r="Y218" s="17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7"/>
      <c r="U219" s="1"/>
      <c r="V219" s="1"/>
      <c r="W219" s="1"/>
      <c r="X219" s="1"/>
      <c r="Y219" s="17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7"/>
      <c r="U220" s="1"/>
      <c r="V220" s="1"/>
      <c r="W220" s="1"/>
      <c r="X220" s="1"/>
      <c r="Y220" s="17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7"/>
      <c r="U221" s="1"/>
      <c r="V221" s="1"/>
      <c r="W221" s="1"/>
      <c r="X221" s="1"/>
      <c r="Y221" s="17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7"/>
      <c r="U222" s="1"/>
      <c r="V222" s="1"/>
      <c r="W222" s="1"/>
      <c r="X222" s="1"/>
      <c r="Y222" s="17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7"/>
      <c r="U223" s="1"/>
      <c r="V223" s="1"/>
      <c r="W223" s="1"/>
      <c r="X223" s="1"/>
      <c r="Y223" s="17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7"/>
      <c r="U224" s="1"/>
      <c r="V224" s="1"/>
      <c r="W224" s="1"/>
      <c r="X224" s="1"/>
      <c r="Y224" s="17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7"/>
      <c r="U225" s="1"/>
      <c r="V225" s="1"/>
      <c r="W225" s="1"/>
      <c r="X225" s="1"/>
      <c r="Y225" s="17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7"/>
      <c r="U226" s="1"/>
      <c r="V226" s="1"/>
      <c r="W226" s="1"/>
      <c r="X226" s="1"/>
      <c r="Y226" s="17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7"/>
      <c r="U227" s="1"/>
      <c r="V227" s="1"/>
      <c r="W227" s="1"/>
      <c r="X227" s="1"/>
      <c r="Y227" s="17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7"/>
      <c r="U228" s="1"/>
      <c r="V228" s="1"/>
      <c r="W228" s="1"/>
      <c r="X228" s="1"/>
      <c r="Y228" s="17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7"/>
      <c r="U229" s="1"/>
      <c r="V229" s="1"/>
      <c r="W229" s="1"/>
      <c r="X229" s="1"/>
      <c r="Y229" s="17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7"/>
      <c r="U230" s="1"/>
      <c r="V230" s="1"/>
      <c r="W230" s="1"/>
      <c r="X230" s="1"/>
      <c r="Y230" s="17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7"/>
      <c r="U231" s="1"/>
      <c r="V231" s="1"/>
      <c r="W231" s="1"/>
      <c r="X231" s="1"/>
      <c r="Y231" s="17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7"/>
      <c r="U232" s="1"/>
      <c r="V232" s="1"/>
      <c r="W232" s="1"/>
      <c r="X232" s="1"/>
      <c r="Y232" s="17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7"/>
      <c r="U233" s="1"/>
      <c r="V233" s="1"/>
      <c r="W233" s="1"/>
      <c r="X233" s="1"/>
      <c r="Y233" s="17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7"/>
      <c r="U234" s="1"/>
      <c r="V234" s="1"/>
      <c r="W234" s="1"/>
      <c r="X234" s="1"/>
      <c r="Y234" s="17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7"/>
      <c r="U235" s="1"/>
      <c r="V235" s="1"/>
      <c r="W235" s="1"/>
      <c r="X235" s="1"/>
      <c r="Y235" s="17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7"/>
      <c r="U236" s="1"/>
      <c r="V236" s="1"/>
      <c r="W236" s="1"/>
      <c r="X236" s="1"/>
      <c r="Y236" s="17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7"/>
      <c r="U237" s="1"/>
      <c r="V237" s="1"/>
      <c r="W237" s="1"/>
      <c r="X237" s="1"/>
      <c r="Y237" s="17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7"/>
      <c r="U238" s="1"/>
      <c r="V238" s="1"/>
      <c r="W238" s="1"/>
      <c r="X238" s="1"/>
      <c r="Y238" s="17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7"/>
      <c r="U239" s="1"/>
      <c r="V239" s="1"/>
      <c r="W239" s="1"/>
      <c r="X239" s="1"/>
      <c r="Y239" s="17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7"/>
      <c r="U240" s="1"/>
      <c r="V240" s="1"/>
      <c r="W240" s="1"/>
      <c r="X240" s="1"/>
      <c r="Y240" s="17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7"/>
      <c r="U241" s="1"/>
      <c r="V241" s="1"/>
      <c r="W241" s="1"/>
      <c r="X241" s="1"/>
      <c r="Y241" s="17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7"/>
      <c r="U242" s="1"/>
      <c r="V242" s="1"/>
      <c r="W242" s="1"/>
      <c r="X242" s="1"/>
      <c r="Y242" s="17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7"/>
      <c r="U243" s="1"/>
      <c r="V243" s="1"/>
      <c r="W243" s="1"/>
      <c r="X243" s="1"/>
      <c r="Y243" s="17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7"/>
      <c r="U244" s="1"/>
      <c r="V244" s="1"/>
      <c r="W244" s="1"/>
      <c r="X244" s="1"/>
      <c r="Y244" s="17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7"/>
      <c r="U245" s="1"/>
      <c r="V245" s="1"/>
      <c r="W245" s="1"/>
      <c r="X245" s="1"/>
      <c r="Y245" s="17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7"/>
      <c r="U246" s="1"/>
      <c r="V246" s="1"/>
      <c r="W246" s="1"/>
      <c r="X246" s="1"/>
      <c r="Y246" s="17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7"/>
      <c r="U247" s="1"/>
      <c r="V247" s="1"/>
      <c r="W247" s="1"/>
      <c r="X247" s="1"/>
      <c r="Y247" s="17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7"/>
      <c r="U248" s="1"/>
      <c r="V248" s="1"/>
      <c r="W248" s="1"/>
      <c r="X248" s="1"/>
      <c r="Y248" s="17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7"/>
      <c r="U249" s="1"/>
      <c r="V249" s="1"/>
      <c r="W249" s="1"/>
      <c r="X249" s="1"/>
      <c r="Y249" s="17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7"/>
      <c r="U250" s="1"/>
      <c r="V250" s="1"/>
      <c r="W250" s="1"/>
      <c r="X250" s="1"/>
      <c r="Y250" s="17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7"/>
      <c r="U251" s="1"/>
      <c r="V251" s="1"/>
      <c r="W251" s="1"/>
      <c r="X251" s="1"/>
      <c r="Y251" s="17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1:3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7"/>
      <c r="U252" s="1"/>
      <c r="V252" s="1"/>
      <c r="W252" s="1"/>
      <c r="X252" s="1"/>
      <c r="Y252" s="17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7"/>
      <c r="U253" s="1"/>
      <c r="V253" s="1"/>
      <c r="W253" s="1"/>
      <c r="X253" s="1"/>
      <c r="Y253" s="17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7"/>
      <c r="U254" s="1"/>
      <c r="V254" s="1"/>
      <c r="W254" s="1"/>
      <c r="X254" s="1"/>
      <c r="Y254" s="17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7"/>
      <c r="U255" s="1"/>
      <c r="V255" s="1"/>
      <c r="W255" s="1"/>
      <c r="X255" s="1"/>
      <c r="Y255" s="17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7"/>
      <c r="U256" s="1"/>
      <c r="V256" s="1"/>
      <c r="W256" s="1"/>
      <c r="X256" s="1"/>
      <c r="Y256" s="17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7"/>
      <c r="U257" s="1"/>
      <c r="V257" s="1"/>
      <c r="W257" s="1"/>
      <c r="X257" s="1"/>
      <c r="Y257" s="17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7"/>
      <c r="U258" s="1"/>
      <c r="V258" s="1"/>
      <c r="W258" s="1"/>
      <c r="X258" s="1"/>
      <c r="Y258" s="17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7"/>
      <c r="U259" s="1"/>
      <c r="V259" s="1"/>
      <c r="W259" s="1"/>
      <c r="X259" s="1"/>
      <c r="Y259" s="17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1:3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7"/>
      <c r="U260" s="1"/>
      <c r="V260" s="1"/>
      <c r="W260" s="1"/>
      <c r="X260" s="1"/>
      <c r="Y260" s="17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7"/>
      <c r="U261" s="1"/>
      <c r="V261" s="1"/>
      <c r="W261" s="1"/>
      <c r="X261" s="1"/>
      <c r="Y261" s="17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7"/>
      <c r="U262" s="1"/>
      <c r="V262" s="1"/>
      <c r="W262" s="1"/>
      <c r="X262" s="1"/>
      <c r="Y262" s="17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7"/>
      <c r="U263" s="1"/>
      <c r="V263" s="1"/>
      <c r="W263" s="1"/>
      <c r="X263" s="1"/>
      <c r="Y263" s="17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7"/>
      <c r="U264" s="1"/>
      <c r="V264" s="1"/>
      <c r="W264" s="1"/>
      <c r="X264" s="1"/>
      <c r="Y264" s="17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7"/>
      <c r="U265" s="1"/>
      <c r="V265" s="1"/>
      <c r="W265" s="1"/>
      <c r="X265" s="1"/>
      <c r="Y265" s="17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7"/>
      <c r="U266" s="1"/>
      <c r="V266" s="1"/>
      <c r="W266" s="1"/>
      <c r="X266" s="1"/>
      <c r="Y266" s="17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7"/>
      <c r="U267" s="1"/>
      <c r="V267" s="1"/>
      <c r="W267" s="1"/>
      <c r="X267" s="1"/>
      <c r="Y267" s="17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7"/>
      <c r="U268" s="1"/>
      <c r="V268" s="1"/>
      <c r="W268" s="1"/>
      <c r="X268" s="1"/>
      <c r="Y268" s="17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7"/>
      <c r="U269" s="1"/>
      <c r="V269" s="1"/>
      <c r="W269" s="1"/>
      <c r="X269" s="1"/>
      <c r="Y269" s="17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1:3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7"/>
      <c r="U270" s="1"/>
      <c r="V270" s="1"/>
      <c r="W270" s="1"/>
      <c r="X270" s="1"/>
      <c r="Y270" s="17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1:3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7"/>
      <c r="U271" s="1"/>
      <c r="V271" s="1"/>
      <c r="W271" s="1"/>
      <c r="X271" s="1"/>
      <c r="Y271" s="17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1:3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7"/>
      <c r="U272" s="1"/>
      <c r="V272" s="1"/>
      <c r="W272" s="1"/>
      <c r="X272" s="1"/>
      <c r="Y272" s="17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1:3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7"/>
      <c r="U273" s="1"/>
      <c r="V273" s="1"/>
      <c r="W273" s="1"/>
      <c r="X273" s="1"/>
      <c r="Y273" s="17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1:3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7"/>
      <c r="U274" s="1"/>
      <c r="V274" s="1"/>
      <c r="W274" s="1"/>
      <c r="X274" s="1"/>
      <c r="Y274" s="17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3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7"/>
      <c r="U275" s="1"/>
      <c r="V275" s="1"/>
      <c r="W275" s="1"/>
      <c r="X275" s="1"/>
      <c r="Y275" s="17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spans="1:3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7"/>
      <c r="U276" s="1"/>
      <c r="V276" s="1"/>
      <c r="W276" s="1"/>
      <c r="X276" s="1"/>
      <c r="Y276" s="17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1:3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7"/>
      <c r="U277" s="1"/>
      <c r="V277" s="1"/>
      <c r="W277" s="1"/>
      <c r="X277" s="1"/>
      <c r="Y277" s="17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spans="1:3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7"/>
      <c r="U278" s="1"/>
      <c r="V278" s="1"/>
      <c r="W278" s="1"/>
      <c r="X278" s="1"/>
      <c r="Y278" s="17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1:3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7"/>
      <c r="U279" s="1"/>
      <c r="V279" s="1"/>
      <c r="W279" s="1"/>
      <c r="X279" s="1"/>
      <c r="Y279" s="17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spans="1:3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7"/>
      <c r="U280" s="1"/>
      <c r="V280" s="1"/>
      <c r="W280" s="1"/>
      <c r="X280" s="1"/>
      <c r="Y280" s="17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spans="1:3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7"/>
      <c r="U281" s="1"/>
      <c r="V281" s="1"/>
      <c r="W281" s="1"/>
      <c r="X281" s="1"/>
      <c r="Y281" s="17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spans="1:3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7"/>
      <c r="U282" s="1"/>
      <c r="V282" s="1"/>
      <c r="W282" s="1"/>
      <c r="X282" s="1"/>
      <c r="Y282" s="17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spans="1:3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7"/>
      <c r="U283" s="1"/>
      <c r="V283" s="1"/>
      <c r="W283" s="1"/>
      <c r="X283" s="1"/>
      <c r="Y283" s="17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spans="1:3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7"/>
      <c r="U284" s="1"/>
      <c r="V284" s="1"/>
      <c r="W284" s="1"/>
      <c r="X284" s="1"/>
      <c r="Y284" s="17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spans="1:3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7"/>
      <c r="U285" s="1"/>
      <c r="V285" s="1"/>
      <c r="W285" s="1"/>
      <c r="X285" s="1"/>
      <c r="Y285" s="17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spans="1:3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7"/>
      <c r="U286" s="1"/>
      <c r="V286" s="1"/>
      <c r="W286" s="1"/>
      <c r="X286" s="1"/>
      <c r="Y286" s="17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spans="1:3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7"/>
      <c r="U287" s="1"/>
      <c r="V287" s="1"/>
      <c r="W287" s="1"/>
      <c r="X287" s="1"/>
      <c r="Y287" s="17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spans="1:3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7"/>
      <c r="U288" s="1"/>
      <c r="V288" s="1"/>
      <c r="W288" s="1"/>
      <c r="X288" s="1"/>
      <c r="Y288" s="17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spans="1:3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7"/>
      <c r="U289" s="1"/>
      <c r="V289" s="1"/>
      <c r="W289" s="1"/>
      <c r="X289" s="1"/>
      <c r="Y289" s="17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spans="1:3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7"/>
      <c r="U290" s="1"/>
      <c r="V290" s="1"/>
      <c r="W290" s="1"/>
      <c r="X290" s="1"/>
      <c r="Y290" s="17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spans="1:3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7"/>
      <c r="U291" s="1"/>
      <c r="V291" s="1"/>
      <c r="W291" s="1"/>
      <c r="X291" s="1"/>
      <c r="Y291" s="17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spans="1:3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7"/>
      <c r="U292" s="1"/>
      <c r="V292" s="1"/>
      <c r="W292" s="1"/>
      <c r="X292" s="1"/>
      <c r="Y292" s="17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spans="1:3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7"/>
      <c r="U293" s="1"/>
      <c r="V293" s="1"/>
      <c r="W293" s="1"/>
      <c r="X293" s="1"/>
      <c r="Y293" s="17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spans="1:3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7"/>
      <c r="U294" s="1"/>
      <c r="V294" s="1"/>
      <c r="W294" s="1"/>
      <c r="X294" s="1"/>
      <c r="Y294" s="17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spans="1:3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7"/>
      <c r="U295" s="1"/>
      <c r="V295" s="1"/>
      <c r="W295" s="1"/>
      <c r="X295" s="1"/>
      <c r="Y295" s="17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spans="1:3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7"/>
      <c r="U296" s="1"/>
      <c r="V296" s="1"/>
      <c r="W296" s="1"/>
      <c r="X296" s="1"/>
      <c r="Y296" s="17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spans="1:3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7"/>
      <c r="U297" s="1"/>
      <c r="V297" s="1"/>
      <c r="W297" s="1"/>
      <c r="X297" s="1"/>
      <c r="Y297" s="17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spans="1:3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7"/>
      <c r="U298" s="1"/>
      <c r="V298" s="1"/>
      <c r="W298" s="1"/>
      <c r="X298" s="1"/>
      <c r="Y298" s="17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spans="1:3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7"/>
      <c r="U299" s="1"/>
      <c r="V299" s="1"/>
      <c r="W299" s="1"/>
      <c r="X299" s="1"/>
      <c r="Y299" s="17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spans="1:3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7"/>
      <c r="U300" s="1"/>
      <c r="V300" s="1"/>
      <c r="W300" s="1"/>
      <c r="X300" s="1"/>
      <c r="Y300" s="17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spans="1:3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7"/>
      <c r="U301" s="1"/>
      <c r="V301" s="1"/>
      <c r="W301" s="1"/>
      <c r="X301" s="1"/>
      <c r="Y301" s="17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spans="1:3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7"/>
      <c r="U302" s="1"/>
      <c r="V302" s="1"/>
      <c r="W302" s="1"/>
      <c r="X302" s="1"/>
      <c r="Y302" s="17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spans="1:3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7"/>
      <c r="U303" s="1"/>
      <c r="V303" s="1"/>
      <c r="W303" s="1"/>
      <c r="X303" s="1"/>
      <c r="Y303" s="17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spans="1:3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7"/>
      <c r="U304" s="1"/>
      <c r="V304" s="1"/>
      <c r="W304" s="1"/>
      <c r="X304" s="1"/>
      <c r="Y304" s="17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spans="1:3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7"/>
      <c r="U305" s="1"/>
      <c r="V305" s="1"/>
      <c r="W305" s="1"/>
      <c r="X305" s="1"/>
      <c r="Y305" s="17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spans="1:3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7"/>
      <c r="U306" s="1"/>
      <c r="V306" s="1"/>
      <c r="W306" s="1"/>
      <c r="X306" s="1"/>
      <c r="Y306" s="17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spans="1:3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7"/>
      <c r="U307" s="1"/>
      <c r="V307" s="1"/>
      <c r="W307" s="1"/>
      <c r="X307" s="1"/>
      <c r="Y307" s="17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spans="1:3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7"/>
      <c r="U308" s="1"/>
      <c r="V308" s="1"/>
      <c r="W308" s="1"/>
      <c r="X308" s="1"/>
      <c r="Y308" s="17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spans="1:3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7"/>
      <c r="U309" s="1"/>
      <c r="V309" s="1"/>
      <c r="W309" s="1"/>
      <c r="X309" s="1"/>
      <c r="Y309" s="17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spans="1:3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7"/>
      <c r="U310" s="1"/>
      <c r="V310" s="1"/>
      <c r="W310" s="1"/>
      <c r="X310" s="1"/>
      <c r="Y310" s="17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spans="1:3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7"/>
      <c r="U311" s="1"/>
      <c r="V311" s="1"/>
      <c r="W311" s="1"/>
      <c r="X311" s="1"/>
      <c r="Y311" s="17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spans="1:3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7"/>
      <c r="U312" s="1"/>
      <c r="V312" s="1"/>
      <c r="W312" s="1"/>
      <c r="X312" s="1"/>
      <c r="Y312" s="17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spans="1:3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7"/>
      <c r="U313" s="1"/>
      <c r="V313" s="1"/>
      <c r="W313" s="1"/>
      <c r="X313" s="1"/>
      <c r="Y313" s="17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spans="1:3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7"/>
      <c r="U314" s="1"/>
      <c r="V314" s="1"/>
      <c r="W314" s="1"/>
      <c r="X314" s="1"/>
      <c r="Y314" s="17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spans="1:3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7"/>
      <c r="U315" s="1"/>
      <c r="V315" s="1"/>
      <c r="W315" s="1"/>
      <c r="X315" s="1"/>
      <c r="Y315" s="17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spans="1:3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7"/>
      <c r="U316" s="1"/>
      <c r="V316" s="1"/>
      <c r="W316" s="1"/>
      <c r="X316" s="1"/>
      <c r="Y316" s="17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spans="1:3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7"/>
      <c r="U317" s="1"/>
      <c r="V317" s="1"/>
      <c r="W317" s="1"/>
      <c r="X317" s="1"/>
      <c r="Y317" s="17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spans="1:3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7"/>
      <c r="U318" s="1"/>
      <c r="V318" s="1"/>
      <c r="W318" s="1"/>
      <c r="X318" s="1"/>
      <c r="Y318" s="17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spans="1:3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7"/>
      <c r="U319" s="1"/>
      <c r="V319" s="1"/>
      <c r="W319" s="1"/>
      <c r="X319" s="1"/>
      <c r="Y319" s="17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spans="1:3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7"/>
      <c r="U320" s="1"/>
      <c r="V320" s="1"/>
      <c r="W320" s="1"/>
      <c r="X320" s="1"/>
      <c r="Y320" s="17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spans="1:3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7"/>
      <c r="U321" s="1"/>
      <c r="V321" s="1"/>
      <c r="W321" s="1"/>
      <c r="X321" s="1"/>
      <c r="Y321" s="17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spans="1:3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7"/>
      <c r="U322" s="1"/>
      <c r="V322" s="1"/>
      <c r="W322" s="1"/>
      <c r="X322" s="1"/>
      <c r="Y322" s="17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spans="1:3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7"/>
      <c r="U323" s="1"/>
      <c r="V323" s="1"/>
      <c r="W323" s="1"/>
      <c r="X323" s="1"/>
      <c r="Y323" s="17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spans="1:3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7"/>
      <c r="U324" s="1"/>
      <c r="V324" s="1"/>
      <c r="W324" s="1"/>
      <c r="X324" s="1"/>
      <c r="Y324" s="17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spans="1:3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7"/>
      <c r="U325" s="1"/>
      <c r="V325" s="1"/>
      <c r="W325" s="1"/>
      <c r="X325" s="1"/>
      <c r="Y325" s="17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spans="1:3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7"/>
      <c r="U326" s="1"/>
      <c r="V326" s="1"/>
      <c r="W326" s="1"/>
      <c r="X326" s="1"/>
      <c r="Y326" s="17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spans="1:3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7"/>
      <c r="U327" s="1"/>
      <c r="V327" s="1"/>
      <c r="W327" s="1"/>
      <c r="X327" s="1"/>
      <c r="Y327" s="17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spans="1:3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7"/>
      <c r="U328" s="1"/>
      <c r="V328" s="1"/>
      <c r="W328" s="1"/>
      <c r="X328" s="1"/>
      <c r="Y328" s="17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spans="1:3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7"/>
      <c r="U329" s="1"/>
      <c r="V329" s="1"/>
      <c r="W329" s="1"/>
      <c r="X329" s="1"/>
      <c r="Y329" s="17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spans="1:3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7"/>
      <c r="U330" s="1"/>
      <c r="V330" s="1"/>
      <c r="W330" s="1"/>
      <c r="X330" s="1"/>
      <c r="Y330" s="17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spans="1:3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7"/>
      <c r="U331" s="1"/>
      <c r="V331" s="1"/>
      <c r="W331" s="1"/>
      <c r="X331" s="1"/>
      <c r="Y331" s="17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spans="1:3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7"/>
      <c r="U332" s="1"/>
      <c r="V332" s="1"/>
      <c r="W332" s="1"/>
      <c r="X332" s="1"/>
      <c r="Y332" s="17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spans="1:3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7"/>
      <c r="U333" s="1"/>
      <c r="V333" s="1"/>
      <c r="W333" s="1"/>
      <c r="X333" s="1"/>
      <c r="Y333" s="17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spans="1:3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7"/>
      <c r="U334" s="1"/>
      <c r="V334" s="1"/>
      <c r="W334" s="1"/>
      <c r="X334" s="1"/>
      <c r="Y334" s="17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spans="1:3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7"/>
      <c r="U335" s="1"/>
      <c r="V335" s="1"/>
      <c r="W335" s="1"/>
      <c r="X335" s="1"/>
      <c r="Y335" s="17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spans="1:3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7"/>
      <c r="U336" s="1"/>
      <c r="V336" s="1"/>
      <c r="W336" s="1"/>
      <c r="X336" s="1"/>
      <c r="Y336" s="17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spans="1:3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7"/>
      <c r="U337" s="1"/>
      <c r="V337" s="1"/>
      <c r="W337" s="1"/>
      <c r="X337" s="1"/>
      <c r="Y337" s="17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spans="1:3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7"/>
      <c r="U338" s="1"/>
      <c r="V338" s="1"/>
      <c r="W338" s="1"/>
      <c r="X338" s="1"/>
      <c r="Y338" s="17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spans="1:3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7"/>
      <c r="U339" s="1"/>
      <c r="V339" s="1"/>
      <c r="W339" s="1"/>
      <c r="X339" s="1"/>
      <c r="Y339" s="17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spans="1:3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7"/>
      <c r="U340" s="1"/>
      <c r="V340" s="1"/>
      <c r="W340" s="1"/>
      <c r="X340" s="1"/>
      <c r="Y340" s="17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spans="1:3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7"/>
      <c r="U341" s="1"/>
      <c r="V341" s="1"/>
      <c r="W341" s="1"/>
      <c r="X341" s="1"/>
      <c r="Y341" s="17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spans="1:3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7"/>
      <c r="U342" s="1"/>
      <c r="V342" s="1"/>
      <c r="W342" s="1"/>
      <c r="X342" s="1"/>
      <c r="Y342" s="17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spans="1:3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7"/>
      <c r="U343" s="1"/>
      <c r="V343" s="1"/>
      <c r="W343" s="1"/>
      <c r="X343" s="1"/>
      <c r="Y343" s="17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spans="1:3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7"/>
      <c r="U344" s="1"/>
      <c r="V344" s="1"/>
      <c r="W344" s="1"/>
      <c r="X344" s="1"/>
      <c r="Y344" s="17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spans="1:3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7"/>
      <c r="U345" s="1"/>
      <c r="V345" s="1"/>
      <c r="W345" s="1"/>
      <c r="X345" s="1"/>
      <c r="Y345" s="17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spans="1:3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7"/>
      <c r="U346" s="1"/>
      <c r="V346" s="1"/>
      <c r="W346" s="1"/>
      <c r="X346" s="1"/>
      <c r="Y346" s="17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spans="1:3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7"/>
      <c r="U347" s="1"/>
      <c r="V347" s="1"/>
      <c r="W347" s="1"/>
      <c r="X347" s="1"/>
      <c r="Y347" s="17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spans="1:3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7"/>
      <c r="U348" s="1"/>
      <c r="V348" s="1"/>
      <c r="W348" s="1"/>
      <c r="X348" s="1"/>
      <c r="Y348" s="17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3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7"/>
      <c r="U349" s="1"/>
      <c r="V349" s="1"/>
      <c r="W349" s="1"/>
      <c r="X349" s="1"/>
      <c r="Y349" s="17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1:3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7"/>
      <c r="U350" s="1"/>
      <c r="V350" s="1"/>
      <c r="W350" s="1"/>
      <c r="X350" s="1"/>
      <c r="Y350" s="17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3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7"/>
      <c r="U351" s="1"/>
      <c r="V351" s="1"/>
      <c r="W351" s="1"/>
      <c r="X351" s="1"/>
      <c r="Y351" s="17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spans="1:3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7"/>
      <c r="U352" s="1"/>
      <c r="V352" s="1"/>
      <c r="W352" s="1"/>
      <c r="X352" s="1"/>
      <c r="Y352" s="17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spans="1:3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7"/>
      <c r="U353" s="1"/>
      <c r="V353" s="1"/>
      <c r="W353" s="1"/>
      <c r="X353" s="1"/>
      <c r="Y353" s="17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1:3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7"/>
      <c r="U354" s="1"/>
      <c r="V354" s="1"/>
      <c r="W354" s="1"/>
      <c r="X354" s="1"/>
      <c r="Y354" s="17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1:3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7"/>
      <c r="U355" s="1"/>
      <c r="V355" s="1"/>
      <c r="W355" s="1"/>
      <c r="X355" s="1"/>
      <c r="Y355" s="17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spans="1:3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7"/>
      <c r="U356" s="1"/>
      <c r="V356" s="1"/>
      <c r="W356" s="1"/>
      <c r="X356" s="1"/>
      <c r="Y356" s="17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spans="1:3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7"/>
      <c r="U357" s="1"/>
      <c r="V357" s="1"/>
      <c r="W357" s="1"/>
      <c r="X357" s="1"/>
      <c r="Y357" s="17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spans="1:3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7"/>
      <c r="U358" s="1"/>
      <c r="V358" s="1"/>
      <c r="W358" s="1"/>
      <c r="X358" s="1"/>
      <c r="Y358" s="17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1:3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7"/>
      <c r="U359" s="1"/>
      <c r="V359" s="1"/>
      <c r="W359" s="1"/>
      <c r="X359" s="1"/>
      <c r="Y359" s="17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1:3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7"/>
      <c r="U360" s="1"/>
      <c r="V360" s="1"/>
      <c r="W360" s="1"/>
      <c r="X360" s="1"/>
      <c r="Y360" s="17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spans="1:3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7"/>
      <c r="U361" s="1"/>
      <c r="V361" s="1"/>
      <c r="W361" s="1"/>
      <c r="X361" s="1"/>
      <c r="Y361" s="17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spans="1:3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7"/>
      <c r="U362" s="1"/>
      <c r="V362" s="1"/>
      <c r="W362" s="1"/>
      <c r="X362" s="1"/>
      <c r="Y362" s="17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spans="1:3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7"/>
      <c r="U363" s="1"/>
      <c r="V363" s="1"/>
      <c r="W363" s="1"/>
      <c r="X363" s="1"/>
      <c r="Y363" s="17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spans="1:3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7"/>
      <c r="U364" s="1"/>
      <c r="V364" s="1"/>
      <c r="W364" s="1"/>
      <c r="X364" s="1"/>
      <c r="Y364" s="17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spans="1:3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7"/>
      <c r="U365" s="1"/>
      <c r="V365" s="1"/>
      <c r="W365" s="1"/>
      <c r="X365" s="1"/>
      <c r="Y365" s="17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spans="1:3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7"/>
      <c r="U366" s="1"/>
      <c r="V366" s="1"/>
      <c r="W366" s="1"/>
      <c r="X366" s="1"/>
      <c r="Y366" s="17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spans="1:3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7"/>
      <c r="U367" s="1"/>
      <c r="V367" s="1"/>
      <c r="W367" s="1"/>
      <c r="X367" s="1"/>
      <c r="Y367" s="17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spans="1:3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7"/>
      <c r="U368" s="1"/>
      <c r="V368" s="1"/>
      <c r="W368" s="1"/>
      <c r="X368" s="1"/>
      <c r="Y368" s="17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spans="1:3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7"/>
      <c r="U369" s="1"/>
      <c r="V369" s="1"/>
      <c r="W369" s="1"/>
      <c r="X369" s="1"/>
      <c r="Y369" s="17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spans="1:3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7"/>
      <c r="U370" s="1"/>
      <c r="V370" s="1"/>
      <c r="W370" s="1"/>
      <c r="X370" s="1"/>
      <c r="Y370" s="17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spans="1:3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7"/>
      <c r="U371" s="1"/>
      <c r="V371" s="1"/>
      <c r="W371" s="1"/>
      <c r="X371" s="1"/>
      <c r="Y371" s="17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spans="1:3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7"/>
      <c r="U372" s="1"/>
      <c r="V372" s="1"/>
      <c r="W372" s="1"/>
      <c r="X372" s="1"/>
      <c r="Y372" s="17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spans="1:3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7"/>
      <c r="U373" s="1"/>
      <c r="V373" s="1"/>
      <c r="W373" s="1"/>
      <c r="X373" s="1"/>
      <c r="Y373" s="17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spans="1:3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7"/>
      <c r="U374" s="1"/>
      <c r="V374" s="1"/>
      <c r="W374" s="1"/>
      <c r="X374" s="1"/>
      <c r="Y374" s="17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spans="1:3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7"/>
      <c r="U375" s="1"/>
      <c r="V375" s="1"/>
      <c r="W375" s="1"/>
      <c r="X375" s="1"/>
      <c r="Y375" s="17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spans="1:3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7"/>
      <c r="U376" s="1"/>
      <c r="V376" s="1"/>
      <c r="W376" s="1"/>
      <c r="X376" s="1"/>
      <c r="Y376" s="17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spans="1:3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7"/>
      <c r="U377" s="1"/>
      <c r="V377" s="1"/>
      <c r="W377" s="1"/>
      <c r="X377" s="1"/>
      <c r="Y377" s="17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spans="1:3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7"/>
      <c r="U378" s="1"/>
      <c r="V378" s="1"/>
      <c r="W378" s="1"/>
      <c r="X378" s="1"/>
      <c r="Y378" s="17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spans="1:3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7"/>
      <c r="U379" s="1"/>
      <c r="V379" s="1"/>
      <c r="W379" s="1"/>
      <c r="X379" s="1"/>
      <c r="Y379" s="17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spans="1:3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7"/>
      <c r="U380" s="1"/>
      <c r="V380" s="1"/>
      <c r="W380" s="1"/>
      <c r="X380" s="1"/>
      <c r="Y380" s="17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spans="1:3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7"/>
      <c r="U381" s="1"/>
      <c r="V381" s="1"/>
      <c r="W381" s="1"/>
      <c r="X381" s="1"/>
      <c r="Y381" s="17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spans="1:3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7"/>
      <c r="U382" s="1"/>
      <c r="V382" s="1"/>
      <c r="W382" s="1"/>
      <c r="X382" s="1"/>
      <c r="Y382" s="17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spans="1:3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7"/>
      <c r="U383" s="1"/>
      <c r="V383" s="1"/>
      <c r="W383" s="1"/>
      <c r="X383" s="1"/>
      <c r="Y383" s="17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spans="1:3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7"/>
      <c r="U384" s="1"/>
      <c r="V384" s="1"/>
      <c r="W384" s="1"/>
      <c r="X384" s="1"/>
      <c r="Y384" s="17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spans="1:3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7"/>
      <c r="U385" s="1"/>
      <c r="V385" s="1"/>
      <c r="W385" s="1"/>
      <c r="X385" s="1"/>
      <c r="Y385" s="17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spans="1:3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7"/>
      <c r="U386" s="1"/>
      <c r="V386" s="1"/>
      <c r="W386" s="1"/>
      <c r="X386" s="1"/>
      <c r="Y386" s="17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spans="1:3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7"/>
      <c r="U387" s="1"/>
      <c r="V387" s="1"/>
      <c r="W387" s="1"/>
      <c r="X387" s="1"/>
      <c r="Y387" s="17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spans="1:3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7"/>
      <c r="U388" s="1"/>
      <c r="V388" s="1"/>
      <c r="W388" s="1"/>
      <c r="X388" s="1"/>
      <c r="Y388" s="17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spans="1:3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7"/>
      <c r="U389" s="1"/>
      <c r="V389" s="1"/>
      <c r="W389" s="1"/>
      <c r="X389" s="1"/>
      <c r="Y389" s="17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spans="1:3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7"/>
      <c r="U390" s="1"/>
      <c r="V390" s="1"/>
      <c r="W390" s="1"/>
      <c r="X390" s="1"/>
      <c r="Y390" s="17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spans="1:3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7"/>
      <c r="U391" s="1"/>
      <c r="V391" s="1"/>
      <c r="W391" s="1"/>
      <c r="X391" s="1"/>
      <c r="Y391" s="17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spans="1:3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7"/>
      <c r="U392" s="1"/>
      <c r="V392" s="1"/>
      <c r="W392" s="1"/>
      <c r="X392" s="1"/>
      <c r="Y392" s="17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spans="1:3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7"/>
      <c r="U393" s="1"/>
      <c r="V393" s="1"/>
      <c r="W393" s="1"/>
      <c r="X393" s="1"/>
      <c r="Y393" s="17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spans="1:3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7"/>
      <c r="U394" s="1"/>
      <c r="V394" s="1"/>
      <c r="W394" s="1"/>
      <c r="X394" s="1"/>
      <c r="Y394" s="17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spans="1:3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7"/>
      <c r="U395" s="1"/>
      <c r="V395" s="1"/>
      <c r="W395" s="1"/>
      <c r="X395" s="1"/>
      <c r="Y395" s="17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spans="1:3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7"/>
      <c r="U396" s="1"/>
      <c r="V396" s="1"/>
      <c r="W396" s="1"/>
      <c r="X396" s="1"/>
      <c r="Y396" s="17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spans="1:3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7"/>
      <c r="U397" s="1"/>
      <c r="V397" s="1"/>
      <c r="W397" s="1"/>
      <c r="X397" s="1"/>
      <c r="Y397" s="17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spans="1:3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7"/>
      <c r="U398" s="1"/>
      <c r="V398" s="1"/>
      <c r="W398" s="1"/>
      <c r="X398" s="1"/>
      <c r="Y398" s="17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spans="1:3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7"/>
      <c r="U399" s="1"/>
      <c r="V399" s="1"/>
      <c r="W399" s="1"/>
      <c r="X399" s="1"/>
      <c r="Y399" s="17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spans="1:3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7"/>
      <c r="U400" s="1"/>
      <c r="V400" s="1"/>
      <c r="W400" s="1"/>
      <c r="X400" s="1"/>
      <c r="Y400" s="17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spans="1:3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7"/>
      <c r="U401" s="1"/>
      <c r="V401" s="1"/>
      <c r="W401" s="1"/>
      <c r="X401" s="1"/>
      <c r="Y401" s="17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spans="1:3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7"/>
      <c r="U402" s="1"/>
      <c r="V402" s="1"/>
      <c r="W402" s="1"/>
      <c r="X402" s="1"/>
      <c r="Y402" s="17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spans="1:3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7"/>
      <c r="U403" s="1"/>
      <c r="V403" s="1"/>
      <c r="W403" s="1"/>
      <c r="X403" s="1"/>
      <c r="Y403" s="17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spans="1:3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7"/>
      <c r="U404" s="1"/>
      <c r="V404" s="1"/>
      <c r="W404" s="1"/>
      <c r="X404" s="1"/>
      <c r="Y404" s="17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spans="1:3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7"/>
      <c r="U405" s="1"/>
      <c r="V405" s="1"/>
      <c r="W405" s="1"/>
      <c r="X405" s="1"/>
      <c r="Y405" s="17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spans="1:3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7"/>
      <c r="U406" s="1"/>
      <c r="V406" s="1"/>
      <c r="W406" s="1"/>
      <c r="X406" s="1"/>
      <c r="Y406" s="17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spans="1:3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7"/>
      <c r="U407" s="1"/>
      <c r="V407" s="1"/>
      <c r="W407" s="1"/>
      <c r="X407" s="1"/>
      <c r="Y407" s="17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spans="1:3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7"/>
      <c r="U408" s="1"/>
      <c r="V408" s="1"/>
      <c r="W408" s="1"/>
      <c r="X408" s="1"/>
      <c r="Y408" s="17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spans="1:3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7"/>
      <c r="U409" s="1"/>
      <c r="V409" s="1"/>
      <c r="W409" s="1"/>
      <c r="X409" s="1"/>
      <c r="Y409" s="17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spans="1:3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7"/>
      <c r="U410" s="1"/>
      <c r="V410" s="1"/>
      <c r="W410" s="1"/>
      <c r="X410" s="1"/>
      <c r="Y410" s="17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spans="1:3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7"/>
      <c r="U411" s="1"/>
      <c r="V411" s="1"/>
      <c r="W411" s="1"/>
      <c r="X411" s="1"/>
      <c r="Y411" s="17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spans="1:3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7"/>
      <c r="U412" s="1"/>
      <c r="V412" s="1"/>
      <c r="W412" s="1"/>
      <c r="X412" s="1"/>
      <c r="Y412" s="17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spans="1:3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7"/>
      <c r="U413" s="1"/>
      <c r="V413" s="1"/>
      <c r="W413" s="1"/>
      <c r="X413" s="1"/>
      <c r="Y413" s="17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spans="1:3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7"/>
      <c r="U414" s="1"/>
      <c r="V414" s="1"/>
      <c r="W414" s="1"/>
      <c r="X414" s="1"/>
      <c r="Y414" s="17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spans="1:3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7"/>
      <c r="U415" s="1"/>
      <c r="V415" s="1"/>
      <c r="W415" s="1"/>
      <c r="X415" s="1"/>
      <c r="Y415" s="17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spans="1:3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7"/>
      <c r="U416" s="1"/>
      <c r="V416" s="1"/>
      <c r="W416" s="1"/>
      <c r="X416" s="1"/>
      <c r="Y416" s="17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spans="1:3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7"/>
      <c r="U417" s="1"/>
      <c r="V417" s="1"/>
      <c r="W417" s="1"/>
      <c r="X417" s="1"/>
      <c r="Y417" s="17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spans="1:3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7"/>
      <c r="U418" s="1"/>
      <c r="V418" s="1"/>
      <c r="W418" s="1"/>
      <c r="X418" s="1"/>
      <c r="Y418" s="17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spans="1:3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7"/>
      <c r="U419" s="1"/>
      <c r="V419" s="1"/>
      <c r="W419" s="1"/>
      <c r="X419" s="1"/>
      <c r="Y419" s="17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spans="1:3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7"/>
      <c r="U420" s="1"/>
      <c r="V420" s="1"/>
      <c r="W420" s="1"/>
      <c r="X420" s="1"/>
      <c r="Y420" s="17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spans="1:3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7"/>
      <c r="U421" s="1"/>
      <c r="V421" s="1"/>
      <c r="W421" s="1"/>
      <c r="X421" s="1"/>
      <c r="Y421" s="17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spans="1:3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7"/>
      <c r="U422" s="1"/>
      <c r="V422" s="1"/>
      <c r="W422" s="1"/>
      <c r="X422" s="1"/>
      <c r="Y422" s="17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spans="1:3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7"/>
      <c r="U423" s="1"/>
      <c r="V423" s="1"/>
      <c r="W423" s="1"/>
      <c r="X423" s="1"/>
      <c r="Y423" s="17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spans="1:3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7"/>
      <c r="U424" s="1"/>
      <c r="V424" s="1"/>
      <c r="W424" s="1"/>
      <c r="X424" s="1"/>
      <c r="Y424" s="17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spans="1:3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7"/>
      <c r="U425" s="1"/>
      <c r="V425" s="1"/>
      <c r="W425" s="1"/>
      <c r="X425" s="1"/>
      <c r="Y425" s="17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spans="1:3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7"/>
      <c r="U426" s="1"/>
      <c r="V426" s="1"/>
      <c r="W426" s="1"/>
      <c r="X426" s="1"/>
      <c r="Y426" s="17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spans="1:3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7"/>
      <c r="U427" s="1"/>
      <c r="V427" s="1"/>
      <c r="W427" s="1"/>
      <c r="X427" s="1"/>
      <c r="Y427" s="17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spans="1:3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7"/>
      <c r="U428" s="1"/>
      <c r="V428" s="1"/>
      <c r="W428" s="1"/>
      <c r="X428" s="1"/>
      <c r="Y428" s="17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spans="1:3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7"/>
      <c r="U429" s="1"/>
      <c r="V429" s="1"/>
      <c r="W429" s="1"/>
      <c r="X429" s="1"/>
      <c r="Y429" s="17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spans="1:3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7"/>
      <c r="U430" s="1"/>
      <c r="V430" s="1"/>
      <c r="W430" s="1"/>
      <c r="X430" s="1"/>
      <c r="Y430" s="17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spans="1:3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7"/>
      <c r="U431" s="1"/>
      <c r="V431" s="1"/>
      <c r="W431" s="1"/>
      <c r="X431" s="1"/>
      <c r="Y431" s="17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spans="1:3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7"/>
      <c r="U432" s="1"/>
      <c r="V432" s="1"/>
      <c r="W432" s="1"/>
      <c r="X432" s="1"/>
      <c r="Y432" s="17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spans="1:3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7"/>
      <c r="U433" s="1"/>
      <c r="V433" s="1"/>
      <c r="W433" s="1"/>
      <c r="X433" s="1"/>
      <c r="Y433" s="17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spans="1:3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7"/>
      <c r="U434" s="1"/>
      <c r="V434" s="1"/>
      <c r="W434" s="1"/>
      <c r="X434" s="1"/>
      <c r="Y434" s="17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spans="1:3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7"/>
      <c r="U435" s="1"/>
      <c r="V435" s="1"/>
      <c r="W435" s="1"/>
      <c r="X435" s="1"/>
      <c r="Y435" s="17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spans="1:3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7"/>
      <c r="U436" s="1"/>
      <c r="V436" s="1"/>
      <c r="W436" s="1"/>
      <c r="X436" s="1"/>
      <c r="Y436" s="17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spans="1:3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7"/>
      <c r="U437" s="1"/>
      <c r="V437" s="1"/>
      <c r="W437" s="1"/>
      <c r="X437" s="1"/>
      <c r="Y437" s="17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spans="1:3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7"/>
      <c r="U438" s="1"/>
      <c r="V438" s="1"/>
      <c r="W438" s="1"/>
      <c r="X438" s="1"/>
      <c r="Y438" s="17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spans="1:3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7"/>
      <c r="U439" s="1"/>
      <c r="V439" s="1"/>
      <c r="W439" s="1"/>
      <c r="X439" s="1"/>
      <c r="Y439" s="17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spans="1:3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7"/>
      <c r="U440" s="1"/>
      <c r="V440" s="1"/>
      <c r="W440" s="1"/>
      <c r="X440" s="1"/>
      <c r="Y440" s="17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spans="1:3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7"/>
      <c r="U441" s="1"/>
      <c r="V441" s="1"/>
      <c r="W441" s="1"/>
      <c r="X441" s="1"/>
      <c r="Y441" s="17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spans="1:3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7"/>
      <c r="U442" s="1"/>
      <c r="V442" s="1"/>
      <c r="W442" s="1"/>
      <c r="X442" s="1"/>
      <c r="Y442" s="17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spans="1:3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7"/>
      <c r="U443" s="1"/>
      <c r="V443" s="1"/>
      <c r="W443" s="1"/>
      <c r="X443" s="1"/>
      <c r="Y443" s="17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spans="1:3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7"/>
      <c r="U444" s="1"/>
      <c r="V444" s="1"/>
      <c r="W444" s="1"/>
      <c r="X444" s="1"/>
      <c r="Y444" s="17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spans="1:3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7"/>
      <c r="U445" s="1"/>
      <c r="V445" s="1"/>
      <c r="W445" s="1"/>
      <c r="X445" s="1"/>
      <c r="Y445" s="17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spans="1:3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7"/>
      <c r="U446" s="1"/>
      <c r="V446" s="1"/>
      <c r="W446" s="1"/>
      <c r="X446" s="1"/>
      <c r="Y446" s="17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spans="1:3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7"/>
      <c r="U447" s="1"/>
      <c r="V447" s="1"/>
      <c r="W447" s="1"/>
      <c r="X447" s="1"/>
      <c r="Y447" s="17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spans="1:3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7"/>
      <c r="U448" s="1"/>
      <c r="V448" s="1"/>
      <c r="W448" s="1"/>
      <c r="X448" s="1"/>
      <c r="Y448" s="17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spans="1:3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7"/>
      <c r="U449" s="1"/>
      <c r="V449" s="1"/>
      <c r="W449" s="1"/>
      <c r="X449" s="1"/>
      <c r="Y449" s="17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spans="1:3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7"/>
      <c r="U450" s="1"/>
      <c r="V450" s="1"/>
      <c r="W450" s="1"/>
      <c r="X450" s="1"/>
      <c r="Y450" s="17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spans="1:3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7"/>
      <c r="U451" s="1"/>
      <c r="V451" s="1"/>
      <c r="W451" s="1"/>
      <c r="X451" s="1"/>
      <c r="Y451" s="17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spans="1:3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7"/>
      <c r="U452" s="1"/>
      <c r="V452" s="1"/>
      <c r="W452" s="1"/>
      <c r="X452" s="1"/>
      <c r="Y452" s="17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spans="1:3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7"/>
      <c r="U453" s="1"/>
      <c r="V453" s="1"/>
      <c r="W453" s="1"/>
      <c r="X453" s="1"/>
      <c r="Y453" s="17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spans="1:3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7"/>
      <c r="U454" s="1"/>
      <c r="V454" s="1"/>
      <c r="W454" s="1"/>
      <c r="X454" s="1"/>
      <c r="Y454" s="17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spans="1:3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7"/>
      <c r="U455" s="1"/>
      <c r="V455" s="1"/>
      <c r="W455" s="1"/>
      <c r="X455" s="1"/>
      <c r="Y455" s="17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spans="1:3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7"/>
      <c r="U456" s="1"/>
      <c r="V456" s="1"/>
      <c r="W456" s="1"/>
      <c r="X456" s="1"/>
      <c r="Y456" s="17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spans="1:3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7"/>
      <c r="U457" s="1"/>
      <c r="V457" s="1"/>
      <c r="W457" s="1"/>
      <c r="X457" s="1"/>
      <c r="Y457" s="17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spans="1:3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7"/>
      <c r="U458" s="1"/>
      <c r="V458" s="1"/>
      <c r="W458" s="1"/>
      <c r="X458" s="1"/>
      <c r="Y458" s="17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1:3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7"/>
      <c r="U459" s="1"/>
      <c r="V459" s="1"/>
      <c r="W459" s="1"/>
      <c r="X459" s="1"/>
      <c r="Y459" s="17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3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7"/>
      <c r="U460" s="1"/>
      <c r="V460" s="1"/>
      <c r="W460" s="1"/>
      <c r="X460" s="1"/>
      <c r="Y460" s="17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3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7"/>
      <c r="U461" s="1"/>
      <c r="V461" s="1"/>
      <c r="W461" s="1"/>
      <c r="X461" s="1"/>
      <c r="Y461" s="17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1:3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7"/>
      <c r="U462" s="1"/>
      <c r="V462" s="1"/>
      <c r="W462" s="1"/>
      <c r="X462" s="1"/>
      <c r="Y462" s="17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3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7"/>
      <c r="U463" s="1"/>
      <c r="V463" s="1"/>
      <c r="W463" s="1"/>
      <c r="X463" s="1"/>
      <c r="Y463" s="17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1:3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7"/>
      <c r="U464" s="1"/>
      <c r="V464" s="1"/>
      <c r="W464" s="1"/>
      <c r="X464" s="1"/>
      <c r="Y464" s="17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1:3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7"/>
      <c r="U465" s="1"/>
      <c r="V465" s="1"/>
      <c r="W465" s="1"/>
      <c r="X465" s="1"/>
      <c r="Y465" s="17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1:3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7"/>
      <c r="U466" s="1"/>
      <c r="V466" s="1"/>
      <c r="W466" s="1"/>
      <c r="X466" s="1"/>
      <c r="Y466" s="17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1:3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7"/>
      <c r="U467" s="1"/>
      <c r="V467" s="1"/>
      <c r="W467" s="1"/>
      <c r="X467" s="1"/>
      <c r="Y467" s="17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spans="1:3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7"/>
      <c r="U468" s="1"/>
      <c r="V468" s="1"/>
      <c r="W468" s="1"/>
      <c r="X468" s="1"/>
      <c r="Y468" s="17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spans="1:3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7"/>
      <c r="U469" s="1"/>
      <c r="V469" s="1"/>
      <c r="W469" s="1"/>
      <c r="X469" s="1"/>
      <c r="Y469" s="17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spans="1:3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7"/>
      <c r="U470" s="1"/>
      <c r="V470" s="1"/>
      <c r="W470" s="1"/>
      <c r="X470" s="1"/>
      <c r="Y470" s="17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spans="1:3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7"/>
      <c r="U471" s="1"/>
      <c r="V471" s="1"/>
      <c r="W471" s="1"/>
      <c r="X471" s="1"/>
      <c r="Y471" s="17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spans="1:3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7"/>
      <c r="U472" s="1"/>
      <c r="V472" s="1"/>
      <c r="W472" s="1"/>
      <c r="X472" s="1"/>
      <c r="Y472" s="17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spans="1:3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7"/>
      <c r="U473" s="1"/>
      <c r="V473" s="1"/>
      <c r="W473" s="1"/>
      <c r="X473" s="1"/>
      <c r="Y473" s="17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spans="1:3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7"/>
      <c r="U474" s="1"/>
      <c r="V474" s="1"/>
      <c r="W474" s="1"/>
      <c r="X474" s="1"/>
      <c r="Y474" s="17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spans="1:3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7"/>
      <c r="U475" s="1"/>
      <c r="V475" s="1"/>
      <c r="W475" s="1"/>
      <c r="X475" s="1"/>
      <c r="Y475" s="17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spans="1:3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7"/>
      <c r="U476" s="1"/>
      <c r="V476" s="1"/>
      <c r="W476" s="1"/>
      <c r="X476" s="1"/>
      <c r="Y476" s="17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spans="1:3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7"/>
      <c r="U477" s="1"/>
      <c r="V477" s="1"/>
      <c r="W477" s="1"/>
      <c r="X477" s="1"/>
      <c r="Y477" s="17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1:3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7"/>
      <c r="U478" s="1"/>
      <c r="V478" s="1"/>
      <c r="W478" s="1"/>
      <c r="X478" s="1"/>
      <c r="Y478" s="17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1:3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7"/>
      <c r="U479" s="1"/>
      <c r="V479" s="1"/>
      <c r="W479" s="1"/>
      <c r="X479" s="1"/>
      <c r="Y479" s="17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spans="1:3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7"/>
      <c r="U480" s="1"/>
      <c r="V480" s="1"/>
      <c r="W480" s="1"/>
      <c r="X480" s="1"/>
      <c r="Y480" s="17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1:3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7"/>
      <c r="U481" s="1"/>
      <c r="V481" s="1"/>
      <c r="W481" s="1"/>
      <c r="X481" s="1"/>
      <c r="Y481" s="17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spans="1:3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7"/>
      <c r="U482" s="1"/>
      <c r="V482" s="1"/>
      <c r="W482" s="1"/>
      <c r="X482" s="1"/>
      <c r="Y482" s="17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1:3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7"/>
      <c r="U483" s="1"/>
      <c r="V483" s="1"/>
      <c r="W483" s="1"/>
      <c r="X483" s="1"/>
      <c r="Y483" s="17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1:3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7"/>
      <c r="U484" s="1"/>
      <c r="V484" s="1"/>
      <c r="W484" s="1"/>
      <c r="X484" s="1"/>
      <c r="Y484" s="17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1:3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7"/>
      <c r="U485" s="1"/>
      <c r="V485" s="1"/>
      <c r="W485" s="1"/>
      <c r="X485" s="1"/>
      <c r="Y485" s="17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1:3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7"/>
      <c r="U486" s="1"/>
      <c r="V486" s="1"/>
      <c r="W486" s="1"/>
      <c r="X486" s="1"/>
      <c r="Y486" s="17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spans="1:3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7"/>
      <c r="U487" s="1"/>
      <c r="V487" s="1"/>
      <c r="W487" s="1"/>
      <c r="X487" s="1"/>
      <c r="Y487" s="17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spans="1:3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7"/>
      <c r="U488" s="1"/>
      <c r="V488" s="1"/>
      <c r="W488" s="1"/>
      <c r="X488" s="1"/>
      <c r="Y488" s="17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spans="1:3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7"/>
      <c r="U489" s="1"/>
      <c r="V489" s="1"/>
      <c r="W489" s="1"/>
      <c r="X489" s="1"/>
      <c r="Y489" s="17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spans="1:3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7"/>
      <c r="U490" s="1"/>
      <c r="V490" s="1"/>
      <c r="W490" s="1"/>
      <c r="X490" s="1"/>
      <c r="Y490" s="17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spans="1:3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7"/>
      <c r="U491" s="1"/>
      <c r="V491" s="1"/>
      <c r="W491" s="1"/>
      <c r="X491" s="1"/>
      <c r="Y491" s="17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spans="1:3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7"/>
      <c r="U492" s="1"/>
      <c r="V492" s="1"/>
      <c r="W492" s="1"/>
      <c r="X492" s="1"/>
      <c r="Y492" s="17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spans="1:3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7"/>
      <c r="U493" s="1"/>
      <c r="V493" s="1"/>
      <c r="W493" s="1"/>
      <c r="X493" s="1"/>
      <c r="Y493" s="17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spans="1:3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7"/>
      <c r="U494" s="1"/>
      <c r="V494" s="1"/>
      <c r="W494" s="1"/>
      <c r="X494" s="1"/>
      <c r="Y494" s="17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spans="1:3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7"/>
      <c r="U495" s="1"/>
      <c r="V495" s="1"/>
      <c r="W495" s="1"/>
      <c r="X495" s="1"/>
      <c r="Y495" s="17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spans="1:3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7"/>
      <c r="U496" s="1"/>
      <c r="V496" s="1"/>
      <c r="W496" s="1"/>
      <c r="X496" s="1"/>
      <c r="Y496" s="17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spans="1:3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7"/>
      <c r="U497" s="1"/>
      <c r="V497" s="1"/>
      <c r="W497" s="1"/>
      <c r="X497" s="1"/>
      <c r="Y497" s="17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spans="1:3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7"/>
      <c r="U498" s="1"/>
      <c r="V498" s="1"/>
      <c r="W498" s="1"/>
      <c r="X498" s="1"/>
      <c r="Y498" s="17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spans="1:3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7"/>
      <c r="U499" s="1"/>
      <c r="V499" s="1"/>
      <c r="W499" s="1"/>
      <c r="X499" s="1"/>
      <c r="Y499" s="17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</sheetData>
  <autoFilter ref="A3:AM131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08936-A1DC-4A8F-967D-6FE87A651A15}">
  <dimension ref="A1:H19"/>
  <sheetViews>
    <sheetView workbookViewId="0">
      <selection activeCell="J9" sqref="J9"/>
    </sheetView>
  </sheetViews>
  <sheetFormatPr defaultRowHeight="15" x14ac:dyDescent="0.25"/>
  <cols>
    <col min="2" max="2" width="9.140625" style="24"/>
    <col min="3" max="3" width="111.140625" bestFit="1" customWidth="1"/>
  </cols>
  <sheetData>
    <row r="1" spans="1:8" x14ac:dyDescent="0.25">
      <c r="A1" t="s">
        <v>311</v>
      </c>
      <c r="B1" s="24" t="str">
        <f>SUBSTITUTE(A1," ","")</f>
        <v>SU000246</v>
      </c>
      <c r="C1" t="s">
        <v>312</v>
      </c>
      <c r="D1" t="s">
        <v>313</v>
      </c>
      <c r="E1" t="s">
        <v>314</v>
      </c>
      <c r="F1" t="s">
        <v>314</v>
      </c>
      <c r="G1" t="s">
        <v>315</v>
      </c>
      <c r="H1">
        <f>--SUBSTITUTE(G1," ","")</f>
        <v>-54</v>
      </c>
    </row>
    <row r="2" spans="1:8" x14ac:dyDescent="0.25">
      <c r="A2" t="s">
        <v>316</v>
      </c>
      <c r="B2" s="24" t="str">
        <f t="shared" ref="B2:B19" si="0">SUBSTITUTE(A2," ","")</f>
        <v>SU002074</v>
      </c>
      <c r="C2" t="s">
        <v>317</v>
      </c>
      <c r="D2" t="s">
        <v>318</v>
      </c>
      <c r="E2" t="s">
        <v>314</v>
      </c>
      <c r="F2" t="s">
        <v>314</v>
      </c>
      <c r="G2" t="s">
        <v>319</v>
      </c>
      <c r="H2">
        <f t="shared" ref="H2:H19" si="1">--SUBSTITUTE(G2," ","")</f>
        <v>-450</v>
      </c>
    </row>
    <row r="3" spans="1:8" x14ac:dyDescent="0.25">
      <c r="A3" t="s">
        <v>320</v>
      </c>
      <c r="B3" s="24" t="str">
        <f t="shared" si="0"/>
        <v>SU002092</v>
      </c>
      <c r="C3" t="s">
        <v>321</v>
      </c>
      <c r="D3" t="s">
        <v>322</v>
      </c>
      <c r="E3" t="s">
        <v>314</v>
      </c>
      <c r="F3" t="s">
        <v>314</v>
      </c>
      <c r="G3" t="s">
        <v>323</v>
      </c>
      <c r="H3">
        <f t="shared" si="1"/>
        <v>-18</v>
      </c>
    </row>
    <row r="4" spans="1:8" x14ac:dyDescent="0.25">
      <c r="A4" t="s">
        <v>324</v>
      </c>
      <c r="B4" s="24" t="str">
        <f t="shared" si="0"/>
        <v>SU002252</v>
      </c>
      <c r="C4" t="s">
        <v>325</v>
      </c>
      <c r="D4" t="s">
        <v>326</v>
      </c>
      <c r="E4" t="s">
        <v>314</v>
      </c>
      <c r="F4" t="s">
        <v>314</v>
      </c>
      <c r="G4" t="s">
        <v>327</v>
      </c>
      <c r="H4">
        <f t="shared" si="1"/>
        <v>-34</v>
      </c>
    </row>
    <row r="5" spans="1:8" x14ac:dyDescent="0.25">
      <c r="A5" t="s">
        <v>328</v>
      </c>
      <c r="B5" s="24" t="str">
        <f t="shared" si="0"/>
        <v>SU002287</v>
      </c>
      <c r="C5" t="s">
        <v>329</v>
      </c>
      <c r="D5" t="s">
        <v>330</v>
      </c>
      <c r="E5" t="s">
        <v>314</v>
      </c>
      <c r="F5" t="s">
        <v>314</v>
      </c>
      <c r="G5" t="s">
        <v>331</v>
      </c>
      <c r="H5">
        <f t="shared" si="1"/>
        <v>-108</v>
      </c>
    </row>
    <row r="6" spans="1:8" x14ac:dyDescent="0.25">
      <c r="A6" t="s">
        <v>332</v>
      </c>
      <c r="B6" s="24" t="str">
        <f t="shared" si="0"/>
        <v>SU002618</v>
      </c>
      <c r="C6" t="s">
        <v>333</v>
      </c>
      <c r="D6" t="s">
        <v>334</v>
      </c>
      <c r="E6" t="s">
        <v>314</v>
      </c>
      <c r="F6" t="s">
        <v>314</v>
      </c>
      <c r="G6" t="s">
        <v>335</v>
      </c>
      <c r="H6">
        <f t="shared" si="1"/>
        <v>-468</v>
      </c>
    </row>
    <row r="7" spans="1:8" x14ac:dyDescent="0.25">
      <c r="A7" t="s">
        <v>336</v>
      </c>
      <c r="B7" s="24" t="str">
        <f t="shared" si="0"/>
        <v>SU002621</v>
      </c>
      <c r="C7" t="s">
        <v>337</v>
      </c>
      <c r="D7" t="s">
        <v>338</v>
      </c>
      <c r="E7" t="s">
        <v>314</v>
      </c>
      <c r="F7" t="s">
        <v>314</v>
      </c>
      <c r="G7" t="s">
        <v>339</v>
      </c>
      <c r="H7">
        <f t="shared" si="1"/>
        <v>-257</v>
      </c>
    </row>
    <row r="8" spans="1:8" x14ac:dyDescent="0.25">
      <c r="A8" t="s">
        <v>340</v>
      </c>
      <c r="B8" s="24" t="str">
        <f t="shared" si="0"/>
        <v>SU002655</v>
      </c>
      <c r="C8" t="s">
        <v>341</v>
      </c>
      <c r="D8" t="s">
        <v>342</v>
      </c>
      <c r="E8" t="s">
        <v>314</v>
      </c>
      <c r="F8" t="s">
        <v>314</v>
      </c>
      <c r="G8" t="s">
        <v>343</v>
      </c>
      <c r="H8">
        <f t="shared" si="1"/>
        <v>-306</v>
      </c>
    </row>
    <row r="9" spans="1:8" x14ac:dyDescent="0.25">
      <c r="A9" t="s">
        <v>344</v>
      </c>
      <c r="B9" s="24" t="str">
        <f t="shared" si="0"/>
        <v>SU002660</v>
      </c>
      <c r="C9" t="s">
        <v>345</v>
      </c>
      <c r="D9" t="s">
        <v>346</v>
      </c>
      <c r="E9" t="s">
        <v>314</v>
      </c>
      <c r="F9" t="s">
        <v>314</v>
      </c>
      <c r="G9" t="s">
        <v>347</v>
      </c>
      <c r="H9">
        <f t="shared" si="1"/>
        <v>-21</v>
      </c>
    </row>
    <row r="10" spans="1:8" x14ac:dyDescent="0.25">
      <c r="A10" t="s">
        <v>348</v>
      </c>
      <c r="B10" s="24" t="str">
        <f t="shared" si="0"/>
        <v>SU002843</v>
      </c>
      <c r="C10" t="s">
        <v>349</v>
      </c>
      <c r="D10" t="s">
        <v>350</v>
      </c>
      <c r="E10" t="s">
        <v>350</v>
      </c>
      <c r="F10" t="s">
        <v>314</v>
      </c>
      <c r="G10" t="s">
        <v>351</v>
      </c>
      <c r="H10">
        <f t="shared" si="1"/>
        <v>-211</v>
      </c>
    </row>
    <row r="11" spans="1:8" x14ac:dyDescent="0.25">
      <c r="A11" t="s">
        <v>352</v>
      </c>
      <c r="B11" s="24" t="str">
        <f t="shared" si="0"/>
        <v>SU002847</v>
      </c>
      <c r="C11" t="s">
        <v>353</v>
      </c>
      <c r="D11" t="s">
        <v>354</v>
      </c>
      <c r="E11" t="s">
        <v>314</v>
      </c>
      <c r="F11" t="s">
        <v>314</v>
      </c>
      <c r="G11" t="s">
        <v>355</v>
      </c>
      <c r="H11">
        <f t="shared" si="1"/>
        <v>-76</v>
      </c>
    </row>
    <row r="12" spans="1:8" x14ac:dyDescent="0.25">
      <c r="A12" t="s">
        <v>356</v>
      </c>
      <c r="B12" s="24" t="str">
        <f t="shared" si="0"/>
        <v>SU002942</v>
      </c>
      <c r="C12" t="s">
        <v>357</v>
      </c>
      <c r="D12" t="s">
        <v>358</v>
      </c>
      <c r="E12" t="s">
        <v>314</v>
      </c>
      <c r="F12" t="s">
        <v>314</v>
      </c>
      <c r="G12" t="s">
        <v>359</v>
      </c>
      <c r="H12">
        <f t="shared" si="1"/>
        <v>-16</v>
      </c>
    </row>
    <row r="13" spans="1:8" x14ac:dyDescent="0.25">
      <c r="A13" t="s">
        <v>360</v>
      </c>
      <c r="B13" s="24" t="str">
        <f t="shared" si="0"/>
        <v>SU002943</v>
      </c>
      <c r="C13" t="s">
        <v>361</v>
      </c>
      <c r="D13" t="s">
        <v>362</v>
      </c>
      <c r="E13" t="s">
        <v>314</v>
      </c>
      <c r="F13" t="s">
        <v>314</v>
      </c>
      <c r="G13" t="s">
        <v>363</v>
      </c>
      <c r="H13">
        <f t="shared" si="1"/>
        <v>-22</v>
      </c>
    </row>
    <row r="14" spans="1:8" x14ac:dyDescent="0.25">
      <c r="A14" t="s">
        <v>364</v>
      </c>
      <c r="B14" s="24" t="str">
        <f t="shared" si="0"/>
        <v>SU002945</v>
      </c>
      <c r="C14" t="s">
        <v>365</v>
      </c>
      <c r="D14" t="s">
        <v>366</v>
      </c>
      <c r="E14" t="s">
        <v>367</v>
      </c>
      <c r="F14" t="s">
        <v>368</v>
      </c>
      <c r="G14" t="s">
        <v>369</v>
      </c>
      <c r="H14">
        <f t="shared" si="1"/>
        <v>-385</v>
      </c>
    </row>
    <row r="15" spans="1:8" x14ac:dyDescent="0.25">
      <c r="A15" t="s">
        <v>370</v>
      </c>
      <c r="B15" s="24" t="str">
        <f t="shared" si="0"/>
        <v>SU004039</v>
      </c>
      <c r="C15" t="s">
        <v>371</v>
      </c>
      <c r="D15" t="s">
        <v>372</v>
      </c>
      <c r="E15" t="s">
        <v>314</v>
      </c>
      <c r="F15" t="s">
        <v>314</v>
      </c>
      <c r="G15" t="s">
        <v>373</v>
      </c>
      <c r="H15">
        <f t="shared" si="1"/>
        <v>-15</v>
      </c>
    </row>
    <row r="16" spans="1:8" x14ac:dyDescent="0.25">
      <c r="A16" t="s">
        <v>374</v>
      </c>
      <c r="B16" s="24" t="str">
        <f t="shared" si="0"/>
        <v>SU004041</v>
      </c>
      <c r="C16" t="s">
        <v>375</v>
      </c>
      <c r="D16" t="s">
        <v>376</v>
      </c>
      <c r="E16" t="s">
        <v>314</v>
      </c>
      <c r="F16" t="s">
        <v>314</v>
      </c>
      <c r="G16" t="s">
        <v>377</v>
      </c>
      <c r="H16">
        <f t="shared" si="1"/>
        <v>-63</v>
      </c>
    </row>
    <row r="17" spans="1:8" x14ac:dyDescent="0.25">
      <c r="A17" t="s">
        <v>378</v>
      </c>
      <c r="B17" s="24" t="str">
        <f t="shared" si="0"/>
        <v>SU004044</v>
      </c>
      <c r="C17" t="s">
        <v>379</v>
      </c>
      <c r="D17" t="s">
        <v>380</v>
      </c>
      <c r="E17" t="s">
        <v>314</v>
      </c>
      <c r="F17" t="s">
        <v>314</v>
      </c>
      <c r="G17" t="s">
        <v>381</v>
      </c>
      <c r="H17">
        <f t="shared" si="1"/>
        <v>-53</v>
      </c>
    </row>
    <row r="18" spans="1:8" x14ac:dyDescent="0.25">
      <c r="A18" t="s">
        <v>382</v>
      </c>
      <c r="B18" s="24" t="str">
        <f t="shared" si="0"/>
        <v>SU004045</v>
      </c>
      <c r="C18" t="s">
        <v>383</v>
      </c>
      <c r="D18" t="s">
        <v>384</v>
      </c>
      <c r="E18" t="s">
        <v>314</v>
      </c>
      <c r="F18" t="s">
        <v>314</v>
      </c>
      <c r="G18" t="s">
        <v>385</v>
      </c>
      <c r="H18">
        <f t="shared" si="1"/>
        <v>-32</v>
      </c>
    </row>
    <row r="19" spans="1:8" x14ac:dyDescent="0.25">
      <c r="A19" t="s">
        <v>386</v>
      </c>
      <c r="B19" s="24" t="str">
        <f t="shared" si="0"/>
        <v>SU004047</v>
      </c>
      <c r="C19" t="s">
        <v>387</v>
      </c>
      <c r="D19" t="s">
        <v>384</v>
      </c>
      <c r="E19" t="s">
        <v>314</v>
      </c>
      <c r="F19" t="s">
        <v>314</v>
      </c>
      <c r="G19" t="s">
        <v>385</v>
      </c>
      <c r="H19">
        <f t="shared" si="1"/>
        <v>-32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96028-96DD-41B3-893E-72A335DF8205}">
  <dimension ref="A1:E83"/>
  <sheetViews>
    <sheetView workbookViewId="0">
      <selection activeCell="E33" sqref="E33"/>
    </sheetView>
  </sheetViews>
  <sheetFormatPr defaultRowHeight="15" x14ac:dyDescent="0.25"/>
  <cols>
    <col min="2" max="2" width="120.5703125" bestFit="1" customWidth="1"/>
  </cols>
  <sheetData>
    <row r="1" spans="1:5" x14ac:dyDescent="0.25">
      <c r="A1" t="s">
        <v>93</v>
      </c>
      <c r="B1" t="s">
        <v>389</v>
      </c>
      <c r="C1">
        <v>187.2</v>
      </c>
      <c r="D1">
        <v>187.2</v>
      </c>
    </row>
    <row r="2" spans="1:5" x14ac:dyDescent="0.25">
      <c r="A2" t="s">
        <v>97</v>
      </c>
      <c r="B2" t="s">
        <v>390</v>
      </c>
      <c r="C2">
        <v>36</v>
      </c>
      <c r="E2">
        <v>-36</v>
      </c>
    </row>
    <row r="3" spans="1:5" x14ac:dyDescent="0.25">
      <c r="A3" t="s">
        <v>42</v>
      </c>
      <c r="B3" t="s">
        <v>391</v>
      </c>
      <c r="C3">
        <v>237.6</v>
      </c>
      <c r="D3">
        <v>237.6</v>
      </c>
    </row>
    <row r="4" spans="1:5" x14ac:dyDescent="0.25">
      <c r="A4" t="s">
        <v>46</v>
      </c>
      <c r="B4" t="s">
        <v>392</v>
      </c>
      <c r="C4">
        <v>388.8</v>
      </c>
      <c r="D4">
        <v>388.8</v>
      </c>
    </row>
    <row r="5" spans="1:5" x14ac:dyDescent="0.25">
      <c r="A5" t="s">
        <v>54</v>
      </c>
      <c r="B5" t="s">
        <v>393</v>
      </c>
      <c r="C5">
        <v>313.2</v>
      </c>
      <c r="D5">
        <v>313.2</v>
      </c>
    </row>
    <row r="6" spans="1:5" x14ac:dyDescent="0.25">
      <c r="A6" t="s">
        <v>56</v>
      </c>
      <c r="B6" t="s">
        <v>394</v>
      </c>
      <c r="C6">
        <v>348.3</v>
      </c>
      <c r="D6">
        <v>348.3</v>
      </c>
    </row>
    <row r="7" spans="1:5" x14ac:dyDescent="0.25">
      <c r="A7" t="s">
        <v>48</v>
      </c>
      <c r="B7" t="s">
        <v>395</v>
      </c>
      <c r="C7">
        <v>453.6</v>
      </c>
      <c r="D7">
        <v>453.6</v>
      </c>
    </row>
    <row r="8" spans="1:5" x14ac:dyDescent="0.25">
      <c r="A8" t="s">
        <v>62</v>
      </c>
      <c r="B8" t="s">
        <v>396</v>
      </c>
      <c r="C8">
        <v>51</v>
      </c>
      <c r="D8">
        <v>51</v>
      </c>
    </row>
    <row r="9" spans="1:5" x14ac:dyDescent="0.25">
      <c r="A9" t="s">
        <v>73</v>
      </c>
      <c r="B9" t="s">
        <v>397</v>
      </c>
      <c r="C9">
        <v>21.28</v>
      </c>
      <c r="D9">
        <v>21.28</v>
      </c>
    </row>
    <row r="10" spans="1:5" x14ac:dyDescent="0.25">
      <c r="A10" t="s">
        <v>81</v>
      </c>
      <c r="B10" t="s">
        <v>398</v>
      </c>
      <c r="C10">
        <v>60.8</v>
      </c>
      <c r="D10">
        <v>60.8</v>
      </c>
    </row>
    <row r="11" spans="1:5" x14ac:dyDescent="0.25">
      <c r="A11" t="s">
        <v>75</v>
      </c>
      <c r="B11" t="s">
        <v>399</v>
      </c>
      <c r="C11">
        <v>385.44</v>
      </c>
      <c r="D11">
        <v>385.44</v>
      </c>
    </row>
    <row r="12" spans="1:5" x14ac:dyDescent="0.25">
      <c r="A12" t="s">
        <v>69</v>
      </c>
      <c r="B12" t="s">
        <v>400</v>
      </c>
      <c r="C12">
        <v>89.76</v>
      </c>
      <c r="D12">
        <v>89.76</v>
      </c>
    </row>
    <row r="13" spans="1:5" x14ac:dyDescent="0.25">
      <c r="A13" t="s">
        <v>64</v>
      </c>
      <c r="B13" t="s">
        <v>401</v>
      </c>
      <c r="C13">
        <v>163.68</v>
      </c>
      <c r="D13">
        <v>163.68</v>
      </c>
    </row>
    <row r="14" spans="1:5" x14ac:dyDescent="0.25">
      <c r="A14" t="s">
        <v>95</v>
      </c>
      <c r="B14" t="s">
        <v>402</v>
      </c>
      <c r="C14">
        <v>504</v>
      </c>
      <c r="E14">
        <v>-504</v>
      </c>
    </row>
    <row r="15" spans="1:5" x14ac:dyDescent="0.25">
      <c r="A15" t="s">
        <v>58</v>
      </c>
      <c r="B15" t="s">
        <v>403</v>
      </c>
      <c r="C15">
        <v>17.850000000000001</v>
      </c>
      <c r="D15">
        <v>17.850000000000001</v>
      </c>
    </row>
    <row r="16" spans="1:5" x14ac:dyDescent="0.25">
      <c r="A16" t="s">
        <v>77</v>
      </c>
      <c r="B16" t="s">
        <v>404</v>
      </c>
      <c r="C16">
        <v>26.4</v>
      </c>
      <c r="D16">
        <v>26.4</v>
      </c>
    </row>
    <row r="17" spans="1:5" x14ac:dyDescent="0.25">
      <c r="A17" t="s">
        <v>83</v>
      </c>
      <c r="B17" t="s">
        <v>405</v>
      </c>
      <c r="C17">
        <v>147.84</v>
      </c>
      <c r="D17">
        <v>147.84</v>
      </c>
    </row>
    <row r="18" spans="1:5" x14ac:dyDescent="0.25">
      <c r="A18" t="s">
        <v>79</v>
      </c>
      <c r="B18" t="s">
        <v>406</v>
      </c>
      <c r="C18">
        <v>190.08</v>
      </c>
      <c r="D18">
        <v>190.08</v>
      </c>
    </row>
    <row r="19" spans="1:5" x14ac:dyDescent="0.25">
      <c r="A19" t="s">
        <v>111</v>
      </c>
      <c r="B19" t="s">
        <v>407</v>
      </c>
      <c r="C19">
        <v>26.4</v>
      </c>
      <c r="E19">
        <v>-26.4</v>
      </c>
    </row>
    <row r="20" spans="1:5" x14ac:dyDescent="0.25">
      <c r="A20" t="s">
        <v>60</v>
      </c>
      <c r="B20" t="s">
        <v>408</v>
      </c>
      <c r="C20">
        <v>46.8</v>
      </c>
      <c r="E20">
        <v>-46.8</v>
      </c>
    </row>
    <row r="21" spans="1:5" x14ac:dyDescent="0.25">
      <c r="A21" t="s">
        <v>91</v>
      </c>
      <c r="B21" t="s">
        <v>409</v>
      </c>
      <c r="C21">
        <v>108</v>
      </c>
      <c r="E21">
        <v>-108</v>
      </c>
    </row>
    <row r="22" spans="1:5" x14ac:dyDescent="0.25">
      <c r="A22" t="s">
        <v>251</v>
      </c>
      <c r="B22" t="s">
        <v>410</v>
      </c>
      <c r="C22">
        <v>1.7</v>
      </c>
      <c r="D22">
        <v>1.7</v>
      </c>
    </row>
    <row r="23" spans="1:5" x14ac:dyDescent="0.25">
      <c r="A23" t="s">
        <v>105</v>
      </c>
      <c r="B23" t="s">
        <v>411</v>
      </c>
      <c r="C23">
        <v>636</v>
      </c>
      <c r="D23">
        <v>636</v>
      </c>
    </row>
    <row r="24" spans="1:5" x14ac:dyDescent="0.25">
      <c r="A24" t="s">
        <v>109</v>
      </c>
      <c r="B24" t="s">
        <v>412</v>
      </c>
      <c r="C24">
        <v>134.4</v>
      </c>
      <c r="E24">
        <v>-134.4</v>
      </c>
    </row>
    <row r="25" spans="1:5" x14ac:dyDescent="0.25">
      <c r="A25" t="s">
        <v>183</v>
      </c>
      <c r="B25" t="s">
        <v>413</v>
      </c>
      <c r="C25">
        <v>124.8</v>
      </c>
      <c r="D25">
        <v>124.8</v>
      </c>
    </row>
    <row r="26" spans="1:5" x14ac:dyDescent="0.25">
      <c r="A26" t="s">
        <v>181</v>
      </c>
      <c r="B26" t="s">
        <v>414</v>
      </c>
      <c r="C26">
        <v>86.4</v>
      </c>
      <c r="D26">
        <v>86.4</v>
      </c>
    </row>
    <row r="27" spans="1:5" x14ac:dyDescent="0.25">
      <c r="A27" t="s">
        <v>210</v>
      </c>
      <c r="B27" t="s">
        <v>415</v>
      </c>
      <c r="C27">
        <v>137.28</v>
      </c>
      <c r="D27">
        <v>137.28</v>
      </c>
    </row>
    <row r="28" spans="1:5" x14ac:dyDescent="0.25">
      <c r="A28" t="s">
        <v>193</v>
      </c>
      <c r="B28" t="s">
        <v>416</v>
      </c>
      <c r="C28">
        <v>9.6</v>
      </c>
      <c r="D28">
        <v>9.6</v>
      </c>
    </row>
    <row r="29" spans="1:5" x14ac:dyDescent="0.25">
      <c r="A29" t="s">
        <v>138</v>
      </c>
      <c r="B29" t="s">
        <v>417</v>
      </c>
      <c r="C29">
        <v>198</v>
      </c>
      <c r="E29">
        <v>-198</v>
      </c>
    </row>
    <row r="30" spans="1:5" x14ac:dyDescent="0.25">
      <c r="A30" t="s">
        <v>117</v>
      </c>
      <c r="B30" t="s">
        <v>418</v>
      </c>
      <c r="C30">
        <v>21</v>
      </c>
      <c r="E30">
        <v>-21</v>
      </c>
    </row>
    <row r="31" spans="1:5" x14ac:dyDescent="0.25">
      <c r="A31" t="s">
        <v>131</v>
      </c>
      <c r="B31" t="s">
        <v>419</v>
      </c>
      <c r="C31">
        <v>60</v>
      </c>
      <c r="D31">
        <v>60</v>
      </c>
    </row>
    <row r="32" spans="1:5" x14ac:dyDescent="0.25">
      <c r="A32" t="s">
        <v>119</v>
      </c>
      <c r="B32" t="s">
        <v>420</v>
      </c>
      <c r="C32">
        <v>33.6</v>
      </c>
      <c r="E32">
        <v>-33.6</v>
      </c>
    </row>
    <row r="33" spans="1:5" x14ac:dyDescent="0.25">
      <c r="A33" t="s">
        <v>144</v>
      </c>
      <c r="B33" t="s">
        <v>421</v>
      </c>
      <c r="C33">
        <v>7.2</v>
      </c>
      <c r="E33">
        <v>-7.2</v>
      </c>
    </row>
    <row r="34" spans="1:5" x14ac:dyDescent="0.25">
      <c r="A34" t="s">
        <v>146</v>
      </c>
      <c r="B34" t="s">
        <v>422</v>
      </c>
      <c r="C34">
        <v>9.6</v>
      </c>
      <c r="D34">
        <v>9.6</v>
      </c>
    </row>
    <row r="35" spans="1:5" x14ac:dyDescent="0.25">
      <c r="A35" t="s">
        <v>125</v>
      </c>
      <c r="B35" t="s">
        <v>423</v>
      </c>
      <c r="C35">
        <v>60</v>
      </c>
      <c r="D35">
        <v>60</v>
      </c>
    </row>
    <row r="36" spans="1:5" x14ac:dyDescent="0.25">
      <c r="A36" t="s">
        <v>123</v>
      </c>
      <c r="B36" t="s">
        <v>424</v>
      </c>
      <c r="C36">
        <v>16.8</v>
      </c>
      <c r="D36">
        <v>16.8</v>
      </c>
    </row>
    <row r="37" spans="1:5" x14ac:dyDescent="0.25">
      <c r="A37" t="s">
        <v>140</v>
      </c>
      <c r="B37" t="s">
        <v>425</v>
      </c>
      <c r="C37">
        <v>18</v>
      </c>
      <c r="D37">
        <v>18</v>
      </c>
    </row>
    <row r="38" spans="1:5" x14ac:dyDescent="0.25">
      <c r="A38" t="s">
        <v>142</v>
      </c>
      <c r="B38" t="s">
        <v>426</v>
      </c>
      <c r="C38">
        <v>27</v>
      </c>
      <c r="D38">
        <v>27</v>
      </c>
    </row>
    <row r="39" spans="1:5" x14ac:dyDescent="0.25">
      <c r="A39" t="s">
        <v>133</v>
      </c>
      <c r="B39" t="s">
        <v>427</v>
      </c>
      <c r="C39">
        <v>108</v>
      </c>
      <c r="D39">
        <v>108</v>
      </c>
    </row>
    <row r="40" spans="1:5" x14ac:dyDescent="0.25">
      <c r="A40" t="s">
        <v>148</v>
      </c>
      <c r="B40" t="s">
        <v>428</v>
      </c>
      <c r="C40">
        <v>32.4</v>
      </c>
      <c r="D40">
        <v>32.4</v>
      </c>
    </row>
    <row r="41" spans="1:5" x14ac:dyDescent="0.25">
      <c r="A41" t="s">
        <v>136</v>
      </c>
      <c r="B41" t="s">
        <v>429</v>
      </c>
      <c r="C41">
        <v>86.4</v>
      </c>
      <c r="D41">
        <v>86.4</v>
      </c>
    </row>
    <row r="42" spans="1:5" x14ac:dyDescent="0.25">
      <c r="A42" t="s">
        <v>154</v>
      </c>
      <c r="B42" t="s">
        <v>430</v>
      </c>
      <c r="C42">
        <v>10.8</v>
      </c>
      <c r="D42">
        <v>10.8</v>
      </c>
    </row>
    <row r="43" spans="1:5" x14ac:dyDescent="0.25">
      <c r="A43" t="s">
        <v>179</v>
      </c>
      <c r="B43" t="s">
        <v>431</v>
      </c>
      <c r="C43">
        <v>7.8</v>
      </c>
      <c r="D43">
        <v>7.8</v>
      </c>
    </row>
    <row r="44" spans="1:5" x14ac:dyDescent="0.25">
      <c r="A44" t="s">
        <v>165</v>
      </c>
      <c r="B44" t="s">
        <v>432</v>
      </c>
      <c r="C44">
        <v>216</v>
      </c>
      <c r="D44">
        <v>216</v>
      </c>
    </row>
    <row r="45" spans="1:5" x14ac:dyDescent="0.25">
      <c r="A45" t="s">
        <v>167</v>
      </c>
      <c r="B45" t="s">
        <v>433</v>
      </c>
      <c r="C45">
        <v>120</v>
      </c>
      <c r="D45">
        <v>120</v>
      </c>
    </row>
    <row r="46" spans="1:5" x14ac:dyDescent="0.25">
      <c r="A46" t="s">
        <v>163</v>
      </c>
      <c r="B46" t="s">
        <v>434</v>
      </c>
      <c r="C46">
        <v>48.6</v>
      </c>
      <c r="D46">
        <v>48.6</v>
      </c>
    </row>
    <row r="47" spans="1:5" x14ac:dyDescent="0.25">
      <c r="A47" t="s">
        <v>127</v>
      </c>
      <c r="B47" t="s">
        <v>435</v>
      </c>
      <c r="C47">
        <v>138.6</v>
      </c>
      <c r="E47">
        <v>-138.6</v>
      </c>
    </row>
    <row r="48" spans="1:5" x14ac:dyDescent="0.25">
      <c r="A48" t="s">
        <v>129</v>
      </c>
      <c r="B48" t="s">
        <v>436</v>
      </c>
      <c r="C48">
        <v>56.7</v>
      </c>
      <c r="E48">
        <v>-56.7</v>
      </c>
    </row>
    <row r="49" spans="1:5" x14ac:dyDescent="0.25">
      <c r="A49" t="s">
        <v>152</v>
      </c>
      <c r="B49" t="s">
        <v>437</v>
      </c>
      <c r="C49">
        <v>205.2</v>
      </c>
      <c r="D49">
        <v>205.2</v>
      </c>
    </row>
    <row r="50" spans="1:5" x14ac:dyDescent="0.25">
      <c r="A50" t="s">
        <v>169</v>
      </c>
      <c r="B50" t="s">
        <v>438</v>
      </c>
      <c r="C50">
        <v>129.6</v>
      </c>
      <c r="D50">
        <v>129.6</v>
      </c>
    </row>
    <row r="51" spans="1:5" x14ac:dyDescent="0.25">
      <c r="A51" t="s">
        <v>297</v>
      </c>
      <c r="B51" t="s">
        <v>439</v>
      </c>
      <c r="C51">
        <v>25.2</v>
      </c>
      <c r="E51">
        <v>-25.2</v>
      </c>
    </row>
    <row r="52" spans="1:5" x14ac:dyDescent="0.25">
      <c r="A52" t="s">
        <v>171</v>
      </c>
      <c r="B52" t="s">
        <v>440</v>
      </c>
      <c r="C52">
        <v>151.19999999999999</v>
      </c>
      <c r="D52">
        <v>151.19999999999999</v>
      </c>
    </row>
    <row r="53" spans="1:5" x14ac:dyDescent="0.25">
      <c r="A53" t="s">
        <v>295</v>
      </c>
      <c r="B53" t="s">
        <v>441</v>
      </c>
      <c r="C53">
        <v>18</v>
      </c>
      <c r="E53">
        <v>-18</v>
      </c>
    </row>
    <row r="54" spans="1:5" x14ac:dyDescent="0.25">
      <c r="A54" t="s">
        <v>173</v>
      </c>
      <c r="B54" t="s">
        <v>442</v>
      </c>
      <c r="C54">
        <v>421.2</v>
      </c>
      <c r="D54">
        <v>421.2</v>
      </c>
    </row>
    <row r="55" spans="1:5" x14ac:dyDescent="0.25">
      <c r="A55" t="s">
        <v>175</v>
      </c>
      <c r="B55" t="s">
        <v>443</v>
      </c>
      <c r="C55">
        <v>199.8</v>
      </c>
      <c r="D55">
        <v>199.8</v>
      </c>
    </row>
    <row r="56" spans="1:5" x14ac:dyDescent="0.25">
      <c r="A56" t="s">
        <v>222</v>
      </c>
      <c r="B56" t="s">
        <v>444</v>
      </c>
      <c r="C56">
        <v>39.6</v>
      </c>
      <c r="E56">
        <v>-39.6</v>
      </c>
    </row>
    <row r="57" spans="1:5" x14ac:dyDescent="0.25">
      <c r="A57" t="s">
        <v>185</v>
      </c>
      <c r="B57" t="s">
        <v>445</v>
      </c>
      <c r="C57">
        <v>22.4</v>
      </c>
      <c r="D57">
        <v>22.4</v>
      </c>
    </row>
    <row r="58" spans="1:5" x14ac:dyDescent="0.25">
      <c r="A58" t="s">
        <v>187</v>
      </c>
      <c r="B58" t="s">
        <v>446</v>
      </c>
      <c r="C58">
        <v>31.68</v>
      </c>
      <c r="D58">
        <v>31.68</v>
      </c>
    </row>
    <row r="59" spans="1:5" x14ac:dyDescent="0.25">
      <c r="A59" t="s">
        <v>189</v>
      </c>
      <c r="B59" t="s">
        <v>447</v>
      </c>
      <c r="C59">
        <v>2.8</v>
      </c>
      <c r="D59">
        <v>2.8</v>
      </c>
    </row>
    <row r="60" spans="1:5" x14ac:dyDescent="0.25">
      <c r="A60" t="s">
        <v>202</v>
      </c>
      <c r="B60" t="s">
        <v>448</v>
      </c>
      <c r="C60">
        <v>21</v>
      </c>
      <c r="D60">
        <v>21</v>
      </c>
    </row>
    <row r="61" spans="1:5" x14ac:dyDescent="0.25">
      <c r="A61" t="s">
        <v>200</v>
      </c>
      <c r="B61" t="s">
        <v>449</v>
      </c>
      <c r="C61">
        <v>8.4</v>
      </c>
      <c r="D61">
        <v>8.4</v>
      </c>
    </row>
    <row r="62" spans="1:5" x14ac:dyDescent="0.25">
      <c r="A62" t="s">
        <v>216</v>
      </c>
      <c r="B62" t="s">
        <v>450</v>
      </c>
      <c r="C62">
        <v>180</v>
      </c>
      <c r="D62">
        <v>180</v>
      </c>
    </row>
    <row r="63" spans="1:5" x14ac:dyDescent="0.25">
      <c r="A63" t="s">
        <v>214</v>
      </c>
      <c r="B63" t="s">
        <v>451</v>
      </c>
      <c r="C63">
        <v>15</v>
      </c>
      <c r="D63">
        <v>15</v>
      </c>
    </row>
    <row r="64" spans="1:5" x14ac:dyDescent="0.25">
      <c r="A64" t="s">
        <v>274</v>
      </c>
      <c r="B64" t="s">
        <v>452</v>
      </c>
      <c r="C64">
        <v>30</v>
      </c>
      <c r="D64">
        <v>30</v>
      </c>
    </row>
    <row r="65" spans="1:5" x14ac:dyDescent="0.25">
      <c r="A65" t="s">
        <v>269</v>
      </c>
      <c r="B65" t="s">
        <v>453</v>
      </c>
      <c r="C65">
        <v>4.5</v>
      </c>
      <c r="D65">
        <v>4.5</v>
      </c>
    </row>
    <row r="66" spans="1:5" x14ac:dyDescent="0.25">
      <c r="A66" t="s">
        <v>276</v>
      </c>
      <c r="B66" t="s">
        <v>454</v>
      </c>
      <c r="C66">
        <v>1.8</v>
      </c>
      <c r="D66">
        <v>1.8</v>
      </c>
    </row>
    <row r="67" spans="1:5" x14ac:dyDescent="0.25">
      <c r="A67" t="s">
        <v>301</v>
      </c>
      <c r="B67" t="s">
        <v>455</v>
      </c>
      <c r="C67">
        <v>12.6</v>
      </c>
      <c r="E67">
        <v>-12.6</v>
      </c>
    </row>
    <row r="68" spans="1:5" x14ac:dyDescent="0.25">
      <c r="A68" t="s">
        <v>227</v>
      </c>
      <c r="B68" t="s">
        <v>456</v>
      </c>
      <c r="C68">
        <v>1.26</v>
      </c>
      <c r="E68">
        <v>-1.26</v>
      </c>
    </row>
    <row r="69" spans="1:5" x14ac:dyDescent="0.25">
      <c r="A69" t="s">
        <v>229</v>
      </c>
      <c r="B69" t="s">
        <v>457</v>
      </c>
      <c r="C69">
        <v>5.04</v>
      </c>
      <c r="E69">
        <v>-5.04</v>
      </c>
    </row>
    <row r="70" spans="1:5" x14ac:dyDescent="0.25">
      <c r="A70" t="s">
        <v>303</v>
      </c>
      <c r="B70" t="s">
        <v>458</v>
      </c>
      <c r="C70">
        <v>5.4</v>
      </c>
      <c r="D70">
        <v>5.4</v>
      </c>
    </row>
    <row r="71" spans="1:5" x14ac:dyDescent="0.25">
      <c r="A71" t="s">
        <v>278</v>
      </c>
      <c r="B71" t="s">
        <v>459</v>
      </c>
      <c r="C71">
        <v>8.1</v>
      </c>
      <c r="D71">
        <v>8.1</v>
      </c>
    </row>
    <row r="72" spans="1:5" x14ac:dyDescent="0.25">
      <c r="A72" t="s">
        <v>246</v>
      </c>
      <c r="B72" t="s">
        <v>460</v>
      </c>
      <c r="C72">
        <v>4</v>
      </c>
      <c r="D72">
        <v>4</v>
      </c>
    </row>
    <row r="73" spans="1:5" x14ac:dyDescent="0.25">
      <c r="A73" t="s">
        <v>263</v>
      </c>
      <c r="B73" t="s">
        <v>461</v>
      </c>
      <c r="C73">
        <v>63.84</v>
      </c>
      <c r="E73">
        <v>-63.84</v>
      </c>
    </row>
    <row r="74" spans="1:5" x14ac:dyDescent="0.25">
      <c r="A74" t="s">
        <v>257</v>
      </c>
      <c r="B74" t="s">
        <v>462</v>
      </c>
      <c r="C74">
        <v>119</v>
      </c>
      <c r="D74">
        <v>43.444000000000003</v>
      </c>
      <c r="E74">
        <v>-75.555999999999997</v>
      </c>
    </row>
    <row r="75" spans="1:5" x14ac:dyDescent="0.25">
      <c r="A75" t="s">
        <v>267</v>
      </c>
      <c r="B75" t="s">
        <v>463</v>
      </c>
      <c r="C75">
        <v>70.56</v>
      </c>
      <c r="E75">
        <v>-70.56</v>
      </c>
    </row>
    <row r="76" spans="1:5" x14ac:dyDescent="0.25">
      <c r="A76" t="s">
        <v>253</v>
      </c>
      <c r="B76" t="s">
        <v>464</v>
      </c>
      <c r="C76">
        <v>154</v>
      </c>
      <c r="E76">
        <v>-154</v>
      </c>
    </row>
    <row r="77" spans="1:5" x14ac:dyDescent="0.25">
      <c r="A77" t="s">
        <v>265</v>
      </c>
      <c r="B77" t="s">
        <v>465</v>
      </c>
      <c r="C77">
        <v>80.64</v>
      </c>
      <c r="E77">
        <v>-80.64</v>
      </c>
    </row>
    <row r="78" spans="1:5" x14ac:dyDescent="0.25">
      <c r="A78" t="s">
        <v>255</v>
      </c>
      <c r="B78" t="s">
        <v>466</v>
      </c>
      <c r="C78">
        <v>87.5</v>
      </c>
      <c r="E78">
        <v>-87.5</v>
      </c>
    </row>
    <row r="79" spans="1:5" x14ac:dyDescent="0.25">
      <c r="A79" t="s">
        <v>280</v>
      </c>
      <c r="B79" t="s">
        <v>467</v>
      </c>
      <c r="C79">
        <v>54.6</v>
      </c>
      <c r="D79">
        <v>54.6</v>
      </c>
    </row>
    <row r="80" spans="1:5" x14ac:dyDescent="0.25">
      <c r="A80" t="s">
        <v>282</v>
      </c>
      <c r="B80" t="s">
        <v>468</v>
      </c>
      <c r="C80">
        <v>140.4</v>
      </c>
      <c r="D80">
        <v>140.4</v>
      </c>
    </row>
    <row r="81" spans="1:5" x14ac:dyDescent="0.25">
      <c r="A81" t="s">
        <v>291</v>
      </c>
      <c r="B81" t="s">
        <v>469</v>
      </c>
      <c r="C81">
        <v>35.1</v>
      </c>
      <c r="D81">
        <v>35.1</v>
      </c>
    </row>
    <row r="82" spans="1:5" x14ac:dyDescent="0.25">
      <c r="A82" t="s">
        <v>289</v>
      </c>
      <c r="B82" t="s">
        <v>470</v>
      </c>
      <c r="C82">
        <v>21</v>
      </c>
      <c r="E82">
        <v>-21</v>
      </c>
    </row>
    <row r="83" spans="1:5" x14ac:dyDescent="0.25">
      <c r="A83" t="s">
        <v>239</v>
      </c>
      <c r="B83" t="s">
        <v>471</v>
      </c>
      <c r="C83">
        <v>12</v>
      </c>
      <c r="D8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недогруз 15,08,26</vt:lpstr>
      <vt:lpstr>недогруз 17,08,26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2026-08-13T09:54:08Z</dcterms:created>
  <dcterms:modified xsi:type="dcterms:W3CDTF">2026-08-18T08:52:28Z</dcterms:modified>
</cp:coreProperties>
</file>