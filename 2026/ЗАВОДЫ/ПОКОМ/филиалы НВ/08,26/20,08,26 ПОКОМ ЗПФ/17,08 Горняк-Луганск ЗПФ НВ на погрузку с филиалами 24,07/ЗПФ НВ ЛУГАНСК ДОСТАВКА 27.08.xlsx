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17,08 Горняк-Луганск ЗПФ НВ на погрузку с филиалами 24,07\"/>
    </mc:Choice>
  </mc:AlternateContent>
  <xr:revisionPtr revIDLastSave="0" documentId="13_ncr:1_{534697AD-A5EE-4F76-AD1F-63A14123321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Z143" i="2" s="1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Y94" i="2" s="1"/>
  <c r="P91" i="2"/>
  <c r="X88" i="2"/>
  <c r="Z87" i="2"/>
  <c r="X87" i="2"/>
  <c r="BO86" i="2"/>
  <c r="BM86" i="2"/>
  <c r="Z86" i="2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Y62" i="2"/>
  <c r="X62" i="2"/>
  <c r="X61" i="2"/>
  <c r="BP60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Y35" i="2"/>
  <c r="X35" i="2"/>
  <c r="X34" i="2"/>
  <c r="BP33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BP27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Y239" i="2" l="1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Z275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3" i="2" s="1"/>
  <c r="Y274" i="2"/>
  <c r="C283" i="2" l="1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<sst xmlns="http://schemas.openxmlformats.org/spreadsheetml/2006/main" count="1723" uniqueCount="411">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</sst>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9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/>
      <c r="I5" s="455"/>
      <c r="J5" s="455"/>
      <c r="K5" s="455"/>
      <c r="L5" s="455"/>
      <c r="M5" s="455"/>
      <c r="N5" s="72"/>
      <c r="P5" s="26" t="s">
        <v>4</v>
      </c>
      <c r="Q5" s="457"/>
      <c r="R5" s="457"/>
      <c r="T5" s="458" t="s">
        <v>3</v>
      </c>
      <c r="U5" s="459"/>
      <c r="V5" s="460" t="s">
        <v>378</v>
      </c>
      <c r="W5" s="461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 xml:space="preserve"> 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/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46261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280</v>
      </c>
      <c r="Y104" s="41">
        <f>IFERROR(SUM(Y97:Y103),"0")</f>
        <v>280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5.0064000000000002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806.4</v>
      </c>
      <c r="Y105" s="41">
        <f>IFERROR(SUMPRODUCT(Y97:Y103*H97:H103),"0")</f>
        <v>806.4</v>
      </c>
      <c r="Z105" s="40"/>
      <c r="AA105" s="64"/>
      <c r="AB105" s="64"/>
      <c r="AC105" s="64"/>
    </row>
    <row r="106" spans="1:68" ht="16.5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280</v>
      </c>
      <c r="Y143" s="41">
        <f>IFERROR(SUM(Y140:Y142),"0")</f>
        <v>280</v>
      </c>
      <c r="Z143" s="41">
        <f>IFERROR(IF(Z140="",0,Z140),"0")+IFERROR(IF(Z141="",0,Z141),"0")+IFERROR(IF(Z142="",0,Z142),"0")</f>
        <v>5.0064000000000002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840</v>
      </c>
      <c r="Y144" s="41">
        <f>IFERROR(SUMPRODUCT(Y140:Y142*H140:H142),"0")</f>
        <v>840</v>
      </c>
      <c r="Z144" s="40"/>
      <c r="AA144" s="64"/>
      <c r="AB144" s="64"/>
      <c r="AC144" s="64"/>
    </row>
    <row r="145" spans="1:68" ht="16.5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42</v>
      </c>
      <c r="Y149" s="53">
        <f>IFERROR(IF(X149="","",X149),"")</f>
        <v>42</v>
      </c>
      <c r="Z149" s="39">
        <f>IFERROR(IF(X149="","",X149*0.01788),"")</f>
        <v>0.75095999999999996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155.55119999999999</v>
      </c>
      <c r="BN149" s="78">
        <f>IFERROR(Y149*I149,"0")</f>
        <v>155.55119999999999</v>
      </c>
      <c r="BO149" s="78">
        <f>IFERROR(X149/J149,"0")</f>
        <v>0.6</v>
      </c>
      <c r="BP149" s="78">
        <f>IFERROR(Y149/J149,"0")</f>
        <v>0.6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42</v>
      </c>
      <c r="Y150" s="41">
        <f>IFERROR(SUM(Y147:Y149),"0")</f>
        <v>42</v>
      </c>
      <c r="Z150" s="41">
        <f>IFERROR(IF(Z147="",0,Z147),"0")+IFERROR(IF(Z148="",0,Z148),"0")+IFERROR(IF(Z149="",0,Z149),"0")</f>
        <v>0.75095999999999996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126</v>
      </c>
      <c r="Y151" s="41">
        <f>IFERROR(SUMPRODUCT(Y147:Y149*H147:H149),"0")</f>
        <v>126</v>
      </c>
      <c r="Z151" s="40"/>
      <c r="AA151" s="64"/>
      <c r="AB151" s="64"/>
      <c r="AC151" s="64"/>
    </row>
    <row r="152" spans="1:68" ht="16.5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28</v>
      </c>
      <c r="Y188" s="53">
        <f>IFERROR(IF(X188="","",X188),"")</f>
        <v>28</v>
      </c>
      <c r="Z188" s="39">
        <f>IFERROR(IF(X188="","",X188*0.01788),"")</f>
        <v>0.50063999999999997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94.864000000000004</v>
      </c>
      <c r="BN188" s="78">
        <f>IFERROR(Y188*I188,"0")</f>
        <v>94.864000000000004</v>
      </c>
      <c r="BO188" s="78">
        <f>IFERROR(X188/J188,"0")</f>
        <v>0.4</v>
      </c>
      <c r="BP188" s="78">
        <f>IFERROR(Y188/J188,"0")</f>
        <v>0.4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14</v>
      </c>
      <c r="Y189" s="53">
        <f>IFERROR(IF(X189="","",X189),"")</f>
        <v>14</v>
      </c>
      <c r="Z189" s="39">
        <f>IFERROR(IF(X189="","",X189*0.01788),"")</f>
        <v>0.25031999999999999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47.432000000000002</v>
      </c>
      <c r="BN189" s="78">
        <f>IFERROR(Y189*I189,"0")</f>
        <v>47.432000000000002</v>
      </c>
      <c r="BO189" s="78">
        <f>IFERROR(X189/J189,"0")</f>
        <v>0.2</v>
      </c>
      <c r="BP189" s="78">
        <f>IFERROR(Y189/J189,"0")</f>
        <v>0.2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336</v>
      </c>
      <c r="Y253" s="53">
        <f>IFERROR(IF(X253="","",X253),"")</f>
        <v>336</v>
      </c>
      <c r="Z253" s="39">
        <f>IFERROR(IF(X253="","",X253*0.0155),"")</f>
        <v>5.2080000000000002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1758.96</v>
      </c>
      <c r="BN253" s="78">
        <f>IFERROR(Y253*I253,"0")</f>
        <v>1758.96</v>
      </c>
      <c r="BO253" s="78">
        <f>IFERROR(X253/J253,"0")</f>
        <v>4</v>
      </c>
      <c r="BP253" s="78">
        <f>IFERROR(Y253/J253,"0")</f>
        <v>4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336</v>
      </c>
      <c r="Y255" s="41">
        <f>IFERROR(SUM(Y252:Y254),"0")</f>
        <v>336</v>
      </c>
      <c r="Z255" s="41">
        <f>IFERROR(IF(Z252="",0,Z252),"0")+IFERROR(IF(Z253="",0,Z253),"0")+IFERROR(IF(Z254="",0,Z254),"0")</f>
        <v>5.2080000000000002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1680</v>
      </c>
      <c r="Y256" s="41">
        <f>IFERROR(SUMPRODUCT(Y252:Y254*H252:H254),"0")</f>
        <v>1680</v>
      </c>
      <c r="Z256" s="40"/>
      <c r="AA256" s="64"/>
      <c r="AB256" s="64"/>
      <c r="AC256" s="64"/>
    </row>
    <row r="257" spans="1:68" ht="14.25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84</v>
      </c>
      <c r="Y259" s="53">
        <f t="shared" si="18"/>
        <v>84</v>
      </c>
      <c r="Z259" s="39">
        <f>IFERROR(IF(X259="","",X259*0.0155),"")</f>
        <v>1.302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439.32000000000005</v>
      </c>
      <c r="BN259" s="78">
        <f t="shared" si="20"/>
        <v>439.32000000000005</v>
      </c>
      <c r="BO259" s="78">
        <f t="shared" si="21"/>
        <v>1</v>
      </c>
      <c r="BP259" s="78">
        <f t="shared" si="22"/>
        <v>1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378</v>
      </c>
      <c r="Y262" s="53">
        <f t="shared" si="18"/>
        <v>378</v>
      </c>
      <c r="Z262" s="39">
        <f t="shared" si="23"/>
        <v>3.5380799999999999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1471.1759999999999</v>
      </c>
      <c r="BN262" s="78">
        <f t="shared" si="20"/>
        <v>1471.1759999999999</v>
      </c>
      <c r="BO262" s="78">
        <f t="shared" si="21"/>
        <v>3</v>
      </c>
      <c r="BP262" s="78">
        <f t="shared" si="22"/>
        <v>3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630</v>
      </c>
      <c r="Y268" s="41">
        <f>IFERROR(SUM(Y258:Y267),"0")</f>
        <v>630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7.4440799999999996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2742.6000000000004</v>
      </c>
      <c r="Y269" s="41">
        <f>IFERROR(SUMPRODUCT(Y258:Y267*H258:H267),"0")</f>
        <v>2742.6000000000004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7875</v>
      </c>
      <c r="Y270" s="41">
        <f>IFERROR(Y29+Y35+Y42+Y49+Y57+Y62+Y66+Y71+Y77+Y83+Y88+Y94+Y105+Y111+Y122+Y126+Y130+Y137+Y144+Y151+Y157+Y162+Y167+Y172+Y179+Y184+Y193+Y199+Y206+Y211+Y217+Y223+Y229+Y235+Y239+Y246+Y250+Y256+Y269,"0")</f>
        <v>7875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8687.9911999999986</v>
      </c>
      <c r="Y271" s="41">
        <f>IFERROR(SUM(BN22:BN267),"0")</f>
        <v>8687.9911999999986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24</v>
      </c>
      <c r="Y272" s="42">
        <f>ROUNDUP(SUM(BP22:BP267),0)</f>
        <v>24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9287.9911999999986</v>
      </c>
      <c r="Y273" s="41">
        <f>GrossWeightTotalR+PalletQtyTotalR*25</f>
        <v>9287.9911999999986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1946</v>
      </c>
      <c r="Y274" s="41">
        <f>IFERROR(Y28+Y34+Y41+Y48+Y56+Y61+Y65+Y70+Y76+Y82+Y87+Y93+Y104+Y110+Y121+Y125+Y129+Y136+Y143+Y150+Y156+Y161+Y166+Y171+Y178+Y183+Y192+Y198+Y205+Y210+Y216+Y222+Y228+Y234+Y238+Y245+Y249+Y255+Y268,"0")</f>
        <v>1946</v>
      </c>
      <c r="Z274" s="40"/>
      <c r="AA274" s="64"/>
      <c r="AB274" s="64"/>
      <c r="AC274" s="64"/>
    </row>
    <row r="275" spans="1:32" ht="14.25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29.774639999999998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806.4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840</v>
      </c>
      <c r="Q280" s="50">
        <f>IFERROR(X147*H147,"0")+IFERROR(X148*H148,"0")+IFERROR(X149*H149,"0")</f>
        <v>126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5430.6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7875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