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52A68CA-CB61-48A5-AA6F-FE91C36BAC9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<sst xmlns="http://schemas.openxmlformats.org/spreadsheetml/2006/main" count="1701" uniqueCount="398">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</sst>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topLeftCell="A15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/>
      <c r="R5" s="290"/>
      <c r="T5" s="291" t="s">
        <v>3</v>
      </c>
      <c r="U5" s="292"/>
      <c r="V5" s="293" t="s">
        <v>383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 xml:space="preserve"> 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/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>
        <v>46261</v>
      </c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>
        <v>0.375</v>
      </c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hidden="1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hidden="1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hidden="1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4301071108</v>
      </c>
      <c r="D24" s="354">
        <v>4607111035912</v>
      </c>
      <c r="E24" s="35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4301071110</v>
      </c>
      <c r="D25" s="354">
        <v>4607111035103</v>
      </c>
      <c r="E25" s="35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4301071109</v>
      </c>
      <c r="D26" s="354">
        <v>4607111035929</v>
      </c>
      <c r="E26" s="35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4301071106</v>
      </c>
      <c r="D27" s="354">
        <v>4607111035882</v>
      </c>
      <c r="E27" s="354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4301071105</v>
      </c>
      <c r="D28" s="354">
        <v>4607111035110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hidden="1" customHeight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hidden="1" customHeight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2" t="s">
        <v>105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65"/>
      <c r="AB32" s="65"/>
      <c r="AC32" s="82"/>
    </row>
    <row r="33" spans="1:68" ht="14.25" hidden="1" customHeight="1" x14ac:dyDescent="0.25">
      <c r="A33" s="353" t="s">
        <v>82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4">
        <v>4607111039019</v>
      </c>
      <c r="E34" s="35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354">
        <v>4607111038708</v>
      </c>
      <c r="E35" s="35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6"/>
      <c r="R35" s="356"/>
      <c r="S35" s="356"/>
      <c r="T35" s="35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hidden="1" customHeight="1" x14ac:dyDescent="0.2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9"/>
      <c r="P36" s="365" t="s">
        <v>40</v>
      </c>
      <c r="Q36" s="366"/>
      <c r="R36" s="366"/>
      <c r="S36" s="366"/>
      <c r="T36" s="366"/>
      <c r="U36" s="366"/>
      <c r="V36" s="36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hidden="1" customHeight="1" x14ac:dyDescent="0.2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9"/>
      <c r="P37" s="365" t="s">
        <v>40</v>
      </c>
      <c r="Q37" s="366"/>
      <c r="R37" s="366"/>
      <c r="S37" s="366"/>
      <c r="T37" s="366"/>
      <c r="U37" s="366"/>
      <c r="V37" s="36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1" t="s">
        <v>45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54"/>
      <c r="AB38" s="54"/>
      <c r="AC38" s="54"/>
    </row>
    <row r="39" spans="1:68" ht="16.5" hidden="1" customHeight="1" x14ac:dyDescent="0.25">
      <c r="A39" s="352" t="s">
        <v>111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65"/>
      <c r="AB39" s="65"/>
      <c r="AC39" s="82"/>
    </row>
    <row r="40" spans="1:68" ht="14.25" hidden="1" customHeight="1" x14ac:dyDescent="0.25">
      <c r="A40" s="353" t="s">
        <v>112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4">
        <v>4607111036537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70</v>
      </c>
      <c r="Y41" s="55">
        <f>IFERROR(IF(X41="","",X41),"")</f>
        <v>70</v>
      </c>
      <c r="Z41" s="41">
        <f>IFERROR(IF(X41="","",X41*0.00941),"")</f>
        <v>0.65869999999999995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134.52600000000001</v>
      </c>
      <c r="BN41" s="81">
        <f>IFERROR(Y41*I41,"0")</f>
        <v>134.52600000000001</v>
      </c>
      <c r="BO41" s="81">
        <f>IFERROR(X41/J41,"0")</f>
        <v>0.5</v>
      </c>
      <c r="BP41" s="81">
        <f>IFERROR(Y41/J41,"0")</f>
        <v>0.5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4">
        <v>4607111036605</v>
      </c>
      <c r="E42" s="35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6"/>
      <c r="R42" s="356"/>
      <c r="S42" s="356"/>
      <c r="T42" s="357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9"/>
      <c r="P43" s="365" t="s">
        <v>40</v>
      </c>
      <c r="Q43" s="366"/>
      <c r="R43" s="366"/>
      <c r="S43" s="366"/>
      <c r="T43" s="366"/>
      <c r="U43" s="366"/>
      <c r="V43" s="367"/>
      <c r="W43" s="42" t="s">
        <v>39</v>
      </c>
      <c r="X43" s="43">
        <f>IFERROR(SUM(X41:X42),"0")</f>
        <v>126</v>
      </c>
      <c r="Y43" s="43">
        <f>IFERROR(SUM(Y41:Y42),"0")</f>
        <v>126</v>
      </c>
      <c r="Z43" s="43">
        <f>IFERROR(IF(Z41="",0,Z41),"0")+IFERROR(IF(Z42="",0,Z42),"0")</f>
        <v>1.1856599999999999</v>
      </c>
      <c r="AA43" s="67"/>
      <c r="AB43" s="67"/>
      <c r="AC43" s="67"/>
    </row>
    <row r="44" spans="1:68" x14ac:dyDescent="0.2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9"/>
      <c r="P44" s="365" t="s">
        <v>40</v>
      </c>
      <c r="Q44" s="366"/>
      <c r="R44" s="366"/>
      <c r="S44" s="366"/>
      <c r="T44" s="366"/>
      <c r="U44" s="366"/>
      <c r="V44" s="367"/>
      <c r="W44" s="42" t="s">
        <v>0</v>
      </c>
      <c r="X44" s="43">
        <f>IFERROR(SUMPRODUCT(X41:X42*H41:H42),"0")</f>
        <v>189</v>
      </c>
      <c r="Y44" s="43">
        <f>IFERROR(SUMPRODUCT(Y41:Y42*H41:H42),"0")</f>
        <v>189</v>
      </c>
      <c r="Z44" s="42"/>
      <c r="AA44" s="67"/>
      <c r="AB44" s="67"/>
      <c r="AC44" s="67"/>
    </row>
    <row r="45" spans="1:68" ht="16.5" hidden="1" customHeight="1" x14ac:dyDescent="0.25">
      <c r="A45" s="352" t="s">
        <v>122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65"/>
      <c r="AB45" s="65"/>
      <c r="AC45" s="82"/>
    </row>
    <row r="46" spans="1:68" ht="14.25" hidden="1" customHeight="1" x14ac:dyDescent="0.25">
      <c r="A46" s="353" t="s">
        <v>82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54">
        <v>4620207490075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4301071092</v>
      </c>
      <c r="D48" s="354">
        <v>4620207490174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4301071091</v>
      </c>
      <c r="D49" s="354">
        <v>4620207490044</v>
      </c>
      <c r="E49" s="354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6"/>
      <c r="R49" s="356"/>
      <c r="S49" s="356"/>
      <c r="T49" s="357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hidden="1" x14ac:dyDescent="0.2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9"/>
      <c r="P50" s="365" t="s">
        <v>40</v>
      </c>
      <c r="Q50" s="366"/>
      <c r="R50" s="366"/>
      <c r="S50" s="366"/>
      <c r="T50" s="366"/>
      <c r="U50" s="366"/>
      <c r="V50" s="36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9"/>
      <c r="P51" s="365" t="s">
        <v>40</v>
      </c>
      <c r="Q51" s="366"/>
      <c r="R51" s="366"/>
      <c r="S51" s="366"/>
      <c r="T51" s="366"/>
      <c r="U51" s="366"/>
      <c r="V51" s="367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52" t="s">
        <v>132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5"/>
      <c r="AB52" s="65"/>
      <c r="AC52" s="82"/>
    </row>
    <row r="53" spans="1:68" ht="14.25" hidden="1" customHeight="1" x14ac:dyDescent="0.25">
      <c r="A53" s="353" t="s">
        <v>82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66"/>
      <c r="AB53" s="66"/>
      <c r="AC53" s="83"/>
    </row>
    <row r="54" spans="1:68" ht="27" hidden="1" customHeight="1" x14ac:dyDescent="0.25">
      <c r="A54" s="63" t="s">
        <v>133</v>
      </c>
      <c r="B54" s="63" t="s">
        <v>134</v>
      </c>
      <c r="C54" s="36">
        <v>4301071044</v>
      </c>
      <c r="D54" s="354">
        <v>4607111039385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4301071031</v>
      </c>
      <c r="D55" s="354">
        <v>4607111038982</v>
      </c>
      <c r="E55" s="354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4301071046</v>
      </c>
      <c r="D56" s="354">
        <v>4607111039354</v>
      </c>
      <c r="E56" s="354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4301071047</v>
      </c>
      <c r="D57" s="354">
        <v>4607111039330</v>
      </c>
      <c r="E57" s="35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6"/>
      <c r="R57" s="356"/>
      <c r="S57" s="356"/>
      <c r="T57" s="357"/>
      <c r="U57" s="39" t="s">
        <v>46</v>
      </c>
      <c r="V57" s="39" t="s">
        <v>46</v>
      </c>
      <c r="W57" s="40" t="s">
        <v>39</v>
      </c>
      <c r="X57" s="58"/>
      <c r="Y57" s="55" t="str">
        <f>IFERROR(IF(X57="","",X57),"")</f>
        <v/>
      </c>
      <c r="Z57" s="41" t="str">
        <f>IFERROR(IF(X57="","",X57*0.0155),"")</f>
        <v/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 t="str">
        <f>IFERROR(Y57*I57,"0")</f>
        <v>0</v>
      </c>
      <c r="BO57" s="81">
        <f>IFERROR(X57/J57,"0")</f>
        <v>0</v>
      </c>
      <c r="BP57" s="81" t="str">
        <f>IFERROR(Y57/J57,"0")</f>
        <v>0</v>
      </c>
    </row>
    <row r="58" spans="1:68" ht="12.75" hidden="1" customHeight="1" x14ac:dyDescent="0.2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9"/>
      <c r="P58" s="365" t="s">
        <v>40</v>
      </c>
      <c r="Q58" s="366"/>
      <c r="R58" s="366"/>
      <c r="S58" s="366"/>
      <c r="T58" s="366"/>
      <c r="U58" s="366"/>
      <c r="V58" s="36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hidden="1" customHeight="1" x14ac:dyDescent="0.2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9"/>
      <c r="P59" s="365" t="s">
        <v>40</v>
      </c>
      <c r="Q59" s="366"/>
      <c r="R59" s="366"/>
      <c r="S59" s="366"/>
      <c r="T59" s="366"/>
      <c r="U59" s="366"/>
      <c r="V59" s="367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hidden="1" customHeight="1" x14ac:dyDescent="0.25">
      <c r="A60" s="352" t="s">
        <v>143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5"/>
      <c r="AB60" s="65"/>
      <c r="AC60" s="82"/>
    </row>
    <row r="61" spans="1:68" ht="14.25" hidden="1" customHeight="1" x14ac:dyDescent="0.25">
      <c r="A61" s="353" t="s">
        <v>82</v>
      </c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66"/>
      <c r="AB61" s="66"/>
      <c r="AC61" s="83"/>
    </row>
    <row r="62" spans="1:68" ht="16.5" hidden="1" customHeight="1" x14ac:dyDescent="0.25">
      <c r="A62" s="63" t="s">
        <v>144</v>
      </c>
      <c r="B62" s="63" t="s">
        <v>145</v>
      </c>
      <c r="C62" s="36">
        <v>4301071073</v>
      </c>
      <c r="D62" s="354">
        <v>4620207490822</v>
      </c>
      <c r="E62" s="354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hidden="1" customHeight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hidden="1" customHeight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3" t="s">
        <v>112</v>
      </c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66"/>
      <c r="AB65" s="66"/>
      <c r="AC65" s="83"/>
    </row>
    <row r="66" spans="1:68" ht="27" hidden="1" customHeight="1" x14ac:dyDescent="0.25">
      <c r="A66" s="63" t="s">
        <v>147</v>
      </c>
      <c r="B66" s="63" t="s">
        <v>148</v>
      </c>
      <c r="C66" s="36">
        <v>4301132194</v>
      </c>
      <c r="D66" s="354">
        <v>4607111039712</v>
      </c>
      <c r="E66" s="35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6"/>
      <c r="R66" s="356"/>
      <c r="S66" s="356"/>
      <c r="T66" s="35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hidden="1" customHeight="1" x14ac:dyDescent="0.2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9"/>
      <c r="P67" s="365" t="s">
        <v>40</v>
      </c>
      <c r="Q67" s="366"/>
      <c r="R67" s="366"/>
      <c r="S67" s="366"/>
      <c r="T67" s="366"/>
      <c r="U67" s="366"/>
      <c r="V67" s="36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hidden="1" customHeight="1" x14ac:dyDescent="0.2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9"/>
      <c r="P68" s="365" t="s">
        <v>40</v>
      </c>
      <c r="Q68" s="366"/>
      <c r="R68" s="366"/>
      <c r="S68" s="366"/>
      <c r="T68" s="366"/>
      <c r="U68" s="366"/>
      <c r="V68" s="36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3" t="s">
        <v>150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66"/>
      <c r="AB69" s="66"/>
      <c r="AC69" s="83"/>
    </row>
    <row r="70" spans="1:68" ht="16.5" hidden="1" customHeight="1" x14ac:dyDescent="0.25">
      <c r="A70" s="63" t="s">
        <v>151</v>
      </c>
      <c r="B70" s="63" t="s">
        <v>152</v>
      </c>
      <c r="C70" s="36">
        <v>4301136018</v>
      </c>
      <c r="D70" s="354">
        <v>4607111037008</v>
      </c>
      <c r="E70" s="354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154</v>
      </c>
      <c r="B71" s="63" t="s">
        <v>155</v>
      </c>
      <c r="C71" s="36">
        <v>4301136015</v>
      </c>
      <c r="D71" s="354">
        <v>4607111037398</v>
      </c>
      <c r="E71" s="354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6"/>
      <c r="R71" s="356"/>
      <c r="S71" s="356"/>
      <c r="T71" s="35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hidden="1" customHeight="1" x14ac:dyDescent="0.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9"/>
      <c r="P72" s="365" t="s">
        <v>40</v>
      </c>
      <c r="Q72" s="366"/>
      <c r="R72" s="366"/>
      <c r="S72" s="366"/>
      <c r="T72" s="366"/>
      <c r="U72" s="366"/>
      <c r="V72" s="36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hidden="1" customHeight="1" x14ac:dyDescent="0.2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9"/>
      <c r="P73" s="365" t="s">
        <v>40</v>
      </c>
      <c r="Q73" s="366"/>
      <c r="R73" s="366"/>
      <c r="S73" s="366"/>
      <c r="T73" s="366"/>
      <c r="U73" s="366"/>
      <c r="V73" s="36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3" t="s">
        <v>156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66"/>
      <c r="AB74" s="66"/>
      <c r="AC74" s="83"/>
    </row>
    <row r="75" spans="1:68" ht="27" hidden="1" customHeight="1" x14ac:dyDescent="0.25">
      <c r="A75" s="63" t="s">
        <v>157</v>
      </c>
      <c r="B75" s="63" t="s">
        <v>158</v>
      </c>
      <c r="C75" s="36">
        <v>4301135664</v>
      </c>
      <c r="D75" s="354">
        <v>4607111039705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159</v>
      </c>
      <c r="B76" s="63" t="s">
        <v>160</v>
      </c>
      <c r="C76" s="36">
        <v>4301135665</v>
      </c>
      <c r="D76" s="354">
        <v>4607111039729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162</v>
      </c>
      <c r="B77" s="63" t="s">
        <v>163</v>
      </c>
      <c r="C77" s="36">
        <v>4301135702</v>
      </c>
      <c r="D77" s="354">
        <v>4620207490228</v>
      </c>
      <c r="E77" s="354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6"/>
      <c r="R77" s="356"/>
      <c r="S77" s="356"/>
      <c r="T77" s="35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hidden="1" customHeight="1" x14ac:dyDescent="0.2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9"/>
      <c r="P78" s="365" t="s">
        <v>40</v>
      </c>
      <c r="Q78" s="366"/>
      <c r="R78" s="366"/>
      <c r="S78" s="366"/>
      <c r="T78" s="366"/>
      <c r="U78" s="366"/>
      <c r="V78" s="36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hidden="1" customHeight="1" x14ac:dyDescent="0.2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9"/>
      <c r="P79" s="365" t="s">
        <v>40</v>
      </c>
      <c r="Q79" s="366"/>
      <c r="R79" s="366"/>
      <c r="S79" s="366"/>
      <c r="T79" s="366"/>
      <c r="U79" s="366"/>
      <c r="V79" s="36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52" t="s">
        <v>164</v>
      </c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65"/>
      <c r="AB80" s="65"/>
      <c r="AC80" s="82"/>
    </row>
    <row r="81" spans="1:68" ht="14.25" hidden="1" customHeight="1" x14ac:dyDescent="0.25">
      <c r="A81" s="353" t="s">
        <v>82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4301070977</v>
      </c>
      <c r="D82" s="354">
        <v>4607111037411</v>
      </c>
      <c r="E82" s="354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hidden="1" customHeight="1" x14ac:dyDescent="0.25">
      <c r="A83" s="63" t="s">
        <v>169</v>
      </c>
      <c r="B83" s="63" t="s">
        <v>170</v>
      </c>
      <c r="C83" s="36">
        <v>4301070981</v>
      </c>
      <c r="D83" s="354">
        <v>4607111036728</v>
      </c>
      <c r="E83" s="354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6"/>
      <c r="R83" s="356"/>
      <c r="S83" s="356"/>
      <c r="T83" s="357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9"/>
      <c r="P84" s="365" t="s">
        <v>40</v>
      </c>
      <c r="Q84" s="366"/>
      <c r="R84" s="366"/>
      <c r="S84" s="366"/>
      <c r="T84" s="366"/>
      <c r="U84" s="366"/>
      <c r="V84" s="36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9"/>
      <c r="P85" s="365" t="s">
        <v>40</v>
      </c>
      <c r="Q85" s="366"/>
      <c r="R85" s="366"/>
      <c r="S85" s="366"/>
      <c r="T85" s="366"/>
      <c r="U85" s="366"/>
      <c r="V85" s="367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52" t="s">
        <v>171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5"/>
      <c r="AB86" s="65"/>
      <c r="AC86" s="82"/>
    </row>
    <row r="87" spans="1:68" ht="14.25" hidden="1" customHeight="1" x14ac:dyDescent="0.25">
      <c r="A87" s="353" t="s">
        <v>156</v>
      </c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4301135574</v>
      </c>
      <c r="D88" s="354">
        <v>4607111033659</v>
      </c>
      <c r="E88" s="35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12.75" hidden="1" customHeight="1" x14ac:dyDescent="0.2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9"/>
      <c r="P89" s="365" t="s">
        <v>40</v>
      </c>
      <c r="Q89" s="366"/>
      <c r="R89" s="366"/>
      <c r="S89" s="366"/>
      <c r="T89" s="366"/>
      <c r="U89" s="366"/>
      <c r="V89" s="367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ht="12.75" hidden="1" customHeight="1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0</v>
      </c>
      <c r="X90" s="43">
        <f>IFERROR(SUMPRODUCT(X88:X88*H88:H88),"0")</f>
        <v>0</v>
      </c>
      <c r="Y90" s="43" t="str">
        <f>IFERROR(SUMPRODUCT(Y88:Y88*H88:H88),"0")</f>
        <v>0</v>
      </c>
      <c r="Z90" s="42"/>
      <c r="AA90" s="67"/>
      <c r="AB90" s="67"/>
      <c r="AC90" s="67"/>
    </row>
    <row r="91" spans="1:68" ht="16.5" hidden="1" customHeight="1" x14ac:dyDescent="0.25">
      <c r="A91" s="352" t="s">
        <v>175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65"/>
      <c r="AB91" s="65"/>
      <c r="AC91" s="82"/>
    </row>
    <row r="92" spans="1:68" ht="14.25" hidden="1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4">
        <v>4607111034120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42</v>
      </c>
      <c r="Y93" s="55">
        <f>IFERROR(IF(X93="","",X93),"")</f>
        <v>42</v>
      </c>
      <c r="Z93" s="41">
        <f>IFERROR(IF(X93="","",X93*0.01788),"")</f>
        <v>0.75095999999999996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180.75120000000001</v>
      </c>
      <c r="BN93" s="81">
        <f>IFERROR(Y93*I93,"0")</f>
        <v>180.75120000000001</v>
      </c>
      <c r="BO93" s="81">
        <f>IFERROR(X93/J93,"0")</f>
        <v>0.6</v>
      </c>
      <c r="BP93" s="81">
        <f>IFERROR(Y93/J93,"0")</f>
        <v>0.6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4">
        <v>4607111034137</v>
      </c>
      <c r="E94" s="354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56</v>
      </c>
      <c r="Y94" s="55">
        <f>IFERROR(IF(X94="","",X94),"")</f>
        <v>56</v>
      </c>
      <c r="Z94" s="41">
        <f>IFERROR(IF(X94="","",X94*0.01788),"")</f>
        <v>1.0012799999999999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241.00160000000002</v>
      </c>
      <c r="BN94" s="81">
        <f>IFERROR(Y94*I94,"0")</f>
        <v>241.00160000000002</v>
      </c>
      <c r="BO94" s="81">
        <f>IFERROR(X94/J94,"0")</f>
        <v>0.8</v>
      </c>
      <c r="BP94" s="81">
        <f>IFERROR(Y94/J94,"0")</f>
        <v>0.8</v>
      </c>
    </row>
    <row r="95" spans="1:68" x14ac:dyDescent="0.2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9"/>
      <c r="P95" s="365" t="s">
        <v>40</v>
      </c>
      <c r="Q95" s="366"/>
      <c r="R95" s="366"/>
      <c r="S95" s="366"/>
      <c r="T95" s="366"/>
      <c r="U95" s="366"/>
      <c r="V95" s="367"/>
      <c r="W95" s="42" t="s">
        <v>39</v>
      </c>
      <c r="X95" s="43">
        <f>IFERROR(SUM(X93:X94),"0")</f>
        <v>98</v>
      </c>
      <c r="Y95" s="43">
        <f>IFERROR(SUM(Y93:Y94),"0")</f>
        <v>98</v>
      </c>
      <c r="Z95" s="43">
        <f>IFERROR(IF(Z93="",0,Z93),"0")+IFERROR(IF(Z94="",0,Z94),"0")</f>
        <v>1.75224</v>
      </c>
      <c r="AA95" s="67"/>
      <c r="AB95" s="67"/>
      <c r="AC95" s="67"/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0</v>
      </c>
      <c r="X96" s="43">
        <f>IFERROR(SUMPRODUCT(X93:X94*H93:H94),"0")</f>
        <v>352.8</v>
      </c>
      <c r="Y96" s="43">
        <f>IFERROR(SUMPRODUCT(Y93:Y94*H93:H94),"0")</f>
        <v>352.8</v>
      </c>
      <c r="Z96" s="42"/>
      <c r="AA96" s="67"/>
      <c r="AB96" s="67"/>
      <c r="AC96" s="67"/>
    </row>
    <row r="97" spans="1:68" ht="16.5" hidden="1" customHeight="1" x14ac:dyDescent="0.25">
      <c r="A97" s="352" t="s">
        <v>183</v>
      </c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65"/>
      <c r="AB97" s="65"/>
      <c r="AC97" s="82"/>
    </row>
    <row r="98" spans="1:68" ht="14.25" hidden="1" customHeight="1" x14ac:dyDescent="0.25">
      <c r="A98" s="353" t="s">
        <v>156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4">
        <v>4620207491027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4">
        <v>4620207491003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42</v>
      </c>
      <c r="Y100" s="55">
        <f t="shared" si="6"/>
        <v>42</v>
      </c>
      <c r="Z100" s="41">
        <f t="shared" si="7"/>
        <v>0.75095999999999996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150.5112</v>
      </c>
      <c r="BN100" s="81">
        <f t="shared" si="9"/>
        <v>150.5112</v>
      </c>
      <c r="BO100" s="81">
        <f t="shared" si="10"/>
        <v>0.6</v>
      </c>
      <c r="BP100" s="81">
        <f t="shared" si="11"/>
        <v>0.6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4">
        <v>4620207491034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28</v>
      </c>
      <c r="Y101" s="55">
        <f t="shared" si="6"/>
        <v>28</v>
      </c>
      <c r="Z101" s="41">
        <f t="shared" si="7"/>
        <v>0.50063999999999997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100.3408</v>
      </c>
      <c r="BN101" s="81">
        <f t="shared" si="9"/>
        <v>100.3408</v>
      </c>
      <c r="BO101" s="81">
        <f t="shared" si="10"/>
        <v>0.4</v>
      </c>
      <c r="BP101" s="81">
        <f t="shared" si="11"/>
        <v>0.4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4">
        <v>4620207491010</v>
      </c>
      <c r="E102" s="354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150.5112</v>
      </c>
      <c r="BN102" s="81">
        <f t="shared" si="9"/>
        <v>150.5112</v>
      </c>
      <c r="BO102" s="81">
        <f t="shared" si="10"/>
        <v>0.6</v>
      </c>
      <c r="BP102" s="81">
        <f t="shared" si="11"/>
        <v>0.6</v>
      </c>
    </row>
    <row r="103" spans="1:68" ht="27" hidden="1" customHeight="1" x14ac:dyDescent="0.25">
      <c r="A103" s="63" t="s">
        <v>193</v>
      </c>
      <c r="B103" s="63" t="s">
        <v>194</v>
      </c>
      <c r="C103" s="36">
        <v>4301135571</v>
      </c>
      <c r="D103" s="354">
        <v>4607111035028</v>
      </c>
      <c r="E103" s="354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/>
      <c r="Y103" s="55" t="str">
        <f t="shared" si="6"/>
        <v/>
      </c>
      <c r="Z103" s="41" t="str">
        <f t="shared" si="7"/>
        <v/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0</v>
      </c>
      <c r="BN103" s="81" t="str">
        <f t="shared" si="9"/>
        <v>0</v>
      </c>
      <c r="BO103" s="81">
        <f t="shared" si="10"/>
        <v>0</v>
      </c>
      <c r="BP103" s="81" t="str">
        <f t="shared" si="11"/>
        <v>0</v>
      </c>
    </row>
    <row r="104" spans="1:68" ht="27" hidden="1" customHeight="1" x14ac:dyDescent="0.25">
      <c r="A104" s="63" t="s">
        <v>195</v>
      </c>
      <c r="B104" s="63" t="s">
        <v>196</v>
      </c>
      <c r="C104" s="36">
        <v>4301135285</v>
      </c>
      <c r="D104" s="354">
        <v>4607111036407</v>
      </c>
      <c r="E104" s="354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9"/>
      <c r="P105" s="365" t="s">
        <v>40</v>
      </c>
      <c r="Q105" s="366"/>
      <c r="R105" s="366"/>
      <c r="S105" s="366"/>
      <c r="T105" s="366"/>
      <c r="U105" s="366"/>
      <c r="V105" s="367"/>
      <c r="W105" s="42" t="s">
        <v>39</v>
      </c>
      <c r="X105" s="43">
        <f>IFERROR(SUM(X99:X104),"0")</f>
        <v>140</v>
      </c>
      <c r="Y105" s="43">
        <f>IFERROR(SUM(Y99:Y104),"0")</f>
        <v>140</v>
      </c>
      <c r="Z105" s="43">
        <f>IFERROR(IF(Z99="",0,Z99),"0")+IFERROR(IF(Z100="",0,Z100),"0")+IFERROR(IF(Z101="",0,Z101),"0")+IFERROR(IF(Z102="",0,Z102),"0")+IFERROR(IF(Z103="",0,Z103),"0")+IFERROR(IF(Z104="",0,Z104),"0")</f>
        <v>2.5031999999999996</v>
      </c>
      <c r="AA105" s="67"/>
      <c r="AB105" s="67"/>
      <c r="AC105" s="67"/>
    </row>
    <row r="106" spans="1:68" x14ac:dyDescent="0.2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9"/>
      <c r="P106" s="365" t="s">
        <v>40</v>
      </c>
      <c r="Q106" s="366"/>
      <c r="R106" s="366"/>
      <c r="S106" s="366"/>
      <c r="T106" s="366"/>
      <c r="U106" s="366"/>
      <c r="V106" s="367"/>
      <c r="W106" s="42" t="s">
        <v>0</v>
      </c>
      <c r="X106" s="43">
        <f>IFERROR(SUMPRODUCT(X99:X104*H99:H104),"0")</f>
        <v>403.2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2" t="s">
        <v>198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hidden="1" customHeight="1" x14ac:dyDescent="0.25">
      <c r="A108" s="353" t="s">
        <v>150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hidden="1" customHeight="1" x14ac:dyDescent="0.25">
      <c r="A109" s="63" t="s">
        <v>199</v>
      </c>
      <c r="B109" s="63" t="s">
        <v>200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202</v>
      </c>
      <c r="B110" s="63" t="s">
        <v>203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hidden="1" customHeight="1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hidden="1" customHeight="1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52" t="s">
        <v>204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hidden="1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hidden="1" customHeight="1" x14ac:dyDescent="0.25">
      <c r="A115" s="63" t="s">
        <v>205</v>
      </c>
      <c r="B115" s="63" t="s">
        <v>206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hidden="1" customHeight="1" x14ac:dyDescent="0.25">
      <c r="A116" s="63" t="s">
        <v>208</v>
      </c>
      <c r="B116" s="63" t="s">
        <v>209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>
        <v>12</v>
      </c>
      <c r="Y117" s="55">
        <f t="shared" si="12"/>
        <v>12</v>
      </c>
      <c r="Z117" s="41">
        <f t="shared" si="13"/>
        <v>0.186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80.635199999999998</v>
      </c>
      <c r="BN117" s="81">
        <f t="shared" si="15"/>
        <v>80.635199999999998</v>
      </c>
      <c r="BO117" s="81">
        <f t="shared" si="16"/>
        <v>0.14285714285714285</v>
      </c>
      <c r="BP117" s="81">
        <f t="shared" si="17"/>
        <v>0.14285714285714285</v>
      </c>
    </row>
    <row r="118" spans="1:68" ht="27" hidden="1" customHeight="1" x14ac:dyDescent="0.25">
      <c r="A118" s="63" t="s">
        <v>213</v>
      </c>
      <c r="B118" s="63" t="s">
        <v>214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t="27" hidden="1" customHeight="1" x14ac:dyDescent="0.25">
      <c r="A119" s="63" t="s">
        <v>215</v>
      </c>
      <c r="B119" s="63" t="s">
        <v>216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218</v>
      </c>
      <c r="B120" s="63" t="s">
        <v>219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/>
      <c r="Y120" s="55" t="str">
        <f t="shared" si="12"/>
        <v/>
      </c>
      <c r="Z120" s="41" t="str">
        <f t="shared" si="13"/>
        <v/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 t="str">
        <f t="shared" si="15"/>
        <v>0</v>
      </c>
      <c r="BO120" s="81">
        <f t="shared" si="16"/>
        <v>0</v>
      </c>
      <c r="BP120" s="81" t="str">
        <f t="shared" si="17"/>
        <v>0</v>
      </c>
    </row>
    <row r="121" spans="1:68" ht="27" hidden="1" customHeight="1" x14ac:dyDescent="0.25">
      <c r="A121" s="63" t="s">
        <v>220</v>
      </c>
      <c r="B121" s="63" t="s">
        <v>221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9"/>
      <c r="P122" s="365" t="s">
        <v>40</v>
      </c>
      <c r="Q122" s="366"/>
      <c r="R122" s="366"/>
      <c r="S122" s="366"/>
      <c r="T122" s="366"/>
      <c r="U122" s="366"/>
      <c r="V122" s="367"/>
      <c r="W122" s="42" t="s">
        <v>39</v>
      </c>
      <c r="X122" s="43">
        <f>IFERROR(SUM(X115:X121),"0")</f>
        <v>12</v>
      </c>
      <c r="Y122" s="43">
        <f>IFERROR(SUM(Y115:Y121),"0")</f>
        <v>12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0.186</v>
      </c>
      <c r="AA122" s="67"/>
      <c r="AB122" s="67"/>
      <c r="AC122" s="67"/>
    </row>
    <row r="123" spans="1:68" x14ac:dyDescent="0.2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9"/>
      <c r="P123" s="365" t="s">
        <v>40</v>
      </c>
      <c r="Q123" s="366"/>
      <c r="R123" s="366"/>
      <c r="S123" s="366"/>
      <c r="T123" s="366"/>
      <c r="U123" s="366"/>
      <c r="V123" s="367"/>
      <c r="W123" s="42" t="s">
        <v>0</v>
      </c>
      <c r="X123" s="43">
        <f>IFERROR(SUMPRODUCT(X115:X121*H115:H121),"0")</f>
        <v>76.800000000000011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3" t="s">
        <v>156</v>
      </c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66"/>
      <c r="AB124" s="66"/>
      <c r="AC124" s="83"/>
    </row>
    <row r="125" spans="1:68" ht="27" hidden="1" customHeight="1" x14ac:dyDescent="0.25">
      <c r="A125" s="63" t="s">
        <v>222</v>
      </c>
      <c r="B125" s="63" t="s">
        <v>223</v>
      </c>
      <c r="C125" s="36">
        <v>4301135826</v>
      </c>
      <c r="D125" s="354">
        <v>4620207490983</v>
      </c>
      <c r="E125" s="354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hidden="1" customHeight="1" x14ac:dyDescent="0.2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9"/>
      <c r="P126" s="365" t="s">
        <v>40</v>
      </c>
      <c r="Q126" s="366"/>
      <c r="R126" s="366"/>
      <c r="S126" s="366"/>
      <c r="T126" s="366"/>
      <c r="U126" s="366"/>
      <c r="V126" s="36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hidden="1" customHeight="1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53" t="s">
        <v>225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6"/>
      <c r="AB128" s="66"/>
      <c r="AC128" s="83"/>
    </row>
    <row r="129" spans="1:68" ht="27" hidden="1" customHeight="1" x14ac:dyDescent="0.25">
      <c r="A129" s="63" t="s">
        <v>226</v>
      </c>
      <c r="B129" s="63" t="s">
        <v>227</v>
      </c>
      <c r="C129" s="36">
        <v>4301071094</v>
      </c>
      <c r="D129" s="354">
        <v>4620207491140</v>
      </c>
      <c r="E129" s="354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6"/>
      <c r="R129" s="356"/>
      <c r="S129" s="356"/>
      <c r="T129" s="35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hidden="1" customHeight="1" x14ac:dyDescent="0.2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9"/>
      <c r="P130" s="365" t="s">
        <v>40</v>
      </c>
      <c r="Q130" s="366"/>
      <c r="R130" s="366"/>
      <c r="S130" s="366"/>
      <c r="T130" s="366"/>
      <c r="U130" s="366"/>
      <c r="V130" s="36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hidden="1" customHeight="1" x14ac:dyDescent="0.2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9"/>
      <c r="P131" s="365" t="s">
        <v>40</v>
      </c>
      <c r="Q131" s="366"/>
      <c r="R131" s="366"/>
      <c r="S131" s="366"/>
      <c r="T131" s="366"/>
      <c r="U131" s="366"/>
      <c r="V131" s="36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52" t="s">
        <v>229</v>
      </c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65"/>
      <c r="AB132" s="65"/>
      <c r="AC132" s="82"/>
    </row>
    <row r="133" spans="1:68" ht="14.25" hidden="1" customHeight="1" x14ac:dyDescent="0.25">
      <c r="A133" s="353" t="s">
        <v>230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6"/>
      <c r="AB133" s="66"/>
      <c r="AC133" s="83"/>
    </row>
    <row r="134" spans="1:68" ht="27" hidden="1" customHeight="1" x14ac:dyDescent="0.25">
      <c r="A134" s="63" t="s">
        <v>231</v>
      </c>
      <c r="B134" s="63" t="s">
        <v>232</v>
      </c>
      <c r="C134" s="36">
        <v>4301190117</v>
      </c>
      <c r="D134" s="354">
        <v>4620207491386</v>
      </c>
      <c r="E134" s="35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6"/>
      <c r="R134" s="356"/>
      <c r="S134" s="356"/>
      <c r="T134" s="35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hidden="1" customHeight="1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hidden="1" customHeight="1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hidden="1" customHeight="1" x14ac:dyDescent="0.25">
      <c r="A137" s="352" t="s">
        <v>234</v>
      </c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65"/>
      <c r="AB137" s="65"/>
      <c r="AC137" s="82"/>
    </row>
    <row r="138" spans="1:68" ht="14.25" hidden="1" customHeight="1" x14ac:dyDescent="0.25">
      <c r="A138" s="353" t="s">
        <v>156</v>
      </c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66"/>
      <c r="AB138" s="66"/>
      <c r="AC138" s="83"/>
    </row>
    <row r="139" spans="1:68" ht="27" hidden="1" customHeight="1" x14ac:dyDescent="0.25">
      <c r="A139" s="63" t="s">
        <v>235</v>
      </c>
      <c r="B139" s="63" t="s">
        <v>236</v>
      </c>
      <c r="C139" s="36">
        <v>4301135865</v>
      </c>
      <c r="D139" s="354">
        <v>4620207491485</v>
      </c>
      <c r="E139" s="354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6"/>
      <c r="R139" s="356"/>
      <c r="S139" s="356"/>
      <c r="T139" s="35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4">
        <v>4607111034014</v>
      </c>
      <c r="E140" s="35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6"/>
      <c r="R140" s="356"/>
      <c r="S140" s="356"/>
      <c r="T140" s="357"/>
      <c r="U140" s="39" t="s">
        <v>46</v>
      </c>
      <c r="V140" s="39" t="s">
        <v>46</v>
      </c>
      <c r="W140" s="40" t="s">
        <v>39</v>
      </c>
      <c r="X140" s="58">
        <v>70</v>
      </c>
      <c r="Y140" s="55">
        <f>IFERROR(IF(X140="","",X140),"")</f>
        <v>70</v>
      </c>
      <c r="Z140" s="41">
        <f>IFERROR(IF(X140="","",X140*0.01788),"")</f>
        <v>1.2516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259.25200000000001</v>
      </c>
      <c r="BN140" s="81">
        <f>IFERROR(Y140*I140,"0")</f>
        <v>259.25200000000001</v>
      </c>
      <c r="BO140" s="81">
        <f>IFERROR(X140/J140,"0")</f>
        <v>1</v>
      </c>
      <c r="BP140" s="81">
        <f>IFERROR(Y140/J140,"0")</f>
        <v>1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4">
        <v>4607111033994</v>
      </c>
      <c r="E141" s="35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42</v>
      </c>
      <c r="Y141" s="55">
        <f>IFERROR(IF(X141="","",X141),"")</f>
        <v>42</v>
      </c>
      <c r="Z141" s="41">
        <f>IFERROR(IF(X141="","",X141*0.01788),"")</f>
        <v>0.75095999999999996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155.55119999999999</v>
      </c>
      <c r="BN141" s="81">
        <f>IFERROR(Y141*I141,"0")</f>
        <v>155.55119999999999</v>
      </c>
      <c r="BO141" s="81">
        <f>IFERROR(X141/J141,"0")</f>
        <v>0.6</v>
      </c>
      <c r="BP141" s="81">
        <f>IFERROR(Y141/J141,"0")</f>
        <v>0.6</v>
      </c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39</v>
      </c>
      <c r="X142" s="43">
        <f>IFERROR(SUM(X139:X141),"0")</f>
        <v>112</v>
      </c>
      <c r="Y142" s="43">
        <f>IFERROR(SUM(Y139:Y141),"0")</f>
        <v>112</v>
      </c>
      <c r="Z142" s="43">
        <f>IFERROR(IF(Z139="",0,Z139),"0")+IFERROR(IF(Z140="",0,Z140),"0")+IFERROR(IF(Z141="",0,Z141),"0")</f>
        <v>2.0025599999999999</v>
      </c>
      <c r="AA142" s="67"/>
      <c r="AB142" s="67"/>
      <c r="AC142" s="67"/>
    </row>
    <row r="143" spans="1:68" x14ac:dyDescent="0.2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9"/>
      <c r="P143" s="365" t="s">
        <v>40</v>
      </c>
      <c r="Q143" s="366"/>
      <c r="R143" s="366"/>
      <c r="S143" s="366"/>
      <c r="T143" s="366"/>
      <c r="U143" s="366"/>
      <c r="V143" s="367"/>
      <c r="W143" s="42" t="s">
        <v>0</v>
      </c>
      <c r="X143" s="43">
        <f>IFERROR(SUMPRODUCT(X139:X141*H139:H141),"0")</f>
        <v>336</v>
      </c>
      <c r="Y143" s="43">
        <f>IFERROR(SUMPRODUCT(Y139:Y141*H139:H141),"0")</f>
        <v>336</v>
      </c>
      <c r="Z143" s="42"/>
      <c r="AA143" s="67"/>
      <c r="AB143" s="67"/>
      <c r="AC143" s="67"/>
    </row>
    <row r="144" spans="1:68" ht="16.5" hidden="1" customHeight="1" x14ac:dyDescent="0.25">
      <c r="A144" s="352" t="s">
        <v>243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65"/>
      <c r="AB144" s="65"/>
      <c r="AC144" s="82"/>
    </row>
    <row r="145" spans="1:68" ht="14.25" hidden="1" customHeight="1" x14ac:dyDescent="0.25">
      <c r="A145" s="353" t="s">
        <v>156</v>
      </c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66"/>
      <c r="AB145" s="66"/>
      <c r="AC145" s="83"/>
    </row>
    <row r="146" spans="1:68" ht="27" hidden="1" customHeight="1" x14ac:dyDescent="0.25">
      <c r="A146" s="63" t="s">
        <v>244</v>
      </c>
      <c r="B146" s="63" t="s">
        <v>245</v>
      </c>
      <c r="C146" s="36">
        <v>4301135850</v>
      </c>
      <c r="D146" s="354">
        <v>4620207491492</v>
      </c>
      <c r="E146" s="354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6"/>
      <c r="R146" s="356"/>
      <c r="S146" s="356"/>
      <c r="T146" s="357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hidden="1" customHeight="1" x14ac:dyDescent="0.25">
      <c r="A147" s="63" t="s">
        <v>246</v>
      </c>
      <c r="B147" s="63" t="s">
        <v>247</v>
      </c>
      <c r="C147" s="36">
        <v>4301135824</v>
      </c>
      <c r="D147" s="354">
        <v>4607111039095</v>
      </c>
      <c r="E147" s="354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4">
        <v>4607111034199</v>
      </c>
      <c r="E148" s="354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28</v>
      </c>
      <c r="Y148" s="55">
        <f>IFERROR(IF(X148="","",X148),"")</f>
        <v>28</v>
      </c>
      <c r="Z148" s="41">
        <f>IFERROR(IF(X148="","",X148*0.01788),"")</f>
        <v>0.50063999999999997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103.70079999999999</v>
      </c>
      <c r="BN148" s="81">
        <f>IFERROR(Y148*I148,"0")</f>
        <v>103.70079999999999</v>
      </c>
      <c r="BO148" s="81">
        <f>IFERROR(X148/J148,"0")</f>
        <v>0.4</v>
      </c>
      <c r="BP148" s="81">
        <f>IFERROR(Y148/J148,"0")</f>
        <v>0.4</v>
      </c>
    </row>
    <row r="149" spans="1:68" x14ac:dyDescent="0.2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9"/>
      <c r="P149" s="365" t="s">
        <v>40</v>
      </c>
      <c r="Q149" s="366"/>
      <c r="R149" s="366"/>
      <c r="S149" s="366"/>
      <c r="T149" s="366"/>
      <c r="U149" s="366"/>
      <c r="V149" s="367"/>
      <c r="W149" s="42" t="s">
        <v>39</v>
      </c>
      <c r="X149" s="43">
        <f>IFERROR(SUM(X146:X148),"0")</f>
        <v>28</v>
      </c>
      <c r="Y149" s="43">
        <f>IFERROR(SUM(Y146:Y148),"0")</f>
        <v>28</v>
      </c>
      <c r="Z149" s="43">
        <f>IFERROR(IF(Z146="",0,Z146),"0")+IFERROR(IF(Z147="",0,Z147),"0")+IFERROR(IF(Z148="",0,Z148),"0")</f>
        <v>0.50063999999999997</v>
      </c>
      <c r="AA149" s="67"/>
      <c r="AB149" s="67"/>
      <c r="AC149" s="67"/>
    </row>
    <row r="150" spans="1:68" x14ac:dyDescent="0.2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9"/>
      <c r="P150" s="365" t="s">
        <v>40</v>
      </c>
      <c r="Q150" s="366"/>
      <c r="R150" s="366"/>
      <c r="S150" s="366"/>
      <c r="T150" s="366"/>
      <c r="U150" s="366"/>
      <c r="V150" s="367"/>
      <c r="W150" s="42" t="s">
        <v>0</v>
      </c>
      <c r="X150" s="43">
        <f>IFERROR(SUMPRODUCT(X146:X148*H146:H148),"0")</f>
        <v>84</v>
      </c>
      <c r="Y150" s="43">
        <f>IFERROR(SUMPRODUCT(Y146:Y148*H146:H148),"0")</f>
        <v>84</v>
      </c>
      <c r="Z150" s="42"/>
      <c r="AA150" s="67"/>
      <c r="AB150" s="67"/>
      <c r="AC150" s="67"/>
    </row>
    <row r="151" spans="1:68" ht="16.5" hidden="1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hidden="1" customHeight="1" x14ac:dyDescent="0.25">
      <c r="A152" s="353" t="s">
        <v>156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4">
        <v>4620207490914</v>
      </c>
      <c r="E153" s="35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84</v>
      </c>
      <c r="Y153" s="55">
        <f>IFERROR(IF(X153="","",X153),"")</f>
        <v>84</v>
      </c>
      <c r="Z153" s="41">
        <f>IFERROR(IF(X153="","",X153*0.01788),"")</f>
        <v>1.5019199999999999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225.12</v>
      </c>
      <c r="BN153" s="81">
        <f>IFERROR(Y153*I153,"0")</f>
        <v>225.12</v>
      </c>
      <c r="BO153" s="81">
        <f>IFERROR(X153/J153,"0")</f>
        <v>1.2</v>
      </c>
      <c r="BP153" s="81">
        <f>IFERROR(Y153/J153,"0")</f>
        <v>1.2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4">
        <v>4620207490853</v>
      </c>
      <c r="E154" s="354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1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6"/>
      <c r="R154" s="356"/>
      <c r="S154" s="356"/>
      <c r="T154" s="357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37.520000000000003</v>
      </c>
      <c r="BN154" s="81">
        <f>IFERROR(Y154*I154,"0")</f>
        <v>37.520000000000003</v>
      </c>
      <c r="BO154" s="81">
        <f>IFERROR(X154/J154,"0")</f>
        <v>0.2</v>
      </c>
      <c r="BP154" s="81">
        <f>IFERROR(Y154/J154,"0")</f>
        <v>0.2</v>
      </c>
    </row>
    <row r="155" spans="1:68" x14ac:dyDescent="0.2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9"/>
      <c r="P155" s="365" t="s">
        <v>40</v>
      </c>
      <c r="Q155" s="366"/>
      <c r="R155" s="366"/>
      <c r="S155" s="366"/>
      <c r="T155" s="366"/>
      <c r="U155" s="366"/>
      <c r="V155" s="367"/>
      <c r="W155" s="42" t="s">
        <v>39</v>
      </c>
      <c r="X155" s="43">
        <f>IFERROR(SUM(X153:X154),"0")</f>
        <v>98</v>
      </c>
      <c r="Y155" s="43">
        <f>IFERROR(SUM(Y153:Y154),"0")</f>
        <v>98</v>
      </c>
      <c r="Z155" s="43">
        <f>IFERROR(IF(Z153="",0,Z153),"0")+IFERROR(IF(Z154="",0,Z154),"0")</f>
        <v>1.75224</v>
      </c>
      <c r="AA155" s="67"/>
      <c r="AB155" s="67"/>
      <c r="AC155" s="67"/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0</v>
      </c>
      <c r="X156" s="43">
        <f>IFERROR(SUMPRODUCT(X153:X154*H153:H154),"0")</f>
        <v>235.2</v>
      </c>
      <c r="Y156" s="43">
        <f>IFERROR(SUMPRODUCT(Y153:Y154*H153:H154),"0")</f>
        <v>235.2</v>
      </c>
      <c r="Z156" s="42"/>
      <c r="AA156" s="67"/>
      <c r="AB156" s="67"/>
      <c r="AC156" s="67"/>
    </row>
    <row r="157" spans="1:68" ht="16.5" hidden="1" customHeight="1" x14ac:dyDescent="0.25">
      <c r="A157" s="352" t="s">
        <v>257</v>
      </c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65"/>
      <c r="AB157" s="65"/>
      <c r="AC157" s="82"/>
    </row>
    <row r="158" spans="1:68" ht="14.25" hidden="1" customHeight="1" x14ac:dyDescent="0.25">
      <c r="A158" s="353" t="s">
        <v>156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4">
        <v>4607111035806</v>
      </c>
      <c r="E159" s="354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1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6"/>
      <c r="R159" s="356"/>
      <c r="S159" s="356"/>
      <c r="T159" s="357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hidden="1" customHeight="1" x14ac:dyDescent="0.25">
      <c r="A162" s="352" t="s">
        <v>261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65"/>
      <c r="AB162" s="65"/>
      <c r="AC162" s="82"/>
    </row>
    <row r="163" spans="1:68" ht="14.25" hidden="1" customHeight="1" x14ac:dyDescent="0.25">
      <c r="A163" s="353" t="s">
        <v>156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66"/>
      <c r="AB163" s="66"/>
      <c r="AC163" s="83"/>
    </row>
    <row r="164" spans="1:68" ht="16.5" hidden="1" customHeight="1" x14ac:dyDescent="0.25">
      <c r="A164" s="63" t="s">
        <v>262</v>
      </c>
      <c r="B164" s="63" t="s">
        <v>263</v>
      </c>
      <c r="C164" s="36">
        <v>4301135607</v>
      </c>
      <c r="D164" s="354">
        <v>4607111039613</v>
      </c>
      <c r="E164" s="354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6"/>
      <c r="R164" s="356"/>
      <c r="S164" s="356"/>
      <c r="T164" s="35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hidden="1" customHeight="1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hidden="1" customHeight="1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hidden="1" customHeight="1" x14ac:dyDescent="0.25">
      <c r="A167" s="352" t="s">
        <v>264</v>
      </c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65"/>
      <c r="AB167" s="65"/>
      <c r="AC167" s="82"/>
    </row>
    <row r="168" spans="1:68" ht="14.25" hidden="1" customHeight="1" x14ac:dyDescent="0.25">
      <c r="A168" s="353" t="s">
        <v>225</v>
      </c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66"/>
      <c r="AB168" s="66"/>
      <c r="AC168" s="83"/>
    </row>
    <row r="169" spans="1:68" ht="27" hidden="1" customHeight="1" x14ac:dyDescent="0.25">
      <c r="A169" s="63" t="s">
        <v>265</v>
      </c>
      <c r="B169" s="63" t="s">
        <v>266</v>
      </c>
      <c r="C169" s="36">
        <v>4301135540</v>
      </c>
      <c r="D169" s="354">
        <v>4607111035646</v>
      </c>
      <c r="E169" s="354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6"/>
      <c r="R169" s="356"/>
      <c r="S169" s="356"/>
      <c r="T169" s="357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hidden="1" customHeight="1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hidden="1" customHeight="1" x14ac:dyDescent="0.2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9"/>
      <c r="P171" s="365" t="s">
        <v>40</v>
      </c>
      <c r="Q171" s="366"/>
      <c r="R171" s="366"/>
      <c r="S171" s="366"/>
      <c r="T171" s="366"/>
      <c r="U171" s="366"/>
      <c r="V171" s="367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hidden="1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hidden="1" customHeight="1" x14ac:dyDescent="0.25">
      <c r="A173" s="353" t="s">
        <v>156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4">
        <v>4607111036568</v>
      </c>
      <c r="E174" s="354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70</v>
      </c>
      <c r="Y174" s="55">
        <f>IFERROR(IF(X174="","",X174),"")</f>
        <v>70</v>
      </c>
      <c r="Z174" s="41">
        <f>IFERROR(IF(X174="","",X174*0.00941),"")</f>
        <v>0.65869999999999995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147.126</v>
      </c>
      <c r="BN174" s="81">
        <f>IFERROR(Y174*I174,"0")</f>
        <v>147.126</v>
      </c>
      <c r="BO174" s="81">
        <f>IFERROR(X174/J174,"0")</f>
        <v>0.5</v>
      </c>
      <c r="BP174" s="81">
        <f>IFERROR(Y174/J174,"0")</f>
        <v>0.5</v>
      </c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39</v>
      </c>
      <c r="X175" s="43">
        <f>IFERROR(SUM(X174:X174),"0")</f>
        <v>70</v>
      </c>
      <c r="Y175" s="43">
        <f>IFERROR(SUM(Y174:Y174),"0")</f>
        <v>70</v>
      </c>
      <c r="Z175" s="43">
        <f>IFERROR(IF(Z174="",0,Z174),"0")</f>
        <v>0.65869999999999995</v>
      </c>
      <c r="AA175" s="67"/>
      <c r="AB175" s="67"/>
      <c r="AC175" s="67"/>
    </row>
    <row r="176" spans="1:68" x14ac:dyDescent="0.2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9"/>
      <c r="P176" s="365" t="s">
        <v>40</v>
      </c>
      <c r="Q176" s="366"/>
      <c r="R176" s="366"/>
      <c r="S176" s="366"/>
      <c r="T176" s="366"/>
      <c r="U176" s="366"/>
      <c r="V176" s="367"/>
      <c r="W176" s="42" t="s">
        <v>0</v>
      </c>
      <c r="X176" s="43">
        <f>IFERROR(SUMPRODUCT(X174:X174*H174:H174),"0")</f>
        <v>117.6</v>
      </c>
      <c r="Y176" s="43">
        <f>IFERROR(SUMPRODUCT(Y174:Y174*H174:H174),"0")</f>
        <v>117.6</v>
      </c>
      <c r="Z176" s="42"/>
      <c r="AA176" s="67"/>
      <c r="AB176" s="67"/>
      <c r="AC176" s="67"/>
    </row>
    <row r="177" spans="1:68" ht="27.75" hidden="1" customHeight="1" x14ac:dyDescent="0.2">
      <c r="A177" s="351" t="s">
        <v>273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54"/>
      <c r="AB177" s="54"/>
      <c r="AC177" s="54"/>
    </row>
    <row r="178" spans="1:68" ht="16.5" hidden="1" customHeight="1" x14ac:dyDescent="0.25">
      <c r="A178" s="352" t="s">
        <v>274</v>
      </c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65"/>
      <c r="AB178" s="65"/>
      <c r="AC178" s="82"/>
    </row>
    <row r="179" spans="1:68" ht="14.25" hidden="1" customHeight="1" x14ac:dyDescent="0.25">
      <c r="A179" s="353" t="s">
        <v>82</v>
      </c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66"/>
      <c r="AB179" s="66"/>
      <c r="AC179" s="83"/>
    </row>
    <row r="180" spans="1:68" ht="16.5" hidden="1" customHeight="1" x14ac:dyDescent="0.25">
      <c r="A180" s="63" t="s">
        <v>275</v>
      </c>
      <c r="B180" s="63" t="s">
        <v>276</v>
      </c>
      <c r="C180" s="36">
        <v>4301071062</v>
      </c>
      <c r="D180" s="354">
        <v>4607111036384</v>
      </c>
      <c r="E180" s="354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hidden="1" customHeight="1" x14ac:dyDescent="0.25">
      <c r="A181" s="63" t="s">
        <v>278</v>
      </c>
      <c r="B181" s="63" t="s">
        <v>279</v>
      </c>
      <c r="C181" s="36">
        <v>4301071050</v>
      </c>
      <c r="D181" s="354">
        <v>4607111036216</v>
      </c>
      <c r="E181" s="354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hidden="1" customHeight="1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hidden="1" customHeight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hidden="1" customHeight="1" x14ac:dyDescent="0.25">
      <c r="A184" s="353" t="s">
        <v>281</v>
      </c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66"/>
      <c r="AB184" s="66"/>
      <c r="AC184" s="83"/>
    </row>
    <row r="185" spans="1:68" ht="27" hidden="1" customHeight="1" x14ac:dyDescent="0.25">
      <c r="A185" s="63" t="s">
        <v>282</v>
      </c>
      <c r="B185" s="63" t="s">
        <v>283</v>
      </c>
      <c r="C185" s="36">
        <v>4301080153</v>
      </c>
      <c r="D185" s="354">
        <v>4607111036827</v>
      </c>
      <c r="E185" s="354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6"/>
      <c r="R185" s="356"/>
      <c r="S185" s="356"/>
      <c r="T185" s="35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hidden="1" customHeight="1" x14ac:dyDescent="0.25">
      <c r="A186" s="63" t="s">
        <v>285</v>
      </c>
      <c r="B186" s="63" t="s">
        <v>286</v>
      </c>
      <c r="C186" s="36">
        <v>4301080154</v>
      </c>
      <c r="D186" s="354">
        <v>4607111036834</v>
      </c>
      <c r="E186" s="354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hidden="1" customHeight="1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hidden="1" customHeight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hidden="1" customHeight="1" x14ac:dyDescent="0.2">
      <c r="A189" s="351" t="s">
        <v>287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54"/>
      <c r="AB189" s="54"/>
      <c r="AC189" s="54"/>
    </row>
    <row r="190" spans="1:68" ht="16.5" hidden="1" customHeight="1" x14ac:dyDescent="0.25">
      <c r="A190" s="352" t="s">
        <v>288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65"/>
      <c r="AB190" s="65"/>
      <c r="AC190" s="82"/>
    </row>
    <row r="191" spans="1:68" ht="14.25" hidden="1" customHeight="1" x14ac:dyDescent="0.25">
      <c r="A191" s="353" t="s">
        <v>112</v>
      </c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4">
        <v>4607111035691</v>
      </c>
      <c r="E192" s="354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6"/>
      <c r="R192" s="356"/>
      <c r="S192" s="356"/>
      <c r="T192" s="357"/>
      <c r="U192" s="39" t="s">
        <v>46</v>
      </c>
      <c r="V192" s="39" t="s">
        <v>46</v>
      </c>
      <c r="W192" s="40" t="s">
        <v>39</v>
      </c>
      <c r="X192" s="58">
        <v>70</v>
      </c>
      <c r="Y192" s="55">
        <f>IFERROR(IF(X192="","",X192),"")</f>
        <v>70</v>
      </c>
      <c r="Z192" s="41">
        <f>IFERROR(IF(X192="","",X192*0.01788),"")</f>
        <v>1.2516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237.16</v>
      </c>
      <c r="BN192" s="81">
        <f>IFERROR(Y192*I192,"0")</f>
        <v>237.16</v>
      </c>
      <c r="BO192" s="81">
        <f>IFERROR(X192/J192,"0")</f>
        <v>1</v>
      </c>
      <c r="BP192" s="81">
        <f>IFERROR(Y192/J192,"0")</f>
        <v>1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4">
        <v>4607111035721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189.72800000000001</v>
      </c>
      <c r="BN193" s="81">
        <f>IFERROR(Y193*I193,"0")</f>
        <v>189.72800000000001</v>
      </c>
      <c r="BO193" s="81">
        <f>IFERROR(X193/J193,"0")</f>
        <v>0.8</v>
      </c>
      <c r="BP193" s="81">
        <f>IFERROR(Y193/J193,"0")</f>
        <v>0.8</v>
      </c>
    </row>
    <row r="194" spans="1:68" ht="27" hidden="1" customHeight="1" x14ac:dyDescent="0.25">
      <c r="A194" s="63" t="s">
        <v>295</v>
      </c>
      <c r="B194" s="63" t="s">
        <v>296</v>
      </c>
      <c r="C194" s="36">
        <v>4301132170</v>
      </c>
      <c r="D194" s="354">
        <v>4607111038487</v>
      </c>
      <c r="E194" s="354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298</v>
      </c>
      <c r="B195" s="63" t="s">
        <v>299</v>
      </c>
      <c r="C195" s="36">
        <v>4301132243</v>
      </c>
      <c r="D195" s="354">
        <v>4620207491195</v>
      </c>
      <c r="E195" s="354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39</v>
      </c>
      <c r="X196" s="43">
        <f>IFERROR(SUM(X192:X195),"0")</f>
        <v>126</v>
      </c>
      <c r="Y196" s="43">
        <f>IFERROR(SUM(Y192:Y195),"0")</f>
        <v>126</v>
      </c>
      <c r="Z196" s="43">
        <f>IFERROR(IF(Z192="",0,Z192),"0")+IFERROR(IF(Z193="",0,Z193),"0")+IFERROR(IF(Z194="",0,Z194),"0")+IFERROR(IF(Z195="",0,Z195),"0")</f>
        <v>2.2528800000000002</v>
      </c>
      <c r="AA196" s="67"/>
      <c r="AB196" s="67"/>
      <c r="AC196" s="67"/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0</v>
      </c>
      <c r="X197" s="43">
        <f>IFERROR(SUMPRODUCT(X192:X195*H192:H195),"0")</f>
        <v>378</v>
      </c>
      <c r="Y197" s="43">
        <f>IFERROR(SUMPRODUCT(Y192:Y195*H192:H195),"0")</f>
        <v>378</v>
      </c>
      <c r="Z197" s="42"/>
      <c r="AA197" s="67"/>
      <c r="AB197" s="67"/>
      <c r="AC197" s="67"/>
    </row>
    <row r="198" spans="1:68" ht="27.75" hidden="1" customHeight="1" x14ac:dyDescent="0.2">
      <c r="A198" s="351" t="s">
        <v>301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54"/>
      <c r="AB198" s="54"/>
      <c r="AC198" s="54"/>
    </row>
    <row r="199" spans="1:68" ht="16.5" hidden="1" customHeight="1" x14ac:dyDescent="0.25">
      <c r="A199" s="352" t="s">
        <v>302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65"/>
      <c r="AB199" s="65"/>
      <c r="AC199" s="82"/>
    </row>
    <row r="200" spans="1:68" ht="14.25" hidden="1" customHeight="1" x14ac:dyDescent="0.25">
      <c r="A200" s="353" t="s">
        <v>112</v>
      </c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66"/>
      <c r="AB200" s="66"/>
      <c r="AC200" s="83"/>
    </row>
    <row r="201" spans="1:68" ht="27" hidden="1" customHeight="1" x14ac:dyDescent="0.25">
      <c r="A201" s="63" t="s">
        <v>303</v>
      </c>
      <c r="B201" s="63" t="s">
        <v>304</v>
      </c>
      <c r="C201" s="36">
        <v>4301132227</v>
      </c>
      <c r="D201" s="354">
        <v>4620207491133</v>
      </c>
      <c r="E201" s="354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6"/>
      <c r="R201" s="356"/>
      <c r="S201" s="356"/>
      <c r="T201" s="35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hidden="1" customHeight="1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hidden="1" customHeight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hidden="1" customHeight="1" x14ac:dyDescent="0.25">
      <c r="A204" s="353" t="s">
        <v>156</v>
      </c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66"/>
      <c r="AB204" s="66"/>
      <c r="AC204" s="83"/>
    </row>
    <row r="205" spans="1:68" ht="27" hidden="1" customHeight="1" x14ac:dyDescent="0.25">
      <c r="A205" s="63" t="s">
        <v>306</v>
      </c>
      <c r="B205" s="63" t="s">
        <v>307</v>
      </c>
      <c r="C205" s="36">
        <v>4301135834</v>
      </c>
      <c r="D205" s="354">
        <v>4620207491188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309</v>
      </c>
      <c r="B206" s="63" t="s">
        <v>310</v>
      </c>
      <c r="C206" s="36">
        <v>4301135707</v>
      </c>
      <c r="D206" s="354">
        <v>4620207490198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312</v>
      </c>
      <c r="B207" s="63" t="s">
        <v>313</v>
      </c>
      <c r="C207" s="36">
        <v>4301135829</v>
      </c>
      <c r="D207" s="354">
        <v>4620207490235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354">
        <v>4620207490259</v>
      </c>
      <c r="E208" s="35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6"/>
      <c r="R208" s="356"/>
      <c r="S208" s="356"/>
      <c r="T208" s="35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hidden="1" customHeight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hidden="1" customHeight="1" x14ac:dyDescent="0.2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9"/>
      <c r="P210" s="365" t="s">
        <v>40</v>
      </c>
      <c r="Q210" s="366"/>
      <c r="R210" s="366"/>
      <c r="S210" s="366"/>
      <c r="T210" s="366"/>
      <c r="U210" s="366"/>
      <c r="V210" s="36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hidden="1" customHeight="1" x14ac:dyDescent="0.25">
      <c r="A211" s="352" t="s">
        <v>317</v>
      </c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65"/>
      <c r="AB211" s="65"/>
      <c r="AC211" s="82"/>
    </row>
    <row r="212" spans="1:68" ht="14.25" hidden="1" customHeight="1" x14ac:dyDescent="0.25">
      <c r="A212" s="353" t="s">
        <v>82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4301071097</v>
      </c>
      <c r="D213" s="354">
        <v>4620207491096</v>
      </c>
      <c r="E213" s="354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hidden="1" customHeight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hidden="1" customHeight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52" t="s">
        <v>321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hidden="1" customHeight="1" x14ac:dyDescent="0.25">
      <c r="A217" s="353" t="s">
        <v>156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hidden="1" customHeight="1" x14ac:dyDescent="0.25">
      <c r="A218" s="63" t="s">
        <v>322</v>
      </c>
      <c r="B218" s="63" t="s">
        <v>323</v>
      </c>
      <c r="C218" s="36">
        <v>4301135691</v>
      </c>
      <c r="D218" s="354">
        <v>4620207490549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325</v>
      </c>
      <c r="B219" s="63" t="s">
        <v>326</v>
      </c>
      <c r="C219" s="36">
        <v>4301135694</v>
      </c>
      <c r="D219" s="354">
        <v>4620207490501</v>
      </c>
      <c r="E219" s="35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6"/>
      <c r="R219" s="356"/>
      <c r="S219" s="356"/>
      <c r="T219" s="35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hidden="1" customHeight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hidden="1" customHeight="1" x14ac:dyDescent="0.2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5" t="s">
        <v>40</v>
      </c>
      <c r="Q221" s="366"/>
      <c r="R221" s="366"/>
      <c r="S221" s="366"/>
      <c r="T221" s="366"/>
      <c r="U221" s="366"/>
      <c r="V221" s="367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hidden="1" customHeight="1" x14ac:dyDescent="0.2">
      <c r="A222" s="351" t="s">
        <v>327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54"/>
      <c r="AB222" s="54"/>
      <c r="AC222" s="54"/>
    </row>
    <row r="223" spans="1:68" ht="16.5" hidden="1" customHeight="1" x14ac:dyDescent="0.25">
      <c r="A223" s="352" t="s">
        <v>328</v>
      </c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65"/>
      <c r="AB223" s="65"/>
      <c r="AC223" s="82"/>
    </row>
    <row r="224" spans="1:68" ht="14.25" hidden="1" customHeight="1" x14ac:dyDescent="0.25">
      <c r="A224" s="353" t="s">
        <v>82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6"/>
      <c r="AB224" s="66"/>
      <c r="AC224" s="83"/>
    </row>
    <row r="225" spans="1:68" ht="27" hidden="1" customHeight="1" x14ac:dyDescent="0.25">
      <c r="A225" s="63" t="s">
        <v>329</v>
      </c>
      <c r="B225" s="63" t="s">
        <v>330</v>
      </c>
      <c r="C225" s="36">
        <v>4301071036</v>
      </c>
      <c r="D225" s="354">
        <v>4607111036162</v>
      </c>
      <c r="E225" s="354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6"/>
      <c r="R225" s="356"/>
      <c r="S225" s="356"/>
      <c r="T225" s="35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hidden="1" customHeight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hidden="1" customHeight="1" x14ac:dyDescent="0.2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9"/>
      <c r="P227" s="365" t="s">
        <v>40</v>
      </c>
      <c r="Q227" s="366"/>
      <c r="R227" s="366"/>
      <c r="S227" s="366"/>
      <c r="T227" s="366"/>
      <c r="U227" s="366"/>
      <c r="V227" s="36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51" t="s">
        <v>332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54"/>
      <c r="AB228" s="54"/>
      <c r="AC228" s="54"/>
    </row>
    <row r="229" spans="1:68" ht="16.5" hidden="1" customHeight="1" x14ac:dyDescent="0.25">
      <c r="A229" s="352" t="s">
        <v>333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65"/>
      <c r="AB229" s="65"/>
      <c r="AC229" s="82"/>
    </row>
    <row r="230" spans="1:68" ht="14.25" hidden="1" customHeight="1" x14ac:dyDescent="0.25">
      <c r="A230" s="353" t="s">
        <v>82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6"/>
      <c r="AB230" s="66"/>
      <c r="AC230" s="83"/>
    </row>
    <row r="231" spans="1:68" ht="27" hidden="1" customHeight="1" x14ac:dyDescent="0.25">
      <c r="A231" s="63" t="s">
        <v>334</v>
      </c>
      <c r="B231" s="63" t="s">
        <v>335</v>
      </c>
      <c r="C231" s="36">
        <v>4301071029</v>
      </c>
      <c r="D231" s="354">
        <v>4607111035899</v>
      </c>
      <c r="E231" s="354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6"/>
      <c r="R231" s="356"/>
      <c r="S231" s="356"/>
      <c r="T231" s="35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hidden="1" customHeight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hidden="1" customHeight="1" x14ac:dyDescent="0.2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9"/>
      <c r="P233" s="365" t="s">
        <v>40</v>
      </c>
      <c r="Q233" s="366"/>
      <c r="R233" s="366"/>
      <c r="S233" s="366"/>
      <c r="T233" s="366"/>
      <c r="U233" s="366"/>
      <c r="V233" s="36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51" t="s">
        <v>336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54"/>
      <c r="AB234" s="54"/>
      <c r="AC234" s="54"/>
    </row>
    <row r="235" spans="1:68" ht="16.5" hidden="1" customHeight="1" x14ac:dyDescent="0.25">
      <c r="A235" s="352" t="s">
        <v>337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5"/>
      <c r="AB235" s="65"/>
      <c r="AC235" s="82"/>
    </row>
    <row r="236" spans="1:68" ht="14.25" hidden="1" customHeight="1" x14ac:dyDescent="0.25">
      <c r="A236" s="353" t="s">
        <v>338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6"/>
      <c r="AB236" s="66"/>
      <c r="AC236" s="83"/>
    </row>
    <row r="237" spans="1:68" ht="27" hidden="1" customHeight="1" x14ac:dyDescent="0.25">
      <c r="A237" s="63" t="s">
        <v>339</v>
      </c>
      <c r="B237" s="63" t="s">
        <v>340</v>
      </c>
      <c r="C237" s="36">
        <v>4301133004</v>
      </c>
      <c r="D237" s="354">
        <v>4607111039774</v>
      </c>
      <c r="E237" s="354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6"/>
      <c r="R237" s="356"/>
      <c r="S237" s="356"/>
      <c r="T237" s="35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hidden="1" customHeight="1" x14ac:dyDescent="0.2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9"/>
      <c r="P238" s="365" t="s">
        <v>40</v>
      </c>
      <c r="Q238" s="366"/>
      <c r="R238" s="366"/>
      <c r="S238" s="366"/>
      <c r="T238" s="366"/>
      <c r="U238" s="366"/>
      <c r="V238" s="36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hidden="1" customHeight="1" x14ac:dyDescent="0.2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9"/>
      <c r="P239" s="365" t="s">
        <v>40</v>
      </c>
      <c r="Q239" s="366"/>
      <c r="R239" s="366"/>
      <c r="S239" s="366"/>
      <c r="T239" s="366"/>
      <c r="U239" s="366"/>
      <c r="V239" s="36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53" t="s">
        <v>156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66"/>
      <c r="AB240" s="66"/>
      <c r="AC240" s="83"/>
    </row>
    <row r="241" spans="1:68" ht="37.5" hidden="1" customHeight="1" x14ac:dyDescent="0.25">
      <c r="A241" s="63" t="s">
        <v>342</v>
      </c>
      <c r="B241" s="63" t="s">
        <v>343</v>
      </c>
      <c r="C241" s="36">
        <v>4301135400</v>
      </c>
      <c r="D241" s="354">
        <v>4607111039361</v>
      </c>
      <c r="E241" s="354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6"/>
      <c r="R241" s="356"/>
      <c r="S241" s="356"/>
      <c r="T241" s="35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hidden="1" customHeight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hidden="1" customHeight="1" x14ac:dyDescent="0.2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9"/>
      <c r="P243" s="365" t="s">
        <v>40</v>
      </c>
      <c r="Q243" s="366"/>
      <c r="R243" s="366"/>
      <c r="S243" s="366"/>
      <c r="T243" s="366"/>
      <c r="U243" s="366"/>
      <c r="V243" s="36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51" t="s">
        <v>344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54"/>
      <c r="AB244" s="54"/>
      <c r="AC244" s="54"/>
    </row>
    <row r="245" spans="1:68" ht="16.5" hidden="1" customHeight="1" x14ac:dyDescent="0.25">
      <c r="A245" s="352" t="s">
        <v>344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5"/>
      <c r="AB245" s="65"/>
      <c r="AC245" s="82"/>
    </row>
    <row r="246" spans="1:68" ht="14.25" hidden="1" customHeight="1" x14ac:dyDescent="0.25">
      <c r="A246" s="353" t="s">
        <v>82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6"/>
      <c r="AB246" s="66"/>
      <c r="AC246" s="83"/>
    </row>
    <row r="247" spans="1:68" ht="27" hidden="1" customHeight="1" x14ac:dyDescent="0.25">
      <c r="A247" s="63" t="s">
        <v>345</v>
      </c>
      <c r="B247" s="63" t="s">
        <v>346</v>
      </c>
      <c r="C247" s="36">
        <v>4301071014</v>
      </c>
      <c r="D247" s="354">
        <v>4640242181264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hidden="1" customHeight="1" x14ac:dyDescent="0.25">
      <c r="A248" s="63" t="s">
        <v>348</v>
      </c>
      <c r="B248" s="63" t="s">
        <v>349</v>
      </c>
      <c r="C248" s="36">
        <v>4301071021</v>
      </c>
      <c r="D248" s="354">
        <v>4640242181325</v>
      </c>
      <c r="E248" s="354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6"/>
      <c r="R248" s="356"/>
      <c r="S248" s="356"/>
      <c r="T248" s="35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hidden="1" customHeight="1" x14ac:dyDescent="0.2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9"/>
      <c r="P249" s="365" t="s">
        <v>40</v>
      </c>
      <c r="Q249" s="366"/>
      <c r="R249" s="366"/>
      <c r="S249" s="366"/>
      <c r="T249" s="366"/>
      <c r="U249" s="366"/>
      <c r="V249" s="367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hidden="1" customHeight="1" x14ac:dyDescent="0.2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9"/>
      <c r="P250" s="365" t="s">
        <v>40</v>
      </c>
      <c r="Q250" s="366"/>
      <c r="R250" s="366"/>
      <c r="S250" s="366"/>
      <c r="T250" s="366"/>
      <c r="U250" s="366"/>
      <c r="V250" s="367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53" t="s">
        <v>112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4">
        <v>4640242180397</v>
      </c>
      <c r="E252" s="354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6"/>
      <c r="R252" s="356"/>
      <c r="S252" s="356"/>
      <c r="T252" s="357"/>
      <c r="U252" s="39" t="s">
        <v>46</v>
      </c>
      <c r="V252" s="39" t="s">
        <v>46</v>
      </c>
      <c r="W252" s="40" t="s">
        <v>39</v>
      </c>
      <c r="X252" s="58">
        <v>168</v>
      </c>
      <c r="Y252" s="55">
        <f>IFERROR(IF(X252="","",X252),"")</f>
        <v>168</v>
      </c>
      <c r="Z252" s="41">
        <f>IFERROR(IF(X252="","",X252*0.0155),"")</f>
        <v>2.6040000000000001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1051.68</v>
      </c>
      <c r="BN252" s="81">
        <f>IFERROR(Y252*I252,"0")</f>
        <v>1051.68</v>
      </c>
      <c r="BO252" s="81">
        <f>IFERROR(X252/J252,"0")</f>
        <v>2</v>
      </c>
      <c r="BP252" s="81">
        <f>IFERROR(Y252/J252,"0")</f>
        <v>2</v>
      </c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39</v>
      </c>
      <c r="X253" s="43">
        <f>IFERROR(SUM(X252:X252),"0")</f>
        <v>168</v>
      </c>
      <c r="Y253" s="43">
        <f>IFERROR(SUM(Y252:Y252),"0")</f>
        <v>168</v>
      </c>
      <c r="Z253" s="43">
        <f>IFERROR(IF(Z252="",0,Z252),"0")</f>
        <v>2.6040000000000001</v>
      </c>
      <c r="AA253" s="67"/>
      <c r="AB253" s="67"/>
      <c r="AC253" s="67"/>
    </row>
    <row r="254" spans="1:68" x14ac:dyDescent="0.2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9"/>
      <c r="P254" s="365" t="s">
        <v>40</v>
      </c>
      <c r="Q254" s="366"/>
      <c r="R254" s="366"/>
      <c r="S254" s="366"/>
      <c r="T254" s="366"/>
      <c r="U254" s="366"/>
      <c r="V254" s="367"/>
      <c r="W254" s="42" t="s">
        <v>0</v>
      </c>
      <c r="X254" s="43">
        <f>IFERROR(SUMPRODUCT(X252:X252*H252:H252),"0")</f>
        <v>1008</v>
      </c>
      <c r="Y254" s="43">
        <f>IFERROR(SUMPRODUCT(Y252:Y252*H252:H252),"0")</f>
        <v>1008</v>
      </c>
      <c r="Z254" s="42"/>
      <c r="AA254" s="67"/>
      <c r="AB254" s="67"/>
      <c r="AC254" s="67"/>
    </row>
    <row r="255" spans="1:68" ht="14.25" hidden="1" customHeight="1" x14ac:dyDescent="0.25">
      <c r="A255" s="353" t="s">
        <v>150</v>
      </c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66"/>
      <c r="AB255" s="66"/>
      <c r="AC255" s="83"/>
    </row>
    <row r="256" spans="1:68" ht="27" hidden="1" customHeight="1" x14ac:dyDescent="0.25">
      <c r="A256" s="63" t="s">
        <v>353</v>
      </c>
      <c r="B256" s="63" t="s">
        <v>354</v>
      </c>
      <c r="C256" s="36">
        <v>4301136051</v>
      </c>
      <c r="D256" s="354">
        <v>4640242180304</v>
      </c>
      <c r="E256" s="354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356</v>
      </c>
      <c r="B257" s="63" t="s">
        <v>357</v>
      </c>
      <c r="C257" s="36">
        <v>4301136053</v>
      </c>
      <c r="D257" s="354">
        <v>4640242180236</v>
      </c>
      <c r="E257" s="354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4301136052</v>
      </c>
      <c r="D258" s="354">
        <v>4640242180410</v>
      </c>
      <c r="E258" s="354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6"/>
      <c r="R258" s="356"/>
      <c r="S258" s="356"/>
      <c r="T258" s="35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hidden="1" customHeight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hidden="1" customHeight="1" x14ac:dyDescent="0.2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9"/>
      <c r="P260" s="365" t="s">
        <v>40</v>
      </c>
      <c r="Q260" s="366"/>
      <c r="R260" s="366"/>
      <c r="S260" s="366"/>
      <c r="T260" s="366"/>
      <c r="U260" s="366"/>
      <c r="V260" s="367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53" t="s">
        <v>156</v>
      </c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66"/>
      <c r="AB261" s="66"/>
      <c r="AC261" s="83"/>
    </row>
    <row r="262" spans="1:68" ht="37.5" hidden="1" customHeight="1" x14ac:dyDescent="0.25">
      <c r="A262" s="63" t="s">
        <v>360</v>
      </c>
      <c r="B262" s="63" t="s">
        <v>361</v>
      </c>
      <c r="C262" s="36">
        <v>4301135504</v>
      </c>
      <c r="D262" s="354">
        <v>4640242181554</v>
      </c>
      <c r="E262" s="354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4">
        <v>4640242182087</v>
      </c>
      <c r="E263" s="354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4">
        <v>4640242181424</v>
      </c>
      <c r="E264" s="35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156</v>
      </c>
      <c r="Y264" s="55">
        <f t="shared" si="18"/>
        <v>156</v>
      </c>
      <c r="Z264" s="41">
        <f>IFERROR(IF(X264="","",X264*0.0155),"")</f>
        <v>2.4180000000000001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894.66000000000008</v>
      </c>
      <c r="BN264" s="81">
        <f t="shared" si="20"/>
        <v>894.66000000000008</v>
      </c>
      <c r="BO264" s="81">
        <f t="shared" si="21"/>
        <v>1.8571428571428572</v>
      </c>
      <c r="BP264" s="81">
        <f t="shared" si="22"/>
        <v>1.8571428571428572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4">
        <v>4640242181523</v>
      </c>
      <c r="E265" s="35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112</v>
      </c>
      <c r="Y265" s="55">
        <f t="shared" si="18"/>
        <v>112</v>
      </c>
      <c r="Z265" s="41">
        <f t="shared" ref="Z265:Z270" si="23">IFERROR(IF(X265="","",X265*0.00936),"")</f>
        <v>1.0483199999999999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357.50400000000002</v>
      </c>
      <c r="BN265" s="81">
        <f t="shared" si="20"/>
        <v>357.50400000000002</v>
      </c>
      <c r="BO265" s="81">
        <f t="shared" si="21"/>
        <v>0.88888888888888884</v>
      </c>
      <c r="BP265" s="81">
        <f t="shared" si="22"/>
        <v>0.88888888888888884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4">
        <v>4640242181486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378</v>
      </c>
      <c r="Y266" s="55">
        <f t="shared" si="18"/>
        <v>378</v>
      </c>
      <c r="Z266" s="41">
        <f t="shared" si="23"/>
        <v>3.5380799999999999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1471.1759999999999</v>
      </c>
      <c r="BN266" s="81">
        <f t="shared" si="20"/>
        <v>1471.1759999999999</v>
      </c>
      <c r="BO266" s="81">
        <f t="shared" si="21"/>
        <v>3</v>
      </c>
      <c r="BP266" s="81">
        <f t="shared" si="22"/>
        <v>3</v>
      </c>
    </row>
    <row r="267" spans="1:68" ht="37.5" hidden="1" customHeight="1" x14ac:dyDescent="0.25">
      <c r="A267" s="63" t="s">
        <v>372</v>
      </c>
      <c r="B267" s="63" t="s">
        <v>373</v>
      </c>
      <c r="C267" s="36">
        <v>4301135402</v>
      </c>
      <c r="D267" s="354">
        <v>4640242181493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hidden="1" customHeight="1" x14ac:dyDescent="0.25">
      <c r="A268" s="63" t="s">
        <v>374</v>
      </c>
      <c r="B268" s="63" t="s">
        <v>375</v>
      </c>
      <c r="C268" s="36">
        <v>4301135403</v>
      </c>
      <c r="D268" s="354">
        <v>4640242181509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376</v>
      </c>
      <c r="B269" s="63" t="s">
        <v>377</v>
      </c>
      <c r="C269" s="36">
        <v>4301135304</v>
      </c>
      <c r="D269" s="354">
        <v>4640242181240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4301135610</v>
      </c>
      <c r="D270" s="354">
        <v>4640242181318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4301135306</v>
      </c>
      <c r="D271" s="354">
        <v>4640242181387</v>
      </c>
      <c r="E271" s="354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IFERROR(SUM(X262:X271),"0")</f>
        <v>814</v>
      </c>
      <c r="Y272" s="43">
        <f>IFERROR(SUM(Y262:Y271),"0")</f>
        <v>814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9.6083999999999996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IFERROR(SUMPRODUCT(X262:X271*H262:H271),"0")</f>
        <v>3432.6000000000004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6655.2000000000007</v>
      </c>
      <c r="Y274" s="43">
        <f>IFERROR(Y31+Y37+Y44+Y51+Y59+Y64+Y68+Y73+Y79+Y85+Y90+Y96+Y106+Y112+Y123+Y127+Y131+Y136+Y143+Y150+Y156+Y161+Y166+Y171+Y176+Y183+Y188+Y197+Y203+Y210+Y215+Y221+Y227+Y233+Y239+Y243+Y250+Y254+Y260+Y273,"0")</f>
        <v>2742.6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7306.9071999999996</v>
      </c>
      <c r="Y275" s="43">
        <f>IFERROR(SUM(BN22:BN271),"0")</f>
        <v>7306.9071999999996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21</v>
      </c>
      <c r="Y276" s="44">
        <f>ROUNDUP(SUM(BP22:BP271),0)</f>
        <v>21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7831.9071999999996</v>
      </c>
      <c r="Y277" s="43">
        <f>GrossWeightTotalR+PalletQtyTotalR*25</f>
        <v>7831.9071999999996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1806</v>
      </c>
      <c r="Y278" s="43">
        <f>IFERROR(Y30+Y36+Y43+Y50+Y58+Y63+Y67+Y72+Y78+Y84+Y89+Y95+Y105+Y111+Y122+Y126+Y130+Y135+Y142+Y149+Y155+Y160+Y165+Y170+Y175+Y182+Y187+Y196+Y202+Y209+Y214+Y220+Y226+Y232+Y238+Y242+Y249+Y253+Y259+Y272,"0")</f>
        <v>1806</v>
      </c>
      <c r="Z278" s="42"/>
      <c r="AA278" s="67"/>
      <c r="AB278" s="67"/>
      <c r="AC278" s="67"/>
    </row>
    <row r="279" spans="1:32" ht="14.25" hidden="1" customHeight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25.25684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81</v>
      </c>
      <c r="C281" s="463" t="s">
        <v>81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45</v>
      </c>
      <c r="V281" s="463" t="s">
        <v>45</v>
      </c>
      <c r="W281" s="88" t="s">
        <v>273</v>
      </c>
      <c r="X281" s="88" t="s">
        <v>287</v>
      </c>
      <c r="Y281" s="463" t="s">
        <v>301</v>
      </c>
      <c r="Z281" s="463" t="s">
        <v>301</v>
      </c>
      <c r="AA281" s="46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5" t="s">
        <v>10</v>
      </c>
      <c r="B282" s="463" t="s">
        <v>81</v>
      </c>
      <c r="C282" s="463" t="s">
        <v>105</v>
      </c>
      <c r="D282" s="463" t="s">
        <v>111</v>
      </c>
      <c r="E282" s="463" t="s">
        <v>122</v>
      </c>
      <c r="F282" s="463" t="s">
        <v>132</v>
      </c>
      <c r="G282" s="463" t="s">
        <v>143</v>
      </c>
      <c r="H282" s="463" t="s">
        <v>164</v>
      </c>
      <c r="I282" s="463" t="s">
        <v>171</v>
      </c>
      <c r="J282" s="463" t="s">
        <v>175</v>
      </c>
      <c r="K282" s="463" t="s">
        <v>183</v>
      </c>
      <c r="L282" s="463" t="s">
        <v>198</v>
      </c>
      <c r="M282" s="463" t="s">
        <v>204</v>
      </c>
      <c r="N282" s="1"/>
      <c r="O282" s="463" t="s">
        <v>229</v>
      </c>
      <c r="P282" s="463" t="s">
        <v>234</v>
      </c>
      <c r="Q282" s="463" t="s">
        <v>243</v>
      </c>
      <c r="R282" s="463" t="s">
        <v>252</v>
      </c>
      <c r="S282" s="463" t="s">
        <v>257</v>
      </c>
      <c r="T282" s="463" t="s">
        <v>261</v>
      </c>
      <c r="U282" s="463" t="s">
        <v>264</v>
      </c>
      <c r="V282" s="463" t="s">
        <v>269</v>
      </c>
      <c r="W282" s="463" t="s">
        <v>274</v>
      </c>
      <c r="X282" s="463" t="s">
        <v>288</v>
      </c>
      <c r="Y282" s="463" t="s">
        <v>302</v>
      </c>
      <c r="Z282" s="463" t="s">
        <v>317</v>
      </c>
      <c r="AA282" s="463" t="s">
        <v>321</v>
      </c>
      <c r="AB282" s="463" t="s">
        <v>328</v>
      </c>
      <c r="AC282" s="463" t="s">
        <v>333</v>
      </c>
      <c r="AD282" s="463" t="s">
        <v>337</v>
      </c>
      <c r="AE282" s="463" t="s">
        <v>344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189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0</v>
      </c>
      <c r="J284" s="52">
        <f>IFERROR(X93*H93,"0")+IFERROR(X94*H94,"0")</f>
        <v>352.8</v>
      </c>
      <c r="K284" s="52">
        <f>IFERROR(X99*H99,"0")+IFERROR(X100*H100,"0")+IFERROR(X101*H101,"0")+IFERROR(X102*H102,"0")+IFERROR(X103*H103,"0")+IFERROR(X104*H104,"0")</f>
        <v>403.2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76.800000000000011</v>
      </c>
      <c r="N284" s="1"/>
      <c r="O284" s="52">
        <f>IFERROR(X134*H134,"0")</f>
        <v>0</v>
      </c>
      <c r="P284" s="52">
        <f>IFERROR(X139*H139,"0")+IFERROR(X140*H140,"0")+IFERROR(X141*H141,"0")</f>
        <v>336</v>
      </c>
      <c r="Q284" s="52">
        <f>IFERROR(X146*H146,"0")+IFERROR(X147*H147,"0")+IFERROR(X148*H148,"0")</f>
        <v>84</v>
      </c>
      <c r="R284" s="52">
        <f>IFERROR(X153*H153,"0")+IFERROR(X154*H154,"0")</f>
        <v>235.2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117.6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378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4440.6000000000004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76.800000000000011</v>
      </c>
      <c r="B287" s="72">
        <f>SUMPRODUCT(--(BB:BB="ПГП"),--(W:W="кор"),H:H,Y:Y)+SUMPRODUCT(--(BB:BB="ПГП"),--(W:W="кг"),Y:Y)</f>
        <v>6578.4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806,00"/>
        <filter val="112,00"/>
        <filter val="117,60"/>
        <filter val="12,00"/>
        <filter val="126,00"/>
        <filter val="14,00"/>
        <filter val="140,00"/>
        <filter val="156,00"/>
        <filter val="168,00"/>
        <filter val="189,00"/>
        <filter val="21"/>
        <filter val="235,20"/>
        <filter val="28,00"/>
        <filter val="3 432,60"/>
        <filter val="336,00"/>
        <filter val="352,80"/>
        <filter val="378,00"/>
        <filter val="403,20"/>
        <filter val="42,00"/>
        <filter val="56,00"/>
        <filter val="6 655,20"/>
        <filter val="7 306,91"/>
        <filter val="7 831,91"/>
        <filter val="70,00"/>
        <filter val="76,80"/>
        <filter val="814,00"/>
        <filter val="84,00"/>
        <filter val="98,00"/>
      </filters>
    </filterColumn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