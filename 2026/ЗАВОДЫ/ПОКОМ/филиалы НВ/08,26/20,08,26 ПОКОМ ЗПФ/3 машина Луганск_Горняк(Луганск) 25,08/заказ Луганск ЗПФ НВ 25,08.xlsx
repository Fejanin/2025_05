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40487C52-FD2B-4A47-A54E-EEF90B2182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Y278" i="1"/>
  <c r="X278" i="1"/>
  <c r="Z277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Y27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Y265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Z254" i="1" s="1"/>
  <c r="Y252" i="1"/>
  <c r="P252" i="1"/>
  <c r="X248" i="1"/>
  <c r="Z247" i="1"/>
  <c r="X247" i="1"/>
  <c r="BO246" i="1"/>
  <c r="BM246" i="1"/>
  <c r="Z246" i="1"/>
  <c r="Y246" i="1"/>
  <c r="P246" i="1"/>
  <c r="Y244" i="1"/>
  <c r="X244" i="1"/>
  <c r="Z243" i="1"/>
  <c r="X243" i="1"/>
  <c r="BO242" i="1"/>
  <c r="BM242" i="1"/>
  <c r="Z242" i="1"/>
  <c r="Y242" i="1"/>
  <c r="P242" i="1"/>
  <c r="X238" i="1"/>
  <c r="Z237" i="1"/>
  <c r="X237" i="1"/>
  <c r="BO236" i="1"/>
  <c r="BM236" i="1"/>
  <c r="Z236" i="1"/>
  <c r="Y236" i="1"/>
  <c r="P236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X217" i="1"/>
  <c r="Z216" i="1"/>
  <c r="X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Y206" i="1" s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Z193" i="1" s="1"/>
  <c r="Y189" i="1"/>
  <c r="P189" i="1"/>
  <c r="X185" i="1"/>
  <c r="Z184" i="1"/>
  <c r="X184" i="1"/>
  <c r="BO183" i="1"/>
  <c r="BM183" i="1"/>
  <c r="Z183" i="1"/>
  <c r="Y183" i="1"/>
  <c r="P183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Z157" i="1" s="1"/>
  <c r="Y155" i="1"/>
  <c r="P155" i="1"/>
  <c r="X152" i="1"/>
  <c r="X151" i="1"/>
  <c r="BO150" i="1"/>
  <c r="BM150" i="1"/>
  <c r="Z150" i="1"/>
  <c r="Y150" i="1"/>
  <c r="P150" i="1"/>
  <c r="BP149" i="1"/>
  <c r="BO149" i="1"/>
  <c r="BN149" i="1"/>
  <c r="BM149" i="1"/>
  <c r="Z149" i="1"/>
  <c r="Z151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Z143" i="1"/>
  <c r="Y143" i="1"/>
  <c r="Y146" i="1" s="1"/>
  <c r="P143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BO136" i="1"/>
  <c r="BM136" i="1"/>
  <c r="Z136" i="1"/>
  <c r="Y136" i="1"/>
  <c r="Y139" i="1" s="1"/>
  <c r="P136" i="1"/>
  <c r="X134" i="1"/>
  <c r="X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BP130" i="1" s="1"/>
  <c r="P130" i="1"/>
  <c r="BP129" i="1"/>
  <c r="BO129" i="1"/>
  <c r="BN129" i="1"/>
  <c r="BM129" i="1"/>
  <c r="Z129" i="1"/>
  <c r="Z133" i="1" s="1"/>
  <c r="Y129" i="1"/>
  <c r="Y133" i="1" s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7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3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3" i="1" s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Y280" i="1" s="1"/>
  <c r="BN25" i="1"/>
  <c r="BN27" i="1"/>
  <c r="BN29" i="1"/>
  <c r="X279" i="1"/>
  <c r="BN34" i="1"/>
  <c r="BP34" i="1"/>
  <c r="Y281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Z284" i="1" s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82" i="1" l="1"/>
  <c r="X282" i="1"/>
  <c r="C292" i="1"/>
  <c r="Y279" i="1"/>
  <c r="B292" i="1" s="1"/>
  <c r="A292" i="1" l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<sst xmlns="http://schemas.openxmlformats.org/spreadsheetml/2006/main" count="1283" uniqueCount="414">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</sst>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71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0" t="s">
        <v>12</v>
      </c>
      <c r="W5" s="359"/>
      <c r="AB5" s="52"/>
      <c r="AC5" s="52"/>
      <c r="AD5" s="52"/>
      <c r="AE5" s="52"/>
    </row>
    <row r="6" spans="1:32" s="273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83" t="s">
        <v>15</v>
      </c>
      <c r="U6" s="379"/>
      <c r="V6" s="405" t="s">
        <v>16</v>
      </c>
      <c r="W6" s="311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0"/>
      <c r="U7" s="379"/>
      <c r="V7" s="406"/>
      <c r="W7" s="407"/>
      <c r="AB7" s="52"/>
      <c r="AC7" s="52"/>
      <c r="AD7" s="52"/>
      <c r="AE7" s="52"/>
    </row>
    <row r="8" spans="1:32" s="273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0"/>
      <c r="U8" s="379"/>
      <c r="V8" s="406"/>
      <c r="W8" s="407"/>
      <c r="AB8" s="52"/>
      <c r="AC8" s="52"/>
      <c r="AD8" s="52"/>
      <c r="AE8" s="52"/>
    </row>
    <row r="9" spans="1:32" s="273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6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4"/>
      <c r="P9" s="27" t="s">
        <v>19</v>
      </c>
      <c r="Q9" s="355"/>
      <c r="R9" s="356"/>
      <c r="T9" s="290"/>
      <c r="U9" s="379"/>
      <c r="V9" s="408"/>
      <c r="W9" s="409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6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2" t="str">
        <f>IFERROR(VLOOKUP($D$10,Proxy,2,FALSE),"")</f>
        <v/>
      </c>
      <c r="I10" s="290"/>
      <c r="J10" s="290"/>
      <c r="K10" s="290"/>
      <c r="L10" s="290"/>
      <c r="M10" s="290"/>
      <c r="N10" s="272"/>
      <c r="P10" s="27" t="s">
        <v>20</v>
      </c>
      <c r="Q10" s="385"/>
      <c r="R10" s="386"/>
      <c r="U10" s="24" t="s">
        <v>21</v>
      </c>
      <c r="V10" s="310" t="s">
        <v>22</v>
      </c>
      <c r="W10" s="311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8"/>
      <c r="R11" s="359"/>
      <c r="U11" s="24" t="s">
        <v>25</v>
      </c>
      <c r="V11" s="431" t="s">
        <v>26</v>
      </c>
      <c r="W11" s="356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5"/>
      <c r="U12" s="24"/>
      <c r="V12" s="296"/>
      <c r="W12" s="290"/>
      <c r="AB12" s="52"/>
      <c r="AC12" s="52"/>
      <c r="AD12" s="52"/>
      <c r="AE12" s="52"/>
    </row>
    <row r="13" spans="1:32" s="273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7"/>
      <c r="P13" s="27" t="s">
        <v>30</v>
      </c>
      <c r="Q13" s="431"/>
      <c r="R13" s="356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3" t="s">
        <v>49</v>
      </c>
      <c r="V17" s="328"/>
      <c r="W17" s="304" t="s">
        <v>50</v>
      </c>
      <c r="X17" s="304" t="s">
        <v>51</v>
      </c>
      <c r="Y17" s="464" t="s">
        <v>52</v>
      </c>
      <c r="Z17" s="413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5"/>
      <c r="Z18" s="414"/>
      <c r="AA18" s="404"/>
      <c r="AB18" s="404"/>
      <c r="AC18" s="404"/>
      <c r="AD18" s="446"/>
      <c r="AE18" s="447"/>
      <c r="AF18" s="448"/>
      <c r="AG18" s="69"/>
      <c r="BD18" s="68"/>
    </row>
    <row r="19" spans="1:68" ht="27.75" customHeight="1" x14ac:dyDescent="0.2">
      <c r="A19" s="350" t="s">
        <v>61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49"/>
      <c r="AB19" s="49"/>
      <c r="AC19" s="49"/>
    </row>
    <row r="20" spans="1:68" ht="16.5" customHeight="1" x14ac:dyDescent="0.25">
      <c r="A20" s="315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308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0"/>
      <c r="AB21" s="270"/>
      <c r="AC21" s="270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5"/>
      <c r="V29" s="35"/>
      <c r="W29" s="36" t="s">
        <v>68</v>
      </c>
      <c r="X29" s="276">
        <v>12</v>
      </c>
      <c r="Y29" s="277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78">
        <f>IFERROR(SUMPRODUCT(X22:X29*H22:H29),"0")</f>
        <v>172.8</v>
      </c>
      <c r="Y31" s="278">
        <f>IFERROR(SUMPRODUCT(Y22:Y29*H22:H29),"0")</f>
        <v>172.8</v>
      </c>
      <c r="Z31" s="38"/>
      <c r="AA31" s="279"/>
      <c r="AB31" s="279"/>
      <c r="AC31" s="279"/>
    </row>
    <row r="32" spans="1:68" ht="16.5" customHeight="1" x14ac:dyDescent="0.25">
      <c r="A32" s="315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1"/>
      <c r="AB32" s="271"/>
      <c r="AC32" s="271"/>
    </row>
    <row r="33" spans="1:68" ht="14.25" customHeight="1" x14ac:dyDescent="0.25">
      <c r="A33" s="308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0"/>
      <c r="AB33" s="270"/>
      <c r="AC33" s="270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customHeight="1" x14ac:dyDescent="0.2">
      <c r="A38" s="350" t="s">
        <v>95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49"/>
      <c r="AB38" s="49"/>
      <c r="AC38" s="49"/>
    </row>
    <row r="39" spans="1:68" ht="16.5" customHeight="1" x14ac:dyDescent="0.25">
      <c r="A39" s="315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1"/>
      <c r="AB39" s="271"/>
      <c r="AC39" s="271"/>
    </row>
    <row r="40" spans="1:68" ht="14.25" customHeight="1" x14ac:dyDescent="0.25">
      <c r="A40" s="308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5"/>
      <c r="V41" s="35"/>
      <c r="W41" s="36" t="s">
        <v>68</v>
      </c>
      <c r="X41" s="276">
        <v>0</v>
      </c>
      <c r="Y41" s="277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5"/>
      <c r="V42" s="35"/>
      <c r="W42" s="36" t="s">
        <v>68</v>
      </c>
      <c r="X42" s="276">
        <v>0</v>
      </c>
      <c r="Y42" s="277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78">
        <f>IFERROR(SUMPRODUCT(X41:X42*H41:H42),"0")</f>
        <v>0</v>
      </c>
      <c r="Y44" s="278">
        <f>IFERROR(SUMPRODUCT(Y41:Y42*H41:H42),"0")</f>
        <v>0</v>
      </c>
      <c r="Z44" s="38"/>
      <c r="AA44" s="279"/>
      <c r="AB44" s="279"/>
      <c r="AC44" s="279"/>
    </row>
    <row r="45" spans="1:68" ht="16.5" customHeight="1" x14ac:dyDescent="0.25">
      <c r="A45" s="315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1"/>
      <c r="AB45" s="271"/>
      <c r="AC45" s="271"/>
    </row>
    <row r="46" spans="1:68" ht="14.25" customHeight="1" x14ac:dyDescent="0.25">
      <c r="A46" s="308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5"/>
      <c r="V47" s="35"/>
      <c r="W47" s="36" t="s">
        <v>68</v>
      </c>
      <c r="X47" s="276">
        <v>24</v>
      </c>
      <c r="Y47" s="277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78">
        <f>IFERROR(SUM(X47:X48),"0")</f>
        <v>36</v>
      </c>
      <c r="Y49" s="278">
        <f>IFERROR(SUM(Y47:Y48),"0")</f>
        <v>36</v>
      </c>
      <c r="Z49" s="278">
        <f>IFERROR(IF(Z47="",0,Z47),"0")+IFERROR(IF(Z48="",0,Z48),"0")</f>
        <v>0.55800000000000005</v>
      </c>
      <c r="AA49" s="279"/>
      <c r="AB49" s="279"/>
      <c r="AC49" s="279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78">
        <f>IFERROR(SUMPRODUCT(X47:X48*H47:H48),"0")</f>
        <v>201.59999999999997</v>
      </c>
      <c r="Y50" s="278">
        <f>IFERROR(SUMPRODUCT(Y47:Y48*H47:H48),"0")</f>
        <v>201.59999999999997</v>
      </c>
      <c r="Z50" s="38"/>
      <c r="AA50" s="279"/>
      <c r="AB50" s="279"/>
      <c r="AC50" s="279"/>
    </row>
    <row r="51" spans="1:68" ht="16.5" customHeight="1" x14ac:dyDescent="0.25">
      <c r="A51" s="315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1"/>
      <c r="AB51" s="271"/>
      <c r="AC51" s="271"/>
    </row>
    <row r="52" spans="1:68" ht="14.25" customHeight="1" x14ac:dyDescent="0.25">
      <c r="A52" s="308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5"/>
      <c r="V53" s="35"/>
      <c r="W53" s="36" t="s">
        <v>68</v>
      </c>
      <c r="X53" s="276">
        <v>0</v>
      </c>
      <c r="Y53" s="277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5"/>
      <c r="V54" s="35"/>
      <c r="W54" s="36" t="s">
        <v>68</v>
      </c>
      <c r="X54" s="276">
        <v>0</v>
      </c>
      <c r="Y54" s="277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5"/>
      <c r="V56" s="35"/>
      <c r="W56" s="36" t="s">
        <v>68</v>
      </c>
      <c r="X56" s="276">
        <v>0</v>
      </c>
      <c r="Y56" s="277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78">
        <f>IFERROR(SUMPRODUCT(X53:X56*H53:H56),"0")</f>
        <v>0</v>
      </c>
      <c r="Y58" s="278">
        <f>IFERROR(SUMPRODUCT(Y53:Y56*H53:H56),"0")</f>
        <v>0</v>
      </c>
      <c r="Z58" s="38"/>
      <c r="AA58" s="279"/>
      <c r="AB58" s="279"/>
      <c r="AC58" s="279"/>
    </row>
    <row r="59" spans="1:68" ht="16.5" customHeight="1" x14ac:dyDescent="0.25">
      <c r="A59" s="315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1"/>
      <c r="AB59" s="271"/>
      <c r="AC59" s="271"/>
    </row>
    <row r="60" spans="1:68" ht="14.25" customHeight="1" x14ac:dyDescent="0.25">
      <c r="A60" s="308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0"/>
      <c r="AB60" s="270"/>
      <c r="AC60" s="270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customHeight="1" x14ac:dyDescent="0.25">
      <c r="A64" s="308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0"/>
      <c r="AB64" s="270"/>
      <c r="AC64" s="270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customHeight="1" x14ac:dyDescent="0.25">
      <c r="A69" s="308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0"/>
      <c r="AB69" s="270"/>
      <c r="AC69" s="270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customHeight="1" x14ac:dyDescent="0.25">
      <c r="A75" s="315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1"/>
      <c r="AB75" s="271"/>
      <c r="AC75" s="271"/>
    </row>
    <row r="76" spans="1:68" ht="14.25" customHeight="1" x14ac:dyDescent="0.25">
      <c r="A76" s="308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0"/>
      <c r="AB76" s="270"/>
      <c r="AC76" s="270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5"/>
      <c r="V78" s="35"/>
      <c r="W78" s="36" t="s">
        <v>68</v>
      </c>
      <c r="X78" s="276">
        <v>84</v>
      </c>
      <c r="Y78" s="277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78">
        <f>IFERROR(SUM(X77:X78),"0")</f>
        <v>84</v>
      </c>
      <c r="Y79" s="278">
        <f>IFERROR(SUM(Y77:Y78),"0")</f>
        <v>84</v>
      </c>
      <c r="Z79" s="278">
        <f>IFERROR(IF(Z77="",0,Z77),"0")+IFERROR(IF(Z78="",0,Z78),"0")</f>
        <v>0.72743999999999998</v>
      </c>
      <c r="AA79" s="279"/>
      <c r="AB79" s="279"/>
      <c r="AC79" s="279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78">
        <f>IFERROR(SUMPRODUCT(X77:X78*H77:H78),"0")</f>
        <v>420</v>
      </c>
      <c r="Y80" s="278">
        <f>IFERROR(SUMPRODUCT(Y77:Y78*H77:H78),"0")</f>
        <v>420</v>
      </c>
      <c r="Z80" s="38"/>
      <c r="AA80" s="279"/>
      <c r="AB80" s="279"/>
      <c r="AC80" s="279"/>
    </row>
    <row r="81" spans="1:68" ht="16.5" customHeight="1" x14ac:dyDescent="0.25">
      <c r="A81" s="315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1"/>
      <c r="AB81" s="271"/>
      <c r="AC81" s="271"/>
    </row>
    <row r="82" spans="1:68" ht="14.25" customHeight="1" x14ac:dyDescent="0.25">
      <c r="A82" s="308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5"/>
      <c r="V83" s="35"/>
      <c r="W83" s="36" t="s">
        <v>68</v>
      </c>
      <c r="X83" s="276">
        <v>0</v>
      </c>
      <c r="Y83" s="277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78">
        <f>IFERROR(SUM(X83:X83),"0")</f>
        <v>0</v>
      </c>
      <c r="Y84" s="278">
        <f>IFERROR(SUM(Y83:Y83),"0")</f>
        <v>0</v>
      </c>
      <c r="Z84" s="278">
        <f>IFERROR(IF(Z83="",0,Z83),"0")</f>
        <v>0</v>
      </c>
      <c r="AA84" s="279"/>
      <c r="AB84" s="279"/>
      <c r="AC84" s="279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78">
        <f>IFERROR(SUMPRODUCT(X83:X83*H83:H83),"0")</f>
        <v>0</v>
      </c>
      <c r="Y85" s="278">
        <f>IFERROR(SUMPRODUCT(Y83:Y83*H83:H83),"0")</f>
        <v>0</v>
      </c>
      <c r="Z85" s="38"/>
      <c r="AA85" s="279"/>
      <c r="AB85" s="279"/>
      <c r="AC85" s="279"/>
    </row>
    <row r="86" spans="1:68" ht="16.5" customHeight="1" x14ac:dyDescent="0.25">
      <c r="A86" s="315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1"/>
      <c r="AB86" s="271"/>
      <c r="AC86" s="271"/>
    </row>
    <row r="87" spans="1:68" ht="14.25" customHeight="1" x14ac:dyDescent="0.25">
      <c r="A87" s="308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5"/>
      <c r="V88" s="35"/>
      <c r="W88" s="36" t="s">
        <v>68</v>
      </c>
      <c r="X88" s="276">
        <v>42</v>
      </c>
      <c r="Y88" s="277">
        <f>IFERROR(IF(X88="","",X88),"")</f>
        <v>42</v>
      </c>
      <c r="Z88" s="37">
        <f>IFERROR(IF(X88="","",X88*0.01788),"")</f>
        <v>0.75095999999999996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5"/>
      <c r="V89" s="35"/>
      <c r="W89" s="36" t="s">
        <v>68</v>
      </c>
      <c r="X89" s="276">
        <v>42</v>
      </c>
      <c r="Y89" s="277">
        <f>IFERROR(IF(X89="","",X89),"")</f>
        <v>42</v>
      </c>
      <c r="Z89" s="37">
        <f>IFERROR(IF(X89="","",X89*0.01788),"")</f>
        <v>0.75095999999999996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78">
        <f>IFERROR(SUMPRODUCT(X88:X89*H88:H89),"0")</f>
        <v>302.40000000000003</v>
      </c>
      <c r="Y91" s="278">
        <f>IFERROR(SUMPRODUCT(Y88:Y89*H88:H89),"0")</f>
        <v>302.40000000000003</v>
      </c>
      <c r="Z91" s="38"/>
      <c r="AA91" s="279"/>
      <c r="AB91" s="279"/>
      <c r="AC91" s="279"/>
    </row>
    <row r="92" spans="1:68" ht="16.5" customHeight="1" x14ac:dyDescent="0.25">
      <c r="A92" s="315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1"/>
      <c r="AB92" s="271"/>
      <c r="AC92" s="271"/>
    </row>
    <row r="93" spans="1:68" ht="14.25" customHeight="1" x14ac:dyDescent="0.25">
      <c r="A93" s="308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5"/>
      <c r="V94" s="35"/>
      <c r="W94" s="36" t="s">
        <v>68</v>
      </c>
      <c r="X94" s="276">
        <v>42</v>
      </c>
      <c r="Y94" s="277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92">
        <v>4620207491003</v>
      </c>
      <c r="E95" s="293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5"/>
      <c r="V95" s="35"/>
      <c r="W95" s="36" t="s">
        <v>68</v>
      </c>
      <c r="X95" s="276">
        <v>0</v>
      </c>
      <c r="Y95" s="277">
        <f t="shared" si="6"/>
        <v>0</v>
      </c>
      <c r="Z95" s="37">
        <f t="shared" si="7"/>
        <v>0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92">
        <v>4620207491034</v>
      </c>
      <c r="E96" s="293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5"/>
      <c r="V96" s="35"/>
      <c r="W96" s="36" t="s">
        <v>68</v>
      </c>
      <c r="X96" s="276">
        <v>84</v>
      </c>
      <c r="Y96" s="277">
        <f t="shared" si="6"/>
        <v>84</v>
      </c>
      <c r="Z96" s="37">
        <f t="shared" si="7"/>
        <v>1.5019199999999999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301.0224</v>
      </c>
      <c r="BN96" s="67">
        <f t="shared" si="9"/>
        <v>301.0224</v>
      </c>
      <c r="BO96" s="67">
        <f t="shared" si="10"/>
        <v>1.2</v>
      </c>
      <c r="BP96" s="67">
        <f t="shared" si="11"/>
        <v>1.2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92">
        <v>4620207491010</v>
      </c>
      <c r="E97" s="293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5"/>
      <c r="V97" s="35"/>
      <c r="W97" s="36" t="s">
        <v>68</v>
      </c>
      <c r="X97" s="276">
        <v>28</v>
      </c>
      <c r="Y97" s="277">
        <f t="shared" si="6"/>
        <v>28</v>
      </c>
      <c r="Z97" s="37">
        <f t="shared" si="7"/>
        <v>0.50063999999999997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100.3408</v>
      </c>
      <c r="BN97" s="67">
        <f t="shared" si="9"/>
        <v>100.3408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92">
        <v>4607111035028</v>
      </c>
      <c r="E98" s="293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5"/>
      <c r="V98" s="35"/>
      <c r="W98" s="36" t="s">
        <v>68</v>
      </c>
      <c r="X98" s="276">
        <v>14</v>
      </c>
      <c r="Y98" s="277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5"/>
      <c r="V99" s="35"/>
      <c r="W99" s="36" t="s">
        <v>68</v>
      </c>
      <c r="X99" s="276">
        <v>0</v>
      </c>
      <c r="Y99" s="277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78">
        <f>IFERROR(SUM(X94:X99),"0")</f>
        <v>168</v>
      </c>
      <c r="Y100" s="278">
        <f>IFERROR(SUM(Y94:Y99),"0")</f>
        <v>168</v>
      </c>
      <c r="Z100" s="278">
        <f>IFERROR(IF(Z94="",0,Z94),"0")+IFERROR(IF(Z95="",0,Z95),"0")+IFERROR(IF(Z96="",0,Z96),"0")+IFERROR(IF(Z97="",0,Z97),"0")+IFERROR(IF(Z98="",0,Z98),"0")+IFERROR(IF(Z99="",0,Z99),"0")</f>
        <v>3.0038399999999998</v>
      </c>
      <c r="AA100" s="279"/>
      <c r="AB100" s="279"/>
      <c r="AC100" s="279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78">
        <f>IFERROR(SUMPRODUCT(X94:X99*H94:H99),"0")</f>
        <v>497.28</v>
      </c>
      <c r="Y101" s="278">
        <f>IFERROR(SUMPRODUCT(Y94:Y99*H94:H99),"0")</f>
        <v>497.28</v>
      </c>
      <c r="Z101" s="38"/>
      <c r="AA101" s="279"/>
      <c r="AB101" s="279"/>
      <c r="AC101" s="279"/>
    </row>
    <row r="102" spans="1:68" ht="16.5" customHeight="1" x14ac:dyDescent="0.25">
      <c r="A102" s="315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1"/>
      <c r="AB102" s="271"/>
      <c r="AC102" s="271"/>
    </row>
    <row r="103" spans="1:68" ht="14.25" customHeight="1" x14ac:dyDescent="0.25">
      <c r="A103" s="308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92">
        <v>4607025784012</v>
      </c>
      <c r="E104" s="293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5"/>
      <c r="V104" s="35"/>
      <c r="W104" s="36" t="s">
        <v>68</v>
      </c>
      <c r="X104" s="276">
        <v>14</v>
      </c>
      <c r="Y104" s="277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92">
        <v>4607025784319</v>
      </c>
      <c r="E105" s="293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3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5"/>
      <c r="V105" s="35"/>
      <c r="W105" s="36" t="s">
        <v>68</v>
      </c>
      <c r="X105" s="276">
        <v>42</v>
      </c>
      <c r="Y105" s="277">
        <f>IFERROR(IF(X105="","",X105),"")</f>
        <v>42</v>
      </c>
      <c r="Z105" s="37">
        <f>IFERROR(IF(X105="","",X105*0.01788),"")</f>
        <v>0.75095999999999996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178.24799999999999</v>
      </c>
      <c r="BN105" s="67">
        <f>IFERROR(Y105*I105,"0")</f>
        <v>178.24799999999999</v>
      </c>
      <c r="BO105" s="67">
        <f>IFERROR(X105/J105,"0")</f>
        <v>0.6</v>
      </c>
      <c r="BP105" s="67">
        <f>IFERROR(Y105/J105,"0")</f>
        <v>0.6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78">
        <f>IFERROR(SUM(X104:X105),"0")</f>
        <v>56</v>
      </c>
      <c r="Y106" s="278">
        <f>IFERROR(SUM(Y104:Y105),"0")</f>
        <v>56</v>
      </c>
      <c r="Z106" s="278">
        <f>IFERROR(IF(Z104="",0,Z104),"0")+IFERROR(IF(Z105="",0,Z105),"0")</f>
        <v>0.8819999999999999</v>
      </c>
      <c r="AA106" s="279"/>
      <c r="AB106" s="279"/>
      <c r="AC106" s="279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78">
        <f>IFERROR(SUMPRODUCT(X104:X105*H104:H105),"0")</f>
        <v>181.44000000000003</v>
      </c>
      <c r="Y107" s="278">
        <f>IFERROR(SUMPRODUCT(Y104:Y105*H104:H105),"0")</f>
        <v>181.44000000000003</v>
      </c>
      <c r="Z107" s="38"/>
      <c r="AA107" s="279"/>
      <c r="AB107" s="279"/>
      <c r="AC107" s="279"/>
    </row>
    <row r="108" spans="1:68" ht="16.5" customHeight="1" x14ac:dyDescent="0.25">
      <c r="A108" s="315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1"/>
      <c r="AB108" s="271"/>
      <c r="AC108" s="271"/>
    </row>
    <row r="109" spans="1:68" ht="14.25" customHeight="1" x14ac:dyDescent="0.25">
      <c r="A109" s="308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5"/>
      <c r="V110" s="35"/>
      <c r="W110" s="36" t="s">
        <v>68</v>
      </c>
      <c r="X110" s="276">
        <v>0</v>
      </c>
      <c r="Y110" s="277">
        <f t="shared" ref="Y110:Y116" si="12">IFERROR(IF(X110="","",X110),"")</f>
        <v>0</v>
      </c>
      <c r="Z110" s="37">
        <f t="shared" ref="Z110:Z116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0</v>
      </c>
      <c r="BN110" s="67">
        <f t="shared" ref="BN110:BN116" si="15">IFERROR(Y110*I110,"0")</f>
        <v>0</v>
      </c>
      <c r="BO110" s="67">
        <f t="shared" ref="BO110:BO116" si="16">IFERROR(X110/J110,"0")</f>
        <v>0</v>
      </c>
      <c r="BP110" s="67">
        <f t="shared" ref="BP110:BP116" si="17">IFERROR(Y110/J110,"0")</f>
        <v>0</v>
      </c>
    </row>
    <row r="111" spans="1:68" ht="27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92">
        <v>4607111039262</v>
      </c>
      <c r="E112" s="293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5"/>
      <c r="V112" s="35"/>
      <c r="W112" s="36" t="s">
        <v>68</v>
      </c>
      <c r="X112" s="276">
        <v>12</v>
      </c>
      <c r="Y112" s="277">
        <f t="shared" si="12"/>
        <v>12</v>
      </c>
      <c r="Z112" s="37">
        <f t="shared" si="13"/>
        <v>0.186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192</v>
      </c>
      <c r="B113" s="54" t="s">
        <v>193</v>
      </c>
      <c r="C113" s="32">
        <v>4301071038</v>
      </c>
      <c r="D113" s="292">
        <v>4607111039248</v>
      </c>
      <c r="E113" s="293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194</v>
      </c>
      <c r="B114" s="54" t="s">
        <v>195</v>
      </c>
      <c r="C114" s="32">
        <v>4301070979</v>
      </c>
      <c r="D114" s="292">
        <v>4607111037145</v>
      </c>
      <c r="E114" s="293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2">
        <v>4301071049</v>
      </c>
      <c r="D115" s="292">
        <v>4607111039293</v>
      </c>
      <c r="E115" s="293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92">
        <v>4607111039279</v>
      </c>
      <c r="E116" s="293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5"/>
      <c r="V116" s="35"/>
      <c r="W116" s="36" t="s">
        <v>68</v>
      </c>
      <c r="X116" s="276">
        <v>0</v>
      </c>
      <c r="Y116" s="277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89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1"/>
      <c r="P117" s="285" t="s">
        <v>87</v>
      </c>
      <c r="Q117" s="286"/>
      <c r="R117" s="286"/>
      <c r="S117" s="286"/>
      <c r="T117" s="286"/>
      <c r="U117" s="286"/>
      <c r="V117" s="287"/>
      <c r="W117" s="38" t="s">
        <v>68</v>
      </c>
      <c r="X117" s="278">
        <f>IFERROR(SUM(X110:X116),"0")</f>
        <v>12</v>
      </c>
      <c r="Y117" s="278">
        <f>IFERROR(SUM(Y110:Y116),"0")</f>
        <v>12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0.186</v>
      </c>
      <c r="AA117" s="279"/>
      <c r="AB117" s="279"/>
      <c r="AC117" s="279"/>
    </row>
    <row r="118" spans="1:68" x14ac:dyDescent="0.2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5" t="s">
        <v>87</v>
      </c>
      <c r="Q118" s="286"/>
      <c r="R118" s="286"/>
      <c r="S118" s="286"/>
      <c r="T118" s="286"/>
      <c r="U118" s="286"/>
      <c r="V118" s="287"/>
      <c r="W118" s="38" t="s">
        <v>88</v>
      </c>
      <c r="X118" s="278">
        <f>IFERROR(SUMPRODUCT(X110:X116*H110:H116),"0")</f>
        <v>76.800000000000011</v>
      </c>
      <c r="Y118" s="278">
        <f>IFERROR(SUMPRODUCT(Y110:Y116*H110:H116),"0")</f>
        <v>76.800000000000011</v>
      </c>
      <c r="Z118" s="38"/>
      <c r="AA118" s="279"/>
      <c r="AB118" s="279"/>
      <c r="AC118" s="279"/>
    </row>
    <row r="119" spans="1:68" ht="14.25" customHeight="1" x14ac:dyDescent="0.25">
      <c r="A119" s="308" t="s">
        <v>135</v>
      </c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70"/>
      <c r="AB119" s="270"/>
      <c r="AC119" s="270"/>
    </row>
    <row r="120" spans="1:68" ht="27" customHeight="1" x14ac:dyDescent="0.25">
      <c r="A120" s="54" t="s">
        <v>201</v>
      </c>
      <c r="B120" s="54" t="s">
        <v>202</v>
      </c>
      <c r="C120" s="32">
        <v>4301135826</v>
      </c>
      <c r="D120" s="292">
        <v>4620207490983</v>
      </c>
      <c r="E120" s="293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289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1"/>
      <c r="P121" s="285" t="s">
        <v>87</v>
      </c>
      <c r="Q121" s="286"/>
      <c r="R121" s="286"/>
      <c r="S121" s="286"/>
      <c r="T121" s="286"/>
      <c r="U121" s="286"/>
      <c r="V121" s="287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5" t="s">
        <v>87</v>
      </c>
      <c r="Q122" s="286"/>
      <c r="R122" s="286"/>
      <c r="S122" s="286"/>
      <c r="T122" s="286"/>
      <c r="U122" s="286"/>
      <c r="V122" s="287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customHeight="1" x14ac:dyDescent="0.25">
      <c r="A123" s="308" t="s">
        <v>204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70"/>
      <c r="AB123" s="270"/>
      <c r="AC123" s="270"/>
    </row>
    <row r="124" spans="1:68" ht="27" customHeight="1" x14ac:dyDescent="0.25">
      <c r="A124" s="54" t="s">
        <v>205</v>
      </c>
      <c r="B124" s="54" t="s">
        <v>206</v>
      </c>
      <c r="C124" s="32">
        <v>4301071094</v>
      </c>
      <c r="D124" s="292">
        <v>4620207491140</v>
      </c>
      <c r="E124" s="293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9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1"/>
      <c r="P125" s="285" t="s">
        <v>87</v>
      </c>
      <c r="Q125" s="286"/>
      <c r="R125" s="286"/>
      <c r="S125" s="286"/>
      <c r="T125" s="286"/>
      <c r="U125" s="286"/>
      <c r="V125" s="287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5" t="s">
        <v>87</v>
      </c>
      <c r="Q126" s="286"/>
      <c r="R126" s="286"/>
      <c r="S126" s="286"/>
      <c r="T126" s="286"/>
      <c r="U126" s="286"/>
      <c r="V126" s="287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customHeight="1" x14ac:dyDescent="0.25">
      <c r="A127" s="315" t="s">
        <v>208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1"/>
      <c r="AB127" s="271"/>
      <c r="AC127" s="271"/>
    </row>
    <row r="128" spans="1:68" ht="14.25" customHeight="1" x14ac:dyDescent="0.25">
      <c r="A128" s="308" t="s">
        <v>135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92">
        <v>4620207491799</v>
      </c>
      <c r="E129" s="293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92">
        <v>4620207491492</v>
      </c>
      <c r="E130" s="293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5"/>
      <c r="V130" s="35"/>
      <c r="W130" s="36" t="s">
        <v>68</v>
      </c>
      <c r="X130" s="276">
        <v>0</v>
      </c>
      <c r="Y130" s="277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92">
        <v>4620207491461</v>
      </c>
      <c r="E131" s="293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5"/>
      <c r="V131" s="35"/>
      <c r="W131" s="36" t="s">
        <v>68</v>
      </c>
      <c r="X131" s="276">
        <v>56</v>
      </c>
      <c r="Y131" s="277">
        <f>IFERROR(IF(X131="","",X131),"")</f>
        <v>56</v>
      </c>
      <c r="Z131" s="37">
        <f>IFERROR(IF(X131="","",X131*0.00941),"")</f>
        <v>0.52695999999999998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97.44</v>
      </c>
      <c r="BN131" s="67">
        <f>IFERROR(Y131*I131,"0")</f>
        <v>97.44</v>
      </c>
      <c r="BO131" s="67">
        <f>IFERROR(X131/J131,"0")</f>
        <v>0.4</v>
      </c>
      <c r="BP131" s="67">
        <f>IFERROR(Y131/J131,"0")</f>
        <v>0.4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92">
        <v>4620207491485</v>
      </c>
      <c r="E132" s="293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5"/>
      <c r="V132" s="35"/>
      <c r="W132" s="36" t="s">
        <v>68</v>
      </c>
      <c r="X132" s="276">
        <v>28</v>
      </c>
      <c r="Y132" s="277">
        <f>IFERROR(IF(X132="","",X132),"")</f>
        <v>28</v>
      </c>
      <c r="Z132" s="37">
        <f>IFERROR(IF(X132="","",X132*0.00941),"")</f>
        <v>0.26347999999999999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289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1"/>
      <c r="P133" s="285" t="s">
        <v>87</v>
      </c>
      <c r="Q133" s="286"/>
      <c r="R133" s="286"/>
      <c r="S133" s="286"/>
      <c r="T133" s="286"/>
      <c r="U133" s="286"/>
      <c r="V133" s="287"/>
      <c r="W133" s="38" t="s">
        <v>68</v>
      </c>
      <c r="X133" s="278">
        <f>IFERROR(SUM(X129:X132),"0")</f>
        <v>168</v>
      </c>
      <c r="Y133" s="278">
        <f>IFERROR(SUM(Y129:Y132),"0")</f>
        <v>168</v>
      </c>
      <c r="Z133" s="278">
        <f>IFERROR(IF(Z129="",0,Z129),"0")+IFERROR(IF(Z130="",0,Z130),"0")+IFERROR(IF(Z131="",0,Z131),"0")+IFERROR(IF(Z132="",0,Z132),"0")</f>
        <v>1.5808800000000001</v>
      </c>
      <c r="AA133" s="279"/>
      <c r="AB133" s="279"/>
      <c r="AC133" s="279"/>
    </row>
    <row r="134" spans="1:68" x14ac:dyDescent="0.2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5" t="s">
        <v>87</v>
      </c>
      <c r="Q134" s="286"/>
      <c r="R134" s="286"/>
      <c r="S134" s="286"/>
      <c r="T134" s="286"/>
      <c r="U134" s="286"/>
      <c r="V134" s="287"/>
      <c r="W134" s="38" t="s">
        <v>88</v>
      </c>
      <c r="X134" s="278">
        <f>IFERROR(SUMPRODUCT(X129:X132*H129:H132),"0")</f>
        <v>228.47999999999996</v>
      </c>
      <c r="Y134" s="278">
        <f>IFERROR(SUMPRODUCT(Y129:Y132*H129:H132),"0")</f>
        <v>228.47999999999996</v>
      </c>
      <c r="Z134" s="38"/>
      <c r="AA134" s="279"/>
      <c r="AB134" s="279"/>
      <c r="AC134" s="279"/>
    </row>
    <row r="135" spans="1:68" ht="14.25" customHeight="1" x14ac:dyDescent="0.25">
      <c r="A135" s="308" t="s">
        <v>218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70"/>
      <c r="AB135" s="270"/>
      <c r="AC135" s="270"/>
    </row>
    <row r="136" spans="1:68" ht="27" customHeight="1" x14ac:dyDescent="0.25">
      <c r="A136" s="54" t="s">
        <v>219</v>
      </c>
      <c r="B136" s="54" t="s">
        <v>220</v>
      </c>
      <c r="C136" s="32">
        <v>4301190117</v>
      </c>
      <c r="D136" s="292">
        <v>4620207491386</v>
      </c>
      <c r="E136" s="293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2">
        <v>4301190115</v>
      </c>
      <c r="D137" s="292">
        <v>4620207491362</v>
      </c>
      <c r="E137" s="293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224</v>
      </c>
      <c r="B138" s="54" t="s">
        <v>225</v>
      </c>
      <c r="C138" s="32">
        <v>4301190116</v>
      </c>
      <c r="D138" s="292">
        <v>4620207491379</v>
      </c>
      <c r="E138" s="293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89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1"/>
      <c r="P139" s="285" t="s">
        <v>87</v>
      </c>
      <c r="Q139" s="286"/>
      <c r="R139" s="286"/>
      <c r="S139" s="286"/>
      <c r="T139" s="286"/>
      <c r="U139" s="286"/>
      <c r="V139" s="287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x14ac:dyDescent="0.2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5" t="s">
        <v>87</v>
      </c>
      <c r="Q140" s="286"/>
      <c r="R140" s="286"/>
      <c r="S140" s="286"/>
      <c r="T140" s="286"/>
      <c r="U140" s="286"/>
      <c r="V140" s="287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customHeight="1" x14ac:dyDescent="0.25">
      <c r="A141" s="315" t="s">
        <v>226</v>
      </c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71"/>
      <c r="AB141" s="271"/>
      <c r="AC141" s="271"/>
    </row>
    <row r="142" spans="1:68" ht="14.25" customHeight="1" x14ac:dyDescent="0.25">
      <c r="A142" s="308" t="s">
        <v>135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92">
        <v>4607111034014</v>
      </c>
      <c r="E143" s="293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5"/>
      <c r="V143" s="35"/>
      <c r="W143" s="36" t="s">
        <v>68</v>
      </c>
      <c r="X143" s="276">
        <v>84</v>
      </c>
      <c r="Y143" s="277">
        <f>IFERROR(IF(X143="","",X143),"")</f>
        <v>84</v>
      </c>
      <c r="Z143" s="37">
        <f>IFERROR(IF(X143="","",X143*0.01788),"")</f>
        <v>1.5019199999999999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311.10239999999999</v>
      </c>
      <c r="BN143" s="67">
        <f>IFERROR(Y143*I143,"0")</f>
        <v>311.10239999999999</v>
      </c>
      <c r="BO143" s="67">
        <f>IFERROR(X143/J143,"0")</f>
        <v>1.2</v>
      </c>
      <c r="BP143" s="67">
        <f>IFERROR(Y143/J143,"0")</f>
        <v>1.2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92">
        <v>4607111033994</v>
      </c>
      <c r="E144" s="293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5"/>
      <c r="V144" s="35"/>
      <c r="W144" s="36" t="s">
        <v>68</v>
      </c>
      <c r="X144" s="276">
        <v>0</v>
      </c>
      <c r="Y144" s="277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9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1"/>
      <c r="P145" s="285" t="s">
        <v>87</v>
      </c>
      <c r="Q145" s="286"/>
      <c r="R145" s="286"/>
      <c r="S145" s="286"/>
      <c r="T145" s="286"/>
      <c r="U145" s="286"/>
      <c r="V145" s="287"/>
      <c r="W145" s="38" t="s">
        <v>68</v>
      </c>
      <c r="X145" s="278">
        <f>IFERROR(SUM(X143:X144),"0")</f>
        <v>84</v>
      </c>
      <c r="Y145" s="278">
        <f>IFERROR(SUM(Y143:Y144),"0")</f>
        <v>84</v>
      </c>
      <c r="Z145" s="278">
        <f>IFERROR(IF(Z143="",0,Z143),"0")+IFERROR(IF(Z144="",0,Z144),"0")</f>
        <v>1.5019199999999999</v>
      </c>
      <c r="AA145" s="279"/>
      <c r="AB145" s="279"/>
      <c r="AC145" s="279"/>
    </row>
    <row r="146" spans="1:68" x14ac:dyDescent="0.2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5" t="s">
        <v>87</v>
      </c>
      <c r="Q146" s="286"/>
      <c r="R146" s="286"/>
      <c r="S146" s="286"/>
      <c r="T146" s="286"/>
      <c r="U146" s="286"/>
      <c r="V146" s="287"/>
      <c r="W146" s="38" t="s">
        <v>88</v>
      </c>
      <c r="X146" s="278">
        <f>IFERROR(SUMPRODUCT(X143:X144*H143:H144),"0")</f>
        <v>252</v>
      </c>
      <c r="Y146" s="278">
        <f>IFERROR(SUMPRODUCT(Y143:Y144*H143:H144),"0")</f>
        <v>252</v>
      </c>
      <c r="Z146" s="38"/>
      <c r="AA146" s="279"/>
      <c r="AB146" s="279"/>
      <c r="AC146" s="279"/>
    </row>
    <row r="147" spans="1:68" ht="16.5" customHeight="1" x14ac:dyDescent="0.25">
      <c r="A147" s="315" t="s">
        <v>232</v>
      </c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  <c r="AA147" s="271"/>
      <c r="AB147" s="271"/>
      <c r="AC147" s="271"/>
    </row>
    <row r="148" spans="1:68" ht="14.25" customHeight="1" x14ac:dyDescent="0.25">
      <c r="A148" s="308" t="s">
        <v>135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92">
        <v>4607111039095</v>
      </c>
      <c r="E149" s="293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5"/>
      <c r="V149" s="35"/>
      <c r="W149" s="36" t="s">
        <v>68</v>
      </c>
      <c r="X149" s="276">
        <v>28</v>
      </c>
      <c r="Y149" s="277">
        <f>IFERROR(IF(X149="","",X149),"")</f>
        <v>28</v>
      </c>
      <c r="Z149" s="37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92">
        <v>4607111034199</v>
      </c>
      <c r="E150" s="293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5"/>
      <c r="V150" s="35"/>
      <c r="W150" s="36" t="s">
        <v>68</v>
      </c>
      <c r="X150" s="276">
        <v>28</v>
      </c>
      <c r="Y150" s="277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89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1"/>
      <c r="P151" s="285" t="s">
        <v>87</v>
      </c>
      <c r="Q151" s="286"/>
      <c r="R151" s="286"/>
      <c r="S151" s="286"/>
      <c r="T151" s="286"/>
      <c r="U151" s="286"/>
      <c r="V151" s="287"/>
      <c r="W151" s="38" t="s">
        <v>68</v>
      </c>
      <c r="X151" s="278">
        <f>IFERROR(SUM(X149:X150),"0")</f>
        <v>56</v>
      </c>
      <c r="Y151" s="278">
        <f>IFERROR(SUM(Y149:Y150),"0")</f>
        <v>56</v>
      </c>
      <c r="Z151" s="278">
        <f>IFERROR(IF(Z149="",0,Z149),"0")+IFERROR(IF(Z150="",0,Z150),"0")</f>
        <v>1.0012799999999999</v>
      </c>
      <c r="AA151" s="279"/>
      <c r="AB151" s="279"/>
      <c r="AC151" s="279"/>
    </row>
    <row r="152" spans="1:68" x14ac:dyDescent="0.2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5" t="s">
        <v>87</v>
      </c>
      <c r="Q152" s="286"/>
      <c r="R152" s="286"/>
      <c r="S152" s="286"/>
      <c r="T152" s="286"/>
      <c r="U152" s="286"/>
      <c r="V152" s="287"/>
      <c r="W152" s="38" t="s">
        <v>88</v>
      </c>
      <c r="X152" s="278">
        <f>IFERROR(SUMPRODUCT(X149:X150*H149:H150),"0")</f>
        <v>168</v>
      </c>
      <c r="Y152" s="278">
        <f>IFERROR(SUMPRODUCT(Y149:Y150*H149:H150),"0")</f>
        <v>168</v>
      </c>
      <c r="Z152" s="38"/>
      <c r="AA152" s="279"/>
      <c r="AB152" s="279"/>
      <c r="AC152" s="279"/>
    </row>
    <row r="153" spans="1:68" ht="16.5" customHeight="1" x14ac:dyDescent="0.25">
      <c r="A153" s="315" t="s">
        <v>239</v>
      </c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  <c r="AA153" s="271"/>
      <c r="AB153" s="271"/>
      <c r="AC153" s="271"/>
    </row>
    <row r="154" spans="1:68" ht="14.25" customHeight="1" x14ac:dyDescent="0.25">
      <c r="A154" s="308" t="s">
        <v>135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92">
        <v>4620207490914</v>
      </c>
      <c r="E155" s="293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5"/>
      <c r="V155" s="35"/>
      <c r="W155" s="36" t="s">
        <v>68</v>
      </c>
      <c r="X155" s="276">
        <v>14</v>
      </c>
      <c r="Y155" s="277">
        <f>IFERROR(IF(X155="","",X155),"")</f>
        <v>14</v>
      </c>
      <c r="Z155" s="37">
        <f>IFERROR(IF(X155="","",X155*0.01788),"")</f>
        <v>0.25031999999999999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37.520000000000003</v>
      </c>
      <c r="BN155" s="67">
        <f>IFERROR(Y155*I155,"0")</f>
        <v>37.520000000000003</v>
      </c>
      <c r="BO155" s="67">
        <f>IFERROR(X155/J155,"0")</f>
        <v>0.2</v>
      </c>
      <c r="BP155" s="67">
        <f>IFERROR(Y155/J155,"0")</f>
        <v>0.2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92">
        <v>4620207490853</v>
      </c>
      <c r="E156" s="293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5"/>
      <c r="V156" s="35"/>
      <c r="W156" s="36" t="s">
        <v>68</v>
      </c>
      <c r="X156" s="276">
        <v>0</v>
      </c>
      <c r="Y156" s="277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9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1"/>
      <c r="P157" s="285" t="s">
        <v>87</v>
      </c>
      <c r="Q157" s="286"/>
      <c r="R157" s="286"/>
      <c r="S157" s="286"/>
      <c r="T157" s="286"/>
      <c r="U157" s="286"/>
      <c r="V157" s="287"/>
      <c r="W157" s="38" t="s">
        <v>68</v>
      </c>
      <c r="X157" s="278">
        <f>IFERROR(SUM(X155:X156),"0")</f>
        <v>14</v>
      </c>
      <c r="Y157" s="278">
        <f>IFERROR(SUM(Y155:Y156),"0")</f>
        <v>14</v>
      </c>
      <c r="Z157" s="278">
        <f>IFERROR(IF(Z155="",0,Z155),"0")+IFERROR(IF(Z156="",0,Z156),"0")</f>
        <v>0.25031999999999999</v>
      </c>
      <c r="AA157" s="279"/>
      <c r="AB157" s="279"/>
      <c r="AC157" s="279"/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5" t="s">
        <v>87</v>
      </c>
      <c r="Q158" s="286"/>
      <c r="R158" s="286"/>
      <c r="S158" s="286"/>
      <c r="T158" s="286"/>
      <c r="U158" s="286"/>
      <c r="V158" s="287"/>
      <c r="W158" s="38" t="s">
        <v>88</v>
      </c>
      <c r="X158" s="278">
        <f>IFERROR(SUMPRODUCT(X155:X156*H155:H156),"0")</f>
        <v>33.6</v>
      </c>
      <c r="Y158" s="278">
        <f>IFERROR(SUMPRODUCT(Y155:Y156*H155:H156),"0")</f>
        <v>33.6</v>
      </c>
      <c r="Z158" s="38"/>
      <c r="AA158" s="279"/>
      <c r="AB158" s="279"/>
      <c r="AC158" s="279"/>
    </row>
    <row r="159" spans="1:68" ht="16.5" customHeight="1" x14ac:dyDescent="0.25">
      <c r="A159" s="315" t="s">
        <v>244</v>
      </c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0"/>
      <c r="U159" s="290"/>
      <c r="V159" s="290"/>
      <c r="W159" s="290"/>
      <c r="X159" s="290"/>
      <c r="Y159" s="290"/>
      <c r="Z159" s="290"/>
      <c r="AA159" s="271"/>
      <c r="AB159" s="271"/>
      <c r="AC159" s="271"/>
    </row>
    <row r="160" spans="1:68" ht="14.25" customHeight="1" x14ac:dyDescent="0.25">
      <c r="A160" s="308" t="s">
        <v>135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92">
        <v>4607111035806</v>
      </c>
      <c r="E161" s="293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5"/>
      <c r="V161" s="35"/>
      <c r="W161" s="36" t="s">
        <v>68</v>
      </c>
      <c r="X161" s="276">
        <v>0</v>
      </c>
      <c r="Y161" s="277">
        <f>IFERROR(IF(X161="","",X161),"")</f>
        <v>0</v>
      </c>
      <c r="Z161" s="37">
        <f>IFERROR(IF(X161="","",X161*0.01788),"")</f>
        <v>0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9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1"/>
      <c r="P162" s="285" t="s">
        <v>87</v>
      </c>
      <c r="Q162" s="286"/>
      <c r="R162" s="286"/>
      <c r="S162" s="286"/>
      <c r="T162" s="286"/>
      <c r="U162" s="286"/>
      <c r="V162" s="287"/>
      <c r="W162" s="38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5" t="s">
        <v>87</v>
      </c>
      <c r="Q163" s="286"/>
      <c r="R163" s="286"/>
      <c r="S163" s="286"/>
      <c r="T163" s="286"/>
      <c r="U163" s="286"/>
      <c r="V163" s="287"/>
      <c r="W163" s="38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8"/>
      <c r="AA163" s="279"/>
      <c r="AB163" s="279"/>
      <c r="AC163" s="279"/>
    </row>
    <row r="164" spans="1:68" ht="16.5" customHeight="1" x14ac:dyDescent="0.25">
      <c r="A164" s="315" t="s">
        <v>248</v>
      </c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  <c r="AA164" s="271"/>
      <c r="AB164" s="271"/>
      <c r="AC164" s="271"/>
    </row>
    <row r="165" spans="1:68" ht="14.25" customHeight="1" x14ac:dyDescent="0.25">
      <c r="A165" s="308" t="s">
        <v>135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0"/>
      <c r="AB165" s="270"/>
      <c r="AC165" s="270"/>
    </row>
    <row r="166" spans="1:68" ht="16.5" customHeight="1" x14ac:dyDescent="0.25">
      <c r="A166" s="54" t="s">
        <v>249</v>
      </c>
      <c r="B166" s="54" t="s">
        <v>250</v>
      </c>
      <c r="C166" s="32">
        <v>4301135607</v>
      </c>
      <c r="D166" s="292">
        <v>4607111039613</v>
      </c>
      <c r="E166" s="293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5"/>
      <c r="V166" s="35"/>
      <c r="W166" s="36" t="s">
        <v>68</v>
      </c>
      <c r="X166" s="276">
        <v>14</v>
      </c>
      <c r="Y166" s="277">
        <f>IFERROR(IF(X166="","",X166),"")</f>
        <v>14</v>
      </c>
      <c r="Z166" s="37">
        <f>IFERROR(IF(X166="","",X166*0.00936),"")</f>
        <v>0.13103999999999999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89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1"/>
      <c r="P167" s="285" t="s">
        <v>87</v>
      </c>
      <c r="Q167" s="286"/>
      <c r="R167" s="286"/>
      <c r="S167" s="286"/>
      <c r="T167" s="286"/>
      <c r="U167" s="286"/>
      <c r="V167" s="287"/>
      <c r="W167" s="38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5" t="s">
        <v>87</v>
      </c>
      <c r="Q168" s="286"/>
      <c r="R168" s="286"/>
      <c r="S168" s="286"/>
      <c r="T168" s="286"/>
      <c r="U168" s="286"/>
      <c r="V168" s="287"/>
      <c r="W168" s="38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8"/>
      <c r="AA168" s="279"/>
      <c r="AB168" s="279"/>
      <c r="AC168" s="279"/>
    </row>
    <row r="169" spans="1:68" ht="16.5" customHeight="1" x14ac:dyDescent="0.25">
      <c r="A169" s="315" t="s">
        <v>251</v>
      </c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  <c r="AA169" s="271"/>
      <c r="AB169" s="271"/>
      <c r="AC169" s="271"/>
    </row>
    <row r="170" spans="1:68" ht="14.25" customHeight="1" x14ac:dyDescent="0.25">
      <c r="A170" s="308" t="s">
        <v>135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92">
        <v>4607111036568</v>
      </c>
      <c r="E171" s="293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5"/>
      <c r="V171" s="35"/>
      <c r="W171" s="36" t="s">
        <v>68</v>
      </c>
      <c r="X171" s="276">
        <v>70</v>
      </c>
      <c r="Y171" s="277">
        <f>IFERROR(IF(X171="","",X171),"")</f>
        <v>70</v>
      </c>
      <c r="Z171" s="37">
        <f>IFERROR(IF(X171="","",X171*0.00941),"")</f>
        <v>0.65869999999999995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147.126</v>
      </c>
      <c r="BN171" s="67">
        <f>IFERROR(Y171*I171,"0")</f>
        <v>147.126</v>
      </c>
      <c r="BO171" s="67">
        <f>IFERROR(X171/J171,"0")</f>
        <v>0.5</v>
      </c>
      <c r="BP171" s="67">
        <f>IFERROR(Y171/J171,"0")</f>
        <v>0.5</v>
      </c>
    </row>
    <row r="172" spans="1:68" x14ac:dyDescent="0.2">
      <c r="A172" s="289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1"/>
      <c r="P172" s="285" t="s">
        <v>87</v>
      </c>
      <c r="Q172" s="286"/>
      <c r="R172" s="286"/>
      <c r="S172" s="286"/>
      <c r="T172" s="286"/>
      <c r="U172" s="286"/>
      <c r="V172" s="287"/>
      <c r="W172" s="38" t="s">
        <v>68</v>
      </c>
      <c r="X172" s="278">
        <f>IFERROR(SUM(X171:X171),"0")</f>
        <v>70</v>
      </c>
      <c r="Y172" s="278">
        <f>IFERROR(SUM(Y171:Y171),"0")</f>
        <v>70</v>
      </c>
      <c r="Z172" s="278">
        <f>IFERROR(IF(Z171="",0,Z171),"0")</f>
        <v>0.65869999999999995</v>
      </c>
      <c r="AA172" s="279"/>
      <c r="AB172" s="279"/>
      <c r="AC172" s="279"/>
    </row>
    <row r="173" spans="1:68" x14ac:dyDescent="0.2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5" t="s">
        <v>87</v>
      </c>
      <c r="Q173" s="286"/>
      <c r="R173" s="286"/>
      <c r="S173" s="286"/>
      <c r="T173" s="286"/>
      <c r="U173" s="286"/>
      <c r="V173" s="287"/>
      <c r="W173" s="38" t="s">
        <v>88</v>
      </c>
      <c r="X173" s="278">
        <f>IFERROR(SUMPRODUCT(X171:X171*H171:H171),"0")</f>
        <v>117.6</v>
      </c>
      <c r="Y173" s="278">
        <f>IFERROR(SUMPRODUCT(Y171:Y171*H171:H171),"0")</f>
        <v>117.6</v>
      </c>
      <c r="Z173" s="38"/>
      <c r="AA173" s="279"/>
      <c r="AB173" s="279"/>
      <c r="AC173" s="279"/>
    </row>
    <row r="174" spans="1:68" ht="27.75" customHeight="1" x14ac:dyDescent="0.2">
      <c r="A174" s="350" t="s">
        <v>255</v>
      </c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49"/>
      <c r="AB174" s="49"/>
      <c r="AC174" s="49"/>
    </row>
    <row r="175" spans="1:68" ht="16.5" customHeight="1" x14ac:dyDescent="0.25">
      <c r="A175" s="315" t="s">
        <v>256</v>
      </c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  <c r="AA175" s="271"/>
      <c r="AB175" s="271"/>
      <c r="AC175" s="271"/>
    </row>
    <row r="176" spans="1:68" ht="14.25" customHeight="1" x14ac:dyDescent="0.25">
      <c r="A176" s="308" t="s">
        <v>62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0"/>
      <c r="AB176" s="270"/>
      <c r="AC176" s="270"/>
    </row>
    <row r="177" spans="1:68" ht="16.5" customHeight="1" x14ac:dyDescent="0.25">
      <c r="A177" s="54" t="s">
        <v>257</v>
      </c>
      <c r="B177" s="54" t="s">
        <v>258</v>
      </c>
      <c r="C177" s="32">
        <v>4301071062</v>
      </c>
      <c r="D177" s="292">
        <v>4607111036384</v>
      </c>
      <c r="E177" s="293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92">
        <v>4607111036216</v>
      </c>
      <c r="E178" s="293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5"/>
      <c r="V178" s="35"/>
      <c r="W178" s="36" t="s">
        <v>68</v>
      </c>
      <c r="X178" s="276">
        <v>72</v>
      </c>
      <c r="Y178" s="277">
        <f>IFERROR(IF(X178="","",X178),"")</f>
        <v>72</v>
      </c>
      <c r="Z178" s="37">
        <f>IFERROR(IF(X178="","",X178*0.00866),"")</f>
        <v>0.62351999999999996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375.35039999999998</v>
      </c>
      <c r="BN178" s="67">
        <f>IFERROR(Y178*I178,"0")</f>
        <v>375.35039999999998</v>
      </c>
      <c r="BO178" s="67">
        <f>IFERROR(X178/J178,"0")</f>
        <v>0.5</v>
      </c>
      <c r="BP178" s="67">
        <f>IFERROR(Y178/J178,"0")</f>
        <v>0.5</v>
      </c>
    </row>
    <row r="179" spans="1:68" x14ac:dyDescent="0.2">
      <c r="A179" s="289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1"/>
      <c r="P179" s="285" t="s">
        <v>87</v>
      </c>
      <c r="Q179" s="286"/>
      <c r="R179" s="286"/>
      <c r="S179" s="286"/>
      <c r="T179" s="286"/>
      <c r="U179" s="286"/>
      <c r="V179" s="287"/>
      <c r="W179" s="38" t="s">
        <v>68</v>
      </c>
      <c r="X179" s="278">
        <f>IFERROR(SUM(X177:X178),"0")</f>
        <v>72</v>
      </c>
      <c r="Y179" s="278">
        <f>IFERROR(SUM(Y177:Y178),"0")</f>
        <v>72</v>
      </c>
      <c r="Z179" s="278">
        <f>IFERROR(IF(Z177="",0,Z177),"0")+IFERROR(IF(Z178="",0,Z178),"0")</f>
        <v>0.62351999999999996</v>
      </c>
      <c r="AA179" s="279"/>
      <c r="AB179" s="279"/>
      <c r="AC179" s="279"/>
    </row>
    <row r="180" spans="1:68" x14ac:dyDescent="0.2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5" t="s">
        <v>87</v>
      </c>
      <c r="Q180" s="286"/>
      <c r="R180" s="286"/>
      <c r="S180" s="286"/>
      <c r="T180" s="286"/>
      <c r="U180" s="286"/>
      <c r="V180" s="287"/>
      <c r="W180" s="38" t="s">
        <v>88</v>
      </c>
      <c r="X180" s="278">
        <f>IFERROR(SUMPRODUCT(X177:X178*H177:H178),"0")</f>
        <v>360</v>
      </c>
      <c r="Y180" s="278">
        <f>IFERROR(SUMPRODUCT(Y177:Y178*H177:H178),"0")</f>
        <v>360</v>
      </c>
      <c r="Z180" s="38"/>
      <c r="AA180" s="279"/>
      <c r="AB180" s="279"/>
      <c r="AC180" s="279"/>
    </row>
    <row r="181" spans="1:68" ht="16.5" customHeight="1" x14ac:dyDescent="0.25">
      <c r="A181" s="315" t="s">
        <v>263</v>
      </c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  <c r="AA181" s="271"/>
      <c r="AB181" s="271"/>
      <c r="AC181" s="271"/>
    </row>
    <row r="182" spans="1:68" ht="14.25" customHeight="1" x14ac:dyDescent="0.25">
      <c r="A182" s="308" t="s">
        <v>62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92">
        <v>4620207491737</v>
      </c>
      <c r="E183" s="293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5"/>
      <c r="V183" s="35"/>
      <c r="W183" s="36" t="s">
        <v>68</v>
      </c>
      <c r="X183" s="276">
        <v>0</v>
      </c>
      <c r="Y183" s="277">
        <f>IFERROR(IF(X183="","",X183),"")</f>
        <v>0</v>
      </c>
      <c r="Z183" s="37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85" t="s">
        <v>87</v>
      </c>
      <c r="Q184" s="286"/>
      <c r="R184" s="286"/>
      <c r="S184" s="286"/>
      <c r="T184" s="286"/>
      <c r="U184" s="286"/>
      <c r="V184" s="287"/>
      <c r="W184" s="38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5" t="s">
        <v>87</v>
      </c>
      <c r="Q185" s="286"/>
      <c r="R185" s="286"/>
      <c r="S185" s="286"/>
      <c r="T185" s="286"/>
      <c r="U185" s="286"/>
      <c r="V185" s="287"/>
      <c r="W185" s="38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8"/>
      <c r="AA185" s="279"/>
      <c r="AB185" s="279"/>
      <c r="AC185" s="279"/>
    </row>
    <row r="186" spans="1:68" ht="27.75" customHeight="1" x14ac:dyDescent="0.2">
      <c r="A186" s="350" t="s">
        <v>266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49"/>
      <c r="AB186" s="49"/>
      <c r="AC186" s="49"/>
    </row>
    <row r="187" spans="1:68" ht="16.5" customHeight="1" x14ac:dyDescent="0.25">
      <c r="A187" s="315" t="s">
        <v>267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1"/>
      <c r="AB187" s="271"/>
      <c r="AC187" s="271"/>
    </row>
    <row r="188" spans="1:68" ht="14.25" customHeight="1" x14ac:dyDescent="0.25">
      <c r="A188" s="308" t="s">
        <v>97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92">
        <v>4607111035691</v>
      </c>
      <c r="E189" s="293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5"/>
      <c r="V189" s="35"/>
      <c r="W189" s="36" t="s">
        <v>68</v>
      </c>
      <c r="X189" s="276">
        <v>28</v>
      </c>
      <c r="Y189" s="277">
        <f>IFERROR(IF(X189="","",X189),"")</f>
        <v>28</v>
      </c>
      <c r="Z189" s="37">
        <f>IFERROR(IF(X189="","",X189*0.01788),"")</f>
        <v>0.50063999999999997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94.864000000000004</v>
      </c>
      <c r="BN189" s="67">
        <f>IFERROR(Y189*I189,"0")</f>
        <v>94.864000000000004</v>
      </c>
      <c r="BO189" s="67">
        <f>IFERROR(X189/J189,"0")</f>
        <v>0.4</v>
      </c>
      <c r="BP189" s="67">
        <f>IFERROR(Y189/J189,"0")</f>
        <v>0.4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92">
        <v>4607111035721</v>
      </c>
      <c r="E190" s="293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5"/>
      <c r="V190" s="35"/>
      <c r="W190" s="36" t="s">
        <v>68</v>
      </c>
      <c r="X190" s="276">
        <v>0</v>
      </c>
      <c r="Y190" s="277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92">
        <v>4607111038487</v>
      </c>
      <c r="E191" s="293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5"/>
      <c r="V191" s="35"/>
      <c r="W191" s="36" t="s">
        <v>68</v>
      </c>
      <c r="X191" s="276">
        <v>42</v>
      </c>
      <c r="Y191" s="277">
        <f>IFERROR(IF(X191="","",X191),"")</f>
        <v>42</v>
      </c>
      <c r="Z191" s="37">
        <f>IFERROR(IF(X191="","",X191*0.01788),"")</f>
        <v>0.75095999999999996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156.91200000000001</v>
      </c>
      <c r="BN191" s="67">
        <f>IFERROR(Y191*I191,"0")</f>
        <v>156.91200000000001</v>
      </c>
      <c r="BO191" s="67">
        <f>IFERROR(X191/J191,"0")</f>
        <v>0.6</v>
      </c>
      <c r="BP191" s="67">
        <f>IFERROR(Y191/J191,"0")</f>
        <v>0.6</v>
      </c>
    </row>
    <row r="192" spans="1:68" ht="27" customHeight="1" x14ac:dyDescent="0.25">
      <c r="A192" s="54" t="s">
        <v>277</v>
      </c>
      <c r="B192" s="54" t="s">
        <v>278</v>
      </c>
      <c r="C192" s="32">
        <v>4301132243</v>
      </c>
      <c r="D192" s="292">
        <v>4620207491195</v>
      </c>
      <c r="E192" s="293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9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5" t="s">
        <v>87</v>
      </c>
      <c r="Q193" s="286"/>
      <c r="R193" s="286"/>
      <c r="S193" s="286"/>
      <c r="T193" s="286"/>
      <c r="U193" s="286"/>
      <c r="V193" s="287"/>
      <c r="W193" s="38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5" t="s">
        <v>87</v>
      </c>
      <c r="Q194" s="286"/>
      <c r="R194" s="286"/>
      <c r="S194" s="286"/>
      <c r="T194" s="286"/>
      <c r="U194" s="286"/>
      <c r="V194" s="287"/>
      <c r="W194" s="38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8"/>
      <c r="AA194" s="279"/>
      <c r="AB194" s="279"/>
      <c r="AC194" s="279"/>
    </row>
    <row r="195" spans="1:68" ht="27.75" customHeight="1" x14ac:dyDescent="0.2">
      <c r="A195" s="350" t="s">
        <v>280</v>
      </c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49"/>
      <c r="AB195" s="49"/>
      <c r="AC195" s="49"/>
    </row>
    <row r="196" spans="1:68" ht="16.5" customHeight="1" x14ac:dyDescent="0.25">
      <c r="A196" s="315" t="s">
        <v>281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71"/>
      <c r="AB196" s="271"/>
      <c r="AC196" s="271"/>
    </row>
    <row r="197" spans="1:68" ht="14.25" customHeight="1" x14ac:dyDescent="0.25">
      <c r="A197" s="308" t="s">
        <v>97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0"/>
      <c r="AB197" s="270"/>
      <c r="AC197" s="270"/>
    </row>
    <row r="198" spans="1:68" ht="27" customHeight="1" x14ac:dyDescent="0.25">
      <c r="A198" s="54" t="s">
        <v>282</v>
      </c>
      <c r="B198" s="54" t="s">
        <v>283</v>
      </c>
      <c r="C198" s="32">
        <v>4301132227</v>
      </c>
      <c r="D198" s="292">
        <v>4620207491133</v>
      </c>
      <c r="E198" s="293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289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1"/>
      <c r="P199" s="285" t="s">
        <v>87</v>
      </c>
      <c r="Q199" s="286"/>
      <c r="R199" s="286"/>
      <c r="S199" s="286"/>
      <c r="T199" s="286"/>
      <c r="U199" s="286"/>
      <c r="V199" s="287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x14ac:dyDescent="0.2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5" t="s">
        <v>87</v>
      </c>
      <c r="Q200" s="286"/>
      <c r="R200" s="286"/>
      <c r="S200" s="286"/>
      <c r="T200" s="286"/>
      <c r="U200" s="286"/>
      <c r="V200" s="287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customHeight="1" x14ac:dyDescent="0.25">
      <c r="A201" s="308" t="s">
        <v>135</v>
      </c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  <c r="AA201" s="270"/>
      <c r="AB201" s="270"/>
      <c r="AC201" s="270"/>
    </row>
    <row r="202" spans="1:68" ht="27" customHeight="1" x14ac:dyDescent="0.25">
      <c r="A202" s="54" t="s">
        <v>285</v>
      </c>
      <c r="B202" s="54" t="s">
        <v>286</v>
      </c>
      <c r="C202" s="32">
        <v>4301135834</v>
      </c>
      <c r="D202" s="292">
        <v>4620207491188</v>
      </c>
      <c r="E202" s="293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288</v>
      </c>
      <c r="B203" s="54" t="s">
        <v>289</v>
      </c>
      <c r="C203" s="32">
        <v>4301135696</v>
      </c>
      <c r="D203" s="292">
        <v>4620207490235</v>
      </c>
      <c r="E203" s="293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38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2">
        <v>4301135697</v>
      </c>
      <c r="D204" s="292">
        <v>4620207490259</v>
      </c>
      <c r="E204" s="293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9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1"/>
      <c r="P205" s="285" t="s">
        <v>87</v>
      </c>
      <c r="Q205" s="286"/>
      <c r="R205" s="286"/>
      <c r="S205" s="286"/>
      <c r="T205" s="286"/>
      <c r="U205" s="286"/>
      <c r="V205" s="287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5" t="s">
        <v>87</v>
      </c>
      <c r="Q206" s="286"/>
      <c r="R206" s="286"/>
      <c r="S206" s="286"/>
      <c r="T206" s="286"/>
      <c r="U206" s="286"/>
      <c r="V206" s="287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customHeight="1" x14ac:dyDescent="0.25">
      <c r="A207" s="315" t="s">
        <v>294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  <c r="AA207" s="271"/>
      <c r="AB207" s="271"/>
      <c r="AC207" s="271"/>
    </row>
    <row r="208" spans="1:68" ht="14.25" customHeight="1" x14ac:dyDescent="0.25">
      <c r="A208" s="308" t="s">
        <v>135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0"/>
      <c r="AB208" s="270"/>
      <c r="AC208" s="270"/>
    </row>
    <row r="209" spans="1:68" ht="27" customHeight="1" x14ac:dyDescent="0.25">
      <c r="A209" s="54" t="s">
        <v>295</v>
      </c>
      <c r="B209" s="54" t="s">
        <v>296</v>
      </c>
      <c r="C209" s="32">
        <v>4301135854</v>
      </c>
      <c r="D209" s="292">
        <v>4620207491706</v>
      </c>
      <c r="E209" s="293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2">
        <v>4301135895</v>
      </c>
      <c r="D210" s="292">
        <v>4620207491522</v>
      </c>
      <c r="E210" s="293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9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5" t="s">
        <v>87</v>
      </c>
      <c r="Q211" s="286"/>
      <c r="R211" s="286"/>
      <c r="S211" s="286"/>
      <c r="T211" s="286"/>
      <c r="U211" s="286"/>
      <c r="V211" s="287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5" t="s">
        <v>87</v>
      </c>
      <c r="Q212" s="286"/>
      <c r="R212" s="286"/>
      <c r="S212" s="286"/>
      <c r="T212" s="286"/>
      <c r="U212" s="286"/>
      <c r="V212" s="287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customHeight="1" x14ac:dyDescent="0.25">
      <c r="A213" s="315" t="s">
        <v>301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1"/>
      <c r="AB213" s="271"/>
      <c r="AC213" s="271"/>
    </row>
    <row r="214" spans="1:68" ht="14.25" customHeight="1" x14ac:dyDescent="0.25">
      <c r="A214" s="308" t="s">
        <v>62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92">
        <v>4620207491096</v>
      </c>
      <c r="E215" s="293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5"/>
      <c r="V215" s="35"/>
      <c r="W215" s="36" t="s">
        <v>68</v>
      </c>
      <c r="X215" s="276">
        <v>48</v>
      </c>
      <c r="Y215" s="277">
        <f>IFERROR(IF(X215="","",X215),"")</f>
        <v>48</v>
      </c>
      <c r="Z215" s="37">
        <f>IFERROR(IF(X215="","",X215*0.0155),"")</f>
        <v>0.74399999999999999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251.04000000000002</v>
      </c>
      <c r="BN215" s="67">
        <f>IFERROR(Y215*I215,"0")</f>
        <v>251.04000000000002</v>
      </c>
      <c r="BO215" s="67">
        <f>IFERROR(X215/J215,"0")</f>
        <v>0.5714285714285714</v>
      </c>
      <c r="BP215" s="67">
        <f>IFERROR(Y215/J215,"0")</f>
        <v>0.5714285714285714</v>
      </c>
    </row>
    <row r="216" spans="1:68" x14ac:dyDescent="0.2">
      <c r="A216" s="289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1"/>
      <c r="P216" s="285" t="s">
        <v>87</v>
      </c>
      <c r="Q216" s="286"/>
      <c r="R216" s="286"/>
      <c r="S216" s="286"/>
      <c r="T216" s="286"/>
      <c r="U216" s="286"/>
      <c r="V216" s="287"/>
      <c r="W216" s="38" t="s">
        <v>68</v>
      </c>
      <c r="X216" s="278">
        <f>IFERROR(SUM(X215:X215),"0")</f>
        <v>48</v>
      </c>
      <c r="Y216" s="278">
        <f>IFERROR(SUM(Y215:Y215),"0")</f>
        <v>48</v>
      </c>
      <c r="Z216" s="278">
        <f>IFERROR(IF(Z215="",0,Z215),"0")</f>
        <v>0.74399999999999999</v>
      </c>
      <c r="AA216" s="279"/>
      <c r="AB216" s="279"/>
      <c r="AC216" s="279"/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5" t="s">
        <v>87</v>
      </c>
      <c r="Q217" s="286"/>
      <c r="R217" s="286"/>
      <c r="S217" s="286"/>
      <c r="T217" s="286"/>
      <c r="U217" s="286"/>
      <c r="V217" s="287"/>
      <c r="W217" s="38" t="s">
        <v>88</v>
      </c>
      <c r="X217" s="278">
        <f>IFERROR(SUMPRODUCT(X215:X215*H215:H215),"0")</f>
        <v>240</v>
      </c>
      <c r="Y217" s="278">
        <f>IFERROR(SUMPRODUCT(Y215:Y215*H215:H215),"0")</f>
        <v>240</v>
      </c>
      <c r="Z217" s="38"/>
      <c r="AA217" s="279"/>
      <c r="AB217" s="279"/>
      <c r="AC217" s="279"/>
    </row>
    <row r="218" spans="1:68" ht="16.5" customHeight="1" x14ac:dyDescent="0.25">
      <c r="A218" s="315" t="s">
        <v>305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71"/>
      <c r="AB218" s="271"/>
      <c r="AC218" s="271"/>
    </row>
    <row r="219" spans="1:68" ht="14.25" customHeight="1" x14ac:dyDescent="0.25">
      <c r="A219" s="308" t="s">
        <v>135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0"/>
      <c r="AB219" s="270"/>
      <c r="AC219" s="270"/>
    </row>
    <row r="220" spans="1:68" ht="27" customHeight="1" x14ac:dyDescent="0.25">
      <c r="A220" s="54" t="s">
        <v>306</v>
      </c>
      <c r="B220" s="54" t="s">
        <v>307</v>
      </c>
      <c r="C220" s="32">
        <v>4301135694</v>
      </c>
      <c r="D220" s="292">
        <v>4620207490501</v>
      </c>
      <c r="E220" s="293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9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1"/>
      <c r="P221" s="285" t="s">
        <v>87</v>
      </c>
      <c r="Q221" s="286"/>
      <c r="R221" s="286"/>
      <c r="S221" s="286"/>
      <c r="T221" s="286"/>
      <c r="U221" s="286"/>
      <c r="V221" s="287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5" t="s">
        <v>87</v>
      </c>
      <c r="Q222" s="286"/>
      <c r="R222" s="286"/>
      <c r="S222" s="286"/>
      <c r="T222" s="286"/>
      <c r="U222" s="286"/>
      <c r="V222" s="287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customHeight="1" x14ac:dyDescent="0.2">
      <c r="A223" s="350" t="s">
        <v>309</v>
      </c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49"/>
      <c r="AB223" s="49"/>
      <c r="AC223" s="49"/>
    </row>
    <row r="224" spans="1:68" ht="16.5" customHeight="1" x14ac:dyDescent="0.25">
      <c r="A224" s="315" t="s">
        <v>310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71"/>
      <c r="AB224" s="271"/>
      <c r="AC224" s="271"/>
    </row>
    <row r="225" spans="1:68" ht="14.25" customHeight="1" x14ac:dyDescent="0.25">
      <c r="A225" s="308" t="s">
        <v>62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0"/>
      <c r="AB225" s="270"/>
      <c r="AC225" s="270"/>
    </row>
    <row r="226" spans="1:68" ht="27" customHeight="1" x14ac:dyDescent="0.25">
      <c r="A226" s="54" t="s">
        <v>311</v>
      </c>
      <c r="B226" s="54" t="s">
        <v>312</v>
      </c>
      <c r="C226" s="32">
        <v>4301071036</v>
      </c>
      <c r="D226" s="292">
        <v>4607111036162</v>
      </c>
      <c r="E226" s="293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9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1"/>
      <c r="P227" s="285" t="s">
        <v>87</v>
      </c>
      <c r="Q227" s="286"/>
      <c r="R227" s="286"/>
      <c r="S227" s="286"/>
      <c r="T227" s="286"/>
      <c r="U227" s="286"/>
      <c r="V227" s="287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5" t="s">
        <v>87</v>
      </c>
      <c r="Q228" s="286"/>
      <c r="R228" s="286"/>
      <c r="S228" s="286"/>
      <c r="T228" s="286"/>
      <c r="U228" s="286"/>
      <c r="V228" s="287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customHeight="1" x14ac:dyDescent="0.2">
      <c r="A229" s="350" t="s">
        <v>314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49"/>
      <c r="AB229" s="49"/>
      <c r="AC229" s="49"/>
    </row>
    <row r="230" spans="1:68" ht="16.5" customHeight="1" x14ac:dyDescent="0.25">
      <c r="A230" s="315" t="s">
        <v>315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71"/>
      <c r="AB230" s="271"/>
      <c r="AC230" s="271"/>
    </row>
    <row r="231" spans="1:68" ht="14.25" customHeight="1" x14ac:dyDescent="0.25">
      <c r="A231" s="308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0"/>
      <c r="AB231" s="270"/>
      <c r="AC231" s="270"/>
    </row>
    <row r="232" spans="1:68" ht="27" customHeight="1" x14ac:dyDescent="0.25">
      <c r="A232" s="54" t="s">
        <v>317</v>
      </c>
      <c r="B232" s="54" t="s">
        <v>318</v>
      </c>
      <c r="C232" s="32">
        <v>4301133004</v>
      </c>
      <c r="D232" s="292">
        <v>4607111039774</v>
      </c>
      <c r="E232" s="293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9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1"/>
      <c r="P233" s="285" t="s">
        <v>87</v>
      </c>
      <c r="Q233" s="286"/>
      <c r="R233" s="286"/>
      <c r="S233" s="286"/>
      <c r="T233" s="286"/>
      <c r="U233" s="286"/>
      <c r="V233" s="287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5" t="s">
        <v>87</v>
      </c>
      <c r="Q234" s="286"/>
      <c r="R234" s="286"/>
      <c r="S234" s="286"/>
      <c r="T234" s="286"/>
      <c r="U234" s="286"/>
      <c r="V234" s="287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customHeight="1" x14ac:dyDescent="0.25">
      <c r="A235" s="308" t="s">
        <v>135</v>
      </c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0"/>
      <c r="U235" s="290"/>
      <c r="V235" s="290"/>
      <c r="W235" s="290"/>
      <c r="X235" s="290"/>
      <c r="Y235" s="290"/>
      <c r="Z235" s="290"/>
      <c r="AA235" s="270"/>
      <c r="AB235" s="270"/>
      <c r="AC235" s="270"/>
    </row>
    <row r="236" spans="1:68" ht="37.5" customHeight="1" x14ac:dyDescent="0.25">
      <c r="A236" s="54" t="s">
        <v>320</v>
      </c>
      <c r="B236" s="54" t="s">
        <v>321</v>
      </c>
      <c r="C236" s="32">
        <v>4301135400</v>
      </c>
      <c r="D236" s="292">
        <v>4607111039361</v>
      </c>
      <c r="E236" s="293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1"/>
      <c r="P237" s="285" t="s">
        <v>87</v>
      </c>
      <c r="Q237" s="286"/>
      <c r="R237" s="286"/>
      <c r="S237" s="286"/>
      <c r="T237" s="286"/>
      <c r="U237" s="286"/>
      <c r="V237" s="287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5" t="s">
        <v>87</v>
      </c>
      <c r="Q238" s="286"/>
      <c r="R238" s="286"/>
      <c r="S238" s="286"/>
      <c r="T238" s="286"/>
      <c r="U238" s="286"/>
      <c r="V238" s="287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customHeight="1" x14ac:dyDescent="0.2">
      <c r="A239" s="350" t="s">
        <v>322</v>
      </c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49"/>
      <c r="AB239" s="49"/>
      <c r="AC239" s="49"/>
    </row>
    <row r="240" spans="1:68" ht="16.5" customHeight="1" x14ac:dyDescent="0.25">
      <c r="A240" s="315" t="s">
        <v>322</v>
      </c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  <c r="AA240" s="271"/>
      <c r="AB240" s="271"/>
      <c r="AC240" s="271"/>
    </row>
    <row r="241" spans="1:68" ht="14.25" customHeight="1" x14ac:dyDescent="0.25">
      <c r="A241" s="308" t="s">
        <v>97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0"/>
      <c r="AB241" s="270"/>
      <c r="AC241" s="270"/>
    </row>
    <row r="242" spans="1:68" ht="27" customHeight="1" x14ac:dyDescent="0.25">
      <c r="A242" s="54" t="s">
        <v>323</v>
      </c>
      <c r="B242" s="54" t="s">
        <v>324</v>
      </c>
      <c r="C242" s="32">
        <v>4301132228</v>
      </c>
      <c r="D242" s="292">
        <v>4640242181950</v>
      </c>
      <c r="E242" s="293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89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1"/>
      <c r="P243" s="285" t="s">
        <v>87</v>
      </c>
      <c r="Q243" s="286"/>
      <c r="R243" s="286"/>
      <c r="S243" s="286"/>
      <c r="T243" s="286"/>
      <c r="U243" s="286"/>
      <c r="V243" s="287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5" t="s">
        <v>87</v>
      </c>
      <c r="Q244" s="286"/>
      <c r="R244" s="286"/>
      <c r="S244" s="286"/>
      <c r="T244" s="286"/>
      <c r="U244" s="286"/>
      <c r="V244" s="287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customHeight="1" x14ac:dyDescent="0.25">
      <c r="A245" s="308" t="s">
        <v>129</v>
      </c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90"/>
      <c r="Q245" s="290"/>
      <c r="R245" s="290"/>
      <c r="S245" s="290"/>
      <c r="T245" s="290"/>
      <c r="U245" s="290"/>
      <c r="V245" s="290"/>
      <c r="W245" s="290"/>
      <c r="X245" s="290"/>
      <c r="Y245" s="290"/>
      <c r="Z245" s="290"/>
      <c r="AA245" s="270"/>
      <c r="AB245" s="270"/>
      <c r="AC245" s="270"/>
    </row>
    <row r="246" spans="1:68" ht="27" customHeight="1" x14ac:dyDescent="0.25">
      <c r="A246" s="54" t="s">
        <v>326</v>
      </c>
      <c r="B246" s="54" t="s">
        <v>327</v>
      </c>
      <c r="C246" s="32">
        <v>4301136098</v>
      </c>
      <c r="D246" s="292">
        <v>4640242181943</v>
      </c>
      <c r="E246" s="293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9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1"/>
      <c r="P247" s="285" t="s">
        <v>87</v>
      </c>
      <c r="Q247" s="286"/>
      <c r="R247" s="286"/>
      <c r="S247" s="286"/>
      <c r="T247" s="286"/>
      <c r="U247" s="286"/>
      <c r="V247" s="287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5" t="s">
        <v>87</v>
      </c>
      <c r="Q248" s="286"/>
      <c r="R248" s="286"/>
      <c r="S248" s="286"/>
      <c r="T248" s="286"/>
      <c r="U248" s="286"/>
      <c r="V248" s="287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customHeight="1" x14ac:dyDescent="0.2">
      <c r="A249" s="350" t="s">
        <v>329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49"/>
      <c r="AB249" s="49"/>
      <c r="AC249" s="49"/>
    </row>
    <row r="250" spans="1:68" ht="16.5" customHeight="1" x14ac:dyDescent="0.25">
      <c r="A250" s="315" t="s">
        <v>329</v>
      </c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90"/>
      <c r="Q250" s="290"/>
      <c r="R250" s="290"/>
      <c r="S250" s="290"/>
      <c r="T250" s="290"/>
      <c r="U250" s="290"/>
      <c r="V250" s="290"/>
      <c r="W250" s="290"/>
      <c r="X250" s="290"/>
      <c r="Y250" s="290"/>
      <c r="Z250" s="290"/>
      <c r="AA250" s="271"/>
      <c r="AB250" s="271"/>
      <c r="AC250" s="271"/>
    </row>
    <row r="251" spans="1:68" ht="14.25" customHeight="1" x14ac:dyDescent="0.25">
      <c r="A251" s="308" t="s">
        <v>62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0"/>
      <c r="AB251" s="270"/>
      <c r="AC251" s="270"/>
    </row>
    <row r="252" spans="1:68" ht="27" customHeight="1" x14ac:dyDescent="0.25">
      <c r="A252" s="54" t="s">
        <v>330</v>
      </c>
      <c r="B252" s="54" t="s">
        <v>331</v>
      </c>
      <c r="C252" s="32">
        <v>4301071014</v>
      </c>
      <c r="D252" s="292">
        <v>4640242181264</v>
      </c>
      <c r="E252" s="293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2">
        <v>4301071021</v>
      </c>
      <c r="D253" s="292">
        <v>4640242181325</v>
      </c>
      <c r="E253" s="293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1"/>
      <c r="P254" s="285" t="s">
        <v>87</v>
      </c>
      <c r="Q254" s="286"/>
      <c r="R254" s="286"/>
      <c r="S254" s="286"/>
      <c r="T254" s="286"/>
      <c r="U254" s="286"/>
      <c r="V254" s="287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5" t="s">
        <v>87</v>
      </c>
      <c r="Q255" s="286"/>
      <c r="R255" s="286"/>
      <c r="S255" s="286"/>
      <c r="T255" s="286"/>
      <c r="U255" s="286"/>
      <c r="V255" s="287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customHeight="1" x14ac:dyDescent="0.25">
      <c r="A256" s="308" t="s">
        <v>97</v>
      </c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92">
        <v>4640242180397</v>
      </c>
      <c r="E257" s="293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5"/>
      <c r="V257" s="35"/>
      <c r="W257" s="36" t="s">
        <v>68</v>
      </c>
      <c r="X257" s="276">
        <v>48</v>
      </c>
      <c r="Y257" s="277">
        <f>IFERROR(IF(X257="","",X257),"")</f>
        <v>48</v>
      </c>
      <c r="Z257" s="37">
        <f>IFERROR(IF(X257="","",X257*0.0155),"")</f>
        <v>0.74399999999999999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300.48</v>
      </c>
      <c r="BN257" s="67">
        <f>IFERROR(Y257*I257,"0")</f>
        <v>300.48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89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1"/>
      <c r="P258" s="285" t="s">
        <v>87</v>
      </c>
      <c r="Q258" s="286"/>
      <c r="R258" s="286"/>
      <c r="S258" s="286"/>
      <c r="T258" s="286"/>
      <c r="U258" s="286"/>
      <c r="V258" s="287"/>
      <c r="W258" s="38" t="s">
        <v>68</v>
      </c>
      <c r="X258" s="278">
        <f>IFERROR(SUM(X257:X257),"0")</f>
        <v>48</v>
      </c>
      <c r="Y258" s="278">
        <f>IFERROR(SUM(Y257:Y257),"0")</f>
        <v>48</v>
      </c>
      <c r="Z258" s="278">
        <f>IFERROR(IF(Z257="",0,Z257),"0")</f>
        <v>0.74399999999999999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5" t="s">
        <v>87</v>
      </c>
      <c r="Q259" s="286"/>
      <c r="R259" s="286"/>
      <c r="S259" s="286"/>
      <c r="T259" s="286"/>
      <c r="U259" s="286"/>
      <c r="V259" s="287"/>
      <c r="W259" s="38" t="s">
        <v>88</v>
      </c>
      <c r="X259" s="278">
        <f>IFERROR(SUMPRODUCT(X257:X257*H257:H257),"0")</f>
        <v>288</v>
      </c>
      <c r="Y259" s="278">
        <f>IFERROR(SUMPRODUCT(Y257:Y257*H257:H257),"0")</f>
        <v>288</v>
      </c>
      <c r="Z259" s="38"/>
      <c r="AA259" s="279"/>
      <c r="AB259" s="279"/>
      <c r="AC259" s="279"/>
    </row>
    <row r="260" spans="1:68" ht="14.25" customHeight="1" x14ac:dyDescent="0.25">
      <c r="A260" s="308" t="s">
        <v>129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0"/>
      <c r="AB260" s="270"/>
      <c r="AC260" s="270"/>
    </row>
    <row r="261" spans="1:68" ht="27" customHeight="1" x14ac:dyDescent="0.25">
      <c r="A261" s="54" t="s">
        <v>338</v>
      </c>
      <c r="B261" s="54" t="s">
        <v>339</v>
      </c>
      <c r="C261" s="32">
        <v>4301136051</v>
      </c>
      <c r="D261" s="292">
        <v>4640242180304</v>
      </c>
      <c r="E261" s="293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92">
        <v>4640242180236</v>
      </c>
      <c r="E262" s="293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5"/>
      <c r="V262" s="35"/>
      <c r="W262" s="36" t="s">
        <v>68</v>
      </c>
      <c r="X262" s="276">
        <v>204</v>
      </c>
      <c r="Y262" s="277">
        <f>IFERROR(IF(X262="","",X262),"")</f>
        <v>204</v>
      </c>
      <c r="Z262" s="37">
        <f>IFERROR(IF(X262="","",X262*0.0155),"")</f>
        <v>3.1619999999999999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1067.94</v>
      </c>
      <c r="BN262" s="67">
        <f>IFERROR(Y262*I262,"0")</f>
        <v>1067.94</v>
      </c>
      <c r="BO262" s="67">
        <f>IFERROR(X262/J262,"0")</f>
        <v>2.4285714285714284</v>
      </c>
      <c r="BP262" s="67">
        <f>IFERROR(Y262/J262,"0")</f>
        <v>2.4285714285714284</v>
      </c>
    </row>
    <row r="263" spans="1:68" ht="27" customHeight="1" x14ac:dyDescent="0.25">
      <c r="A263" s="54" t="s">
        <v>343</v>
      </c>
      <c r="B263" s="54" t="s">
        <v>344</v>
      </c>
      <c r="C263" s="32">
        <v>4301136052</v>
      </c>
      <c r="D263" s="292">
        <v>4640242180410</v>
      </c>
      <c r="E263" s="293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9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1"/>
      <c r="P264" s="285" t="s">
        <v>87</v>
      </c>
      <c r="Q264" s="286"/>
      <c r="R264" s="286"/>
      <c r="S264" s="286"/>
      <c r="T264" s="286"/>
      <c r="U264" s="286"/>
      <c r="V264" s="287"/>
      <c r="W264" s="38" t="s">
        <v>68</v>
      </c>
      <c r="X264" s="278">
        <f>IFERROR(SUM(X261:X263),"0")</f>
        <v>204</v>
      </c>
      <c r="Y264" s="278">
        <f>IFERROR(SUM(Y261:Y263),"0")</f>
        <v>204</v>
      </c>
      <c r="Z264" s="278">
        <f>IFERROR(IF(Z261="",0,Z261),"0")+IFERROR(IF(Z262="",0,Z262),"0")+IFERROR(IF(Z263="",0,Z263),"0")</f>
        <v>3.1619999999999999</v>
      </c>
      <c r="AA264" s="279"/>
      <c r="AB264" s="279"/>
      <c r="AC264" s="279"/>
    </row>
    <row r="265" spans="1:68" x14ac:dyDescent="0.2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5" t="s">
        <v>87</v>
      </c>
      <c r="Q265" s="286"/>
      <c r="R265" s="286"/>
      <c r="S265" s="286"/>
      <c r="T265" s="286"/>
      <c r="U265" s="286"/>
      <c r="V265" s="287"/>
      <c r="W265" s="38" t="s">
        <v>88</v>
      </c>
      <c r="X265" s="278">
        <f>IFERROR(SUMPRODUCT(X261:X263*H261:H263),"0")</f>
        <v>1020</v>
      </c>
      <c r="Y265" s="278">
        <f>IFERROR(SUMPRODUCT(Y261:Y263*H261:H263),"0")</f>
        <v>1020</v>
      </c>
      <c r="Z265" s="38"/>
      <c r="AA265" s="279"/>
      <c r="AB265" s="279"/>
      <c r="AC265" s="279"/>
    </row>
    <row r="266" spans="1:68" ht="14.25" customHeight="1" x14ac:dyDescent="0.25">
      <c r="A266" s="308" t="s">
        <v>135</v>
      </c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90"/>
      <c r="Q266" s="290"/>
      <c r="R266" s="290"/>
      <c r="S266" s="290"/>
      <c r="T266" s="290"/>
      <c r="U266" s="290"/>
      <c r="V266" s="290"/>
      <c r="W266" s="290"/>
      <c r="X266" s="290"/>
      <c r="Y266" s="290"/>
      <c r="Z266" s="290"/>
      <c r="AA266" s="270"/>
      <c r="AB266" s="270"/>
      <c r="AC266" s="270"/>
    </row>
    <row r="267" spans="1:68" ht="37.5" customHeight="1" x14ac:dyDescent="0.25">
      <c r="A267" s="54" t="s">
        <v>345</v>
      </c>
      <c r="B267" s="54" t="s">
        <v>346</v>
      </c>
      <c r="C267" s="32">
        <v>4301135504</v>
      </c>
      <c r="D267" s="292">
        <v>4640242181554</v>
      </c>
      <c r="E267" s="293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92">
        <v>4640242182087</v>
      </c>
      <c r="E268" s="293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4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5"/>
      <c r="V268" s="35"/>
      <c r="W268" s="36" t="s">
        <v>68</v>
      </c>
      <c r="X268" s="276">
        <v>24</v>
      </c>
      <c r="Y268" s="277">
        <f t="shared" si="18"/>
        <v>24</v>
      </c>
      <c r="Z268" s="37">
        <f>IFERROR(IF(X268="","",X268*0.0155),"")</f>
        <v>0.372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125.52000000000001</v>
      </c>
      <c r="BN268" s="67">
        <f t="shared" si="20"/>
        <v>125.52000000000001</v>
      </c>
      <c r="BO268" s="67">
        <f t="shared" si="21"/>
        <v>0.2857142857142857</v>
      </c>
      <c r="BP268" s="67">
        <f t="shared" si="22"/>
        <v>0.2857142857142857</v>
      </c>
    </row>
    <row r="269" spans="1:68" ht="27" customHeight="1" x14ac:dyDescent="0.25">
      <c r="A269" s="54" t="s">
        <v>351</v>
      </c>
      <c r="B269" s="54" t="s">
        <v>352</v>
      </c>
      <c r="C269" s="32">
        <v>4301135374</v>
      </c>
      <c r="D269" s="292">
        <v>4640242181424</v>
      </c>
      <c r="E269" s="293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92">
        <v>4640242181523</v>
      </c>
      <c r="E270" s="293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5"/>
      <c r="V270" s="35"/>
      <c r="W270" s="36" t="s">
        <v>68</v>
      </c>
      <c r="X270" s="276">
        <v>84</v>
      </c>
      <c r="Y270" s="277">
        <f t="shared" si="18"/>
        <v>84</v>
      </c>
      <c r="Z270" s="37">
        <f t="shared" ref="Z270:Z275" si="23">IFERROR(IF(X270="","",X270*0.00936),"")</f>
        <v>0.78624000000000005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268.12800000000004</v>
      </c>
      <c r="BN270" s="67">
        <f t="shared" si="20"/>
        <v>268.12800000000004</v>
      </c>
      <c r="BO270" s="67">
        <f t="shared" si="21"/>
        <v>0.66666666666666663</v>
      </c>
      <c r="BP270" s="67">
        <f t="shared" si="22"/>
        <v>0.66666666666666663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92">
        <v>4640242181486</v>
      </c>
      <c r="E271" s="293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5"/>
      <c r="V271" s="35"/>
      <c r="W271" s="36" t="s">
        <v>68</v>
      </c>
      <c r="X271" s="276">
        <v>98</v>
      </c>
      <c r="Y271" s="277">
        <f t="shared" si="18"/>
        <v>98</v>
      </c>
      <c r="Z271" s="37">
        <f t="shared" si="23"/>
        <v>0.91727999999999998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381.416</v>
      </c>
      <c r="BN271" s="67">
        <f t="shared" si="20"/>
        <v>381.416</v>
      </c>
      <c r="BO271" s="67">
        <f t="shared" si="21"/>
        <v>0.77777777777777779</v>
      </c>
      <c r="BP271" s="67">
        <f t="shared" si="22"/>
        <v>0.77777777777777779</v>
      </c>
    </row>
    <row r="272" spans="1:68" ht="37.5" customHeight="1" x14ac:dyDescent="0.25">
      <c r="A272" s="54" t="s">
        <v>357</v>
      </c>
      <c r="B272" s="54" t="s">
        <v>358</v>
      </c>
      <c r="C272" s="32">
        <v>4301135402</v>
      </c>
      <c r="D272" s="292">
        <v>4640242181493</v>
      </c>
      <c r="E272" s="293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2">
        <v>4301135403</v>
      </c>
      <c r="D273" s="292">
        <v>4640242181509</v>
      </c>
      <c r="E273" s="293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2">
        <v>4301135304</v>
      </c>
      <c r="D274" s="292">
        <v>4640242181240</v>
      </c>
      <c r="E274" s="293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2">
        <v>4301135610</v>
      </c>
      <c r="D275" s="292">
        <v>4640242181318</v>
      </c>
      <c r="E275" s="293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2">
        <v>4301135306</v>
      </c>
      <c r="D276" s="292">
        <v>4640242181387</v>
      </c>
      <c r="E276" s="293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9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1"/>
      <c r="P277" s="285" t="s">
        <v>87</v>
      </c>
      <c r="Q277" s="286"/>
      <c r="R277" s="286"/>
      <c r="S277" s="286"/>
      <c r="T277" s="286"/>
      <c r="U277" s="286"/>
      <c r="V277" s="287"/>
      <c r="W277" s="38" t="s">
        <v>68</v>
      </c>
      <c r="X277" s="278">
        <f>IFERROR(SUM(X267:X276),"0")</f>
        <v>206</v>
      </c>
      <c r="Y277" s="278">
        <f>IFERROR(SUM(Y267:Y276),"0")</f>
        <v>206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2.07552</v>
      </c>
      <c r="AA277" s="279"/>
      <c r="AB277" s="279"/>
      <c r="AC277" s="279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5" t="s">
        <v>87</v>
      </c>
      <c r="Q278" s="286"/>
      <c r="R278" s="286"/>
      <c r="S278" s="286"/>
      <c r="T278" s="286"/>
      <c r="U278" s="286"/>
      <c r="V278" s="287"/>
      <c r="W278" s="38" t="s">
        <v>88</v>
      </c>
      <c r="X278" s="278">
        <f>IFERROR(SUMPRODUCT(X267:X276*H267:H276),"0")</f>
        <v>734.6</v>
      </c>
      <c r="Y278" s="278">
        <f>IFERROR(SUMPRODUCT(Y267:Y276*H267:H276),"0")</f>
        <v>734.6</v>
      </c>
      <c r="Z278" s="38"/>
      <c r="AA278" s="279"/>
      <c r="AB278" s="279"/>
      <c r="AC278" s="279"/>
    </row>
    <row r="279" spans="1:68" ht="15" customHeight="1" x14ac:dyDescent="0.2">
      <c r="A279" s="384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5542.4</v>
      </c>
      <c r="Y279" s="278">
        <f>IFERROR(Y31+Y37+Y44+Y50+Y58+Y63+Y68+Y74+Y80+Y85+Y91+Y101+Y107+Y118+Y122+Y126+Y134+Y140+Y146+Y152+Y158+Y163+Y168+Y173+Y180+Y185+Y194+Y200+Y206+Y212+Y217+Y222+Y228+Y234+Y238+Y244+Y248+Y255+Y259+Y265+Y278,"0")</f>
        <v>5542.4</v>
      </c>
      <c r="Z279" s="38"/>
      <c r="AA279" s="279"/>
      <c r="AB279" s="279"/>
      <c r="AC279" s="279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8" t="s">
        <v>88</v>
      </c>
      <c r="X280" s="278">
        <f>IFERROR(SUM(BM22:BM276),"0")</f>
        <v>6166.2724000000017</v>
      </c>
      <c r="Y280" s="278">
        <f>IFERROR(SUM(BN22:BN276),"0")</f>
        <v>6166.2724000000017</v>
      </c>
      <c r="Z280" s="38"/>
      <c r="AA280" s="279"/>
      <c r="AB280" s="279"/>
      <c r="AC280" s="279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8" t="s">
        <v>370</v>
      </c>
      <c r="X281" s="39">
        <f>ROUNDUP(SUM(BO22:BO276),0)</f>
        <v>17</v>
      </c>
      <c r="Y281" s="39">
        <f>ROUNDUP(SUM(BP22:BP276),0)</f>
        <v>17</v>
      </c>
      <c r="Z281" s="38"/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8" t="s">
        <v>88</v>
      </c>
      <c r="X282" s="278">
        <f>GrossWeightTotal+PalletQtyTotal*25</f>
        <v>6591.2724000000017</v>
      </c>
      <c r="Y282" s="278">
        <f>GrossWeightTotalR+PalletQtyTotalR*25</f>
        <v>6591.2724000000017</v>
      </c>
      <c r="Z282" s="38"/>
      <c r="AA282" s="279"/>
      <c r="AB282" s="279"/>
      <c r="AC282" s="279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1518</v>
      </c>
      <c r="Y283" s="278">
        <f>IFERROR(Y30+Y36+Y43+Y49+Y57+Y62+Y67+Y73+Y79+Y84+Y90+Y100+Y106+Y117+Y121+Y125+Y133+Y139+Y145+Y151+Y157+Y162+Y167+Y172+Y179+Y184+Y193+Y199+Y205+Y211+Y216+Y221+Y227+Y233+Y237+Y243+Y247+Y254+Y258+Y264+Y277,"0")</f>
        <v>1518</v>
      </c>
      <c r="Z283" s="38"/>
      <c r="AA283" s="279"/>
      <c r="AB283" s="279"/>
      <c r="AC283" s="279"/>
    </row>
    <row r="284" spans="1:68" ht="14.25" customHeight="1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20.95598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29"/>
      <c r="D286" s="297" t="s">
        <v>95</v>
      </c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9"/>
      <c r="V286" s="297" t="s">
        <v>255</v>
      </c>
      <c r="W286" s="429"/>
      <c r="X286" s="268" t="s">
        <v>266</v>
      </c>
      <c r="Y286" s="297" t="s">
        <v>280</v>
      </c>
      <c r="Z286" s="428"/>
      <c r="AA286" s="428"/>
      <c r="AB286" s="429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6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07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172.8</v>
      </c>
      <c r="C289" s="47">
        <f>IFERROR(X34*H34,"0")+IFERROR(X35*H35,"0")</f>
        <v>0</v>
      </c>
      <c r="D289" s="47">
        <f>IFERROR(X41*H41,"0")+IFERROR(X42*H42,"0")</f>
        <v>0</v>
      </c>
      <c r="E289" s="47">
        <f>IFERROR(X47*H47,"0")+IFERROR(X48*H48,"0")</f>
        <v>201.59999999999997</v>
      </c>
      <c r="F289" s="47">
        <f>IFERROR(X53*H53,"0")+IFERROR(X54*H54,"0")+IFERROR(X55*H55,"0")+IFERROR(X56*H56,"0")</f>
        <v>0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420</v>
      </c>
      <c r="I289" s="47">
        <f>IFERROR(X83*H83,"0")</f>
        <v>0</v>
      </c>
      <c r="J289" s="47">
        <f>IFERROR(X88*H88,"0")+IFERROR(X89*H89,"0")</f>
        <v>302.40000000000003</v>
      </c>
      <c r="K289" s="47">
        <f>IFERROR(X94*H94,"0")+IFERROR(X95*H95,"0")+IFERROR(X96*H96,"0")+IFERROR(X97*H97,"0")+IFERROR(X98*H98,"0")+IFERROR(X99*H99,"0")</f>
        <v>497.28</v>
      </c>
      <c r="L289" s="47">
        <f>IFERROR(X104*H104,"0")+IFERROR(X105*H105,"0")</f>
        <v>181.44000000000003</v>
      </c>
      <c r="M289" s="47">
        <f>IFERROR(X110*H110,"0")+IFERROR(X111*H111,"0")+IFERROR(X112*H112,"0")+IFERROR(X113*H113,"0")+IFERROR(X114*H114,"0")+IFERROR(X115*H115,"0")+IFERROR(X116*H116,"0")+IFERROR(X120*H120,"0")+IFERROR(X124*H124,"0")</f>
        <v>76.800000000000011</v>
      </c>
      <c r="N289" s="269"/>
      <c r="O289" s="47">
        <f>IFERROR(X129*H129,"0")+IFERROR(X130*H130,"0")+IFERROR(X131*H131,"0")+IFERROR(X132*H132,"0")+IFERROR(X136*H136,"0")+IFERROR(X137*H137,"0")+IFERROR(X138*H138,"0")</f>
        <v>228.47999999999996</v>
      </c>
      <c r="P289" s="47">
        <f>IFERROR(X143*H143,"0")+IFERROR(X144*H144,"0")</f>
        <v>252</v>
      </c>
      <c r="Q289" s="47">
        <f>IFERROR(X149*H149,"0")+IFERROR(X150*H150,"0")</f>
        <v>168</v>
      </c>
      <c r="R289" s="47">
        <f>IFERROR(X155*H155,"0")+IFERROR(X156*H156,"0")</f>
        <v>33.6</v>
      </c>
      <c r="S289" s="47">
        <f>IFERROR(X161*H161,"0")</f>
        <v>0</v>
      </c>
      <c r="T289" s="47">
        <f>IFERROR(X166*H166,"0")</f>
        <v>37.800000000000004</v>
      </c>
      <c r="U289" s="47">
        <f>IFERROR(X171*H171,"0")</f>
        <v>117.6</v>
      </c>
      <c r="V289" s="47">
        <f>IFERROR(X177*H177,"0")+IFERROR(X178*H178,"0")</f>
        <v>360</v>
      </c>
      <c r="W289" s="47">
        <f>IFERROR(X183*H183,"0")</f>
        <v>0</v>
      </c>
      <c r="X289" s="47">
        <f>IFERROR(X189*H189,"0")+IFERROR(X190*H190,"0")+IFERROR(X191*H191,"0")+IFERROR(X192*H192,"0")</f>
        <v>210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240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2042.6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1471.2</v>
      </c>
      <c r="B292" s="60">
        <f>SUMPRODUCT(--(BB:BB="ПГП"),--(W:W="кор"),H:H,Y:Y)+SUMPRODUCT(--(BB:BB="ПГП"),--(W:W="кг"),Y:Y)</f>
        <v>4071.2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8:C8"/>
    <mergeCell ref="P124:T124"/>
    <mergeCell ref="P163:V163"/>
    <mergeCell ref="A153:Z153"/>
    <mergeCell ref="D97:E97"/>
    <mergeCell ref="M287:M28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D54:E5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AD17:AF18"/>
    <mergeCell ref="P167:V167"/>
    <mergeCell ref="P117:V117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D226:E226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D270:E270"/>
    <mergeCell ref="P205:V205"/>
    <mergeCell ref="A201:Z201"/>
    <mergeCell ref="A64:Z64"/>
    <mergeCell ref="A51:Z51"/>
    <mergeCell ref="D105:E105"/>
    <mergeCell ref="P262:T262"/>
    <mergeCell ref="D276:E276"/>
    <mergeCell ref="N17:N18"/>
    <mergeCell ref="X287:X288"/>
    <mergeCell ref="D22:E22"/>
    <mergeCell ref="D155:E155"/>
    <mergeCell ref="A62:O63"/>
    <mergeCell ref="D149:E149"/>
    <mergeCell ref="Z287:Z288"/>
    <mergeCell ref="P255:V255"/>
    <mergeCell ref="P178:T178"/>
    <mergeCell ref="P34:T34"/>
    <mergeCell ref="P105:T105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G17:G18"/>
    <mergeCell ref="AA17:AA18"/>
    <mergeCell ref="A135:Z135"/>
    <mergeCell ref="AC17:AC18"/>
    <mergeCell ref="P107:V107"/>
    <mergeCell ref="P101:V101"/>
    <mergeCell ref="D89:E89"/>
    <mergeCell ref="A224:Z224"/>
    <mergeCell ref="V6:W9"/>
    <mergeCell ref="A106:O107"/>
    <mergeCell ref="A59:Z59"/>
    <mergeCell ref="P22:T22"/>
    <mergeCell ref="D65:E65"/>
    <mergeCell ref="D6:M6"/>
    <mergeCell ref="P57:V57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D190:E190"/>
    <mergeCell ref="P203:T203"/>
    <mergeCell ref="D246:E246"/>
    <mergeCell ref="D111:E111"/>
    <mergeCell ref="P212:V212"/>
    <mergeCell ref="A142:Z142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Q11:R11"/>
    <mergeCell ref="A219:Z219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D129:E129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Q9:R9"/>
    <mergeCell ref="A159:Z159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