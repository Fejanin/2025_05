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03,09,26 ПОКОМ КИ\дозаказы 05-06,09,26\"/>
    </mc:Choice>
  </mc:AlternateContent>
  <xr:revisionPtr revIDLastSave="0" documentId="13_ncr:1_{CAF37E42-30C9-4997-83D0-6FB7A3D3F5CA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62" i="2" l="1"/>
  <c r="X561" i="2"/>
  <c r="BO560" i="2"/>
  <c r="BM560" i="2"/>
  <c r="Y560" i="2"/>
  <c r="AC573" i="2" s="1"/>
  <c r="P560" i="2"/>
  <c r="X557" i="2"/>
  <c r="X556" i="2"/>
  <c r="BO555" i="2"/>
  <c r="BM555" i="2"/>
  <c r="Y555" i="2"/>
  <c r="P555" i="2"/>
  <c r="BO554" i="2"/>
  <c r="BM554" i="2"/>
  <c r="Y554" i="2"/>
  <c r="BP554" i="2" s="1"/>
  <c r="P554" i="2"/>
  <c r="X552" i="2"/>
  <c r="X551" i="2"/>
  <c r="BO550" i="2"/>
  <c r="BM550" i="2"/>
  <c r="Y550" i="2"/>
  <c r="Y551" i="2" s="1"/>
  <c r="P550" i="2"/>
  <c r="X548" i="2"/>
  <c r="X547" i="2"/>
  <c r="BO546" i="2"/>
  <c r="BM546" i="2"/>
  <c r="Y546" i="2"/>
  <c r="Z546" i="2" s="1"/>
  <c r="Z547" i="2" s="1"/>
  <c r="P546" i="2"/>
  <c r="X544" i="2"/>
  <c r="X543" i="2"/>
  <c r="BO542" i="2"/>
  <c r="BM542" i="2"/>
  <c r="Y542" i="2"/>
  <c r="Y544" i="2" s="1"/>
  <c r="P542" i="2"/>
  <c r="X540" i="2"/>
  <c r="X539" i="2"/>
  <c r="BO538" i="2"/>
  <c r="BM538" i="2"/>
  <c r="Y538" i="2"/>
  <c r="Y539" i="2" s="1"/>
  <c r="P538" i="2"/>
  <c r="X534" i="2"/>
  <c r="X533" i="2"/>
  <c r="BO532" i="2"/>
  <c r="BM532" i="2"/>
  <c r="Y532" i="2"/>
  <c r="Z532" i="2" s="1"/>
  <c r="P532" i="2"/>
  <c r="BO531" i="2"/>
  <c r="BM531" i="2"/>
  <c r="Y531" i="2"/>
  <c r="BP531" i="2" s="1"/>
  <c r="P531" i="2"/>
  <c r="BO530" i="2"/>
  <c r="BM530" i="2"/>
  <c r="Y530" i="2"/>
  <c r="BN530" i="2" s="1"/>
  <c r="P530" i="2"/>
  <c r="BO529" i="2"/>
  <c r="BM529" i="2"/>
  <c r="Y529" i="2"/>
  <c r="P529" i="2"/>
  <c r="BO528" i="2"/>
  <c r="BN528" i="2"/>
  <c r="BM528" i="2"/>
  <c r="Y528" i="2"/>
  <c r="BP528" i="2" s="1"/>
  <c r="P528" i="2"/>
  <c r="BO527" i="2"/>
  <c r="BM527" i="2"/>
  <c r="Y527" i="2"/>
  <c r="P527" i="2"/>
  <c r="BO526" i="2"/>
  <c r="BM526" i="2"/>
  <c r="Y526" i="2"/>
  <c r="BP526" i="2" s="1"/>
  <c r="P526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Y524" i="2" s="1"/>
  <c r="P520" i="2"/>
  <c r="X518" i="2"/>
  <c r="X517" i="2"/>
  <c r="BO516" i="2"/>
  <c r="BM516" i="2"/>
  <c r="Y516" i="2"/>
  <c r="P516" i="2"/>
  <c r="BO515" i="2"/>
  <c r="BM515" i="2"/>
  <c r="Y515" i="2"/>
  <c r="BP515" i="2" s="1"/>
  <c r="P515" i="2"/>
  <c r="BP514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Z509" i="2" s="1"/>
  <c r="P509" i="2"/>
  <c r="BO508" i="2"/>
  <c r="BM508" i="2"/>
  <c r="Y508" i="2"/>
  <c r="BN508" i="2" s="1"/>
  <c r="P508" i="2"/>
  <c r="X504" i="2"/>
  <c r="X503" i="2"/>
  <c r="BO502" i="2"/>
  <c r="BM502" i="2"/>
  <c r="Y502" i="2"/>
  <c r="BN502" i="2" s="1"/>
  <c r="P502" i="2"/>
  <c r="BO501" i="2"/>
  <c r="BM501" i="2"/>
  <c r="Y501" i="2"/>
  <c r="Y504" i="2" s="1"/>
  <c r="P501" i="2"/>
  <c r="BO500" i="2"/>
  <c r="BM500" i="2"/>
  <c r="Y500" i="2"/>
  <c r="Z500" i="2" s="1"/>
  <c r="P500" i="2"/>
  <c r="X498" i="2"/>
  <c r="X497" i="2"/>
  <c r="BO496" i="2"/>
  <c r="BM496" i="2"/>
  <c r="Y496" i="2"/>
  <c r="BP496" i="2" s="1"/>
  <c r="P496" i="2"/>
  <c r="X493" i="2"/>
  <c r="X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O485" i="2"/>
  <c r="BM485" i="2"/>
  <c r="Y485" i="2"/>
  <c r="BN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X477" i="2"/>
  <c r="X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X471" i="2"/>
  <c r="X470" i="2"/>
  <c r="BO469" i="2"/>
  <c r="BN469" i="2"/>
  <c r="BM469" i="2"/>
  <c r="Y469" i="2"/>
  <c r="Y470" i="2" s="1"/>
  <c r="P469" i="2"/>
  <c r="X467" i="2"/>
  <c r="X466" i="2"/>
  <c r="BO465" i="2"/>
  <c r="BM465" i="2"/>
  <c r="Y465" i="2"/>
  <c r="Z465" i="2" s="1"/>
  <c r="P465" i="2"/>
  <c r="BO464" i="2"/>
  <c r="BM464" i="2"/>
  <c r="Y464" i="2"/>
  <c r="P464" i="2"/>
  <c r="X461" i="2"/>
  <c r="X460" i="2"/>
  <c r="BO459" i="2"/>
  <c r="BN459" i="2"/>
  <c r="BM459" i="2"/>
  <c r="Y459" i="2"/>
  <c r="Z459" i="2" s="1"/>
  <c r="P459" i="2"/>
  <c r="BO458" i="2"/>
  <c r="BM458" i="2"/>
  <c r="Y458" i="2"/>
  <c r="BP458" i="2" s="1"/>
  <c r="P458" i="2"/>
  <c r="X456" i="2"/>
  <c r="X455" i="2"/>
  <c r="BO454" i="2"/>
  <c r="BM454" i="2"/>
  <c r="Y454" i="2"/>
  <c r="BN454" i="2" s="1"/>
  <c r="P454" i="2"/>
  <c r="BO453" i="2"/>
  <c r="BM453" i="2"/>
  <c r="Y453" i="2"/>
  <c r="BN453" i="2" s="1"/>
  <c r="P453" i="2"/>
  <c r="BO452" i="2"/>
  <c r="BM452" i="2"/>
  <c r="Y452" i="2"/>
  <c r="Z452" i="2" s="1"/>
  <c r="P452" i="2"/>
  <c r="X450" i="2"/>
  <c r="X449" i="2"/>
  <c r="BO448" i="2"/>
  <c r="BM448" i="2"/>
  <c r="Y448" i="2"/>
  <c r="P448" i="2"/>
  <c r="BO447" i="2"/>
  <c r="BM447" i="2"/>
  <c r="Z447" i="2"/>
  <c r="Y447" i="2"/>
  <c r="BN447" i="2" s="1"/>
  <c r="P447" i="2"/>
  <c r="BO446" i="2"/>
  <c r="BM446" i="2"/>
  <c r="Y446" i="2"/>
  <c r="P446" i="2"/>
  <c r="X444" i="2"/>
  <c r="X443" i="2"/>
  <c r="BP442" i="2"/>
  <c r="BO442" i="2"/>
  <c r="BM442" i="2"/>
  <c r="Y442" i="2"/>
  <c r="P442" i="2"/>
  <c r="BO441" i="2"/>
  <c r="BM441" i="2"/>
  <c r="Y441" i="2"/>
  <c r="BP441" i="2" s="1"/>
  <c r="P441" i="2"/>
  <c r="BO440" i="2"/>
  <c r="BN440" i="2"/>
  <c r="BM440" i="2"/>
  <c r="Y440" i="2"/>
  <c r="BP440" i="2" s="1"/>
  <c r="P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P436" i="2" s="1"/>
  <c r="P436" i="2"/>
  <c r="BO435" i="2"/>
  <c r="BN435" i="2"/>
  <c r="BM435" i="2"/>
  <c r="Y435" i="2"/>
  <c r="Z435" i="2" s="1"/>
  <c r="P435" i="2"/>
  <c r="X431" i="2"/>
  <c r="X430" i="2"/>
  <c r="BO429" i="2"/>
  <c r="BM429" i="2"/>
  <c r="Y429" i="2"/>
  <c r="P429" i="2"/>
  <c r="BO428" i="2"/>
  <c r="BM428" i="2"/>
  <c r="Y428" i="2"/>
  <c r="BP428" i="2" s="1"/>
  <c r="P428" i="2"/>
  <c r="BO427" i="2"/>
  <c r="BM427" i="2"/>
  <c r="Y427" i="2"/>
  <c r="Y430" i="2" s="1"/>
  <c r="P427" i="2"/>
  <c r="X424" i="2"/>
  <c r="X423" i="2"/>
  <c r="BO422" i="2"/>
  <c r="BM422" i="2"/>
  <c r="Y422" i="2"/>
  <c r="BN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P414" i="2"/>
  <c r="X412" i="2"/>
  <c r="X411" i="2"/>
  <c r="BO410" i="2"/>
  <c r="BN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P408" i="2"/>
  <c r="X406" i="2"/>
  <c r="X405" i="2"/>
  <c r="BP404" i="2"/>
  <c r="BO404" i="2"/>
  <c r="BM404" i="2"/>
  <c r="Y404" i="2"/>
  <c r="BN404" i="2" s="1"/>
  <c r="P404" i="2"/>
  <c r="BP403" i="2"/>
  <c r="BO403" i="2"/>
  <c r="BM403" i="2"/>
  <c r="Y403" i="2"/>
  <c r="BN403" i="2" s="1"/>
  <c r="P403" i="2"/>
  <c r="BO402" i="2"/>
  <c r="BM402" i="2"/>
  <c r="Y402" i="2"/>
  <c r="P402" i="2"/>
  <c r="BO401" i="2"/>
  <c r="BN401" i="2"/>
  <c r="BM401" i="2"/>
  <c r="Y401" i="2"/>
  <c r="BP401" i="2" s="1"/>
  <c r="P401" i="2"/>
  <c r="X399" i="2"/>
  <c r="X398" i="2"/>
  <c r="BO397" i="2"/>
  <c r="BM397" i="2"/>
  <c r="Z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P395" i="2"/>
  <c r="X393" i="2"/>
  <c r="X392" i="2"/>
  <c r="BO391" i="2"/>
  <c r="BM391" i="2"/>
  <c r="Y391" i="2"/>
  <c r="Z391" i="2" s="1"/>
  <c r="P391" i="2"/>
  <c r="BP390" i="2"/>
  <c r="BO390" i="2"/>
  <c r="BN390" i="2"/>
  <c r="BM390" i="2"/>
  <c r="Z390" i="2"/>
  <c r="Y390" i="2"/>
  <c r="P390" i="2"/>
  <c r="BP389" i="2"/>
  <c r="BO389" i="2"/>
  <c r="BM389" i="2"/>
  <c r="Y389" i="2"/>
  <c r="BN389" i="2" s="1"/>
  <c r="P389" i="2"/>
  <c r="BO388" i="2"/>
  <c r="BM388" i="2"/>
  <c r="Y388" i="2"/>
  <c r="BP388" i="2" s="1"/>
  <c r="P388" i="2"/>
  <c r="X386" i="2"/>
  <c r="X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P371" i="2"/>
  <c r="BO370" i="2"/>
  <c r="BN370" i="2"/>
  <c r="BM370" i="2"/>
  <c r="Y370" i="2"/>
  <c r="P370" i="2"/>
  <c r="X367" i="2"/>
  <c r="X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X360" i="2"/>
  <c r="X359" i="2"/>
  <c r="BO358" i="2"/>
  <c r="BM358" i="2"/>
  <c r="Y358" i="2"/>
  <c r="Y360" i="2" s="1"/>
  <c r="P358" i="2"/>
  <c r="BO357" i="2"/>
  <c r="BM357" i="2"/>
  <c r="Y357" i="2"/>
  <c r="BP357" i="2" s="1"/>
  <c r="P357" i="2"/>
  <c r="X355" i="2"/>
  <c r="X354" i="2"/>
  <c r="BO353" i="2"/>
  <c r="BM353" i="2"/>
  <c r="Z353" i="2"/>
  <c r="Y353" i="2"/>
  <c r="BP353" i="2" s="1"/>
  <c r="P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BP350" i="2" s="1"/>
  <c r="P350" i="2"/>
  <c r="BP349" i="2"/>
  <c r="BO349" i="2"/>
  <c r="BM349" i="2"/>
  <c r="Y349" i="2"/>
  <c r="BN349" i="2" s="1"/>
  <c r="P349" i="2"/>
  <c r="X346" i="2"/>
  <c r="X345" i="2"/>
  <c r="BO344" i="2"/>
  <c r="BM344" i="2"/>
  <c r="Y344" i="2"/>
  <c r="BN344" i="2" s="1"/>
  <c r="P344" i="2"/>
  <c r="BO343" i="2"/>
  <c r="BM343" i="2"/>
  <c r="Y343" i="2"/>
  <c r="BP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P336" i="2"/>
  <c r="BO335" i="2"/>
  <c r="BN335" i="2"/>
  <c r="BM335" i="2"/>
  <c r="Y335" i="2"/>
  <c r="Z335" i="2" s="1"/>
  <c r="P335" i="2"/>
  <c r="BO334" i="2"/>
  <c r="BM334" i="2"/>
  <c r="Y334" i="2"/>
  <c r="P334" i="2"/>
  <c r="BO333" i="2"/>
  <c r="BM333" i="2"/>
  <c r="Y333" i="2"/>
  <c r="BP333" i="2" s="1"/>
  <c r="P333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Y330" i="2" s="1"/>
  <c r="P326" i="2"/>
  <c r="X324" i="2"/>
  <c r="Y323" i="2"/>
  <c r="X323" i="2"/>
  <c r="BO322" i="2"/>
  <c r="BN322" i="2"/>
  <c r="BM322" i="2"/>
  <c r="Y322" i="2"/>
  <c r="Y324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P314" i="2" s="1"/>
  <c r="P314" i="2"/>
  <c r="BO313" i="2"/>
  <c r="BM313" i="2"/>
  <c r="Y313" i="2"/>
  <c r="P313" i="2"/>
  <c r="BO312" i="2"/>
  <c r="BM312" i="2"/>
  <c r="Y312" i="2"/>
  <c r="Z312" i="2" s="1"/>
  <c r="P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X300" i="2"/>
  <c r="X299" i="2"/>
  <c r="BO298" i="2"/>
  <c r="BM298" i="2"/>
  <c r="Y298" i="2"/>
  <c r="P298" i="2"/>
  <c r="BO297" i="2"/>
  <c r="BN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Z291" i="2" s="1"/>
  <c r="P291" i="2"/>
  <c r="BO290" i="2"/>
  <c r="BN290" i="2"/>
  <c r="BM290" i="2"/>
  <c r="Y290" i="2"/>
  <c r="BP290" i="2" s="1"/>
  <c r="P290" i="2"/>
  <c r="BP289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Z287" i="2"/>
  <c r="Y287" i="2"/>
  <c r="P287" i="2"/>
  <c r="X285" i="2"/>
  <c r="X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Z281" i="2" s="1"/>
  <c r="P281" i="2"/>
  <c r="BP280" i="2"/>
  <c r="BO280" i="2"/>
  <c r="BM280" i="2"/>
  <c r="Y280" i="2"/>
  <c r="BN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N276" i="2"/>
  <c r="BM276" i="2"/>
  <c r="Y276" i="2"/>
  <c r="Z276" i="2" s="1"/>
  <c r="P276" i="2"/>
  <c r="X274" i="2"/>
  <c r="X273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P261" i="2"/>
  <c r="BO261" i="2"/>
  <c r="BM261" i="2"/>
  <c r="Y261" i="2"/>
  <c r="BN261" i="2" s="1"/>
  <c r="P261" i="2"/>
  <c r="X259" i="2"/>
  <c r="X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P249" i="2"/>
  <c r="BO249" i="2"/>
  <c r="BM249" i="2"/>
  <c r="Y249" i="2"/>
  <c r="BN249" i="2" s="1"/>
  <c r="P249" i="2"/>
  <c r="BO248" i="2"/>
  <c r="BM248" i="2"/>
  <c r="Y248" i="2"/>
  <c r="P248" i="2"/>
  <c r="BO247" i="2"/>
  <c r="BM247" i="2"/>
  <c r="Y247" i="2"/>
  <c r="P247" i="2"/>
  <c r="X245" i="2"/>
  <c r="X244" i="2"/>
  <c r="BO243" i="2"/>
  <c r="BM243" i="2"/>
  <c r="Y243" i="2"/>
  <c r="BN243" i="2" s="1"/>
  <c r="P243" i="2"/>
  <c r="BP242" i="2"/>
  <c r="BO242" i="2"/>
  <c r="BM242" i="2"/>
  <c r="Y242" i="2"/>
  <c r="BN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N234" i="2" s="1"/>
  <c r="P234" i="2"/>
  <c r="BP233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Y228" i="2"/>
  <c r="X228" i="2"/>
  <c r="X227" i="2"/>
  <c r="BP226" i="2"/>
  <c r="BO226" i="2"/>
  <c r="BM226" i="2"/>
  <c r="Y226" i="2"/>
  <c r="Y227" i="2" s="1"/>
  <c r="P226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Z217" i="2" s="1"/>
  <c r="P217" i="2"/>
  <c r="BP216" i="2"/>
  <c r="BO216" i="2"/>
  <c r="BN216" i="2"/>
  <c r="BM216" i="2"/>
  <c r="Z216" i="2"/>
  <c r="Y216" i="2"/>
  <c r="P216" i="2"/>
  <c r="BO215" i="2"/>
  <c r="BM215" i="2"/>
  <c r="Y215" i="2"/>
  <c r="BP215" i="2" s="1"/>
  <c r="P215" i="2"/>
  <c r="X211" i="2"/>
  <c r="X210" i="2"/>
  <c r="BP209" i="2"/>
  <c r="BO209" i="2"/>
  <c r="BM209" i="2"/>
  <c r="Y209" i="2"/>
  <c r="Y211" i="2" s="1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Z199" i="2"/>
  <c r="Y199" i="2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Z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Z190" i="2"/>
  <c r="Y190" i="2"/>
  <c r="BN190" i="2" s="1"/>
  <c r="P190" i="2"/>
  <c r="BO189" i="2"/>
  <c r="BM189" i="2"/>
  <c r="Y189" i="2"/>
  <c r="BP189" i="2" s="1"/>
  <c r="BO188" i="2"/>
  <c r="BM188" i="2"/>
  <c r="Y188" i="2"/>
  <c r="Z188" i="2" s="1"/>
  <c r="P188" i="2"/>
  <c r="BO187" i="2"/>
  <c r="BM187" i="2"/>
  <c r="Y187" i="2"/>
  <c r="BP187" i="2" s="1"/>
  <c r="BO186" i="2"/>
  <c r="BM186" i="2"/>
  <c r="Y186" i="2"/>
  <c r="P186" i="2"/>
  <c r="BO185" i="2"/>
  <c r="BN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X168" i="2"/>
  <c r="X167" i="2"/>
  <c r="BO166" i="2"/>
  <c r="BM166" i="2"/>
  <c r="Y166" i="2"/>
  <c r="BP166" i="2" s="1"/>
  <c r="P166" i="2"/>
  <c r="X164" i="2"/>
  <c r="X163" i="2"/>
  <c r="BO162" i="2"/>
  <c r="BM162" i="2"/>
  <c r="Y162" i="2"/>
  <c r="BN162" i="2" s="1"/>
  <c r="P162" i="2"/>
  <c r="BO161" i="2"/>
  <c r="BN161" i="2"/>
  <c r="BM161" i="2"/>
  <c r="Y161" i="2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Y153" i="2" s="1"/>
  <c r="P151" i="2"/>
  <c r="BP150" i="2"/>
  <c r="BO150" i="2"/>
  <c r="BN150" i="2"/>
  <c r="BM150" i="2"/>
  <c r="Z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7" i="2"/>
  <c r="X136" i="2"/>
  <c r="BO135" i="2"/>
  <c r="BM135" i="2"/>
  <c r="Y135" i="2"/>
  <c r="BN135" i="2" s="1"/>
  <c r="BO134" i="2"/>
  <c r="BM134" i="2"/>
  <c r="Y134" i="2"/>
  <c r="Y137" i="2" s="1"/>
  <c r="P134" i="2"/>
  <c r="X132" i="2"/>
  <c r="X131" i="2"/>
  <c r="BP130" i="2"/>
  <c r="BO130" i="2"/>
  <c r="BM130" i="2"/>
  <c r="Y130" i="2"/>
  <c r="BN130" i="2" s="1"/>
  <c r="BO129" i="2"/>
  <c r="BM129" i="2"/>
  <c r="Y129" i="2"/>
  <c r="BN129" i="2" s="1"/>
  <c r="P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Z125" i="2" s="1"/>
  <c r="P125" i="2"/>
  <c r="BO124" i="2"/>
  <c r="BM124" i="2"/>
  <c r="Y124" i="2"/>
  <c r="BP124" i="2" s="1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P118" i="2"/>
  <c r="BO117" i="2"/>
  <c r="BM117" i="2"/>
  <c r="Y117" i="2"/>
  <c r="Z117" i="2" s="1"/>
  <c r="P117" i="2"/>
  <c r="BO116" i="2"/>
  <c r="BM116" i="2"/>
  <c r="Z116" i="2"/>
  <c r="Y116" i="2"/>
  <c r="BN116" i="2" s="1"/>
  <c r="P116" i="2"/>
  <c r="BO115" i="2"/>
  <c r="BM115" i="2"/>
  <c r="Y115" i="2"/>
  <c r="P115" i="2"/>
  <c r="X113" i="2"/>
  <c r="X112" i="2"/>
  <c r="BO111" i="2"/>
  <c r="BM111" i="2"/>
  <c r="Y111" i="2"/>
  <c r="BN111" i="2" s="1"/>
  <c r="P111" i="2"/>
  <c r="BO110" i="2"/>
  <c r="BM110" i="2"/>
  <c r="Y110" i="2"/>
  <c r="Z110" i="2" s="1"/>
  <c r="BO109" i="2"/>
  <c r="BM109" i="2"/>
  <c r="Y109" i="2"/>
  <c r="BP109" i="2" s="1"/>
  <c r="P109" i="2"/>
  <c r="BO108" i="2"/>
  <c r="BM108" i="2"/>
  <c r="Y108" i="2"/>
  <c r="BN108" i="2" s="1"/>
  <c r="P108" i="2"/>
  <c r="BO107" i="2"/>
  <c r="BN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BO97" i="2"/>
  <c r="BM97" i="2"/>
  <c r="Y97" i="2"/>
  <c r="Z97" i="2" s="1"/>
  <c r="P97" i="2"/>
  <c r="BO96" i="2"/>
  <c r="BM96" i="2"/>
  <c r="Z96" i="2"/>
  <c r="Y96" i="2"/>
  <c r="BN96" i="2" s="1"/>
  <c r="BO95" i="2"/>
  <c r="BM95" i="2"/>
  <c r="Y95" i="2"/>
  <c r="BP95" i="2" s="1"/>
  <c r="P95" i="2"/>
  <c r="BO94" i="2"/>
  <c r="BM94" i="2"/>
  <c r="Y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O86" i="2"/>
  <c r="BM86" i="2"/>
  <c r="Z86" i="2"/>
  <c r="Y86" i="2"/>
  <c r="BN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N59" i="2"/>
  <c r="BM59" i="2"/>
  <c r="Y59" i="2"/>
  <c r="BP59" i="2" s="1"/>
  <c r="P59" i="2"/>
  <c r="BO58" i="2"/>
  <c r="BM58" i="2"/>
  <c r="Y58" i="2"/>
  <c r="BP58" i="2" s="1"/>
  <c r="P58" i="2"/>
  <c r="BO57" i="2"/>
  <c r="BN57" i="2"/>
  <c r="BM57" i="2"/>
  <c r="Y57" i="2"/>
  <c r="Z57" i="2" s="1"/>
  <c r="P57" i="2"/>
  <c r="BP56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N50" i="2"/>
  <c r="BM50" i="2"/>
  <c r="Y50" i="2"/>
  <c r="Z50" i="2" s="1"/>
  <c r="P50" i="2"/>
  <c r="BO49" i="2"/>
  <c r="BM49" i="2"/>
  <c r="Y49" i="2"/>
  <c r="BP49" i="2" s="1"/>
  <c r="P49" i="2"/>
  <c r="BP48" i="2"/>
  <c r="BO48" i="2"/>
  <c r="BN48" i="2"/>
  <c r="BM48" i="2"/>
  <c r="Z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N40" i="2"/>
  <c r="BM40" i="2"/>
  <c r="Y40" i="2"/>
  <c r="BP40" i="2" s="1"/>
  <c r="P40" i="2"/>
  <c r="BO39" i="2"/>
  <c r="BM39" i="2"/>
  <c r="Z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Z105" i="2" l="1"/>
  <c r="Z129" i="2"/>
  <c r="Y262" i="2"/>
  <c r="Y399" i="2"/>
  <c r="Y406" i="2"/>
  <c r="BN483" i="2"/>
  <c r="BP510" i="2"/>
  <c r="BN105" i="2"/>
  <c r="Y263" i="2"/>
  <c r="BP272" i="2"/>
  <c r="Z409" i="2"/>
  <c r="BP427" i="2"/>
  <c r="BP129" i="2"/>
  <c r="Z140" i="2"/>
  <c r="Z142" i="2" s="1"/>
  <c r="BP279" i="2"/>
  <c r="BN515" i="2"/>
  <c r="BN117" i="2"/>
  <c r="Z458" i="2"/>
  <c r="Z460" i="2" s="1"/>
  <c r="BN217" i="2"/>
  <c r="BP295" i="2"/>
  <c r="BP302" i="2"/>
  <c r="BP382" i="2"/>
  <c r="BP140" i="2"/>
  <c r="Z162" i="2"/>
  <c r="Z280" i="2"/>
  <c r="BP344" i="2"/>
  <c r="BN428" i="2"/>
  <c r="BN458" i="2"/>
  <c r="BN30" i="2"/>
  <c r="BP530" i="2"/>
  <c r="BN141" i="2"/>
  <c r="BN193" i="2"/>
  <c r="BN267" i="2"/>
  <c r="Z404" i="2"/>
  <c r="BP485" i="2"/>
  <c r="BN312" i="2"/>
  <c r="BP379" i="2"/>
  <c r="Z127" i="2"/>
  <c r="Z277" i="2"/>
  <c r="BP292" i="2"/>
  <c r="BP372" i="2"/>
  <c r="BN281" i="2"/>
  <c r="Y418" i="2"/>
  <c r="Z177" i="2"/>
  <c r="Z179" i="2" s="1"/>
  <c r="Z261" i="2"/>
  <c r="Z262" i="2" s="1"/>
  <c r="Y477" i="2"/>
  <c r="BP513" i="2"/>
  <c r="BN27" i="2"/>
  <c r="Y113" i="2"/>
  <c r="Z230" i="2"/>
  <c r="BN380" i="2"/>
  <c r="BN391" i="2"/>
  <c r="BP422" i="2"/>
  <c r="BP453" i="2"/>
  <c r="BP520" i="2"/>
  <c r="Y42" i="2"/>
  <c r="Z108" i="2"/>
  <c r="BP151" i="2"/>
  <c r="BP414" i="2"/>
  <c r="BP482" i="2"/>
  <c r="BP135" i="2"/>
  <c r="BN350" i="2"/>
  <c r="BN357" i="2"/>
  <c r="Y411" i="2"/>
  <c r="X573" i="2"/>
  <c r="BP473" i="2"/>
  <c r="BN436" i="2"/>
  <c r="BN438" i="2"/>
  <c r="X567" i="2"/>
  <c r="X565" i="2"/>
  <c r="Y25" i="2"/>
  <c r="BN28" i="2"/>
  <c r="Y33" i="2"/>
  <c r="BP30" i="2"/>
  <c r="BN38" i="2"/>
  <c r="BP39" i="2"/>
  <c r="BP57" i="2"/>
  <c r="BP67" i="2"/>
  <c r="Y74" i="2"/>
  <c r="BP71" i="2"/>
  <c r="BP86" i="2"/>
  <c r="BP96" i="2"/>
  <c r="BN97" i="2"/>
  <c r="BP146" i="2"/>
  <c r="Z146" i="2"/>
  <c r="BN186" i="2"/>
  <c r="Z186" i="2"/>
  <c r="BP201" i="2"/>
  <c r="BN205" i="2"/>
  <c r="Z205" i="2"/>
  <c r="Z206" i="2" s="1"/>
  <c r="BN236" i="2"/>
  <c r="BP236" i="2"/>
  <c r="BP237" i="2"/>
  <c r="Z237" i="2"/>
  <c r="BP239" i="2"/>
  <c r="BN311" i="2"/>
  <c r="BP311" i="2"/>
  <c r="Z311" i="2"/>
  <c r="BN336" i="2"/>
  <c r="BP336" i="2"/>
  <c r="Z371" i="2"/>
  <c r="BN371" i="2"/>
  <c r="BN501" i="2"/>
  <c r="BP501" i="2"/>
  <c r="BN516" i="2"/>
  <c r="BP516" i="2"/>
  <c r="Z516" i="2"/>
  <c r="BP22" i="2"/>
  <c r="BP77" i="2"/>
  <c r="Z77" i="2"/>
  <c r="Y82" i="2"/>
  <c r="BP87" i="2"/>
  <c r="Z87" i="2"/>
  <c r="Y100" i="2"/>
  <c r="BP93" i="2"/>
  <c r="Z93" i="2"/>
  <c r="BN94" i="2"/>
  <c r="BP94" i="2"/>
  <c r="BP104" i="2"/>
  <c r="BP123" i="2"/>
  <c r="Z126" i="2"/>
  <c r="BN126" i="2"/>
  <c r="BP191" i="2"/>
  <c r="Z191" i="2"/>
  <c r="Z238" i="2"/>
  <c r="BN238" i="2"/>
  <c r="BP247" i="2"/>
  <c r="Z247" i="2"/>
  <c r="BN256" i="2"/>
  <c r="BP256" i="2"/>
  <c r="BP257" i="2"/>
  <c r="Z257" i="2"/>
  <c r="Y284" i="2"/>
  <c r="BN296" i="2"/>
  <c r="Z296" i="2"/>
  <c r="BN313" i="2"/>
  <c r="BP313" i="2"/>
  <c r="BN328" i="2"/>
  <c r="BP328" i="2"/>
  <c r="BN364" i="2"/>
  <c r="BP364" i="2"/>
  <c r="BN437" i="2"/>
  <c r="BP437" i="2"/>
  <c r="Z437" i="2"/>
  <c r="Z573" i="2"/>
  <c r="BN496" i="2"/>
  <c r="BN527" i="2"/>
  <c r="BP527" i="2"/>
  <c r="BN555" i="2"/>
  <c r="BP555" i="2"/>
  <c r="Z28" i="2"/>
  <c r="Z37" i="2"/>
  <c r="BP38" i="2"/>
  <c r="Z60" i="2"/>
  <c r="Z72" i="2"/>
  <c r="BN72" i="2"/>
  <c r="Y75" i="2"/>
  <c r="Y81" i="2"/>
  <c r="BP78" i="2"/>
  <c r="Z88" i="2"/>
  <c r="BN88" i="2"/>
  <c r="Y91" i="2"/>
  <c r="BP97" i="2"/>
  <c r="Z104" i="2"/>
  <c r="BP107" i="2"/>
  <c r="Z107" i="2"/>
  <c r="BN118" i="2"/>
  <c r="BP118" i="2"/>
  <c r="Y120" i="2"/>
  <c r="Z123" i="2"/>
  <c r="Y136" i="2"/>
  <c r="BN134" i="2"/>
  <c r="BP134" i="2"/>
  <c r="BN151" i="2"/>
  <c r="Y152" i="2"/>
  <c r="Z151" i="2"/>
  <c r="BN159" i="2"/>
  <c r="BP159" i="2"/>
  <c r="BP161" i="2"/>
  <c r="Z161" i="2"/>
  <c r="BP178" i="2"/>
  <c r="Z178" i="2"/>
  <c r="BP184" i="2"/>
  <c r="BN194" i="2"/>
  <c r="BP194" i="2"/>
  <c r="BP231" i="2"/>
  <c r="Z231" i="2"/>
  <c r="BN237" i="2"/>
  <c r="Z248" i="2"/>
  <c r="BN248" i="2"/>
  <c r="BP342" i="2"/>
  <c r="Y346" i="2"/>
  <c r="Z342" i="2"/>
  <c r="BN439" i="2"/>
  <c r="BP439" i="2"/>
  <c r="Y450" i="2"/>
  <c r="BN446" i="2"/>
  <c r="BP446" i="2"/>
  <c r="Z446" i="2"/>
  <c r="BN514" i="2"/>
  <c r="Z514" i="2"/>
  <c r="Z529" i="2"/>
  <c r="BN529" i="2"/>
  <c r="F10" i="2"/>
  <c r="X564" i="2"/>
  <c r="X563" i="2"/>
  <c r="Z27" i="2"/>
  <c r="Z31" i="2"/>
  <c r="Z40" i="2"/>
  <c r="Y52" i="2"/>
  <c r="Z49" i="2"/>
  <c r="BP50" i="2"/>
  <c r="Y62" i="2"/>
  <c r="Z59" i="2"/>
  <c r="BP66" i="2"/>
  <c r="BN71" i="2"/>
  <c r="BN77" i="2"/>
  <c r="Z78" i="2"/>
  <c r="BN85" i="2"/>
  <c r="Y90" i="2"/>
  <c r="Z85" i="2"/>
  <c r="BN87" i="2"/>
  <c r="BN93" i="2"/>
  <c r="BP108" i="2"/>
  <c r="BP111" i="2"/>
  <c r="Y121" i="2"/>
  <c r="BP116" i="2"/>
  <c r="Z134" i="2"/>
  <c r="BP162" i="2"/>
  <c r="Y167" i="2"/>
  <c r="Y175" i="2"/>
  <c r="Y179" i="2"/>
  <c r="Z184" i="2"/>
  <c r="BP186" i="2"/>
  <c r="Z189" i="2"/>
  <c r="BN189" i="2"/>
  <c r="BN191" i="2"/>
  <c r="BP205" i="2"/>
  <c r="BN221" i="2"/>
  <c r="BP221" i="2"/>
  <c r="Z233" i="2"/>
  <c r="BN233" i="2"/>
  <c r="BN247" i="2"/>
  <c r="BN257" i="2"/>
  <c r="Y259" i="2"/>
  <c r="Z271" i="2"/>
  <c r="Y273" i="2"/>
  <c r="BN271" i="2"/>
  <c r="BP277" i="2"/>
  <c r="BN298" i="2"/>
  <c r="BP298" i="2"/>
  <c r="Z298" i="2"/>
  <c r="BP318" i="2"/>
  <c r="Y320" i="2"/>
  <c r="Y319" i="2"/>
  <c r="Z318" i="2"/>
  <c r="Z319" i="2" s="1"/>
  <c r="BN334" i="2"/>
  <c r="Y338" i="2"/>
  <c r="BP334" i="2"/>
  <c r="Z334" i="2"/>
  <c r="BP378" i="2"/>
  <c r="BN378" i="2"/>
  <c r="Z442" i="2"/>
  <c r="BN442" i="2"/>
  <c r="BP308" i="2"/>
  <c r="Y315" i="2"/>
  <c r="Y355" i="2"/>
  <c r="BP352" i="2"/>
  <c r="BP365" i="2"/>
  <c r="T573" i="2"/>
  <c r="BP396" i="2"/>
  <c r="BP408" i="2"/>
  <c r="Y431" i="2"/>
  <c r="Y449" i="2"/>
  <c r="BP448" i="2"/>
  <c r="Y456" i="2"/>
  <c r="BP465" i="2"/>
  <c r="BP502" i="2"/>
  <c r="BP127" i="2"/>
  <c r="BP158" i="2"/>
  <c r="Y180" i="2"/>
  <c r="Y223" i="2"/>
  <c r="BP218" i="2"/>
  <c r="BP234" i="2"/>
  <c r="Y244" i="2"/>
  <c r="BP276" i="2"/>
  <c r="BP282" i="2"/>
  <c r="Y304" i="2"/>
  <c r="Z308" i="2"/>
  <c r="BP310" i="2"/>
  <c r="Z322" i="2"/>
  <c r="Z323" i="2" s="1"/>
  <c r="BP322" i="2"/>
  <c r="Z365" i="2"/>
  <c r="Z370" i="2"/>
  <c r="BP370" i="2"/>
  <c r="Y405" i="2"/>
  <c r="Z408" i="2"/>
  <c r="BN409" i="2"/>
  <c r="Z410" i="2"/>
  <c r="Z436" i="2"/>
  <c r="Z440" i="2"/>
  <c r="BP454" i="2"/>
  <c r="Z469" i="2"/>
  <c r="Z470" i="2" s="1"/>
  <c r="BP469" i="2"/>
  <c r="Z490" i="2"/>
  <c r="Y492" i="2"/>
  <c r="Z502" i="2"/>
  <c r="AA573" i="2"/>
  <c r="Z528" i="2"/>
  <c r="H573" i="2"/>
  <c r="Z152" i="2"/>
  <c r="I573" i="2"/>
  <c r="Y164" i="2"/>
  <c r="J573" i="2"/>
  <c r="BP171" i="2"/>
  <c r="BP177" i="2"/>
  <c r="Z185" i="2"/>
  <c r="BP190" i="2"/>
  <c r="Y202" i="2"/>
  <c r="BP199" i="2"/>
  <c r="Y203" i="2"/>
  <c r="Y210" i="2"/>
  <c r="BP230" i="2"/>
  <c r="Z234" i="2"/>
  <c r="Y299" i="2"/>
  <c r="BP287" i="2"/>
  <c r="Z290" i="2"/>
  <c r="BN291" i="2"/>
  <c r="Z297" i="2"/>
  <c r="P573" i="2"/>
  <c r="Z350" i="2"/>
  <c r="BN352" i="2"/>
  <c r="Z357" i="2"/>
  <c r="Z359" i="2" s="1"/>
  <c r="BN358" i="2"/>
  <c r="Z380" i="2"/>
  <c r="BN381" i="2"/>
  <c r="BN388" i="2"/>
  <c r="BN396" i="2"/>
  <c r="Z401" i="2"/>
  <c r="BN402" i="2"/>
  <c r="Y424" i="2"/>
  <c r="Z428" i="2"/>
  <c r="W573" i="2"/>
  <c r="BP447" i="2"/>
  <c r="BN448" i="2"/>
  <c r="Z454" i="2"/>
  <c r="BN465" i="2"/>
  <c r="Z483" i="2"/>
  <c r="BN484" i="2"/>
  <c r="Y487" i="2"/>
  <c r="Z508" i="2"/>
  <c r="BP508" i="2"/>
  <c r="BN509" i="2"/>
  <c r="Z515" i="2"/>
  <c r="Z220" i="2"/>
  <c r="Z241" i="2"/>
  <c r="BP243" i="2"/>
  <c r="Z251" i="2"/>
  <c r="Z23" i="2"/>
  <c r="BN37" i="2"/>
  <c r="BN49" i="2"/>
  <c r="BN60" i="2"/>
  <c r="BP72" i="2"/>
  <c r="Z80" i="2"/>
  <c r="BP88" i="2"/>
  <c r="Z99" i="2"/>
  <c r="Z115" i="2"/>
  <c r="BP117" i="2"/>
  <c r="Z128" i="2"/>
  <c r="BP141" i="2"/>
  <c r="Z173" i="2"/>
  <c r="BP193" i="2"/>
  <c r="Z201" i="2"/>
  <c r="Y206" i="2"/>
  <c r="Z215" i="2"/>
  <c r="BP217" i="2"/>
  <c r="Z226" i="2"/>
  <c r="Z227" i="2" s="1"/>
  <c r="Z236" i="2"/>
  <c r="BP238" i="2"/>
  <c r="BP248" i="2"/>
  <c r="Z256" i="2"/>
  <c r="BP271" i="2"/>
  <c r="Z279" i="2"/>
  <c r="BP281" i="2"/>
  <c r="Z289" i="2"/>
  <c r="BP291" i="2"/>
  <c r="Y300" i="2"/>
  <c r="Z310" i="2"/>
  <c r="BP312" i="2"/>
  <c r="Z333" i="2"/>
  <c r="BP335" i="2"/>
  <c r="Z344" i="2"/>
  <c r="BP371" i="2"/>
  <c r="Z379" i="2"/>
  <c r="BP381" i="2"/>
  <c r="Z389" i="2"/>
  <c r="BP391" i="2"/>
  <c r="Y412" i="2"/>
  <c r="Z422" i="2"/>
  <c r="BP459" i="2"/>
  <c r="Y471" i="2"/>
  <c r="Z482" i="2"/>
  <c r="BP484" i="2"/>
  <c r="BP509" i="2"/>
  <c r="Y518" i="2"/>
  <c r="Z527" i="2"/>
  <c r="BP529" i="2"/>
  <c r="Y556" i="2"/>
  <c r="K573" i="2"/>
  <c r="Y196" i="2"/>
  <c r="BN251" i="2"/>
  <c r="Y285" i="2"/>
  <c r="BN294" i="2"/>
  <c r="Y305" i="2"/>
  <c r="Y316" i="2"/>
  <c r="BN327" i="2"/>
  <c r="Y339" i="2"/>
  <c r="BN363" i="2"/>
  <c r="Y366" i="2"/>
  <c r="BN374" i="2"/>
  <c r="BN384" i="2"/>
  <c r="BN416" i="2"/>
  <c r="BN452" i="2"/>
  <c r="Y455" i="2"/>
  <c r="BN475" i="2"/>
  <c r="Y488" i="2"/>
  <c r="BN500" i="2"/>
  <c r="Y503" i="2"/>
  <c r="BN512" i="2"/>
  <c r="BN522" i="2"/>
  <c r="BN532" i="2"/>
  <c r="BN546" i="2"/>
  <c r="L573" i="2"/>
  <c r="BN128" i="2"/>
  <c r="Y142" i="2"/>
  <c r="Z160" i="2"/>
  <c r="BN173" i="2"/>
  <c r="Z183" i="2"/>
  <c r="BN215" i="2"/>
  <c r="BN226" i="2"/>
  <c r="Z267" i="2"/>
  <c r="BN333" i="2"/>
  <c r="Y392" i="2"/>
  <c r="Y460" i="2"/>
  <c r="Y493" i="2"/>
  <c r="Y540" i="2"/>
  <c r="Y552" i="2"/>
  <c r="M573" i="2"/>
  <c r="BN65" i="2"/>
  <c r="Y68" i="2"/>
  <c r="BN110" i="2"/>
  <c r="BN125" i="2"/>
  <c r="Y131" i="2"/>
  <c r="Y168" i="2"/>
  <c r="Y197" i="2"/>
  <c r="BN115" i="2"/>
  <c r="F9" i="2"/>
  <c r="BP55" i="2"/>
  <c r="BP65" i="2"/>
  <c r="Z73" i="2"/>
  <c r="Z74" i="2" s="1"/>
  <c r="Z89" i="2"/>
  <c r="Z94" i="2"/>
  <c r="BP110" i="2"/>
  <c r="Z118" i="2"/>
  <c r="BP125" i="2"/>
  <c r="Y147" i="2"/>
  <c r="BP157" i="2"/>
  <c r="BP188" i="2"/>
  <c r="Z194" i="2"/>
  <c r="Y207" i="2"/>
  <c r="Z218" i="2"/>
  <c r="BP220" i="2"/>
  <c r="Z239" i="2"/>
  <c r="BP241" i="2"/>
  <c r="Z249" i="2"/>
  <c r="Z272" i="2"/>
  <c r="Z273" i="2" s="1"/>
  <c r="Z282" i="2"/>
  <c r="Z292" i="2"/>
  <c r="BP294" i="2"/>
  <c r="Z302" i="2"/>
  <c r="Z313" i="2"/>
  <c r="BP327" i="2"/>
  <c r="Z336" i="2"/>
  <c r="BP363" i="2"/>
  <c r="Z372" i="2"/>
  <c r="BP374" i="2"/>
  <c r="Z382" i="2"/>
  <c r="BP384" i="2"/>
  <c r="Z414" i="2"/>
  <c r="BP416" i="2"/>
  <c r="Y443" i="2"/>
  <c r="BP452" i="2"/>
  <c r="Y466" i="2"/>
  <c r="Z473" i="2"/>
  <c r="BP475" i="2"/>
  <c r="Z485" i="2"/>
  <c r="BP500" i="2"/>
  <c r="Z510" i="2"/>
  <c r="BP512" i="2"/>
  <c r="Z520" i="2"/>
  <c r="BP522" i="2"/>
  <c r="Z530" i="2"/>
  <c r="BP532" i="2"/>
  <c r="BP546" i="2"/>
  <c r="Y557" i="2"/>
  <c r="O573" i="2"/>
  <c r="Y43" i="2"/>
  <c r="Z55" i="2"/>
  <c r="Y163" i="2"/>
  <c r="BP173" i="2"/>
  <c r="Y367" i="2"/>
  <c r="BN241" i="2"/>
  <c r="BP37" i="2"/>
  <c r="BN80" i="2"/>
  <c r="BN99" i="2"/>
  <c r="H9" i="2"/>
  <c r="BN47" i="2"/>
  <c r="Y69" i="2"/>
  <c r="BP115" i="2"/>
  <c r="Y132" i="2"/>
  <c r="BN160" i="2"/>
  <c r="BN183" i="2"/>
  <c r="BN73" i="2"/>
  <c r="BN89" i="2"/>
  <c r="Y143" i="2"/>
  <c r="Y252" i="2"/>
  <c r="Z358" i="2"/>
  <c r="Y375" i="2"/>
  <c r="Y385" i="2"/>
  <c r="Y393" i="2"/>
  <c r="Z402" i="2"/>
  <c r="BN414" i="2"/>
  <c r="Y417" i="2"/>
  <c r="Z438" i="2"/>
  <c r="Z448" i="2"/>
  <c r="Y461" i="2"/>
  <c r="BN473" i="2"/>
  <c r="Y476" i="2"/>
  <c r="Z496" i="2"/>
  <c r="Z497" i="2" s="1"/>
  <c r="BN520" i="2"/>
  <c r="Y523" i="2"/>
  <c r="Y533" i="2"/>
  <c r="Z542" i="2"/>
  <c r="Z543" i="2" s="1"/>
  <c r="Y547" i="2"/>
  <c r="Z554" i="2"/>
  <c r="Q573" i="2"/>
  <c r="Z157" i="2"/>
  <c r="BN55" i="2"/>
  <c r="BN157" i="2"/>
  <c r="BN188" i="2"/>
  <c r="BN23" i="2"/>
  <c r="Z47" i="2"/>
  <c r="Z51" i="2" s="1"/>
  <c r="Z58" i="2"/>
  <c r="BN58" i="2"/>
  <c r="Y61" i="2"/>
  <c r="Y245" i="2"/>
  <c r="J9" i="2"/>
  <c r="Y24" i="2"/>
  <c r="BN31" i="2"/>
  <c r="BP47" i="2"/>
  <c r="Z56" i="2"/>
  <c r="Z66" i="2"/>
  <c r="BN78" i="2"/>
  <c r="Z111" i="2"/>
  <c r="Y148" i="2"/>
  <c r="Z158" i="2"/>
  <c r="BN171" i="2"/>
  <c r="Y174" i="2"/>
  <c r="BN199" i="2"/>
  <c r="Z209" i="2"/>
  <c r="Z210" i="2" s="1"/>
  <c r="Z221" i="2"/>
  <c r="Z242" i="2"/>
  <c r="BN287" i="2"/>
  <c r="Z295" i="2"/>
  <c r="BN318" i="2"/>
  <c r="Z328" i="2"/>
  <c r="BN342" i="2"/>
  <c r="Y345" i="2"/>
  <c r="BN353" i="2"/>
  <c r="Z364" i="2"/>
  <c r="BN397" i="2"/>
  <c r="Y423" i="2"/>
  <c r="BP435" i="2"/>
  <c r="Y444" i="2"/>
  <c r="Z453" i="2"/>
  <c r="Z455" i="2" s="1"/>
  <c r="Y467" i="2"/>
  <c r="BN490" i="2"/>
  <c r="Z501" i="2"/>
  <c r="Z503" i="2" s="1"/>
  <c r="Z513" i="2"/>
  <c r="Z560" i="2"/>
  <c r="Z561" i="2" s="1"/>
  <c r="R573" i="2"/>
  <c r="BN542" i="2"/>
  <c r="BN554" i="2"/>
  <c r="S573" i="2"/>
  <c r="Z29" i="2"/>
  <c r="Z32" i="2" s="1"/>
  <c r="Z41" i="2"/>
  <c r="Z42" i="2" s="1"/>
  <c r="Z106" i="2"/>
  <c r="Z145" i="2"/>
  <c r="Z147" i="2" s="1"/>
  <c r="Z192" i="2"/>
  <c r="BN209" i="2"/>
  <c r="Z232" i="2"/>
  <c r="Y253" i="2"/>
  <c r="Y268" i="2"/>
  <c r="Z351" i="2"/>
  <c r="Y376" i="2"/>
  <c r="Y386" i="2"/>
  <c r="Z395" i="2"/>
  <c r="Z398" i="2" s="1"/>
  <c r="Z429" i="2"/>
  <c r="Z441" i="2"/>
  <c r="Z464" i="2"/>
  <c r="Z466" i="2" s="1"/>
  <c r="Y534" i="2"/>
  <c r="Y548" i="2"/>
  <c r="BN560" i="2"/>
  <c r="BP358" i="2"/>
  <c r="BP402" i="2"/>
  <c r="BP542" i="2"/>
  <c r="B573" i="2"/>
  <c r="U573" i="2"/>
  <c r="Z219" i="2"/>
  <c r="BN232" i="2"/>
  <c r="Z240" i="2"/>
  <c r="Z250" i="2"/>
  <c r="Z283" i="2"/>
  <c r="Z293" i="2"/>
  <c r="Z303" i="2"/>
  <c r="Z314" i="2"/>
  <c r="Z326" i="2"/>
  <c r="Z337" i="2"/>
  <c r="BN351" i="2"/>
  <c r="Y354" i="2"/>
  <c r="Z373" i="2"/>
  <c r="Z383" i="2"/>
  <c r="BN395" i="2"/>
  <c r="Y398" i="2"/>
  <c r="Z415" i="2"/>
  <c r="BN429" i="2"/>
  <c r="BN441" i="2"/>
  <c r="BN464" i="2"/>
  <c r="Z474" i="2"/>
  <c r="Z486" i="2"/>
  <c r="Z511" i="2"/>
  <c r="Z521" i="2"/>
  <c r="Z531" i="2"/>
  <c r="BP560" i="2"/>
  <c r="C573" i="2"/>
  <c r="V573" i="2"/>
  <c r="BN192" i="2"/>
  <c r="Z195" i="2"/>
  <c r="Z22" i="2"/>
  <c r="Y51" i="2"/>
  <c r="Z79" i="2"/>
  <c r="Z98" i="2"/>
  <c r="Z109" i="2"/>
  <c r="Z172" i="2"/>
  <c r="Z200" i="2"/>
  <c r="Z202" i="2" s="1"/>
  <c r="Z235" i="2"/>
  <c r="Z255" i="2"/>
  <c r="Y269" i="2"/>
  <c r="Z278" i="2"/>
  <c r="Z284" i="2" s="1"/>
  <c r="Z288" i="2"/>
  <c r="Z309" i="2"/>
  <c r="Z343" i="2"/>
  <c r="Z345" i="2" s="1"/>
  <c r="Y359" i="2"/>
  <c r="Z378" i="2"/>
  <c r="Z388" i="2"/>
  <c r="Z392" i="2" s="1"/>
  <c r="Z421" i="2"/>
  <c r="Z481" i="2"/>
  <c r="Z491" i="2"/>
  <c r="Z492" i="2" s="1"/>
  <c r="Y497" i="2"/>
  <c r="Z526" i="2"/>
  <c r="Z533" i="2" s="1"/>
  <c r="Z538" i="2"/>
  <c r="Z539" i="2" s="1"/>
  <c r="Y543" i="2"/>
  <c r="Z550" i="2"/>
  <c r="Z551" i="2" s="1"/>
  <c r="D573" i="2"/>
  <c r="BN95" i="2"/>
  <c r="BP106" i="2"/>
  <c r="Y112" i="2"/>
  <c r="BN119" i="2"/>
  <c r="BN124" i="2"/>
  <c r="BP145" i="2"/>
  <c r="BN156" i="2"/>
  <c r="BN166" i="2"/>
  <c r="BN187" i="2"/>
  <c r="BN195" i="2"/>
  <c r="BN219" i="2"/>
  <c r="Y222" i="2"/>
  <c r="BN240" i="2"/>
  <c r="BN250" i="2"/>
  <c r="Y274" i="2"/>
  <c r="BN283" i="2"/>
  <c r="BN293" i="2"/>
  <c r="BN303" i="2"/>
  <c r="BN314" i="2"/>
  <c r="BN326" i="2"/>
  <c r="Y329" i="2"/>
  <c r="BN337" i="2"/>
  <c r="Z349" i="2"/>
  <c r="Z354" i="2" s="1"/>
  <c r="BP351" i="2"/>
  <c r="BN373" i="2"/>
  <c r="BN383" i="2"/>
  <c r="BP395" i="2"/>
  <c r="Z403" i="2"/>
  <c r="BN415" i="2"/>
  <c r="Z427" i="2"/>
  <c r="BP429" i="2"/>
  <c r="Z439" i="2"/>
  <c r="BP464" i="2"/>
  <c r="BN474" i="2"/>
  <c r="BN486" i="2"/>
  <c r="BN511" i="2"/>
  <c r="BN521" i="2"/>
  <c r="BN531" i="2"/>
  <c r="Z555" i="2"/>
  <c r="Y561" i="2"/>
  <c r="E573" i="2"/>
  <c r="BN29" i="2"/>
  <c r="Y32" i="2"/>
  <c r="BN41" i="2"/>
  <c r="Z64" i="2"/>
  <c r="Z95" i="2"/>
  <c r="Z119" i="2"/>
  <c r="Z124" i="2"/>
  <c r="Z156" i="2"/>
  <c r="Z166" i="2"/>
  <c r="Z167" i="2" s="1"/>
  <c r="Z187" i="2"/>
  <c r="BP29" i="2"/>
  <c r="BN64" i="2"/>
  <c r="Z67" i="2"/>
  <c r="BN79" i="2"/>
  <c r="BN98" i="2"/>
  <c r="BN109" i="2"/>
  <c r="Z130" i="2"/>
  <c r="Z135" i="2"/>
  <c r="Z136" i="2" s="1"/>
  <c r="Z159" i="2"/>
  <c r="BN172" i="2"/>
  <c r="Z182" i="2"/>
  <c r="BN200" i="2"/>
  <c r="BN235" i="2"/>
  <c r="Z243" i="2"/>
  <c r="BN255" i="2"/>
  <c r="Y258" i="2"/>
  <c r="Z266" i="2"/>
  <c r="Z268" i="2" s="1"/>
  <c r="BN278" i="2"/>
  <c r="BN288" i="2"/>
  <c r="BN309" i="2"/>
  <c r="BN343" i="2"/>
  <c r="BN421" i="2"/>
  <c r="BN481" i="2"/>
  <c r="BN491" i="2"/>
  <c r="BN526" i="2"/>
  <c r="BN538" i="2"/>
  <c r="BN550" i="2"/>
  <c r="F573" i="2"/>
  <c r="Y573" i="2"/>
  <c r="Y101" i="2"/>
  <c r="BN104" i="2"/>
  <c r="BP156" i="2"/>
  <c r="BP326" i="2"/>
  <c r="BN427" i="2"/>
  <c r="BP486" i="2"/>
  <c r="Y498" i="2"/>
  <c r="G573" i="2"/>
  <c r="BN182" i="2"/>
  <c r="BN266" i="2"/>
  <c r="BN408" i="2"/>
  <c r="BP491" i="2"/>
  <c r="Y517" i="2"/>
  <c r="BP538" i="2"/>
  <c r="BP550" i="2"/>
  <c r="Y562" i="2"/>
  <c r="AB573" i="2"/>
  <c r="Z449" i="2" l="1"/>
  <c r="Z81" i="2"/>
  <c r="Z24" i="2"/>
  <c r="Z417" i="2"/>
  <c r="Z487" i="2"/>
  <c r="Z423" i="2"/>
  <c r="X566" i="2"/>
  <c r="Z430" i="2"/>
  <c r="Z405" i="2"/>
  <c r="Z375" i="2"/>
  <c r="Z315" i="2"/>
  <c r="Z90" i="2"/>
  <c r="Z131" i="2"/>
  <c r="Z252" i="2"/>
  <c r="Z366" i="2"/>
  <c r="Y564" i="2"/>
  <c r="Z523" i="2"/>
  <c r="Z163" i="2"/>
  <c r="Y563" i="2"/>
  <c r="Z411" i="2"/>
  <c r="Y565" i="2"/>
  <c r="Z517" i="2"/>
  <c r="Z244" i="2"/>
  <c r="Z112" i="2"/>
  <c r="Z61" i="2"/>
  <c r="Z222" i="2"/>
  <c r="Z299" i="2"/>
  <c r="Z443" i="2"/>
  <c r="Z304" i="2"/>
  <c r="Z100" i="2"/>
  <c r="Z338" i="2"/>
  <c r="Z258" i="2"/>
  <c r="Z476" i="2"/>
  <c r="Z385" i="2"/>
  <c r="Z120" i="2"/>
  <c r="Z174" i="2"/>
  <c r="Y567" i="2"/>
  <c r="Z68" i="2"/>
  <c r="Z196" i="2"/>
  <c r="Z329" i="2"/>
  <c r="Z556" i="2"/>
  <c r="Y566" i="2" l="1"/>
  <c r="Z568" i="2"/>
</calcChain>
</file>

<file path=xl/sharedStrings.xml><?xml version="1.0" encoding="utf-8"?>
<sst xmlns="http://schemas.openxmlformats.org/spreadsheetml/2006/main" count="4391" uniqueCount="927">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</sst>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19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zoomScaleNormal="100" zoomScaleSheetLayoutView="100" workbookViewId="0">
      <selection activeCell="AB13" sqref="AB1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0" t="s">
        <v>26</v>
      </c>
      <c r="E1" s="1000"/>
      <c r="F1" s="1000"/>
      <c r="G1" s="14" t="s">
        <v>67</v>
      </c>
      <c r="H1" s="1000" t="s">
        <v>47</v>
      </c>
      <c r="I1" s="1000"/>
      <c r="J1" s="1000"/>
      <c r="K1" s="1000"/>
      <c r="L1" s="1000"/>
      <c r="M1" s="1000"/>
      <c r="N1" s="1000"/>
      <c r="O1" s="1000"/>
      <c r="P1" s="1000"/>
      <c r="Q1" s="1000"/>
      <c r="R1" s="1001" t="s">
        <v>68</v>
      </c>
      <c r="S1" s="1002"/>
      <c r="T1" s="100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3"/>
      <c r="R2" s="1003"/>
      <c r="S2" s="1003"/>
      <c r="T2" s="1003"/>
      <c r="U2" s="1003"/>
      <c r="V2" s="1003"/>
      <c r="W2" s="100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3"/>
      <c r="Q3" s="1003"/>
      <c r="R3" s="1003"/>
      <c r="S3" s="1003"/>
      <c r="T3" s="1003"/>
      <c r="U3" s="1003"/>
      <c r="V3" s="1003"/>
      <c r="W3" s="100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1004" t="s">
        <v>8</v>
      </c>
      <c r="B5" s="1004"/>
      <c r="C5" s="1004"/>
      <c r="D5" s="1005"/>
      <c r="E5" s="1005"/>
      <c r="F5" s="1006" t="s">
        <v>14</v>
      </c>
      <c r="G5" s="1006"/>
      <c r="H5" s="1005"/>
      <c r="I5" s="1005"/>
      <c r="J5" s="1005"/>
      <c r="K5" s="1005"/>
      <c r="L5" s="1005"/>
      <c r="M5" s="1005"/>
      <c r="N5" s="69"/>
      <c r="P5" s="26" t="s">
        <v>4</v>
      </c>
      <c r="Q5" s="1007">
        <v>46272</v>
      </c>
      <c r="R5" s="1007"/>
      <c r="T5" s="1008" t="s">
        <v>3</v>
      </c>
      <c r="U5" s="1009"/>
      <c r="V5" s="1010" t="s">
        <v>887</v>
      </c>
      <c r="W5" s="1011"/>
      <c r="AB5" s="57"/>
      <c r="AC5" s="57"/>
      <c r="AD5" s="57"/>
      <c r="AE5" s="57"/>
    </row>
    <row r="6" spans="1:32" s="17" customFormat="1" ht="24" customHeight="1" x14ac:dyDescent="0.2">
      <c r="A6" s="1004" t="s">
        <v>1</v>
      </c>
      <c r="B6" s="1004"/>
      <c r="C6" s="1004"/>
      <c r="D6" s="1012"/>
      <c r="E6" s="1012"/>
      <c r="F6" s="1012"/>
      <c r="G6" s="1012"/>
      <c r="H6" s="1012"/>
      <c r="I6" s="1012"/>
      <c r="J6" s="1012"/>
      <c r="K6" s="1012"/>
      <c r="L6" s="1012"/>
      <c r="M6" s="1012"/>
      <c r="N6" s="70"/>
      <c r="P6" s="26" t="s">
        <v>27</v>
      </c>
      <c r="Q6" s="1013" t="str">
        <f>IF(Q5=0," ",CHOOSE(WEEKDAY(Q5,2),"Понедельник","Вторник","Среда","Четверг","Пятница","Суббота","Воскресенье"))</f>
        <v>Понедельник</v>
      </c>
      <c r="R6" s="1013"/>
      <c r="T6" s="1014" t="s">
        <v>5</v>
      </c>
      <c r="U6" s="1015"/>
      <c r="V6" s="1016" t="s">
        <v>70</v>
      </c>
      <c r="W6" s="101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22">
        <f>IFERROR(VLOOKUP(DeliveryAddress,Table,3,0),1)</f>
        <v>1</v>
      </c>
      <c r="E7" s="1023"/>
      <c r="F7" s="1023"/>
      <c r="G7" s="1023"/>
      <c r="H7" s="1023"/>
      <c r="I7" s="1023"/>
      <c r="J7" s="1023"/>
      <c r="K7" s="1023"/>
      <c r="L7" s="1023"/>
      <c r="M7" s="1024"/>
      <c r="N7" s="71"/>
      <c r="P7" s="26"/>
      <c r="Q7" s="46"/>
      <c r="R7" s="46"/>
      <c r="T7" s="1014"/>
      <c r="U7" s="1015"/>
      <c r="V7" s="1018"/>
      <c r="W7" s="1019"/>
      <c r="AB7" s="57"/>
      <c r="AC7" s="57"/>
      <c r="AD7" s="57"/>
      <c r="AE7" s="57"/>
    </row>
    <row r="8" spans="1:32" s="17" customFormat="1" ht="25.5" customHeight="1" x14ac:dyDescent="0.2">
      <c r="A8" s="1025" t="s">
        <v>58</v>
      </c>
      <c r="B8" s="1025"/>
      <c r="C8" s="1025"/>
      <c r="D8" s="1026"/>
      <c r="E8" s="1026"/>
      <c r="F8" s="1026"/>
      <c r="G8" s="1026"/>
      <c r="H8" s="1026"/>
      <c r="I8" s="1026"/>
      <c r="J8" s="1026"/>
      <c r="K8" s="1026"/>
      <c r="L8" s="1026"/>
      <c r="M8" s="1026"/>
      <c r="N8" s="72"/>
      <c r="P8" s="26" t="s">
        <v>11</v>
      </c>
      <c r="Q8" s="985">
        <v>0.41666666666666669</v>
      </c>
      <c r="R8" s="1027"/>
      <c r="T8" s="1014"/>
      <c r="U8" s="1015"/>
      <c r="V8" s="1018"/>
      <c r="W8" s="1019"/>
      <c r="AB8" s="57"/>
      <c r="AC8" s="57"/>
      <c r="AD8" s="57"/>
      <c r="AE8" s="57"/>
    </row>
    <row r="9" spans="1:32" s="17" customFormat="1" ht="39.950000000000003" customHeight="1" x14ac:dyDescent="0.2">
      <c r="A9" s="9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5"/>
      <c r="C9" s="975"/>
      <c r="D9" s="976" t="s">
        <v>46</v>
      </c>
      <c r="E9" s="977"/>
      <c r="F9" s="9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5"/>
      <c r="H9" s="1028" t="str">
        <f>IF(AND($A$9="Тип доверенности/получателя при получении в адресе перегруза:",$D$9="Разовая доверенность"),"Введите ФИО","")</f>
        <v/>
      </c>
      <c r="I9" s="1028"/>
      <c r="J9" s="10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8"/>
      <c r="L9" s="1028"/>
      <c r="M9" s="1028"/>
      <c r="N9" s="67"/>
      <c r="P9" s="29" t="s">
        <v>15</v>
      </c>
      <c r="Q9" s="1029"/>
      <c r="R9" s="1029"/>
      <c r="T9" s="1014"/>
      <c r="U9" s="1015"/>
      <c r="V9" s="1020"/>
      <c r="W9" s="102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5"/>
      <c r="C10" s="975"/>
      <c r="D10" s="976"/>
      <c r="E10" s="977"/>
      <c r="F10" s="9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5"/>
      <c r="H10" s="978" t="str">
        <f>IFERROR(VLOOKUP($D$10,Proxy,2,FALSE),"")</f>
        <v/>
      </c>
      <c r="I10" s="978"/>
      <c r="J10" s="978"/>
      <c r="K10" s="978"/>
      <c r="L10" s="978"/>
      <c r="M10" s="978"/>
      <c r="N10" s="68"/>
      <c r="P10" s="29" t="s">
        <v>32</v>
      </c>
      <c r="Q10" s="979"/>
      <c r="R10" s="979"/>
      <c r="U10" s="26" t="s">
        <v>12</v>
      </c>
      <c r="V10" s="980" t="s">
        <v>71</v>
      </c>
      <c r="W10" s="98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82"/>
      <c r="R11" s="982"/>
      <c r="U11" s="26" t="s">
        <v>28</v>
      </c>
      <c r="V11" s="983" t="s">
        <v>55</v>
      </c>
      <c r="W11" s="9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84" t="s">
        <v>72</v>
      </c>
      <c r="B12" s="984"/>
      <c r="C12" s="984"/>
      <c r="D12" s="984"/>
      <c r="E12" s="984"/>
      <c r="F12" s="984"/>
      <c r="G12" s="984"/>
      <c r="H12" s="984"/>
      <c r="I12" s="984"/>
      <c r="J12" s="984"/>
      <c r="K12" s="984"/>
      <c r="L12" s="984"/>
      <c r="M12" s="984"/>
      <c r="N12" s="73"/>
      <c r="P12" s="26" t="s">
        <v>30</v>
      </c>
      <c r="Q12" s="985"/>
      <c r="R12" s="985"/>
      <c r="S12" s="27"/>
      <c r="T12"/>
      <c r="U12" s="26" t="s">
        <v>46</v>
      </c>
      <c r="V12" s="986"/>
      <c r="W12" s="986"/>
      <c r="X12"/>
      <c r="AB12" s="57"/>
      <c r="AC12" s="57"/>
      <c r="AD12" s="57"/>
      <c r="AE12" s="57"/>
    </row>
    <row r="13" spans="1:32" s="17" customFormat="1" ht="23.25" customHeight="1" x14ac:dyDescent="0.2">
      <c r="A13" s="984" t="s">
        <v>73</v>
      </c>
      <c r="B13" s="984"/>
      <c r="C13" s="984"/>
      <c r="D13" s="984"/>
      <c r="E13" s="984"/>
      <c r="F13" s="984"/>
      <c r="G13" s="984"/>
      <c r="H13" s="984"/>
      <c r="I13" s="984"/>
      <c r="J13" s="984"/>
      <c r="K13" s="984"/>
      <c r="L13" s="984"/>
      <c r="M13" s="984"/>
      <c r="N13" s="73"/>
      <c r="O13" s="29"/>
      <c r="P13" s="29" t="s">
        <v>31</v>
      </c>
      <c r="Q13" s="983"/>
      <c r="R13" s="9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84" t="s">
        <v>74</v>
      </c>
      <c r="B14" s="984"/>
      <c r="C14" s="984"/>
      <c r="D14" s="984"/>
      <c r="E14" s="984"/>
      <c r="F14" s="984"/>
      <c r="G14" s="984"/>
      <c r="H14" s="984"/>
      <c r="I14" s="984"/>
      <c r="J14" s="984"/>
      <c r="K14" s="984"/>
      <c r="L14" s="984"/>
      <c r="M14" s="98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87" t="s">
        <v>75</v>
      </c>
      <c r="B15" s="987"/>
      <c r="C15" s="987"/>
      <c r="D15" s="987"/>
      <c r="E15" s="987"/>
      <c r="F15" s="987"/>
      <c r="G15" s="987"/>
      <c r="H15" s="987"/>
      <c r="I15" s="987"/>
      <c r="J15" s="987"/>
      <c r="K15" s="987"/>
      <c r="L15" s="987"/>
      <c r="M15" s="987"/>
      <c r="N15" s="74"/>
      <c r="O15"/>
      <c r="P15" s="988" t="s">
        <v>61</v>
      </c>
      <c r="Q15" s="988"/>
      <c r="R15" s="988"/>
      <c r="S15" s="988"/>
      <c r="T15" s="988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9"/>
      <c r="Q16" s="989"/>
      <c r="R16" s="989"/>
      <c r="S16" s="989"/>
      <c r="T16" s="98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9" t="s">
        <v>59</v>
      </c>
      <c r="B17" s="959" t="s">
        <v>49</v>
      </c>
      <c r="C17" s="992" t="s">
        <v>48</v>
      </c>
      <c r="D17" s="994" t="s">
        <v>50</v>
      </c>
      <c r="E17" s="995"/>
      <c r="F17" s="959" t="s">
        <v>21</v>
      </c>
      <c r="G17" s="959" t="s">
        <v>24</v>
      </c>
      <c r="H17" s="959" t="s">
        <v>22</v>
      </c>
      <c r="I17" s="959" t="s">
        <v>23</v>
      </c>
      <c r="J17" s="959" t="s">
        <v>16</v>
      </c>
      <c r="K17" s="959" t="s">
        <v>66</v>
      </c>
      <c r="L17" s="959" t="s">
        <v>64</v>
      </c>
      <c r="M17" s="959" t="s">
        <v>2</v>
      </c>
      <c r="N17" s="959" t="s">
        <v>63</v>
      </c>
      <c r="O17" s="959" t="s">
        <v>25</v>
      </c>
      <c r="P17" s="994" t="s">
        <v>17</v>
      </c>
      <c r="Q17" s="998"/>
      <c r="R17" s="998"/>
      <c r="S17" s="998"/>
      <c r="T17" s="995"/>
      <c r="U17" s="990" t="s">
        <v>56</v>
      </c>
      <c r="V17" s="991"/>
      <c r="W17" s="959" t="s">
        <v>6</v>
      </c>
      <c r="X17" s="959" t="s">
        <v>41</v>
      </c>
      <c r="Y17" s="961" t="s">
        <v>54</v>
      </c>
      <c r="Z17" s="963" t="s">
        <v>18</v>
      </c>
      <c r="AA17" s="965" t="s">
        <v>60</v>
      </c>
      <c r="AB17" s="965" t="s">
        <v>19</v>
      </c>
      <c r="AC17" s="965" t="s">
        <v>65</v>
      </c>
      <c r="AD17" s="967" t="s">
        <v>57</v>
      </c>
      <c r="AE17" s="968"/>
      <c r="AF17" s="969"/>
      <c r="AG17" s="77"/>
      <c r="BD17" s="76" t="s">
        <v>62</v>
      </c>
    </row>
    <row r="18" spans="1:68" ht="14.25" customHeight="1" x14ac:dyDescent="0.2">
      <c r="A18" s="960"/>
      <c r="B18" s="960"/>
      <c r="C18" s="993"/>
      <c r="D18" s="996"/>
      <c r="E18" s="997"/>
      <c r="F18" s="960"/>
      <c r="G18" s="960"/>
      <c r="H18" s="960"/>
      <c r="I18" s="960"/>
      <c r="J18" s="960"/>
      <c r="K18" s="960"/>
      <c r="L18" s="960"/>
      <c r="M18" s="960"/>
      <c r="N18" s="960"/>
      <c r="O18" s="960"/>
      <c r="P18" s="996"/>
      <c r="Q18" s="999"/>
      <c r="R18" s="999"/>
      <c r="S18" s="999"/>
      <c r="T18" s="997"/>
      <c r="U18" s="78" t="s">
        <v>44</v>
      </c>
      <c r="V18" s="78" t="s">
        <v>43</v>
      </c>
      <c r="W18" s="960"/>
      <c r="X18" s="960"/>
      <c r="Y18" s="962"/>
      <c r="Z18" s="964"/>
      <c r="AA18" s="966"/>
      <c r="AB18" s="966"/>
      <c r="AC18" s="966"/>
      <c r="AD18" s="970"/>
      <c r="AE18" s="971"/>
      <c r="AF18" s="972"/>
      <c r="AG18" s="77"/>
      <c r="BD18" s="76"/>
    </row>
    <row r="19" spans="1:68" ht="27.75" hidden="1" customHeight="1" x14ac:dyDescent="0.2">
      <c r="A19" s="679" t="s">
        <v>76</v>
      </c>
      <c r="B19" s="679"/>
      <c r="C19" s="679"/>
      <c r="D19" s="679"/>
      <c r="E19" s="679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  <c r="AA19" s="52"/>
      <c r="AB19" s="52"/>
      <c r="AC19" s="52"/>
    </row>
    <row r="20" spans="1:68" ht="16.5" hidden="1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2"/>
      <c r="AB20" s="62"/>
      <c r="AC20" s="62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6">
        <v>4680115886643</v>
      </c>
      <c r="E22" s="66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7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6">
        <v>4680115889071</v>
      </c>
      <c r="E23" s="66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62"/>
      <c r="B24" s="662"/>
      <c r="C24" s="662"/>
      <c r="D24" s="662"/>
      <c r="E24" s="662"/>
      <c r="F24" s="662"/>
      <c r="G24" s="662"/>
      <c r="H24" s="662"/>
      <c r="I24" s="662"/>
      <c r="J24" s="662"/>
      <c r="K24" s="662"/>
      <c r="L24" s="662"/>
      <c r="M24" s="662"/>
      <c r="N24" s="662"/>
      <c r="O24" s="663"/>
      <c r="P24" s="659" t="s">
        <v>40</v>
      </c>
      <c r="Q24" s="660"/>
      <c r="R24" s="660"/>
      <c r="S24" s="660"/>
      <c r="T24" s="660"/>
      <c r="U24" s="660"/>
      <c r="V24" s="6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62"/>
      <c r="B25" s="662"/>
      <c r="C25" s="662"/>
      <c r="D25" s="662"/>
      <c r="E25" s="662"/>
      <c r="F25" s="662"/>
      <c r="G25" s="662"/>
      <c r="H25" s="662"/>
      <c r="I25" s="662"/>
      <c r="J25" s="662"/>
      <c r="K25" s="662"/>
      <c r="L25" s="662"/>
      <c r="M25" s="662"/>
      <c r="N25" s="662"/>
      <c r="O25" s="663"/>
      <c r="P25" s="659" t="s">
        <v>40</v>
      </c>
      <c r="Q25" s="660"/>
      <c r="R25" s="660"/>
      <c r="S25" s="660"/>
      <c r="T25" s="660"/>
      <c r="U25" s="660"/>
      <c r="V25" s="6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6">
        <v>4680115885912</v>
      </c>
      <c r="E27" s="66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6">
        <v>4607091388237</v>
      </c>
      <c r="E28" s="66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5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6">
        <v>4680115887350</v>
      </c>
      <c r="E29" s="66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5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6">
        <v>4680115885905</v>
      </c>
      <c r="E30" s="66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5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66">
        <v>4680115887619</v>
      </c>
      <c r="E31" s="66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5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62"/>
      <c r="B32" s="662"/>
      <c r="C32" s="662"/>
      <c r="D32" s="662"/>
      <c r="E32" s="662"/>
      <c r="F32" s="662"/>
      <c r="G32" s="662"/>
      <c r="H32" s="662"/>
      <c r="I32" s="662"/>
      <c r="J32" s="662"/>
      <c r="K32" s="662"/>
      <c r="L32" s="662"/>
      <c r="M32" s="662"/>
      <c r="N32" s="662"/>
      <c r="O32" s="663"/>
      <c r="P32" s="659" t="s">
        <v>40</v>
      </c>
      <c r="Q32" s="660"/>
      <c r="R32" s="660"/>
      <c r="S32" s="660"/>
      <c r="T32" s="660"/>
      <c r="U32" s="660"/>
      <c r="V32" s="66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62"/>
      <c r="B33" s="662"/>
      <c r="C33" s="662"/>
      <c r="D33" s="662"/>
      <c r="E33" s="662"/>
      <c r="F33" s="662"/>
      <c r="G33" s="662"/>
      <c r="H33" s="662"/>
      <c r="I33" s="662"/>
      <c r="J33" s="662"/>
      <c r="K33" s="662"/>
      <c r="L33" s="662"/>
      <c r="M33" s="662"/>
      <c r="N33" s="662"/>
      <c r="O33" s="663"/>
      <c r="P33" s="659" t="s">
        <v>40</v>
      </c>
      <c r="Q33" s="660"/>
      <c r="R33" s="660"/>
      <c r="S33" s="660"/>
      <c r="T33" s="660"/>
      <c r="U33" s="660"/>
      <c r="V33" s="66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9" t="s">
        <v>45</v>
      </c>
      <c r="B34" s="679"/>
      <c r="C34" s="679"/>
      <c r="D34" s="679"/>
      <c r="E34" s="679"/>
      <c r="F34" s="679"/>
      <c r="G34" s="679"/>
      <c r="H34" s="679"/>
      <c r="I34" s="679"/>
      <c r="J34" s="679"/>
      <c r="K34" s="679"/>
      <c r="L34" s="679"/>
      <c r="M34" s="679"/>
      <c r="N34" s="679"/>
      <c r="O34" s="679"/>
      <c r="P34" s="679"/>
      <c r="Q34" s="679"/>
      <c r="R34" s="679"/>
      <c r="S34" s="679"/>
      <c r="T34" s="679"/>
      <c r="U34" s="679"/>
      <c r="V34" s="679"/>
      <c r="W34" s="679"/>
      <c r="X34" s="679"/>
      <c r="Y34" s="679"/>
      <c r="Z34" s="679"/>
      <c r="AA34" s="52"/>
      <c r="AB34" s="52"/>
      <c r="AC34" s="52"/>
    </row>
    <row r="35" spans="1:68" ht="16.5" hidden="1" customHeight="1" x14ac:dyDescent="0.25">
      <c r="A35" s="664" t="s">
        <v>104</v>
      </c>
      <c r="B35" s="664"/>
      <c r="C35" s="664"/>
      <c r="D35" s="664"/>
      <c r="E35" s="664"/>
      <c r="F35" s="664"/>
      <c r="G35" s="664"/>
      <c r="H35" s="664"/>
      <c r="I35" s="664"/>
      <c r="J35" s="664"/>
      <c r="K35" s="664"/>
      <c r="L35" s="664"/>
      <c r="M35" s="664"/>
      <c r="N35" s="664"/>
      <c r="O35" s="664"/>
      <c r="P35" s="664"/>
      <c r="Q35" s="664"/>
      <c r="R35" s="664"/>
      <c r="S35" s="664"/>
      <c r="T35" s="664"/>
      <c r="U35" s="664"/>
      <c r="V35" s="664"/>
      <c r="W35" s="664"/>
      <c r="X35" s="664"/>
      <c r="Y35" s="664"/>
      <c r="Z35" s="664"/>
      <c r="AA35" s="62"/>
      <c r="AB35" s="62"/>
      <c r="AC35" s="62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66">
        <v>4680115889354</v>
      </c>
      <c r="E37" s="666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66">
        <v>4680115888463</v>
      </c>
      <c r="E38" s="666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4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66">
        <v>4680115889590</v>
      </c>
      <c r="E39" s="666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5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66">
        <v>4680115888272</v>
      </c>
      <c r="E40" s="666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5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66">
        <v>4680115888364</v>
      </c>
      <c r="E41" s="66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5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62"/>
      <c r="B42" s="662"/>
      <c r="C42" s="662"/>
      <c r="D42" s="662"/>
      <c r="E42" s="662"/>
      <c r="F42" s="662"/>
      <c r="G42" s="662"/>
      <c r="H42" s="662"/>
      <c r="I42" s="662"/>
      <c r="J42" s="662"/>
      <c r="K42" s="662"/>
      <c r="L42" s="662"/>
      <c r="M42" s="662"/>
      <c r="N42" s="662"/>
      <c r="O42" s="663"/>
      <c r="P42" s="659" t="s">
        <v>40</v>
      </c>
      <c r="Q42" s="660"/>
      <c r="R42" s="660"/>
      <c r="S42" s="660"/>
      <c r="T42" s="660"/>
      <c r="U42" s="660"/>
      <c r="V42" s="66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62"/>
      <c r="B43" s="662"/>
      <c r="C43" s="662"/>
      <c r="D43" s="662"/>
      <c r="E43" s="662"/>
      <c r="F43" s="662"/>
      <c r="G43" s="662"/>
      <c r="H43" s="662"/>
      <c r="I43" s="662"/>
      <c r="J43" s="662"/>
      <c r="K43" s="662"/>
      <c r="L43" s="662"/>
      <c r="M43" s="662"/>
      <c r="N43" s="662"/>
      <c r="O43" s="663"/>
      <c r="P43" s="659" t="s">
        <v>40</v>
      </c>
      <c r="Q43" s="660"/>
      <c r="R43" s="660"/>
      <c r="S43" s="660"/>
      <c r="T43" s="660"/>
      <c r="U43" s="660"/>
      <c r="V43" s="66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9" t="s">
        <v>120</v>
      </c>
      <c r="B44" s="679"/>
      <c r="C44" s="679"/>
      <c r="D44" s="679"/>
      <c r="E44" s="679"/>
      <c r="F44" s="679"/>
      <c r="G44" s="679"/>
      <c r="H44" s="679"/>
      <c r="I44" s="679"/>
      <c r="J44" s="679"/>
      <c r="K44" s="679"/>
      <c r="L44" s="679"/>
      <c r="M44" s="679"/>
      <c r="N44" s="679"/>
      <c r="O44" s="679"/>
      <c r="P44" s="679"/>
      <c r="Q44" s="679"/>
      <c r="R44" s="679"/>
      <c r="S44" s="679"/>
      <c r="T44" s="679"/>
      <c r="U44" s="679"/>
      <c r="V44" s="679"/>
      <c r="W44" s="679"/>
      <c r="X44" s="679"/>
      <c r="Y44" s="679"/>
      <c r="Z44" s="679"/>
      <c r="AA44" s="52"/>
      <c r="AB44" s="52"/>
      <c r="AC44" s="52"/>
    </row>
    <row r="45" spans="1:68" ht="16.5" hidden="1" customHeight="1" x14ac:dyDescent="0.25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62"/>
      <c r="AB45" s="62"/>
      <c r="AC45" s="62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66">
        <v>4607091385670</v>
      </c>
      <c r="E47" s="666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66">
        <v>4680115887725</v>
      </c>
      <c r="E48" s="666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66">
        <v>4607091385687</v>
      </c>
      <c r="E49" s="666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66">
        <v>4680115882539</v>
      </c>
      <c r="E50" s="666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62"/>
      <c r="B51" s="662"/>
      <c r="C51" s="662"/>
      <c r="D51" s="662"/>
      <c r="E51" s="662"/>
      <c r="F51" s="662"/>
      <c r="G51" s="662"/>
      <c r="H51" s="662"/>
      <c r="I51" s="662"/>
      <c r="J51" s="662"/>
      <c r="K51" s="662"/>
      <c r="L51" s="662"/>
      <c r="M51" s="662"/>
      <c r="N51" s="662"/>
      <c r="O51" s="663"/>
      <c r="P51" s="659" t="s">
        <v>40</v>
      </c>
      <c r="Q51" s="660"/>
      <c r="R51" s="660"/>
      <c r="S51" s="660"/>
      <c r="T51" s="660"/>
      <c r="U51" s="660"/>
      <c r="V51" s="661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62"/>
      <c r="B52" s="662"/>
      <c r="C52" s="662"/>
      <c r="D52" s="662"/>
      <c r="E52" s="662"/>
      <c r="F52" s="662"/>
      <c r="G52" s="662"/>
      <c r="H52" s="662"/>
      <c r="I52" s="662"/>
      <c r="J52" s="662"/>
      <c r="K52" s="662"/>
      <c r="L52" s="662"/>
      <c r="M52" s="662"/>
      <c r="N52" s="662"/>
      <c r="O52" s="663"/>
      <c r="P52" s="659" t="s">
        <v>40</v>
      </c>
      <c r="Q52" s="660"/>
      <c r="R52" s="660"/>
      <c r="S52" s="660"/>
      <c r="T52" s="660"/>
      <c r="U52" s="660"/>
      <c r="V52" s="661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4" t="s">
        <v>137</v>
      </c>
      <c r="B53" s="664"/>
      <c r="C53" s="664"/>
      <c r="D53" s="664"/>
      <c r="E53" s="664"/>
      <c r="F53" s="664"/>
      <c r="G53" s="664"/>
      <c r="H53" s="664"/>
      <c r="I53" s="664"/>
      <c r="J53" s="664"/>
      <c r="K53" s="664"/>
      <c r="L53" s="664"/>
      <c r="M53" s="664"/>
      <c r="N53" s="664"/>
      <c r="O53" s="664"/>
      <c r="P53" s="664"/>
      <c r="Q53" s="664"/>
      <c r="R53" s="664"/>
      <c r="S53" s="664"/>
      <c r="T53" s="664"/>
      <c r="U53" s="664"/>
      <c r="V53" s="664"/>
      <c r="W53" s="664"/>
      <c r="X53" s="664"/>
      <c r="Y53" s="664"/>
      <c r="Z53" s="664"/>
      <c r="AA53" s="62"/>
      <c r="AB53" s="62"/>
      <c r="AC53" s="62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66">
        <v>4680115885882</v>
      </c>
      <c r="E55" s="666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4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666">
        <v>4680115881426</v>
      </c>
      <c r="E56" s="66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66">
        <v>4680115880283</v>
      </c>
      <c r="E57" s="666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4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8"/>
      <c r="R57" s="668"/>
      <c r="S57" s="668"/>
      <c r="T57" s="669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66">
        <v>4680115881525</v>
      </c>
      <c r="E58" s="66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8"/>
      <c r="R58" s="668"/>
      <c r="S58" s="668"/>
      <c r="T58" s="669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150</v>
      </c>
      <c r="B59" s="60" t="s">
        <v>151</v>
      </c>
      <c r="C59" s="34">
        <v>4301012165</v>
      </c>
      <c r="D59" s="666">
        <v>4680115885899</v>
      </c>
      <c r="E59" s="666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91</v>
      </c>
      <c r="L59" s="35" t="s">
        <v>46</v>
      </c>
      <c r="M59" s="36" t="s">
        <v>126</v>
      </c>
      <c r="N59" s="36"/>
      <c r="O59" s="35">
        <v>50</v>
      </c>
      <c r="P59" s="93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8"/>
      <c r="R59" s="668"/>
      <c r="S59" s="668"/>
      <c r="T59" s="66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140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152</v>
      </c>
      <c r="B60" s="60" t="s">
        <v>153</v>
      </c>
      <c r="C60" s="34">
        <v>4301011801</v>
      </c>
      <c r="D60" s="666">
        <v>4680115881419</v>
      </c>
      <c r="E60" s="666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8"/>
      <c r="R60" s="668"/>
      <c r="S60" s="668"/>
      <c r="T60" s="66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154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662"/>
      <c r="B61" s="662"/>
      <c r="C61" s="662"/>
      <c r="D61" s="662"/>
      <c r="E61" s="662"/>
      <c r="F61" s="662"/>
      <c r="G61" s="662"/>
      <c r="H61" s="662"/>
      <c r="I61" s="662"/>
      <c r="J61" s="662"/>
      <c r="K61" s="662"/>
      <c r="L61" s="662"/>
      <c r="M61" s="662"/>
      <c r="N61" s="662"/>
      <c r="O61" s="663"/>
      <c r="P61" s="659" t="s">
        <v>40</v>
      </c>
      <c r="Q61" s="660"/>
      <c r="R61" s="660"/>
      <c r="S61" s="660"/>
      <c r="T61" s="660"/>
      <c r="U61" s="660"/>
      <c r="V61" s="661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662"/>
      <c r="B62" s="662"/>
      <c r="C62" s="662"/>
      <c r="D62" s="662"/>
      <c r="E62" s="662"/>
      <c r="F62" s="662"/>
      <c r="G62" s="662"/>
      <c r="H62" s="662"/>
      <c r="I62" s="662"/>
      <c r="J62" s="662"/>
      <c r="K62" s="662"/>
      <c r="L62" s="662"/>
      <c r="M62" s="662"/>
      <c r="N62" s="662"/>
      <c r="O62" s="663"/>
      <c r="P62" s="659" t="s">
        <v>40</v>
      </c>
      <c r="Q62" s="660"/>
      <c r="R62" s="660"/>
      <c r="S62" s="660"/>
      <c r="T62" s="660"/>
      <c r="U62" s="660"/>
      <c r="V62" s="661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665" t="s">
        <v>155</v>
      </c>
      <c r="B63" s="665"/>
      <c r="C63" s="665"/>
      <c r="D63" s="665"/>
      <c r="E63" s="665"/>
      <c r="F63" s="665"/>
      <c r="G63" s="665"/>
      <c r="H63" s="665"/>
      <c r="I63" s="665"/>
      <c r="J63" s="665"/>
      <c r="K63" s="665"/>
      <c r="L63" s="665"/>
      <c r="M63" s="665"/>
      <c r="N63" s="665"/>
      <c r="O63" s="665"/>
      <c r="P63" s="665"/>
      <c r="Q63" s="665"/>
      <c r="R63" s="665"/>
      <c r="S63" s="665"/>
      <c r="T63" s="665"/>
      <c r="U63" s="665"/>
      <c r="V63" s="665"/>
      <c r="W63" s="665"/>
      <c r="X63" s="665"/>
      <c r="Y63" s="665"/>
      <c r="Z63" s="665"/>
      <c r="AA63" s="63"/>
      <c r="AB63" s="63"/>
      <c r="AC63" s="63"/>
    </row>
    <row r="64" spans="1:68" ht="16.5" hidden="1" customHeight="1" x14ac:dyDescent="0.25">
      <c r="A64" s="60" t="s">
        <v>156</v>
      </c>
      <c r="B64" s="60" t="s">
        <v>157</v>
      </c>
      <c r="C64" s="34">
        <v>4301020298</v>
      </c>
      <c r="D64" s="666">
        <v>4680115881440</v>
      </c>
      <c r="E64" s="666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127</v>
      </c>
      <c r="L64" s="35" t="s">
        <v>46</v>
      </c>
      <c r="M64" s="36" t="s">
        <v>126</v>
      </c>
      <c r="N64" s="36"/>
      <c r="O64" s="35">
        <v>50</v>
      </c>
      <c r="P64" s="93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8"/>
      <c r="R64" s="668"/>
      <c r="S64" s="668"/>
      <c r="T64" s="669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159</v>
      </c>
      <c r="B65" s="60" t="s">
        <v>160</v>
      </c>
      <c r="C65" s="34">
        <v>4301020358</v>
      </c>
      <c r="D65" s="666">
        <v>4680115885950</v>
      </c>
      <c r="E65" s="666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91</v>
      </c>
      <c r="L65" s="35" t="s">
        <v>46</v>
      </c>
      <c r="M65" s="36" t="s">
        <v>90</v>
      </c>
      <c r="N65" s="36"/>
      <c r="O65" s="35">
        <v>50</v>
      </c>
      <c r="P65" s="93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8"/>
      <c r="R65" s="668"/>
      <c r="S65" s="668"/>
      <c r="T65" s="669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4301020371</v>
      </c>
      <c r="D66" s="666">
        <v>4680115887688</v>
      </c>
      <c r="E66" s="666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131</v>
      </c>
      <c r="L66" s="35" t="s">
        <v>46</v>
      </c>
      <c r="M66" s="36" t="s">
        <v>81</v>
      </c>
      <c r="N66" s="36"/>
      <c r="O66" s="35">
        <v>30</v>
      </c>
      <c r="P66" s="94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8"/>
      <c r="R66" s="668"/>
      <c r="S66" s="668"/>
      <c r="T66" s="669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164</v>
      </c>
      <c r="B67" s="60" t="s">
        <v>165</v>
      </c>
      <c r="C67" s="34">
        <v>4301020296</v>
      </c>
      <c r="D67" s="666">
        <v>4680115881433</v>
      </c>
      <c r="E67" s="666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91</v>
      </c>
      <c r="L67" s="35" t="s">
        <v>46</v>
      </c>
      <c r="M67" s="36" t="s">
        <v>126</v>
      </c>
      <c r="N67" s="36"/>
      <c r="O67" s="35">
        <v>50</v>
      </c>
      <c r="P67" s="94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8"/>
      <c r="R67" s="668"/>
      <c r="S67" s="668"/>
      <c r="T67" s="669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158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662"/>
      <c r="B68" s="662"/>
      <c r="C68" s="662"/>
      <c r="D68" s="662"/>
      <c r="E68" s="662"/>
      <c r="F68" s="662"/>
      <c r="G68" s="662"/>
      <c r="H68" s="662"/>
      <c r="I68" s="662"/>
      <c r="J68" s="662"/>
      <c r="K68" s="662"/>
      <c r="L68" s="662"/>
      <c r="M68" s="662"/>
      <c r="N68" s="662"/>
      <c r="O68" s="663"/>
      <c r="P68" s="659" t="s">
        <v>40</v>
      </c>
      <c r="Q68" s="660"/>
      <c r="R68" s="660"/>
      <c r="S68" s="660"/>
      <c r="T68" s="660"/>
      <c r="U68" s="660"/>
      <c r="V68" s="661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662"/>
      <c r="B69" s="662"/>
      <c r="C69" s="662"/>
      <c r="D69" s="662"/>
      <c r="E69" s="662"/>
      <c r="F69" s="662"/>
      <c r="G69" s="662"/>
      <c r="H69" s="662"/>
      <c r="I69" s="662"/>
      <c r="J69" s="662"/>
      <c r="K69" s="662"/>
      <c r="L69" s="662"/>
      <c r="M69" s="662"/>
      <c r="N69" s="662"/>
      <c r="O69" s="663"/>
      <c r="P69" s="659" t="s">
        <v>40</v>
      </c>
      <c r="Q69" s="660"/>
      <c r="R69" s="660"/>
      <c r="S69" s="660"/>
      <c r="T69" s="660"/>
      <c r="U69" s="660"/>
      <c r="V69" s="661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665" t="s">
        <v>86</v>
      </c>
      <c r="B70" s="665"/>
      <c r="C70" s="665"/>
      <c r="D70" s="665"/>
      <c r="E70" s="665"/>
      <c r="F70" s="665"/>
      <c r="G70" s="665"/>
      <c r="H70" s="665"/>
      <c r="I70" s="665"/>
      <c r="J70" s="665"/>
      <c r="K70" s="665"/>
      <c r="L70" s="665"/>
      <c r="M70" s="665"/>
      <c r="N70" s="665"/>
      <c r="O70" s="665"/>
      <c r="P70" s="665"/>
      <c r="Q70" s="665"/>
      <c r="R70" s="665"/>
      <c r="S70" s="665"/>
      <c r="T70" s="665"/>
      <c r="U70" s="665"/>
      <c r="V70" s="665"/>
      <c r="W70" s="665"/>
      <c r="X70" s="665"/>
      <c r="Y70" s="665"/>
      <c r="Z70" s="665"/>
      <c r="AA70" s="63"/>
      <c r="AB70" s="63"/>
      <c r="AC70" s="63"/>
    </row>
    <row r="71" spans="1:68" ht="16.5" hidden="1" customHeight="1" x14ac:dyDescent="0.25">
      <c r="A71" s="60" t="s">
        <v>166</v>
      </c>
      <c r="B71" s="60" t="s">
        <v>167</v>
      </c>
      <c r="C71" s="34">
        <v>4301051837</v>
      </c>
      <c r="D71" s="666">
        <v>4680115884311</v>
      </c>
      <c r="E71" s="666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40</v>
      </c>
      <c r="P71" s="93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8"/>
      <c r="R71" s="668"/>
      <c r="S71" s="668"/>
      <c r="T71" s="66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168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169</v>
      </c>
      <c r="B72" s="60" t="s">
        <v>170</v>
      </c>
      <c r="C72" s="34">
        <v>4301051929</v>
      </c>
      <c r="D72" s="666">
        <v>4680115884403</v>
      </c>
      <c r="E72" s="666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8"/>
      <c r="R72" s="668"/>
      <c r="S72" s="668"/>
      <c r="T72" s="66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172</v>
      </c>
      <c r="C73" s="34">
        <v>4301052083</v>
      </c>
      <c r="D73" s="666">
        <v>4680115884403</v>
      </c>
      <c r="E73" s="666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3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8"/>
      <c r="R73" s="668"/>
      <c r="S73" s="668"/>
      <c r="T73" s="66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62"/>
      <c r="B74" s="662"/>
      <c r="C74" s="662"/>
      <c r="D74" s="662"/>
      <c r="E74" s="662"/>
      <c r="F74" s="662"/>
      <c r="G74" s="662"/>
      <c r="H74" s="662"/>
      <c r="I74" s="662"/>
      <c r="J74" s="662"/>
      <c r="K74" s="662"/>
      <c r="L74" s="662"/>
      <c r="M74" s="662"/>
      <c r="N74" s="662"/>
      <c r="O74" s="663"/>
      <c r="P74" s="659" t="s">
        <v>40</v>
      </c>
      <c r="Q74" s="660"/>
      <c r="R74" s="660"/>
      <c r="S74" s="660"/>
      <c r="T74" s="660"/>
      <c r="U74" s="660"/>
      <c r="V74" s="661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62"/>
      <c r="B75" s="662"/>
      <c r="C75" s="662"/>
      <c r="D75" s="662"/>
      <c r="E75" s="662"/>
      <c r="F75" s="662"/>
      <c r="G75" s="662"/>
      <c r="H75" s="662"/>
      <c r="I75" s="662"/>
      <c r="J75" s="662"/>
      <c r="K75" s="662"/>
      <c r="L75" s="662"/>
      <c r="M75" s="662"/>
      <c r="N75" s="662"/>
      <c r="O75" s="663"/>
      <c r="P75" s="659" t="s">
        <v>40</v>
      </c>
      <c r="Q75" s="660"/>
      <c r="R75" s="660"/>
      <c r="S75" s="660"/>
      <c r="T75" s="660"/>
      <c r="U75" s="660"/>
      <c r="V75" s="661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65" t="s">
        <v>173</v>
      </c>
      <c r="B76" s="665"/>
      <c r="C76" s="665"/>
      <c r="D76" s="665"/>
      <c r="E76" s="665"/>
      <c r="F76" s="665"/>
      <c r="G76" s="665"/>
      <c r="H76" s="665"/>
      <c r="I76" s="665"/>
      <c r="J76" s="665"/>
      <c r="K76" s="665"/>
      <c r="L76" s="665"/>
      <c r="M76" s="665"/>
      <c r="N76" s="665"/>
      <c r="O76" s="665"/>
      <c r="P76" s="665"/>
      <c r="Q76" s="665"/>
      <c r="R76" s="665"/>
      <c r="S76" s="665"/>
      <c r="T76" s="665"/>
      <c r="U76" s="665"/>
      <c r="V76" s="665"/>
      <c r="W76" s="665"/>
      <c r="X76" s="665"/>
      <c r="Y76" s="665"/>
      <c r="Z76" s="665"/>
      <c r="AA76" s="63"/>
      <c r="AB76" s="63"/>
      <c r="AC76" s="63"/>
    </row>
    <row r="77" spans="1:68" ht="27" hidden="1" customHeight="1" x14ac:dyDescent="0.25">
      <c r="A77" s="60" t="s">
        <v>174</v>
      </c>
      <c r="B77" s="60" t="s">
        <v>175</v>
      </c>
      <c r="C77" s="34">
        <v>4301060455</v>
      </c>
      <c r="D77" s="666">
        <v>4680115881532</v>
      </c>
      <c r="E77" s="666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97</v>
      </c>
      <c r="N77" s="36"/>
      <c r="O77" s="35">
        <v>30</v>
      </c>
      <c r="P77" s="9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8"/>
      <c r="R77" s="668"/>
      <c r="S77" s="668"/>
      <c r="T77" s="66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174</v>
      </c>
      <c r="B78" s="60" t="s">
        <v>177</v>
      </c>
      <c r="C78" s="34">
        <v>4301060526</v>
      </c>
      <c r="D78" s="666">
        <v>4680115881532</v>
      </c>
      <c r="E78" s="666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3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8"/>
      <c r="R78" s="668"/>
      <c r="S78" s="668"/>
      <c r="T78" s="66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176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178</v>
      </c>
      <c r="B79" s="60" t="s">
        <v>179</v>
      </c>
      <c r="C79" s="34">
        <v>4301060351</v>
      </c>
      <c r="D79" s="666">
        <v>4680115881464</v>
      </c>
      <c r="E79" s="666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92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8"/>
      <c r="R79" s="668"/>
      <c r="S79" s="668"/>
      <c r="T79" s="669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180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178</v>
      </c>
      <c r="B80" s="60" t="s">
        <v>181</v>
      </c>
      <c r="C80" s="34">
        <v>4301060527</v>
      </c>
      <c r="D80" s="666">
        <v>4680115881464</v>
      </c>
      <c r="E80" s="666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2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8"/>
      <c r="R80" s="668"/>
      <c r="S80" s="668"/>
      <c r="T80" s="66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62"/>
      <c r="B81" s="662"/>
      <c r="C81" s="662"/>
      <c r="D81" s="662"/>
      <c r="E81" s="662"/>
      <c r="F81" s="662"/>
      <c r="G81" s="662"/>
      <c r="H81" s="662"/>
      <c r="I81" s="662"/>
      <c r="J81" s="662"/>
      <c r="K81" s="662"/>
      <c r="L81" s="662"/>
      <c r="M81" s="662"/>
      <c r="N81" s="662"/>
      <c r="O81" s="663"/>
      <c r="P81" s="659" t="s">
        <v>40</v>
      </c>
      <c r="Q81" s="660"/>
      <c r="R81" s="660"/>
      <c r="S81" s="660"/>
      <c r="T81" s="660"/>
      <c r="U81" s="660"/>
      <c r="V81" s="661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62"/>
      <c r="B82" s="662"/>
      <c r="C82" s="662"/>
      <c r="D82" s="662"/>
      <c r="E82" s="662"/>
      <c r="F82" s="662"/>
      <c r="G82" s="662"/>
      <c r="H82" s="662"/>
      <c r="I82" s="662"/>
      <c r="J82" s="662"/>
      <c r="K82" s="662"/>
      <c r="L82" s="662"/>
      <c r="M82" s="662"/>
      <c r="N82" s="662"/>
      <c r="O82" s="663"/>
      <c r="P82" s="659" t="s">
        <v>40</v>
      </c>
      <c r="Q82" s="660"/>
      <c r="R82" s="660"/>
      <c r="S82" s="660"/>
      <c r="T82" s="660"/>
      <c r="U82" s="660"/>
      <c r="V82" s="661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64" t="s">
        <v>182</v>
      </c>
      <c r="B83" s="664"/>
      <c r="C83" s="664"/>
      <c r="D83" s="664"/>
      <c r="E83" s="664"/>
      <c r="F83" s="664"/>
      <c r="G83" s="664"/>
      <c r="H83" s="664"/>
      <c r="I83" s="664"/>
      <c r="J83" s="664"/>
      <c r="K83" s="664"/>
      <c r="L83" s="664"/>
      <c r="M83" s="664"/>
      <c r="N83" s="664"/>
      <c r="O83" s="664"/>
      <c r="P83" s="664"/>
      <c r="Q83" s="664"/>
      <c r="R83" s="664"/>
      <c r="S83" s="664"/>
      <c r="T83" s="664"/>
      <c r="U83" s="664"/>
      <c r="V83" s="664"/>
      <c r="W83" s="664"/>
      <c r="X83" s="664"/>
      <c r="Y83" s="664"/>
      <c r="Z83" s="664"/>
      <c r="AA83" s="62"/>
      <c r="AB83" s="62"/>
      <c r="AC83" s="62"/>
    </row>
    <row r="84" spans="1:68" ht="14.25" hidden="1" customHeight="1" x14ac:dyDescent="0.25">
      <c r="A84" s="665" t="s">
        <v>122</v>
      </c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666">
        <v>4680115881327</v>
      </c>
      <c r="E85" s="666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2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8"/>
      <c r="R85" s="668"/>
      <c r="S85" s="668"/>
      <c r="T85" s="669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666">
        <v>4680115887732</v>
      </c>
      <c r="E86" s="666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2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8"/>
      <c r="R86" s="668"/>
      <c r="S86" s="668"/>
      <c r="T86" s="669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666">
        <v>4680115887732</v>
      </c>
      <c r="E87" s="666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28" t="s">
        <v>190</v>
      </c>
      <c r="Q87" s="668"/>
      <c r="R87" s="668"/>
      <c r="S87" s="668"/>
      <c r="T87" s="669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66">
        <v>4680115881518</v>
      </c>
      <c r="E88" s="666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2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4301011443</v>
      </c>
      <c r="D89" s="666">
        <v>4680115881303</v>
      </c>
      <c r="E89" s="666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91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62"/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3"/>
      <c r="P90" s="659" t="s">
        <v>40</v>
      </c>
      <c r="Q90" s="660"/>
      <c r="R90" s="660"/>
      <c r="S90" s="660"/>
      <c r="T90" s="660"/>
      <c r="U90" s="660"/>
      <c r="V90" s="661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62"/>
      <c r="B91" s="662"/>
      <c r="C91" s="662"/>
      <c r="D91" s="662"/>
      <c r="E91" s="662"/>
      <c r="F91" s="662"/>
      <c r="G91" s="662"/>
      <c r="H91" s="662"/>
      <c r="I91" s="662"/>
      <c r="J91" s="662"/>
      <c r="K91" s="662"/>
      <c r="L91" s="662"/>
      <c r="M91" s="662"/>
      <c r="N91" s="662"/>
      <c r="O91" s="663"/>
      <c r="P91" s="659" t="s">
        <v>40</v>
      </c>
      <c r="Q91" s="660"/>
      <c r="R91" s="660"/>
      <c r="S91" s="660"/>
      <c r="T91" s="660"/>
      <c r="U91" s="660"/>
      <c r="V91" s="661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65" t="s">
        <v>86</v>
      </c>
      <c r="B92" s="665"/>
      <c r="C92" s="665"/>
      <c r="D92" s="665"/>
      <c r="E92" s="665"/>
      <c r="F92" s="665"/>
      <c r="G92" s="665"/>
      <c r="H92" s="665"/>
      <c r="I92" s="665"/>
      <c r="J92" s="665"/>
      <c r="K92" s="665"/>
      <c r="L92" s="665"/>
      <c r="M92" s="665"/>
      <c r="N92" s="665"/>
      <c r="O92" s="665"/>
      <c r="P92" s="665"/>
      <c r="Q92" s="665"/>
      <c r="R92" s="665"/>
      <c r="S92" s="665"/>
      <c r="T92" s="665"/>
      <c r="U92" s="665"/>
      <c r="V92" s="665"/>
      <c r="W92" s="665"/>
      <c r="X92" s="665"/>
      <c r="Y92" s="665"/>
      <c r="Z92" s="665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4301051712</v>
      </c>
      <c r="D93" s="666">
        <v>4607091386967</v>
      </c>
      <c r="E93" s="666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1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8"/>
      <c r="R93" s="668"/>
      <c r="S93" s="668"/>
      <c r="T93" s="669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9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 t="shared" ref="BM93:BM99" si="6">IFERROR(X93*I93/H93,"0")</f>
        <v>0</v>
      </c>
      <c r="BN93" s="75">
        <f t="shared" ref="BN93:BN99" si="7">IFERROR(Y93*I93/H93,"0")</f>
        <v>0</v>
      </c>
      <c r="BO93" s="75">
        <f t="shared" ref="BO93:BO99" si="8">IFERROR(1/J93*(X93/H93),"0")</f>
        <v>0</v>
      </c>
      <c r="BP93" s="75">
        <f t="shared" ref="BP93:BP99" si="9">IFERROR(1/J93*(Y93/H93),"0")</f>
        <v>0</v>
      </c>
    </row>
    <row r="94" spans="1:68" ht="27" hidden="1" customHeight="1" x14ac:dyDescent="0.25">
      <c r="A94" s="60" t="s">
        <v>195</v>
      </c>
      <c r="B94" s="60" t="s">
        <v>198</v>
      </c>
      <c r="C94" s="34">
        <v>4301052101</v>
      </c>
      <c r="D94" s="666">
        <v>4607091386967</v>
      </c>
      <c r="E94" s="666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919" t="s">
        <v>199</v>
      </c>
      <c r="Q94" s="668"/>
      <c r="R94" s="668"/>
      <c r="S94" s="668"/>
      <c r="T94" s="669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4301051788</v>
      </c>
      <c r="D95" s="666">
        <v>4680115884953</v>
      </c>
      <c r="E95" s="666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92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8"/>
      <c r="R95" s="668"/>
      <c r="S95" s="668"/>
      <c r="T95" s="669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200</v>
      </c>
      <c r="B96" s="60" t="s">
        <v>202</v>
      </c>
      <c r="C96" s="34">
        <v>4301052090</v>
      </c>
      <c r="D96" s="666">
        <v>4680115884953</v>
      </c>
      <c r="E96" s="66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21" t="s">
        <v>203</v>
      </c>
      <c r="Q96" s="668"/>
      <c r="R96" s="668"/>
      <c r="S96" s="668"/>
      <c r="T96" s="669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204</v>
      </c>
      <c r="AG96" s="75"/>
      <c r="AJ96" s="79" t="s">
        <v>46</v>
      </c>
      <c r="AK96" s="79">
        <v>0</v>
      </c>
      <c r="BB96" s="164" t="s">
        <v>67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205</v>
      </c>
      <c r="B97" s="60" t="s">
        <v>206</v>
      </c>
      <c r="C97" s="34">
        <v>4301051718</v>
      </c>
      <c r="D97" s="666">
        <v>4607091385731</v>
      </c>
      <c r="E97" s="66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9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68"/>
      <c r="R97" s="668"/>
      <c r="S97" s="668"/>
      <c r="T97" s="669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197</v>
      </c>
      <c r="AG97" s="75"/>
      <c r="AJ97" s="79" t="s">
        <v>46</v>
      </c>
      <c r="AK97" s="79">
        <v>0</v>
      </c>
      <c r="BB97" s="166" t="s">
        <v>67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27" hidden="1" customHeight="1" x14ac:dyDescent="0.25">
      <c r="A98" s="60" t="s">
        <v>205</v>
      </c>
      <c r="B98" s="60" t="s">
        <v>207</v>
      </c>
      <c r="C98" s="34">
        <v>4301052094</v>
      </c>
      <c r="D98" s="666">
        <v>4607091385731</v>
      </c>
      <c r="E98" s="666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91</v>
      </c>
      <c r="L98" s="35" t="s">
        <v>46</v>
      </c>
      <c r="M98" s="36" t="s">
        <v>97</v>
      </c>
      <c r="N98" s="36"/>
      <c r="O98" s="35">
        <v>45</v>
      </c>
      <c r="P98" s="923" t="s">
        <v>208</v>
      </c>
      <c r="Q98" s="668"/>
      <c r="R98" s="668"/>
      <c r="S98" s="668"/>
      <c r="T98" s="669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197</v>
      </c>
      <c r="AG98" s="75"/>
      <c r="AJ98" s="79" t="s">
        <v>46</v>
      </c>
      <c r="AK98" s="79">
        <v>0</v>
      </c>
      <c r="BB98" s="168" t="s">
        <v>67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t="16.5" hidden="1" customHeight="1" x14ac:dyDescent="0.25">
      <c r="A99" s="60" t="s">
        <v>209</v>
      </c>
      <c r="B99" s="60" t="s">
        <v>210</v>
      </c>
      <c r="C99" s="34">
        <v>4301052092</v>
      </c>
      <c r="D99" s="666">
        <v>4680115880894</v>
      </c>
      <c r="E99" s="666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91</v>
      </c>
      <c r="L99" s="35" t="s">
        <v>46</v>
      </c>
      <c r="M99" s="36" t="s">
        <v>90</v>
      </c>
      <c r="N99" s="36"/>
      <c r="O99" s="35">
        <v>45</v>
      </c>
      <c r="P99" s="91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8"/>
      <c r="R99" s="668"/>
      <c r="S99" s="668"/>
      <c r="T99" s="669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si="5"/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9" t="s">
        <v>211</v>
      </c>
      <c r="AG99" s="75"/>
      <c r="AJ99" s="79" t="s">
        <v>46</v>
      </c>
      <c r="AK99" s="79">
        <v>0</v>
      </c>
      <c r="BB99" s="170" t="s">
        <v>67</v>
      </c>
      <c r="BM99" s="75">
        <f t="shared" si="6"/>
        <v>0</v>
      </c>
      <c r="BN99" s="75">
        <f t="shared" si="7"/>
        <v>0</v>
      </c>
      <c r="BO99" s="75">
        <f t="shared" si="8"/>
        <v>0</v>
      </c>
      <c r="BP99" s="75">
        <f t="shared" si="9"/>
        <v>0</v>
      </c>
    </row>
    <row r="100" spans="1:68" hidden="1" x14ac:dyDescent="0.2">
      <c r="A100" s="662"/>
      <c r="B100" s="662"/>
      <c r="C100" s="662"/>
      <c r="D100" s="662"/>
      <c r="E100" s="662"/>
      <c r="F100" s="662"/>
      <c r="G100" s="662"/>
      <c r="H100" s="662"/>
      <c r="I100" s="662"/>
      <c r="J100" s="662"/>
      <c r="K100" s="662"/>
      <c r="L100" s="662"/>
      <c r="M100" s="662"/>
      <c r="N100" s="662"/>
      <c r="O100" s="663"/>
      <c r="P100" s="659" t="s">
        <v>40</v>
      </c>
      <c r="Q100" s="660"/>
      <c r="R100" s="660"/>
      <c r="S100" s="660"/>
      <c r="T100" s="660"/>
      <c r="U100" s="660"/>
      <c r="V100" s="661"/>
      <c r="W100" s="40" t="s">
        <v>39</v>
      </c>
      <c r="X100" s="41">
        <f>IFERROR(X93/H93,"0")+IFERROR(X94/H94,"0")+IFERROR(X95/H95,"0")+IFERROR(X96/H96,"0")+IFERROR(X97/H97,"0")+IFERROR(X98/H98,"0")+IFERROR(X99/H99,"0")</f>
        <v>0</v>
      </c>
      <c r="Y100" s="41">
        <f>IFERROR(Y93/H93,"0")+IFERROR(Y94/H94,"0")+IFERROR(Y95/H95,"0")+IFERROR(Y96/H96,"0")+IFERROR(Y97/H97,"0")+IFERROR(Y98/H98,"0")+IFERROR(Y99/H99,"0")</f>
        <v>0</v>
      </c>
      <c r="Z100" s="41">
        <f>IFERROR(IF(Z93="",0,Z93),"0")+IFERROR(IF(Z94="",0,Z94),"0")+IFERROR(IF(Z95="",0,Z95),"0")+IFERROR(IF(Z96="",0,Z96),"0")+IFERROR(IF(Z97="",0,Z97),"0")+IFERROR(IF(Z98="",0,Z98),"0")+IFERROR(IF(Z99="",0,Z99),"0")</f>
        <v>0</v>
      </c>
      <c r="AA100" s="64"/>
      <c r="AB100" s="64"/>
      <c r="AC100" s="64"/>
    </row>
    <row r="101" spans="1:68" hidden="1" x14ac:dyDescent="0.2">
      <c r="A101" s="662"/>
      <c r="B101" s="662"/>
      <c r="C101" s="662"/>
      <c r="D101" s="662"/>
      <c r="E101" s="662"/>
      <c r="F101" s="662"/>
      <c r="G101" s="662"/>
      <c r="H101" s="662"/>
      <c r="I101" s="662"/>
      <c r="J101" s="662"/>
      <c r="K101" s="662"/>
      <c r="L101" s="662"/>
      <c r="M101" s="662"/>
      <c r="N101" s="662"/>
      <c r="O101" s="663"/>
      <c r="P101" s="659" t="s">
        <v>40</v>
      </c>
      <c r="Q101" s="660"/>
      <c r="R101" s="660"/>
      <c r="S101" s="660"/>
      <c r="T101" s="660"/>
      <c r="U101" s="660"/>
      <c r="V101" s="661"/>
      <c r="W101" s="40" t="s">
        <v>0</v>
      </c>
      <c r="X101" s="41">
        <f>IFERROR(SUM(X93:X99),"0")</f>
        <v>0</v>
      </c>
      <c r="Y101" s="41">
        <f>IFERROR(SUM(Y93:Y99),"0")</f>
        <v>0</v>
      </c>
      <c r="Z101" s="40"/>
      <c r="AA101" s="64"/>
      <c r="AB101" s="64"/>
      <c r="AC101" s="64"/>
    </row>
    <row r="102" spans="1:68" ht="16.5" hidden="1" customHeight="1" x14ac:dyDescent="0.25">
      <c r="A102" s="664" t="s">
        <v>212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2"/>
      <c r="AB102" s="62"/>
      <c r="AC102" s="62"/>
    </row>
    <row r="103" spans="1:68" ht="14.25" hidden="1" customHeight="1" x14ac:dyDescent="0.25">
      <c r="A103" s="665" t="s">
        <v>122</v>
      </c>
      <c r="B103" s="665"/>
      <c r="C103" s="665"/>
      <c r="D103" s="665"/>
      <c r="E103" s="665"/>
      <c r="F103" s="665"/>
      <c r="G103" s="665"/>
      <c r="H103" s="665"/>
      <c r="I103" s="665"/>
      <c r="J103" s="665"/>
      <c r="K103" s="665"/>
      <c r="L103" s="665"/>
      <c r="M103" s="665"/>
      <c r="N103" s="665"/>
      <c r="O103" s="665"/>
      <c r="P103" s="665"/>
      <c r="Q103" s="665"/>
      <c r="R103" s="665"/>
      <c r="S103" s="665"/>
      <c r="T103" s="665"/>
      <c r="U103" s="665"/>
      <c r="V103" s="665"/>
      <c r="W103" s="665"/>
      <c r="X103" s="665"/>
      <c r="Y103" s="665"/>
      <c r="Z103" s="665"/>
      <c r="AA103" s="63"/>
      <c r="AB103" s="63"/>
      <c r="AC103" s="63"/>
    </row>
    <row r="104" spans="1:68" ht="37.5" hidden="1" customHeight="1" x14ac:dyDescent="0.25">
      <c r="A104" s="60" t="s">
        <v>213</v>
      </c>
      <c r="B104" s="60" t="s">
        <v>214</v>
      </c>
      <c r="C104" s="34">
        <v>4301011514</v>
      </c>
      <c r="D104" s="666">
        <v>4680115882133</v>
      </c>
      <c r="E104" s="666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91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8"/>
      <c r="R104" s="668"/>
      <c r="S104" s="668"/>
      <c r="T104" s="66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ref="Y104:Y111" si="10">IFERROR(IF(X104="",0,CEILING((X104/$H104),1)*$H104),"")</f>
        <v>0</v>
      </c>
      <c r="Z104" s="39" t="str">
        <f>IFERROR(IF(Y104=0,"",ROUNDUP(Y104/H104,0)*0.01898),"")</f>
        <v/>
      </c>
      <c r="AA104" s="65" t="s">
        <v>46</v>
      </c>
      <c r="AB104" s="66" t="s">
        <v>46</v>
      </c>
      <c r="AC104" s="171" t="s">
        <v>215</v>
      </c>
      <c r="AG104" s="75"/>
      <c r="AJ104" s="79" t="s">
        <v>46</v>
      </c>
      <c r="AK104" s="79">
        <v>0</v>
      </c>
      <c r="BB104" s="172" t="s">
        <v>67</v>
      </c>
      <c r="BM104" s="75">
        <f t="shared" ref="BM104:BM111" si="11">IFERROR(X104*I104/H104,"0")</f>
        <v>0</v>
      </c>
      <c r="BN104" s="75">
        <f t="shared" ref="BN104:BN111" si="12">IFERROR(Y104*I104/H104,"0")</f>
        <v>0</v>
      </c>
      <c r="BO104" s="75">
        <f t="shared" ref="BO104:BO111" si="13">IFERROR(1/J104*(X104/H104),"0")</f>
        <v>0</v>
      </c>
      <c r="BP104" s="75">
        <f t="shared" ref="BP104:BP111" si="14">IFERROR(1/J104*(Y104/H104),"0")</f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4301012051</v>
      </c>
      <c r="D105" s="666">
        <v>4680115887718</v>
      </c>
      <c r="E105" s="666"/>
      <c r="F105" s="59">
        <v>0.11</v>
      </c>
      <c r="G105" s="35">
        <v>10</v>
      </c>
      <c r="H105" s="59">
        <v>1.1000000000000001</v>
      </c>
      <c r="I105" s="59">
        <v>1.31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91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218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216</v>
      </c>
      <c r="B106" s="60" t="s">
        <v>219</v>
      </c>
      <c r="C106" s="34">
        <v>4301012334</v>
      </c>
      <c r="D106" s="666">
        <v>4680115887718</v>
      </c>
      <c r="E106" s="666"/>
      <c r="F106" s="59">
        <v>0.11</v>
      </c>
      <c r="G106" s="35">
        <v>8</v>
      </c>
      <c r="H106" s="59">
        <v>0.88</v>
      </c>
      <c r="I106" s="59">
        <v>1.0680000000000001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91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8"/>
      <c r="R106" s="668"/>
      <c r="S106" s="668"/>
      <c r="T106" s="66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218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216</v>
      </c>
      <c r="B107" s="60" t="s">
        <v>220</v>
      </c>
      <c r="C107" s="34">
        <v>4301012379</v>
      </c>
      <c r="D107" s="666">
        <v>4680115887718</v>
      </c>
      <c r="E107" s="666"/>
      <c r="F107" s="59">
        <v>0.11</v>
      </c>
      <c r="G107" s="35">
        <v>6</v>
      </c>
      <c r="H107" s="59">
        <v>0.66</v>
      </c>
      <c r="I107" s="59">
        <v>0.82599999999999996</v>
      </c>
      <c r="J107" s="35">
        <v>192</v>
      </c>
      <c r="K107" s="35" t="s">
        <v>131</v>
      </c>
      <c r="L107" s="35" t="s">
        <v>46</v>
      </c>
      <c r="M107" s="36" t="s">
        <v>81</v>
      </c>
      <c r="N107" s="36"/>
      <c r="O107" s="35">
        <v>30</v>
      </c>
      <c r="P107" s="91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8"/>
      <c r="R107" s="668"/>
      <c r="S107" s="668"/>
      <c r="T107" s="66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7" t="s">
        <v>218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4301011417</v>
      </c>
      <c r="D108" s="666">
        <v>4680115880269</v>
      </c>
      <c r="E108" s="666"/>
      <c r="F108" s="59">
        <v>0.375</v>
      </c>
      <c r="G108" s="35">
        <v>10</v>
      </c>
      <c r="H108" s="59">
        <v>3.75</v>
      </c>
      <c r="I108" s="59">
        <v>3.94</v>
      </c>
      <c r="J108" s="35">
        <v>132</v>
      </c>
      <c r="K108" s="35" t="s">
        <v>134</v>
      </c>
      <c r="L108" s="35" t="s">
        <v>46</v>
      </c>
      <c r="M108" s="36" t="s">
        <v>90</v>
      </c>
      <c r="N108" s="36"/>
      <c r="O108" s="35">
        <v>50</v>
      </c>
      <c r="P108" s="91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68"/>
      <c r="R108" s="668"/>
      <c r="S108" s="668"/>
      <c r="T108" s="66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215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37.5" hidden="1" customHeight="1" x14ac:dyDescent="0.25">
      <c r="A109" s="60" t="s">
        <v>223</v>
      </c>
      <c r="B109" s="60" t="s">
        <v>224</v>
      </c>
      <c r="C109" s="34">
        <v>4301011415</v>
      </c>
      <c r="D109" s="666">
        <v>4680115880429</v>
      </c>
      <c r="E109" s="666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90</v>
      </c>
      <c r="N109" s="36"/>
      <c r="O109" s="35">
        <v>50</v>
      </c>
      <c r="P109" s="90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68"/>
      <c r="R109" s="668"/>
      <c r="S109" s="668"/>
      <c r="T109" s="669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215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27" hidden="1" customHeight="1" x14ac:dyDescent="0.25">
      <c r="A110" s="60" t="s">
        <v>223</v>
      </c>
      <c r="B110" s="60" t="s">
        <v>225</v>
      </c>
      <c r="C110" s="34">
        <v>4301012254</v>
      </c>
      <c r="D110" s="666">
        <v>4680115880429</v>
      </c>
      <c r="E110" s="666"/>
      <c r="F110" s="59">
        <v>0.45</v>
      </c>
      <c r="G110" s="35">
        <v>10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126</v>
      </c>
      <c r="N110" s="36"/>
      <c r="O110" s="35">
        <v>50</v>
      </c>
      <c r="P110" s="905" t="s">
        <v>226</v>
      </c>
      <c r="Q110" s="668"/>
      <c r="R110" s="668"/>
      <c r="S110" s="668"/>
      <c r="T110" s="669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227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t="37.5" hidden="1" customHeight="1" x14ac:dyDescent="0.25">
      <c r="A111" s="60" t="s">
        <v>228</v>
      </c>
      <c r="B111" s="60" t="s">
        <v>229</v>
      </c>
      <c r="C111" s="34">
        <v>4301011462</v>
      </c>
      <c r="D111" s="666">
        <v>4680115881457</v>
      </c>
      <c r="E111" s="666"/>
      <c r="F111" s="59">
        <v>0.75</v>
      </c>
      <c r="G111" s="35">
        <v>6</v>
      </c>
      <c r="H111" s="59">
        <v>4.5</v>
      </c>
      <c r="I111" s="59">
        <v>4.6900000000000004</v>
      </c>
      <c r="J111" s="35">
        <v>132</v>
      </c>
      <c r="K111" s="35" t="s">
        <v>134</v>
      </c>
      <c r="L111" s="35" t="s">
        <v>46</v>
      </c>
      <c r="M111" s="36" t="s">
        <v>90</v>
      </c>
      <c r="N111" s="36"/>
      <c r="O111" s="35">
        <v>50</v>
      </c>
      <c r="P111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68"/>
      <c r="R111" s="668"/>
      <c r="S111" s="668"/>
      <c r="T111" s="669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10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85" t="s">
        <v>215</v>
      </c>
      <c r="AG111" s="75"/>
      <c r="AJ111" s="79" t="s">
        <v>46</v>
      </c>
      <c r="AK111" s="79">
        <v>0</v>
      </c>
      <c r="BB111" s="186" t="s">
        <v>67</v>
      </c>
      <c r="BM111" s="75">
        <f t="shared" si="11"/>
        <v>0</v>
      </c>
      <c r="BN111" s="75">
        <f t="shared" si="12"/>
        <v>0</v>
      </c>
      <c r="BO111" s="75">
        <f t="shared" si="13"/>
        <v>0</v>
      </c>
      <c r="BP111" s="75">
        <f t="shared" si="14"/>
        <v>0</v>
      </c>
    </row>
    <row r="112" spans="1:68" hidden="1" x14ac:dyDescent="0.2">
      <c r="A112" s="662"/>
      <c r="B112" s="662"/>
      <c r="C112" s="662"/>
      <c r="D112" s="662"/>
      <c r="E112" s="662"/>
      <c r="F112" s="662"/>
      <c r="G112" s="662"/>
      <c r="H112" s="662"/>
      <c r="I112" s="662"/>
      <c r="J112" s="662"/>
      <c r="K112" s="662"/>
      <c r="L112" s="662"/>
      <c r="M112" s="662"/>
      <c r="N112" s="662"/>
      <c r="O112" s="663"/>
      <c r="P112" s="659" t="s">
        <v>40</v>
      </c>
      <c r="Q112" s="660"/>
      <c r="R112" s="660"/>
      <c r="S112" s="660"/>
      <c r="T112" s="660"/>
      <c r="U112" s="660"/>
      <c r="V112" s="661"/>
      <c r="W112" s="40" t="s">
        <v>39</v>
      </c>
      <c r="X112" s="41">
        <f>IFERROR(X104/H104,"0")+IFERROR(X105/H105,"0")+IFERROR(X106/H106,"0")+IFERROR(X107/H107,"0")+IFERROR(X108/H108,"0")+IFERROR(X109/H109,"0")+IFERROR(X110/H110,"0")+IFERROR(X111/H111,"0")</f>
        <v>0</v>
      </c>
      <c r="Y112" s="41">
        <f>IFERROR(Y104/H104,"0")+IFERROR(Y105/H105,"0")+IFERROR(Y106/H106,"0")+IFERROR(Y107/H107,"0")+IFERROR(Y108/H108,"0")+IFERROR(Y109/H109,"0")+IFERROR(Y110/H110,"0")+IFERROR(Y111/H111,"0")</f>
        <v>0</v>
      </c>
      <c r="Z112" s="41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4"/>
      <c r="AB112" s="64"/>
      <c r="AC112" s="64"/>
    </row>
    <row r="113" spans="1:68" hidden="1" x14ac:dyDescent="0.2">
      <c r="A113" s="662"/>
      <c r="B113" s="662"/>
      <c r="C113" s="662"/>
      <c r="D113" s="662"/>
      <c r="E113" s="662"/>
      <c r="F113" s="662"/>
      <c r="G113" s="662"/>
      <c r="H113" s="662"/>
      <c r="I113" s="662"/>
      <c r="J113" s="662"/>
      <c r="K113" s="662"/>
      <c r="L113" s="662"/>
      <c r="M113" s="662"/>
      <c r="N113" s="662"/>
      <c r="O113" s="663"/>
      <c r="P113" s="659" t="s">
        <v>40</v>
      </c>
      <c r="Q113" s="660"/>
      <c r="R113" s="660"/>
      <c r="S113" s="660"/>
      <c r="T113" s="660"/>
      <c r="U113" s="660"/>
      <c r="V113" s="661"/>
      <c r="W113" s="40" t="s">
        <v>0</v>
      </c>
      <c r="X113" s="41">
        <f>IFERROR(SUM(X104:X111),"0")</f>
        <v>0</v>
      </c>
      <c r="Y113" s="41">
        <f>IFERROR(SUM(Y104:Y111),"0")</f>
        <v>0</v>
      </c>
      <c r="Z113" s="40"/>
      <c r="AA113" s="64"/>
      <c r="AB113" s="64"/>
      <c r="AC113" s="64"/>
    </row>
    <row r="114" spans="1:68" ht="14.25" hidden="1" customHeight="1" x14ac:dyDescent="0.25">
      <c r="A114" s="665" t="s">
        <v>155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3"/>
      <c r="AB114" s="63"/>
      <c r="AC114" s="63"/>
    </row>
    <row r="115" spans="1:68" ht="27" hidden="1" customHeight="1" x14ac:dyDescent="0.25">
      <c r="A115" s="60" t="s">
        <v>230</v>
      </c>
      <c r="B115" s="60" t="s">
        <v>231</v>
      </c>
      <c r="C115" s="34">
        <v>4301020391</v>
      </c>
      <c r="D115" s="666">
        <v>4680115881488</v>
      </c>
      <c r="E115" s="666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127</v>
      </c>
      <c r="L115" s="35" t="s">
        <v>46</v>
      </c>
      <c r="M115" s="36" t="s">
        <v>126</v>
      </c>
      <c r="N115" s="36"/>
      <c r="O115" s="35">
        <v>55</v>
      </c>
      <c r="P115" s="90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232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4301020186</v>
      </c>
      <c r="D116" s="666">
        <v>4680115887664</v>
      </c>
      <c r="E116" s="666"/>
      <c r="F116" s="59">
        <v>0.1</v>
      </c>
      <c r="G116" s="35">
        <v>10</v>
      </c>
      <c r="H116" s="59">
        <v>1</v>
      </c>
      <c r="I116" s="59">
        <v>1.21</v>
      </c>
      <c r="J116" s="35">
        <v>392</v>
      </c>
      <c r="K116" s="35" t="s">
        <v>236</v>
      </c>
      <c r="L116" s="35" t="s">
        <v>46</v>
      </c>
      <c r="M116" s="36" t="s">
        <v>81</v>
      </c>
      <c r="N116" s="36"/>
      <c r="O116" s="35">
        <v>30</v>
      </c>
      <c r="P116" s="90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8"/>
      <c r="R116" s="668"/>
      <c r="S116" s="668"/>
      <c r="T116" s="66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235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233</v>
      </c>
      <c r="B117" s="60" t="s">
        <v>237</v>
      </c>
      <c r="C117" s="34">
        <v>4301020430</v>
      </c>
      <c r="D117" s="666">
        <v>4680115887664</v>
      </c>
      <c r="E117" s="666"/>
      <c r="F117" s="59">
        <v>0.1</v>
      </c>
      <c r="G117" s="35">
        <v>8</v>
      </c>
      <c r="H117" s="59">
        <v>0.8</v>
      </c>
      <c r="I117" s="59">
        <v>0.98799999999999999</v>
      </c>
      <c r="J117" s="35">
        <v>392</v>
      </c>
      <c r="K117" s="35" t="s">
        <v>236</v>
      </c>
      <c r="L117" s="35" t="s">
        <v>46</v>
      </c>
      <c r="M117" s="36" t="s">
        <v>81</v>
      </c>
      <c r="N117" s="36"/>
      <c r="O117" s="35">
        <v>30</v>
      </c>
      <c r="P117" s="90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8"/>
      <c r="R117" s="668"/>
      <c r="S117" s="668"/>
      <c r="T117" s="669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91" t="s">
        <v>235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238</v>
      </c>
      <c r="B118" s="60" t="s">
        <v>239</v>
      </c>
      <c r="C118" s="34">
        <v>4301020393</v>
      </c>
      <c r="D118" s="666">
        <v>4680115882775</v>
      </c>
      <c r="E118" s="666"/>
      <c r="F118" s="59">
        <v>0.3</v>
      </c>
      <c r="G118" s="35">
        <v>8</v>
      </c>
      <c r="H118" s="59">
        <v>2.4</v>
      </c>
      <c r="I118" s="59">
        <v>2.5</v>
      </c>
      <c r="J118" s="35">
        <v>234</v>
      </c>
      <c r="K118" s="35" t="s">
        <v>82</v>
      </c>
      <c r="L118" s="35" t="s">
        <v>46</v>
      </c>
      <c r="M118" s="36" t="s">
        <v>126</v>
      </c>
      <c r="N118" s="36"/>
      <c r="O118" s="35">
        <v>55</v>
      </c>
      <c r="P118" s="91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68"/>
      <c r="R118" s="668"/>
      <c r="S118" s="668"/>
      <c r="T118" s="669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IFERROR(IF(Y118=0,"",ROUNDUP(Y118/H118,0)*0.00502),"")</f>
        <v/>
      </c>
      <c r="AA118" s="65" t="s">
        <v>46</v>
      </c>
      <c r="AB118" s="66" t="s">
        <v>46</v>
      </c>
      <c r="AC118" s="193" t="s">
        <v>232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240</v>
      </c>
      <c r="B119" s="60" t="s">
        <v>241</v>
      </c>
      <c r="C119" s="34">
        <v>4301020392</v>
      </c>
      <c r="D119" s="666">
        <v>4680115880658</v>
      </c>
      <c r="E119" s="666"/>
      <c r="F119" s="59">
        <v>0.4</v>
      </c>
      <c r="G119" s="35">
        <v>6</v>
      </c>
      <c r="H119" s="59">
        <v>2.4</v>
      </c>
      <c r="I119" s="59">
        <v>2.58</v>
      </c>
      <c r="J119" s="35">
        <v>182</v>
      </c>
      <c r="K119" s="35" t="s">
        <v>91</v>
      </c>
      <c r="L119" s="35" t="s">
        <v>46</v>
      </c>
      <c r="M119" s="36" t="s">
        <v>126</v>
      </c>
      <c r="N119" s="36"/>
      <c r="O119" s="35">
        <v>55</v>
      </c>
      <c r="P119" s="89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68"/>
      <c r="R119" s="668"/>
      <c r="S119" s="668"/>
      <c r="T119" s="669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95" t="s">
        <v>232</v>
      </c>
      <c r="AG119" s="75"/>
      <c r="AJ119" s="79" t="s">
        <v>46</v>
      </c>
      <c r="AK119" s="79">
        <v>0</v>
      </c>
      <c r="BB119" s="196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idden="1" x14ac:dyDescent="0.2">
      <c r="A120" s="662"/>
      <c r="B120" s="662"/>
      <c r="C120" s="662"/>
      <c r="D120" s="662"/>
      <c r="E120" s="662"/>
      <c r="F120" s="662"/>
      <c r="G120" s="662"/>
      <c r="H120" s="662"/>
      <c r="I120" s="662"/>
      <c r="J120" s="662"/>
      <c r="K120" s="662"/>
      <c r="L120" s="662"/>
      <c r="M120" s="662"/>
      <c r="N120" s="662"/>
      <c r="O120" s="663"/>
      <c r="P120" s="659" t="s">
        <v>40</v>
      </c>
      <c r="Q120" s="660"/>
      <c r="R120" s="660"/>
      <c r="S120" s="660"/>
      <c r="T120" s="660"/>
      <c r="U120" s="660"/>
      <c r="V120" s="661"/>
      <c r="W120" s="40" t="s">
        <v>39</v>
      </c>
      <c r="X120" s="41">
        <f>IFERROR(X115/H115,"0")+IFERROR(X116/H116,"0")+IFERROR(X117/H117,"0")+IFERROR(X118/H118,"0")+IFERROR(X119/H119,"0")</f>
        <v>0</v>
      </c>
      <c r="Y120" s="41">
        <f>IFERROR(Y115/H115,"0")+IFERROR(Y116/H116,"0")+IFERROR(Y117/H117,"0")+IFERROR(Y118/H118,"0")+IFERROR(Y119/H119,"0")</f>
        <v>0</v>
      </c>
      <c r="Z120" s="41">
        <f>IFERROR(IF(Z115="",0,Z115),"0")+IFERROR(IF(Z116="",0,Z116),"0")+IFERROR(IF(Z117="",0,Z117),"0")+IFERROR(IF(Z118="",0,Z118),"0")+IFERROR(IF(Z119="",0,Z119),"0")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hidden="1" x14ac:dyDescent="0.2">
      <c r="A121" s="662"/>
      <c r="B121" s="662"/>
      <c r="C121" s="662"/>
      <c r="D121" s="662"/>
      <c r="E121" s="662"/>
      <c r="F121" s="662"/>
      <c r="G121" s="662"/>
      <c r="H121" s="662"/>
      <c r="I121" s="662"/>
      <c r="J121" s="662"/>
      <c r="K121" s="662"/>
      <c r="L121" s="662"/>
      <c r="M121" s="662"/>
      <c r="N121" s="662"/>
      <c r="O121" s="663"/>
      <c r="P121" s="659" t="s">
        <v>40</v>
      </c>
      <c r="Q121" s="660"/>
      <c r="R121" s="660"/>
      <c r="S121" s="660"/>
      <c r="T121" s="660"/>
      <c r="U121" s="660"/>
      <c r="V121" s="661"/>
      <c r="W121" s="40" t="s">
        <v>0</v>
      </c>
      <c r="X121" s="41">
        <f>IFERROR(SUM(X115:X119),"0")</f>
        <v>0</v>
      </c>
      <c r="Y121" s="41">
        <f>IFERROR(SUM(Y115:Y119),"0")</f>
        <v>0</v>
      </c>
      <c r="Z121" s="40"/>
      <c r="AA121" s="64"/>
      <c r="AB121" s="64"/>
      <c r="AC121" s="64"/>
    </row>
    <row r="122" spans="1:68" ht="14.25" hidden="1" customHeight="1" x14ac:dyDescent="0.25">
      <c r="A122" s="665" t="s">
        <v>86</v>
      </c>
      <c r="B122" s="665"/>
      <c r="C122" s="665"/>
      <c r="D122" s="665"/>
      <c r="E122" s="665"/>
      <c r="F122" s="665"/>
      <c r="G122" s="665"/>
      <c r="H122" s="665"/>
      <c r="I122" s="665"/>
      <c r="J122" s="665"/>
      <c r="K122" s="665"/>
      <c r="L122" s="665"/>
      <c r="M122" s="665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  <c r="AA122" s="63"/>
      <c r="AB122" s="63"/>
      <c r="AC122" s="63"/>
    </row>
    <row r="123" spans="1:68" ht="27" hidden="1" customHeight="1" x14ac:dyDescent="0.25">
      <c r="A123" s="60" t="s">
        <v>242</v>
      </c>
      <c r="B123" s="60" t="s">
        <v>243</v>
      </c>
      <c r="C123" s="34">
        <v>4301051724</v>
      </c>
      <c r="D123" s="666">
        <v>4607091385168</v>
      </c>
      <c r="E123" s="666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127</v>
      </c>
      <c r="L123" s="35" t="s">
        <v>46</v>
      </c>
      <c r="M123" s="36" t="s">
        <v>97</v>
      </c>
      <c r="N123" s="36"/>
      <c r="O123" s="35">
        <v>45</v>
      </c>
      <c r="P123" s="8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68"/>
      <c r="R123" s="668"/>
      <c r="S123" s="668"/>
      <c r="T123" s="669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ref="Y123:Y130" si="15">IFERROR(IF(X123="",0,CEILING((X123/$H123),1)*$H123),"")</f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244</v>
      </c>
      <c r="AG123" s="75"/>
      <c r="AJ123" s="79" t="s">
        <v>46</v>
      </c>
      <c r="AK123" s="79">
        <v>0</v>
      </c>
      <c r="BB123" s="198" t="s">
        <v>67</v>
      </c>
      <c r="BM123" s="75">
        <f t="shared" ref="BM123:BM130" si="16">IFERROR(X123*I123/H123,"0")</f>
        <v>0</v>
      </c>
      <c r="BN123" s="75">
        <f t="shared" ref="BN123:BN130" si="17">IFERROR(Y123*I123/H123,"0")</f>
        <v>0</v>
      </c>
      <c r="BO123" s="75">
        <f t="shared" ref="BO123:BO130" si="18">IFERROR(1/J123*(X123/H123),"0")</f>
        <v>0</v>
      </c>
      <c r="BP123" s="75">
        <f t="shared" ref="BP123:BP130" si="19">IFERROR(1/J123*(Y123/H123),"0")</f>
        <v>0</v>
      </c>
    </row>
    <row r="124" spans="1:68" ht="27" hidden="1" customHeight="1" x14ac:dyDescent="0.25">
      <c r="A124" s="60" t="s">
        <v>242</v>
      </c>
      <c r="B124" s="60" t="s">
        <v>245</v>
      </c>
      <c r="C124" s="34">
        <v>4301052088</v>
      </c>
      <c r="D124" s="666">
        <v>4607091385168</v>
      </c>
      <c r="E124" s="666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127</v>
      </c>
      <c r="L124" s="35" t="s">
        <v>46</v>
      </c>
      <c r="M124" s="36" t="s">
        <v>90</v>
      </c>
      <c r="N124" s="36"/>
      <c r="O124" s="35">
        <v>45</v>
      </c>
      <c r="P124" s="899" t="s">
        <v>246</v>
      </c>
      <c r="Q124" s="668"/>
      <c r="R124" s="668"/>
      <c r="S124" s="668"/>
      <c r="T124" s="669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IFERROR(IF(Y124=0,"",ROUNDUP(Y124/H124,0)*0.01898),"")</f>
        <v/>
      </c>
      <c r="AA124" s="65" t="s">
        <v>46</v>
      </c>
      <c r="AB124" s="66" t="s">
        <v>46</v>
      </c>
      <c r="AC124" s="199" t="s">
        <v>244</v>
      </c>
      <c r="AG124" s="75"/>
      <c r="AJ124" s="79" t="s">
        <v>46</v>
      </c>
      <c r="AK124" s="79">
        <v>0</v>
      </c>
      <c r="BB124" s="200" t="s">
        <v>67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247</v>
      </c>
      <c r="B125" s="60" t="s">
        <v>248</v>
      </c>
      <c r="C125" s="34">
        <v>4301051730</v>
      </c>
      <c r="D125" s="666">
        <v>4607091383256</v>
      </c>
      <c r="E125" s="666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91</v>
      </c>
      <c r="L125" s="35" t="s">
        <v>46</v>
      </c>
      <c r="M125" s="36" t="s">
        <v>97</v>
      </c>
      <c r="N125" s="36"/>
      <c r="O125" s="35">
        <v>45</v>
      </c>
      <c r="P125" s="90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8"/>
      <c r="R125" s="668"/>
      <c r="S125" s="668"/>
      <c r="T125" s="669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 t="shared" ref="Z125:Z130" si="20">IFERROR(IF(Y125=0,"",ROUNDUP(Y125/H125,0)*0.00651),"")</f>
        <v/>
      </c>
      <c r="AA125" s="65" t="s">
        <v>46</v>
      </c>
      <c r="AB125" s="66" t="s">
        <v>46</v>
      </c>
      <c r="AC125" s="201" t="s">
        <v>244</v>
      </c>
      <c r="AG125" s="75"/>
      <c r="AJ125" s="79" t="s">
        <v>46</v>
      </c>
      <c r="AK125" s="79">
        <v>0</v>
      </c>
      <c r="BB125" s="202" t="s">
        <v>67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247</v>
      </c>
      <c r="B126" s="60" t="s">
        <v>249</v>
      </c>
      <c r="C126" s="34">
        <v>4301052087</v>
      </c>
      <c r="D126" s="666">
        <v>4607091383256</v>
      </c>
      <c r="E126" s="666"/>
      <c r="F126" s="59">
        <v>0.33</v>
      </c>
      <c r="G126" s="35">
        <v>6</v>
      </c>
      <c r="H126" s="59">
        <v>1.98</v>
      </c>
      <c r="I126" s="59">
        <v>2.226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45</v>
      </c>
      <c r="P126" s="901" t="s">
        <v>250</v>
      </c>
      <c r="Q126" s="668"/>
      <c r="R126" s="668"/>
      <c r="S126" s="668"/>
      <c r="T126" s="669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 t="shared" si="20"/>
        <v/>
      </c>
      <c r="AA126" s="65" t="s">
        <v>46</v>
      </c>
      <c r="AB126" s="66" t="s">
        <v>46</v>
      </c>
      <c r="AC126" s="203" t="s">
        <v>244</v>
      </c>
      <c r="AG126" s="75"/>
      <c r="AJ126" s="79" t="s">
        <v>46</v>
      </c>
      <c r="AK126" s="79">
        <v>0</v>
      </c>
      <c r="BB126" s="204" t="s">
        <v>67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27" hidden="1" customHeight="1" x14ac:dyDescent="0.25">
      <c r="A127" s="60" t="s">
        <v>251</v>
      </c>
      <c r="B127" s="60" t="s">
        <v>252</v>
      </c>
      <c r="C127" s="34">
        <v>4301051721</v>
      </c>
      <c r="D127" s="666">
        <v>4607091385748</v>
      </c>
      <c r="E127" s="666"/>
      <c r="F127" s="59">
        <v>0.45</v>
      </c>
      <c r="G127" s="35">
        <v>6</v>
      </c>
      <c r="H127" s="59">
        <v>2.7</v>
      </c>
      <c r="I127" s="59">
        <v>2.952</v>
      </c>
      <c r="J127" s="35">
        <v>182</v>
      </c>
      <c r="K127" s="35" t="s">
        <v>91</v>
      </c>
      <c r="L127" s="35" t="s">
        <v>46</v>
      </c>
      <c r="M127" s="36" t="s">
        <v>97</v>
      </c>
      <c r="N127" s="36"/>
      <c r="O127" s="35">
        <v>45</v>
      </c>
      <c r="P127" s="90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68"/>
      <c r="R127" s="668"/>
      <c r="S127" s="668"/>
      <c r="T127" s="669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 t="shared" si="20"/>
        <v/>
      </c>
      <c r="AA127" s="65" t="s">
        <v>46</v>
      </c>
      <c r="AB127" s="66" t="s">
        <v>46</v>
      </c>
      <c r="AC127" s="205" t="s">
        <v>244</v>
      </c>
      <c r="AG127" s="75"/>
      <c r="AJ127" s="79" t="s">
        <v>46</v>
      </c>
      <c r="AK127" s="79">
        <v>0</v>
      </c>
      <c r="BB127" s="206" t="s">
        <v>67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27" hidden="1" customHeight="1" x14ac:dyDescent="0.25">
      <c r="A128" s="60" t="s">
        <v>251</v>
      </c>
      <c r="B128" s="60" t="s">
        <v>253</v>
      </c>
      <c r="C128" s="34">
        <v>4301052086</v>
      </c>
      <c r="D128" s="666">
        <v>4607091385748</v>
      </c>
      <c r="E128" s="666"/>
      <c r="F128" s="59">
        <v>0.45</v>
      </c>
      <c r="G128" s="35">
        <v>6</v>
      </c>
      <c r="H128" s="59">
        <v>2.7</v>
      </c>
      <c r="I128" s="59">
        <v>2.952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45</v>
      </c>
      <c r="P128" s="903" t="s">
        <v>254</v>
      </c>
      <c r="Q128" s="668"/>
      <c r="R128" s="668"/>
      <c r="S128" s="668"/>
      <c r="T128" s="669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 t="shared" si="20"/>
        <v/>
      </c>
      <c r="AA128" s="65" t="s">
        <v>46</v>
      </c>
      <c r="AB128" s="66" t="s">
        <v>46</v>
      </c>
      <c r="AC128" s="207" t="s">
        <v>244</v>
      </c>
      <c r="AG128" s="75"/>
      <c r="AJ128" s="79" t="s">
        <v>46</v>
      </c>
      <c r="AK128" s="79">
        <v>0</v>
      </c>
      <c r="BB128" s="208" t="s">
        <v>67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t="16.5" hidden="1" customHeight="1" x14ac:dyDescent="0.25">
      <c r="A129" s="60" t="s">
        <v>255</v>
      </c>
      <c r="B129" s="60" t="s">
        <v>256</v>
      </c>
      <c r="C129" s="34">
        <v>4301051740</v>
      </c>
      <c r="D129" s="666">
        <v>4680115884533</v>
      </c>
      <c r="E129" s="666"/>
      <c r="F129" s="59">
        <v>0.3</v>
      </c>
      <c r="G129" s="35">
        <v>6</v>
      </c>
      <c r="H129" s="59">
        <v>1.8</v>
      </c>
      <c r="I129" s="59">
        <v>1.98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45</v>
      </c>
      <c r="P129" s="89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68"/>
      <c r="R129" s="668"/>
      <c r="S129" s="668"/>
      <c r="T129" s="669"/>
      <c r="U129" s="37" t="s">
        <v>46</v>
      </c>
      <c r="V129" s="37" t="s">
        <v>46</v>
      </c>
      <c r="W129" s="38" t="s">
        <v>0</v>
      </c>
      <c r="X129" s="56">
        <v>0</v>
      </c>
      <c r="Y129" s="53">
        <f t="shared" si="15"/>
        <v>0</v>
      </c>
      <c r="Z129" s="39" t="str">
        <f t="shared" si="20"/>
        <v/>
      </c>
      <c r="AA129" s="65" t="s">
        <v>46</v>
      </c>
      <c r="AB129" s="66" t="s">
        <v>46</v>
      </c>
      <c r="AC129" s="209" t="s">
        <v>257</v>
      </c>
      <c r="AG129" s="75"/>
      <c r="AJ129" s="79" t="s">
        <v>46</v>
      </c>
      <c r="AK129" s="79">
        <v>0</v>
      </c>
      <c r="BB129" s="210" t="s">
        <v>67</v>
      </c>
      <c r="BM129" s="75">
        <f t="shared" si="16"/>
        <v>0</v>
      </c>
      <c r="BN129" s="75">
        <f t="shared" si="17"/>
        <v>0</v>
      </c>
      <c r="BO129" s="75">
        <f t="shared" si="18"/>
        <v>0</v>
      </c>
      <c r="BP129" s="75">
        <f t="shared" si="19"/>
        <v>0</v>
      </c>
    </row>
    <row r="130" spans="1:68" ht="16.5" hidden="1" customHeight="1" x14ac:dyDescent="0.25">
      <c r="A130" s="60" t="s">
        <v>255</v>
      </c>
      <c r="B130" s="60" t="s">
        <v>258</v>
      </c>
      <c r="C130" s="34">
        <v>4301052085</v>
      </c>
      <c r="D130" s="666">
        <v>4680115884533</v>
      </c>
      <c r="E130" s="666"/>
      <c r="F130" s="59">
        <v>0.3</v>
      </c>
      <c r="G130" s="35">
        <v>6</v>
      </c>
      <c r="H130" s="59">
        <v>1.8</v>
      </c>
      <c r="I130" s="59">
        <v>1.98</v>
      </c>
      <c r="J130" s="35">
        <v>182</v>
      </c>
      <c r="K130" s="35" t="s">
        <v>91</v>
      </c>
      <c r="L130" s="35" t="s">
        <v>46</v>
      </c>
      <c r="M130" s="36" t="s">
        <v>90</v>
      </c>
      <c r="N130" s="36"/>
      <c r="O130" s="35">
        <v>45</v>
      </c>
      <c r="P130" s="894" t="s">
        <v>259</v>
      </c>
      <c r="Q130" s="668"/>
      <c r="R130" s="668"/>
      <c r="S130" s="668"/>
      <c r="T130" s="669"/>
      <c r="U130" s="37" t="s">
        <v>46</v>
      </c>
      <c r="V130" s="37" t="s">
        <v>46</v>
      </c>
      <c r="W130" s="38" t="s">
        <v>0</v>
      </c>
      <c r="X130" s="56">
        <v>0</v>
      </c>
      <c r="Y130" s="53">
        <f t="shared" si="15"/>
        <v>0</v>
      </c>
      <c r="Z130" s="39" t="str">
        <f t="shared" si="20"/>
        <v/>
      </c>
      <c r="AA130" s="65" t="s">
        <v>46</v>
      </c>
      <c r="AB130" s="66" t="s">
        <v>46</v>
      </c>
      <c r="AC130" s="211" t="s">
        <v>257</v>
      </c>
      <c r="AG130" s="75"/>
      <c r="AJ130" s="79" t="s">
        <v>46</v>
      </c>
      <c r="AK130" s="79">
        <v>0</v>
      </c>
      <c r="BB130" s="212" t="s">
        <v>67</v>
      </c>
      <c r="BM130" s="75">
        <f t="shared" si="16"/>
        <v>0</v>
      </c>
      <c r="BN130" s="75">
        <f t="shared" si="17"/>
        <v>0</v>
      </c>
      <c r="BO130" s="75">
        <f t="shared" si="18"/>
        <v>0</v>
      </c>
      <c r="BP130" s="75">
        <f t="shared" si="19"/>
        <v>0</v>
      </c>
    </row>
    <row r="131" spans="1:68" hidden="1" x14ac:dyDescent="0.2">
      <c r="A131" s="662"/>
      <c r="B131" s="662"/>
      <c r="C131" s="662"/>
      <c r="D131" s="662"/>
      <c r="E131" s="662"/>
      <c r="F131" s="662"/>
      <c r="G131" s="662"/>
      <c r="H131" s="662"/>
      <c r="I131" s="662"/>
      <c r="J131" s="662"/>
      <c r="K131" s="662"/>
      <c r="L131" s="662"/>
      <c r="M131" s="662"/>
      <c r="N131" s="662"/>
      <c r="O131" s="663"/>
      <c r="P131" s="659" t="s">
        <v>40</v>
      </c>
      <c r="Q131" s="660"/>
      <c r="R131" s="660"/>
      <c r="S131" s="660"/>
      <c r="T131" s="660"/>
      <c r="U131" s="660"/>
      <c r="V131" s="661"/>
      <c r="W131" s="40" t="s">
        <v>39</v>
      </c>
      <c r="X131" s="41">
        <f>IFERROR(X123/H123,"0")+IFERROR(X124/H124,"0")+IFERROR(X125/H125,"0")+IFERROR(X126/H126,"0")+IFERROR(X127/H127,"0")+IFERROR(X128/H128,"0")+IFERROR(X129/H129,"0")+IFERROR(X130/H130,"0")</f>
        <v>0</v>
      </c>
      <c r="Y131" s="41">
        <f>IFERROR(Y123/H123,"0")+IFERROR(Y124/H124,"0")+IFERROR(Y125/H125,"0")+IFERROR(Y126/H126,"0")+IFERROR(Y127/H127,"0")+IFERROR(Y128/H128,"0")+IFERROR(Y129/H129,"0")+IFERROR(Y130/H130,"0")</f>
        <v>0</v>
      </c>
      <c r="Z131" s="41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4"/>
      <c r="AB131" s="64"/>
      <c r="AC131" s="64"/>
    </row>
    <row r="132" spans="1:68" hidden="1" x14ac:dyDescent="0.2">
      <c r="A132" s="662"/>
      <c r="B132" s="662"/>
      <c r="C132" s="662"/>
      <c r="D132" s="662"/>
      <c r="E132" s="662"/>
      <c r="F132" s="662"/>
      <c r="G132" s="662"/>
      <c r="H132" s="662"/>
      <c r="I132" s="662"/>
      <c r="J132" s="662"/>
      <c r="K132" s="662"/>
      <c r="L132" s="662"/>
      <c r="M132" s="662"/>
      <c r="N132" s="662"/>
      <c r="O132" s="663"/>
      <c r="P132" s="659" t="s">
        <v>40</v>
      </c>
      <c r="Q132" s="660"/>
      <c r="R132" s="660"/>
      <c r="S132" s="660"/>
      <c r="T132" s="660"/>
      <c r="U132" s="660"/>
      <c r="V132" s="661"/>
      <c r="W132" s="40" t="s">
        <v>0</v>
      </c>
      <c r="X132" s="41">
        <f>IFERROR(SUM(X123:X130),"0")</f>
        <v>0</v>
      </c>
      <c r="Y132" s="41">
        <f>IFERROR(SUM(Y123:Y130),"0")</f>
        <v>0</v>
      </c>
      <c r="Z132" s="40"/>
      <c r="AA132" s="64"/>
      <c r="AB132" s="64"/>
      <c r="AC132" s="64"/>
    </row>
    <row r="133" spans="1:68" ht="14.25" hidden="1" customHeight="1" x14ac:dyDescent="0.25">
      <c r="A133" s="665" t="s">
        <v>173</v>
      </c>
      <c r="B133" s="665"/>
      <c r="C133" s="665"/>
      <c r="D133" s="665"/>
      <c r="E133" s="665"/>
      <c r="F133" s="665"/>
      <c r="G133" s="665"/>
      <c r="H133" s="665"/>
      <c r="I133" s="665"/>
      <c r="J133" s="665"/>
      <c r="K133" s="665"/>
      <c r="L133" s="665"/>
      <c r="M133" s="665"/>
      <c r="N133" s="665"/>
      <c r="O133" s="665"/>
      <c r="P133" s="665"/>
      <c r="Q133" s="665"/>
      <c r="R133" s="665"/>
      <c r="S133" s="665"/>
      <c r="T133" s="665"/>
      <c r="U133" s="665"/>
      <c r="V133" s="665"/>
      <c r="W133" s="665"/>
      <c r="X133" s="665"/>
      <c r="Y133" s="665"/>
      <c r="Z133" s="665"/>
      <c r="AA133" s="63"/>
      <c r="AB133" s="63"/>
      <c r="AC133" s="63"/>
    </row>
    <row r="134" spans="1:68" ht="16.5" hidden="1" customHeight="1" x14ac:dyDescent="0.25">
      <c r="A134" s="60" t="s">
        <v>260</v>
      </c>
      <c r="B134" s="60" t="s">
        <v>261</v>
      </c>
      <c r="C134" s="34">
        <v>4301060317</v>
      </c>
      <c r="D134" s="666">
        <v>4680115880238</v>
      </c>
      <c r="E134" s="666"/>
      <c r="F134" s="59">
        <v>0.33</v>
      </c>
      <c r="G134" s="35">
        <v>6</v>
      </c>
      <c r="H134" s="59">
        <v>1.98</v>
      </c>
      <c r="I134" s="59">
        <v>2.238</v>
      </c>
      <c r="J134" s="35">
        <v>182</v>
      </c>
      <c r="K134" s="35" t="s">
        <v>91</v>
      </c>
      <c r="L134" s="35" t="s">
        <v>46</v>
      </c>
      <c r="M134" s="36" t="s">
        <v>90</v>
      </c>
      <c r="N134" s="36"/>
      <c r="O134" s="35">
        <v>40</v>
      </c>
      <c r="P134" s="89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68"/>
      <c r="R134" s="668"/>
      <c r="S134" s="668"/>
      <c r="T134" s="66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13" t="s">
        <v>262</v>
      </c>
      <c r="AG134" s="75"/>
      <c r="AJ134" s="79" t="s">
        <v>46</v>
      </c>
      <c r="AK134" s="79">
        <v>0</v>
      </c>
      <c r="BB134" s="214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16.5" hidden="1" customHeight="1" x14ac:dyDescent="0.25">
      <c r="A135" s="60" t="s">
        <v>260</v>
      </c>
      <c r="B135" s="60" t="s">
        <v>263</v>
      </c>
      <c r="C135" s="34">
        <v>4301060525</v>
      </c>
      <c r="D135" s="666">
        <v>4680115880238</v>
      </c>
      <c r="E135" s="666"/>
      <c r="F135" s="59">
        <v>0.33</v>
      </c>
      <c r="G135" s="35">
        <v>6</v>
      </c>
      <c r="H135" s="59">
        <v>1.98</v>
      </c>
      <c r="I135" s="59">
        <v>2.238</v>
      </c>
      <c r="J135" s="35">
        <v>182</v>
      </c>
      <c r="K135" s="35" t="s">
        <v>91</v>
      </c>
      <c r="L135" s="35" t="s">
        <v>46</v>
      </c>
      <c r="M135" s="36" t="s">
        <v>90</v>
      </c>
      <c r="N135" s="36"/>
      <c r="O135" s="35">
        <v>40</v>
      </c>
      <c r="P135" s="896" t="s">
        <v>264</v>
      </c>
      <c r="Q135" s="668"/>
      <c r="R135" s="668"/>
      <c r="S135" s="668"/>
      <c r="T135" s="66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15" t="s">
        <v>262</v>
      </c>
      <c r="AG135" s="75"/>
      <c r="AJ135" s="79" t="s">
        <v>46</v>
      </c>
      <c r="AK135" s="79">
        <v>0</v>
      </c>
      <c r="BB135" s="216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62"/>
      <c r="B136" s="662"/>
      <c r="C136" s="662"/>
      <c r="D136" s="662"/>
      <c r="E136" s="662"/>
      <c r="F136" s="662"/>
      <c r="G136" s="662"/>
      <c r="H136" s="662"/>
      <c r="I136" s="662"/>
      <c r="J136" s="662"/>
      <c r="K136" s="662"/>
      <c r="L136" s="662"/>
      <c r="M136" s="662"/>
      <c r="N136" s="662"/>
      <c r="O136" s="663"/>
      <c r="P136" s="659" t="s">
        <v>40</v>
      </c>
      <c r="Q136" s="660"/>
      <c r="R136" s="660"/>
      <c r="S136" s="660"/>
      <c r="T136" s="660"/>
      <c r="U136" s="660"/>
      <c r="V136" s="661"/>
      <c r="W136" s="40" t="s">
        <v>39</v>
      </c>
      <c r="X136" s="41">
        <f>IFERROR(X134/H134,"0")+IFERROR(X135/H135,"0")</f>
        <v>0</v>
      </c>
      <c r="Y136" s="41">
        <f>IFERROR(Y134/H134,"0")+IFERROR(Y135/H135,"0")</f>
        <v>0</v>
      </c>
      <c r="Z136" s="41">
        <f>IFERROR(IF(Z134="",0,Z134),"0")+IFERROR(IF(Z135="",0,Z135),"0")</f>
        <v>0</v>
      </c>
      <c r="AA136" s="64"/>
      <c r="AB136" s="64"/>
      <c r="AC136" s="64"/>
    </row>
    <row r="137" spans="1:68" hidden="1" x14ac:dyDescent="0.2">
      <c r="A137" s="662"/>
      <c r="B137" s="662"/>
      <c r="C137" s="662"/>
      <c r="D137" s="662"/>
      <c r="E137" s="662"/>
      <c r="F137" s="662"/>
      <c r="G137" s="662"/>
      <c r="H137" s="662"/>
      <c r="I137" s="662"/>
      <c r="J137" s="662"/>
      <c r="K137" s="662"/>
      <c r="L137" s="662"/>
      <c r="M137" s="662"/>
      <c r="N137" s="662"/>
      <c r="O137" s="663"/>
      <c r="P137" s="659" t="s">
        <v>40</v>
      </c>
      <c r="Q137" s="660"/>
      <c r="R137" s="660"/>
      <c r="S137" s="660"/>
      <c r="T137" s="660"/>
      <c r="U137" s="660"/>
      <c r="V137" s="661"/>
      <c r="W137" s="40" t="s">
        <v>0</v>
      </c>
      <c r="X137" s="41">
        <f>IFERROR(SUM(X134:X135),"0")</f>
        <v>0</v>
      </c>
      <c r="Y137" s="41">
        <f>IFERROR(SUM(Y134:Y135),"0")</f>
        <v>0</v>
      </c>
      <c r="Z137" s="40"/>
      <c r="AA137" s="64"/>
      <c r="AB137" s="64"/>
      <c r="AC137" s="64"/>
    </row>
    <row r="138" spans="1:68" ht="16.5" hidden="1" customHeight="1" x14ac:dyDescent="0.25">
      <c r="A138" s="664" t="s">
        <v>265</v>
      </c>
      <c r="B138" s="664"/>
      <c r="C138" s="664"/>
      <c r="D138" s="664"/>
      <c r="E138" s="664"/>
      <c r="F138" s="664"/>
      <c r="G138" s="664"/>
      <c r="H138" s="664"/>
      <c r="I138" s="664"/>
      <c r="J138" s="664"/>
      <c r="K138" s="664"/>
      <c r="L138" s="664"/>
      <c r="M138" s="664"/>
      <c r="N138" s="664"/>
      <c r="O138" s="664"/>
      <c r="P138" s="664"/>
      <c r="Q138" s="664"/>
      <c r="R138" s="664"/>
      <c r="S138" s="664"/>
      <c r="T138" s="664"/>
      <c r="U138" s="664"/>
      <c r="V138" s="664"/>
      <c r="W138" s="664"/>
      <c r="X138" s="664"/>
      <c r="Y138" s="664"/>
      <c r="Z138" s="664"/>
      <c r="AA138" s="62"/>
      <c r="AB138" s="62"/>
      <c r="AC138" s="62"/>
    </row>
    <row r="139" spans="1:68" ht="14.25" hidden="1" customHeight="1" x14ac:dyDescent="0.25">
      <c r="A139" s="665" t="s">
        <v>122</v>
      </c>
      <c r="B139" s="665"/>
      <c r="C139" s="665"/>
      <c r="D139" s="665"/>
      <c r="E139" s="665"/>
      <c r="F139" s="665"/>
      <c r="G139" s="665"/>
      <c r="H139" s="665"/>
      <c r="I139" s="665"/>
      <c r="J139" s="665"/>
      <c r="K139" s="665"/>
      <c r="L139" s="665"/>
      <c r="M139" s="665"/>
      <c r="N139" s="665"/>
      <c r="O139" s="665"/>
      <c r="P139" s="665"/>
      <c r="Q139" s="665"/>
      <c r="R139" s="665"/>
      <c r="S139" s="665"/>
      <c r="T139" s="665"/>
      <c r="U139" s="665"/>
      <c r="V139" s="665"/>
      <c r="W139" s="665"/>
      <c r="X139" s="665"/>
      <c r="Y139" s="665"/>
      <c r="Z139" s="665"/>
      <c r="AA139" s="63"/>
      <c r="AB139" s="63"/>
      <c r="AC139" s="63"/>
    </row>
    <row r="140" spans="1:68" ht="27" hidden="1" customHeight="1" x14ac:dyDescent="0.25">
      <c r="A140" s="60" t="s">
        <v>266</v>
      </c>
      <c r="B140" s="60" t="s">
        <v>267</v>
      </c>
      <c r="C140" s="34">
        <v>4301011562</v>
      </c>
      <c r="D140" s="666">
        <v>4680115882577</v>
      </c>
      <c r="E140" s="666"/>
      <c r="F140" s="59">
        <v>0.4</v>
      </c>
      <c r="G140" s="35">
        <v>8</v>
      </c>
      <c r="H140" s="59">
        <v>3.2</v>
      </c>
      <c r="I140" s="59">
        <v>3.38</v>
      </c>
      <c r="J140" s="35">
        <v>182</v>
      </c>
      <c r="K140" s="35" t="s">
        <v>91</v>
      </c>
      <c r="L140" s="35" t="s">
        <v>46</v>
      </c>
      <c r="M140" s="36" t="s">
        <v>269</v>
      </c>
      <c r="N140" s="36"/>
      <c r="O140" s="35">
        <v>90</v>
      </c>
      <c r="P140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68"/>
      <c r="R140" s="668"/>
      <c r="S140" s="668"/>
      <c r="T140" s="66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17" t="s">
        <v>268</v>
      </c>
      <c r="AG140" s="75"/>
      <c r="AJ140" s="79" t="s">
        <v>46</v>
      </c>
      <c r="AK140" s="79">
        <v>0</v>
      </c>
      <c r="BB140" s="218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266</v>
      </c>
      <c r="B141" s="60" t="s">
        <v>270</v>
      </c>
      <c r="C141" s="34">
        <v>4301011564</v>
      </c>
      <c r="D141" s="666">
        <v>4680115882577</v>
      </c>
      <c r="E141" s="666"/>
      <c r="F141" s="59">
        <v>0.4</v>
      </c>
      <c r="G141" s="35">
        <v>8</v>
      </c>
      <c r="H141" s="59">
        <v>3.2</v>
      </c>
      <c r="I141" s="59">
        <v>3.38</v>
      </c>
      <c r="J141" s="35">
        <v>182</v>
      </c>
      <c r="K141" s="35" t="s">
        <v>91</v>
      </c>
      <c r="L141" s="35" t="s">
        <v>46</v>
      </c>
      <c r="M141" s="36" t="s">
        <v>269</v>
      </c>
      <c r="N141" s="36"/>
      <c r="O141" s="35">
        <v>90</v>
      </c>
      <c r="P141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68"/>
      <c r="R141" s="668"/>
      <c r="S141" s="668"/>
      <c r="T141" s="66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19" t="s">
        <v>268</v>
      </c>
      <c r="AG141" s="75"/>
      <c r="AJ141" s="79" t="s">
        <v>46</v>
      </c>
      <c r="AK141" s="79">
        <v>0</v>
      </c>
      <c r="BB141" s="220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idden="1" x14ac:dyDescent="0.2">
      <c r="A142" s="662"/>
      <c r="B142" s="662"/>
      <c r="C142" s="662"/>
      <c r="D142" s="662"/>
      <c r="E142" s="662"/>
      <c r="F142" s="662"/>
      <c r="G142" s="662"/>
      <c r="H142" s="662"/>
      <c r="I142" s="662"/>
      <c r="J142" s="662"/>
      <c r="K142" s="662"/>
      <c r="L142" s="662"/>
      <c r="M142" s="662"/>
      <c r="N142" s="662"/>
      <c r="O142" s="663"/>
      <c r="P142" s="659" t="s">
        <v>40</v>
      </c>
      <c r="Q142" s="660"/>
      <c r="R142" s="660"/>
      <c r="S142" s="660"/>
      <c r="T142" s="660"/>
      <c r="U142" s="660"/>
      <c r="V142" s="661"/>
      <c r="W142" s="40" t="s">
        <v>39</v>
      </c>
      <c r="X142" s="41">
        <f>IFERROR(X140/H140,"0")+IFERROR(X141/H141,"0")</f>
        <v>0</v>
      </c>
      <c r="Y142" s="41">
        <f>IFERROR(Y140/H140,"0")+IFERROR(Y141/H141,"0")</f>
        <v>0</v>
      </c>
      <c r="Z142" s="41">
        <f>IFERROR(IF(Z140="",0,Z140),"0")+IFERROR(IF(Z141="",0,Z141),"0")</f>
        <v>0</v>
      </c>
      <c r="AA142" s="64"/>
      <c r="AB142" s="64"/>
      <c r="AC142" s="64"/>
    </row>
    <row r="143" spans="1:68" hidden="1" x14ac:dyDescent="0.2">
      <c r="A143" s="662"/>
      <c r="B143" s="662"/>
      <c r="C143" s="662"/>
      <c r="D143" s="662"/>
      <c r="E143" s="662"/>
      <c r="F143" s="662"/>
      <c r="G143" s="662"/>
      <c r="H143" s="662"/>
      <c r="I143" s="662"/>
      <c r="J143" s="662"/>
      <c r="K143" s="662"/>
      <c r="L143" s="662"/>
      <c r="M143" s="662"/>
      <c r="N143" s="662"/>
      <c r="O143" s="663"/>
      <c r="P143" s="659" t="s">
        <v>40</v>
      </c>
      <c r="Q143" s="660"/>
      <c r="R143" s="660"/>
      <c r="S143" s="660"/>
      <c r="T143" s="660"/>
      <c r="U143" s="660"/>
      <c r="V143" s="661"/>
      <c r="W143" s="40" t="s">
        <v>0</v>
      </c>
      <c r="X143" s="41">
        <f>IFERROR(SUM(X140:X141),"0")</f>
        <v>0</v>
      </c>
      <c r="Y143" s="41">
        <f>IFERROR(SUM(Y140:Y141),"0")</f>
        <v>0</v>
      </c>
      <c r="Z143" s="40"/>
      <c r="AA143" s="64"/>
      <c r="AB143" s="64"/>
      <c r="AC143" s="64"/>
    </row>
    <row r="144" spans="1:68" ht="14.25" hidden="1" customHeight="1" x14ac:dyDescent="0.25">
      <c r="A144" s="665" t="s">
        <v>77</v>
      </c>
      <c r="B144" s="665"/>
      <c r="C144" s="665"/>
      <c r="D144" s="665"/>
      <c r="E144" s="665"/>
      <c r="F144" s="665"/>
      <c r="G144" s="665"/>
      <c r="H144" s="665"/>
      <c r="I144" s="665"/>
      <c r="J144" s="665"/>
      <c r="K144" s="665"/>
      <c r="L144" s="665"/>
      <c r="M144" s="665"/>
      <c r="N144" s="665"/>
      <c r="O144" s="665"/>
      <c r="P144" s="665"/>
      <c r="Q144" s="665"/>
      <c r="R144" s="665"/>
      <c r="S144" s="665"/>
      <c r="T144" s="665"/>
      <c r="U144" s="665"/>
      <c r="V144" s="665"/>
      <c r="W144" s="665"/>
      <c r="X144" s="665"/>
      <c r="Y144" s="665"/>
      <c r="Z144" s="665"/>
      <c r="AA144" s="63"/>
      <c r="AB144" s="63"/>
      <c r="AC144" s="63"/>
    </row>
    <row r="145" spans="1:68" ht="27" hidden="1" customHeight="1" x14ac:dyDescent="0.25">
      <c r="A145" s="60" t="s">
        <v>271</v>
      </c>
      <c r="B145" s="60" t="s">
        <v>272</v>
      </c>
      <c r="C145" s="34">
        <v>4301031234</v>
      </c>
      <c r="D145" s="666">
        <v>4680115883444</v>
      </c>
      <c r="E145" s="666"/>
      <c r="F145" s="59">
        <v>0.35</v>
      </c>
      <c r="G145" s="35">
        <v>8</v>
      </c>
      <c r="H145" s="59">
        <v>2.8</v>
      </c>
      <c r="I145" s="59">
        <v>3.0680000000000001</v>
      </c>
      <c r="J145" s="35">
        <v>182</v>
      </c>
      <c r="K145" s="35" t="s">
        <v>91</v>
      </c>
      <c r="L145" s="35" t="s">
        <v>46</v>
      </c>
      <c r="M145" s="36" t="s">
        <v>269</v>
      </c>
      <c r="N145" s="36"/>
      <c r="O145" s="35">
        <v>90</v>
      </c>
      <c r="P145" s="8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68"/>
      <c r="R145" s="668"/>
      <c r="S145" s="668"/>
      <c r="T145" s="669"/>
      <c r="U145" s="37" t="s">
        <v>46</v>
      </c>
      <c r="V145" s="37" t="s">
        <v>46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46</v>
      </c>
      <c r="AB145" s="66" t="s">
        <v>46</v>
      </c>
      <c r="AC145" s="221" t="s">
        <v>273</v>
      </c>
      <c r="AG145" s="75"/>
      <c r="AJ145" s="79" t="s">
        <v>46</v>
      </c>
      <c r="AK145" s="79">
        <v>0</v>
      </c>
      <c r="BB145" s="222" t="s">
        <v>67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t="27" hidden="1" customHeight="1" x14ac:dyDescent="0.25">
      <c r="A146" s="60" t="s">
        <v>271</v>
      </c>
      <c r="B146" s="60" t="s">
        <v>274</v>
      </c>
      <c r="C146" s="34">
        <v>4301031235</v>
      </c>
      <c r="D146" s="666">
        <v>4680115883444</v>
      </c>
      <c r="E146" s="666"/>
      <c r="F146" s="59">
        <v>0.35</v>
      </c>
      <c r="G146" s="35">
        <v>8</v>
      </c>
      <c r="H146" s="59">
        <v>2.8</v>
      </c>
      <c r="I146" s="59">
        <v>3.0680000000000001</v>
      </c>
      <c r="J146" s="35">
        <v>182</v>
      </c>
      <c r="K146" s="35" t="s">
        <v>91</v>
      </c>
      <c r="L146" s="35" t="s">
        <v>46</v>
      </c>
      <c r="M146" s="36" t="s">
        <v>269</v>
      </c>
      <c r="N146" s="36"/>
      <c r="O146" s="35">
        <v>90</v>
      </c>
      <c r="P146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68"/>
      <c r="R146" s="668"/>
      <c r="S146" s="668"/>
      <c r="T146" s="66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23" t="s">
        <v>273</v>
      </c>
      <c r="AG146" s="75"/>
      <c r="AJ146" s="79" t="s">
        <v>46</v>
      </c>
      <c r="AK146" s="79">
        <v>0</v>
      </c>
      <c r="BB146" s="224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idden="1" x14ac:dyDescent="0.2">
      <c r="A147" s="662"/>
      <c r="B147" s="662"/>
      <c r="C147" s="662"/>
      <c r="D147" s="662"/>
      <c r="E147" s="662"/>
      <c r="F147" s="662"/>
      <c r="G147" s="662"/>
      <c r="H147" s="662"/>
      <c r="I147" s="662"/>
      <c r="J147" s="662"/>
      <c r="K147" s="662"/>
      <c r="L147" s="662"/>
      <c r="M147" s="662"/>
      <c r="N147" s="662"/>
      <c r="O147" s="663"/>
      <c r="P147" s="659" t="s">
        <v>40</v>
      </c>
      <c r="Q147" s="660"/>
      <c r="R147" s="660"/>
      <c r="S147" s="660"/>
      <c r="T147" s="660"/>
      <c r="U147" s="660"/>
      <c r="V147" s="661"/>
      <c r="W147" s="40" t="s">
        <v>39</v>
      </c>
      <c r="X147" s="41">
        <f>IFERROR(X145/H145,"0")+IFERROR(X146/H146,"0")</f>
        <v>0</v>
      </c>
      <c r="Y147" s="41">
        <f>IFERROR(Y145/H145,"0")+IFERROR(Y146/H146,"0")</f>
        <v>0</v>
      </c>
      <c r="Z147" s="41">
        <f>IFERROR(IF(Z145="",0,Z145),"0")+IFERROR(IF(Z146="",0,Z146),"0")</f>
        <v>0</v>
      </c>
      <c r="AA147" s="64"/>
      <c r="AB147" s="64"/>
      <c r="AC147" s="64"/>
    </row>
    <row r="148" spans="1:68" hidden="1" x14ac:dyDescent="0.2">
      <c r="A148" s="662"/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3"/>
      <c r="P148" s="659" t="s">
        <v>40</v>
      </c>
      <c r="Q148" s="660"/>
      <c r="R148" s="660"/>
      <c r="S148" s="660"/>
      <c r="T148" s="660"/>
      <c r="U148" s="660"/>
      <c r="V148" s="661"/>
      <c r="W148" s="40" t="s">
        <v>0</v>
      </c>
      <c r="X148" s="41">
        <f>IFERROR(SUM(X145:X146),"0")</f>
        <v>0</v>
      </c>
      <c r="Y148" s="41">
        <f>IFERROR(SUM(Y145:Y146),"0")</f>
        <v>0</v>
      </c>
      <c r="Z148" s="40"/>
      <c r="AA148" s="64"/>
      <c r="AB148" s="64"/>
      <c r="AC148" s="64"/>
    </row>
    <row r="149" spans="1:68" ht="14.25" hidden="1" customHeight="1" x14ac:dyDescent="0.25">
      <c r="A149" s="665" t="s">
        <v>86</v>
      </c>
      <c r="B149" s="665"/>
      <c r="C149" s="665"/>
      <c r="D149" s="665"/>
      <c r="E149" s="665"/>
      <c r="F149" s="665"/>
      <c r="G149" s="665"/>
      <c r="H149" s="665"/>
      <c r="I149" s="665"/>
      <c r="J149" s="665"/>
      <c r="K149" s="665"/>
      <c r="L149" s="665"/>
      <c r="M149" s="665"/>
      <c r="N149" s="665"/>
      <c r="O149" s="665"/>
      <c r="P149" s="665"/>
      <c r="Q149" s="665"/>
      <c r="R149" s="665"/>
      <c r="S149" s="665"/>
      <c r="T149" s="665"/>
      <c r="U149" s="665"/>
      <c r="V149" s="665"/>
      <c r="W149" s="665"/>
      <c r="X149" s="665"/>
      <c r="Y149" s="665"/>
      <c r="Z149" s="665"/>
      <c r="AA149" s="63"/>
      <c r="AB149" s="63"/>
      <c r="AC149" s="63"/>
    </row>
    <row r="150" spans="1:68" ht="16.5" hidden="1" customHeight="1" x14ac:dyDescent="0.25">
      <c r="A150" s="60" t="s">
        <v>275</v>
      </c>
      <c r="B150" s="60" t="s">
        <v>276</v>
      </c>
      <c r="C150" s="34">
        <v>4301051476</v>
      </c>
      <c r="D150" s="666">
        <v>4680115882584</v>
      </c>
      <c r="E150" s="666"/>
      <c r="F150" s="59">
        <v>0.33</v>
      </c>
      <c r="G150" s="35">
        <v>8</v>
      </c>
      <c r="H150" s="59">
        <v>2.64</v>
      </c>
      <c r="I150" s="59">
        <v>2.9079999999999999</v>
      </c>
      <c r="J150" s="35">
        <v>182</v>
      </c>
      <c r="K150" s="35" t="s">
        <v>91</v>
      </c>
      <c r="L150" s="35" t="s">
        <v>46</v>
      </c>
      <c r="M150" s="36" t="s">
        <v>269</v>
      </c>
      <c r="N150" s="36"/>
      <c r="O150" s="35">
        <v>60</v>
      </c>
      <c r="P150" s="8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68"/>
      <c r="R150" s="668"/>
      <c r="S150" s="668"/>
      <c r="T150" s="669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25" t="s">
        <v>268</v>
      </c>
      <c r="AG150" s="75"/>
      <c r="AJ150" s="79" t="s">
        <v>46</v>
      </c>
      <c r="AK150" s="79">
        <v>0</v>
      </c>
      <c r="BB150" s="226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16.5" hidden="1" customHeight="1" x14ac:dyDescent="0.25">
      <c r="A151" s="60" t="s">
        <v>275</v>
      </c>
      <c r="B151" s="60" t="s">
        <v>277</v>
      </c>
      <c r="C151" s="34">
        <v>4301051477</v>
      </c>
      <c r="D151" s="666">
        <v>4680115882584</v>
      </c>
      <c r="E151" s="666"/>
      <c r="F151" s="59">
        <v>0.33</v>
      </c>
      <c r="G151" s="35">
        <v>8</v>
      </c>
      <c r="H151" s="59">
        <v>2.64</v>
      </c>
      <c r="I151" s="59">
        <v>2.9079999999999999</v>
      </c>
      <c r="J151" s="35">
        <v>182</v>
      </c>
      <c r="K151" s="35" t="s">
        <v>91</v>
      </c>
      <c r="L151" s="35" t="s">
        <v>46</v>
      </c>
      <c r="M151" s="36" t="s">
        <v>269</v>
      </c>
      <c r="N151" s="36"/>
      <c r="O151" s="35">
        <v>60</v>
      </c>
      <c r="P151" s="8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68"/>
      <c r="R151" s="668"/>
      <c r="S151" s="668"/>
      <c r="T151" s="669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27" t="s">
        <v>268</v>
      </c>
      <c r="AG151" s="75"/>
      <c r="AJ151" s="79" t="s">
        <v>46</v>
      </c>
      <c r="AK151" s="79">
        <v>0</v>
      </c>
      <c r="BB151" s="228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662"/>
      <c r="B152" s="662"/>
      <c r="C152" s="662"/>
      <c r="D152" s="662"/>
      <c r="E152" s="662"/>
      <c r="F152" s="662"/>
      <c r="G152" s="662"/>
      <c r="H152" s="662"/>
      <c r="I152" s="662"/>
      <c r="J152" s="662"/>
      <c r="K152" s="662"/>
      <c r="L152" s="662"/>
      <c r="M152" s="662"/>
      <c r="N152" s="662"/>
      <c r="O152" s="663"/>
      <c r="P152" s="659" t="s">
        <v>40</v>
      </c>
      <c r="Q152" s="660"/>
      <c r="R152" s="660"/>
      <c r="S152" s="660"/>
      <c r="T152" s="660"/>
      <c r="U152" s="660"/>
      <c r="V152" s="661"/>
      <c r="W152" s="40" t="s">
        <v>39</v>
      </c>
      <c r="X152" s="41">
        <f>IFERROR(X150/H150,"0")+IFERROR(X151/H151,"0")</f>
        <v>0</v>
      </c>
      <c r="Y152" s="41">
        <f>IFERROR(Y150/H150,"0")+IFERROR(Y151/H151,"0")</f>
        <v>0</v>
      </c>
      <c r="Z152" s="41">
        <f>IFERROR(IF(Z150="",0,Z150),"0")+IFERROR(IF(Z151="",0,Z151),"0")</f>
        <v>0</v>
      </c>
      <c r="AA152" s="64"/>
      <c r="AB152" s="64"/>
      <c r="AC152" s="64"/>
    </row>
    <row r="153" spans="1:68" hidden="1" x14ac:dyDescent="0.2">
      <c r="A153" s="662"/>
      <c r="B153" s="662"/>
      <c r="C153" s="662"/>
      <c r="D153" s="662"/>
      <c r="E153" s="662"/>
      <c r="F153" s="662"/>
      <c r="G153" s="662"/>
      <c r="H153" s="662"/>
      <c r="I153" s="662"/>
      <c r="J153" s="662"/>
      <c r="K153" s="662"/>
      <c r="L153" s="662"/>
      <c r="M153" s="662"/>
      <c r="N153" s="662"/>
      <c r="O153" s="663"/>
      <c r="P153" s="659" t="s">
        <v>40</v>
      </c>
      <c r="Q153" s="660"/>
      <c r="R153" s="660"/>
      <c r="S153" s="660"/>
      <c r="T153" s="660"/>
      <c r="U153" s="660"/>
      <c r="V153" s="661"/>
      <c r="W153" s="40" t="s">
        <v>0</v>
      </c>
      <c r="X153" s="41">
        <f>IFERROR(SUM(X150:X151),"0")</f>
        <v>0</v>
      </c>
      <c r="Y153" s="41">
        <f>IFERROR(SUM(Y150:Y151),"0")</f>
        <v>0</v>
      </c>
      <c r="Z153" s="40"/>
      <c r="AA153" s="64"/>
      <c r="AB153" s="64"/>
      <c r="AC153" s="64"/>
    </row>
    <row r="154" spans="1:68" ht="16.5" hidden="1" customHeight="1" x14ac:dyDescent="0.25">
      <c r="A154" s="664" t="s">
        <v>278</v>
      </c>
      <c r="B154" s="664"/>
      <c r="C154" s="664"/>
      <c r="D154" s="664"/>
      <c r="E154" s="664"/>
      <c r="F154" s="664"/>
      <c r="G154" s="664"/>
      <c r="H154" s="664"/>
      <c r="I154" s="664"/>
      <c r="J154" s="664"/>
      <c r="K154" s="664"/>
      <c r="L154" s="664"/>
      <c r="M154" s="664"/>
      <c r="N154" s="664"/>
      <c r="O154" s="664"/>
      <c r="P154" s="664"/>
      <c r="Q154" s="664"/>
      <c r="R154" s="664"/>
      <c r="S154" s="664"/>
      <c r="T154" s="664"/>
      <c r="U154" s="664"/>
      <c r="V154" s="664"/>
      <c r="W154" s="664"/>
      <c r="X154" s="664"/>
      <c r="Y154" s="664"/>
      <c r="Z154" s="664"/>
      <c r="AA154" s="62"/>
      <c r="AB154" s="62"/>
      <c r="AC154" s="62"/>
    </row>
    <row r="155" spans="1:68" ht="14.25" hidden="1" customHeight="1" x14ac:dyDescent="0.25">
      <c r="A155" s="665" t="s">
        <v>86</v>
      </c>
      <c r="B155" s="665"/>
      <c r="C155" s="665"/>
      <c r="D155" s="665"/>
      <c r="E155" s="665"/>
      <c r="F155" s="665"/>
      <c r="G155" s="665"/>
      <c r="H155" s="665"/>
      <c r="I155" s="665"/>
      <c r="J155" s="665"/>
      <c r="K155" s="665"/>
      <c r="L155" s="665"/>
      <c r="M155" s="665"/>
      <c r="N155" s="665"/>
      <c r="O155" s="665"/>
      <c r="P155" s="665"/>
      <c r="Q155" s="665"/>
      <c r="R155" s="665"/>
      <c r="S155" s="665"/>
      <c r="T155" s="665"/>
      <c r="U155" s="665"/>
      <c r="V155" s="665"/>
      <c r="W155" s="665"/>
      <c r="X155" s="665"/>
      <c r="Y155" s="665"/>
      <c r="Z155" s="665"/>
      <c r="AA155" s="63"/>
      <c r="AB155" s="63"/>
      <c r="AC155" s="63"/>
    </row>
    <row r="156" spans="1:68" ht="27" hidden="1" customHeight="1" x14ac:dyDescent="0.25">
      <c r="A156" s="60" t="s">
        <v>279</v>
      </c>
      <c r="B156" s="60" t="s">
        <v>280</v>
      </c>
      <c r="C156" s="34">
        <v>4301052254</v>
      </c>
      <c r="D156" s="666">
        <v>4680115888203</v>
      </c>
      <c r="E156" s="666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68"/>
      <c r="R156" s="668"/>
      <c r="S156" s="668"/>
      <c r="T156" s="669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ref="Y156:Y162" si="21">IFERROR(IF(X156="",0,CEILING((X156/$H156),1)*$H156),"")</f>
        <v>0</v>
      </c>
      <c r="Z156" s="39" t="str">
        <f t="shared" ref="Z156:Z162" si="22">IFERROR(IF(Y156=0,"",ROUNDUP(Y156/H156,0)*0.00651),"")</f>
        <v/>
      </c>
      <c r="AA156" s="65" t="s">
        <v>46</v>
      </c>
      <c r="AB156" s="66" t="s">
        <v>46</v>
      </c>
      <c r="AC156" s="229" t="s">
        <v>281</v>
      </c>
      <c r="AG156" s="75"/>
      <c r="AJ156" s="79" t="s">
        <v>46</v>
      </c>
      <c r="AK156" s="79">
        <v>0</v>
      </c>
      <c r="BB156" s="230" t="s">
        <v>67</v>
      </c>
      <c r="BM156" s="75">
        <f t="shared" ref="BM156:BM162" si="23">IFERROR(X156*I156/H156,"0")</f>
        <v>0</v>
      </c>
      <c r="BN156" s="75">
        <f t="shared" ref="BN156:BN162" si="24">IFERROR(Y156*I156/H156,"0")</f>
        <v>0</v>
      </c>
      <c r="BO156" s="75">
        <f t="shared" ref="BO156:BO162" si="25">IFERROR(1/J156*(X156/H156),"0")</f>
        <v>0</v>
      </c>
      <c r="BP156" s="75">
        <f t="shared" ref="BP156:BP162" si="26">IFERROR(1/J156*(Y156/H156),"0")</f>
        <v>0</v>
      </c>
    </row>
    <row r="157" spans="1:68" ht="27" hidden="1" customHeight="1" x14ac:dyDescent="0.25">
      <c r="A157" s="60" t="s">
        <v>282</v>
      </c>
      <c r="B157" s="60" t="s">
        <v>283</v>
      </c>
      <c r="C157" s="34">
        <v>4301052172</v>
      </c>
      <c r="D157" s="666">
        <v>4680115888180</v>
      </c>
      <c r="E157" s="666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68"/>
      <c r="R157" s="668"/>
      <c r="S157" s="668"/>
      <c r="T157" s="669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1"/>
        <v>0</v>
      </c>
      <c r="Z157" s="39" t="str">
        <f t="shared" si="22"/>
        <v/>
      </c>
      <c r="AA157" s="65" t="s">
        <v>46</v>
      </c>
      <c r="AB157" s="66" t="s">
        <v>46</v>
      </c>
      <c r="AC157" s="231" t="s">
        <v>284</v>
      </c>
      <c r="AG157" s="75"/>
      <c r="AJ157" s="79" t="s">
        <v>46</v>
      </c>
      <c r="AK157" s="79">
        <v>0</v>
      </c>
      <c r="BB157" s="232" t="s">
        <v>67</v>
      </c>
      <c r="BM157" s="75">
        <f t="shared" si="23"/>
        <v>0</v>
      </c>
      <c r="BN157" s="75">
        <f t="shared" si="24"/>
        <v>0</v>
      </c>
      <c r="BO157" s="75">
        <f t="shared" si="25"/>
        <v>0</v>
      </c>
      <c r="BP157" s="75">
        <f t="shared" si="26"/>
        <v>0</v>
      </c>
    </row>
    <row r="158" spans="1:68" ht="27" hidden="1" customHeight="1" x14ac:dyDescent="0.25">
      <c r="A158" s="60" t="s">
        <v>282</v>
      </c>
      <c r="B158" s="60" t="s">
        <v>285</v>
      </c>
      <c r="C158" s="34">
        <v>4301052252</v>
      </c>
      <c r="D158" s="666">
        <v>4680115888180</v>
      </c>
      <c r="E158" s="666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91</v>
      </c>
      <c r="L158" s="35" t="s">
        <v>46</v>
      </c>
      <c r="M158" s="36" t="s">
        <v>97</v>
      </c>
      <c r="N158" s="36"/>
      <c r="O158" s="35">
        <v>40</v>
      </c>
      <c r="P158" s="8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68"/>
      <c r="R158" s="668"/>
      <c r="S158" s="668"/>
      <c r="T158" s="669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1"/>
        <v>0</v>
      </c>
      <c r="Z158" s="39" t="str">
        <f t="shared" si="22"/>
        <v/>
      </c>
      <c r="AA158" s="65" t="s">
        <v>46</v>
      </c>
      <c r="AB158" s="66" t="s">
        <v>46</v>
      </c>
      <c r="AC158" s="233" t="s">
        <v>284</v>
      </c>
      <c r="AG158" s="75"/>
      <c r="AJ158" s="79" t="s">
        <v>46</v>
      </c>
      <c r="AK158" s="79">
        <v>0</v>
      </c>
      <c r="BB158" s="234" t="s">
        <v>67</v>
      </c>
      <c r="BM158" s="75">
        <f t="shared" si="23"/>
        <v>0</v>
      </c>
      <c r="BN158" s="75">
        <f t="shared" si="24"/>
        <v>0</v>
      </c>
      <c r="BO158" s="75">
        <f t="shared" si="25"/>
        <v>0</v>
      </c>
      <c r="BP158" s="75">
        <f t="shared" si="26"/>
        <v>0</v>
      </c>
    </row>
    <row r="159" spans="1:68" ht="27" hidden="1" customHeight="1" x14ac:dyDescent="0.25">
      <c r="A159" s="60" t="s">
        <v>286</v>
      </c>
      <c r="B159" s="60" t="s">
        <v>287</v>
      </c>
      <c r="C159" s="34">
        <v>4301052173</v>
      </c>
      <c r="D159" s="666">
        <v>4680115888197</v>
      </c>
      <c r="E159" s="666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91</v>
      </c>
      <c r="L159" s="35" t="s">
        <v>46</v>
      </c>
      <c r="M159" s="36" t="s">
        <v>97</v>
      </c>
      <c r="N159" s="36"/>
      <c r="O159" s="35">
        <v>40</v>
      </c>
      <c r="P159" s="88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68"/>
      <c r="R159" s="668"/>
      <c r="S159" s="668"/>
      <c r="T159" s="669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1"/>
        <v>0</v>
      </c>
      <c r="Z159" s="39" t="str">
        <f t="shared" si="22"/>
        <v/>
      </c>
      <c r="AA159" s="65" t="s">
        <v>46</v>
      </c>
      <c r="AB159" s="66" t="s">
        <v>46</v>
      </c>
      <c r="AC159" s="235" t="s">
        <v>288</v>
      </c>
      <c r="AG159" s="75"/>
      <c r="AJ159" s="79" t="s">
        <v>46</v>
      </c>
      <c r="AK159" s="79">
        <v>0</v>
      </c>
      <c r="BB159" s="236" t="s">
        <v>67</v>
      </c>
      <c r="BM159" s="75">
        <f t="shared" si="23"/>
        <v>0</v>
      </c>
      <c r="BN159" s="75">
        <f t="shared" si="24"/>
        <v>0</v>
      </c>
      <c r="BO159" s="75">
        <f t="shared" si="25"/>
        <v>0</v>
      </c>
      <c r="BP159" s="75">
        <f t="shared" si="26"/>
        <v>0</v>
      </c>
    </row>
    <row r="160" spans="1:68" ht="27" hidden="1" customHeight="1" x14ac:dyDescent="0.25">
      <c r="A160" s="60" t="s">
        <v>286</v>
      </c>
      <c r="B160" s="60" t="s">
        <v>289</v>
      </c>
      <c r="C160" s="34">
        <v>4301052253</v>
      </c>
      <c r="D160" s="666">
        <v>4680115888197</v>
      </c>
      <c r="E160" s="666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91</v>
      </c>
      <c r="L160" s="35" t="s">
        <v>46</v>
      </c>
      <c r="M160" s="36" t="s">
        <v>97</v>
      </c>
      <c r="N160" s="36"/>
      <c r="O160" s="35">
        <v>40</v>
      </c>
      <c r="P160" s="88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68"/>
      <c r="R160" s="668"/>
      <c r="S160" s="668"/>
      <c r="T160" s="669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1"/>
        <v>0</v>
      </c>
      <c r="Z160" s="39" t="str">
        <f t="shared" si="22"/>
        <v/>
      </c>
      <c r="AA160" s="65" t="s">
        <v>46</v>
      </c>
      <c r="AB160" s="66" t="s">
        <v>46</v>
      </c>
      <c r="AC160" s="237" t="s">
        <v>288</v>
      </c>
      <c r="AG160" s="75"/>
      <c r="AJ160" s="79" t="s">
        <v>46</v>
      </c>
      <c r="AK160" s="79">
        <v>0</v>
      </c>
      <c r="BB160" s="238" t="s">
        <v>67</v>
      </c>
      <c r="BM160" s="75">
        <f t="shared" si="23"/>
        <v>0</v>
      </c>
      <c r="BN160" s="75">
        <f t="shared" si="24"/>
        <v>0</v>
      </c>
      <c r="BO160" s="75">
        <f t="shared" si="25"/>
        <v>0</v>
      </c>
      <c r="BP160" s="75">
        <f t="shared" si="26"/>
        <v>0</v>
      </c>
    </row>
    <row r="161" spans="1:68" ht="27" hidden="1" customHeight="1" x14ac:dyDescent="0.25">
      <c r="A161" s="60" t="s">
        <v>290</v>
      </c>
      <c r="B161" s="60" t="s">
        <v>291</v>
      </c>
      <c r="C161" s="34">
        <v>4301052175</v>
      </c>
      <c r="D161" s="666">
        <v>4680115888210</v>
      </c>
      <c r="E161" s="666"/>
      <c r="F161" s="59">
        <v>0.22</v>
      </c>
      <c r="G161" s="35">
        <v>9</v>
      </c>
      <c r="H161" s="59">
        <v>1.98</v>
      </c>
      <c r="I161" s="59">
        <v>2.2589999999999999</v>
      </c>
      <c r="J161" s="35">
        <v>182</v>
      </c>
      <c r="K161" s="35" t="s">
        <v>91</v>
      </c>
      <c r="L161" s="35" t="s">
        <v>46</v>
      </c>
      <c r="M161" s="36" t="s">
        <v>97</v>
      </c>
      <c r="N161" s="36"/>
      <c r="O161" s="35">
        <v>40</v>
      </c>
      <c r="P161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68"/>
      <c r="R161" s="668"/>
      <c r="S161" s="668"/>
      <c r="T161" s="669"/>
      <c r="U161" s="37" t="s">
        <v>46</v>
      </c>
      <c r="V161" s="37" t="s">
        <v>46</v>
      </c>
      <c r="W161" s="38" t="s">
        <v>0</v>
      </c>
      <c r="X161" s="56">
        <v>0</v>
      </c>
      <c r="Y161" s="53">
        <f t="shared" si="21"/>
        <v>0</v>
      </c>
      <c r="Z161" s="39" t="str">
        <f t="shared" si="22"/>
        <v/>
      </c>
      <c r="AA161" s="65" t="s">
        <v>46</v>
      </c>
      <c r="AB161" s="66" t="s">
        <v>46</v>
      </c>
      <c r="AC161" s="239" t="s">
        <v>292</v>
      </c>
      <c r="AG161" s="75"/>
      <c r="AJ161" s="79" t="s">
        <v>46</v>
      </c>
      <c r="AK161" s="79">
        <v>0</v>
      </c>
      <c r="BB161" s="240" t="s">
        <v>67</v>
      </c>
      <c r="BM161" s="75">
        <f t="shared" si="23"/>
        <v>0</v>
      </c>
      <c r="BN161" s="75">
        <f t="shared" si="24"/>
        <v>0</v>
      </c>
      <c r="BO161" s="75">
        <f t="shared" si="25"/>
        <v>0</v>
      </c>
      <c r="BP161" s="75">
        <f t="shared" si="26"/>
        <v>0</v>
      </c>
    </row>
    <row r="162" spans="1:68" ht="27" hidden="1" customHeight="1" x14ac:dyDescent="0.25">
      <c r="A162" s="60" t="s">
        <v>290</v>
      </c>
      <c r="B162" s="60" t="s">
        <v>293</v>
      </c>
      <c r="C162" s="34">
        <v>4301052255</v>
      </c>
      <c r="D162" s="666">
        <v>4680115888210</v>
      </c>
      <c r="E162" s="666"/>
      <c r="F162" s="59">
        <v>0.22</v>
      </c>
      <c r="G162" s="35">
        <v>6</v>
      </c>
      <c r="H162" s="59">
        <v>1.32</v>
      </c>
      <c r="I162" s="59">
        <v>1.5660000000000001</v>
      </c>
      <c r="J162" s="35">
        <v>182</v>
      </c>
      <c r="K162" s="35" t="s">
        <v>91</v>
      </c>
      <c r="L162" s="35" t="s">
        <v>46</v>
      </c>
      <c r="M162" s="36" t="s">
        <v>97</v>
      </c>
      <c r="N162" s="36"/>
      <c r="O162" s="35">
        <v>40</v>
      </c>
      <c r="P162" s="87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68"/>
      <c r="R162" s="668"/>
      <c r="S162" s="668"/>
      <c r="T162" s="669"/>
      <c r="U162" s="37" t="s">
        <v>46</v>
      </c>
      <c r="V162" s="37" t="s">
        <v>46</v>
      </c>
      <c r="W162" s="38" t="s">
        <v>0</v>
      </c>
      <c r="X162" s="56">
        <v>0</v>
      </c>
      <c r="Y162" s="53">
        <f t="shared" si="21"/>
        <v>0</v>
      </c>
      <c r="Z162" s="39" t="str">
        <f t="shared" si="22"/>
        <v/>
      </c>
      <c r="AA162" s="65" t="s">
        <v>46</v>
      </c>
      <c r="AB162" s="66" t="s">
        <v>46</v>
      </c>
      <c r="AC162" s="241" t="s">
        <v>292</v>
      </c>
      <c r="AG162" s="75"/>
      <c r="AJ162" s="79" t="s">
        <v>46</v>
      </c>
      <c r="AK162" s="79">
        <v>0</v>
      </c>
      <c r="BB162" s="242" t="s">
        <v>67</v>
      </c>
      <c r="BM162" s="75">
        <f t="shared" si="23"/>
        <v>0</v>
      </c>
      <c r="BN162" s="75">
        <f t="shared" si="24"/>
        <v>0</v>
      </c>
      <c r="BO162" s="75">
        <f t="shared" si="25"/>
        <v>0</v>
      </c>
      <c r="BP162" s="75">
        <f t="shared" si="26"/>
        <v>0</v>
      </c>
    </row>
    <row r="163" spans="1:68" hidden="1" x14ac:dyDescent="0.2">
      <c r="A163" s="662"/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3"/>
      <c r="P163" s="659" t="s">
        <v>40</v>
      </c>
      <c r="Q163" s="660"/>
      <c r="R163" s="660"/>
      <c r="S163" s="660"/>
      <c r="T163" s="660"/>
      <c r="U163" s="660"/>
      <c r="V163" s="661"/>
      <c r="W163" s="40" t="s">
        <v>39</v>
      </c>
      <c r="X163" s="41">
        <f>IFERROR(X156/H156,"0")+IFERROR(X157/H157,"0")+IFERROR(X158/H158,"0")+IFERROR(X159/H159,"0")+IFERROR(X160/H160,"0")+IFERROR(X161/H161,"0")+IFERROR(X162/H162,"0")</f>
        <v>0</v>
      </c>
      <c r="Y163" s="41">
        <f>IFERROR(Y156/H156,"0")+IFERROR(Y157/H157,"0")+IFERROR(Y158/H158,"0")+IFERROR(Y159/H159,"0")+IFERROR(Y160/H160,"0")+IFERROR(Y161/H161,"0")+IFERROR(Y162/H162,"0")</f>
        <v>0</v>
      </c>
      <c r="Z163" s="41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662"/>
      <c r="B164" s="662"/>
      <c r="C164" s="662"/>
      <c r="D164" s="662"/>
      <c r="E164" s="662"/>
      <c r="F164" s="662"/>
      <c r="G164" s="662"/>
      <c r="H164" s="662"/>
      <c r="I164" s="662"/>
      <c r="J164" s="662"/>
      <c r="K164" s="662"/>
      <c r="L164" s="662"/>
      <c r="M164" s="662"/>
      <c r="N164" s="662"/>
      <c r="O164" s="663"/>
      <c r="P164" s="659" t="s">
        <v>40</v>
      </c>
      <c r="Q164" s="660"/>
      <c r="R164" s="660"/>
      <c r="S164" s="660"/>
      <c r="T164" s="660"/>
      <c r="U164" s="660"/>
      <c r="V164" s="661"/>
      <c r="W164" s="40" t="s">
        <v>0</v>
      </c>
      <c r="X164" s="41">
        <f>IFERROR(SUM(X156:X162),"0")</f>
        <v>0</v>
      </c>
      <c r="Y164" s="41">
        <f>IFERROR(SUM(Y156:Y162),"0")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65" t="s">
        <v>294</v>
      </c>
      <c r="B165" s="665"/>
      <c r="C165" s="665"/>
      <c r="D165" s="665"/>
      <c r="E165" s="665"/>
      <c r="F165" s="665"/>
      <c r="G165" s="665"/>
      <c r="H165" s="665"/>
      <c r="I165" s="665"/>
      <c r="J165" s="665"/>
      <c r="K165" s="665"/>
      <c r="L165" s="665"/>
      <c r="M165" s="665"/>
      <c r="N165" s="665"/>
      <c r="O165" s="665"/>
      <c r="P165" s="665"/>
      <c r="Q165" s="665"/>
      <c r="R165" s="665"/>
      <c r="S165" s="665"/>
      <c r="T165" s="665"/>
      <c r="U165" s="665"/>
      <c r="V165" s="665"/>
      <c r="W165" s="665"/>
      <c r="X165" s="665"/>
      <c r="Y165" s="665"/>
      <c r="Z165" s="665"/>
      <c r="AA165" s="63"/>
      <c r="AB165" s="63"/>
      <c r="AC165" s="63"/>
    </row>
    <row r="166" spans="1:68" ht="27" hidden="1" customHeight="1" x14ac:dyDescent="0.25">
      <c r="A166" s="60" t="s">
        <v>295</v>
      </c>
      <c r="B166" s="60" t="s">
        <v>296</v>
      </c>
      <c r="C166" s="34">
        <v>4301032067</v>
      </c>
      <c r="D166" s="666">
        <v>4680115889132</v>
      </c>
      <c r="E166" s="666"/>
      <c r="F166" s="59">
        <v>0.04</v>
      </c>
      <c r="G166" s="35">
        <v>8</v>
      </c>
      <c r="H166" s="59">
        <v>0.32</v>
      </c>
      <c r="I166" s="59">
        <v>0.5</v>
      </c>
      <c r="J166" s="35">
        <v>330</v>
      </c>
      <c r="K166" s="35" t="s">
        <v>300</v>
      </c>
      <c r="L166" s="35" t="s">
        <v>46</v>
      </c>
      <c r="M166" s="36" t="s">
        <v>299</v>
      </c>
      <c r="N166" s="36"/>
      <c r="O166" s="35">
        <v>120</v>
      </c>
      <c r="P166" s="88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68"/>
      <c r="R166" s="668"/>
      <c r="S166" s="668"/>
      <c r="T166" s="66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IFERROR(IF(Y166=0,"",ROUNDUP(Y166/H166,0)*0.00337),"")</f>
        <v/>
      </c>
      <c r="AA166" s="65" t="s">
        <v>46</v>
      </c>
      <c r="AB166" s="66" t="s">
        <v>46</v>
      </c>
      <c r="AC166" s="243" t="s">
        <v>297</v>
      </c>
      <c r="AG166" s="75"/>
      <c r="AJ166" s="79" t="s">
        <v>46</v>
      </c>
      <c r="AK166" s="79">
        <v>0</v>
      </c>
      <c r="BB166" s="244" t="s">
        <v>298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62"/>
      <c r="B167" s="662"/>
      <c r="C167" s="662"/>
      <c r="D167" s="662"/>
      <c r="E167" s="662"/>
      <c r="F167" s="662"/>
      <c r="G167" s="662"/>
      <c r="H167" s="662"/>
      <c r="I167" s="662"/>
      <c r="J167" s="662"/>
      <c r="K167" s="662"/>
      <c r="L167" s="662"/>
      <c r="M167" s="662"/>
      <c r="N167" s="662"/>
      <c r="O167" s="663"/>
      <c r="P167" s="659" t="s">
        <v>40</v>
      </c>
      <c r="Q167" s="660"/>
      <c r="R167" s="660"/>
      <c r="S167" s="660"/>
      <c r="T167" s="660"/>
      <c r="U167" s="660"/>
      <c r="V167" s="661"/>
      <c r="W167" s="40" t="s">
        <v>39</v>
      </c>
      <c r="X167" s="41">
        <f>IFERROR(X166/H166,"0")</f>
        <v>0</v>
      </c>
      <c r="Y167" s="41">
        <f>IFERROR(Y166/H166,"0")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662"/>
      <c r="B168" s="662"/>
      <c r="C168" s="662"/>
      <c r="D168" s="662"/>
      <c r="E168" s="662"/>
      <c r="F168" s="662"/>
      <c r="G168" s="662"/>
      <c r="H168" s="662"/>
      <c r="I168" s="662"/>
      <c r="J168" s="662"/>
      <c r="K168" s="662"/>
      <c r="L168" s="662"/>
      <c r="M168" s="662"/>
      <c r="N168" s="662"/>
      <c r="O168" s="663"/>
      <c r="P168" s="659" t="s">
        <v>40</v>
      </c>
      <c r="Q168" s="660"/>
      <c r="R168" s="660"/>
      <c r="S168" s="660"/>
      <c r="T168" s="660"/>
      <c r="U168" s="660"/>
      <c r="V168" s="661"/>
      <c r="W168" s="40" t="s">
        <v>0</v>
      </c>
      <c r="X168" s="41">
        <f>IFERROR(SUM(X166:X166),"0")</f>
        <v>0</v>
      </c>
      <c r="Y168" s="41">
        <f>IFERROR(SUM(Y166:Y166),"0")</f>
        <v>0</v>
      </c>
      <c r="Z168" s="40"/>
      <c r="AA168" s="64"/>
      <c r="AB168" s="64"/>
      <c r="AC168" s="64"/>
    </row>
    <row r="169" spans="1:68" ht="16.5" hidden="1" customHeight="1" x14ac:dyDescent="0.25">
      <c r="A169" s="664" t="s">
        <v>120</v>
      </c>
      <c r="B169" s="664"/>
      <c r="C169" s="664"/>
      <c r="D169" s="664"/>
      <c r="E169" s="664"/>
      <c r="F169" s="664"/>
      <c r="G169" s="664"/>
      <c r="H169" s="664"/>
      <c r="I169" s="664"/>
      <c r="J169" s="664"/>
      <c r="K169" s="664"/>
      <c r="L169" s="664"/>
      <c r="M169" s="664"/>
      <c r="N169" s="664"/>
      <c r="O169" s="664"/>
      <c r="P169" s="664"/>
      <c r="Q169" s="664"/>
      <c r="R169" s="664"/>
      <c r="S169" s="664"/>
      <c r="T169" s="664"/>
      <c r="U169" s="664"/>
      <c r="V169" s="664"/>
      <c r="W169" s="664"/>
      <c r="X169" s="664"/>
      <c r="Y169" s="664"/>
      <c r="Z169" s="664"/>
      <c r="AA169" s="62"/>
      <c r="AB169" s="62"/>
      <c r="AC169" s="62"/>
    </row>
    <row r="170" spans="1:68" ht="14.25" hidden="1" customHeight="1" x14ac:dyDescent="0.25">
      <c r="A170" s="665" t="s">
        <v>122</v>
      </c>
      <c r="B170" s="665"/>
      <c r="C170" s="665"/>
      <c r="D170" s="665"/>
      <c r="E170" s="665"/>
      <c r="F170" s="665"/>
      <c r="G170" s="665"/>
      <c r="H170" s="665"/>
      <c r="I170" s="665"/>
      <c r="J170" s="665"/>
      <c r="K170" s="665"/>
      <c r="L170" s="665"/>
      <c r="M170" s="665"/>
      <c r="N170" s="665"/>
      <c r="O170" s="665"/>
      <c r="P170" s="665"/>
      <c r="Q170" s="665"/>
      <c r="R170" s="665"/>
      <c r="S170" s="665"/>
      <c r="T170" s="665"/>
      <c r="U170" s="665"/>
      <c r="V170" s="665"/>
      <c r="W170" s="665"/>
      <c r="X170" s="665"/>
      <c r="Y170" s="665"/>
      <c r="Z170" s="665"/>
      <c r="AA170" s="63"/>
      <c r="AB170" s="63"/>
      <c r="AC170" s="63"/>
    </row>
    <row r="171" spans="1:68" ht="27" hidden="1" customHeight="1" x14ac:dyDescent="0.25">
      <c r="A171" s="60" t="s">
        <v>301</v>
      </c>
      <c r="B171" s="60" t="s">
        <v>302</v>
      </c>
      <c r="C171" s="34">
        <v>4301012338</v>
      </c>
      <c r="D171" s="666">
        <v>4680115887374</v>
      </c>
      <c r="E171" s="666"/>
      <c r="F171" s="59">
        <v>1</v>
      </c>
      <c r="G171" s="35">
        <v>6</v>
      </c>
      <c r="H171" s="59">
        <v>6</v>
      </c>
      <c r="I171" s="59">
        <v>6.35</v>
      </c>
      <c r="J171" s="35">
        <v>104</v>
      </c>
      <c r="K171" s="35" t="s">
        <v>127</v>
      </c>
      <c r="L171" s="35" t="s">
        <v>46</v>
      </c>
      <c r="M171" s="36" t="s">
        <v>126</v>
      </c>
      <c r="N171" s="36"/>
      <c r="O171" s="35">
        <v>55</v>
      </c>
      <c r="P171" s="88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68"/>
      <c r="R171" s="668"/>
      <c r="S171" s="668"/>
      <c r="T171" s="669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IFERROR(IF(Y171=0,"",ROUNDUP(Y171/H171,0)*0.01196),"")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t="27" hidden="1" customHeight="1" x14ac:dyDescent="0.25">
      <c r="A172" s="60" t="s">
        <v>304</v>
      </c>
      <c r="B172" s="60" t="s">
        <v>305</v>
      </c>
      <c r="C172" s="34">
        <v>4301011705</v>
      </c>
      <c r="D172" s="666">
        <v>4607091384604</v>
      </c>
      <c r="E172" s="666"/>
      <c r="F172" s="59">
        <v>0.4</v>
      </c>
      <c r="G172" s="35">
        <v>10</v>
      </c>
      <c r="H172" s="59">
        <v>4</v>
      </c>
      <c r="I172" s="59">
        <v>4.1900000000000004</v>
      </c>
      <c r="J172" s="35">
        <v>132</v>
      </c>
      <c r="K172" s="35" t="s">
        <v>134</v>
      </c>
      <c r="L172" s="35" t="s">
        <v>46</v>
      </c>
      <c r="M172" s="36" t="s">
        <v>126</v>
      </c>
      <c r="N172" s="36"/>
      <c r="O172" s="35">
        <v>50</v>
      </c>
      <c r="P172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68"/>
      <c r="R172" s="668"/>
      <c r="S172" s="668"/>
      <c r="T172" s="66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47" t="s">
        <v>306</v>
      </c>
      <c r="AG172" s="75"/>
      <c r="AJ172" s="79" t="s">
        <v>46</v>
      </c>
      <c r="AK172" s="79">
        <v>0</v>
      </c>
      <c r="BB172" s="248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307</v>
      </c>
      <c r="B173" s="60" t="s">
        <v>308</v>
      </c>
      <c r="C173" s="34">
        <v>4301012344</v>
      </c>
      <c r="D173" s="666">
        <v>4680115888876</v>
      </c>
      <c r="E173" s="666"/>
      <c r="F173" s="59">
        <v>0.43</v>
      </c>
      <c r="G173" s="35">
        <v>6</v>
      </c>
      <c r="H173" s="59">
        <v>2.58</v>
      </c>
      <c r="I173" s="59">
        <v>2.76</v>
      </c>
      <c r="J173" s="35">
        <v>182</v>
      </c>
      <c r="K173" s="35" t="s">
        <v>91</v>
      </c>
      <c r="L173" s="35" t="s">
        <v>46</v>
      </c>
      <c r="M173" s="36" t="s">
        <v>90</v>
      </c>
      <c r="N173" s="36"/>
      <c r="O173" s="35">
        <v>55</v>
      </c>
      <c r="P173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68"/>
      <c r="R173" s="668"/>
      <c r="S173" s="668"/>
      <c r="T173" s="669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IFERROR(IF(Y173=0,"",ROUNDUP(Y173/H173,0)*0.00651),"")</f>
        <v/>
      </c>
      <c r="AA173" s="65" t="s">
        <v>46</v>
      </c>
      <c r="AB173" s="66" t="s">
        <v>46</v>
      </c>
      <c r="AC173" s="249" t="s">
        <v>309</v>
      </c>
      <c r="AG173" s="75"/>
      <c r="AJ173" s="79" t="s">
        <v>46</v>
      </c>
      <c r="AK173" s="79">
        <v>0</v>
      </c>
      <c r="BB173" s="250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62"/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3"/>
      <c r="P174" s="659" t="s">
        <v>40</v>
      </c>
      <c r="Q174" s="660"/>
      <c r="R174" s="660"/>
      <c r="S174" s="660"/>
      <c r="T174" s="660"/>
      <c r="U174" s="660"/>
      <c r="V174" s="661"/>
      <c r="W174" s="40" t="s">
        <v>39</v>
      </c>
      <c r="X174" s="41">
        <f>IFERROR(X171/H171,"0")+IFERROR(X172/H172,"0")+IFERROR(X173/H173,"0")</f>
        <v>0</v>
      </c>
      <c r="Y174" s="41">
        <f>IFERROR(Y171/H171,"0")+IFERROR(Y172/H172,"0")+IFERROR(Y173/H173,"0")</f>
        <v>0</v>
      </c>
      <c r="Z174" s="41">
        <f>IFERROR(IF(Z171="",0,Z171),"0")+IFERROR(IF(Z172="",0,Z172),"0")+IFERROR(IF(Z173="",0,Z173),"0")</f>
        <v>0</v>
      </c>
      <c r="AA174" s="64"/>
      <c r="AB174" s="64"/>
      <c r="AC174" s="64"/>
    </row>
    <row r="175" spans="1:68" hidden="1" x14ac:dyDescent="0.2">
      <c r="A175" s="662"/>
      <c r="B175" s="662"/>
      <c r="C175" s="662"/>
      <c r="D175" s="662"/>
      <c r="E175" s="662"/>
      <c r="F175" s="662"/>
      <c r="G175" s="662"/>
      <c r="H175" s="662"/>
      <c r="I175" s="662"/>
      <c r="J175" s="662"/>
      <c r="K175" s="662"/>
      <c r="L175" s="662"/>
      <c r="M175" s="662"/>
      <c r="N175" s="662"/>
      <c r="O175" s="663"/>
      <c r="P175" s="659" t="s">
        <v>40</v>
      </c>
      <c r="Q175" s="660"/>
      <c r="R175" s="660"/>
      <c r="S175" s="660"/>
      <c r="T175" s="660"/>
      <c r="U175" s="660"/>
      <c r="V175" s="661"/>
      <c r="W175" s="40" t="s">
        <v>0</v>
      </c>
      <c r="X175" s="41">
        <f>IFERROR(SUM(X171:X173),"0")</f>
        <v>0</v>
      </c>
      <c r="Y175" s="41">
        <f>IFERROR(SUM(Y171:Y173),"0")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65" t="s">
        <v>155</v>
      </c>
      <c r="B176" s="665"/>
      <c r="C176" s="665"/>
      <c r="D176" s="665"/>
      <c r="E176" s="665"/>
      <c r="F176" s="665"/>
      <c r="G176" s="665"/>
      <c r="H176" s="665"/>
      <c r="I176" s="665"/>
      <c r="J176" s="665"/>
      <c r="K176" s="665"/>
      <c r="L176" s="665"/>
      <c r="M176" s="665"/>
      <c r="N176" s="665"/>
      <c r="O176" s="665"/>
      <c r="P176" s="665"/>
      <c r="Q176" s="665"/>
      <c r="R176" s="665"/>
      <c r="S176" s="665"/>
      <c r="T176" s="665"/>
      <c r="U176" s="665"/>
      <c r="V176" s="665"/>
      <c r="W176" s="665"/>
      <c r="X176" s="665"/>
      <c r="Y176" s="665"/>
      <c r="Z176" s="665"/>
      <c r="AA176" s="63"/>
      <c r="AB176" s="63"/>
      <c r="AC176" s="63"/>
    </row>
    <row r="177" spans="1:68" ht="16.5" hidden="1" customHeight="1" x14ac:dyDescent="0.25">
      <c r="A177" s="60" t="s">
        <v>310</v>
      </c>
      <c r="B177" s="60" t="s">
        <v>311</v>
      </c>
      <c r="C177" s="34">
        <v>4301020410</v>
      </c>
      <c r="D177" s="666">
        <v>4680115887695</v>
      </c>
      <c r="E177" s="666"/>
      <c r="F177" s="59">
        <v>0.12</v>
      </c>
      <c r="G177" s="35">
        <v>6</v>
      </c>
      <c r="H177" s="59">
        <v>0.72</v>
      </c>
      <c r="I177" s="59">
        <v>0.85</v>
      </c>
      <c r="J177" s="35">
        <v>252</v>
      </c>
      <c r="K177" s="35" t="s">
        <v>82</v>
      </c>
      <c r="L177" s="35" t="s">
        <v>46</v>
      </c>
      <c r="M177" s="36" t="s">
        <v>81</v>
      </c>
      <c r="N177" s="36"/>
      <c r="O177" s="35">
        <v>30</v>
      </c>
      <c r="P177" s="8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68"/>
      <c r="R177" s="668"/>
      <c r="S177" s="668"/>
      <c r="T177" s="669"/>
      <c r="U177" s="37" t="s">
        <v>46</v>
      </c>
      <c r="V177" s="37" t="s">
        <v>46</v>
      </c>
      <c r="W177" s="38" t="s">
        <v>0</v>
      </c>
      <c r="X177" s="56">
        <v>0</v>
      </c>
      <c r="Y177" s="53">
        <f>IFERROR(IF(X177="",0,CEILING((X177/$H177),1)*$H177),"")</f>
        <v>0</v>
      </c>
      <c r="Z177" s="39" t="str">
        <f>IFERROR(IF(Y177=0,"",ROUNDUP(Y177/H177,0)*0.00556),"")</f>
        <v/>
      </c>
      <c r="AA177" s="65" t="s">
        <v>46</v>
      </c>
      <c r="AB177" s="66" t="s">
        <v>46</v>
      </c>
      <c r="AC177" s="251" t="s">
        <v>312</v>
      </c>
      <c r="AG177" s="75"/>
      <c r="AJ177" s="79" t="s">
        <v>46</v>
      </c>
      <c r="AK177" s="79">
        <v>0</v>
      </c>
      <c r="BB177" s="252" t="s">
        <v>67</v>
      </c>
      <c r="BM177" s="75">
        <f>IFERROR(X177*I177/H177,"0")</f>
        <v>0</v>
      </c>
      <c r="BN177" s="75">
        <f>IFERROR(Y177*I177/H177,"0")</f>
        <v>0</v>
      </c>
      <c r="BO177" s="75">
        <f>IFERROR(1/J177*(X177/H177),"0")</f>
        <v>0</v>
      </c>
      <c r="BP177" s="75">
        <f>IFERROR(1/J177*(Y177/H177),"0")</f>
        <v>0</v>
      </c>
    </row>
    <row r="178" spans="1:68" ht="16.5" hidden="1" customHeight="1" x14ac:dyDescent="0.25">
      <c r="A178" s="60" t="s">
        <v>313</v>
      </c>
      <c r="B178" s="60" t="s">
        <v>314</v>
      </c>
      <c r="C178" s="34">
        <v>4301020439</v>
      </c>
      <c r="D178" s="666">
        <v>4680115889491</v>
      </c>
      <c r="E178" s="666"/>
      <c r="F178" s="59">
        <v>0.3</v>
      </c>
      <c r="G178" s="35">
        <v>8</v>
      </c>
      <c r="H178" s="59">
        <v>2.4</v>
      </c>
      <c r="I178" s="59">
        <v>2.5</v>
      </c>
      <c r="J178" s="35">
        <v>234</v>
      </c>
      <c r="K178" s="35" t="s">
        <v>82</v>
      </c>
      <c r="L178" s="35" t="s">
        <v>46</v>
      </c>
      <c r="M178" s="36" t="s">
        <v>126</v>
      </c>
      <c r="N178" s="36"/>
      <c r="O178" s="35">
        <v>55</v>
      </c>
      <c r="P178" s="87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68"/>
      <c r="R178" s="668"/>
      <c r="S178" s="668"/>
      <c r="T178" s="669"/>
      <c r="U178" s="37" t="s">
        <v>46</v>
      </c>
      <c r="V178" s="37" t="s">
        <v>46</v>
      </c>
      <c r="W178" s="38" t="s">
        <v>0</v>
      </c>
      <c r="X178" s="56">
        <v>0</v>
      </c>
      <c r="Y178" s="53">
        <f>IFERROR(IF(X178="",0,CEILING((X178/$H178),1)*$H178),"")</f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53" t="s">
        <v>315</v>
      </c>
      <c r="AG178" s="75"/>
      <c r="AJ178" s="79" t="s">
        <v>46</v>
      </c>
      <c r="AK178" s="79">
        <v>0</v>
      </c>
      <c r="BB178" s="254" t="s">
        <v>67</v>
      </c>
      <c r="BM178" s="75">
        <f>IFERROR(X178*I178/H178,"0")</f>
        <v>0</v>
      </c>
      <c r="BN178" s="75">
        <f>IFERROR(Y178*I178/H178,"0")</f>
        <v>0</v>
      </c>
      <c r="BO178" s="75">
        <f>IFERROR(1/J178*(X178/H178),"0")</f>
        <v>0</v>
      </c>
      <c r="BP178" s="75">
        <f>IFERROR(1/J178*(Y178/H178),"0")</f>
        <v>0</v>
      </c>
    </row>
    <row r="179" spans="1:68" hidden="1" x14ac:dyDescent="0.2">
      <c r="A179" s="662"/>
      <c r="B179" s="662"/>
      <c r="C179" s="662"/>
      <c r="D179" s="662"/>
      <c r="E179" s="662"/>
      <c r="F179" s="662"/>
      <c r="G179" s="662"/>
      <c r="H179" s="662"/>
      <c r="I179" s="662"/>
      <c r="J179" s="662"/>
      <c r="K179" s="662"/>
      <c r="L179" s="662"/>
      <c r="M179" s="662"/>
      <c r="N179" s="662"/>
      <c r="O179" s="663"/>
      <c r="P179" s="659" t="s">
        <v>40</v>
      </c>
      <c r="Q179" s="660"/>
      <c r="R179" s="660"/>
      <c r="S179" s="660"/>
      <c r="T179" s="660"/>
      <c r="U179" s="660"/>
      <c r="V179" s="661"/>
      <c r="W179" s="40" t="s">
        <v>39</v>
      </c>
      <c r="X179" s="41">
        <f>IFERROR(X177/H177,"0")+IFERROR(X178/H178,"0")</f>
        <v>0</v>
      </c>
      <c r="Y179" s="41">
        <f>IFERROR(Y177/H177,"0")+IFERROR(Y178/H178,"0")</f>
        <v>0</v>
      </c>
      <c r="Z179" s="41">
        <f>IFERROR(IF(Z177="",0,Z177),"0")+IFERROR(IF(Z178="",0,Z178),"0")</f>
        <v>0</v>
      </c>
      <c r="AA179" s="64"/>
      <c r="AB179" s="64"/>
      <c r="AC179" s="64"/>
    </row>
    <row r="180" spans="1:68" hidden="1" x14ac:dyDescent="0.2">
      <c r="A180" s="662"/>
      <c r="B180" s="662"/>
      <c r="C180" s="662"/>
      <c r="D180" s="662"/>
      <c r="E180" s="662"/>
      <c r="F180" s="662"/>
      <c r="G180" s="662"/>
      <c r="H180" s="662"/>
      <c r="I180" s="662"/>
      <c r="J180" s="662"/>
      <c r="K180" s="662"/>
      <c r="L180" s="662"/>
      <c r="M180" s="662"/>
      <c r="N180" s="662"/>
      <c r="O180" s="663"/>
      <c r="P180" s="659" t="s">
        <v>40</v>
      </c>
      <c r="Q180" s="660"/>
      <c r="R180" s="660"/>
      <c r="S180" s="660"/>
      <c r="T180" s="660"/>
      <c r="U180" s="660"/>
      <c r="V180" s="661"/>
      <c r="W180" s="40" t="s">
        <v>0</v>
      </c>
      <c r="X180" s="41">
        <f>IFERROR(SUM(X177:X178),"0")</f>
        <v>0</v>
      </c>
      <c r="Y180" s="41">
        <f>IFERROR(SUM(Y177:Y178),"0")</f>
        <v>0</v>
      </c>
      <c r="Z180" s="40"/>
      <c r="AA180" s="64"/>
      <c r="AB180" s="64"/>
      <c r="AC180" s="64"/>
    </row>
    <row r="181" spans="1:68" ht="14.25" hidden="1" customHeight="1" x14ac:dyDescent="0.25">
      <c r="A181" s="665" t="s">
        <v>77</v>
      </c>
      <c r="B181" s="665"/>
      <c r="C181" s="665"/>
      <c r="D181" s="665"/>
      <c r="E181" s="665"/>
      <c r="F181" s="665"/>
      <c r="G181" s="665"/>
      <c r="H181" s="665"/>
      <c r="I181" s="665"/>
      <c r="J181" s="665"/>
      <c r="K181" s="665"/>
      <c r="L181" s="665"/>
      <c r="M181" s="665"/>
      <c r="N181" s="665"/>
      <c r="O181" s="665"/>
      <c r="P181" s="665"/>
      <c r="Q181" s="665"/>
      <c r="R181" s="665"/>
      <c r="S181" s="665"/>
      <c r="T181" s="665"/>
      <c r="U181" s="665"/>
      <c r="V181" s="665"/>
      <c r="W181" s="665"/>
      <c r="X181" s="665"/>
      <c r="Y181" s="665"/>
      <c r="Z181" s="665"/>
      <c r="AA181" s="63"/>
      <c r="AB181" s="63"/>
      <c r="AC181" s="63"/>
    </row>
    <row r="182" spans="1:68" ht="27" hidden="1" customHeight="1" x14ac:dyDescent="0.25">
      <c r="A182" s="60" t="s">
        <v>316</v>
      </c>
      <c r="B182" s="60" t="s">
        <v>317</v>
      </c>
      <c r="C182" s="34">
        <v>4301031496</v>
      </c>
      <c r="D182" s="666">
        <v>4680115887428</v>
      </c>
      <c r="E182" s="666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134</v>
      </c>
      <c r="L182" s="35" t="s">
        <v>46</v>
      </c>
      <c r="M182" s="36" t="s">
        <v>81</v>
      </c>
      <c r="N182" s="36"/>
      <c r="O182" s="35">
        <v>40</v>
      </c>
      <c r="P182" s="87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68"/>
      <c r="R182" s="668"/>
      <c r="S182" s="668"/>
      <c r="T182" s="66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ref="Y182:Y195" si="27">IFERROR(IF(X182="",0,CEILING((X182/$H182),1)*$H182),"")</f>
        <v>0</v>
      </c>
      <c r="Z182" s="39" t="str">
        <f t="shared" ref="Z182:Z187" si="28"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67</v>
      </c>
      <c r="BM182" s="75">
        <f t="shared" ref="BM182:BM195" si="29">IFERROR(X182*I182/H182,"0")</f>
        <v>0</v>
      </c>
      <c r="BN182" s="75">
        <f t="shared" ref="BN182:BN195" si="30">IFERROR(Y182*I182/H182,"0")</f>
        <v>0</v>
      </c>
      <c r="BO182" s="75">
        <f t="shared" ref="BO182:BO195" si="31">IFERROR(1/J182*(X182/H182),"0")</f>
        <v>0</v>
      </c>
      <c r="BP182" s="75">
        <f t="shared" ref="BP182:BP195" si="32">IFERROR(1/J182*(Y182/H182),"0")</f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4301031509</v>
      </c>
      <c r="D183" s="666">
        <v>4680115889170</v>
      </c>
      <c r="E183" s="666"/>
      <c r="F183" s="59">
        <v>0.7</v>
      </c>
      <c r="G183" s="35">
        <v>5</v>
      </c>
      <c r="H183" s="59">
        <v>3.5</v>
      </c>
      <c r="I183" s="59">
        <v>3.7650000000000001</v>
      </c>
      <c r="J183" s="35">
        <v>132</v>
      </c>
      <c r="K183" s="35" t="s">
        <v>134</v>
      </c>
      <c r="L183" s="35" t="s">
        <v>46</v>
      </c>
      <c r="M183" s="36" t="s">
        <v>81</v>
      </c>
      <c r="N183" s="36"/>
      <c r="O183" s="35">
        <v>45</v>
      </c>
      <c r="P183" s="86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68"/>
      <c r="R183" s="668"/>
      <c r="S183" s="668"/>
      <c r="T183" s="66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7"/>
        <v>0</v>
      </c>
      <c r="Z183" s="39" t="str">
        <f t="shared" si="28"/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67</v>
      </c>
      <c r="BM183" s="75">
        <f t="shared" si="29"/>
        <v>0</v>
      </c>
      <c r="BN183" s="75">
        <f t="shared" si="30"/>
        <v>0</v>
      </c>
      <c r="BO183" s="75">
        <f t="shared" si="31"/>
        <v>0</v>
      </c>
      <c r="BP183" s="75">
        <f t="shared" si="32"/>
        <v>0</v>
      </c>
    </row>
    <row r="184" spans="1:68" ht="27" hidden="1" customHeight="1" x14ac:dyDescent="0.25">
      <c r="A184" s="60" t="s">
        <v>322</v>
      </c>
      <c r="B184" s="60" t="s">
        <v>323</v>
      </c>
      <c r="C184" s="34">
        <v>4301031498</v>
      </c>
      <c r="D184" s="666">
        <v>4680115887398</v>
      </c>
      <c r="E184" s="666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134</v>
      </c>
      <c r="L184" s="35" t="s">
        <v>46</v>
      </c>
      <c r="M184" s="36" t="s">
        <v>81</v>
      </c>
      <c r="N184" s="36"/>
      <c r="O184" s="35">
        <v>40</v>
      </c>
      <c r="P184" s="86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68"/>
      <c r="R184" s="668"/>
      <c r="S184" s="668"/>
      <c r="T184" s="66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7"/>
        <v>0</v>
      </c>
      <c r="Z184" s="39" t="str">
        <f t="shared" si="28"/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67</v>
      </c>
      <c r="BM184" s="75">
        <f t="shared" si="29"/>
        <v>0</v>
      </c>
      <c r="BN184" s="75">
        <f t="shared" si="30"/>
        <v>0</v>
      </c>
      <c r="BO184" s="75">
        <f t="shared" si="31"/>
        <v>0</v>
      </c>
      <c r="BP184" s="75">
        <f t="shared" si="32"/>
        <v>0</v>
      </c>
    </row>
    <row r="185" spans="1:68" ht="27" hidden="1" customHeight="1" x14ac:dyDescent="0.25">
      <c r="A185" s="60" t="s">
        <v>322</v>
      </c>
      <c r="B185" s="60" t="s">
        <v>325</v>
      </c>
      <c r="C185" s="34">
        <v>4301031522</v>
      </c>
      <c r="D185" s="666">
        <v>4680115887398</v>
      </c>
      <c r="E185" s="666"/>
      <c r="F185" s="59">
        <v>0.7</v>
      </c>
      <c r="G185" s="35">
        <v>5</v>
      </c>
      <c r="H185" s="59">
        <v>3.5</v>
      </c>
      <c r="I185" s="59">
        <v>3.69</v>
      </c>
      <c r="J185" s="35">
        <v>132</v>
      </c>
      <c r="K185" s="35" t="s">
        <v>134</v>
      </c>
      <c r="L185" s="35" t="s">
        <v>46</v>
      </c>
      <c r="M185" s="36" t="s">
        <v>81</v>
      </c>
      <c r="N185" s="36"/>
      <c r="O185" s="35">
        <v>45</v>
      </c>
      <c r="P185" s="866" t="s">
        <v>326</v>
      </c>
      <c r="Q185" s="668"/>
      <c r="R185" s="668"/>
      <c r="S185" s="668"/>
      <c r="T185" s="669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7"/>
        <v>0</v>
      </c>
      <c r="Z185" s="39" t="str">
        <f t="shared" si="28"/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67</v>
      </c>
      <c r="BM185" s="75">
        <f t="shared" si="29"/>
        <v>0</v>
      </c>
      <c r="BN185" s="75">
        <f t="shared" si="30"/>
        <v>0</v>
      </c>
      <c r="BO185" s="75">
        <f t="shared" si="31"/>
        <v>0</v>
      </c>
      <c r="BP185" s="75">
        <f t="shared" si="32"/>
        <v>0</v>
      </c>
    </row>
    <row r="186" spans="1:68" ht="27" hidden="1" customHeight="1" x14ac:dyDescent="0.25">
      <c r="A186" s="60" t="s">
        <v>328</v>
      </c>
      <c r="B186" s="60" t="s">
        <v>329</v>
      </c>
      <c r="C186" s="34">
        <v>4301031497</v>
      </c>
      <c r="D186" s="666">
        <v>4680115887336</v>
      </c>
      <c r="E186" s="666"/>
      <c r="F186" s="59">
        <v>0.7</v>
      </c>
      <c r="G186" s="35">
        <v>5</v>
      </c>
      <c r="H186" s="59">
        <v>3.5</v>
      </c>
      <c r="I186" s="59">
        <v>3.69</v>
      </c>
      <c r="J186" s="35">
        <v>132</v>
      </c>
      <c r="K186" s="35" t="s">
        <v>134</v>
      </c>
      <c r="L186" s="35" t="s">
        <v>46</v>
      </c>
      <c r="M186" s="36" t="s">
        <v>81</v>
      </c>
      <c r="N186" s="36"/>
      <c r="O186" s="35">
        <v>40</v>
      </c>
      <c r="P186" s="86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68"/>
      <c r="R186" s="668"/>
      <c r="S186" s="668"/>
      <c r="T186" s="669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7"/>
        <v>0</v>
      </c>
      <c r="Z186" s="39" t="str">
        <f t="shared" si="28"/>
        <v/>
      </c>
      <c r="AA186" s="65" t="s">
        <v>46</v>
      </c>
      <c r="AB186" s="66" t="s">
        <v>46</v>
      </c>
      <c r="AC186" s="263" t="s">
        <v>330</v>
      </c>
      <c r="AG186" s="75"/>
      <c r="AJ186" s="79" t="s">
        <v>46</v>
      </c>
      <c r="AK186" s="79">
        <v>0</v>
      </c>
      <c r="BB186" s="264" t="s">
        <v>67</v>
      </c>
      <c r="BM186" s="75">
        <f t="shared" si="29"/>
        <v>0</v>
      </c>
      <c r="BN186" s="75">
        <f t="shared" si="30"/>
        <v>0</v>
      </c>
      <c r="BO186" s="75">
        <f t="shared" si="31"/>
        <v>0</v>
      </c>
      <c r="BP186" s="75">
        <f t="shared" si="32"/>
        <v>0</v>
      </c>
    </row>
    <row r="187" spans="1:68" ht="27" hidden="1" customHeight="1" x14ac:dyDescent="0.25">
      <c r="A187" s="60" t="s">
        <v>328</v>
      </c>
      <c r="B187" s="60" t="s">
        <v>331</v>
      </c>
      <c r="C187" s="34">
        <v>4301031520</v>
      </c>
      <c r="D187" s="666">
        <v>4680115887336</v>
      </c>
      <c r="E187" s="666"/>
      <c r="F187" s="59">
        <v>0.7</v>
      </c>
      <c r="G187" s="35">
        <v>5</v>
      </c>
      <c r="H187" s="59">
        <v>3.5</v>
      </c>
      <c r="I187" s="59">
        <v>3.69</v>
      </c>
      <c r="J187" s="35">
        <v>132</v>
      </c>
      <c r="K187" s="35" t="s">
        <v>134</v>
      </c>
      <c r="L187" s="35" t="s">
        <v>46</v>
      </c>
      <c r="M187" s="36" t="s">
        <v>81</v>
      </c>
      <c r="N187" s="36"/>
      <c r="O187" s="35">
        <v>45</v>
      </c>
      <c r="P187" s="868" t="s">
        <v>332</v>
      </c>
      <c r="Q187" s="668"/>
      <c r="R187" s="668"/>
      <c r="S187" s="668"/>
      <c r="T187" s="669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7"/>
        <v>0</v>
      </c>
      <c r="Z187" s="39" t="str">
        <f t="shared" si="28"/>
        <v/>
      </c>
      <c r="AA187" s="65" t="s">
        <v>46</v>
      </c>
      <c r="AB187" s="66" t="s">
        <v>46</v>
      </c>
      <c r="AC187" s="265" t="s">
        <v>333</v>
      </c>
      <c r="AG187" s="75"/>
      <c r="AJ187" s="79" t="s">
        <v>46</v>
      </c>
      <c r="AK187" s="79">
        <v>0</v>
      </c>
      <c r="BB187" s="266" t="s">
        <v>67</v>
      </c>
      <c r="BM187" s="75">
        <f t="shared" si="29"/>
        <v>0</v>
      </c>
      <c r="BN187" s="75">
        <f t="shared" si="30"/>
        <v>0</v>
      </c>
      <c r="BO187" s="75">
        <f t="shared" si="31"/>
        <v>0</v>
      </c>
      <c r="BP187" s="75">
        <f t="shared" si="32"/>
        <v>0</v>
      </c>
    </row>
    <row r="188" spans="1:68" ht="16.5" hidden="1" customHeight="1" x14ac:dyDescent="0.25">
      <c r="A188" s="60" t="s">
        <v>334</v>
      </c>
      <c r="B188" s="60" t="s">
        <v>335</v>
      </c>
      <c r="C188" s="34">
        <v>4301032049</v>
      </c>
      <c r="D188" s="666">
        <v>4680115887787</v>
      </c>
      <c r="E188" s="666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131</v>
      </c>
      <c r="L188" s="35" t="s">
        <v>46</v>
      </c>
      <c r="M188" s="36" t="s">
        <v>81</v>
      </c>
      <c r="N188" s="36"/>
      <c r="O188" s="35">
        <v>45</v>
      </c>
      <c r="P188" s="86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68"/>
      <c r="R188" s="668"/>
      <c r="S188" s="668"/>
      <c r="T188" s="669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7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336</v>
      </c>
      <c r="AG188" s="75"/>
      <c r="AJ188" s="79" t="s">
        <v>46</v>
      </c>
      <c r="AK188" s="79">
        <v>0</v>
      </c>
      <c r="BB188" s="268" t="s">
        <v>67</v>
      </c>
      <c r="BM188" s="75">
        <f t="shared" si="29"/>
        <v>0</v>
      </c>
      <c r="BN188" s="75">
        <f t="shared" si="30"/>
        <v>0</v>
      </c>
      <c r="BO188" s="75">
        <f t="shared" si="31"/>
        <v>0</v>
      </c>
      <c r="BP188" s="75">
        <f t="shared" si="32"/>
        <v>0</v>
      </c>
    </row>
    <row r="189" spans="1:68" ht="16.5" hidden="1" customHeight="1" x14ac:dyDescent="0.25">
      <c r="A189" s="60" t="s">
        <v>334</v>
      </c>
      <c r="B189" s="60" t="s">
        <v>337</v>
      </c>
      <c r="C189" s="34">
        <v>4301031528</v>
      </c>
      <c r="D189" s="666">
        <v>4680115887787</v>
      </c>
      <c r="E189" s="666"/>
      <c r="F189" s="59">
        <v>0.09</v>
      </c>
      <c r="G189" s="35">
        <v>10</v>
      </c>
      <c r="H189" s="59">
        <v>0.9</v>
      </c>
      <c r="I189" s="59">
        <v>1.1100000000000001</v>
      </c>
      <c r="J189" s="35">
        <v>192</v>
      </c>
      <c r="K189" s="35" t="s">
        <v>131</v>
      </c>
      <c r="L189" s="35" t="s">
        <v>46</v>
      </c>
      <c r="M189" s="36" t="s">
        <v>81</v>
      </c>
      <c r="N189" s="36"/>
      <c r="O189" s="35">
        <v>45</v>
      </c>
      <c r="P189" s="870" t="s">
        <v>338</v>
      </c>
      <c r="Q189" s="668"/>
      <c r="R189" s="668"/>
      <c r="S189" s="668"/>
      <c r="T189" s="669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7"/>
        <v>0</v>
      </c>
      <c r="Z189" s="39" t="str">
        <f>IFERROR(IF(Y189=0,"",ROUNDUP(Y189/H189,0)*0.00726),"")</f>
        <v/>
      </c>
      <c r="AA189" s="65" t="s">
        <v>46</v>
      </c>
      <c r="AB189" s="66" t="s">
        <v>46</v>
      </c>
      <c r="AC189" s="269" t="s">
        <v>336</v>
      </c>
      <c r="AG189" s="75"/>
      <c r="AJ189" s="79" t="s">
        <v>46</v>
      </c>
      <c r="AK189" s="79">
        <v>0</v>
      </c>
      <c r="BB189" s="270" t="s">
        <v>67</v>
      </c>
      <c r="BM189" s="75">
        <f t="shared" si="29"/>
        <v>0</v>
      </c>
      <c r="BN189" s="75">
        <f t="shared" si="30"/>
        <v>0</v>
      </c>
      <c r="BO189" s="75">
        <f t="shared" si="31"/>
        <v>0</v>
      </c>
      <c r="BP189" s="75">
        <f t="shared" si="32"/>
        <v>0</v>
      </c>
    </row>
    <row r="190" spans="1:68" ht="27" hidden="1" customHeight="1" x14ac:dyDescent="0.25">
      <c r="A190" s="60" t="s">
        <v>339</v>
      </c>
      <c r="B190" s="60" t="s">
        <v>340</v>
      </c>
      <c r="C190" s="34">
        <v>4301031448</v>
      </c>
      <c r="D190" s="666">
        <v>4680115887503</v>
      </c>
      <c r="E190" s="666"/>
      <c r="F190" s="59">
        <v>0.28000000000000003</v>
      </c>
      <c r="G190" s="35">
        <v>6</v>
      </c>
      <c r="H190" s="59">
        <v>1.68</v>
      </c>
      <c r="I190" s="59">
        <v>1.78</v>
      </c>
      <c r="J190" s="35">
        <v>234</v>
      </c>
      <c r="K190" s="35" t="s">
        <v>82</v>
      </c>
      <c r="L190" s="35" t="s">
        <v>46</v>
      </c>
      <c r="M190" s="36" t="s">
        <v>81</v>
      </c>
      <c r="N190" s="36"/>
      <c r="O190" s="35">
        <v>40</v>
      </c>
      <c r="P190" s="87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68"/>
      <c r="R190" s="668"/>
      <c r="S190" s="668"/>
      <c r="T190" s="669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7"/>
        <v>0</v>
      </c>
      <c r="Z190" s="39" t="str">
        <f>IFERROR(IF(Y190=0,"",ROUNDUP(Y190/H190,0)*0.00502),"")</f>
        <v/>
      </c>
      <c r="AA190" s="65" t="s">
        <v>46</v>
      </c>
      <c r="AB190" s="66" t="s">
        <v>46</v>
      </c>
      <c r="AC190" s="271" t="s">
        <v>318</v>
      </c>
      <c r="AG190" s="75"/>
      <c r="AJ190" s="79" t="s">
        <v>46</v>
      </c>
      <c r="AK190" s="79">
        <v>0</v>
      </c>
      <c r="BB190" s="272" t="s">
        <v>67</v>
      </c>
      <c r="BM190" s="75">
        <f t="shared" si="29"/>
        <v>0</v>
      </c>
      <c r="BN190" s="75">
        <f t="shared" si="30"/>
        <v>0</v>
      </c>
      <c r="BO190" s="75">
        <f t="shared" si="31"/>
        <v>0</v>
      </c>
      <c r="BP190" s="75">
        <f t="shared" si="32"/>
        <v>0</v>
      </c>
    </row>
    <row r="191" spans="1:68" ht="27" hidden="1" customHeight="1" x14ac:dyDescent="0.25">
      <c r="A191" s="60" t="s">
        <v>341</v>
      </c>
      <c r="B191" s="60" t="s">
        <v>342</v>
      </c>
      <c r="C191" s="34">
        <v>4301031389</v>
      </c>
      <c r="D191" s="666">
        <v>4680115887763</v>
      </c>
      <c r="E191" s="666"/>
      <c r="F191" s="59">
        <v>0.09</v>
      </c>
      <c r="G191" s="35">
        <v>10</v>
      </c>
      <c r="H191" s="59">
        <v>0.9</v>
      </c>
      <c r="I191" s="59">
        <v>1.1100000000000001</v>
      </c>
      <c r="J191" s="35">
        <v>336</v>
      </c>
      <c r="K191" s="35" t="s">
        <v>131</v>
      </c>
      <c r="L191" s="35" t="s">
        <v>46</v>
      </c>
      <c r="M191" s="36" t="s">
        <v>81</v>
      </c>
      <c r="N191" s="36"/>
      <c r="O191" s="35">
        <v>45</v>
      </c>
      <c r="P191" s="87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68"/>
      <c r="R191" s="668"/>
      <c r="S191" s="668"/>
      <c r="T191" s="669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7"/>
        <v>0</v>
      </c>
      <c r="Z191" s="39" t="str">
        <f>IFERROR(IF(Y191=0,"",ROUNDUP(Y191/H191,0)*0.00417),"")</f>
        <v/>
      </c>
      <c r="AA191" s="65" t="s">
        <v>46</v>
      </c>
      <c r="AB191" s="66" t="s">
        <v>46</v>
      </c>
      <c r="AC191" s="273" t="s">
        <v>343</v>
      </c>
      <c r="AG191" s="75"/>
      <c r="AJ191" s="79" t="s">
        <v>46</v>
      </c>
      <c r="AK191" s="79">
        <v>0</v>
      </c>
      <c r="BB191" s="274" t="s">
        <v>67</v>
      </c>
      <c r="BM191" s="75">
        <f t="shared" si="29"/>
        <v>0</v>
      </c>
      <c r="BN191" s="75">
        <f t="shared" si="30"/>
        <v>0</v>
      </c>
      <c r="BO191" s="75">
        <f t="shared" si="31"/>
        <v>0</v>
      </c>
      <c r="BP191" s="75">
        <f t="shared" si="32"/>
        <v>0</v>
      </c>
    </row>
    <row r="192" spans="1:68" ht="27" hidden="1" customHeight="1" x14ac:dyDescent="0.25">
      <c r="A192" s="60" t="s">
        <v>344</v>
      </c>
      <c r="B192" s="60" t="s">
        <v>345</v>
      </c>
      <c r="C192" s="34">
        <v>4301031454</v>
      </c>
      <c r="D192" s="666">
        <v>4680115887480</v>
      </c>
      <c r="E192" s="666"/>
      <c r="F192" s="59">
        <v>0.28000000000000003</v>
      </c>
      <c r="G192" s="35">
        <v>6</v>
      </c>
      <c r="H192" s="59">
        <v>1.68</v>
      </c>
      <c r="I192" s="59">
        <v>1.78</v>
      </c>
      <c r="J192" s="35">
        <v>234</v>
      </c>
      <c r="K192" s="35" t="s">
        <v>82</v>
      </c>
      <c r="L192" s="35" t="s">
        <v>46</v>
      </c>
      <c r="M192" s="36" t="s">
        <v>81</v>
      </c>
      <c r="N192" s="36"/>
      <c r="O192" s="35">
        <v>40</v>
      </c>
      <c r="P192" s="85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68"/>
      <c r="R192" s="668"/>
      <c r="S192" s="668"/>
      <c r="T192" s="669"/>
      <c r="U192" s="37" t="s">
        <v>46</v>
      </c>
      <c r="V192" s="37" t="s">
        <v>46</v>
      </c>
      <c r="W192" s="38" t="s">
        <v>0</v>
      </c>
      <c r="X192" s="56">
        <v>0</v>
      </c>
      <c r="Y192" s="53">
        <f t="shared" si="27"/>
        <v>0</v>
      </c>
      <c r="Z192" s="39" t="str">
        <f>IFERROR(IF(Y192=0,"",ROUNDUP(Y192/H192,0)*0.00502),"")</f>
        <v/>
      </c>
      <c r="AA192" s="65" t="s">
        <v>46</v>
      </c>
      <c r="AB192" s="66" t="s">
        <v>46</v>
      </c>
      <c r="AC192" s="275" t="s">
        <v>324</v>
      </c>
      <c r="AG192" s="75"/>
      <c r="AJ192" s="79" t="s">
        <v>46</v>
      </c>
      <c r="AK192" s="79">
        <v>0</v>
      </c>
      <c r="BB192" s="276" t="s">
        <v>67</v>
      </c>
      <c r="BM192" s="75">
        <f t="shared" si="29"/>
        <v>0</v>
      </c>
      <c r="BN192" s="75">
        <f t="shared" si="30"/>
        <v>0</v>
      </c>
      <c r="BO192" s="75">
        <f t="shared" si="31"/>
        <v>0</v>
      </c>
      <c r="BP192" s="75">
        <f t="shared" si="32"/>
        <v>0</v>
      </c>
    </row>
    <row r="193" spans="1:68" ht="27" hidden="1" customHeight="1" x14ac:dyDescent="0.25">
      <c r="A193" s="60" t="s">
        <v>344</v>
      </c>
      <c r="B193" s="60" t="s">
        <v>346</v>
      </c>
      <c r="C193" s="34">
        <v>4301031521</v>
      </c>
      <c r="D193" s="666">
        <v>4680115887480</v>
      </c>
      <c r="E193" s="666"/>
      <c r="F193" s="59">
        <v>0.28000000000000003</v>
      </c>
      <c r="G193" s="35">
        <v>6</v>
      </c>
      <c r="H193" s="59">
        <v>1.68</v>
      </c>
      <c r="I193" s="59">
        <v>1.78</v>
      </c>
      <c r="J193" s="35">
        <v>234</v>
      </c>
      <c r="K193" s="35" t="s">
        <v>82</v>
      </c>
      <c r="L193" s="35" t="s">
        <v>46</v>
      </c>
      <c r="M193" s="36" t="s">
        <v>81</v>
      </c>
      <c r="N193" s="36"/>
      <c r="O193" s="35">
        <v>45</v>
      </c>
      <c r="P193" s="858" t="s">
        <v>347</v>
      </c>
      <c r="Q193" s="668"/>
      <c r="R193" s="668"/>
      <c r="S193" s="668"/>
      <c r="T193" s="669"/>
      <c r="U193" s="37" t="s">
        <v>46</v>
      </c>
      <c r="V193" s="37" t="s">
        <v>46</v>
      </c>
      <c r="W193" s="38" t="s">
        <v>0</v>
      </c>
      <c r="X193" s="56">
        <v>0</v>
      </c>
      <c r="Y193" s="53">
        <f t="shared" si="27"/>
        <v>0</v>
      </c>
      <c r="Z193" s="39" t="str">
        <f>IFERROR(IF(Y193=0,"",ROUNDUP(Y193/H193,0)*0.00502),"")</f>
        <v/>
      </c>
      <c r="AA193" s="65" t="s">
        <v>46</v>
      </c>
      <c r="AB193" s="66" t="s">
        <v>46</v>
      </c>
      <c r="AC193" s="277" t="s">
        <v>327</v>
      </c>
      <c r="AG193" s="75"/>
      <c r="AJ193" s="79" t="s">
        <v>46</v>
      </c>
      <c r="AK193" s="79">
        <v>0</v>
      </c>
      <c r="BB193" s="278" t="s">
        <v>67</v>
      </c>
      <c r="BM193" s="75">
        <f t="shared" si="29"/>
        <v>0</v>
      </c>
      <c r="BN193" s="75">
        <f t="shared" si="30"/>
        <v>0</v>
      </c>
      <c r="BO193" s="75">
        <f t="shared" si="31"/>
        <v>0</v>
      </c>
      <c r="BP193" s="75">
        <f t="shared" si="32"/>
        <v>0</v>
      </c>
    </row>
    <row r="194" spans="1:68" ht="27" hidden="1" customHeight="1" x14ac:dyDescent="0.25">
      <c r="A194" s="60" t="s">
        <v>348</v>
      </c>
      <c r="B194" s="60" t="s">
        <v>349</v>
      </c>
      <c r="C194" s="34">
        <v>4301031434</v>
      </c>
      <c r="D194" s="666">
        <v>4680115888067</v>
      </c>
      <c r="E194" s="666"/>
      <c r="F194" s="59">
        <v>0.09</v>
      </c>
      <c r="G194" s="35">
        <v>10</v>
      </c>
      <c r="H194" s="59">
        <v>0.9</v>
      </c>
      <c r="I194" s="59">
        <v>1</v>
      </c>
      <c r="J194" s="35">
        <v>336</v>
      </c>
      <c r="K194" s="35" t="s">
        <v>131</v>
      </c>
      <c r="L194" s="35" t="s">
        <v>46</v>
      </c>
      <c r="M194" s="36" t="s">
        <v>81</v>
      </c>
      <c r="N194" s="36"/>
      <c r="O194" s="35">
        <v>45</v>
      </c>
      <c r="P194" s="85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68"/>
      <c r="R194" s="668"/>
      <c r="S194" s="668"/>
      <c r="T194" s="669"/>
      <c r="U194" s="37" t="s">
        <v>46</v>
      </c>
      <c r="V194" s="37" t="s">
        <v>46</v>
      </c>
      <c r="W194" s="38" t="s">
        <v>0</v>
      </c>
      <c r="X194" s="56">
        <v>0</v>
      </c>
      <c r="Y194" s="53">
        <f t="shared" si="27"/>
        <v>0</v>
      </c>
      <c r="Z194" s="39" t="str">
        <f>IFERROR(IF(Y194=0,"",ROUNDUP(Y194/H194,0)*0.00417),"")</f>
        <v/>
      </c>
      <c r="AA194" s="65" t="s">
        <v>46</v>
      </c>
      <c r="AB194" s="66" t="s">
        <v>46</v>
      </c>
      <c r="AC194" s="279" t="s">
        <v>350</v>
      </c>
      <c r="AG194" s="75"/>
      <c r="AJ194" s="79" t="s">
        <v>46</v>
      </c>
      <c r="AK194" s="79">
        <v>0</v>
      </c>
      <c r="BB194" s="280" t="s">
        <v>67</v>
      </c>
      <c r="BM194" s="75">
        <f t="shared" si="29"/>
        <v>0</v>
      </c>
      <c r="BN194" s="75">
        <f t="shared" si="30"/>
        <v>0</v>
      </c>
      <c r="BO194" s="75">
        <f t="shared" si="31"/>
        <v>0</v>
      </c>
      <c r="BP194" s="75">
        <f t="shared" si="32"/>
        <v>0</v>
      </c>
    </row>
    <row r="195" spans="1:68" ht="27" hidden="1" customHeight="1" x14ac:dyDescent="0.25">
      <c r="A195" s="60" t="s">
        <v>351</v>
      </c>
      <c r="B195" s="60" t="s">
        <v>352</v>
      </c>
      <c r="C195" s="34">
        <v>4301031519</v>
      </c>
      <c r="D195" s="666">
        <v>4680115887435</v>
      </c>
      <c r="E195" s="666"/>
      <c r="F195" s="59">
        <v>0.28000000000000003</v>
      </c>
      <c r="G195" s="35">
        <v>6</v>
      </c>
      <c r="H195" s="59">
        <v>1.68</v>
      </c>
      <c r="I195" s="59">
        <v>1.78</v>
      </c>
      <c r="J195" s="35">
        <v>234</v>
      </c>
      <c r="K195" s="35" t="s">
        <v>82</v>
      </c>
      <c r="L195" s="35" t="s">
        <v>46</v>
      </c>
      <c r="M195" s="36" t="s">
        <v>81</v>
      </c>
      <c r="N195" s="36"/>
      <c r="O195" s="35">
        <v>45</v>
      </c>
      <c r="P195" s="86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68"/>
      <c r="R195" s="668"/>
      <c r="S195" s="668"/>
      <c r="T195" s="669"/>
      <c r="U195" s="37" t="s">
        <v>46</v>
      </c>
      <c r="V195" s="37" t="s">
        <v>46</v>
      </c>
      <c r="W195" s="38" t="s">
        <v>0</v>
      </c>
      <c r="X195" s="56">
        <v>0</v>
      </c>
      <c r="Y195" s="53">
        <f t="shared" si="27"/>
        <v>0</v>
      </c>
      <c r="Z195" s="39" t="str">
        <f>IFERROR(IF(Y195=0,"",ROUNDUP(Y195/H195,0)*0.00502),"")</f>
        <v/>
      </c>
      <c r="AA195" s="65" t="s">
        <v>46</v>
      </c>
      <c r="AB195" s="66" t="s">
        <v>46</v>
      </c>
      <c r="AC195" s="281" t="s">
        <v>333</v>
      </c>
      <c r="AG195" s="75"/>
      <c r="AJ195" s="79" t="s">
        <v>46</v>
      </c>
      <c r="AK195" s="79">
        <v>0</v>
      </c>
      <c r="BB195" s="282" t="s">
        <v>67</v>
      </c>
      <c r="BM195" s="75">
        <f t="shared" si="29"/>
        <v>0</v>
      </c>
      <c r="BN195" s="75">
        <f t="shared" si="30"/>
        <v>0</v>
      </c>
      <c r="BO195" s="75">
        <f t="shared" si="31"/>
        <v>0</v>
      </c>
      <c r="BP195" s="75">
        <f t="shared" si="32"/>
        <v>0</v>
      </c>
    </row>
    <row r="196" spans="1:68" hidden="1" x14ac:dyDescent="0.2">
      <c r="A196" s="662"/>
      <c r="B196" s="662"/>
      <c r="C196" s="662"/>
      <c r="D196" s="662"/>
      <c r="E196" s="662"/>
      <c r="F196" s="662"/>
      <c r="G196" s="662"/>
      <c r="H196" s="662"/>
      <c r="I196" s="662"/>
      <c r="J196" s="662"/>
      <c r="K196" s="662"/>
      <c r="L196" s="662"/>
      <c r="M196" s="662"/>
      <c r="N196" s="662"/>
      <c r="O196" s="663"/>
      <c r="P196" s="659" t="s">
        <v>40</v>
      </c>
      <c r="Q196" s="660"/>
      <c r="R196" s="660"/>
      <c r="S196" s="660"/>
      <c r="T196" s="660"/>
      <c r="U196" s="660"/>
      <c r="V196" s="661"/>
      <c r="W196" s="40" t="s">
        <v>39</v>
      </c>
      <c r="X196" s="41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1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1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4"/>
      <c r="AB196" s="64"/>
      <c r="AC196" s="64"/>
    </row>
    <row r="197" spans="1:68" hidden="1" x14ac:dyDescent="0.2">
      <c r="A197" s="662"/>
      <c r="B197" s="662"/>
      <c r="C197" s="662"/>
      <c r="D197" s="662"/>
      <c r="E197" s="662"/>
      <c r="F197" s="662"/>
      <c r="G197" s="662"/>
      <c r="H197" s="662"/>
      <c r="I197" s="662"/>
      <c r="J197" s="662"/>
      <c r="K197" s="662"/>
      <c r="L197" s="662"/>
      <c r="M197" s="662"/>
      <c r="N197" s="662"/>
      <c r="O197" s="663"/>
      <c r="P197" s="659" t="s">
        <v>40</v>
      </c>
      <c r="Q197" s="660"/>
      <c r="R197" s="660"/>
      <c r="S197" s="660"/>
      <c r="T197" s="660"/>
      <c r="U197" s="660"/>
      <c r="V197" s="661"/>
      <c r="W197" s="40" t="s">
        <v>0</v>
      </c>
      <c r="X197" s="41">
        <f>IFERROR(SUM(X182:X195),"0")</f>
        <v>0</v>
      </c>
      <c r="Y197" s="41">
        <f>IFERROR(SUM(Y182:Y195),"0")</f>
        <v>0</v>
      </c>
      <c r="Z197" s="40"/>
      <c r="AA197" s="64"/>
      <c r="AB197" s="64"/>
      <c r="AC197" s="64"/>
    </row>
    <row r="198" spans="1:68" ht="14.25" hidden="1" customHeight="1" x14ac:dyDescent="0.25">
      <c r="A198" s="665" t="s">
        <v>86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3"/>
      <c r="AB198" s="63"/>
      <c r="AC198" s="63"/>
    </row>
    <row r="199" spans="1:68" ht="16.5" hidden="1" customHeight="1" x14ac:dyDescent="0.25">
      <c r="A199" s="60" t="s">
        <v>353</v>
      </c>
      <c r="B199" s="60" t="s">
        <v>354</v>
      </c>
      <c r="C199" s="34">
        <v>4301052193</v>
      </c>
      <c r="D199" s="666">
        <v>4680115888395</v>
      </c>
      <c r="E199" s="666"/>
      <c r="F199" s="59">
        <v>0.42</v>
      </c>
      <c r="G199" s="35">
        <v>6</v>
      </c>
      <c r="H199" s="59">
        <v>2.52</v>
      </c>
      <c r="I199" s="59">
        <v>2.766</v>
      </c>
      <c r="J199" s="35">
        <v>182</v>
      </c>
      <c r="K199" s="35" t="s">
        <v>91</v>
      </c>
      <c r="L199" s="35" t="s">
        <v>46</v>
      </c>
      <c r="M199" s="36" t="s">
        <v>97</v>
      </c>
      <c r="N199" s="36"/>
      <c r="O199" s="35">
        <v>40</v>
      </c>
      <c r="P199" s="86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68"/>
      <c r="R199" s="668"/>
      <c r="S199" s="668"/>
      <c r="T199" s="669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IFERROR(IF(Y199=0,"",ROUNDUP(Y199/H199,0)*0.00651),"")</f>
        <v/>
      </c>
      <c r="AA199" s="65" t="s">
        <v>46</v>
      </c>
      <c r="AB199" s="66" t="s">
        <v>46</v>
      </c>
      <c r="AC199" s="283" t="s">
        <v>355</v>
      </c>
      <c r="AG199" s="75"/>
      <c r="AJ199" s="79" t="s">
        <v>46</v>
      </c>
      <c r="AK199" s="79">
        <v>0</v>
      </c>
      <c r="BB199" s="284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16.5" hidden="1" customHeight="1" x14ac:dyDescent="0.25">
      <c r="A200" s="60" t="s">
        <v>356</v>
      </c>
      <c r="B200" s="60" t="s">
        <v>357</v>
      </c>
      <c r="C200" s="34">
        <v>4301052191</v>
      </c>
      <c r="D200" s="666">
        <v>4680115888371</v>
      </c>
      <c r="E200" s="666"/>
      <c r="F200" s="59">
        <v>0.42</v>
      </c>
      <c r="G200" s="35">
        <v>6</v>
      </c>
      <c r="H200" s="59">
        <v>2.52</v>
      </c>
      <c r="I200" s="59">
        <v>2.766</v>
      </c>
      <c r="J200" s="35">
        <v>182</v>
      </c>
      <c r="K200" s="35" t="s">
        <v>91</v>
      </c>
      <c r="L200" s="35" t="s">
        <v>46</v>
      </c>
      <c r="M200" s="36" t="s">
        <v>97</v>
      </c>
      <c r="N200" s="36"/>
      <c r="O200" s="35">
        <v>40</v>
      </c>
      <c r="P200" s="86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68"/>
      <c r="R200" s="668"/>
      <c r="S200" s="668"/>
      <c r="T200" s="669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IFERROR(IF(Y200=0,"",ROUNDUP(Y200/H200,0)*0.00651),"")</f>
        <v/>
      </c>
      <c r="AA200" s="65" t="s">
        <v>46</v>
      </c>
      <c r="AB200" s="66" t="s">
        <v>46</v>
      </c>
      <c r="AC200" s="285" t="s">
        <v>358</v>
      </c>
      <c r="AG200" s="75"/>
      <c r="AJ200" s="79" t="s">
        <v>46</v>
      </c>
      <c r="AK200" s="79">
        <v>0</v>
      </c>
      <c r="BB200" s="286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t="27" hidden="1" customHeight="1" x14ac:dyDescent="0.25">
      <c r="A201" s="60" t="s">
        <v>359</v>
      </c>
      <c r="B201" s="60" t="s">
        <v>360</v>
      </c>
      <c r="C201" s="34">
        <v>4301052064</v>
      </c>
      <c r="D201" s="666">
        <v>4680115887459</v>
      </c>
      <c r="E201" s="666"/>
      <c r="F201" s="59">
        <v>0.3</v>
      </c>
      <c r="G201" s="35">
        <v>6</v>
      </c>
      <c r="H201" s="59">
        <v>1.8</v>
      </c>
      <c r="I201" s="59">
        <v>2.0579999999999998</v>
      </c>
      <c r="J201" s="35">
        <v>182</v>
      </c>
      <c r="K201" s="35" t="s">
        <v>91</v>
      </c>
      <c r="L201" s="35" t="s">
        <v>46</v>
      </c>
      <c r="M201" s="36" t="s">
        <v>90</v>
      </c>
      <c r="N201" s="36"/>
      <c r="O201" s="35">
        <v>45</v>
      </c>
      <c r="P20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68"/>
      <c r="R201" s="668"/>
      <c r="S201" s="668"/>
      <c r="T201" s="669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IFERROR(IF(Y201=0,"",ROUNDUP(Y201/H201,0)*0.00651),"")</f>
        <v/>
      </c>
      <c r="AA201" s="65" t="s">
        <v>46</v>
      </c>
      <c r="AB201" s="66" t="s">
        <v>46</v>
      </c>
      <c r="AC201" s="287" t="s">
        <v>361</v>
      </c>
      <c r="AG201" s="75"/>
      <c r="AJ201" s="79" t="s">
        <v>46</v>
      </c>
      <c r="AK201" s="79">
        <v>0</v>
      </c>
      <c r="BB201" s="288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62"/>
      <c r="B202" s="662"/>
      <c r="C202" s="662"/>
      <c r="D202" s="662"/>
      <c r="E202" s="662"/>
      <c r="F202" s="662"/>
      <c r="G202" s="662"/>
      <c r="H202" s="662"/>
      <c r="I202" s="662"/>
      <c r="J202" s="662"/>
      <c r="K202" s="662"/>
      <c r="L202" s="662"/>
      <c r="M202" s="662"/>
      <c r="N202" s="662"/>
      <c r="O202" s="663"/>
      <c r="P202" s="659" t="s">
        <v>40</v>
      </c>
      <c r="Q202" s="660"/>
      <c r="R202" s="660"/>
      <c r="S202" s="660"/>
      <c r="T202" s="660"/>
      <c r="U202" s="660"/>
      <c r="V202" s="661"/>
      <c r="W202" s="40" t="s">
        <v>39</v>
      </c>
      <c r="X202" s="41">
        <f>IFERROR(X199/H199,"0")+IFERROR(X200/H200,"0")+IFERROR(X201/H201,"0")</f>
        <v>0</v>
      </c>
      <c r="Y202" s="41">
        <f>IFERROR(Y199/H199,"0")+IFERROR(Y200/H200,"0")+IFERROR(Y201/H201,"0")</f>
        <v>0</v>
      </c>
      <c r="Z202" s="41">
        <f>IFERROR(IF(Z199="",0,Z199),"0")+IFERROR(IF(Z200="",0,Z200),"0")+IFERROR(IF(Z201="",0,Z201),"0")</f>
        <v>0</v>
      </c>
      <c r="AA202" s="64"/>
      <c r="AB202" s="64"/>
      <c r="AC202" s="64"/>
    </row>
    <row r="203" spans="1:68" hidden="1" x14ac:dyDescent="0.2">
      <c r="A203" s="662"/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3"/>
      <c r="P203" s="659" t="s">
        <v>40</v>
      </c>
      <c r="Q203" s="660"/>
      <c r="R203" s="660"/>
      <c r="S203" s="660"/>
      <c r="T203" s="660"/>
      <c r="U203" s="660"/>
      <c r="V203" s="661"/>
      <c r="W203" s="40" t="s">
        <v>0</v>
      </c>
      <c r="X203" s="41">
        <f>IFERROR(SUM(X199:X201),"0")</f>
        <v>0</v>
      </c>
      <c r="Y203" s="41">
        <f>IFERROR(SUM(Y199:Y201),"0")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65" t="s">
        <v>294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3"/>
      <c r="AB204" s="63"/>
      <c r="AC204" s="63"/>
    </row>
    <row r="205" spans="1:68" ht="16.5" hidden="1" customHeight="1" x14ac:dyDescent="0.25">
      <c r="A205" s="60" t="s">
        <v>362</v>
      </c>
      <c r="B205" s="60" t="s">
        <v>363</v>
      </c>
      <c r="C205" s="34">
        <v>4301032058</v>
      </c>
      <c r="D205" s="666">
        <v>4680115889026</v>
      </c>
      <c r="E205" s="666"/>
      <c r="F205" s="59">
        <v>0.06</v>
      </c>
      <c r="G205" s="35">
        <v>18</v>
      </c>
      <c r="H205" s="59">
        <v>1.08</v>
      </c>
      <c r="I205" s="59">
        <v>1.36</v>
      </c>
      <c r="J205" s="35">
        <v>216</v>
      </c>
      <c r="K205" s="35" t="s">
        <v>365</v>
      </c>
      <c r="L205" s="35" t="s">
        <v>46</v>
      </c>
      <c r="M205" s="36" t="s">
        <v>299</v>
      </c>
      <c r="N205" s="36"/>
      <c r="O205" s="35">
        <v>60</v>
      </c>
      <c r="P205" s="85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68"/>
      <c r="R205" s="668"/>
      <c r="S205" s="668"/>
      <c r="T205" s="669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9" t="s">
        <v>364</v>
      </c>
      <c r="AG205" s="75"/>
      <c r="AJ205" s="79" t="s">
        <v>46</v>
      </c>
      <c r="AK205" s="79">
        <v>0</v>
      </c>
      <c r="BB205" s="290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62"/>
      <c r="B206" s="662"/>
      <c r="C206" s="662"/>
      <c r="D206" s="662"/>
      <c r="E206" s="662"/>
      <c r="F206" s="662"/>
      <c r="G206" s="662"/>
      <c r="H206" s="662"/>
      <c r="I206" s="662"/>
      <c r="J206" s="662"/>
      <c r="K206" s="662"/>
      <c r="L206" s="662"/>
      <c r="M206" s="662"/>
      <c r="N206" s="662"/>
      <c r="O206" s="663"/>
      <c r="P206" s="659" t="s">
        <v>40</v>
      </c>
      <c r="Q206" s="660"/>
      <c r="R206" s="660"/>
      <c r="S206" s="660"/>
      <c r="T206" s="660"/>
      <c r="U206" s="660"/>
      <c r="V206" s="661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62"/>
      <c r="B207" s="662"/>
      <c r="C207" s="662"/>
      <c r="D207" s="662"/>
      <c r="E207" s="662"/>
      <c r="F207" s="662"/>
      <c r="G207" s="662"/>
      <c r="H207" s="662"/>
      <c r="I207" s="662"/>
      <c r="J207" s="662"/>
      <c r="K207" s="662"/>
      <c r="L207" s="662"/>
      <c r="M207" s="662"/>
      <c r="N207" s="662"/>
      <c r="O207" s="663"/>
      <c r="P207" s="659" t="s">
        <v>40</v>
      </c>
      <c r="Q207" s="660"/>
      <c r="R207" s="660"/>
      <c r="S207" s="660"/>
      <c r="T207" s="660"/>
      <c r="U207" s="660"/>
      <c r="V207" s="661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65" t="s">
        <v>366</v>
      </c>
      <c r="B208" s="665"/>
      <c r="C208" s="665"/>
      <c r="D208" s="665"/>
      <c r="E208" s="665"/>
      <c r="F208" s="665"/>
      <c r="G208" s="665"/>
      <c r="H208" s="665"/>
      <c r="I208" s="665"/>
      <c r="J208" s="665"/>
      <c r="K208" s="665"/>
      <c r="L208" s="665"/>
      <c r="M208" s="665"/>
      <c r="N208" s="665"/>
      <c r="O208" s="665"/>
      <c r="P208" s="665"/>
      <c r="Q208" s="665"/>
      <c r="R208" s="665"/>
      <c r="S208" s="665"/>
      <c r="T208" s="665"/>
      <c r="U208" s="665"/>
      <c r="V208" s="665"/>
      <c r="W208" s="665"/>
      <c r="X208" s="665"/>
      <c r="Y208" s="665"/>
      <c r="Z208" s="665"/>
      <c r="AA208" s="63"/>
      <c r="AB208" s="63"/>
      <c r="AC208" s="63"/>
    </row>
    <row r="209" spans="1:68" ht="27" hidden="1" customHeight="1" x14ac:dyDescent="0.25">
      <c r="A209" s="60" t="s">
        <v>367</v>
      </c>
      <c r="B209" s="60" t="s">
        <v>368</v>
      </c>
      <c r="C209" s="34">
        <v>4301041009</v>
      </c>
      <c r="D209" s="666">
        <v>4680115889033</v>
      </c>
      <c r="E209" s="666"/>
      <c r="F209" s="59">
        <v>0.11</v>
      </c>
      <c r="G209" s="35">
        <v>15</v>
      </c>
      <c r="H209" s="59">
        <v>1.65</v>
      </c>
      <c r="I209" s="59">
        <v>1.9</v>
      </c>
      <c r="J209" s="35">
        <v>216</v>
      </c>
      <c r="K209" s="35" t="s">
        <v>365</v>
      </c>
      <c r="L209" s="35" t="s">
        <v>46</v>
      </c>
      <c r="M209" s="36" t="s">
        <v>299</v>
      </c>
      <c r="N209" s="36"/>
      <c r="O209" s="35">
        <v>60</v>
      </c>
      <c r="P209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68"/>
      <c r="R209" s="668"/>
      <c r="S209" s="668"/>
      <c r="T209" s="669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IFERROR(IF(Y209=0,"",ROUNDUP(Y209/H209,0)*0.0059),"")</f>
        <v/>
      </c>
      <c r="AA209" s="65" t="s">
        <v>46</v>
      </c>
      <c r="AB209" s="66" t="s">
        <v>46</v>
      </c>
      <c r="AC209" s="291" t="s">
        <v>369</v>
      </c>
      <c r="AG209" s="75"/>
      <c r="AJ209" s="79" t="s">
        <v>46</v>
      </c>
      <c r="AK209" s="79">
        <v>0</v>
      </c>
      <c r="BB209" s="292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662"/>
      <c r="B210" s="662"/>
      <c r="C210" s="662"/>
      <c r="D210" s="662"/>
      <c r="E210" s="662"/>
      <c r="F210" s="662"/>
      <c r="G210" s="662"/>
      <c r="H210" s="662"/>
      <c r="I210" s="662"/>
      <c r="J210" s="662"/>
      <c r="K210" s="662"/>
      <c r="L210" s="662"/>
      <c r="M210" s="662"/>
      <c r="N210" s="662"/>
      <c r="O210" s="663"/>
      <c r="P210" s="659" t="s">
        <v>40</v>
      </c>
      <c r="Q210" s="660"/>
      <c r="R210" s="660"/>
      <c r="S210" s="660"/>
      <c r="T210" s="660"/>
      <c r="U210" s="660"/>
      <c r="V210" s="661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662"/>
      <c r="B211" s="662"/>
      <c r="C211" s="662"/>
      <c r="D211" s="662"/>
      <c r="E211" s="662"/>
      <c r="F211" s="662"/>
      <c r="G211" s="662"/>
      <c r="H211" s="662"/>
      <c r="I211" s="662"/>
      <c r="J211" s="662"/>
      <c r="K211" s="662"/>
      <c r="L211" s="662"/>
      <c r="M211" s="662"/>
      <c r="N211" s="662"/>
      <c r="O211" s="663"/>
      <c r="P211" s="659" t="s">
        <v>40</v>
      </c>
      <c r="Q211" s="660"/>
      <c r="R211" s="660"/>
      <c r="S211" s="660"/>
      <c r="T211" s="660"/>
      <c r="U211" s="660"/>
      <c r="V211" s="661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27.75" hidden="1" customHeight="1" x14ac:dyDescent="0.2">
      <c r="A212" s="679" t="s">
        <v>370</v>
      </c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79"/>
      <c r="P212" s="679"/>
      <c r="Q212" s="679"/>
      <c r="R212" s="679"/>
      <c r="S212" s="679"/>
      <c r="T212" s="679"/>
      <c r="U212" s="679"/>
      <c r="V212" s="679"/>
      <c r="W212" s="679"/>
      <c r="X212" s="679"/>
      <c r="Y212" s="679"/>
      <c r="Z212" s="679"/>
      <c r="AA212" s="52"/>
      <c r="AB212" s="52"/>
      <c r="AC212" s="52"/>
    </row>
    <row r="213" spans="1:68" ht="16.5" hidden="1" customHeight="1" x14ac:dyDescent="0.25">
      <c r="A213" s="664" t="s">
        <v>371</v>
      </c>
      <c r="B213" s="664"/>
      <c r="C213" s="664"/>
      <c r="D213" s="664"/>
      <c r="E213" s="664"/>
      <c r="F213" s="664"/>
      <c r="G213" s="664"/>
      <c r="H213" s="664"/>
      <c r="I213" s="664"/>
      <c r="J213" s="664"/>
      <c r="K213" s="664"/>
      <c r="L213" s="664"/>
      <c r="M213" s="664"/>
      <c r="N213" s="664"/>
      <c r="O213" s="664"/>
      <c r="P213" s="664"/>
      <c r="Q213" s="664"/>
      <c r="R213" s="664"/>
      <c r="S213" s="664"/>
      <c r="T213" s="664"/>
      <c r="U213" s="664"/>
      <c r="V213" s="664"/>
      <c r="W213" s="664"/>
      <c r="X213" s="664"/>
      <c r="Y213" s="664"/>
      <c r="Z213" s="664"/>
      <c r="AA213" s="62"/>
      <c r="AB213" s="62"/>
      <c r="AC213" s="62"/>
    </row>
    <row r="214" spans="1:68" ht="14.25" hidden="1" customHeight="1" x14ac:dyDescent="0.25">
      <c r="A214" s="665" t="s">
        <v>122</v>
      </c>
      <c r="B214" s="665"/>
      <c r="C214" s="665"/>
      <c r="D214" s="665"/>
      <c r="E214" s="665"/>
      <c r="F214" s="665"/>
      <c r="G214" s="665"/>
      <c r="H214" s="665"/>
      <c r="I214" s="665"/>
      <c r="J214" s="665"/>
      <c r="K214" s="665"/>
      <c r="L214" s="665"/>
      <c r="M214" s="665"/>
      <c r="N214" s="665"/>
      <c r="O214" s="665"/>
      <c r="P214" s="665"/>
      <c r="Q214" s="665"/>
      <c r="R214" s="665"/>
      <c r="S214" s="665"/>
      <c r="T214" s="665"/>
      <c r="U214" s="665"/>
      <c r="V214" s="665"/>
      <c r="W214" s="665"/>
      <c r="X214" s="665"/>
      <c r="Y214" s="665"/>
      <c r="Z214" s="665"/>
      <c r="AA214" s="63"/>
      <c r="AB214" s="63"/>
      <c r="AC214" s="63"/>
    </row>
    <row r="215" spans="1:68" ht="27" hidden="1" customHeight="1" x14ac:dyDescent="0.25">
      <c r="A215" s="60" t="s">
        <v>372</v>
      </c>
      <c r="B215" s="60" t="s">
        <v>373</v>
      </c>
      <c r="C215" s="34">
        <v>4301011223</v>
      </c>
      <c r="D215" s="666">
        <v>4607091383423</v>
      </c>
      <c r="E215" s="666"/>
      <c r="F215" s="59">
        <v>1.35</v>
      </c>
      <c r="G215" s="35">
        <v>8</v>
      </c>
      <c r="H215" s="59">
        <v>10.8</v>
      </c>
      <c r="I215" s="59">
        <v>11.305999999999999</v>
      </c>
      <c r="J215" s="35">
        <v>64</v>
      </c>
      <c r="K215" s="35" t="s">
        <v>127</v>
      </c>
      <c r="L215" s="35" t="s">
        <v>46</v>
      </c>
      <c r="M215" s="36" t="s">
        <v>90</v>
      </c>
      <c r="N215" s="36"/>
      <c r="O215" s="35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68"/>
      <c r="R215" s="668"/>
      <c r="S215" s="668"/>
      <c r="T215" s="669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1" si="33">IFERROR(IF(X215="",0,CEILING((X215/$H215),1)*$H215),"")</f>
        <v>0</v>
      </c>
      <c r="Z215" s="39" t="str">
        <f t="shared" ref="Z215:Z221" si="34">IFERROR(IF(Y215=0,"",ROUNDUP(Y215/H215,0)*0.01898),"")</f>
        <v/>
      </c>
      <c r="AA215" s="65" t="s">
        <v>46</v>
      </c>
      <c r="AB215" s="66" t="s">
        <v>46</v>
      </c>
      <c r="AC215" s="293" t="s">
        <v>125</v>
      </c>
      <c r="AG215" s="75"/>
      <c r="AJ215" s="79" t="s">
        <v>46</v>
      </c>
      <c r="AK215" s="79">
        <v>0</v>
      </c>
      <c r="BB215" s="294" t="s">
        <v>67</v>
      </c>
      <c r="BM215" s="75">
        <f t="shared" ref="BM215:BM221" si="35">IFERROR(X215*I215/H215,"0")</f>
        <v>0</v>
      </c>
      <c r="BN215" s="75">
        <f t="shared" ref="BN215:BN221" si="36">IFERROR(Y215*I215/H215,"0")</f>
        <v>0</v>
      </c>
      <c r="BO215" s="75">
        <f t="shared" ref="BO215:BO221" si="37">IFERROR(1/J215*(X215/H215),"0")</f>
        <v>0</v>
      </c>
      <c r="BP215" s="75">
        <f t="shared" ref="BP215:BP221" si="38">IFERROR(1/J215*(Y215/H215),"0")</f>
        <v>0</v>
      </c>
    </row>
    <row r="216" spans="1:68" ht="27" hidden="1" customHeight="1" x14ac:dyDescent="0.25">
      <c r="A216" s="60" t="s">
        <v>374</v>
      </c>
      <c r="B216" s="60" t="s">
        <v>375</v>
      </c>
      <c r="C216" s="34">
        <v>4301012340</v>
      </c>
      <c r="D216" s="666">
        <v>4680115888760</v>
      </c>
      <c r="E216" s="666"/>
      <c r="F216" s="59">
        <v>1.4</v>
      </c>
      <c r="G216" s="35">
        <v>6</v>
      </c>
      <c r="H216" s="59">
        <v>8.4</v>
      </c>
      <c r="I216" s="59">
        <v>8.81</v>
      </c>
      <c r="J216" s="35">
        <v>64</v>
      </c>
      <c r="K216" s="35" t="s">
        <v>127</v>
      </c>
      <c r="L216" s="35" t="s">
        <v>46</v>
      </c>
      <c r="M216" s="36" t="s">
        <v>90</v>
      </c>
      <c r="N216" s="36"/>
      <c r="O216" s="35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68"/>
      <c r="R216" s="668"/>
      <c r="S216" s="668"/>
      <c r="T216" s="669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3"/>
        <v>0</v>
      </c>
      <c r="Z216" s="39" t="str">
        <f t="shared" si="34"/>
        <v/>
      </c>
      <c r="AA216" s="65" t="s">
        <v>46</v>
      </c>
      <c r="AB216" s="66" t="s">
        <v>46</v>
      </c>
      <c r="AC216" s="295" t="s">
        <v>376</v>
      </c>
      <c r="AG216" s="75"/>
      <c r="AJ216" s="79" t="s">
        <v>46</v>
      </c>
      <c r="AK216" s="79">
        <v>0</v>
      </c>
      <c r="BB216" s="296" t="s">
        <v>67</v>
      </c>
      <c r="BM216" s="75">
        <f t="shared" si="35"/>
        <v>0</v>
      </c>
      <c r="BN216" s="75">
        <f t="shared" si="36"/>
        <v>0</v>
      </c>
      <c r="BO216" s="75">
        <f t="shared" si="37"/>
        <v>0</v>
      </c>
      <c r="BP216" s="75">
        <f t="shared" si="38"/>
        <v>0</v>
      </c>
    </row>
    <row r="217" spans="1:68" ht="27" hidden="1" customHeight="1" x14ac:dyDescent="0.25">
      <c r="A217" s="60" t="s">
        <v>377</v>
      </c>
      <c r="B217" s="60" t="s">
        <v>378</v>
      </c>
      <c r="C217" s="34">
        <v>4301012341</v>
      </c>
      <c r="D217" s="666">
        <v>4680115888807</v>
      </c>
      <c r="E217" s="666"/>
      <c r="F217" s="59">
        <v>1.4</v>
      </c>
      <c r="G217" s="35">
        <v>6</v>
      </c>
      <c r="H217" s="59">
        <v>8.4</v>
      </c>
      <c r="I217" s="59">
        <v>8.81</v>
      </c>
      <c r="J217" s="35">
        <v>64</v>
      </c>
      <c r="K217" s="35" t="s">
        <v>127</v>
      </c>
      <c r="L217" s="35" t="s">
        <v>46</v>
      </c>
      <c r="M217" s="36" t="s">
        <v>90</v>
      </c>
      <c r="N217" s="36"/>
      <c r="O217" s="35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68"/>
      <c r="R217" s="668"/>
      <c r="S217" s="668"/>
      <c r="T217" s="669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3"/>
        <v>0</v>
      </c>
      <c r="Z217" s="39" t="str">
        <f t="shared" si="34"/>
        <v/>
      </c>
      <c r="AA217" s="65" t="s">
        <v>46</v>
      </c>
      <c r="AB217" s="66" t="s">
        <v>46</v>
      </c>
      <c r="AC217" s="297" t="s">
        <v>379</v>
      </c>
      <c r="AG217" s="75"/>
      <c r="AJ217" s="79" t="s">
        <v>46</v>
      </c>
      <c r="AK217" s="79">
        <v>0</v>
      </c>
      <c r="BB217" s="298" t="s">
        <v>67</v>
      </c>
      <c r="BM217" s="75">
        <f t="shared" si="35"/>
        <v>0</v>
      </c>
      <c r="BN217" s="75">
        <f t="shared" si="36"/>
        <v>0</v>
      </c>
      <c r="BO217" s="75">
        <f t="shared" si="37"/>
        <v>0</v>
      </c>
      <c r="BP217" s="75">
        <f t="shared" si="38"/>
        <v>0</v>
      </c>
    </row>
    <row r="218" spans="1:68" ht="27" hidden="1" customHeight="1" x14ac:dyDescent="0.25">
      <c r="A218" s="60" t="s">
        <v>380</v>
      </c>
      <c r="B218" s="60" t="s">
        <v>381</v>
      </c>
      <c r="C218" s="34">
        <v>4301012342</v>
      </c>
      <c r="D218" s="666">
        <v>4680115888852</v>
      </c>
      <c r="E218" s="666"/>
      <c r="F218" s="59">
        <v>0.9</v>
      </c>
      <c r="G218" s="35">
        <v>6</v>
      </c>
      <c r="H218" s="59">
        <v>5.4</v>
      </c>
      <c r="I218" s="59">
        <v>5.81</v>
      </c>
      <c r="J218" s="35">
        <v>64</v>
      </c>
      <c r="K218" s="35" t="s">
        <v>127</v>
      </c>
      <c r="L218" s="35" t="s">
        <v>46</v>
      </c>
      <c r="M218" s="36" t="s">
        <v>90</v>
      </c>
      <c r="N218" s="36"/>
      <c r="O218" s="35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68"/>
      <c r="R218" s="668"/>
      <c r="S218" s="668"/>
      <c r="T218" s="669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33"/>
        <v>0</v>
      </c>
      <c r="Z218" s="39" t="str">
        <f t="shared" si="34"/>
        <v/>
      </c>
      <c r="AA218" s="65" t="s">
        <v>46</v>
      </c>
      <c r="AB218" s="66" t="s">
        <v>46</v>
      </c>
      <c r="AC218" s="299" t="s">
        <v>382</v>
      </c>
      <c r="AG218" s="75"/>
      <c r="AJ218" s="79" t="s">
        <v>46</v>
      </c>
      <c r="AK218" s="79">
        <v>0</v>
      </c>
      <c r="BB218" s="300" t="s">
        <v>67</v>
      </c>
      <c r="BM218" s="75">
        <f t="shared" si="35"/>
        <v>0</v>
      </c>
      <c r="BN218" s="75">
        <f t="shared" si="36"/>
        <v>0</v>
      </c>
      <c r="BO218" s="75">
        <f t="shared" si="37"/>
        <v>0</v>
      </c>
      <c r="BP218" s="75">
        <f t="shared" si="38"/>
        <v>0</v>
      </c>
    </row>
    <row r="219" spans="1:68" ht="37.5" hidden="1" customHeight="1" x14ac:dyDescent="0.25">
      <c r="A219" s="60" t="s">
        <v>383</v>
      </c>
      <c r="B219" s="60" t="s">
        <v>384</v>
      </c>
      <c r="C219" s="34">
        <v>4301012370</v>
      </c>
      <c r="D219" s="666">
        <v>4680115886957</v>
      </c>
      <c r="E219" s="666"/>
      <c r="F219" s="59">
        <v>1.35</v>
      </c>
      <c r="G219" s="35">
        <v>8</v>
      </c>
      <c r="H219" s="59">
        <v>10.8</v>
      </c>
      <c r="I219" s="59">
        <v>11.29</v>
      </c>
      <c r="J219" s="35">
        <v>64</v>
      </c>
      <c r="K219" s="35" t="s">
        <v>127</v>
      </c>
      <c r="L219" s="35" t="s">
        <v>46</v>
      </c>
      <c r="M219" s="36" t="s">
        <v>90</v>
      </c>
      <c r="N219" s="36"/>
      <c r="O219" s="35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68"/>
      <c r="R219" s="668"/>
      <c r="S219" s="668"/>
      <c r="T219" s="669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3"/>
        <v>0</v>
      </c>
      <c r="Z219" s="39" t="str">
        <f t="shared" si="34"/>
        <v/>
      </c>
      <c r="AA219" s="65" t="s">
        <v>46</v>
      </c>
      <c r="AB219" s="66" t="s">
        <v>46</v>
      </c>
      <c r="AC219" s="301" t="s">
        <v>385</v>
      </c>
      <c r="AG219" s="75"/>
      <c r="AJ219" s="79" t="s">
        <v>46</v>
      </c>
      <c r="AK219" s="79">
        <v>0</v>
      </c>
      <c r="BB219" s="302" t="s">
        <v>67</v>
      </c>
      <c r="BM219" s="75">
        <f t="shared" si="35"/>
        <v>0</v>
      </c>
      <c r="BN219" s="75">
        <f t="shared" si="36"/>
        <v>0</v>
      </c>
      <c r="BO219" s="75">
        <f t="shared" si="37"/>
        <v>0</v>
      </c>
      <c r="BP219" s="75">
        <f t="shared" si="38"/>
        <v>0</v>
      </c>
    </row>
    <row r="220" spans="1:68" ht="27" hidden="1" customHeight="1" x14ac:dyDescent="0.25">
      <c r="A220" s="60" t="s">
        <v>386</v>
      </c>
      <c r="B220" s="60" t="s">
        <v>387</v>
      </c>
      <c r="C220" s="34">
        <v>4301012098</v>
      </c>
      <c r="D220" s="666">
        <v>4680115885660</v>
      </c>
      <c r="E220" s="666"/>
      <c r="F220" s="59">
        <v>1.35</v>
      </c>
      <c r="G220" s="35">
        <v>8</v>
      </c>
      <c r="H220" s="59">
        <v>10.8</v>
      </c>
      <c r="I220" s="59">
        <v>11.21</v>
      </c>
      <c r="J220" s="35">
        <v>64</v>
      </c>
      <c r="K220" s="35" t="s">
        <v>127</v>
      </c>
      <c r="L220" s="35" t="s">
        <v>46</v>
      </c>
      <c r="M220" s="36" t="s">
        <v>90</v>
      </c>
      <c r="N220" s="36"/>
      <c r="O220" s="35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68"/>
      <c r="R220" s="668"/>
      <c r="S220" s="668"/>
      <c r="T220" s="669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3"/>
        <v>0</v>
      </c>
      <c r="Z220" s="39" t="str">
        <f t="shared" si="34"/>
        <v/>
      </c>
      <c r="AA220" s="65" t="s">
        <v>46</v>
      </c>
      <c r="AB220" s="66" t="s">
        <v>46</v>
      </c>
      <c r="AC220" s="303" t="s">
        <v>388</v>
      </c>
      <c r="AG220" s="75"/>
      <c r="AJ220" s="79" t="s">
        <v>46</v>
      </c>
      <c r="AK220" s="79">
        <v>0</v>
      </c>
      <c r="BB220" s="304" t="s">
        <v>67</v>
      </c>
      <c r="BM220" s="75">
        <f t="shared" si="35"/>
        <v>0</v>
      </c>
      <c r="BN220" s="75">
        <f t="shared" si="36"/>
        <v>0</v>
      </c>
      <c r="BO220" s="75">
        <f t="shared" si="37"/>
        <v>0</v>
      </c>
      <c r="BP220" s="75">
        <f t="shared" si="38"/>
        <v>0</v>
      </c>
    </row>
    <row r="221" spans="1:68" ht="27" hidden="1" customHeight="1" x14ac:dyDescent="0.25">
      <c r="A221" s="60" t="s">
        <v>389</v>
      </c>
      <c r="B221" s="60" t="s">
        <v>390</v>
      </c>
      <c r="C221" s="34">
        <v>4301012369</v>
      </c>
      <c r="D221" s="666">
        <v>4680115886773</v>
      </c>
      <c r="E221" s="666"/>
      <c r="F221" s="59">
        <v>0.9</v>
      </c>
      <c r="G221" s="35">
        <v>10</v>
      </c>
      <c r="H221" s="59">
        <v>9</v>
      </c>
      <c r="I221" s="59">
        <v>9.51</v>
      </c>
      <c r="J221" s="35">
        <v>64</v>
      </c>
      <c r="K221" s="35" t="s">
        <v>127</v>
      </c>
      <c r="L221" s="35" t="s">
        <v>46</v>
      </c>
      <c r="M221" s="36" t="s">
        <v>90</v>
      </c>
      <c r="N221" s="36"/>
      <c r="O221" s="35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68"/>
      <c r="R221" s="668"/>
      <c r="S221" s="668"/>
      <c r="T221" s="669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3"/>
        <v>0</v>
      </c>
      <c r="Z221" s="39" t="str">
        <f t="shared" si="34"/>
        <v/>
      </c>
      <c r="AA221" s="65" t="s">
        <v>46</v>
      </c>
      <c r="AB221" s="66" t="s">
        <v>46</v>
      </c>
      <c r="AC221" s="305" t="s">
        <v>391</v>
      </c>
      <c r="AG221" s="75"/>
      <c r="AJ221" s="79" t="s">
        <v>46</v>
      </c>
      <c r="AK221" s="79">
        <v>0</v>
      </c>
      <c r="BB221" s="306" t="s">
        <v>67</v>
      </c>
      <c r="BM221" s="75">
        <f t="shared" si="35"/>
        <v>0</v>
      </c>
      <c r="BN221" s="75">
        <f t="shared" si="36"/>
        <v>0</v>
      </c>
      <c r="BO221" s="75">
        <f t="shared" si="37"/>
        <v>0</v>
      </c>
      <c r="BP221" s="75">
        <f t="shared" si="38"/>
        <v>0</v>
      </c>
    </row>
    <row r="222" spans="1:68" hidden="1" x14ac:dyDescent="0.2">
      <c r="A222" s="662"/>
      <c r="B222" s="662"/>
      <c r="C222" s="662"/>
      <c r="D222" s="662"/>
      <c r="E222" s="662"/>
      <c r="F222" s="662"/>
      <c r="G222" s="662"/>
      <c r="H222" s="662"/>
      <c r="I222" s="662"/>
      <c r="J222" s="662"/>
      <c r="K222" s="662"/>
      <c r="L222" s="662"/>
      <c r="M222" s="662"/>
      <c r="N222" s="662"/>
      <c r="O222" s="663"/>
      <c r="P222" s="659" t="s">
        <v>40</v>
      </c>
      <c r="Q222" s="660"/>
      <c r="R222" s="660"/>
      <c r="S222" s="660"/>
      <c r="T222" s="660"/>
      <c r="U222" s="660"/>
      <c r="V222" s="661"/>
      <c r="W222" s="40" t="s">
        <v>39</v>
      </c>
      <c r="X222" s="41">
        <f>IFERROR(X215/H215,"0")+IFERROR(X216/H216,"0")+IFERROR(X217/H217,"0")+IFERROR(X218/H218,"0")+IFERROR(X219/H219,"0")+IFERROR(X220/H220,"0")+IFERROR(X221/H221,"0")</f>
        <v>0</v>
      </c>
      <c r="Y222" s="41">
        <f>IFERROR(Y215/H215,"0")+IFERROR(Y216/H216,"0")+IFERROR(Y217/H217,"0")+IFERROR(Y218/H218,"0")+IFERROR(Y219/H219,"0")+IFERROR(Y220/H220,"0")+IFERROR(Y221/H221,"0")</f>
        <v>0</v>
      </c>
      <c r="Z222" s="41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662"/>
      <c r="B223" s="662"/>
      <c r="C223" s="662"/>
      <c r="D223" s="662"/>
      <c r="E223" s="662"/>
      <c r="F223" s="662"/>
      <c r="G223" s="662"/>
      <c r="H223" s="662"/>
      <c r="I223" s="662"/>
      <c r="J223" s="662"/>
      <c r="K223" s="662"/>
      <c r="L223" s="662"/>
      <c r="M223" s="662"/>
      <c r="N223" s="662"/>
      <c r="O223" s="663"/>
      <c r="P223" s="659" t="s">
        <v>40</v>
      </c>
      <c r="Q223" s="660"/>
      <c r="R223" s="660"/>
      <c r="S223" s="660"/>
      <c r="T223" s="660"/>
      <c r="U223" s="660"/>
      <c r="V223" s="661"/>
      <c r="W223" s="40" t="s">
        <v>0</v>
      </c>
      <c r="X223" s="41">
        <f>IFERROR(SUM(X215:X221),"0")</f>
        <v>0</v>
      </c>
      <c r="Y223" s="41">
        <f>IFERROR(SUM(Y215:Y221),"0")</f>
        <v>0</v>
      </c>
      <c r="Z223" s="40"/>
      <c r="AA223" s="64"/>
      <c r="AB223" s="64"/>
      <c r="AC223" s="64"/>
    </row>
    <row r="224" spans="1:68" ht="16.5" hidden="1" customHeight="1" x14ac:dyDescent="0.25">
      <c r="A224" s="664" t="s">
        <v>392</v>
      </c>
      <c r="B224" s="664"/>
      <c r="C224" s="664"/>
      <c r="D224" s="664"/>
      <c r="E224" s="664"/>
      <c r="F224" s="664"/>
      <c r="G224" s="664"/>
      <c r="H224" s="664"/>
      <c r="I224" s="664"/>
      <c r="J224" s="664"/>
      <c r="K224" s="664"/>
      <c r="L224" s="664"/>
      <c r="M224" s="664"/>
      <c r="N224" s="664"/>
      <c r="O224" s="664"/>
      <c r="P224" s="664"/>
      <c r="Q224" s="664"/>
      <c r="R224" s="664"/>
      <c r="S224" s="664"/>
      <c r="T224" s="664"/>
      <c r="U224" s="664"/>
      <c r="V224" s="664"/>
      <c r="W224" s="664"/>
      <c r="X224" s="664"/>
      <c r="Y224" s="664"/>
      <c r="Z224" s="664"/>
      <c r="AA224" s="62"/>
      <c r="AB224" s="62"/>
      <c r="AC224" s="62"/>
    </row>
    <row r="225" spans="1:68" ht="14.25" hidden="1" customHeight="1" x14ac:dyDescent="0.25">
      <c r="A225" s="665" t="s">
        <v>155</v>
      </c>
      <c r="B225" s="665"/>
      <c r="C225" s="665"/>
      <c r="D225" s="665"/>
      <c r="E225" s="665"/>
      <c r="F225" s="665"/>
      <c r="G225" s="665"/>
      <c r="H225" s="665"/>
      <c r="I225" s="665"/>
      <c r="J225" s="665"/>
      <c r="K225" s="665"/>
      <c r="L225" s="665"/>
      <c r="M225" s="665"/>
      <c r="N225" s="665"/>
      <c r="O225" s="665"/>
      <c r="P225" s="665"/>
      <c r="Q225" s="665"/>
      <c r="R225" s="665"/>
      <c r="S225" s="665"/>
      <c r="T225" s="665"/>
      <c r="U225" s="665"/>
      <c r="V225" s="665"/>
      <c r="W225" s="665"/>
      <c r="X225" s="665"/>
      <c r="Y225" s="665"/>
      <c r="Z225" s="665"/>
      <c r="AA225" s="63"/>
      <c r="AB225" s="63"/>
      <c r="AC225" s="63"/>
    </row>
    <row r="226" spans="1:68" ht="27" hidden="1" customHeight="1" x14ac:dyDescent="0.25">
      <c r="A226" s="60" t="s">
        <v>393</v>
      </c>
      <c r="B226" s="60" t="s">
        <v>394</v>
      </c>
      <c r="C226" s="34">
        <v>4301020323</v>
      </c>
      <c r="D226" s="666">
        <v>4680115886223</v>
      </c>
      <c r="E226" s="666"/>
      <c r="F226" s="59">
        <v>0.33</v>
      </c>
      <c r="G226" s="35">
        <v>6</v>
      </c>
      <c r="H226" s="59">
        <v>1.98</v>
      </c>
      <c r="I226" s="59">
        <v>2.08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68"/>
      <c r="R226" s="668"/>
      <c r="S226" s="668"/>
      <c r="T226" s="669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395</v>
      </c>
      <c r="AG226" s="75"/>
      <c r="AJ226" s="79" t="s">
        <v>46</v>
      </c>
      <c r="AK226" s="79">
        <v>0</v>
      </c>
      <c r="BB226" s="308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62"/>
      <c r="B227" s="662"/>
      <c r="C227" s="662"/>
      <c r="D227" s="662"/>
      <c r="E227" s="662"/>
      <c r="F227" s="662"/>
      <c r="G227" s="662"/>
      <c r="H227" s="662"/>
      <c r="I227" s="662"/>
      <c r="J227" s="662"/>
      <c r="K227" s="662"/>
      <c r="L227" s="662"/>
      <c r="M227" s="662"/>
      <c r="N227" s="662"/>
      <c r="O227" s="663"/>
      <c r="P227" s="659" t="s">
        <v>40</v>
      </c>
      <c r="Q227" s="660"/>
      <c r="R227" s="660"/>
      <c r="S227" s="660"/>
      <c r="T227" s="660"/>
      <c r="U227" s="660"/>
      <c r="V227" s="661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662"/>
      <c r="B228" s="662"/>
      <c r="C228" s="662"/>
      <c r="D228" s="662"/>
      <c r="E228" s="662"/>
      <c r="F228" s="662"/>
      <c r="G228" s="662"/>
      <c r="H228" s="662"/>
      <c r="I228" s="662"/>
      <c r="J228" s="662"/>
      <c r="K228" s="662"/>
      <c r="L228" s="662"/>
      <c r="M228" s="662"/>
      <c r="N228" s="662"/>
      <c r="O228" s="663"/>
      <c r="P228" s="659" t="s">
        <v>40</v>
      </c>
      <c r="Q228" s="660"/>
      <c r="R228" s="660"/>
      <c r="S228" s="660"/>
      <c r="T228" s="660"/>
      <c r="U228" s="660"/>
      <c r="V228" s="661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5" t="s">
        <v>77</v>
      </c>
      <c r="B229" s="665"/>
      <c r="C229" s="665"/>
      <c r="D229" s="665"/>
      <c r="E229" s="665"/>
      <c r="F229" s="665"/>
      <c r="G229" s="665"/>
      <c r="H229" s="665"/>
      <c r="I229" s="665"/>
      <c r="J229" s="665"/>
      <c r="K229" s="665"/>
      <c r="L229" s="665"/>
      <c r="M229" s="665"/>
      <c r="N229" s="665"/>
      <c r="O229" s="665"/>
      <c r="P229" s="665"/>
      <c r="Q229" s="665"/>
      <c r="R229" s="665"/>
      <c r="S229" s="665"/>
      <c r="T229" s="665"/>
      <c r="U229" s="665"/>
      <c r="V229" s="665"/>
      <c r="W229" s="665"/>
      <c r="X229" s="665"/>
      <c r="Y229" s="665"/>
      <c r="Z229" s="665"/>
      <c r="AA229" s="63"/>
      <c r="AB229" s="63"/>
      <c r="AC229" s="63"/>
    </row>
    <row r="230" spans="1:68" ht="27" hidden="1" customHeight="1" x14ac:dyDescent="0.25">
      <c r="A230" s="60" t="s">
        <v>396</v>
      </c>
      <c r="B230" s="60" t="s">
        <v>397</v>
      </c>
      <c r="C230" s="34">
        <v>4301031191</v>
      </c>
      <c r="D230" s="666">
        <v>4680115880993</v>
      </c>
      <c r="E230" s="666"/>
      <c r="F230" s="59">
        <v>0.7</v>
      </c>
      <c r="G230" s="35">
        <v>6</v>
      </c>
      <c r="H230" s="59">
        <v>4.2</v>
      </c>
      <c r="I230" s="59">
        <v>4.45</v>
      </c>
      <c r="J230" s="35">
        <v>132</v>
      </c>
      <c r="K230" s="35" t="s">
        <v>134</v>
      </c>
      <c r="L230" s="35" t="s">
        <v>46</v>
      </c>
      <c r="M230" s="36" t="s">
        <v>81</v>
      </c>
      <c r="N230" s="36"/>
      <c r="O230" s="35">
        <v>40</v>
      </c>
      <c r="P230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68"/>
      <c r="R230" s="668"/>
      <c r="S230" s="668"/>
      <c r="T230" s="66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ref="Y230:Y243" si="39"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46</v>
      </c>
      <c r="AC230" s="309" t="s">
        <v>398</v>
      </c>
      <c r="AG230" s="75"/>
      <c r="AJ230" s="79" t="s">
        <v>46</v>
      </c>
      <c r="AK230" s="79">
        <v>0</v>
      </c>
      <c r="BB230" s="310" t="s">
        <v>67</v>
      </c>
      <c r="BM230" s="75">
        <f t="shared" ref="BM230:BM243" si="40">IFERROR(X230*I230/H230,"0")</f>
        <v>0</v>
      </c>
      <c r="BN230" s="75">
        <f t="shared" ref="BN230:BN243" si="41">IFERROR(Y230*I230/H230,"0")</f>
        <v>0</v>
      </c>
      <c r="BO230" s="75">
        <f t="shared" ref="BO230:BO243" si="42">IFERROR(1/J230*(X230/H230),"0")</f>
        <v>0</v>
      </c>
      <c r="BP230" s="75">
        <f t="shared" ref="BP230:BP243" si="43">IFERROR(1/J230*(Y230/H230),"0")</f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4301031204</v>
      </c>
      <c r="D231" s="666">
        <v>4680115881761</v>
      </c>
      <c r="E231" s="666"/>
      <c r="F231" s="59">
        <v>0.7</v>
      </c>
      <c r="G231" s="35">
        <v>6</v>
      </c>
      <c r="H231" s="59">
        <v>4.2</v>
      </c>
      <c r="I231" s="59">
        <v>4.45</v>
      </c>
      <c r="J231" s="35">
        <v>132</v>
      </c>
      <c r="K231" s="35" t="s">
        <v>134</v>
      </c>
      <c r="L231" s="35" t="s">
        <v>46</v>
      </c>
      <c r="M231" s="36" t="s">
        <v>81</v>
      </c>
      <c r="N231" s="36"/>
      <c r="O231" s="35">
        <v>40</v>
      </c>
      <c r="P231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68"/>
      <c r="R231" s="668"/>
      <c r="S231" s="668"/>
      <c r="T231" s="66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9"/>
        <v>0</v>
      </c>
      <c r="Z231" s="39" t="str">
        <f>IFERROR(IF(Y231=0,"",ROUNDUP(Y231/H231,0)*0.00902),"")</f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67</v>
      </c>
      <c r="BM231" s="75">
        <f t="shared" si="40"/>
        <v>0</v>
      </c>
      <c r="BN231" s="75">
        <f t="shared" si="41"/>
        <v>0</v>
      </c>
      <c r="BO231" s="75">
        <f t="shared" si="42"/>
        <v>0</v>
      </c>
      <c r="BP231" s="75">
        <f t="shared" si="43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4301031201</v>
      </c>
      <c r="D232" s="666">
        <v>4680115881563</v>
      </c>
      <c r="E232" s="666"/>
      <c r="F232" s="59">
        <v>0.7</v>
      </c>
      <c r="G232" s="35">
        <v>6</v>
      </c>
      <c r="H232" s="59">
        <v>4.2</v>
      </c>
      <c r="I232" s="59">
        <v>4.3899999999999997</v>
      </c>
      <c r="J232" s="35">
        <v>132</v>
      </c>
      <c r="K232" s="35" t="s">
        <v>134</v>
      </c>
      <c r="L232" s="35" t="s">
        <v>46</v>
      </c>
      <c r="M232" s="36" t="s">
        <v>81</v>
      </c>
      <c r="N232" s="36"/>
      <c r="O232" s="35">
        <v>40</v>
      </c>
      <c r="P232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68"/>
      <c r="R232" s="668"/>
      <c r="S232" s="668"/>
      <c r="T232" s="66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9"/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13" t="s">
        <v>404</v>
      </c>
      <c r="AG232" s="75"/>
      <c r="AJ232" s="79" t="s">
        <v>46</v>
      </c>
      <c r="AK232" s="79">
        <v>0</v>
      </c>
      <c r="BB232" s="314" t="s">
        <v>67</v>
      </c>
      <c r="BM232" s="75">
        <f t="shared" si="40"/>
        <v>0</v>
      </c>
      <c r="BN232" s="75">
        <f t="shared" si="41"/>
        <v>0</v>
      </c>
      <c r="BO232" s="75">
        <f t="shared" si="42"/>
        <v>0</v>
      </c>
      <c r="BP232" s="75">
        <f t="shared" si="43"/>
        <v>0</v>
      </c>
    </row>
    <row r="233" spans="1:68" ht="37.5" hidden="1" customHeight="1" x14ac:dyDescent="0.25">
      <c r="A233" s="60" t="s">
        <v>405</v>
      </c>
      <c r="B233" s="60" t="s">
        <v>406</v>
      </c>
      <c r="C233" s="34">
        <v>4301031447</v>
      </c>
      <c r="D233" s="666">
        <v>4680115887565</v>
      </c>
      <c r="E233" s="666"/>
      <c r="F233" s="59">
        <v>0.08</v>
      </c>
      <c r="G233" s="35">
        <v>10</v>
      </c>
      <c r="H233" s="59">
        <v>0.8</v>
      </c>
      <c r="I233" s="59">
        <v>0.93</v>
      </c>
      <c r="J233" s="35">
        <v>252</v>
      </c>
      <c r="K233" s="35" t="s">
        <v>82</v>
      </c>
      <c r="L233" s="35" t="s">
        <v>46</v>
      </c>
      <c r="M233" s="36" t="s">
        <v>81</v>
      </c>
      <c r="N233" s="36"/>
      <c r="O233" s="35">
        <v>45</v>
      </c>
      <c r="P233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68"/>
      <c r="R233" s="668"/>
      <c r="S233" s="668"/>
      <c r="T233" s="66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9"/>
        <v>0</v>
      </c>
      <c r="Z233" s="39" t="str">
        <f>IFERROR(IF(Y233=0,"",ROUNDUP(Y233/H233,0)*0.00556),"")</f>
        <v/>
      </c>
      <c r="AA233" s="65" t="s">
        <v>46</v>
      </c>
      <c r="AB233" s="66" t="s">
        <v>46</v>
      </c>
      <c r="AC233" s="315" t="s">
        <v>407</v>
      </c>
      <c r="AG233" s="75"/>
      <c r="AJ233" s="79" t="s">
        <v>46</v>
      </c>
      <c r="AK233" s="79">
        <v>0</v>
      </c>
      <c r="BB233" s="316" t="s">
        <v>67</v>
      </c>
      <c r="BM233" s="75">
        <f t="shared" si="40"/>
        <v>0</v>
      </c>
      <c r="BN233" s="75">
        <f t="shared" si="41"/>
        <v>0</v>
      </c>
      <c r="BO233" s="75">
        <f t="shared" si="42"/>
        <v>0</v>
      </c>
      <c r="BP233" s="75">
        <f t="shared" si="43"/>
        <v>0</v>
      </c>
    </row>
    <row r="234" spans="1:68" ht="27" hidden="1" customHeight="1" x14ac:dyDescent="0.25">
      <c r="A234" s="60" t="s">
        <v>408</v>
      </c>
      <c r="B234" s="60" t="s">
        <v>409</v>
      </c>
      <c r="C234" s="34">
        <v>4301031199</v>
      </c>
      <c r="D234" s="666">
        <v>4680115880986</v>
      </c>
      <c r="E234" s="666"/>
      <c r="F234" s="59">
        <v>0.35</v>
      </c>
      <c r="G234" s="35">
        <v>6</v>
      </c>
      <c r="H234" s="59">
        <v>2.1</v>
      </c>
      <c r="I234" s="59">
        <v>2.23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68"/>
      <c r="R234" s="668"/>
      <c r="S234" s="668"/>
      <c r="T234" s="669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9"/>
        <v>0</v>
      </c>
      <c r="Z234" s="39" t="str">
        <f t="shared" ref="Z234:Z239" si="44">IFERROR(IF(Y234=0,"",ROUNDUP(Y234/H234,0)*0.00502),"")</f>
        <v/>
      </c>
      <c r="AA234" s="65" t="s">
        <v>46</v>
      </c>
      <c r="AB234" s="66" t="s">
        <v>46</v>
      </c>
      <c r="AC234" s="317" t="s">
        <v>398</v>
      </c>
      <c r="AG234" s="75"/>
      <c r="AJ234" s="79" t="s">
        <v>46</v>
      </c>
      <c r="AK234" s="79">
        <v>0</v>
      </c>
      <c r="BB234" s="318" t="s">
        <v>67</v>
      </c>
      <c r="BM234" s="75">
        <f t="shared" si="40"/>
        <v>0</v>
      </c>
      <c r="BN234" s="75">
        <f t="shared" si="41"/>
        <v>0</v>
      </c>
      <c r="BO234" s="75">
        <f t="shared" si="42"/>
        <v>0</v>
      </c>
      <c r="BP234" s="75">
        <f t="shared" si="43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4301031443</v>
      </c>
      <c r="D235" s="666">
        <v>4680115887213</v>
      </c>
      <c r="E235" s="666"/>
      <c r="F235" s="59">
        <v>0.3</v>
      </c>
      <c r="G235" s="35">
        <v>6</v>
      </c>
      <c r="H235" s="59">
        <v>1.8</v>
      </c>
      <c r="I235" s="59">
        <v>1.9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45</v>
      </c>
      <c r="P235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68"/>
      <c r="R235" s="668"/>
      <c r="S235" s="668"/>
      <c r="T235" s="66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9"/>
        <v>0</v>
      </c>
      <c r="Z235" s="39" t="str">
        <f t="shared" si="44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67</v>
      </c>
      <c r="BM235" s="75">
        <f t="shared" si="40"/>
        <v>0</v>
      </c>
      <c r="BN235" s="75">
        <f t="shared" si="41"/>
        <v>0</v>
      </c>
      <c r="BO235" s="75">
        <f t="shared" si="42"/>
        <v>0</v>
      </c>
      <c r="BP235" s="75">
        <f t="shared" si="43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4301031205</v>
      </c>
      <c r="D236" s="666">
        <v>4680115881785</v>
      </c>
      <c r="E236" s="666"/>
      <c r="F236" s="59">
        <v>0.35</v>
      </c>
      <c r="G236" s="35">
        <v>6</v>
      </c>
      <c r="H236" s="59">
        <v>2.1</v>
      </c>
      <c r="I236" s="59">
        <v>2.23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68"/>
      <c r="R236" s="668"/>
      <c r="S236" s="668"/>
      <c r="T236" s="66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9"/>
        <v>0</v>
      </c>
      <c r="Z236" s="39" t="str">
        <f t="shared" si="44"/>
        <v/>
      </c>
      <c r="AA236" s="65" t="s">
        <v>46</v>
      </c>
      <c r="AB236" s="66" t="s">
        <v>46</v>
      </c>
      <c r="AC236" s="321" t="s">
        <v>401</v>
      </c>
      <c r="AG236" s="75"/>
      <c r="AJ236" s="79" t="s">
        <v>46</v>
      </c>
      <c r="AK236" s="79">
        <v>0</v>
      </c>
      <c r="BB236" s="322" t="s">
        <v>67</v>
      </c>
      <c r="BM236" s="75">
        <f t="shared" si="40"/>
        <v>0</v>
      </c>
      <c r="BN236" s="75">
        <f t="shared" si="41"/>
        <v>0</v>
      </c>
      <c r="BO236" s="75">
        <f t="shared" si="42"/>
        <v>0</v>
      </c>
      <c r="BP236" s="75">
        <f t="shared" si="43"/>
        <v>0</v>
      </c>
    </row>
    <row r="237" spans="1:68" ht="27" hidden="1" customHeight="1" x14ac:dyDescent="0.25">
      <c r="A237" s="60" t="s">
        <v>415</v>
      </c>
      <c r="B237" s="60" t="s">
        <v>416</v>
      </c>
      <c r="C237" s="34">
        <v>4301031499</v>
      </c>
      <c r="D237" s="666">
        <v>4680115888432</v>
      </c>
      <c r="E237" s="666"/>
      <c r="F237" s="59">
        <v>0.3</v>
      </c>
      <c r="G237" s="35">
        <v>6</v>
      </c>
      <c r="H237" s="59">
        <v>1.8</v>
      </c>
      <c r="I237" s="59">
        <v>1.93</v>
      </c>
      <c r="J237" s="35">
        <v>234</v>
      </c>
      <c r="K237" s="35" t="s">
        <v>82</v>
      </c>
      <c r="L237" s="35" t="s">
        <v>46</v>
      </c>
      <c r="M237" s="36" t="s">
        <v>81</v>
      </c>
      <c r="N237" s="36"/>
      <c r="O237" s="35">
        <v>45</v>
      </c>
      <c r="P237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68"/>
      <c r="R237" s="668"/>
      <c r="S237" s="668"/>
      <c r="T237" s="669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9"/>
        <v>0</v>
      </c>
      <c r="Z237" s="39" t="str">
        <f t="shared" si="44"/>
        <v/>
      </c>
      <c r="AA237" s="65" t="s">
        <v>46</v>
      </c>
      <c r="AB237" s="66" t="s">
        <v>46</v>
      </c>
      <c r="AC237" s="323" t="s">
        <v>417</v>
      </c>
      <c r="AG237" s="75"/>
      <c r="AJ237" s="79" t="s">
        <v>46</v>
      </c>
      <c r="AK237" s="79">
        <v>0</v>
      </c>
      <c r="BB237" s="324" t="s">
        <v>67</v>
      </c>
      <c r="BM237" s="75">
        <f t="shared" si="40"/>
        <v>0</v>
      </c>
      <c r="BN237" s="75">
        <f t="shared" si="41"/>
        <v>0</v>
      </c>
      <c r="BO237" s="75">
        <f t="shared" si="42"/>
        <v>0</v>
      </c>
      <c r="BP237" s="75">
        <f t="shared" si="43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4301031427</v>
      </c>
      <c r="D238" s="666">
        <v>4680115888104</v>
      </c>
      <c r="E238" s="666"/>
      <c r="F238" s="59">
        <v>0.35</v>
      </c>
      <c r="G238" s="35">
        <v>6</v>
      </c>
      <c r="H238" s="59">
        <v>2.1</v>
      </c>
      <c r="I238" s="59">
        <v>2.2000000000000002</v>
      </c>
      <c r="J238" s="35">
        <v>234</v>
      </c>
      <c r="K238" s="35" t="s">
        <v>82</v>
      </c>
      <c r="L238" s="35" t="s">
        <v>46</v>
      </c>
      <c r="M238" s="36" t="s">
        <v>81</v>
      </c>
      <c r="N238" s="36"/>
      <c r="O238" s="35">
        <v>45</v>
      </c>
      <c r="P238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68"/>
      <c r="R238" s="668"/>
      <c r="S238" s="668"/>
      <c r="T238" s="669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9"/>
        <v>0</v>
      </c>
      <c r="Z238" s="39" t="str">
        <f t="shared" si="44"/>
        <v/>
      </c>
      <c r="AA238" s="65" t="s">
        <v>46</v>
      </c>
      <c r="AB238" s="66" t="s">
        <v>46</v>
      </c>
      <c r="AC238" s="325" t="s">
        <v>420</v>
      </c>
      <c r="AG238" s="75"/>
      <c r="AJ238" s="79" t="s">
        <v>46</v>
      </c>
      <c r="AK238" s="79">
        <v>0</v>
      </c>
      <c r="BB238" s="326" t="s">
        <v>67</v>
      </c>
      <c r="BM238" s="75">
        <f t="shared" si="40"/>
        <v>0</v>
      </c>
      <c r="BN238" s="75">
        <f t="shared" si="41"/>
        <v>0</v>
      </c>
      <c r="BO238" s="75">
        <f t="shared" si="42"/>
        <v>0</v>
      </c>
      <c r="BP238" s="75">
        <f t="shared" si="43"/>
        <v>0</v>
      </c>
    </row>
    <row r="239" spans="1:68" ht="27" hidden="1" customHeight="1" x14ac:dyDescent="0.25">
      <c r="A239" s="60" t="s">
        <v>421</v>
      </c>
      <c r="B239" s="60" t="s">
        <v>422</v>
      </c>
      <c r="C239" s="34">
        <v>4301031399</v>
      </c>
      <c r="D239" s="666">
        <v>4680115886537</v>
      </c>
      <c r="E239" s="666"/>
      <c r="F239" s="59">
        <v>0.3</v>
      </c>
      <c r="G239" s="35">
        <v>6</v>
      </c>
      <c r="H239" s="59">
        <v>1.8</v>
      </c>
      <c r="I239" s="59">
        <v>1.93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68"/>
      <c r="R239" s="668"/>
      <c r="S239" s="668"/>
      <c r="T239" s="669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9"/>
        <v>0</v>
      </c>
      <c r="Z239" s="39" t="str">
        <f t="shared" si="44"/>
        <v/>
      </c>
      <c r="AA239" s="65" t="s">
        <v>46</v>
      </c>
      <c r="AB239" s="66" t="s">
        <v>46</v>
      </c>
      <c r="AC239" s="327" t="s">
        <v>423</v>
      </c>
      <c r="AG239" s="75"/>
      <c r="AJ239" s="79" t="s">
        <v>46</v>
      </c>
      <c r="AK239" s="79">
        <v>0</v>
      </c>
      <c r="BB239" s="328" t="s">
        <v>67</v>
      </c>
      <c r="BM239" s="75">
        <f t="shared" si="40"/>
        <v>0</v>
      </c>
      <c r="BN239" s="75">
        <f t="shared" si="41"/>
        <v>0</v>
      </c>
      <c r="BO239" s="75">
        <f t="shared" si="42"/>
        <v>0</v>
      </c>
      <c r="BP239" s="75">
        <f t="shared" si="43"/>
        <v>0</v>
      </c>
    </row>
    <row r="240" spans="1:68" ht="27" hidden="1" customHeight="1" x14ac:dyDescent="0.25">
      <c r="A240" s="60" t="s">
        <v>424</v>
      </c>
      <c r="B240" s="60" t="s">
        <v>425</v>
      </c>
      <c r="C240" s="34">
        <v>4301031279</v>
      </c>
      <c r="D240" s="666">
        <v>4680115887596</v>
      </c>
      <c r="E240" s="666"/>
      <c r="F240" s="59">
        <v>0.08</v>
      </c>
      <c r="G240" s="35">
        <v>10</v>
      </c>
      <c r="H240" s="59">
        <v>0.8</v>
      </c>
      <c r="I240" s="59">
        <v>1.01</v>
      </c>
      <c r="J240" s="35">
        <v>336</v>
      </c>
      <c r="K240" s="35" t="s">
        <v>131</v>
      </c>
      <c r="L240" s="35" t="s">
        <v>46</v>
      </c>
      <c r="M240" s="36" t="s">
        <v>81</v>
      </c>
      <c r="N240" s="36"/>
      <c r="O240" s="35">
        <v>45</v>
      </c>
      <c r="P240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68"/>
      <c r="R240" s="668"/>
      <c r="S240" s="668"/>
      <c r="T240" s="669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9"/>
        <v>0</v>
      </c>
      <c r="Z240" s="39" t="str">
        <f>IFERROR(IF(Y240=0,"",ROUNDUP(Y240/H240,0)*0.00417),"")</f>
        <v/>
      </c>
      <c r="AA240" s="65" t="s">
        <v>46</v>
      </c>
      <c r="AB240" s="66" t="s">
        <v>46</v>
      </c>
      <c r="AC240" s="329" t="s">
        <v>426</v>
      </c>
      <c r="AG240" s="75"/>
      <c r="AJ240" s="79" t="s">
        <v>46</v>
      </c>
      <c r="AK240" s="79">
        <v>0</v>
      </c>
      <c r="BB240" s="330" t="s">
        <v>67</v>
      </c>
      <c r="BM240" s="75">
        <f t="shared" si="40"/>
        <v>0</v>
      </c>
      <c r="BN240" s="75">
        <f t="shared" si="41"/>
        <v>0</v>
      </c>
      <c r="BO240" s="75">
        <f t="shared" si="42"/>
        <v>0</v>
      </c>
      <c r="BP240" s="75">
        <f t="shared" si="43"/>
        <v>0</v>
      </c>
    </row>
    <row r="241" spans="1:68" ht="37.5" hidden="1" customHeight="1" x14ac:dyDescent="0.25">
      <c r="A241" s="60" t="s">
        <v>427</v>
      </c>
      <c r="B241" s="60" t="s">
        <v>428</v>
      </c>
      <c r="C241" s="34">
        <v>4301031202</v>
      </c>
      <c r="D241" s="666">
        <v>4680115881679</v>
      </c>
      <c r="E241" s="666"/>
      <c r="F241" s="59">
        <v>0.35</v>
      </c>
      <c r="G241" s="35">
        <v>6</v>
      </c>
      <c r="H241" s="59">
        <v>2.1</v>
      </c>
      <c r="I241" s="59">
        <v>2.2000000000000002</v>
      </c>
      <c r="J241" s="35">
        <v>234</v>
      </c>
      <c r="K241" s="35" t="s">
        <v>82</v>
      </c>
      <c r="L241" s="35" t="s">
        <v>46</v>
      </c>
      <c r="M241" s="36" t="s">
        <v>81</v>
      </c>
      <c r="N241" s="36"/>
      <c r="O241" s="35">
        <v>40</v>
      </c>
      <c r="P241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68"/>
      <c r="R241" s="668"/>
      <c r="S241" s="668"/>
      <c r="T241" s="669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9"/>
        <v>0</v>
      </c>
      <c r="Z241" s="39" t="str">
        <f>IFERROR(IF(Y241=0,"",ROUNDUP(Y241/H241,0)*0.00502),"")</f>
        <v/>
      </c>
      <c r="AA241" s="65" t="s">
        <v>46</v>
      </c>
      <c r="AB241" s="66" t="s">
        <v>46</v>
      </c>
      <c r="AC241" s="331" t="s">
        <v>404</v>
      </c>
      <c r="AG241" s="75"/>
      <c r="AJ241" s="79" t="s">
        <v>46</v>
      </c>
      <c r="AK241" s="79">
        <v>0</v>
      </c>
      <c r="BB241" s="332" t="s">
        <v>67</v>
      </c>
      <c r="BM241" s="75">
        <f t="shared" si="40"/>
        <v>0</v>
      </c>
      <c r="BN241" s="75">
        <f t="shared" si="41"/>
        <v>0</v>
      </c>
      <c r="BO241" s="75">
        <f t="shared" si="42"/>
        <v>0</v>
      </c>
      <c r="BP241" s="75">
        <f t="shared" si="43"/>
        <v>0</v>
      </c>
    </row>
    <row r="242" spans="1:68" ht="27" hidden="1" customHeight="1" x14ac:dyDescent="0.25">
      <c r="A242" s="60" t="s">
        <v>429</v>
      </c>
      <c r="B242" s="60" t="s">
        <v>430</v>
      </c>
      <c r="C242" s="34">
        <v>4301031158</v>
      </c>
      <c r="D242" s="666">
        <v>4680115880191</v>
      </c>
      <c r="E242" s="666"/>
      <c r="F242" s="59">
        <v>0.4</v>
      </c>
      <c r="G242" s="35">
        <v>6</v>
      </c>
      <c r="H242" s="59">
        <v>2.4</v>
      </c>
      <c r="I242" s="59">
        <v>2.58</v>
      </c>
      <c r="J242" s="35">
        <v>182</v>
      </c>
      <c r="K242" s="35" t="s">
        <v>91</v>
      </c>
      <c r="L242" s="35" t="s">
        <v>46</v>
      </c>
      <c r="M242" s="36" t="s">
        <v>81</v>
      </c>
      <c r="N242" s="36"/>
      <c r="O242" s="35">
        <v>40</v>
      </c>
      <c r="P242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68"/>
      <c r="R242" s="668"/>
      <c r="S242" s="668"/>
      <c r="T242" s="669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9"/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33" t="s">
        <v>404</v>
      </c>
      <c r="AG242" s="75"/>
      <c r="AJ242" s="79" t="s">
        <v>46</v>
      </c>
      <c r="AK242" s="79">
        <v>0</v>
      </c>
      <c r="BB242" s="334" t="s">
        <v>67</v>
      </c>
      <c r="BM242" s="75">
        <f t="shared" si="40"/>
        <v>0</v>
      </c>
      <c r="BN242" s="75">
        <f t="shared" si="41"/>
        <v>0</v>
      </c>
      <c r="BO242" s="75">
        <f t="shared" si="42"/>
        <v>0</v>
      </c>
      <c r="BP242" s="75">
        <f t="shared" si="43"/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4301031245</v>
      </c>
      <c r="D243" s="666">
        <v>4680115883963</v>
      </c>
      <c r="E243" s="666"/>
      <c r="F243" s="59">
        <v>0.28000000000000003</v>
      </c>
      <c r="G243" s="35">
        <v>6</v>
      </c>
      <c r="H243" s="59">
        <v>1.68</v>
      </c>
      <c r="I243" s="59">
        <v>1.78</v>
      </c>
      <c r="J243" s="35">
        <v>234</v>
      </c>
      <c r="K243" s="35" t="s">
        <v>82</v>
      </c>
      <c r="L243" s="35" t="s">
        <v>46</v>
      </c>
      <c r="M243" s="36" t="s">
        <v>81</v>
      </c>
      <c r="N243" s="36"/>
      <c r="O243" s="35">
        <v>40</v>
      </c>
      <c r="P243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68"/>
      <c r="R243" s="668"/>
      <c r="S243" s="668"/>
      <c r="T243" s="669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9"/>
        <v>0</v>
      </c>
      <c r="Z243" s="39" t="str">
        <f>IFERROR(IF(Y243=0,"",ROUNDUP(Y243/H243,0)*0.00502),"")</f>
        <v/>
      </c>
      <c r="AA243" s="65" t="s">
        <v>46</v>
      </c>
      <c r="AB243" s="66" t="s">
        <v>46</v>
      </c>
      <c r="AC243" s="335" t="s">
        <v>433</v>
      </c>
      <c r="AG243" s="75"/>
      <c r="AJ243" s="79" t="s">
        <v>46</v>
      </c>
      <c r="AK243" s="79">
        <v>0</v>
      </c>
      <c r="BB243" s="336" t="s">
        <v>67</v>
      </c>
      <c r="BM243" s="75">
        <f t="shared" si="40"/>
        <v>0</v>
      </c>
      <c r="BN243" s="75">
        <f t="shared" si="41"/>
        <v>0</v>
      </c>
      <c r="BO243" s="75">
        <f t="shared" si="42"/>
        <v>0</v>
      </c>
      <c r="BP243" s="75">
        <f t="shared" si="43"/>
        <v>0</v>
      </c>
    </row>
    <row r="244" spans="1:68" hidden="1" x14ac:dyDescent="0.2">
      <c r="A244" s="662"/>
      <c r="B244" s="662"/>
      <c r="C244" s="662"/>
      <c r="D244" s="662"/>
      <c r="E244" s="662"/>
      <c r="F244" s="662"/>
      <c r="G244" s="662"/>
      <c r="H244" s="662"/>
      <c r="I244" s="662"/>
      <c r="J244" s="662"/>
      <c r="K244" s="662"/>
      <c r="L244" s="662"/>
      <c r="M244" s="662"/>
      <c r="N244" s="662"/>
      <c r="O244" s="663"/>
      <c r="P244" s="659" t="s">
        <v>40</v>
      </c>
      <c r="Q244" s="660"/>
      <c r="R244" s="660"/>
      <c r="S244" s="660"/>
      <c r="T244" s="660"/>
      <c r="U244" s="660"/>
      <c r="V244" s="661"/>
      <c r="W244" s="40" t="s">
        <v>39</v>
      </c>
      <c r="X244" s="41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1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1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4"/>
      <c r="AB244" s="64"/>
      <c r="AC244" s="64"/>
    </row>
    <row r="245" spans="1:68" hidden="1" x14ac:dyDescent="0.2">
      <c r="A245" s="662"/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3"/>
      <c r="P245" s="659" t="s">
        <v>40</v>
      </c>
      <c r="Q245" s="660"/>
      <c r="R245" s="660"/>
      <c r="S245" s="660"/>
      <c r="T245" s="660"/>
      <c r="U245" s="660"/>
      <c r="V245" s="661"/>
      <c r="W245" s="40" t="s">
        <v>0</v>
      </c>
      <c r="X245" s="41">
        <f>IFERROR(SUM(X230:X243),"0")</f>
        <v>0</v>
      </c>
      <c r="Y245" s="41">
        <f>IFERROR(SUM(Y230:Y243),"0")</f>
        <v>0</v>
      </c>
      <c r="Z245" s="40"/>
      <c r="AA245" s="64"/>
      <c r="AB245" s="64"/>
      <c r="AC245" s="64"/>
    </row>
    <row r="246" spans="1:68" ht="14.25" hidden="1" customHeight="1" x14ac:dyDescent="0.25">
      <c r="A246" s="665" t="s">
        <v>86</v>
      </c>
      <c r="B246" s="665"/>
      <c r="C246" s="665"/>
      <c r="D246" s="665"/>
      <c r="E246" s="665"/>
      <c r="F246" s="665"/>
      <c r="G246" s="665"/>
      <c r="H246" s="665"/>
      <c r="I246" s="665"/>
      <c r="J246" s="665"/>
      <c r="K246" s="665"/>
      <c r="L246" s="665"/>
      <c r="M246" s="665"/>
      <c r="N246" s="665"/>
      <c r="O246" s="665"/>
      <c r="P246" s="665"/>
      <c r="Q246" s="665"/>
      <c r="R246" s="665"/>
      <c r="S246" s="665"/>
      <c r="T246" s="665"/>
      <c r="U246" s="665"/>
      <c r="V246" s="665"/>
      <c r="W246" s="665"/>
      <c r="X246" s="665"/>
      <c r="Y246" s="665"/>
      <c r="Z246" s="665"/>
      <c r="AA246" s="63"/>
      <c r="AB246" s="63"/>
      <c r="AC246" s="63"/>
    </row>
    <row r="247" spans="1:68" ht="16.5" hidden="1" customHeight="1" x14ac:dyDescent="0.25">
      <c r="A247" s="60" t="s">
        <v>434</v>
      </c>
      <c r="B247" s="60" t="s">
        <v>435</v>
      </c>
      <c r="C247" s="34">
        <v>4301052209</v>
      </c>
      <c r="D247" s="666">
        <v>4680115888692</v>
      </c>
      <c r="E247" s="666"/>
      <c r="F247" s="59">
        <v>0.8</v>
      </c>
      <c r="G247" s="35">
        <v>6</v>
      </c>
      <c r="H247" s="59">
        <v>4.8</v>
      </c>
      <c r="I247" s="59">
        <v>5.2220000000000004</v>
      </c>
      <c r="J247" s="35">
        <v>104</v>
      </c>
      <c r="K247" s="35" t="s">
        <v>127</v>
      </c>
      <c r="L247" s="35" t="s">
        <v>46</v>
      </c>
      <c r="M247" s="36" t="s">
        <v>97</v>
      </c>
      <c r="N247" s="36"/>
      <c r="O247" s="35">
        <v>35</v>
      </c>
      <c r="P247" s="82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68"/>
      <c r="R247" s="668"/>
      <c r="S247" s="668"/>
      <c r="T247" s="669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IFERROR(IF(Y247=0,"",ROUNDUP(Y247/H247,0)*0.01196),"")</f>
        <v/>
      </c>
      <c r="AA247" s="65" t="s">
        <v>46</v>
      </c>
      <c r="AB247" s="66" t="s">
        <v>46</v>
      </c>
      <c r="AC247" s="337" t="s">
        <v>436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437</v>
      </c>
      <c r="B248" s="60" t="s">
        <v>438</v>
      </c>
      <c r="C248" s="34">
        <v>4301052213</v>
      </c>
      <c r="D248" s="666">
        <v>4680115888722</v>
      </c>
      <c r="E248" s="666"/>
      <c r="F248" s="59">
        <v>0.8</v>
      </c>
      <c r="G248" s="35">
        <v>6</v>
      </c>
      <c r="H248" s="59">
        <v>4.8</v>
      </c>
      <c r="I248" s="59">
        <v>5.2220000000000004</v>
      </c>
      <c r="J248" s="35">
        <v>104</v>
      </c>
      <c r="K248" s="35" t="s">
        <v>127</v>
      </c>
      <c r="L248" s="35" t="s">
        <v>46</v>
      </c>
      <c r="M248" s="36" t="s">
        <v>97</v>
      </c>
      <c r="N248" s="36"/>
      <c r="O248" s="35">
        <v>35</v>
      </c>
      <c r="P248" s="8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68"/>
      <c r="R248" s="668"/>
      <c r="S248" s="668"/>
      <c r="T248" s="66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IFERROR(IF(Y248=0,"",ROUNDUP(Y248/H248,0)*0.01196),"")</f>
        <v/>
      </c>
      <c r="AA248" s="65" t="s">
        <v>46</v>
      </c>
      <c r="AB248" s="66" t="s">
        <v>46</v>
      </c>
      <c r="AC248" s="339" t="s">
        <v>439</v>
      </c>
      <c r="AG248" s="75"/>
      <c r="AJ248" s="79" t="s">
        <v>46</v>
      </c>
      <c r="AK248" s="79">
        <v>0</v>
      </c>
      <c r="BB248" s="340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440</v>
      </c>
      <c r="B249" s="60" t="s">
        <v>441</v>
      </c>
      <c r="C249" s="34">
        <v>4301052177</v>
      </c>
      <c r="D249" s="666">
        <v>4680115888951</v>
      </c>
      <c r="E249" s="666"/>
      <c r="F249" s="59">
        <v>0.36</v>
      </c>
      <c r="G249" s="35">
        <v>6</v>
      </c>
      <c r="H249" s="59">
        <v>2.16</v>
      </c>
      <c r="I249" s="59">
        <v>2.4220000000000002</v>
      </c>
      <c r="J249" s="35">
        <v>132</v>
      </c>
      <c r="K249" s="35" t="s">
        <v>134</v>
      </c>
      <c r="L249" s="35" t="s">
        <v>46</v>
      </c>
      <c r="M249" s="36" t="s">
        <v>97</v>
      </c>
      <c r="N249" s="36"/>
      <c r="O249" s="35">
        <v>35</v>
      </c>
      <c r="P249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68"/>
      <c r="R249" s="668"/>
      <c r="S249" s="668"/>
      <c r="T249" s="66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IFERROR(IF(Y249=0,"",ROUNDUP(Y249/H249,0)*0.00902),"")</f>
        <v/>
      </c>
      <c r="AA249" s="65" t="s">
        <v>46</v>
      </c>
      <c r="AB249" s="66" t="s">
        <v>46</v>
      </c>
      <c r="AC249" s="341" t="s">
        <v>442</v>
      </c>
      <c r="AG249" s="75"/>
      <c r="AJ249" s="79" t="s">
        <v>46</v>
      </c>
      <c r="AK249" s="79">
        <v>0</v>
      </c>
      <c r="BB249" s="34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443</v>
      </c>
      <c r="B250" s="60" t="s">
        <v>444</v>
      </c>
      <c r="C250" s="34">
        <v>4301052178</v>
      </c>
      <c r="D250" s="666">
        <v>4680115888975</v>
      </c>
      <c r="E250" s="666"/>
      <c r="F250" s="59">
        <v>0.32</v>
      </c>
      <c r="G250" s="35">
        <v>6</v>
      </c>
      <c r="H250" s="59">
        <v>1.92</v>
      </c>
      <c r="I250" s="59">
        <v>2.1819999999999999</v>
      </c>
      <c r="J250" s="35">
        <v>132</v>
      </c>
      <c r="K250" s="35" t="s">
        <v>134</v>
      </c>
      <c r="L250" s="35" t="s">
        <v>46</v>
      </c>
      <c r="M250" s="36" t="s">
        <v>97</v>
      </c>
      <c r="N250" s="36"/>
      <c r="O250" s="35">
        <v>35</v>
      </c>
      <c r="P250" s="83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68"/>
      <c r="R250" s="668"/>
      <c r="S250" s="668"/>
      <c r="T250" s="66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IFERROR(IF(Y250=0,"",ROUNDUP(Y250/H250,0)*0.00902),"")</f>
        <v/>
      </c>
      <c r="AA250" s="65" t="s">
        <v>46</v>
      </c>
      <c r="AB250" s="66" t="s">
        <v>46</v>
      </c>
      <c r="AC250" s="343" t="s">
        <v>445</v>
      </c>
      <c r="AG250" s="75"/>
      <c r="AJ250" s="79" t="s">
        <v>46</v>
      </c>
      <c r="AK250" s="79">
        <v>0</v>
      </c>
      <c r="BB250" s="34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hidden="1" customHeight="1" x14ac:dyDescent="0.25">
      <c r="A251" s="60" t="s">
        <v>446</v>
      </c>
      <c r="B251" s="60" t="s">
        <v>447</v>
      </c>
      <c r="C251" s="34">
        <v>4301052176</v>
      </c>
      <c r="D251" s="666">
        <v>4680115888982</v>
      </c>
      <c r="E251" s="666"/>
      <c r="F251" s="59">
        <v>0.36</v>
      </c>
      <c r="G251" s="35">
        <v>6</v>
      </c>
      <c r="H251" s="59">
        <v>2.16</v>
      </c>
      <c r="I251" s="59">
        <v>2.4220000000000002</v>
      </c>
      <c r="J251" s="35">
        <v>132</v>
      </c>
      <c r="K251" s="35" t="s">
        <v>134</v>
      </c>
      <c r="L251" s="35" t="s">
        <v>46</v>
      </c>
      <c r="M251" s="36" t="s">
        <v>97</v>
      </c>
      <c r="N251" s="36"/>
      <c r="O251" s="35">
        <v>35</v>
      </c>
      <c r="P251" s="83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68"/>
      <c r="R251" s="668"/>
      <c r="S251" s="668"/>
      <c r="T251" s="669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45" t="s">
        <v>439</v>
      </c>
      <c r="AG251" s="75"/>
      <c r="AJ251" s="79" t="s">
        <v>46</v>
      </c>
      <c r="AK251" s="79">
        <v>0</v>
      </c>
      <c r="BB251" s="346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62"/>
      <c r="B252" s="662"/>
      <c r="C252" s="662"/>
      <c r="D252" s="662"/>
      <c r="E252" s="662"/>
      <c r="F252" s="662"/>
      <c r="G252" s="662"/>
      <c r="H252" s="662"/>
      <c r="I252" s="662"/>
      <c r="J252" s="662"/>
      <c r="K252" s="662"/>
      <c r="L252" s="662"/>
      <c r="M252" s="662"/>
      <c r="N252" s="662"/>
      <c r="O252" s="663"/>
      <c r="P252" s="659" t="s">
        <v>40</v>
      </c>
      <c r="Q252" s="660"/>
      <c r="R252" s="660"/>
      <c r="S252" s="660"/>
      <c r="T252" s="660"/>
      <c r="U252" s="660"/>
      <c r="V252" s="661"/>
      <c r="W252" s="40" t="s">
        <v>39</v>
      </c>
      <c r="X252" s="41">
        <f>IFERROR(X247/H247,"0")+IFERROR(X248/H248,"0")+IFERROR(X249/H249,"0")+IFERROR(X250/H250,"0")+IFERROR(X251/H251,"0")</f>
        <v>0</v>
      </c>
      <c r="Y252" s="41">
        <f>IFERROR(Y247/H247,"0")+IFERROR(Y248/H248,"0")+IFERROR(Y249/H249,"0")+IFERROR(Y250/H250,"0")+IFERROR(Y251/H251,"0")</f>
        <v>0</v>
      </c>
      <c r="Z252" s="41">
        <f>IFERROR(IF(Z247="",0,Z247),"0")+IFERROR(IF(Z248="",0,Z248),"0")+IFERROR(IF(Z249="",0,Z249),"0")+IFERROR(IF(Z250="",0,Z250),"0")+IFERROR(IF(Z251="",0,Z251),"0")</f>
        <v>0</v>
      </c>
      <c r="AA252" s="64"/>
      <c r="AB252" s="64"/>
      <c r="AC252" s="64"/>
    </row>
    <row r="253" spans="1:68" hidden="1" x14ac:dyDescent="0.2">
      <c r="A253" s="662"/>
      <c r="B253" s="662"/>
      <c r="C253" s="662"/>
      <c r="D253" s="662"/>
      <c r="E253" s="662"/>
      <c r="F253" s="662"/>
      <c r="G253" s="662"/>
      <c r="H253" s="662"/>
      <c r="I253" s="662"/>
      <c r="J253" s="662"/>
      <c r="K253" s="662"/>
      <c r="L253" s="662"/>
      <c r="M253" s="662"/>
      <c r="N253" s="662"/>
      <c r="O253" s="663"/>
      <c r="P253" s="659" t="s">
        <v>40</v>
      </c>
      <c r="Q253" s="660"/>
      <c r="R253" s="660"/>
      <c r="S253" s="660"/>
      <c r="T253" s="660"/>
      <c r="U253" s="660"/>
      <c r="V253" s="661"/>
      <c r="W253" s="40" t="s">
        <v>0</v>
      </c>
      <c r="X253" s="41">
        <f>IFERROR(SUM(X247:X251),"0")</f>
        <v>0</v>
      </c>
      <c r="Y253" s="41">
        <f>IFERROR(SUM(Y247:Y251),"0")</f>
        <v>0</v>
      </c>
      <c r="Z253" s="40"/>
      <c r="AA253" s="64"/>
      <c r="AB253" s="64"/>
      <c r="AC253" s="64"/>
    </row>
    <row r="254" spans="1:68" ht="14.25" hidden="1" customHeight="1" x14ac:dyDescent="0.25">
      <c r="A254" s="665" t="s">
        <v>294</v>
      </c>
      <c r="B254" s="665"/>
      <c r="C254" s="665"/>
      <c r="D254" s="665"/>
      <c r="E254" s="665"/>
      <c r="F254" s="665"/>
      <c r="G254" s="665"/>
      <c r="H254" s="665"/>
      <c r="I254" s="665"/>
      <c r="J254" s="665"/>
      <c r="K254" s="665"/>
      <c r="L254" s="665"/>
      <c r="M254" s="665"/>
      <c r="N254" s="665"/>
      <c r="O254" s="665"/>
      <c r="P254" s="665"/>
      <c r="Q254" s="665"/>
      <c r="R254" s="665"/>
      <c r="S254" s="665"/>
      <c r="T254" s="665"/>
      <c r="U254" s="665"/>
      <c r="V254" s="665"/>
      <c r="W254" s="665"/>
      <c r="X254" s="665"/>
      <c r="Y254" s="665"/>
      <c r="Z254" s="665"/>
      <c r="AA254" s="63"/>
      <c r="AB254" s="63"/>
      <c r="AC254" s="63"/>
    </row>
    <row r="255" spans="1:68" ht="27" hidden="1" customHeight="1" x14ac:dyDescent="0.25">
      <c r="A255" s="60" t="s">
        <v>448</v>
      </c>
      <c r="B255" s="60" t="s">
        <v>449</v>
      </c>
      <c r="C255" s="34">
        <v>4301032053</v>
      </c>
      <c r="D255" s="666">
        <v>4680115886780</v>
      </c>
      <c r="E255" s="666"/>
      <c r="F255" s="59">
        <v>7.0000000000000007E-2</v>
      </c>
      <c r="G255" s="35">
        <v>18</v>
      </c>
      <c r="H255" s="59">
        <v>1.26</v>
      </c>
      <c r="I255" s="59">
        <v>1.45</v>
      </c>
      <c r="J255" s="35">
        <v>216</v>
      </c>
      <c r="K255" s="35" t="s">
        <v>365</v>
      </c>
      <c r="L255" s="35" t="s">
        <v>46</v>
      </c>
      <c r="M255" s="36" t="s">
        <v>299</v>
      </c>
      <c r="N255" s="36"/>
      <c r="O255" s="35">
        <v>60</v>
      </c>
      <c r="P255" s="8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68"/>
      <c r="R255" s="668"/>
      <c r="S255" s="668"/>
      <c r="T255" s="669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46</v>
      </c>
      <c r="AB255" s="66" t="s">
        <v>46</v>
      </c>
      <c r="AC255" s="347" t="s">
        <v>450</v>
      </c>
      <c r="AG255" s="75"/>
      <c r="AJ255" s="79" t="s">
        <v>46</v>
      </c>
      <c r="AK255" s="79">
        <v>0</v>
      </c>
      <c r="BB255" s="34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451</v>
      </c>
      <c r="B256" s="60" t="s">
        <v>452</v>
      </c>
      <c r="C256" s="34">
        <v>4301032051</v>
      </c>
      <c r="D256" s="666">
        <v>4680115886742</v>
      </c>
      <c r="E256" s="666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365</v>
      </c>
      <c r="L256" s="35" t="s">
        <v>46</v>
      </c>
      <c r="M256" s="36" t="s">
        <v>299</v>
      </c>
      <c r="N256" s="36"/>
      <c r="O256" s="35">
        <v>90</v>
      </c>
      <c r="P256" s="82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68"/>
      <c r="R256" s="668"/>
      <c r="S256" s="668"/>
      <c r="T256" s="669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9" t="s">
        <v>453</v>
      </c>
      <c r="AG256" s="75"/>
      <c r="AJ256" s="79" t="s">
        <v>46</v>
      </c>
      <c r="AK256" s="79">
        <v>0</v>
      </c>
      <c r="BB256" s="350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454</v>
      </c>
      <c r="B257" s="60" t="s">
        <v>455</v>
      </c>
      <c r="C257" s="34">
        <v>4301032052</v>
      </c>
      <c r="D257" s="666">
        <v>4680115886766</v>
      </c>
      <c r="E257" s="666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365</v>
      </c>
      <c r="L257" s="35" t="s">
        <v>46</v>
      </c>
      <c r="M257" s="36" t="s">
        <v>299</v>
      </c>
      <c r="N257" s="36"/>
      <c r="O257" s="35">
        <v>90</v>
      </c>
      <c r="P257" s="82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68"/>
      <c r="R257" s="668"/>
      <c r="S257" s="668"/>
      <c r="T257" s="669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51" t="s">
        <v>453</v>
      </c>
      <c r="AG257" s="75"/>
      <c r="AJ257" s="79" t="s">
        <v>46</v>
      </c>
      <c r="AK257" s="79">
        <v>0</v>
      </c>
      <c r="BB257" s="352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62"/>
      <c r="B258" s="662"/>
      <c r="C258" s="662"/>
      <c r="D258" s="662"/>
      <c r="E258" s="662"/>
      <c r="F258" s="662"/>
      <c r="G258" s="662"/>
      <c r="H258" s="662"/>
      <c r="I258" s="662"/>
      <c r="J258" s="662"/>
      <c r="K258" s="662"/>
      <c r="L258" s="662"/>
      <c r="M258" s="662"/>
      <c r="N258" s="662"/>
      <c r="O258" s="663"/>
      <c r="P258" s="659" t="s">
        <v>40</v>
      </c>
      <c r="Q258" s="660"/>
      <c r="R258" s="660"/>
      <c r="S258" s="660"/>
      <c r="T258" s="660"/>
      <c r="U258" s="660"/>
      <c r="V258" s="661"/>
      <c r="W258" s="40" t="s">
        <v>39</v>
      </c>
      <c r="X258" s="41">
        <f>IFERROR(X255/H255,"0")+IFERROR(X256/H256,"0")+IFERROR(X257/H257,"0")</f>
        <v>0</v>
      </c>
      <c r="Y258" s="41">
        <f>IFERROR(Y255/H255,"0")+IFERROR(Y256/H256,"0")+IFERROR(Y257/H257,"0")</f>
        <v>0</v>
      </c>
      <c r="Z258" s="41">
        <f>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662"/>
      <c r="B259" s="662"/>
      <c r="C259" s="662"/>
      <c r="D259" s="662"/>
      <c r="E259" s="662"/>
      <c r="F259" s="662"/>
      <c r="G259" s="662"/>
      <c r="H259" s="662"/>
      <c r="I259" s="662"/>
      <c r="J259" s="662"/>
      <c r="K259" s="662"/>
      <c r="L259" s="662"/>
      <c r="M259" s="662"/>
      <c r="N259" s="662"/>
      <c r="O259" s="663"/>
      <c r="P259" s="659" t="s">
        <v>40</v>
      </c>
      <c r="Q259" s="660"/>
      <c r="R259" s="660"/>
      <c r="S259" s="660"/>
      <c r="T259" s="660"/>
      <c r="U259" s="660"/>
      <c r="V259" s="661"/>
      <c r="W259" s="40" t="s">
        <v>0</v>
      </c>
      <c r="X259" s="41">
        <f>IFERROR(SUM(X255:X257),"0")</f>
        <v>0</v>
      </c>
      <c r="Y259" s="41">
        <f>IFERROR(SUM(Y255:Y257),"0")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65" t="s">
        <v>456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3"/>
      <c r="AB260" s="63"/>
      <c r="AC260" s="63"/>
    </row>
    <row r="261" spans="1:68" ht="27" hidden="1" customHeight="1" x14ac:dyDescent="0.25">
      <c r="A261" s="60" t="s">
        <v>457</v>
      </c>
      <c r="B261" s="60" t="s">
        <v>458</v>
      </c>
      <c r="C261" s="34">
        <v>4301170013</v>
      </c>
      <c r="D261" s="666">
        <v>4680115886797</v>
      </c>
      <c r="E261" s="666"/>
      <c r="F261" s="59">
        <v>7.0000000000000007E-2</v>
      </c>
      <c r="G261" s="35">
        <v>18</v>
      </c>
      <c r="H261" s="59">
        <v>1.26</v>
      </c>
      <c r="I261" s="59">
        <v>1.45</v>
      </c>
      <c r="J261" s="35">
        <v>216</v>
      </c>
      <c r="K261" s="35" t="s">
        <v>365</v>
      </c>
      <c r="L261" s="35" t="s">
        <v>46</v>
      </c>
      <c r="M261" s="36" t="s">
        <v>299</v>
      </c>
      <c r="N261" s="36"/>
      <c r="O261" s="35">
        <v>90</v>
      </c>
      <c r="P261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68"/>
      <c r="R261" s="668"/>
      <c r="S261" s="668"/>
      <c r="T261" s="669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IFERROR(IF(Y261=0,"",ROUNDUP(Y261/H261,0)*0.0059),"")</f>
        <v/>
      </c>
      <c r="AA261" s="65" t="s">
        <v>46</v>
      </c>
      <c r="AB261" s="66" t="s">
        <v>46</v>
      </c>
      <c r="AC261" s="353" t="s">
        <v>453</v>
      </c>
      <c r="AG261" s="75"/>
      <c r="AJ261" s="79" t="s">
        <v>46</v>
      </c>
      <c r="AK261" s="79">
        <v>0</v>
      </c>
      <c r="BB261" s="354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idden="1" x14ac:dyDescent="0.2">
      <c r="A262" s="662"/>
      <c r="B262" s="662"/>
      <c r="C262" s="662"/>
      <c r="D262" s="662"/>
      <c r="E262" s="662"/>
      <c r="F262" s="662"/>
      <c r="G262" s="662"/>
      <c r="H262" s="662"/>
      <c r="I262" s="662"/>
      <c r="J262" s="662"/>
      <c r="K262" s="662"/>
      <c r="L262" s="662"/>
      <c r="M262" s="662"/>
      <c r="N262" s="662"/>
      <c r="O262" s="663"/>
      <c r="P262" s="659" t="s">
        <v>40</v>
      </c>
      <c r="Q262" s="660"/>
      <c r="R262" s="660"/>
      <c r="S262" s="660"/>
      <c r="T262" s="660"/>
      <c r="U262" s="660"/>
      <c r="V262" s="661"/>
      <c r="W262" s="40" t="s">
        <v>39</v>
      </c>
      <c r="X262" s="41">
        <f>IFERROR(X261/H261,"0")</f>
        <v>0</v>
      </c>
      <c r="Y262" s="41">
        <f>IFERROR(Y261/H261,"0")</f>
        <v>0</v>
      </c>
      <c r="Z262" s="41">
        <f>IFERROR(IF(Z261="",0,Z261),"0")</f>
        <v>0</v>
      </c>
      <c r="AA262" s="64"/>
      <c r="AB262" s="64"/>
      <c r="AC262" s="64"/>
    </row>
    <row r="263" spans="1:68" hidden="1" x14ac:dyDescent="0.2">
      <c r="A263" s="662"/>
      <c r="B263" s="662"/>
      <c r="C263" s="662"/>
      <c r="D263" s="662"/>
      <c r="E263" s="662"/>
      <c r="F263" s="662"/>
      <c r="G263" s="662"/>
      <c r="H263" s="662"/>
      <c r="I263" s="662"/>
      <c r="J263" s="662"/>
      <c r="K263" s="662"/>
      <c r="L263" s="662"/>
      <c r="M263" s="662"/>
      <c r="N263" s="662"/>
      <c r="O263" s="663"/>
      <c r="P263" s="659" t="s">
        <v>40</v>
      </c>
      <c r="Q263" s="660"/>
      <c r="R263" s="660"/>
      <c r="S263" s="660"/>
      <c r="T263" s="660"/>
      <c r="U263" s="660"/>
      <c r="V263" s="661"/>
      <c r="W263" s="40" t="s">
        <v>0</v>
      </c>
      <c r="X263" s="41">
        <f>IFERROR(SUM(X261:X261),"0")</f>
        <v>0</v>
      </c>
      <c r="Y263" s="41">
        <f>IFERROR(SUM(Y261:Y261),"0")</f>
        <v>0</v>
      </c>
      <c r="Z263" s="40"/>
      <c r="AA263" s="64"/>
      <c r="AB263" s="64"/>
      <c r="AC263" s="64"/>
    </row>
    <row r="264" spans="1:68" ht="16.5" hidden="1" customHeight="1" x14ac:dyDescent="0.25">
      <c r="A264" s="664" t="s">
        <v>459</v>
      </c>
      <c r="B264" s="664"/>
      <c r="C264" s="664"/>
      <c r="D264" s="664"/>
      <c r="E264" s="664"/>
      <c r="F264" s="664"/>
      <c r="G264" s="664"/>
      <c r="H264" s="664"/>
      <c r="I264" s="664"/>
      <c r="J264" s="664"/>
      <c r="K264" s="664"/>
      <c r="L264" s="664"/>
      <c r="M264" s="664"/>
      <c r="N264" s="664"/>
      <c r="O264" s="664"/>
      <c r="P264" s="664"/>
      <c r="Q264" s="664"/>
      <c r="R264" s="664"/>
      <c r="S264" s="664"/>
      <c r="T264" s="664"/>
      <c r="U264" s="664"/>
      <c r="V264" s="664"/>
      <c r="W264" s="664"/>
      <c r="X264" s="664"/>
      <c r="Y264" s="664"/>
      <c r="Z264" s="664"/>
      <c r="AA264" s="62"/>
      <c r="AB264" s="62"/>
      <c r="AC264" s="62"/>
    </row>
    <row r="265" spans="1:68" ht="14.25" hidden="1" customHeight="1" x14ac:dyDescent="0.25">
      <c r="A265" s="665" t="s">
        <v>122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3"/>
      <c r="AB265" s="63"/>
      <c r="AC265" s="63"/>
    </row>
    <row r="266" spans="1:68" ht="27" hidden="1" customHeight="1" x14ac:dyDescent="0.25">
      <c r="A266" s="60" t="s">
        <v>460</v>
      </c>
      <c r="B266" s="60" t="s">
        <v>461</v>
      </c>
      <c r="C266" s="34">
        <v>4301011450</v>
      </c>
      <c r="D266" s="666">
        <v>4680115881402</v>
      </c>
      <c r="E266" s="666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127</v>
      </c>
      <c r="L266" s="35" t="s">
        <v>46</v>
      </c>
      <c r="M266" s="36" t="s">
        <v>126</v>
      </c>
      <c r="N266" s="36"/>
      <c r="O266" s="35">
        <v>55</v>
      </c>
      <c r="P266" s="82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68"/>
      <c r="R266" s="668"/>
      <c r="S266" s="668"/>
      <c r="T266" s="669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55" t="s">
        <v>462</v>
      </c>
      <c r="AG266" s="75"/>
      <c r="AJ266" s="79" t="s">
        <v>46</v>
      </c>
      <c r="AK266" s="79">
        <v>0</v>
      </c>
      <c r="BB266" s="356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27" hidden="1" customHeight="1" x14ac:dyDescent="0.25">
      <c r="A267" s="60" t="s">
        <v>463</v>
      </c>
      <c r="B267" s="60" t="s">
        <v>464</v>
      </c>
      <c r="C267" s="34">
        <v>4301011768</v>
      </c>
      <c r="D267" s="666">
        <v>4680115881396</v>
      </c>
      <c r="E267" s="666"/>
      <c r="F267" s="59">
        <v>0.45</v>
      </c>
      <c r="G267" s="35">
        <v>6</v>
      </c>
      <c r="H267" s="59">
        <v>2.7</v>
      </c>
      <c r="I267" s="59">
        <v>2.88</v>
      </c>
      <c r="J267" s="35">
        <v>182</v>
      </c>
      <c r="K267" s="35" t="s">
        <v>91</v>
      </c>
      <c r="L267" s="35" t="s">
        <v>46</v>
      </c>
      <c r="M267" s="36" t="s">
        <v>126</v>
      </c>
      <c r="N267" s="36"/>
      <c r="O267" s="35">
        <v>55</v>
      </c>
      <c r="P267" s="82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68"/>
      <c r="R267" s="668"/>
      <c r="S267" s="668"/>
      <c r="T267" s="669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7" t="s">
        <v>462</v>
      </c>
      <c r="AG267" s="75"/>
      <c r="AJ267" s="79" t="s">
        <v>46</v>
      </c>
      <c r="AK267" s="79">
        <v>0</v>
      </c>
      <c r="BB267" s="358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662"/>
      <c r="B268" s="662"/>
      <c r="C268" s="662"/>
      <c r="D268" s="662"/>
      <c r="E268" s="662"/>
      <c r="F268" s="662"/>
      <c r="G268" s="662"/>
      <c r="H268" s="662"/>
      <c r="I268" s="662"/>
      <c r="J268" s="662"/>
      <c r="K268" s="662"/>
      <c r="L268" s="662"/>
      <c r="M268" s="662"/>
      <c r="N268" s="662"/>
      <c r="O268" s="663"/>
      <c r="P268" s="659" t="s">
        <v>40</v>
      </c>
      <c r="Q268" s="660"/>
      <c r="R268" s="660"/>
      <c r="S268" s="660"/>
      <c r="T268" s="660"/>
      <c r="U268" s="660"/>
      <c r="V268" s="661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">
      <c r="A269" s="662"/>
      <c r="B269" s="662"/>
      <c r="C269" s="662"/>
      <c r="D269" s="662"/>
      <c r="E269" s="662"/>
      <c r="F269" s="662"/>
      <c r="G269" s="662"/>
      <c r="H269" s="662"/>
      <c r="I269" s="662"/>
      <c r="J269" s="662"/>
      <c r="K269" s="662"/>
      <c r="L269" s="662"/>
      <c r="M269" s="662"/>
      <c r="N269" s="662"/>
      <c r="O269" s="663"/>
      <c r="P269" s="659" t="s">
        <v>40</v>
      </c>
      <c r="Q269" s="660"/>
      <c r="R269" s="660"/>
      <c r="S269" s="660"/>
      <c r="T269" s="660"/>
      <c r="U269" s="660"/>
      <c r="V269" s="661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665" t="s">
        <v>155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3"/>
      <c r="AB270" s="63"/>
      <c r="AC270" s="63"/>
    </row>
    <row r="271" spans="1:68" ht="16.5" hidden="1" customHeight="1" x14ac:dyDescent="0.25">
      <c r="A271" s="60" t="s">
        <v>465</v>
      </c>
      <c r="B271" s="60" t="s">
        <v>466</v>
      </c>
      <c r="C271" s="34">
        <v>4301020261</v>
      </c>
      <c r="D271" s="666">
        <v>4680115882935</v>
      </c>
      <c r="E271" s="666"/>
      <c r="F271" s="59">
        <v>1.35</v>
      </c>
      <c r="G271" s="35">
        <v>8</v>
      </c>
      <c r="H271" s="59">
        <v>10.8</v>
      </c>
      <c r="I271" s="59">
        <v>11.21</v>
      </c>
      <c r="J271" s="35">
        <v>64</v>
      </c>
      <c r="K271" s="35" t="s">
        <v>127</v>
      </c>
      <c r="L271" s="35" t="s">
        <v>46</v>
      </c>
      <c r="M271" s="36" t="s">
        <v>126</v>
      </c>
      <c r="N271" s="36"/>
      <c r="O271" s="35">
        <v>50</v>
      </c>
      <c r="P271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68"/>
      <c r="R271" s="668"/>
      <c r="S271" s="668"/>
      <c r="T271" s="669"/>
      <c r="U271" s="37" t="s">
        <v>46</v>
      </c>
      <c r="V271" s="37" t="s">
        <v>46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59" t="s">
        <v>467</v>
      </c>
      <c r="AG271" s="75"/>
      <c r="AJ271" s="79" t="s">
        <v>46</v>
      </c>
      <c r="AK271" s="79">
        <v>0</v>
      </c>
      <c r="BB271" s="360" t="s">
        <v>67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16.5" hidden="1" customHeight="1" x14ac:dyDescent="0.25">
      <c r="A272" s="60" t="s">
        <v>468</v>
      </c>
      <c r="B272" s="60" t="s">
        <v>469</v>
      </c>
      <c r="C272" s="34">
        <v>4301020220</v>
      </c>
      <c r="D272" s="666">
        <v>4680115880764</v>
      </c>
      <c r="E272" s="666"/>
      <c r="F272" s="59">
        <v>0.35</v>
      </c>
      <c r="G272" s="35">
        <v>6</v>
      </c>
      <c r="H272" s="59">
        <v>2.1</v>
      </c>
      <c r="I272" s="59">
        <v>2.2799999999999998</v>
      </c>
      <c r="J272" s="35">
        <v>182</v>
      </c>
      <c r="K272" s="35" t="s">
        <v>91</v>
      </c>
      <c r="L272" s="35" t="s">
        <v>46</v>
      </c>
      <c r="M272" s="36" t="s">
        <v>126</v>
      </c>
      <c r="N272" s="36"/>
      <c r="O272" s="35">
        <v>50</v>
      </c>
      <c r="P272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68"/>
      <c r="R272" s="668"/>
      <c r="S272" s="668"/>
      <c r="T272" s="669"/>
      <c r="U272" s="37" t="s">
        <v>46</v>
      </c>
      <c r="V272" s="37" t="s">
        <v>46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61" t="s">
        <v>467</v>
      </c>
      <c r="AG272" s="75"/>
      <c r="AJ272" s="79" t="s">
        <v>46</v>
      </c>
      <c r="AK272" s="79">
        <v>0</v>
      </c>
      <c r="BB272" s="362" t="s">
        <v>67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idden="1" x14ac:dyDescent="0.2">
      <c r="A273" s="662"/>
      <c r="B273" s="662"/>
      <c r="C273" s="662"/>
      <c r="D273" s="662"/>
      <c r="E273" s="662"/>
      <c r="F273" s="662"/>
      <c r="G273" s="662"/>
      <c r="H273" s="662"/>
      <c r="I273" s="662"/>
      <c r="J273" s="662"/>
      <c r="K273" s="662"/>
      <c r="L273" s="662"/>
      <c r="M273" s="662"/>
      <c r="N273" s="662"/>
      <c r="O273" s="663"/>
      <c r="P273" s="659" t="s">
        <v>40</v>
      </c>
      <c r="Q273" s="660"/>
      <c r="R273" s="660"/>
      <c r="S273" s="660"/>
      <c r="T273" s="660"/>
      <c r="U273" s="660"/>
      <c r="V273" s="661"/>
      <c r="W273" s="40" t="s">
        <v>39</v>
      </c>
      <c r="X273" s="41">
        <f>IFERROR(X271/H271,"0")+IFERROR(X272/H272,"0")</f>
        <v>0</v>
      </c>
      <c r="Y273" s="41">
        <f>IFERROR(Y271/H271,"0")+IFERROR(Y272/H272,"0")</f>
        <v>0</v>
      </c>
      <c r="Z273" s="41">
        <f>IFERROR(IF(Z271="",0,Z271),"0")+IFERROR(IF(Z272="",0,Z272),"0")</f>
        <v>0</v>
      </c>
      <c r="AA273" s="64"/>
      <c r="AB273" s="64"/>
      <c r="AC273" s="64"/>
    </row>
    <row r="274" spans="1:68" hidden="1" x14ac:dyDescent="0.2">
      <c r="A274" s="662"/>
      <c r="B274" s="662"/>
      <c r="C274" s="662"/>
      <c r="D274" s="662"/>
      <c r="E274" s="662"/>
      <c r="F274" s="662"/>
      <c r="G274" s="662"/>
      <c r="H274" s="662"/>
      <c r="I274" s="662"/>
      <c r="J274" s="662"/>
      <c r="K274" s="662"/>
      <c r="L274" s="662"/>
      <c r="M274" s="662"/>
      <c r="N274" s="662"/>
      <c r="O274" s="663"/>
      <c r="P274" s="659" t="s">
        <v>40</v>
      </c>
      <c r="Q274" s="660"/>
      <c r="R274" s="660"/>
      <c r="S274" s="660"/>
      <c r="T274" s="660"/>
      <c r="U274" s="660"/>
      <c r="V274" s="661"/>
      <c r="W274" s="40" t="s">
        <v>0</v>
      </c>
      <c r="X274" s="41">
        <f>IFERROR(SUM(X271:X272),"0")</f>
        <v>0</v>
      </c>
      <c r="Y274" s="41">
        <f>IFERROR(SUM(Y271:Y272),"0")</f>
        <v>0</v>
      </c>
      <c r="Z274" s="40"/>
      <c r="AA274" s="64"/>
      <c r="AB274" s="64"/>
      <c r="AC274" s="64"/>
    </row>
    <row r="275" spans="1:68" ht="14.25" hidden="1" customHeight="1" x14ac:dyDescent="0.25">
      <c r="A275" s="665" t="s">
        <v>77</v>
      </c>
      <c r="B275" s="665"/>
      <c r="C275" s="665"/>
      <c r="D275" s="665"/>
      <c r="E275" s="665"/>
      <c r="F275" s="665"/>
      <c r="G275" s="665"/>
      <c r="H275" s="665"/>
      <c r="I275" s="665"/>
      <c r="J275" s="665"/>
      <c r="K275" s="665"/>
      <c r="L275" s="665"/>
      <c r="M275" s="665"/>
      <c r="N275" s="665"/>
      <c r="O275" s="665"/>
      <c r="P275" s="665"/>
      <c r="Q275" s="665"/>
      <c r="R275" s="665"/>
      <c r="S275" s="665"/>
      <c r="T275" s="665"/>
      <c r="U275" s="665"/>
      <c r="V275" s="665"/>
      <c r="W275" s="665"/>
      <c r="X275" s="665"/>
      <c r="Y275" s="665"/>
      <c r="Z275" s="665"/>
      <c r="AA275" s="63"/>
      <c r="AB275" s="63"/>
      <c r="AC275" s="63"/>
    </row>
    <row r="276" spans="1:68" ht="27" hidden="1" customHeight="1" x14ac:dyDescent="0.25">
      <c r="A276" s="60" t="s">
        <v>470</v>
      </c>
      <c r="B276" s="60" t="s">
        <v>471</v>
      </c>
      <c r="C276" s="34">
        <v>4301031224</v>
      </c>
      <c r="D276" s="666">
        <v>4680115882683</v>
      </c>
      <c r="E276" s="666"/>
      <c r="F276" s="59">
        <v>0.9</v>
      </c>
      <c r="G276" s="35">
        <v>6</v>
      </c>
      <c r="H276" s="59">
        <v>5.4</v>
      </c>
      <c r="I276" s="59">
        <v>5.59</v>
      </c>
      <c r="J276" s="35">
        <v>132</v>
      </c>
      <c r="K276" s="35" t="s">
        <v>134</v>
      </c>
      <c r="L276" s="35" t="s">
        <v>46</v>
      </c>
      <c r="M276" s="36" t="s">
        <v>81</v>
      </c>
      <c r="N276" s="36"/>
      <c r="O276" s="35">
        <v>40</v>
      </c>
      <c r="P276" s="81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68"/>
      <c r="R276" s="668"/>
      <c r="S276" s="668"/>
      <c r="T276" s="66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ref="Y276:Y283" si="45">IFERROR(IF(X276="",0,CEILING((X276/$H276),1)*$H276),"")</f>
        <v>0</v>
      </c>
      <c r="Z276" s="39" t="str">
        <f>IFERROR(IF(Y276=0,"",ROUNDUP(Y276/H276,0)*0.00902),"")</f>
        <v/>
      </c>
      <c r="AA276" s="65" t="s">
        <v>46</v>
      </c>
      <c r="AB276" s="66" t="s">
        <v>46</v>
      </c>
      <c r="AC276" s="363" t="s">
        <v>472</v>
      </c>
      <c r="AG276" s="75"/>
      <c r="AJ276" s="79" t="s">
        <v>46</v>
      </c>
      <c r="AK276" s="79">
        <v>0</v>
      </c>
      <c r="BB276" s="364" t="s">
        <v>67</v>
      </c>
      <c r="BM276" s="75">
        <f t="shared" ref="BM276:BM283" si="46">IFERROR(X276*I276/H276,"0")</f>
        <v>0</v>
      </c>
      <c r="BN276" s="75">
        <f t="shared" ref="BN276:BN283" si="47">IFERROR(Y276*I276/H276,"0")</f>
        <v>0</v>
      </c>
      <c r="BO276" s="75">
        <f t="shared" ref="BO276:BO283" si="48">IFERROR(1/J276*(X276/H276),"0")</f>
        <v>0</v>
      </c>
      <c r="BP276" s="75">
        <f t="shared" ref="BP276:BP283" si="49">IFERROR(1/J276*(Y276/H276),"0")</f>
        <v>0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4301031230</v>
      </c>
      <c r="D277" s="666">
        <v>4680115882690</v>
      </c>
      <c r="E277" s="666"/>
      <c r="F277" s="59">
        <v>0.9</v>
      </c>
      <c r="G277" s="35">
        <v>6</v>
      </c>
      <c r="H277" s="59">
        <v>5.4</v>
      </c>
      <c r="I277" s="59">
        <v>5.59</v>
      </c>
      <c r="J277" s="35">
        <v>132</v>
      </c>
      <c r="K277" s="35" t="s">
        <v>134</v>
      </c>
      <c r="L277" s="35" t="s">
        <v>46</v>
      </c>
      <c r="M277" s="36" t="s">
        <v>81</v>
      </c>
      <c r="N277" s="36"/>
      <c r="O277" s="35">
        <v>40</v>
      </c>
      <c r="P277" s="8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68"/>
      <c r="R277" s="668"/>
      <c r="S277" s="668"/>
      <c r="T277" s="669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5"/>
        <v>0</v>
      </c>
      <c r="Z277" s="39" t="str">
        <f>IFERROR(IF(Y277=0,"",ROUNDUP(Y277/H277,0)*0.00902),"")</f>
        <v/>
      </c>
      <c r="AA277" s="65" t="s">
        <v>46</v>
      </c>
      <c r="AB277" s="66" t="s">
        <v>46</v>
      </c>
      <c r="AC277" s="365" t="s">
        <v>475</v>
      </c>
      <c r="AG277" s="75"/>
      <c r="AJ277" s="79" t="s">
        <v>46</v>
      </c>
      <c r="AK277" s="79">
        <v>0</v>
      </c>
      <c r="BB277" s="366" t="s">
        <v>67</v>
      </c>
      <c r="BM277" s="75">
        <f t="shared" si="46"/>
        <v>0</v>
      </c>
      <c r="BN277" s="75">
        <f t="shared" si="47"/>
        <v>0</v>
      </c>
      <c r="BO277" s="75">
        <f t="shared" si="48"/>
        <v>0</v>
      </c>
      <c r="BP277" s="75">
        <f t="shared" si="49"/>
        <v>0</v>
      </c>
    </row>
    <row r="278" spans="1:68" ht="27" hidden="1" customHeight="1" x14ac:dyDescent="0.25">
      <c r="A278" s="60" t="s">
        <v>476</v>
      </c>
      <c r="B278" s="60" t="s">
        <v>477</v>
      </c>
      <c r="C278" s="34">
        <v>4301031220</v>
      </c>
      <c r="D278" s="666">
        <v>4680115882669</v>
      </c>
      <c r="E278" s="666"/>
      <c r="F278" s="59">
        <v>0.9</v>
      </c>
      <c r="G278" s="35">
        <v>6</v>
      </c>
      <c r="H278" s="59">
        <v>5.4</v>
      </c>
      <c r="I278" s="59">
        <v>5.59</v>
      </c>
      <c r="J278" s="35">
        <v>132</v>
      </c>
      <c r="K278" s="35" t="s">
        <v>134</v>
      </c>
      <c r="L278" s="35" t="s">
        <v>46</v>
      </c>
      <c r="M278" s="36" t="s">
        <v>81</v>
      </c>
      <c r="N278" s="36"/>
      <c r="O278" s="35">
        <v>40</v>
      </c>
      <c r="P278" s="8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68"/>
      <c r="R278" s="668"/>
      <c r="S278" s="668"/>
      <c r="T278" s="669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5"/>
        <v>0</v>
      </c>
      <c r="Z278" s="39" t="str">
        <f>IFERROR(IF(Y278=0,"",ROUNDUP(Y278/H278,0)*0.00902),"")</f>
        <v/>
      </c>
      <c r="AA278" s="65" t="s">
        <v>46</v>
      </c>
      <c r="AB278" s="66" t="s">
        <v>46</v>
      </c>
      <c r="AC278" s="367" t="s">
        <v>478</v>
      </c>
      <c r="AG278" s="75"/>
      <c r="AJ278" s="79" t="s">
        <v>46</v>
      </c>
      <c r="AK278" s="79">
        <v>0</v>
      </c>
      <c r="BB278" s="368" t="s">
        <v>67</v>
      </c>
      <c r="BM278" s="75">
        <f t="shared" si="46"/>
        <v>0</v>
      </c>
      <c r="BN278" s="75">
        <f t="shared" si="47"/>
        <v>0</v>
      </c>
      <c r="BO278" s="75">
        <f t="shared" si="48"/>
        <v>0</v>
      </c>
      <c r="BP278" s="75">
        <f t="shared" si="49"/>
        <v>0</v>
      </c>
    </row>
    <row r="279" spans="1:68" ht="27" hidden="1" customHeight="1" x14ac:dyDescent="0.25">
      <c r="A279" s="60" t="s">
        <v>479</v>
      </c>
      <c r="B279" s="60" t="s">
        <v>480</v>
      </c>
      <c r="C279" s="34">
        <v>4301031221</v>
      </c>
      <c r="D279" s="666">
        <v>4680115882676</v>
      </c>
      <c r="E279" s="666"/>
      <c r="F279" s="59">
        <v>0.9</v>
      </c>
      <c r="G279" s="35">
        <v>6</v>
      </c>
      <c r="H279" s="59">
        <v>5.4</v>
      </c>
      <c r="I279" s="59">
        <v>5.59</v>
      </c>
      <c r="J279" s="35">
        <v>132</v>
      </c>
      <c r="K279" s="35" t="s">
        <v>134</v>
      </c>
      <c r="L279" s="35" t="s">
        <v>46</v>
      </c>
      <c r="M279" s="36" t="s">
        <v>81</v>
      </c>
      <c r="N279" s="36"/>
      <c r="O279" s="35">
        <v>40</v>
      </c>
      <c r="P279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68"/>
      <c r="R279" s="668"/>
      <c r="S279" s="668"/>
      <c r="T279" s="669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5"/>
        <v>0</v>
      </c>
      <c r="Z279" s="39" t="str">
        <f>IFERROR(IF(Y279=0,"",ROUNDUP(Y279/H279,0)*0.00902),"")</f>
        <v/>
      </c>
      <c r="AA279" s="65" t="s">
        <v>46</v>
      </c>
      <c r="AB279" s="66" t="s">
        <v>46</v>
      </c>
      <c r="AC279" s="369" t="s">
        <v>481</v>
      </c>
      <c r="AG279" s="75"/>
      <c r="AJ279" s="79" t="s">
        <v>46</v>
      </c>
      <c r="AK279" s="79">
        <v>0</v>
      </c>
      <c r="BB279" s="370" t="s">
        <v>67</v>
      </c>
      <c r="BM279" s="75">
        <f t="shared" si="46"/>
        <v>0</v>
      </c>
      <c r="BN279" s="75">
        <f t="shared" si="47"/>
        <v>0</v>
      </c>
      <c r="BO279" s="75">
        <f t="shared" si="48"/>
        <v>0</v>
      </c>
      <c r="BP279" s="75">
        <f t="shared" si="49"/>
        <v>0</v>
      </c>
    </row>
    <row r="280" spans="1:68" ht="27" hidden="1" customHeight="1" x14ac:dyDescent="0.25">
      <c r="A280" s="60" t="s">
        <v>482</v>
      </c>
      <c r="B280" s="60" t="s">
        <v>483</v>
      </c>
      <c r="C280" s="34">
        <v>4301031223</v>
      </c>
      <c r="D280" s="666">
        <v>4680115884014</v>
      </c>
      <c r="E280" s="666"/>
      <c r="F280" s="59">
        <v>0.3</v>
      </c>
      <c r="G280" s="35">
        <v>6</v>
      </c>
      <c r="H280" s="59">
        <v>1.8</v>
      </c>
      <c r="I280" s="59">
        <v>1.93</v>
      </c>
      <c r="J280" s="35">
        <v>234</v>
      </c>
      <c r="K280" s="35" t="s">
        <v>82</v>
      </c>
      <c r="L280" s="35" t="s">
        <v>46</v>
      </c>
      <c r="M280" s="36" t="s">
        <v>81</v>
      </c>
      <c r="N280" s="36"/>
      <c r="O280" s="35">
        <v>40</v>
      </c>
      <c r="P280" s="81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68"/>
      <c r="R280" s="668"/>
      <c r="S280" s="668"/>
      <c r="T280" s="66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5"/>
        <v>0</v>
      </c>
      <c r="Z280" s="39" t="str">
        <f>IFERROR(IF(Y280=0,"",ROUNDUP(Y280/H280,0)*0.00502),"")</f>
        <v/>
      </c>
      <c r="AA280" s="65" t="s">
        <v>46</v>
      </c>
      <c r="AB280" s="66" t="s">
        <v>46</v>
      </c>
      <c r="AC280" s="371" t="s">
        <v>472</v>
      </c>
      <c r="AG280" s="75"/>
      <c r="AJ280" s="79" t="s">
        <v>46</v>
      </c>
      <c r="AK280" s="79">
        <v>0</v>
      </c>
      <c r="BB280" s="372" t="s">
        <v>67</v>
      </c>
      <c r="BM280" s="75">
        <f t="shared" si="46"/>
        <v>0</v>
      </c>
      <c r="BN280" s="75">
        <f t="shared" si="47"/>
        <v>0</v>
      </c>
      <c r="BO280" s="75">
        <f t="shared" si="48"/>
        <v>0</v>
      </c>
      <c r="BP280" s="75">
        <f t="shared" si="49"/>
        <v>0</v>
      </c>
    </row>
    <row r="281" spans="1:68" ht="27" hidden="1" customHeight="1" x14ac:dyDescent="0.25">
      <c r="A281" s="60" t="s">
        <v>484</v>
      </c>
      <c r="B281" s="60" t="s">
        <v>485</v>
      </c>
      <c r="C281" s="34">
        <v>4301031222</v>
      </c>
      <c r="D281" s="666">
        <v>4680115884007</v>
      </c>
      <c r="E281" s="666"/>
      <c r="F281" s="59">
        <v>0.3</v>
      </c>
      <c r="G281" s="35">
        <v>6</v>
      </c>
      <c r="H281" s="59">
        <v>1.8</v>
      </c>
      <c r="I281" s="59">
        <v>1.9</v>
      </c>
      <c r="J281" s="35">
        <v>234</v>
      </c>
      <c r="K281" s="35" t="s">
        <v>82</v>
      </c>
      <c r="L281" s="35" t="s">
        <v>46</v>
      </c>
      <c r="M281" s="36" t="s">
        <v>81</v>
      </c>
      <c r="N281" s="36"/>
      <c r="O281" s="35">
        <v>40</v>
      </c>
      <c r="P281" s="81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68"/>
      <c r="R281" s="668"/>
      <c r="S281" s="668"/>
      <c r="T281" s="66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5"/>
        <v>0</v>
      </c>
      <c r="Z281" s="39" t="str">
        <f>IFERROR(IF(Y281=0,"",ROUNDUP(Y281/H281,0)*0.00502),"")</f>
        <v/>
      </c>
      <c r="AA281" s="65" t="s">
        <v>46</v>
      </c>
      <c r="AB281" s="66" t="s">
        <v>46</v>
      </c>
      <c r="AC281" s="373" t="s">
        <v>475</v>
      </c>
      <c r="AG281" s="75"/>
      <c r="AJ281" s="79" t="s">
        <v>46</v>
      </c>
      <c r="AK281" s="79">
        <v>0</v>
      </c>
      <c r="BB281" s="374" t="s">
        <v>67</v>
      </c>
      <c r="BM281" s="75">
        <f t="shared" si="46"/>
        <v>0</v>
      </c>
      <c r="BN281" s="75">
        <f t="shared" si="47"/>
        <v>0</v>
      </c>
      <c r="BO281" s="75">
        <f t="shared" si="48"/>
        <v>0</v>
      </c>
      <c r="BP281" s="75">
        <f t="shared" si="49"/>
        <v>0</v>
      </c>
    </row>
    <row r="282" spans="1:68" ht="27" hidden="1" customHeight="1" x14ac:dyDescent="0.25">
      <c r="A282" s="60" t="s">
        <v>486</v>
      </c>
      <c r="B282" s="60" t="s">
        <v>487</v>
      </c>
      <c r="C282" s="34">
        <v>4301031229</v>
      </c>
      <c r="D282" s="666">
        <v>4680115884038</v>
      </c>
      <c r="E282" s="666"/>
      <c r="F282" s="59">
        <v>0.3</v>
      </c>
      <c r="G282" s="35">
        <v>6</v>
      </c>
      <c r="H282" s="59">
        <v>1.8</v>
      </c>
      <c r="I282" s="59">
        <v>1.9</v>
      </c>
      <c r="J282" s="35">
        <v>234</v>
      </c>
      <c r="K282" s="35" t="s">
        <v>82</v>
      </c>
      <c r="L282" s="35" t="s">
        <v>46</v>
      </c>
      <c r="M282" s="36" t="s">
        <v>81</v>
      </c>
      <c r="N282" s="36"/>
      <c r="O282" s="35">
        <v>40</v>
      </c>
      <c r="P282" s="81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68"/>
      <c r="R282" s="668"/>
      <c r="S282" s="668"/>
      <c r="T282" s="66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5"/>
        <v>0</v>
      </c>
      <c r="Z282" s="39" t="str">
        <f>IFERROR(IF(Y282=0,"",ROUNDUP(Y282/H282,0)*0.00502),"")</f>
        <v/>
      </c>
      <c r="AA282" s="65" t="s">
        <v>46</v>
      </c>
      <c r="AB282" s="66" t="s">
        <v>46</v>
      </c>
      <c r="AC282" s="375" t="s">
        <v>478</v>
      </c>
      <c r="AG282" s="75"/>
      <c r="AJ282" s="79" t="s">
        <v>46</v>
      </c>
      <c r="AK282" s="79">
        <v>0</v>
      </c>
      <c r="BB282" s="376" t="s">
        <v>67</v>
      </c>
      <c r="BM282" s="75">
        <f t="shared" si="46"/>
        <v>0</v>
      </c>
      <c r="BN282" s="75">
        <f t="shared" si="47"/>
        <v>0</v>
      </c>
      <c r="BO282" s="75">
        <f t="shared" si="48"/>
        <v>0</v>
      </c>
      <c r="BP282" s="75">
        <f t="shared" si="49"/>
        <v>0</v>
      </c>
    </row>
    <row r="283" spans="1:68" ht="27" hidden="1" customHeight="1" x14ac:dyDescent="0.25">
      <c r="A283" s="60" t="s">
        <v>488</v>
      </c>
      <c r="B283" s="60" t="s">
        <v>489</v>
      </c>
      <c r="C283" s="34">
        <v>4301031225</v>
      </c>
      <c r="D283" s="666">
        <v>4680115884021</v>
      </c>
      <c r="E283" s="666"/>
      <c r="F283" s="59">
        <v>0.3</v>
      </c>
      <c r="G283" s="35">
        <v>6</v>
      </c>
      <c r="H283" s="59">
        <v>1.8</v>
      </c>
      <c r="I283" s="59">
        <v>1.9</v>
      </c>
      <c r="J283" s="35">
        <v>234</v>
      </c>
      <c r="K283" s="35" t="s">
        <v>82</v>
      </c>
      <c r="L283" s="35" t="s">
        <v>46</v>
      </c>
      <c r="M283" s="36" t="s">
        <v>81</v>
      </c>
      <c r="N283" s="36"/>
      <c r="O283" s="35">
        <v>40</v>
      </c>
      <c r="P283" s="81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68"/>
      <c r="R283" s="668"/>
      <c r="S283" s="668"/>
      <c r="T283" s="66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5"/>
        <v>0</v>
      </c>
      <c r="Z283" s="39" t="str">
        <f>IFERROR(IF(Y283=0,"",ROUNDUP(Y283/H283,0)*0.00502),"")</f>
        <v/>
      </c>
      <c r="AA283" s="65" t="s">
        <v>46</v>
      </c>
      <c r="AB283" s="66" t="s">
        <v>46</v>
      </c>
      <c r="AC283" s="377" t="s">
        <v>481</v>
      </c>
      <c r="AG283" s="75"/>
      <c r="AJ283" s="79" t="s">
        <v>46</v>
      </c>
      <c r="AK283" s="79">
        <v>0</v>
      </c>
      <c r="BB283" s="378" t="s">
        <v>67</v>
      </c>
      <c r="BM283" s="75">
        <f t="shared" si="46"/>
        <v>0</v>
      </c>
      <c r="BN283" s="75">
        <f t="shared" si="47"/>
        <v>0</v>
      </c>
      <c r="BO283" s="75">
        <f t="shared" si="48"/>
        <v>0</v>
      </c>
      <c r="BP283" s="75">
        <f t="shared" si="49"/>
        <v>0</v>
      </c>
    </row>
    <row r="284" spans="1:68" hidden="1" x14ac:dyDescent="0.2">
      <c r="A284" s="662"/>
      <c r="B284" s="662"/>
      <c r="C284" s="662"/>
      <c r="D284" s="662"/>
      <c r="E284" s="662"/>
      <c r="F284" s="662"/>
      <c r="G284" s="662"/>
      <c r="H284" s="662"/>
      <c r="I284" s="662"/>
      <c r="J284" s="662"/>
      <c r="K284" s="662"/>
      <c r="L284" s="662"/>
      <c r="M284" s="662"/>
      <c r="N284" s="662"/>
      <c r="O284" s="663"/>
      <c r="P284" s="659" t="s">
        <v>40</v>
      </c>
      <c r="Q284" s="660"/>
      <c r="R284" s="660"/>
      <c r="S284" s="660"/>
      <c r="T284" s="660"/>
      <c r="U284" s="660"/>
      <c r="V284" s="661"/>
      <c r="W284" s="40" t="s">
        <v>39</v>
      </c>
      <c r="X284" s="41">
        <f>IFERROR(X276/H276,"0")+IFERROR(X277/H277,"0")+IFERROR(X278/H278,"0")+IFERROR(X279/H279,"0")+IFERROR(X280/H280,"0")+IFERROR(X281/H281,"0")+IFERROR(X282/H282,"0")+IFERROR(X283/H283,"0")</f>
        <v>0</v>
      </c>
      <c r="Y284" s="41">
        <f>IFERROR(Y276/H276,"0")+IFERROR(Y277/H277,"0")+IFERROR(Y278/H278,"0")+IFERROR(Y279/H279,"0")+IFERROR(Y280/H280,"0")+IFERROR(Y281/H281,"0")+IFERROR(Y282/H282,"0")+IFERROR(Y283/H283,"0")</f>
        <v>0</v>
      </c>
      <c r="Z284" s="41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4"/>
      <c r="AB284" s="64"/>
      <c r="AC284" s="64"/>
    </row>
    <row r="285" spans="1:68" hidden="1" x14ac:dyDescent="0.2">
      <c r="A285" s="662"/>
      <c r="B285" s="662"/>
      <c r="C285" s="662"/>
      <c r="D285" s="662"/>
      <c r="E285" s="662"/>
      <c r="F285" s="662"/>
      <c r="G285" s="662"/>
      <c r="H285" s="662"/>
      <c r="I285" s="662"/>
      <c r="J285" s="662"/>
      <c r="K285" s="662"/>
      <c r="L285" s="662"/>
      <c r="M285" s="662"/>
      <c r="N285" s="662"/>
      <c r="O285" s="663"/>
      <c r="P285" s="659" t="s">
        <v>40</v>
      </c>
      <c r="Q285" s="660"/>
      <c r="R285" s="660"/>
      <c r="S285" s="660"/>
      <c r="T285" s="660"/>
      <c r="U285" s="660"/>
      <c r="V285" s="661"/>
      <c r="W285" s="40" t="s">
        <v>0</v>
      </c>
      <c r="X285" s="41">
        <f>IFERROR(SUM(X276:X283),"0")</f>
        <v>0</v>
      </c>
      <c r="Y285" s="41">
        <f>IFERROR(SUM(Y276:Y283),"0")</f>
        <v>0</v>
      </c>
      <c r="Z285" s="40"/>
      <c r="AA285" s="64"/>
      <c r="AB285" s="64"/>
      <c r="AC285" s="64"/>
    </row>
    <row r="286" spans="1:68" ht="14.25" hidden="1" customHeight="1" x14ac:dyDescent="0.25">
      <c r="A286" s="665" t="s">
        <v>86</v>
      </c>
      <c r="B286" s="665"/>
      <c r="C286" s="665"/>
      <c r="D286" s="665"/>
      <c r="E286" s="665"/>
      <c r="F286" s="665"/>
      <c r="G286" s="665"/>
      <c r="H286" s="665"/>
      <c r="I286" s="665"/>
      <c r="J286" s="665"/>
      <c r="K286" s="665"/>
      <c r="L286" s="665"/>
      <c r="M286" s="665"/>
      <c r="N286" s="665"/>
      <c r="O286" s="665"/>
      <c r="P286" s="665"/>
      <c r="Q286" s="665"/>
      <c r="R286" s="665"/>
      <c r="S286" s="665"/>
      <c r="T286" s="665"/>
      <c r="U286" s="665"/>
      <c r="V286" s="665"/>
      <c r="W286" s="665"/>
      <c r="X286" s="665"/>
      <c r="Y286" s="665"/>
      <c r="Z286" s="665"/>
      <c r="AA286" s="63"/>
      <c r="AB286" s="63"/>
      <c r="AC286" s="63"/>
    </row>
    <row r="287" spans="1:68" ht="27" hidden="1" customHeight="1" x14ac:dyDescent="0.25">
      <c r="A287" s="60" t="s">
        <v>490</v>
      </c>
      <c r="B287" s="60" t="s">
        <v>491</v>
      </c>
      <c r="C287" s="34">
        <v>4301051408</v>
      </c>
      <c r="D287" s="666">
        <v>4680115881594</v>
      </c>
      <c r="E287" s="666"/>
      <c r="F287" s="59">
        <v>1.35</v>
      </c>
      <c r="G287" s="35">
        <v>6</v>
      </c>
      <c r="H287" s="59">
        <v>8.1</v>
      </c>
      <c r="I287" s="59">
        <v>8.5939999999999994</v>
      </c>
      <c r="J287" s="35">
        <v>64</v>
      </c>
      <c r="K287" s="35" t="s">
        <v>127</v>
      </c>
      <c r="L287" s="35" t="s">
        <v>46</v>
      </c>
      <c r="M287" s="36" t="s">
        <v>90</v>
      </c>
      <c r="N287" s="36"/>
      <c r="O287" s="35">
        <v>40</v>
      </c>
      <c r="P287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68"/>
      <c r="R287" s="668"/>
      <c r="S287" s="668"/>
      <c r="T287" s="66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ref="Y287:Y298" si="50">IFERROR(IF(X287="",0,CEILING((X287/$H287),1)*$H287),"")</f>
        <v>0</v>
      </c>
      <c r="Z287" s="39" t="str">
        <f>IFERROR(IF(Y287=0,"",ROUNDUP(Y287/H287,0)*0.01898),"")</f>
        <v/>
      </c>
      <c r="AA287" s="65" t="s">
        <v>46</v>
      </c>
      <c r="AB287" s="66" t="s">
        <v>46</v>
      </c>
      <c r="AC287" s="379" t="s">
        <v>492</v>
      </c>
      <c r="AG287" s="75"/>
      <c r="AJ287" s="79" t="s">
        <v>46</v>
      </c>
      <c r="AK287" s="79">
        <v>0</v>
      </c>
      <c r="BB287" s="380" t="s">
        <v>67</v>
      </c>
      <c r="BM287" s="75">
        <f t="shared" ref="BM287:BM298" si="51">IFERROR(X287*I287/H287,"0")</f>
        <v>0</v>
      </c>
      <c r="BN287" s="75">
        <f t="shared" ref="BN287:BN298" si="52">IFERROR(Y287*I287/H287,"0")</f>
        <v>0</v>
      </c>
      <c r="BO287" s="75">
        <f t="shared" ref="BO287:BO298" si="53">IFERROR(1/J287*(X287/H287),"0")</f>
        <v>0</v>
      </c>
      <c r="BP287" s="75">
        <f t="shared" ref="BP287:BP298" si="54">IFERROR(1/J287*(Y287/H287),"0")</f>
        <v>0</v>
      </c>
    </row>
    <row r="288" spans="1:68" ht="27" hidden="1" customHeight="1" x14ac:dyDescent="0.25">
      <c r="A288" s="60" t="s">
        <v>493</v>
      </c>
      <c r="B288" s="60" t="s">
        <v>494</v>
      </c>
      <c r="C288" s="34">
        <v>4301051411</v>
      </c>
      <c r="D288" s="666">
        <v>4680115881617</v>
      </c>
      <c r="E288" s="666"/>
      <c r="F288" s="59">
        <v>1.35</v>
      </c>
      <c r="G288" s="35">
        <v>6</v>
      </c>
      <c r="H288" s="59">
        <v>8.1</v>
      </c>
      <c r="I288" s="59">
        <v>8.5760000000000005</v>
      </c>
      <c r="J288" s="35">
        <v>64</v>
      </c>
      <c r="K288" s="35" t="s">
        <v>127</v>
      </c>
      <c r="L288" s="35" t="s">
        <v>46</v>
      </c>
      <c r="M288" s="36" t="s">
        <v>90</v>
      </c>
      <c r="N288" s="36"/>
      <c r="O288" s="35">
        <v>40</v>
      </c>
      <c r="P288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68"/>
      <c r="R288" s="668"/>
      <c r="S288" s="668"/>
      <c r="T288" s="66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50"/>
        <v>0</v>
      </c>
      <c r="Z288" s="39" t="str">
        <f>IFERROR(IF(Y288=0,"",ROUNDUP(Y288/H288,0)*0.01898),"")</f>
        <v/>
      </c>
      <c r="AA288" s="65" t="s">
        <v>46</v>
      </c>
      <c r="AB288" s="66" t="s">
        <v>46</v>
      </c>
      <c r="AC288" s="381" t="s">
        <v>495</v>
      </c>
      <c r="AG288" s="75"/>
      <c r="AJ288" s="79" t="s">
        <v>46</v>
      </c>
      <c r="AK288" s="79">
        <v>0</v>
      </c>
      <c r="BB288" s="382" t="s">
        <v>67</v>
      </c>
      <c r="BM288" s="75">
        <f t="shared" si="51"/>
        <v>0</v>
      </c>
      <c r="BN288" s="75">
        <f t="shared" si="52"/>
        <v>0</v>
      </c>
      <c r="BO288" s="75">
        <f t="shared" si="53"/>
        <v>0</v>
      </c>
      <c r="BP288" s="75">
        <f t="shared" si="54"/>
        <v>0</v>
      </c>
    </row>
    <row r="289" spans="1:68" ht="27" hidden="1" customHeight="1" x14ac:dyDescent="0.25">
      <c r="A289" s="60" t="s">
        <v>496</v>
      </c>
      <c r="B289" s="60" t="s">
        <v>497</v>
      </c>
      <c r="C289" s="34">
        <v>4301051656</v>
      </c>
      <c r="D289" s="666">
        <v>4680115880573</v>
      </c>
      <c r="E289" s="666"/>
      <c r="F289" s="59">
        <v>1.45</v>
      </c>
      <c r="G289" s="35">
        <v>6</v>
      </c>
      <c r="H289" s="59">
        <v>8.6999999999999993</v>
      </c>
      <c r="I289" s="59">
        <v>9.1940000000000008</v>
      </c>
      <c r="J289" s="35">
        <v>64</v>
      </c>
      <c r="K289" s="35" t="s">
        <v>127</v>
      </c>
      <c r="L289" s="35" t="s">
        <v>46</v>
      </c>
      <c r="M289" s="36" t="s">
        <v>90</v>
      </c>
      <c r="N289" s="36"/>
      <c r="O289" s="35">
        <v>45</v>
      </c>
      <c r="P289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68"/>
      <c r="R289" s="668"/>
      <c r="S289" s="668"/>
      <c r="T289" s="66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50"/>
        <v>0</v>
      </c>
      <c r="Z289" s="39" t="str">
        <f>IFERROR(IF(Y289=0,"",ROUNDUP(Y289/H289,0)*0.01898),"")</f>
        <v/>
      </c>
      <c r="AA289" s="65" t="s">
        <v>46</v>
      </c>
      <c r="AB289" s="66" t="s">
        <v>46</v>
      </c>
      <c r="AC289" s="383" t="s">
        <v>498</v>
      </c>
      <c r="AG289" s="75"/>
      <c r="AJ289" s="79" t="s">
        <v>46</v>
      </c>
      <c r="AK289" s="79">
        <v>0</v>
      </c>
      <c r="BB289" s="384" t="s">
        <v>67</v>
      </c>
      <c r="BM289" s="75">
        <f t="shared" si="51"/>
        <v>0</v>
      </c>
      <c r="BN289" s="75">
        <f t="shared" si="52"/>
        <v>0</v>
      </c>
      <c r="BO289" s="75">
        <f t="shared" si="53"/>
        <v>0</v>
      </c>
      <c r="BP289" s="75">
        <f t="shared" si="54"/>
        <v>0</v>
      </c>
    </row>
    <row r="290" spans="1:68" ht="27" hidden="1" customHeight="1" x14ac:dyDescent="0.25">
      <c r="A290" s="60" t="s">
        <v>499</v>
      </c>
      <c r="B290" s="60" t="s">
        <v>500</v>
      </c>
      <c r="C290" s="34">
        <v>4301051407</v>
      </c>
      <c r="D290" s="666">
        <v>4680115882195</v>
      </c>
      <c r="E290" s="666"/>
      <c r="F290" s="59">
        <v>0.4</v>
      </c>
      <c r="G290" s="35">
        <v>6</v>
      </c>
      <c r="H290" s="59">
        <v>2.4</v>
      </c>
      <c r="I290" s="59">
        <v>2.67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68"/>
      <c r="R290" s="668"/>
      <c r="S290" s="668"/>
      <c r="T290" s="66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50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492</v>
      </c>
      <c r="AG290" s="75"/>
      <c r="AJ290" s="79" t="s">
        <v>46</v>
      </c>
      <c r="AK290" s="79">
        <v>0</v>
      </c>
      <c r="BB290" s="386" t="s">
        <v>67</v>
      </c>
      <c r="BM290" s="75">
        <f t="shared" si="51"/>
        <v>0</v>
      </c>
      <c r="BN290" s="75">
        <f t="shared" si="52"/>
        <v>0</v>
      </c>
      <c r="BO290" s="75">
        <f t="shared" si="53"/>
        <v>0</v>
      </c>
      <c r="BP290" s="75">
        <f t="shared" si="54"/>
        <v>0</v>
      </c>
    </row>
    <row r="291" spans="1:68" ht="27" hidden="1" customHeight="1" x14ac:dyDescent="0.25">
      <c r="A291" s="60" t="s">
        <v>501</v>
      </c>
      <c r="B291" s="60" t="s">
        <v>502</v>
      </c>
      <c r="C291" s="34">
        <v>4301051752</v>
      </c>
      <c r="D291" s="666">
        <v>4680115882607</v>
      </c>
      <c r="E291" s="666"/>
      <c r="F291" s="59">
        <v>0.3</v>
      </c>
      <c r="G291" s="35">
        <v>6</v>
      </c>
      <c r="H291" s="59">
        <v>1.8</v>
      </c>
      <c r="I291" s="59">
        <v>2.052</v>
      </c>
      <c r="J291" s="35">
        <v>182</v>
      </c>
      <c r="K291" s="35" t="s">
        <v>91</v>
      </c>
      <c r="L291" s="35" t="s">
        <v>46</v>
      </c>
      <c r="M291" s="36" t="s">
        <v>97</v>
      </c>
      <c r="N291" s="36"/>
      <c r="O291" s="35">
        <v>45</v>
      </c>
      <c r="P291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68"/>
      <c r="R291" s="668"/>
      <c r="S291" s="668"/>
      <c r="T291" s="66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50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498</v>
      </c>
      <c r="AG291" s="75"/>
      <c r="AJ291" s="79" t="s">
        <v>46</v>
      </c>
      <c r="AK291" s="79">
        <v>0</v>
      </c>
      <c r="BB291" s="388" t="s">
        <v>67</v>
      </c>
      <c r="BM291" s="75">
        <f t="shared" si="51"/>
        <v>0</v>
      </c>
      <c r="BN291" s="75">
        <f t="shared" si="52"/>
        <v>0</v>
      </c>
      <c r="BO291" s="75">
        <f t="shared" si="53"/>
        <v>0</v>
      </c>
      <c r="BP291" s="75">
        <f t="shared" si="54"/>
        <v>0</v>
      </c>
    </row>
    <row r="292" spans="1:68" ht="27" hidden="1" customHeight="1" x14ac:dyDescent="0.25">
      <c r="A292" s="60" t="s">
        <v>503</v>
      </c>
      <c r="B292" s="60" t="s">
        <v>504</v>
      </c>
      <c r="C292" s="34">
        <v>4301052143</v>
      </c>
      <c r="D292" s="666">
        <v>4680115882607</v>
      </c>
      <c r="E292" s="666"/>
      <c r="F292" s="59">
        <v>0.3</v>
      </c>
      <c r="G292" s="35">
        <v>6</v>
      </c>
      <c r="H292" s="59">
        <v>1.8</v>
      </c>
      <c r="I292" s="59">
        <v>2.0619999999999998</v>
      </c>
      <c r="J292" s="35">
        <v>132</v>
      </c>
      <c r="K292" s="35" t="s">
        <v>134</v>
      </c>
      <c r="L292" s="35" t="s">
        <v>46</v>
      </c>
      <c r="M292" s="36" t="s">
        <v>90</v>
      </c>
      <c r="N292" s="36"/>
      <c r="O292" s="35">
        <v>45</v>
      </c>
      <c r="P292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68"/>
      <c r="R292" s="668"/>
      <c r="S292" s="668"/>
      <c r="T292" s="669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50"/>
        <v>0</v>
      </c>
      <c r="Z292" s="39" t="str">
        <f>IFERROR(IF(Y292=0,"",ROUNDUP(Y292/H292,0)*0.00902),"")</f>
        <v/>
      </c>
      <c r="AA292" s="65" t="s">
        <v>46</v>
      </c>
      <c r="AB292" s="66" t="s">
        <v>46</v>
      </c>
      <c r="AC292" s="389" t="s">
        <v>505</v>
      </c>
      <c r="AG292" s="75"/>
      <c r="AJ292" s="79" t="s">
        <v>46</v>
      </c>
      <c r="AK292" s="79">
        <v>0</v>
      </c>
      <c r="BB292" s="390" t="s">
        <v>67</v>
      </c>
      <c r="BM292" s="75">
        <f t="shared" si="51"/>
        <v>0</v>
      </c>
      <c r="BN292" s="75">
        <f t="shared" si="52"/>
        <v>0</v>
      </c>
      <c r="BO292" s="75">
        <f t="shared" si="53"/>
        <v>0</v>
      </c>
      <c r="BP292" s="75">
        <f t="shared" si="54"/>
        <v>0</v>
      </c>
    </row>
    <row r="293" spans="1:68" ht="27" hidden="1" customHeight="1" x14ac:dyDescent="0.25">
      <c r="A293" s="60" t="s">
        <v>506</v>
      </c>
      <c r="B293" s="60" t="s">
        <v>507</v>
      </c>
      <c r="C293" s="34">
        <v>4301051666</v>
      </c>
      <c r="D293" s="666">
        <v>4680115880092</v>
      </c>
      <c r="E293" s="666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45</v>
      </c>
      <c r="P293" s="8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68"/>
      <c r="R293" s="668"/>
      <c r="S293" s="668"/>
      <c r="T293" s="669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50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498</v>
      </c>
      <c r="AG293" s="75"/>
      <c r="AJ293" s="79" t="s">
        <v>46</v>
      </c>
      <c r="AK293" s="79">
        <v>0</v>
      </c>
      <c r="BB293" s="392" t="s">
        <v>67</v>
      </c>
      <c r="BM293" s="75">
        <f t="shared" si="51"/>
        <v>0</v>
      </c>
      <c r="BN293" s="75">
        <f t="shared" si="52"/>
        <v>0</v>
      </c>
      <c r="BO293" s="75">
        <f t="shared" si="53"/>
        <v>0</v>
      </c>
      <c r="BP293" s="75">
        <f t="shared" si="54"/>
        <v>0</v>
      </c>
    </row>
    <row r="294" spans="1:68" ht="27" hidden="1" customHeight="1" x14ac:dyDescent="0.25">
      <c r="A294" s="60" t="s">
        <v>508</v>
      </c>
      <c r="B294" s="60" t="s">
        <v>509</v>
      </c>
      <c r="C294" s="34">
        <v>4301052214</v>
      </c>
      <c r="D294" s="666">
        <v>4680115889064</v>
      </c>
      <c r="E294" s="666"/>
      <c r="F294" s="59">
        <v>0.7</v>
      </c>
      <c r="G294" s="35">
        <v>6</v>
      </c>
      <c r="H294" s="59">
        <v>4.2</v>
      </c>
      <c r="I294" s="59">
        <v>4.6159999999999997</v>
      </c>
      <c r="J294" s="35">
        <v>104</v>
      </c>
      <c r="K294" s="35" t="s">
        <v>127</v>
      </c>
      <c r="L294" s="35" t="s">
        <v>46</v>
      </c>
      <c r="M294" s="36" t="s">
        <v>90</v>
      </c>
      <c r="N294" s="36"/>
      <c r="O294" s="35">
        <v>45</v>
      </c>
      <c r="P294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68"/>
      <c r="R294" s="668"/>
      <c r="S294" s="668"/>
      <c r="T294" s="669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50"/>
        <v>0</v>
      </c>
      <c r="Z294" s="39" t="str">
        <f>IFERROR(IF(Y294=0,"",ROUNDUP(Y294/H294,0)*0.01196),"")</f>
        <v/>
      </c>
      <c r="AA294" s="65" t="s">
        <v>46</v>
      </c>
      <c r="AB294" s="66" t="s">
        <v>46</v>
      </c>
      <c r="AC294" s="393" t="s">
        <v>505</v>
      </c>
      <c r="AG294" s="75"/>
      <c r="AJ294" s="79" t="s">
        <v>46</v>
      </c>
      <c r="AK294" s="79">
        <v>0</v>
      </c>
      <c r="BB294" s="394" t="s">
        <v>67</v>
      </c>
      <c r="BM294" s="75">
        <f t="shared" si="51"/>
        <v>0</v>
      </c>
      <c r="BN294" s="75">
        <f t="shared" si="52"/>
        <v>0</v>
      </c>
      <c r="BO294" s="75">
        <f t="shared" si="53"/>
        <v>0</v>
      </c>
      <c r="BP294" s="75">
        <f t="shared" si="54"/>
        <v>0</v>
      </c>
    </row>
    <row r="295" spans="1:68" ht="27" hidden="1" customHeight="1" x14ac:dyDescent="0.25">
      <c r="A295" s="60" t="s">
        <v>510</v>
      </c>
      <c r="B295" s="60" t="s">
        <v>511</v>
      </c>
      <c r="C295" s="34">
        <v>4301051668</v>
      </c>
      <c r="D295" s="666">
        <v>4680115880221</v>
      </c>
      <c r="E295" s="66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90</v>
      </c>
      <c r="N295" s="36"/>
      <c r="O295" s="35">
        <v>45</v>
      </c>
      <c r="P295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68"/>
      <c r="R295" s="668"/>
      <c r="S295" s="668"/>
      <c r="T295" s="669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50"/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95" t="s">
        <v>498</v>
      </c>
      <c r="AG295" s="75"/>
      <c r="AJ295" s="79" t="s">
        <v>46</v>
      </c>
      <c r="AK295" s="79">
        <v>0</v>
      </c>
      <c r="BB295" s="396" t="s">
        <v>67</v>
      </c>
      <c r="BM295" s="75">
        <f t="shared" si="51"/>
        <v>0</v>
      </c>
      <c r="BN295" s="75">
        <f t="shared" si="52"/>
        <v>0</v>
      </c>
      <c r="BO295" s="75">
        <f t="shared" si="53"/>
        <v>0</v>
      </c>
      <c r="BP295" s="75">
        <f t="shared" si="54"/>
        <v>0</v>
      </c>
    </row>
    <row r="296" spans="1:68" ht="27" hidden="1" customHeight="1" x14ac:dyDescent="0.25">
      <c r="A296" s="60" t="s">
        <v>512</v>
      </c>
      <c r="B296" s="60" t="s">
        <v>513</v>
      </c>
      <c r="C296" s="34">
        <v>4301051945</v>
      </c>
      <c r="D296" s="666">
        <v>4680115880504</v>
      </c>
      <c r="E296" s="66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97</v>
      </c>
      <c r="N296" s="36"/>
      <c r="O296" s="35">
        <v>40</v>
      </c>
      <c r="P296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68"/>
      <c r="R296" s="668"/>
      <c r="S296" s="668"/>
      <c r="T296" s="669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50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7" t="s">
        <v>514</v>
      </c>
      <c r="AG296" s="75"/>
      <c r="AJ296" s="79" t="s">
        <v>46</v>
      </c>
      <c r="AK296" s="79">
        <v>0</v>
      </c>
      <c r="BB296" s="398" t="s">
        <v>67</v>
      </c>
      <c r="BM296" s="75">
        <f t="shared" si="51"/>
        <v>0</v>
      </c>
      <c r="BN296" s="75">
        <f t="shared" si="52"/>
        <v>0</v>
      </c>
      <c r="BO296" s="75">
        <f t="shared" si="53"/>
        <v>0</v>
      </c>
      <c r="BP296" s="75">
        <f t="shared" si="54"/>
        <v>0</v>
      </c>
    </row>
    <row r="297" spans="1:68" ht="27" hidden="1" customHeight="1" x14ac:dyDescent="0.25">
      <c r="A297" s="60" t="s">
        <v>515</v>
      </c>
      <c r="B297" s="60" t="s">
        <v>516</v>
      </c>
      <c r="C297" s="34">
        <v>4301051410</v>
      </c>
      <c r="D297" s="666">
        <v>4680115882164</v>
      </c>
      <c r="E297" s="666"/>
      <c r="F297" s="59">
        <v>0.4</v>
      </c>
      <c r="G297" s="35">
        <v>6</v>
      </c>
      <c r="H297" s="59">
        <v>2.4</v>
      </c>
      <c r="I297" s="59">
        <v>2.6579999999999999</v>
      </c>
      <c r="J297" s="35">
        <v>182</v>
      </c>
      <c r="K297" s="35" t="s">
        <v>91</v>
      </c>
      <c r="L297" s="35" t="s">
        <v>46</v>
      </c>
      <c r="M297" s="36" t="s">
        <v>90</v>
      </c>
      <c r="N297" s="36"/>
      <c r="O297" s="35">
        <v>40</v>
      </c>
      <c r="P297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68"/>
      <c r="R297" s="668"/>
      <c r="S297" s="668"/>
      <c r="T297" s="669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50"/>
        <v>0</v>
      </c>
      <c r="Z297" s="39" t="str">
        <f>IFERROR(IF(Y297=0,"",ROUNDUP(Y297/H297,0)*0.00651),"")</f>
        <v/>
      </c>
      <c r="AA297" s="65" t="s">
        <v>46</v>
      </c>
      <c r="AB297" s="66" t="s">
        <v>46</v>
      </c>
      <c r="AC297" s="399" t="s">
        <v>517</v>
      </c>
      <c r="AG297" s="75"/>
      <c r="AJ297" s="79" t="s">
        <v>46</v>
      </c>
      <c r="AK297" s="79">
        <v>0</v>
      </c>
      <c r="BB297" s="400" t="s">
        <v>67</v>
      </c>
      <c r="BM297" s="75">
        <f t="shared" si="51"/>
        <v>0</v>
      </c>
      <c r="BN297" s="75">
        <f t="shared" si="52"/>
        <v>0</v>
      </c>
      <c r="BO297" s="75">
        <f t="shared" si="53"/>
        <v>0</v>
      </c>
      <c r="BP297" s="75">
        <f t="shared" si="54"/>
        <v>0</v>
      </c>
    </row>
    <row r="298" spans="1:68" ht="27" hidden="1" customHeight="1" x14ac:dyDescent="0.25">
      <c r="A298" s="60" t="s">
        <v>518</v>
      </c>
      <c r="B298" s="60" t="s">
        <v>519</v>
      </c>
      <c r="C298" s="34">
        <v>4301052180</v>
      </c>
      <c r="D298" s="666">
        <v>4680115888340</v>
      </c>
      <c r="E298" s="666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90</v>
      </c>
      <c r="N298" s="36"/>
      <c r="O298" s="35">
        <v>45</v>
      </c>
      <c r="P298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68"/>
      <c r="R298" s="668"/>
      <c r="S298" s="668"/>
      <c r="T298" s="669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si="50"/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401" t="s">
        <v>520</v>
      </c>
      <c r="AG298" s="75"/>
      <c r="AJ298" s="79" t="s">
        <v>46</v>
      </c>
      <c r="AK298" s="79">
        <v>0</v>
      </c>
      <c r="BB298" s="402" t="s">
        <v>67</v>
      </c>
      <c r="BM298" s="75">
        <f t="shared" si="51"/>
        <v>0</v>
      </c>
      <c r="BN298" s="75">
        <f t="shared" si="52"/>
        <v>0</v>
      </c>
      <c r="BO298" s="75">
        <f t="shared" si="53"/>
        <v>0</v>
      </c>
      <c r="BP298" s="75">
        <f t="shared" si="54"/>
        <v>0</v>
      </c>
    </row>
    <row r="299" spans="1:68" hidden="1" x14ac:dyDescent="0.2">
      <c r="A299" s="662"/>
      <c r="B299" s="662"/>
      <c r="C299" s="662"/>
      <c r="D299" s="662"/>
      <c r="E299" s="662"/>
      <c r="F299" s="662"/>
      <c r="G299" s="662"/>
      <c r="H299" s="662"/>
      <c r="I299" s="662"/>
      <c r="J299" s="662"/>
      <c r="K299" s="662"/>
      <c r="L299" s="662"/>
      <c r="M299" s="662"/>
      <c r="N299" s="662"/>
      <c r="O299" s="663"/>
      <c r="P299" s="659" t="s">
        <v>40</v>
      </c>
      <c r="Q299" s="660"/>
      <c r="R299" s="660"/>
      <c r="S299" s="660"/>
      <c r="T299" s="660"/>
      <c r="U299" s="660"/>
      <c r="V299" s="661"/>
      <c r="W299" s="40" t="s">
        <v>39</v>
      </c>
      <c r="X299" s="41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1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1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4"/>
      <c r="AB299" s="64"/>
      <c r="AC299" s="64"/>
    </row>
    <row r="300" spans="1:68" hidden="1" x14ac:dyDescent="0.2">
      <c r="A300" s="662"/>
      <c r="B300" s="662"/>
      <c r="C300" s="662"/>
      <c r="D300" s="662"/>
      <c r="E300" s="662"/>
      <c r="F300" s="662"/>
      <c r="G300" s="662"/>
      <c r="H300" s="662"/>
      <c r="I300" s="662"/>
      <c r="J300" s="662"/>
      <c r="K300" s="662"/>
      <c r="L300" s="662"/>
      <c r="M300" s="662"/>
      <c r="N300" s="662"/>
      <c r="O300" s="663"/>
      <c r="P300" s="659" t="s">
        <v>40</v>
      </c>
      <c r="Q300" s="660"/>
      <c r="R300" s="660"/>
      <c r="S300" s="660"/>
      <c r="T300" s="660"/>
      <c r="U300" s="660"/>
      <c r="V300" s="661"/>
      <c r="W300" s="40" t="s">
        <v>0</v>
      </c>
      <c r="X300" s="41">
        <f>IFERROR(SUM(X287:X298),"0")</f>
        <v>0</v>
      </c>
      <c r="Y300" s="41">
        <f>IFERROR(SUM(Y287:Y298),"0")</f>
        <v>0</v>
      </c>
      <c r="Z300" s="40"/>
      <c r="AA300" s="64"/>
      <c r="AB300" s="64"/>
      <c r="AC300" s="64"/>
    </row>
    <row r="301" spans="1:68" ht="14.25" hidden="1" customHeight="1" x14ac:dyDescent="0.25">
      <c r="A301" s="665" t="s">
        <v>173</v>
      </c>
      <c r="B301" s="665"/>
      <c r="C301" s="665"/>
      <c r="D301" s="665"/>
      <c r="E301" s="665"/>
      <c r="F301" s="665"/>
      <c r="G301" s="665"/>
      <c r="H301" s="665"/>
      <c r="I301" s="665"/>
      <c r="J301" s="665"/>
      <c r="K301" s="665"/>
      <c r="L301" s="665"/>
      <c r="M301" s="665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3"/>
      <c r="AB301" s="63"/>
      <c r="AC301" s="63"/>
    </row>
    <row r="302" spans="1:68" ht="27" hidden="1" customHeight="1" x14ac:dyDescent="0.25">
      <c r="A302" s="60" t="s">
        <v>521</v>
      </c>
      <c r="B302" s="60" t="s">
        <v>522</v>
      </c>
      <c r="C302" s="34">
        <v>4301060463</v>
      </c>
      <c r="D302" s="666">
        <v>4680115880818</v>
      </c>
      <c r="E302" s="666"/>
      <c r="F302" s="59">
        <v>0.4</v>
      </c>
      <c r="G302" s="35">
        <v>6</v>
      </c>
      <c r="H302" s="59">
        <v>2.4</v>
      </c>
      <c r="I302" s="59">
        <v>2.6520000000000001</v>
      </c>
      <c r="J302" s="35">
        <v>182</v>
      </c>
      <c r="K302" s="35" t="s">
        <v>91</v>
      </c>
      <c r="L302" s="35" t="s">
        <v>46</v>
      </c>
      <c r="M302" s="36" t="s">
        <v>97</v>
      </c>
      <c r="N302" s="36"/>
      <c r="O302" s="35">
        <v>40</v>
      </c>
      <c r="P302" s="8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68"/>
      <c r="R302" s="668"/>
      <c r="S302" s="668"/>
      <c r="T302" s="669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403" t="s">
        <v>523</v>
      </c>
      <c r="AG302" s="75"/>
      <c r="AJ302" s="79" t="s">
        <v>46</v>
      </c>
      <c r="AK302" s="79">
        <v>0</v>
      </c>
      <c r="BB302" s="404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524</v>
      </c>
      <c r="B303" s="60" t="s">
        <v>525</v>
      </c>
      <c r="C303" s="34">
        <v>4301060389</v>
      </c>
      <c r="D303" s="666">
        <v>4680115880801</v>
      </c>
      <c r="E303" s="666"/>
      <c r="F303" s="59">
        <v>0.4</v>
      </c>
      <c r="G303" s="35">
        <v>6</v>
      </c>
      <c r="H303" s="59">
        <v>2.4</v>
      </c>
      <c r="I303" s="59">
        <v>2.6520000000000001</v>
      </c>
      <c r="J303" s="35">
        <v>182</v>
      </c>
      <c r="K303" s="35" t="s">
        <v>91</v>
      </c>
      <c r="L303" s="35" t="s">
        <v>46</v>
      </c>
      <c r="M303" s="36" t="s">
        <v>90</v>
      </c>
      <c r="N303" s="36"/>
      <c r="O303" s="35">
        <v>40</v>
      </c>
      <c r="P303" s="8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68"/>
      <c r="R303" s="668"/>
      <c r="S303" s="668"/>
      <c r="T303" s="669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5" t="s">
        <v>526</v>
      </c>
      <c r="AG303" s="75"/>
      <c r="AJ303" s="79" t="s">
        <v>46</v>
      </c>
      <c r="AK303" s="79">
        <v>0</v>
      </c>
      <c r="BB303" s="406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62"/>
      <c r="B304" s="662"/>
      <c r="C304" s="662"/>
      <c r="D304" s="662"/>
      <c r="E304" s="662"/>
      <c r="F304" s="662"/>
      <c r="G304" s="662"/>
      <c r="H304" s="662"/>
      <c r="I304" s="662"/>
      <c r="J304" s="662"/>
      <c r="K304" s="662"/>
      <c r="L304" s="662"/>
      <c r="M304" s="662"/>
      <c r="N304" s="662"/>
      <c r="O304" s="663"/>
      <c r="P304" s="659" t="s">
        <v>40</v>
      </c>
      <c r="Q304" s="660"/>
      <c r="R304" s="660"/>
      <c r="S304" s="660"/>
      <c r="T304" s="660"/>
      <c r="U304" s="660"/>
      <c r="V304" s="661"/>
      <c r="W304" s="40" t="s">
        <v>39</v>
      </c>
      <c r="X304" s="41">
        <f>IFERROR(X302/H302,"0")+IFERROR(X303/H303,"0")</f>
        <v>0</v>
      </c>
      <c r="Y304" s="41">
        <f>IFERROR(Y302/H302,"0")+IFERROR(Y303/H303,"0")</f>
        <v>0</v>
      </c>
      <c r="Z304" s="41">
        <f>IFERROR(IF(Z302="",0,Z302),"0")+IFERROR(IF(Z303="",0,Z303),"0")</f>
        <v>0</v>
      </c>
      <c r="AA304" s="64"/>
      <c r="AB304" s="64"/>
      <c r="AC304" s="64"/>
    </row>
    <row r="305" spans="1:68" hidden="1" x14ac:dyDescent="0.2">
      <c r="A305" s="662"/>
      <c r="B305" s="662"/>
      <c r="C305" s="662"/>
      <c r="D305" s="662"/>
      <c r="E305" s="662"/>
      <c r="F305" s="662"/>
      <c r="G305" s="662"/>
      <c r="H305" s="662"/>
      <c r="I305" s="662"/>
      <c r="J305" s="662"/>
      <c r="K305" s="662"/>
      <c r="L305" s="662"/>
      <c r="M305" s="662"/>
      <c r="N305" s="662"/>
      <c r="O305" s="663"/>
      <c r="P305" s="659" t="s">
        <v>40</v>
      </c>
      <c r="Q305" s="660"/>
      <c r="R305" s="660"/>
      <c r="S305" s="660"/>
      <c r="T305" s="660"/>
      <c r="U305" s="660"/>
      <c r="V305" s="661"/>
      <c r="W305" s="40" t="s">
        <v>0</v>
      </c>
      <c r="X305" s="41">
        <f>IFERROR(SUM(X302:X303),"0")</f>
        <v>0</v>
      </c>
      <c r="Y305" s="41">
        <f>IFERROR(SUM(Y302:Y303),"0")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64" t="s">
        <v>527</v>
      </c>
      <c r="B306" s="664"/>
      <c r="C306" s="664"/>
      <c r="D306" s="664"/>
      <c r="E306" s="664"/>
      <c r="F306" s="664"/>
      <c r="G306" s="664"/>
      <c r="H306" s="664"/>
      <c r="I306" s="664"/>
      <c r="J306" s="664"/>
      <c r="K306" s="664"/>
      <c r="L306" s="664"/>
      <c r="M306" s="664"/>
      <c r="N306" s="664"/>
      <c r="O306" s="664"/>
      <c r="P306" s="664"/>
      <c r="Q306" s="664"/>
      <c r="R306" s="664"/>
      <c r="S306" s="664"/>
      <c r="T306" s="664"/>
      <c r="U306" s="664"/>
      <c r="V306" s="664"/>
      <c r="W306" s="664"/>
      <c r="X306" s="664"/>
      <c r="Y306" s="664"/>
      <c r="Z306" s="664"/>
      <c r="AA306" s="62"/>
      <c r="AB306" s="62"/>
      <c r="AC306" s="62"/>
    </row>
    <row r="307" spans="1:68" ht="14.25" hidden="1" customHeight="1" x14ac:dyDescent="0.25">
      <c r="A307" s="665" t="s">
        <v>122</v>
      </c>
      <c r="B307" s="665"/>
      <c r="C307" s="665"/>
      <c r="D307" s="665"/>
      <c r="E307" s="665"/>
      <c r="F307" s="665"/>
      <c r="G307" s="665"/>
      <c r="H307" s="665"/>
      <c r="I307" s="665"/>
      <c r="J307" s="665"/>
      <c r="K307" s="665"/>
      <c r="L307" s="665"/>
      <c r="M307" s="665"/>
      <c r="N307" s="665"/>
      <c r="O307" s="665"/>
      <c r="P307" s="665"/>
      <c r="Q307" s="665"/>
      <c r="R307" s="665"/>
      <c r="S307" s="665"/>
      <c r="T307" s="665"/>
      <c r="U307" s="665"/>
      <c r="V307" s="665"/>
      <c r="W307" s="665"/>
      <c r="X307" s="665"/>
      <c r="Y307" s="665"/>
      <c r="Z307" s="665"/>
      <c r="AA307" s="63"/>
      <c r="AB307" s="63"/>
      <c r="AC307" s="63"/>
    </row>
    <row r="308" spans="1:68" ht="27" hidden="1" customHeight="1" x14ac:dyDescent="0.25">
      <c r="A308" s="60" t="s">
        <v>528</v>
      </c>
      <c r="B308" s="60" t="s">
        <v>529</v>
      </c>
      <c r="C308" s="34">
        <v>4301011826</v>
      </c>
      <c r="D308" s="666">
        <v>4680115884137</v>
      </c>
      <c r="E308" s="666"/>
      <c r="F308" s="59">
        <v>1.45</v>
      </c>
      <c r="G308" s="35">
        <v>8</v>
      </c>
      <c r="H308" s="59">
        <v>11.6</v>
      </c>
      <c r="I308" s="59">
        <v>12.01</v>
      </c>
      <c r="J308" s="35">
        <v>64</v>
      </c>
      <c r="K308" s="35" t="s">
        <v>127</v>
      </c>
      <c r="L308" s="35" t="s">
        <v>46</v>
      </c>
      <c r="M308" s="36" t="s">
        <v>126</v>
      </c>
      <c r="N308" s="36"/>
      <c r="O308" s="35">
        <v>55</v>
      </c>
      <c r="P308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68"/>
      <c r="R308" s="668"/>
      <c r="S308" s="668"/>
      <c r="T308" s="669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ref="Y308:Y314" si="55"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407" t="s">
        <v>530</v>
      </c>
      <c r="AG308" s="75"/>
      <c r="AJ308" s="79" t="s">
        <v>46</v>
      </c>
      <c r="AK308" s="79">
        <v>0</v>
      </c>
      <c r="BB308" s="408" t="s">
        <v>67</v>
      </c>
      <c r="BM308" s="75">
        <f t="shared" ref="BM308:BM314" si="56">IFERROR(X308*I308/H308,"0")</f>
        <v>0</v>
      </c>
      <c r="BN308" s="75">
        <f t="shared" ref="BN308:BN314" si="57">IFERROR(Y308*I308/H308,"0")</f>
        <v>0</v>
      </c>
      <c r="BO308" s="75">
        <f t="shared" ref="BO308:BO314" si="58">IFERROR(1/J308*(X308/H308),"0")</f>
        <v>0</v>
      </c>
      <c r="BP308" s="75">
        <f t="shared" ref="BP308:BP314" si="59">IFERROR(1/J308*(Y308/H308),"0")</f>
        <v>0</v>
      </c>
    </row>
    <row r="309" spans="1:68" ht="27" hidden="1" customHeight="1" x14ac:dyDescent="0.25">
      <c r="A309" s="60" t="s">
        <v>531</v>
      </c>
      <c r="B309" s="60" t="s">
        <v>532</v>
      </c>
      <c r="C309" s="34">
        <v>4301011724</v>
      </c>
      <c r="D309" s="666">
        <v>4680115884236</v>
      </c>
      <c r="E309" s="666"/>
      <c r="F309" s="59">
        <v>1.45</v>
      </c>
      <c r="G309" s="35">
        <v>8</v>
      </c>
      <c r="H309" s="59">
        <v>11.6</v>
      </c>
      <c r="I309" s="59">
        <v>12.01</v>
      </c>
      <c r="J309" s="35">
        <v>64</v>
      </c>
      <c r="K309" s="35" t="s">
        <v>127</v>
      </c>
      <c r="L309" s="35" t="s">
        <v>46</v>
      </c>
      <c r="M309" s="36" t="s">
        <v>126</v>
      </c>
      <c r="N309" s="36"/>
      <c r="O309" s="35">
        <v>55</v>
      </c>
      <c r="P309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68"/>
      <c r="R309" s="668"/>
      <c r="S309" s="668"/>
      <c r="T309" s="669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5"/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409" t="s">
        <v>533</v>
      </c>
      <c r="AG309" s="75"/>
      <c r="AJ309" s="79" t="s">
        <v>46</v>
      </c>
      <c r="AK309" s="79">
        <v>0</v>
      </c>
      <c r="BB309" s="410" t="s">
        <v>67</v>
      </c>
      <c r="BM309" s="75">
        <f t="shared" si="56"/>
        <v>0</v>
      </c>
      <c r="BN309" s="75">
        <f t="shared" si="57"/>
        <v>0</v>
      </c>
      <c r="BO309" s="75">
        <f t="shared" si="58"/>
        <v>0</v>
      </c>
      <c r="BP309" s="75">
        <f t="shared" si="59"/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4301011721</v>
      </c>
      <c r="D310" s="666">
        <v>4680115884175</v>
      </c>
      <c r="E310" s="666"/>
      <c r="F310" s="59">
        <v>1.45</v>
      </c>
      <c r="G310" s="35">
        <v>8</v>
      </c>
      <c r="H310" s="59">
        <v>11.6</v>
      </c>
      <c r="I310" s="59">
        <v>12.01</v>
      </c>
      <c r="J310" s="35">
        <v>64</v>
      </c>
      <c r="K310" s="35" t="s">
        <v>127</v>
      </c>
      <c r="L310" s="35" t="s">
        <v>46</v>
      </c>
      <c r="M310" s="36" t="s">
        <v>126</v>
      </c>
      <c r="N310" s="36"/>
      <c r="O310" s="35">
        <v>55</v>
      </c>
      <c r="P310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68"/>
      <c r="R310" s="668"/>
      <c r="S310" s="668"/>
      <c r="T310" s="669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5"/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411" t="s">
        <v>388</v>
      </c>
      <c r="AG310" s="75"/>
      <c r="AJ310" s="79" t="s">
        <v>46</v>
      </c>
      <c r="AK310" s="79">
        <v>0</v>
      </c>
      <c r="BB310" s="412" t="s">
        <v>67</v>
      </c>
      <c r="BM310" s="75">
        <f t="shared" si="56"/>
        <v>0</v>
      </c>
      <c r="BN310" s="75">
        <f t="shared" si="57"/>
        <v>0</v>
      </c>
      <c r="BO310" s="75">
        <f t="shared" si="58"/>
        <v>0</v>
      </c>
      <c r="BP310" s="75">
        <f t="shared" si="59"/>
        <v>0</v>
      </c>
    </row>
    <row r="311" spans="1:68" ht="27" hidden="1" customHeight="1" x14ac:dyDescent="0.25">
      <c r="A311" s="60" t="s">
        <v>536</v>
      </c>
      <c r="B311" s="60" t="s">
        <v>537</v>
      </c>
      <c r="C311" s="34">
        <v>4301011824</v>
      </c>
      <c r="D311" s="666">
        <v>4680115884144</v>
      </c>
      <c r="E311" s="666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134</v>
      </c>
      <c r="L311" s="35" t="s">
        <v>46</v>
      </c>
      <c r="M311" s="36" t="s">
        <v>126</v>
      </c>
      <c r="N311" s="36"/>
      <c r="O311" s="35">
        <v>55</v>
      </c>
      <c r="P311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68"/>
      <c r="R311" s="668"/>
      <c r="S311" s="668"/>
      <c r="T311" s="669"/>
      <c r="U311" s="37" t="s">
        <v>46</v>
      </c>
      <c r="V311" s="37" t="s">
        <v>46</v>
      </c>
      <c r="W311" s="38" t="s">
        <v>0</v>
      </c>
      <c r="X311" s="56">
        <v>0</v>
      </c>
      <c r="Y311" s="53">
        <f t="shared" si="55"/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413" t="s">
        <v>530</v>
      </c>
      <c r="AG311" s="75"/>
      <c r="AJ311" s="79" t="s">
        <v>46</v>
      </c>
      <c r="AK311" s="79">
        <v>0</v>
      </c>
      <c r="BB311" s="414" t="s">
        <v>67</v>
      </c>
      <c r="BM311" s="75">
        <f t="shared" si="56"/>
        <v>0</v>
      </c>
      <c r="BN311" s="75">
        <f t="shared" si="57"/>
        <v>0</v>
      </c>
      <c r="BO311" s="75">
        <f t="shared" si="58"/>
        <v>0</v>
      </c>
      <c r="BP311" s="75">
        <f t="shared" si="59"/>
        <v>0</v>
      </c>
    </row>
    <row r="312" spans="1:68" ht="27" hidden="1" customHeight="1" x14ac:dyDescent="0.25">
      <c r="A312" s="60" t="s">
        <v>538</v>
      </c>
      <c r="B312" s="60" t="s">
        <v>539</v>
      </c>
      <c r="C312" s="34">
        <v>4301012149</v>
      </c>
      <c r="D312" s="666">
        <v>4680115886551</v>
      </c>
      <c r="E312" s="666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134</v>
      </c>
      <c r="L312" s="35" t="s">
        <v>46</v>
      </c>
      <c r="M312" s="36" t="s">
        <v>126</v>
      </c>
      <c r="N312" s="36"/>
      <c r="O312" s="35">
        <v>55</v>
      </c>
      <c r="P312" s="79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68"/>
      <c r="R312" s="668"/>
      <c r="S312" s="668"/>
      <c r="T312" s="669"/>
      <c r="U312" s="37" t="s">
        <v>46</v>
      </c>
      <c r="V312" s="37" t="s">
        <v>46</v>
      </c>
      <c r="W312" s="38" t="s">
        <v>0</v>
      </c>
      <c r="X312" s="56">
        <v>0</v>
      </c>
      <c r="Y312" s="53">
        <f t="shared" si="55"/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415" t="s">
        <v>540</v>
      </c>
      <c r="AG312" s="75"/>
      <c r="AJ312" s="79" t="s">
        <v>46</v>
      </c>
      <c r="AK312" s="79">
        <v>0</v>
      </c>
      <c r="BB312" s="416" t="s">
        <v>67</v>
      </c>
      <c r="BM312" s="75">
        <f t="shared" si="56"/>
        <v>0</v>
      </c>
      <c r="BN312" s="75">
        <f t="shared" si="57"/>
        <v>0</v>
      </c>
      <c r="BO312" s="75">
        <f t="shared" si="58"/>
        <v>0</v>
      </c>
      <c r="BP312" s="75">
        <f t="shared" si="59"/>
        <v>0</v>
      </c>
    </row>
    <row r="313" spans="1:68" ht="27" hidden="1" customHeight="1" x14ac:dyDescent="0.25">
      <c r="A313" s="60" t="s">
        <v>541</v>
      </c>
      <c r="B313" s="60" t="s">
        <v>542</v>
      </c>
      <c r="C313" s="34">
        <v>4301012228</v>
      </c>
      <c r="D313" s="666">
        <v>4680115887282</v>
      </c>
      <c r="E313" s="666"/>
      <c r="F313" s="59">
        <v>0.4</v>
      </c>
      <c r="G313" s="35">
        <v>6</v>
      </c>
      <c r="H313" s="59">
        <v>2.4</v>
      </c>
      <c r="I313" s="59">
        <v>2.58</v>
      </c>
      <c r="J313" s="35">
        <v>182</v>
      </c>
      <c r="K313" s="35" t="s">
        <v>91</v>
      </c>
      <c r="L313" s="35" t="s">
        <v>46</v>
      </c>
      <c r="M313" s="36" t="s">
        <v>126</v>
      </c>
      <c r="N313" s="36"/>
      <c r="O313" s="35">
        <v>55</v>
      </c>
      <c r="P313" s="79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68"/>
      <c r="R313" s="668"/>
      <c r="S313" s="668"/>
      <c r="T313" s="669"/>
      <c r="U313" s="37" t="s">
        <v>46</v>
      </c>
      <c r="V313" s="37" t="s">
        <v>46</v>
      </c>
      <c r="W313" s="38" t="s">
        <v>0</v>
      </c>
      <c r="X313" s="56">
        <v>0</v>
      </c>
      <c r="Y313" s="53">
        <f t="shared" si="55"/>
        <v>0</v>
      </c>
      <c r="Z313" s="39" t="str">
        <f>IFERROR(IF(Y313=0,"",ROUNDUP(Y313/H313,0)*0.00651),"")</f>
        <v/>
      </c>
      <c r="AA313" s="65" t="s">
        <v>46</v>
      </c>
      <c r="AB313" s="66" t="s">
        <v>46</v>
      </c>
      <c r="AC313" s="417" t="s">
        <v>543</v>
      </c>
      <c r="AG313" s="75"/>
      <c r="AJ313" s="79" t="s">
        <v>46</v>
      </c>
      <c r="AK313" s="79">
        <v>0</v>
      </c>
      <c r="BB313" s="418" t="s">
        <v>67</v>
      </c>
      <c r="BM313" s="75">
        <f t="shared" si="56"/>
        <v>0</v>
      </c>
      <c r="BN313" s="75">
        <f t="shared" si="57"/>
        <v>0</v>
      </c>
      <c r="BO313" s="75">
        <f t="shared" si="58"/>
        <v>0</v>
      </c>
      <c r="BP313" s="75">
        <f t="shared" si="59"/>
        <v>0</v>
      </c>
    </row>
    <row r="314" spans="1:68" ht="27" hidden="1" customHeight="1" x14ac:dyDescent="0.25">
      <c r="A314" s="60" t="s">
        <v>544</v>
      </c>
      <c r="B314" s="60" t="s">
        <v>545</v>
      </c>
      <c r="C314" s="34">
        <v>4301011722</v>
      </c>
      <c r="D314" s="666">
        <v>4680115884205</v>
      </c>
      <c r="E314" s="666"/>
      <c r="F314" s="59">
        <v>0.4</v>
      </c>
      <c r="G314" s="35">
        <v>10</v>
      </c>
      <c r="H314" s="59">
        <v>4</v>
      </c>
      <c r="I314" s="59">
        <v>4.1900000000000004</v>
      </c>
      <c r="J314" s="35">
        <v>132</v>
      </c>
      <c r="K314" s="35" t="s">
        <v>134</v>
      </c>
      <c r="L314" s="35" t="s">
        <v>46</v>
      </c>
      <c r="M314" s="36" t="s">
        <v>126</v>
      </c>
      <c r="N314" s="36"/>
      <c r="O314" s="35">
        <v>55</v>
      </c>
      <c r="P314" s="79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68"/>
      <c r="R314" s="668"/>
      <c r="S314" s="668"/>
      <c r="T314" s="669"/>
      <c r="U314" s="37" t="s">
        <v>46</v>
      </c>
      <c r="V314" s="37" t="s">
        <v>46</v>
      </c>
      <c r="W314" s="38" t="s">
        <v>0</v>
      </c>
      <c r="X314" s="56">
        <v>0</v>
      </c>
      <c r="Y314" s="53">
        <f t="shared" si="55"/>
        <v>0</v>
      </c>
      <c r="Z314" s="39" t="str">
        <f>IFERROR(IF(Y314=0,"",ROUNDUP(Y314/H314,0)*0.00902),"")</f>
        <v/>
      </c>
      <c r="AA314" s="65" t="s">
        <v>46</v>
      </c>
      <c r="AB314" s="66" t="s">
        <v>46</v>
      </c>
      <c r="AC314" s="419" t="s">
        <v>388</v>
      </c>
      <c r="AG314" s="75"/>
      <c r="AJ314" s="79" t="s">
        <v>46</v>
      </c>
      <c r="AK314" s="79">
        <v>0</v>
      </c>
      <c r="BB314" s="420" t="s">
        <v>67</v>
      </c>
      <c r="BM314" s="75">
        <f t="shared" si="56"/>
        <v>0</v>
      </c>
      <c r="BN314" s="75">
        <f t="shared" si="57"/>
        <v>0</v>
      </c>
      <c r="BO314" s="75">
        <f t="shared" si="58"/>
        <v>0</v>
      </c>
      <c r="BP314" s="75">
        <f t="shared" si="59"/>
        <v>0</v>
      </c>
    </row>
    <row r="315" spans="1:68" hidden="1" x14ac:dyDescent="0.2">
      <c r="A315" s="662"/>
      <c r="B315" s="662"/>
      <c r="C315" s="662"/>
      <c r="D315" s="662"/>
      <c r="E315" s="662"/>
      <c r="F315" s="662"/>
      <c r="G315" s="662"/>
      <c r="H315" s="662"/>
      <c r="I315" s="662"/>
      <c r="J315" s="662"/>
      <c r="K315" s="662"/>
      <c r="L315" s="662"/>
      <c r="M315" s="662"/>
      <c r="N315" s="662"/>
      <c r="O315" s="663"/>
      <c r="P315" s="659" t="s">
        <v>40</v>
      </c>
      <c r="Q315" s="660"/>
      <c r="R315" s="660"/>
      <c r="S315" s="660"/>
      <c r="T315" s="660"/>
      <c r="U315" s="660"/>
      <c r="V315" s="661"/>
      <c r="W315" s="40" t="s">
        <v>39</v>
      </c>
      <c r="X315" s="41">
        <f>IFERROR(X308/H308,"0")+IFERROR(X309/H309,"0")+IFERROR(X310/H310,"0")+IFERROR(X311/H311,"0")+IFERROR(X312/H312,"0")+IFERROR(X313/H313,"0")+IFERROR(X314/H314,"0")</f>
        <v>0</v>
      </c>
      <c r="Y315" s="41">
        <f>IFERROR(Y308/H308,"0")+IFERROR(Y309/H309,"0")+IFERROR(Y310/H310,"0")+IFERROR(Y311/H311,"0")+IFERROR(Y312/H312,"0")+IFERROR(Y313/H313,"0")+IFERROR(Y314/H314,"0")</f>
        <v>0</v>
      </c>
      <c r="Z315" s="41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4"/>
      <c r="AB315" s="64"/>
      <c r="AC315" s="64"/>
    </row>
    <row r="316" spans="1:68" hidden="1" x14ac:dyDescent="0.2">
      <c r="A316" s="662"/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3"/>
      <c r="P316" s="659" t="s">
        <v>40</v>
      </c>
      <c r="Q316" s="660"/>
      <c r="R316" s="660"/>
      <c r="S316" s="660"/>
      <c r="T316" s="660"/>
      <c r="U316" s="660"/>
      <c r="V316" s="661"/>
      <c r="W316" s="40" t="s">
        <v>0</v>
      </c>
      <c r="X316" s="41">
        <f>IFERROR(SUM(X308:X314),"0")</f>
        <v>0</v>
      </c>
      <c r="Y316" s="41">
        <f>IFERROR(SUM(Y308:Y314),"0")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65" t="s">
        <v>155</v>
      </c>
      <c r="B317" s="665"/>
      <c r="C317" s="665"/>
      <c r="D317" s="665"/>
      <c r="E317" s="665"/>
      <c r="F317" s="665"/>
      <c r="G317" s="665"/>
      <c r="H317" s="665"/>
      <c r="I317" s="665"/>
      <c r="J317" s="665"/>
      <c r="K317" s="665"/>
      <c r="L317" s="665"/>
      <c r="M317" s="665"/>
      <c r="N317" s="665"/>
      <c r="O317" s="665"/>
      <c r="P317" s="665"/>
      <c r="Q317" s="665"/>
      <c r="R317" s="665"/>
      <c r="S317" s="665"/>
      <c r="T317" s="665"/>
      <c r="U317" s="665"/>
      <c r="V317" s="665"/>
      <c r="W317" s="665"/>
      <c r="X317" s="665"/>
      <c r="Y317" s="665"/>
      <c r="Z317" s="665"/>
      <c r="AA317" s="63"/>
      <c r="AB317" s="63"/>
      <c r="AC317" s="63"/>
    </row>
    <row r="318" spans="1:68" ht="27" hidden="1" customHeight="1" x14ac:dyDescent="0.25">
      <c r="A318" s="60" t="s">
        <v>546</v>
      </c>
      <c r="B318" s="60" t="s">
        <v>547</v>
      </c>
      <c r="C318" s="34">
        <v>4301020377</v>
      </c>
      <c r="D318" s="666">
        <v>4680115885981</v>
      </c>
      <c r="E318" s="666"/>
      <c r="F318" s="59">
        <v>0.33</v>
      </c>
      <c r="G318" s="35">
        <v>6</v>
      </c>
      <c r="H318" s="59">
        <v>1.98</v>
      </c>
      <c r="I318" s="59">
        <v>2.08</v>
      </c>
      <c r="J318" s="35">
        <v>234</v>
      </c>
      <c r="K318" s="35" t="s">
        <v>82</v>
      </c>
      <c r="L318" s="35" t="s">
        <v>46</v>
      </c>
      <c r="M318" s="36" t="s">
        <v>90</v>
      </c>
      <c r="N318" s="36"/>
      <c r="O318" s="35">
        <v>50</v>
      </c>
      <c r="P318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68"/>
      <c r="R318" s="668"/>
      <c r="S318" s="668"/>
      <c r="T318" s="669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IFERROR(IF(Y318=0,"",ROUNDUP(Y318/H318,0)*0.00502),"")</f>
        <v/>
      </c>
      <c r="AA318" s="65" t="s">
        <v>46</v>
      </c>
      <c r="AB318" s="66" t="s">
        <v>46</v>
      </c>
      <c r="AC318" s="421" t="s">
        <v>548</v>
      </c>
      <c r="AG318" s="75"/>
      <c r="AJ318" s="79" t="s">
        <v>46</v>
      </c>
      <c r="AK318" s="79">
        <v>0</v>
      </c>
      <c r="BB318" s="422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62"/>
      <c r="B319" s="662"/>
      <c r="C319" s="662"/>
      <c r="D319" s="662"/>
      <c r="E319" s="662"/>
      <c r="F319" s="662"/>
      <c r="G319" s="662"/>
      <c r="H319" s="662"/>
      <c r="I319" s="662"/>
      <c r="J319" s="662"/>
      <c r="K319" s="662"/>
      <c r="L319" s="662"/>
      <c r="M319" s="662"/>
      <c r="N319" s="662"/>
      <c r="O319" s="663"/>
      <c r="P319" s="659" t="s">
        <v>40</v>
      </c>
      <c r="Q319" s="660"/>
      <c r="R319" s="660"/>
      <c r="S319" s="660"/>
      <c r="T319" s="660"/>
      <c r="U319" s="660"/>
      <c r="V319" s="661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662"/>
      <c r="B320" s="662"/>
      <c r="C320" s="662"/>
      <c r="D320" s="662"/>
      <c r="E320" s="662"/>
      <c r="F320" s="662"/>
      <c r="G320" s="662"/>
      <c r="H320" s="662"/>
      <c r="I320" s="662"/>
      <c r="J320" s="662"/>
      <c r="K320" s="662"/>
      <c r="L320" s="662"/>
      <c r="M320" s="662"/>
      <c r="N320" s="662"/>
      <c r="O320" s="663"/>
      <c r="P320" s="659" t="s">
        <v>40</v>
      </c>
      <c r="Q320" s="660"/>
      <c r="R320" s="660"/>
      <c r="S320" s="660"/>
      <c r="T320" s="660"/>
      <c r="U320" s="660"/>
      <c r="V320" s="661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65" t="s">
        <v>549</v>
      </c>
      <c r="B321" s="665"/>
      <c r="C321" s="665"/>
      <c r="D321" s="665"/>
      <c r="E321" s="665"/>
      <c r="F321" s="665"/>
      <c r="G321" s="665"/>
      <c r="H321" s="665"/>
      <c r="I321" s="665"/>
      <c r="J321" s="665"/>
      <c r="K321" s="665"/>
      <c r="L321" s="665"/>
      <c r="M321" s="665"/>
      <c r="N321" s="665"/>
      <c r="O321" s="665"/>
      <c r="P321" s="665"/>
      <c r="Q321" s="665"/>
      <c r="R321" s="665"/>
      <c r="S321" s="665"/>
      <c r="T321" s="665"/>
      <c r="U321" s="665"/>
      <c r="V321" s="665"/>
      <c r="W321" s="665"/>
      <c r="X321" s="665"/>
      <c r="Y321" s="665"/>
      <c r="Z321" s="665"/>
      <c r="AA321" s="63"/>
      <c r="AB321" s="63"/>
      <c r="AC321" s="63"/>
    </row>
    <row r="322" spans="1:68" ht="27" hidden="1" customHeight="1" x14ac:dyDescent="0.25">
      <c r="A322" s="60" t="s">
        <v>550</v>
      </c>
      <c r="B322" s="60" t="s">
        <v>551</v>
      </c>
      <c r="C322" s="34">
        <v>4301040362</v>
      </c>
      <c r="D322" s="666">
        <v>4680115886803</v>
      </c>
      <c r="E322" s="666"/>
      <c r="F322" s="59">
        <v>0.12</v>
      </c>
      <c r="G322" s="35">
        <v>15</v>
      </c>
      <c r="H322" s="59">
        <v>1.8</v>
      </c>
      <c r="I322" s="59">
        <v>1.9750000000000001</v>
      </c>
      <c r="J322" s="35">
        <v>216</v>
      </c>
      <c r="K322" s="35" t="s">
        <v>365</v>
      </c>
      <c r="L322" s="35" t="s">
        <v>46</v>
      </c>
      <c r="M322" s="36" t="s">
        <v>299</v>
      </c>
      <c r="N322" s="36"/>
      <c r="O322" s="35">
        <v>45</v>
      </c>
      <c r="P322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68"/>
      <c r="R322" s="668"/>
      <c r="S322" s="668"/>
      <c r="T322" s="669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23" t="s">
        <v>552</v>
      </c>
      <c r="AG322" s="75"/>
      <c r="AJ322" s="79" t="s">
        <v>46</v>
      </c>
      <c r="AK322" s="79">
        <v>0</v>
      </c>
      <c r="BB322" s="424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idden="1" x14ac:dyDescent="0.2">
      <c r="A323" s="662"/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3"/>
      <c r="P323" s="659" t="s">
        <v>40</v>
      </c>
      <c r="Q323" s="660"/>
      <c r="R323" s="660"/>
      <c r="S323" s="660"/>
      <c r="T323" s="660"/>
      <c r="U323" s="660"/>
      <c r="V323" s="661"/>
      <c r="W323" s="40" t="s">
        <v>39</v>
      </c>
      <c r="X323" s="41">
        <f>IFERROR(X322/H322,"0")</f>
        <v>0</v>
      </c>
      <c r="Y323" s="41">
        <f>IFERROR(Y322/H322,"0")</f>
        <v>0</v>
      </c>
      <c r="Z323" s="41">
        <f>IFERROR(IF(Z322="",0,Z322),"0")</f>
        <v>0</v>
      </c>
      <c r="AA323" s="64"/>
      <c r="AB323" s="64"/>
      <c r="AC323" s="64"/>
    </row>
    <row r="324" spans="1:68" hidden="1" x14ac:dyDescent="0.2">
      <c r="A324" s="662"/>
      <c r="B324" s="662"/>
      <c r="C324" s="662"/>
      <c r="D324" s="662"/>
      <c r="E324" s="662"/>
      <c r="F324" s="662"/>
      <c r="G324" s="662"/>
      <c r="H324" s="662"/>
      <c r="I324" s="662"/>
      <c r="J324" s="662"/>
      <c r="K324" s="662"/>
      <c r="L324" s="662"/>
      <c r="M324" s="662"/>
      <c r="N324" s="662"/>
      <c r="O324" s="663"/>
      <c r="P324" s="659" t="s">
        <v>40</v>
      </c>
      <c r="Q324" s="660"/>
      <c r="R324" s="660"/>
      <c r="S324" s="660"/>
      <c r="T324" s="660"/>
      <c r="U324" s="660"/>
      <c r="V324" s="661"/>
      <c r="W324" s="40" t="s">
        <v>0</v>
      </c>
      <c r="X324" s="41">
        <f>IFERROR(SUM(X322:X322),"0")</f>
        <v>0</v>
      </c>
      <c r="Y324" s="41">
        <f>IFERROR(SUM(Y322:Y322),"0")</f>
        <v>0</v>
      </c>
      <c r="Z324" s="40"/>
      <c r="AA324" s="64"/>
      <c r="AB324" s="64"/>
      <c r="AC324" s="64"/>
    </row>
    <row r="325" spans="1:68" ht="14.25" hidden="1" customHeight="1" x14ac:dyDescent="0.25">
      <c r="A325" s="665" t="s">
        <v>366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3"/>
      <c r="AB325" s="63"/>
      <c r="AC325" s="63"/>
    </row>
    <row r="326" spans="1:68" ht="27" hidden="1" customHeight="1" x14ac:dyDescent="0.25">
      <c r="A326" s="60" t="s">
        <v>553</v>
      </c>
      <c r="B326" s="60" t="s">
        <v>554</v>
      </c>
      <c r="C326" s="34">
        <v>4301041004</v>
      </c>
      <c r="D326" s="666">
        <v>4680115886704</v>
      </c>
      <c r="E326" s="666"/>
      <c r="F326" s="59">
        <v>5.5E-2</v>
      </c>
      <c r="G326" s="35">
        <v>18</v>
      </c>
      <c r="H326" s="59">
        <v>0.99</v>
      </c>
      <c r="I326" s="59">
        <v>1.18</v>
      </c>
      <c r="J326" s="35">
        <v>216</v>
      </c>
      <c r="K326" s="35" t="s">
        <v>365</v>
      </c>
      <c r="L326" s="35" t="s">
        <v>46</v>
      </c>
      <c r="M326" s="36" t="s">
        <v>299</v>
      </c>
      <c r="N326" s="36"/>
      <c r="O326" s="35">
        <v>90</v>
      </c>
      <c r="P326" s="78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68"/>
      <c r="R326" s="668"/>
      <c r="S326" s="668"/>
      <c r="T326" s="66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IFERROR(IF(Y326=0,"",ROUNDUP(Y326/H326,0)*0.0059),"")</f>
        <v/>
      </c>
      <c r="AA326" s="65" t="s">
        <v>46</v>
      </c>
      <c r="AB326" s="66" t="s">
        <v>46</v>
      </c>
      <c r="AC326" s="425" t="s">
        <v>555</v>
      </c>
      <c r="AG326" s="75"/>
      <c r="AJ326" s="79" t="s">
        <v>46</v>
      </c>
      <c r="AK326" s="79">
        <v>0</v>
      </c>
      <c r="BB326" s="426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556</v>
      </c>
      <c r="B327" s="60" t="s">
        <v>557</v>
      </c>
      <c r="C327" s="34">
        <v>4301041008</v>
      </c>
      <c r="D327" s="666">
        <v>4680115886681</v>
      </c>
      <c r="E327" s="666"/>
      <c r="F327" s="59">
        <v>0.12</v>
      </c>
      <c r="G327" s="35">
        <v>15</v>
      </c>
      <c r="H327" s="59">
        <v>1.8</v>
      </c>
      <c r="I327" s="59">
        <v>1.9750000000000001</v>
      </c>
      <c r="J327" s="35">
        <v>216</v>
      </c>
      <c r="K327" s="35" t="s">
        <v>365</v>
      </c>
      <c r="L327" s="35" t="s">
        <v>46</v>
      </c>
      <c r="M327" s="36" t="s">
        <v>299</v>
      </c>
      <c r="N327" s="36"/>
      <c r="O327" s="35">
        <v>90</v>
      </c>
      <c r="P327" s="7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68"/>
      <c r="R327" s="668"/>
      <c r="S327" s="668"/>
      <c r="T327" s="66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IFERROR(IF(Y327=0,"",ROUNDUP(Y327/H327,0)*0.0059),"")</f>
        <v/>
      </c>
      <c r="AA327" s="65" t="s">
        <v>46</v>
      </c>
      <c r="AB327" s="66" t="s">
        <v>46</v>
      </c>
      <c r="AC327" s="427" t="s">
        <v>555</v>
      </c>
      <c r="AG327" s="75"/>
      <c r="AJ327" s="79" t="s">
        <v>46</v>
      </c>
      <c r="AK327" s="79">
        <v>0</v>
      </c>
      <c r="BB327" s="428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558</v>
      </c>
      <c r="B328" s="60" t="s">
        <v>559</v>
      </c>
      <c r="C328" s="34">
        <v>4301041007</v>
      </c>
      <c r="D328" s="666">
        <v>4680115886735</v>
      </c>
      <c r="E328" s="666"/>
      <c r="F328" s="59">
        <v>0.05</v>
      </c>
      <c r="G328" s="35">
        <v>18</v>
      </c>
      <c r="H328" s="59">
        <v>0.9</v>
      </c>
      <c r="I328" s="59">
        <v>1.0900000000000001</v>
      </c>
      <c r="J328" s="35">
        <v>216</v>
      </c>
      <c r="K328" s="35" t="s">
        <v>365</v>
      </c>
      <c r="L328" s="35" t="s">
        <v>46</v>
      </c>
      <c r="M328" s="36" t="s">
        <v>299</v>
      </c>
      <c r="N328" s="36"/>
      <c r="O328" s="35">
        <v>90</v>
      </c>
      <c r="P328" s="7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68"/>
      <c r="R328" s="668"/>
      <c r="S328" s="668"/>
      <c r="T328" s="66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IFERROR(IF(Y328=0,"",ROUNDUP(Y328/H328,0)*0.0059),"")</f>
        <v/>
      </c>
      <c r="AA328" s="65" t="s">
        <v>46</v>
      </c>
      <c r="AB328" s="66" t="s">
        <v>46</v>
      </c>
      <c r="AC328" s="429" t="s">
        <v>555</v>
      </c>
      <c r="AG328" s="75"/>
      <c r="AJ328" s="79" t="s">
        <v>46</v>
      </c>
      <c r="AK328" s="79">
        <v>0</v>
      </c>
      <c r="BB328" s="430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62"/>
      <c r="B329" s="662"/>
      <c r="C329" s="662"/>
      <c r="D329" s="662"/>
      <c r="E329" s="662"/>
      <c r="F329" s="662"/>
      <c r="G329" s="662"/>
      <c r="H329" s="662"/>
      <c r="I329" s="662"/>
      <c r="J329" s="662"/>
      <c r="K329" s="662"/>
      <c r="L329" s="662"/>
      <c r="M329" s="662"/>
      <c r="N329" s="662"/>
      <c r="O329" s="663"/>
      <c r="P329" s="659" t="s">
        <v>40</v>
      </c>
      <c r="Q329" s="660"/>
      <c r="R329" s="660"/>
      <c r="S329" s="660"/>
      <c r="T329" s="660"/>
      <c r="U329" s="660"/>
      <c r="V329" s="661"/>
      <c r="W329" s="40" t="s">
        <v>39</v>
      </c>
      <c r="X329" s="41">
        <f>IFERROR(X326/H326,"0")+IFERROR(X327/H327,"0")+IFERROR(X328/H328,"0")</f>
        <v>0</v>
      </c>
      <c r="Y329" s="41">
        <f>IFERROR(Y326/H326,"0")+IFERROR(Y327/H327,"0")+IFERROR(Y328/H328,"0")</f>
        <v>0</v>
      </c>
      <c r="Z329" s="41">
        <f>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62"/>
      <c r="B330" s="662"/>
      <c r="C330" s="662"/>
      <c r="D330" s="662"/>
      <c r="E330" s="662"/>
      <c r="F330" s="662"/>
      <c r="G330" s="662"/>
      <c r="H330" s="662"/>
      <c r="I330" s="662"/>
      <c r="J330" s="662"/>
      <c r="K330" s="662"/>
      <c r="L330" s="662"/>
      <c r="M330" s="662"/>
      <c r="N330" s="662"/>
      <c r="O330" s="663"/>
      <c r="P330" s="659" t="s">
        <v>40</v>
      </c>
      <c r="Q330" s="660"/>
      <c r="R330" s="660"/>
      <c r="S330" s="660"/>
      <c r="T330" s="660"/>
      <c r="U330" s="660"/>
      <c r="V330" s="661"/>
      <c r="W330" s="40" t="s">
        <v>0</v>
      </c>
      <c r="X330" s="41">
        <f>IFERROR(SUM(X326:X328),"0")</f>
        <v>0</v>
      </c>
      <c r="Y330" s="41">
        <f>IFERROR(SUM(Y326:Y328),"0")</f>
        <v>0</v>
      </c>
      <c r="Z330" s="40"/>
      <c r="AA330" s="64"/>
      <c r="AB330" s="64"/>
      <c r="AC330" s="64"/>
    </row>
    <row r="331" spans="1:68" ht="16.5" hidden="1" customHeight="1" x14ac:dyDescent="0.25">
      <c r="A331" s="664" t="s">
        <v>560</v>
      </c>
      <c r="B331" s="664"/>
      <c r="C331" s="664"/>
      <c r="D331" s="664"/>
      <c r="E331" s="664"/>
      <c r="F331" s="664"/>
      <c r="G331" s="664"/>
      <c r="H331" s="664"/>
      <c r="I331" s="664"/>
      <c r="J331" s="664"/>
      <c r="K331" s="664"/>
      <c r="L331" s="664"/>
      <c r="M331" s="664"/>
      <c r="N331" s="664"/>
      <c r="O331" s="664"/>
      <c r="P331" s="664"/>
      <c r="Q331" s="664"/>
      <c r="R331" s="664"/>
      <c r="S331" s="664"/>
      <c r="T331" s="664"/>
      <c r="U331" s="664"/>
      <c r="V331" s="664"/>
      <c r="W331" s="664"/>
      <c r="X331" s="664"/>
      <c r="Y331" s="664"/>
      <c r="Z331" s="664"/>
      <c r="AA331" s="62"/>
      <c r="AB331" s="62"/>
      <c r="AC331" s="62"/>
    </row>
    <row r="332" spans="1:68" ht="14.25" hidden="1" customHeight="1" x14ac:dyDescent="0.25">
      <c r="A332" s="665" t="s">
        <v>122</v>
      </c>
      <c r="B332" s="665"/>
      <c r="C332" s="665"/>
      <c r="D332" s="665"/>
      <c r="E332" s="665"/>
      <c r="F332" s="665"/>
      <c r="G332" s="665"/>
      <c r="H332" s="665"/>
      <c r="I332" s="665"/>
      <c r="J332" s="665"/>
      <c r="K332" s="665"/>
      <c r="L332" s="665"/>
      <c r="M332" s="665"/>
      <c r="N332" s="665"/>
      <c r="O332" s="665"/>
      <c r="P332" s="665"/>
      <c r="Q332" s="665"/>
      <c r="R332" s="665"/>
      <c r="S332" s="665"/>
      <c r="T332" s="665"/>
      <c r="U332" s="665"/>
      <c r="V332" s="665"/>
      <c r="W332" s="665"/>
      <c r="X332" s="665"/>
      <c r="Y332" s="665"/>
      <c r="Z332" s="665"/>
      <c r="AA332" s="63"/>
      <c r="AB332" s="63"/>
      <c r="AC332" s="63"/>
    </row>
    <row r="333" spans="1:68" ht="27" hidden="1" customHeight="1" x14ac:dyDescent="0.25">
      <c r="A333" s="60" t="s">
        <v>561</v>
      </c>
      <c r="B333" s="60" t="s">
        <v>562</v>
      </c>
      <c r="C333" s="34">
        <v>4301011855</v>
      </c>
      <c r="D333" s="666">
        <v>4680115885837</v>
      </c>
      <c r="E333" s="666"/>
      <c r="F333" s="59">
        <v>1.35</v>
      </c>
      <c r="G333" s="35">
        <v>8</v>
      </c>
      <c r="H333" s="59">
        <v>10.8</v>
      </c>
      <c r="I333" s="59">
        <v>11.21</v>
      </c>
      <c r="J333" s="35">
        <v>64</v>
      </c>
      <c r="K333" s="35" t="s">
        <v>127</v>
      </c>
      <c r="L333" s="35" t="s">
        <v>46</v>
      </c>
      <c r="M333" s="36" t="s">
        <v>126</v>
      </c>
      <c r="N333" s="36"/>
      <c r="O333" s="35">
        <v>55</v>
      </c>
      <c r="P333" s="7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68"/>
      <c r="R333" s="668"/>
      <c r="S333" s="668"/>
      <c r="T333" s="669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IFERROR(IF(Y333=0,"",ROUNDUP(Y333/H333,0)*0.01898),"")</f>
        <v/>
      </c>
      <c r="AA333" s="65" t="s">
        <v>46</v>
      </c>
      <c r="AB333" s="66" t="s">
        <v>46</v>
      </c>
      <c r="AC333" s="431" t="s">
        <v>563</v>
      </c>
      <c r="AG333" s="75"/>
      <c r="AJ333" s="79" t="s">
        <v>46</v>
      </c>
      <c r="AK333" s="79">
        <v>0</v>
      </c>
      <c r="BB333" s="432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37.5" hidden="1" customHeight="1" x14ac:dyDescent="0.25">
      <c r="A334" s="60" t="s">
        <v>564</v>
      </c>
      <c r="B334" s="60" t="s">
        <v>565</v>
      </c>
      <c r="C334" s="34">
        <v>4301012234</v>
      </c>
      <c r="D334" s="666">
        <v>4680115887237</v>
      </c>
      <c r="E334" s="666"/>
      <c r="F334" s="59">
        <v>1.35</v>
      </c>
      <c r="G334" s="35">
        <v>8</v>
      </c>
      <c r="H334" s="59">
        <v>10.8</v>
      </c>
      <c r="I334" s="59">
        <v>11.21</v>
      </c>
      <c r="J334" s="35">
        <v>64</v>
      </c>
      <c r="K334" s="35" t="s">
        <v>127</v>
      </c>
      <c r="L334" s="35" t="s">
        <v>46</v>
      </c>
      <c r="M334" s="36" t="s">
        <v>126</v>
      </c>
      <c r="N334" s="36"/>
      <c r="O334" s="35">
        <v>55</v>
      </c>
      <c r="P334" s="7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68"/>
      <c r="R334" s="668"/>
      <c r="S334" s="668"/>
      <c r="T334" s="669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IFERROR(IF(Y334=0,"",ROUNDUP(Y334/H334,0)*0.01898),"")</f>
        <v/>
      </c>
      <c r="AA334" s="65" t="s">
        <v>46</v>
      </c>
      <c r="AB334" s="66" t="s">
        <v>46</v>
      </c>
      <c r="AC334" s="433" t="s">
        <v>566</v>
      </c>
      <c r="AG334" s="75"/>
      <c r="AJ334" s="79" t="s">
        <v>46</v>
      </c>
      <c r="AK334" s="79">
        <v>0</v>
      </c>
      <c r="BB334" s="434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567</v>
      </c>
      <c r="B335" s="60" t="s">
        <v>568</v>
      </c>
      <c r="C335" s="34">
        <v>4301011850</v>
      </c>
      <c r="D335" s="666">
        <v>4680115885806</v>
      </c>
      <c r="E335" s="666"/>
      <c r="F335" s="59">
        <v>1.35</v>
      </c>
      <c r="G335" s="35">
        <v>8</v>
      </c>
      <c r="H335" s="59">
        <v>10.8</v>
      </c>
      <c r="I335" s="59">
        <v>11.21</v>
      </c>
      <c r="J335" s="35">
        <v>64</v>
      </c>
      <c r="K335" s="35" t="s">
        <v>127</v>
      </c>
      <c r="L335" s="35" t="s">
        <v>46</v>
      </c>
      <c r="M335" s="36" t="s">
        <v>126</v>
      </c>
      <c r="N335" s="36"/>
      <c r="O335" s="35">
        <v>55</v>
      </c>
      <c r="P335" s="7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68"/>
      <c r="R335" s="668"/>
      <c r="S335" s="668"/>
      <c r="T335" s="66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46</v>
      </c>
      <c r="AB335" s="66" t="s">
        <v>46</v>
      </c>
      <c r="AC335" s="435" t="s">
        <v>569</v>
      </c>
      <c r="AG335" s="75"/>
      <c r="AJ335" s="79" t="s">
        <v>46</v>
      </c>
      <c r="AK335" s="79">
        <v>0</v>
      </c>
      <c r="BB335" s="436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570</v>
      </c>
      <c r="B336" s="60" t="s">
        <v>571</v>
      </c>
      <c r="C336" s="34">
        <v>4301011852</v>
      </c>
      <c r="D336" s="666">
        <v>4680115885844</v>
      </c>
      <c r="E336" s="666"/>
      <c r="F336" s="59">
        <v>0.4</v>
      </c>
      <c r="G336" s="35">
        <v>10</v>
      </c>
      <c r="H336" s="59">
        <v>4</v>
      </c>
      <c r="I336" s="59">
        <v>4.1900000000000004</v>
      </c>
      <c r="J336" s="35">
        <v>132</v>
      </c>
      <c r="K336" s="35" t="s">
        <v>134</v>
      </c>
      <c r="L336" s="35" t="s">
        <v>46</v>
      </c>
      <c r="M336" s="36" t="s">
        <v>126</v>
      </c>
      <c r="N336" s="36"/>
      <c r="O336" s="35">
        <v>55</v>
      </c>
      <c r="P336" s="7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68"/>
      <c r="R336" s="668"/>
      <c r="S336" s="668"/>
      <c r="T336" s="66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IFERROR(IF(Y336=0,"",ROUNDUP(Y336/H336,0)*0.00902),"")</f>
        <v/>
      </c>
      <c r="AA336" s="65" t="s">
        <v>46</v>
      </c>
      <c r="AB336" s="66" t="s">
        <v>46</v>
      </c>
      <c r="AC336" s="437" t="s">
        <v>572</v>
      </c>
      <c r="AG336" s="75"/>
      <c r="AJ336" s="79" t="s">
        <v>46</v>
      </c>
      <c r="AK336" s="79">
        <v>0</v>
      </c>
      <c r="BB336" s="438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37.5" hidden="1" customHeight="1" x14ac:dyDescent="0.25">
      <c r="A337" s="60" t="s">
        <v>573</v>
      </c>
      <c r="B337" s="60" t="s">
        <v>574</v>
      </c>
      <c r="C337" s="34">
        <v>4301011851</v>
      </c>
      <c r="D337" s="666">
        <v>4680115885820</v>
      </c>
      <c r="E337" s="666"/>
      <c r="F337" s="59">
        <v>0.4</v>
      </c>
      <c r="G337" s="35">
        <v>10</v>
      </c>
      <c r="H337" s="59">
        <v>4</v>
      </c>
      <c r="I337" s="59">
        <v>4.1900000000000004</v>
      </c>
      <c r="J337" s="35">
        <v>132</v>
      </c>
      <c r="K337" s="35" t="s">
        <v>134</v>
      </c>
      <c r="L337" s="35" t="s">
        <v>46</v>
      </c>
      <c r="M337" s="36" t="s">
        <v>126</v>
      </c>
      <c r="N337" s="36"/>
      <c r="O337" s="35">
        <v>55</v>
      </c>
      <c r="P337" s="7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68"/>
      <c r="R337" s="668"/>
      <c r="S337" s="668"/>
      <c r="T337" s="66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IFERROR(IF(Y337=0,"",ROUNDUP(Y337/H337,0)*0.00902),"")</f>
        <v/>
      </c>
      <c r="AA337" s="65" t="s">
        <v>46</v>
      </c>
      <c r="AB337" s="66" t="s">
        <v>46</v>
      </c>
      <c r="AC337" s="439" t="s">
        <v>575</v>
      </c>
      <c r="AG337" s="75"/>
      <c r="AJ337" s="79" t="s">
        <v>46</v>
      </c>
      <c r="AK337" s="79">
        <v>0</v>
      </c>
      <c r="BB337" s="440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62"/>
      <c r="B338" s="662"/>
      <c r="C338" s="662"/>
      <c r="D338" s="662"/>
      <c r="E338" s="662"/>
      <c r="F338" s="662"/>
      <c r="G338" s="662"/>
      <c r="H338" s="662"/>
      <c r="I338" s="662"/>
      <c r="J338" s="662"/>
      <c r="K338" s="662"/>
      <c r="L338" s="662"/>
      <c r="M338" s="662"/>
      <c r="N338" s="662"/>
      <c r="O338" s="663"/>
      <c r="P338" s="659" t="s">
        <v>40</v>
      </c>
      <c r="Q338" s="660"/>
      <c r="R338" s="660"/>
      <c r="S338" s="660"/>
      <c r="T338" s="660"/>
      <c r="U338" s="660"/>
      <c r="V338" s="661"/>
      <c r="W338" s="40" t="s">
        <v>39</v>
      </c>
      <c r="X338" s="41">
        <f>IFERROR(X333/H333,"0")+IFERROR(X334/H334,"0")+IFERROR(X335/H335,"0")+IFERROR(X336/H336,"0")+IFERROR(X337/H337,"0")</f>
        <v>0</v>
      </c>
      <c r="Y338" s="41">
        <f>IFERROR(Y333/H333,"0")+IFERROR(Y334/H334,"0")+IFERROR(Y335/H335,"0")+IFERROR(Y336/H336,"0")+IFERROR(Y337/H337,"0")</f>
        <v>0</v>
      </c>
      <c r="Z338" s="41">
        <f>IFERROR(IF(Z333="",0,Z333),"0")+IFERROR(IF(Z334="",0,Z334),"0")+IFERROR(IF(Z335="",0,Z335),"0")+IFERROR(IF(Z336="",0,Z336),"0")+IFERROR(IF(Z337="",0,Z337),"0")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62"/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3"/>
      <c r="P339" s="659" t="s">
        <v>40</v>
      </c>
      <c r="Q339" s="660"/>
      <c r="R339" s="660"/>
      <c r="S339" s="660"/>
      <c r="T339" s="660"/>
      <c r="U339" s="660"/>
      <c r="V339" s="661"/>
      <c r="W339" s="40" t="s">
        <v>0</v>
      </c>
      <c r="X339" s="41">
        <f>IFERROR(SUM(X333:X337),"0")</f>
        <v>0</v>
      </c>
      <c r="Y339" s="41">
        <f>IFERROR(SUM(Y333:Y337),"0")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64" t="s">
        <v>576</v>
      </c>
      <c r="B340" s="664"/>
      <c r="C340" s="664"/>
      <c r="D340" s="664"/>
      <c r="E340" s="664"/>
      <c r="F340" s="664"/>
      <c r="G340" s="664"/>
      <c r="H340" s="664"/>
      <c r="I340" s="664"/>
      <c r="J340" s="664"/>
      <c r="K340" s="664"/>
      <c r="L340" s="664"/>
      <c r="M340" s="664"/>
      <c r="N340" s="664"/>
      <c r="O340" s="664"/>
      <c r="P340" s="664"/>
      <c r="Q340" s="664"/>
      <c r="R340" s="664"/>
      <c r="S340" s="664"/>
      <c r="T340" s="664"/>
      <c r="U340" s="664"/>
      <c r="V340" s="664"/>
      <c r="W340" s="664"/>
      <c r="X340" s="664"/>
      <c r="Y340" s="664"/>
      <c r="Z340" s="664"/>
      <c r="AA340" s="62"/>
      <c r="AB340" s="62"/>
      <c r="AC340" s="62"/>
    </row>
    <row r="341" spans="1:68" ht="14.25" hidden="1" customHeight="1" x14ac:dyDescent="0.25">
      <c r="A341" s="665" t="s">
        <v>86</v>
      </c>
      <c r="B341" s="665"/>
      <c r="C341" s="665"/>
      <c r="D341" s="665"/>
      <c r="E341" s="665"/>
      <c r="F341" s="665"/>
      <c r="G341" s="665"/>
      <c r="H341" s="665"/>
      <c r="I341" s="665"/>
      <c r="J341" s="665"/>
      <c r="K341" s="665"/>
      <c r="L341" s="665"/>
      <c r="M341" s="665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3"/>
      <c r="AB341" s="63"/>
      <c r="AC341" s="63"/>
    </row>
    <row r="342" spans="1:68" ht="27" hidden="1" customHeight="1" x14ac:dyDescent="0.25">
      <c r="A342" s="60" t="s">
        <v>577</v>
      </c>
      <c r="B342" s="60" t="s">
        <v>578</v>
      </c>
      <c r="C342" s="34">
        <v>4301051893</v>
      </c>
      <c r="D342" s="666">
        <v>4680115886186</v>
      </c>
      <c r="E342" s="666"/>
      <c r="F342" s="59">
        <v>0.3</v>
      </c>
      <c r="G342" s="35">
        <v>6</v>
      </c>
      <c r="H342" s="59">
        <v>1.8</v>
      </c>
      <c r="I342" s="59">
        <v>1.98</v>
      </c>
      <c r="J342" s="35">
        <v>182</v>
      </c>
      <c r="K342" s="35" t="s">
        <v>91</v>
      </c>
      <c r="L342" s="35" t="s">
        <v>46</v>
      </c>
      <c r="M342" s="36" t="s">
        <v>90</v>
      </c>
      <c r="N342" s="36"/>
      <c r="O342" s="35">
        <v>45</v>
      </c>
      <c r="P342" s="77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68"/>
      <c r="R342" s="668"/>
      <c r="S342" s="668"/>
      <c r="T342" s="66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IFERROR(IF(Y342=0,"",ROUNDUP(Y342/H342,0)*0.00651),"")</f>
        <v/>
      </c>
      <c r="AA342" s="65" t="s">
        <v>46</v>
      </c>
      <c r="AB342" s="66" t="s">
        <v>46</v>
      </c>
      <c r="AC342" s="441" t="s">
        <v>579</v>
      </c>
      <c r="AG342" s="75"/>
      <c r="AJ342" s="79" t="s">
        <v>46</v>
      </c>
      <c r="AK342" s="79">
        <v>0</v>
      </c>
      <c r="BB342" s="442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580</v>
      </c>
      <c r="B343" s="60" t="s">
        <v>581</v>
      </c>
      <c r="C343" s="34">
        <v>4301051795</v>
      </c>
      <c r="D343" s="666">
        <v>4680115881228</v>
      </c>
      <c r="E343" s="666"/>
      <c r="F343" s="59">
        <v>0.4</v>
      </c>
      <c r="G343" s="35">
        <v>6</v>
      </c>
      <c r="H343" s="59">
        <v>2.4</v>
      </c>
      <c r="I343" s="59">
        <v>2.6520000000000001</v>
      </c>
      <c r="J343" s="35">
        <v>182</v>
      </c>
      <c r="K343" s="35" t="s">
        <v>91</v>
      </c>
      <c r="L343" s="35" t="s">
        <v>46</v>
      </c>
      <c r="M343" s="36" t="s">
        <v>97</v>
      </c>
      <c r="N343" s="36"/>
      <c r="O343" s="35">
        <v>40</v>
      </c>
      <c r="P343" s="7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68"/>
      <c r="R343" s="668"/>
      <c r="S343" s="668"/>
      <c r="T343" s="66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46</v>
      </c>
      <c r="AB343" s="66" t="s">
        <v>46</v>
      </c>
      <c r="AC343" s="443" t="s">
        <v>582</v>
      </c>
      <c r="AG343" s="75"/>
      <c r="AJ343" s="79" t="s">
        <v>46</v>
      </c>
      <c r="AK343" s="79">
        <v>0</v>
      </c>
      <c r="BB343" s="444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583</v>
      </c>
      <c r="B344" s="60" t="s">
        <v>584</v>
      </c>
      <c r="C344" s="34">
        <v>4301051388</v>
      </c>
      <c r="D344" s="666">
        <v>4680115881211</v>
      </c>
      <c r="E344" s="666"/>
      <c r="F344" s="59">
        <v>0.4</v>
      </c>
      <c r="G344" s="35">
        <v>6</v>
      </c>
      <c r="H344" s="59">
        <v>2.4</v>
      </c>
      <c r="I344" s="59">
        <v>2.58</v>
      </c>
      <c r="J344" s="35">
        <v>182</v>
      </c>
      <c r="K344" s="35" t="s">
        <v>91</v>
      </c>
      <c r="L344" s="35" t="s">
        <v>46</v>
      </c>
      <c r="M344" s="36" t="s">
        <v>90</v>
      </c>
      <c r="N344" s="36"/>
      <c r="O344" s="35">
        <v>45</v>
      </c>
      <c r="P344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68"/>
      <c r="R344" s="668"/>
      <c r="S344" s="668"/>
      <c r="T344" s="66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46</v>
      </c>
      <c r="AB344" s="66" t="s">
        <v>46</v>
      </c>
      <c r="AC344" s="445" t="s">
        <v>579</v>
      </c>
      <c r="AG344" s="75"/>
      <c r="AJ344" s="79" t="s">
        <v>46</v>
      </c>
      <c r="AK344" s="79">
        <v>0</v>
      </c>
      <c r="BB344" s="446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662"/>
      <c r="B345" s="662"/>
      <c r="C345" s="662"/>
      <c r="D345" s="662"/>
      <c r="E345" s="662"/>
      <c r="F345" s="662"/>
      <c r="G345" s="662"/>
      <c r="H345" s="662"/>
      <c r="I345" s="662"/>
      <c r="J345" s="662"/>
      <c r="K345" s="662"/>
      <c r="L345" s="662"/>
      <c r="M345" s="662"/>
      <c r="N345" s="662"/>
      <c r="O345" s="663"/>
      <c r="P345" s="659" t="s">
        <v>40</v>
      </c>
      <c r="Q345" s="660"/>
      <c r="R345" s="660"/>
      <c r="S345" s="660"/>
      <c r="T345" s="660"/>
      <c r="U345" s="660"/>
      <c r="V345" s="661"/>
      <c r="W345" s="40" t="s">
        <v>39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662"/>
      <c r="B346" s="662"/>
      <c r="C346" s="662"/>
      <c r="D346" s="662"/>
      <c r="E346" s="662"/>
      <c r="F346" s="662"/>
      <c r="G346" s="662"/>
      <c r="H346" s="662"/>
      <c r="I346" s="662"/>
      <c r="J346" s="662"/>
      <c r="K346" s="662"/>
      <c r="L346" s="662"/>
      <c r="M346" s="662"/>
      <c r="N346" s="662"/>
      <c r="O346" s="663"/>
      <c r="P346" s="659" t="s">
        <v>40</v>
      </c>
      <c r="Q346" s="660"/>
      <c r="R346" s="660"/>
      <c r="S346" s="660"/>
      <c r="T346" s="660"/>
      <c r="U346" s="660"/>
      <c r="V346" s="661"/>
      <c r="W346" s="40" t="s">
        <v>0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16.5" hidden="1" customHeight="1" x14ac:dyDescent="0.25">
      <c r="A347" s="664" t="s">
        <v>585</v>
      </c>
      <c r="B347" s="664"/>
      <c r="C347" s="664"/>
      <c r="D347" s="664"/>
      <c r="E347" s="664"/>
      <c r="F347" s="664"/>
      <c r="G347" s="664"/>
      <c r="H347" s="664"/>
      <c r="I347" s="664"/>
      <c r="J347" s="664"/>
      <c r="K347" s="664"/>
      <c r="L347" s="664"/>
      <c r="M347" s="664"/>
      <c r="N347" s="664"/>
      <c r="O347" s="664"/>
      <c r="P347" s="664"/>
      <c r="Q347" s="664"/>
      <c r="R347" s="664"/>
      <c r="S347" s="664"/>
      <c r="T347" s="664"/>
      <c r="U347" s="664"/>
      <c r="V347" s="664"/>
      <c r="W347" s="664"/>
      <c r="X347" s="664"/>
      <c r="Y347" s="664"/>
      <c r="Z347" s="664"/>
      <c r="AA347" s="62"/>
      <c r="AB347" s="62"/>
      <c r="AC347" s="62"/>
    </row>
    <row r="348" spans="1:68" ht="14.25" hidden="1" customHeight="1" x14ac:dyDescent="0.25">
      <c r="A348" s="665" t="s">
        <v>77</v>
      </c>
      <c r="B348" s="665"/>
      <c r="C348" s="665"/>
      <c r="D348" s="665"/>
      <c r="E348" s="665"/>
      <c r="F348" s="665"/>
      <c r="G348" s="665"/>
      <c r="H348" s="665"/>
      <c r="I348" s="665"/>
      <c r="J348" s="665"/>
      <c r="K348" s="665"/>
      <c r="L348" s="665"/>
      <c r="M348" s="665"/>
      <c r="N348" s="665"/>
      <c r="O348" s="665"/>
      <c r="P348" s="665"/>
      <c r="Q348" s="665"/>
      <c r="R348" s="665"/>
      <c r="S348" s="665"/>
      <c r="T348" s="665"/>
      <c r="U348" s="665"/>
      <c r="V348" s="665"/>
      <c r="W348" s="665"/>
      <c r="X348" s="665"/>
      <c r="Y348" s="665"/>
      <c r="Z348" s="665"/>
      <c r="AA348" s="63"/>
      <c r="AB348" s="63"/>
      <c r="AC348" s="63"/>
    </row>
    <row r="349" spans="1:68" ht="27" hidden="1" customHeight="1" x14ac:dyDescent="0.25">
      <c r="A349" s="60" t="s">
        <v>586</v>
      </c>
      <c r="B349" s="60" t="s">
        <v>587</v>
      </c>
      <c r="C349" s="34">
        <v>4301031445</v>
      </c>
      <c r="D349" s="666">
        <v>4680115888319</v>
      </c>
      <c r="E349" s="666"/>
      <c r="F349" s="59">
        <v>0.35</v>
      </c>
      <c r="G349" s="35">
        <v>6</v>
      </c>
      <c r="H349" s="59">
        <v>2.1</v>
      </c>
      <c r="I349" s="59">
        <v>2.23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45</v>
      </c>
      <c r="P349" s="78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68"/>
      <c r="R349" s="668"/>
      <c r="S349" s="668"/>
      <c r="T349" s="669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420</v>
      </c>
      <c r="AG349" s="75"/>
      <c r="AJ349" s="79" t="s">
        <v>46</v>
      </c>
      <c r="AK349" s="79">
        <v>0</v>
      </c>
      <c r="BB349" s="448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588</v>
      </c>
      <c r="B350" s="60" t="s">
        <v>589</v>
      </c>
      <c r="C350" s="34">
        <v>4301031502</v>
      </c>
      <c r="D350" s="666">
        <v>4680115884700</v>
      </c>
      <c r="E350" s="666"/>
      <c r="F350" s="59">
        <v>0.57999999999999996</v>
      </c>
      <c r="G350" s="35">
        <v>4</v>
      </c>
      <c r="H350" s="59">
        <v>2.3199999999999998</v>
      </c>
      <c r="I350" s="59">
        <v>2.42</v>
      </c>
      <c r="J350" s="35">
        <v>234</v>
      </c>
      <c r="K350" s="35" t="s">
        <v>82</v>
      </c>
      <c r="L350" s="35" t="s">
        <v>46</v>
      </c>
      <c r="M350" s="36" t="s">
        <v>81</v>
      </c>
      <c r="N350" s="36"/>
      <c r="O350" s="35">
        <v>40</v>
      </c>
      <c r="P350" s="7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68"/>
      <c r="R350" s="668"/>
      <c r="S350" s="668"/>
      <c r="T350" s="66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IFERROR(IF(Y350=0,"",ROUNDUP(Y350/H350,0)*0.00502),"")</f>
        <v/>
      </c>
      <c r="AA350" s="65" t="s">
        <v>46</v>
      </c>
      <c r="AB350" s="66" t="s">
        <v>46</v>
      </c>
      <c r="AC350" s="449" t="s">
        <v>590</v>
      </c>
      <c r="AG350" s="75"/>
      <c r="AJ350" s="79" t="s">
        <v>46</v>
      </c>
      <c r="AK350" s="79">
        <v>0</v>
      </c>
      <c r="BB350" s="450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591</v>
      </c>
      <c r="B351" s="60" t="s">
        <v>592</v>
      </c>
      <c r="C351" s="34">
        <v>4301031307</v>
      </c>
      <c r="D351" s="666">
        <v>4680115880344</v>
      </c>
      <c r="E351" s="666"/>
      <c r="F351" s="59">
        <v>0.28000000000000003</v>
      </c>
      <c r="G351" s="35">
        <v>6</v>
      </c>
      <c r="H351" s="59">
        <v>1.68</v>
      </c>
      <c r="I351" s="59">
        <v>1.78</v>
      </c>
      <c r="J351" s="35">
        <v>234</v>
      </c>
      <c r="K351" s="35" t="s">
        <v>82</v>
      </c>
      <c r="L351" s="35" t="s">
        <v>46</v>
      </c>
      <c r="M351" s="36" t="s">
        <v>81</v>
      </c>
      <c r="N351" s="36"/>
      <c r="O351" s="35">
        <v>40</v>
      </c>
      <c r="P351" s="77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68"/>
      <c r="R351" s="668"/>
      <c r="S351" s="668"/>
      <c r="T351" s="66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IFERROR(IF(Y351=0,"",ROUNDUP(Y351/H351,0)*0.00502),"")</f>
        <v/>
      </c>
      <c r="AA351" s="65" t="s">
        <v>46</v>
      </c>
      <c r="AB351" s="66" t="s">
        <v>46</v>
      </c>
      <c r="AC351" s="451" t="s">
        <v>593</v>
      </c>
      <c r="AG351" s="75"/>
      <c r="AJ351" s="79" t="s">
        <v>46</v>
      </c>
      <c r="AK351" s="79">
        <v>0</v>
      </c>
      <c r="BB351" s="452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594</v>
      </c>
      <c r="B352" s="60" t="s">
        <v>595</v>
      </c>
      <c r="C352" s="34">
        <v>4301031501</v>
      </c>
      <c r="D352" s="666">
        <v>4680115886919</v>
      </c>
      <c r="E352" s="666"/>
      <c r="F352" s="59">
        <v>0.4</v>
      </c>
      <c r="G352" s="35">
        <v>6</v>
      </c>
      <c r="H352" s="59">
        <v>2.4</v>
      </c>
      <c r="I352" s="59">
        <v>2.58</v>
      </c>
      <c r="J352" s="35">
        <v>182</v>
      </c>
      <c r="K352" s="35" t="s">
        <v>91</v>
      </c>
      <c r="L352" s="35" t="s">
        <v>46</v>
      </c>
      <c r="M352" s="36" t="s">
        <v>81</v>
      </c>
      <c r="N352" s="36"/>
      <c r="O352" s="35">
        <v>40</v>
      </c>
      <c r="P352" s="77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68"/>
      <c r="R352" s="668"/>
      <c r="S352" s="668"/>
      <c r="T352" s="669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46</v>
      </c>
      <c r="AB352" s="66" t="s">
        <v>46</v>
      </c>
      <c r="AC352" s="453" t="s">
        <v>596</v>
      </c>
      <c r="AG352" s="75"/>
      <c r="AJ352" s="79" t="s">
        <v>46</v>
      </c>
      <c r="AK352" s="79">
        <v>0</v>
      </c>
      <c r="BB352" s="454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597</v>
      </c>
      <c r="B353" s="60" t="s">
        <v>598</v>
      </c>
      <c r="C353" s="34">
        <v>4301031246</v>
      </c>
      <c r="D353" s="666">
        <v>4680115883970</v>
      </c>
      <c r="E353" s="666"/>
      <c r="F353" s="59">
        <v>0.28000000000000003</v>
      </c>
      <c r="G353" s="35">
        <v>6</v>
      </c>
      <c r="H353" s="59">
        <v>1.68</v>
      </c>
      <c r="I353" s="59">
        <v>2.5</v>
      </c>
      <c r="J353" s="35">
        <v>234</v>
      </c>
      <c r="K353" s="35" t="s">
        <v>82</v>
      </c>
      <c r="L353" s="35" t="s">
        <v>46</v>
      </c>
      <c r="M353" s="36" t="s">
        <v>81</v>
      </c>
      <c r="N353" s="36"/>
      <c r="O353" s="35">
        <v>40</v>
      </c>
      <c r="P353" s="77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68"/>
      <c r="R353" s="668"/>
      <c r="S353" s="668"/>
      <c r="T353" s="669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IFERROR(IF(Y353=0,"",ROUNDUP(Y353/H353,0)*0.00502),"")</f>
        <v/>
      </c>
      <c r="AA353" s="65" t="s">
        <v>46</v>
      </c>
      <c r="AB353" s="66" t="s">
        <v>46</v>
      </c>
      <c r="AC353" s="455" t="s">
        <v>599</v>
      </c>
      <c r="AG353" s="75"/>
      <c r="AJ353" s="79" t="s">
        <v>46</v>
      </c>
      <c r="AK353" s="79">
        <v>0</v>
      </c>
      <c r="BB353" s="456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idden="1" x14ac:dyDescent="0.2">
      <c r="A354" s="662"/>
      <c r="B354" s="662"/>
      <c r="C354" s="662"/>
      <c r="D354" s="662"/>
      <c r="E354" s="662"/>
      <c r="F354" s="662"/>
      <c r="G354" s="662"/>
      <c r="H354" s="662"/>
      <c r="I354" s="662"/>
      <c r="J354" s="662"/>
      <c r="K354" s="662"/>
      <c r="L354" s="662"/>
      <c r="M354" s="662"/>
      <c r="N354" s="662"/>
      <c r="O354" s="663"/>
      <c r="P354" s="659" t="s">
        <v>40</v>
      </c>
      <c r="Q354" s="660"/>
      <c r="R354" s="660"/>
      <c r="S354" s="660"/>
      <c r="T354" s="660"/>
      <c r="U354" s="660"/>
      <c r="V354" s="661"/>
      <c r="W354" s="40" t="s">
        <v>39</v>
      </c>
      <c r="X354" s="41">
        <f>IFERROR(X349/H349,"0")+IFERROR(X350/H350,"0")+IFERROR(X351/H351,"0")+IFERROR(X352/H352,"0")+IFERROR(X353/H353,"0")</f>
        <v>0</v>
      </c>
      <c r="Y354" s="41">
        <f>IFERROR(Y349/H349,"0")+IFERROR(Y350/H350,"0")+IFERROR(Y351/H351,"0")+IFERROR(Y352/H352,"0")+IFERROR(Y353/H353,"0")</f>
        <v>0</v>
      </c>
      <c r="Z354" s="41">
        <f>IFERROR(IF(Z349="",0,Z349),"0")+IFERROR(IF(Z350="",0,Z350),"0")+IFERROR(IF(Z351="",0,Z351),"0")+IFERROR(IF(Z352="",0,Z352),"0")+IFERROR(IF(Z353="",0,Z353),"0")</f>
        <v>0</v>
      </c>
      <c r="AA354" s="64"/>
      <c r="AB354" s="64"/>
      <c r="AC354" s="64"/>
    </row>
    <row r="355" spans="1:68" hidden="1" x14ac:dyDescent="0.2">
      <c r="A355" s="662"/>
      <c r="B355" s="662"/>
      <c r="C355" s="662"/>
      <c r="D355" s="662"/>
      <c r="E355" s="662"/>
      <c r="F355" s="662"/>
      <c r="G355" s="662"/>
      <c r="H355" s="662"/>
      <c r="I355" s="662"/>
      <c r="J355" s="662"/>
      <c r="K355" s="662"/>
      <c r="L355" s="662"/>
      <c r="M355" s="662"/>
      <c r="N355" s="662"/>
      <c r="O355" s="663"/>
      <c r="P355" s="659" t="s">
        <v>40</v>
      </c>
      <c r="Q355" s="660"/>
      <c r="R355" s="660"/>
      <c r="S355" s="660"/>
      <c r="T355" s="660"/>
      <c r="U355" s="660"/>
      <c r="V355" s="661"/>
      <c r="W355" s="40" t="s">
        <v>0</v>
      </c>
      <c r="X355" s="41">
        <f>IFERROR(SUM(X349:X353),"0")</f>
        <v>0</v>
      </c>
      <c r="Y355" s="41">
        <f>IFERROR(SUM(Y349:Y353),"0")</f>
        <v>0</v>
      </c>
      <c r="Z355" s="40"/>
      <c r="AA355" s="64"/>
      <c r="AB355" s="64"/>
      <c r="AC355" s="64"/>
    </row>
    <row r="356" spans="1:68" ht="14.25" hidden="1" customHeight="1" x14ac:dyDescent="0.25">
      <c r="A356" s="665" t="s">
        <v>86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3"/>
      <c r="AB356" s="63"/>
      <c r="AC356" s="63"/>
    </row>
    <row r="357" spans="1:68" ht="27" hidden="1" customHeight="1" x14ac:dyDescent="0.25">
      <c r="A357" s="60" t="s">
        <v>600</v>
      </c>
      <c r="B357" s="60" t="s">
        <v>601</v>
      </c>
      <c r="C357" s="34">
        <v>4301051782</v>
      </c>
      <c r="D357" s="666">
        <v>4680115884618</v>
      </c>
      <c r="E357" s="666"/>
      <c r="F357" s="59">
        <v>0.6</v>
      </c>
      <c r="G357" s="35">
        <v>6</v>
      </c>
      <c r="H357" s="59">
        <v>3.6</v>
      </c>
      <c r="I357" s="59">
        <v>3.79</v>
      </c>
      <c r="J357" s="35">
        <v>132</v>
      </c>
      <c r="K357" s="35" t="s">
        <v>134</v>
      </c>
      <c r="L357" s="35" t="s">
        <v>46</v>
      </c>
      <c r="M357" s="36" t="s">
        <v>90</v>
      </c>
      <c r="N357" s="36"/>
      <c r="O357" s="35">
        <v>45</v>
      </c>
      <c r="P357" s="7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68"/>
      <c r="R357" s="668"/>
      <c r="S357" s="668"/>
      <c r="T357" s="66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57" t="s">
        <v>602</v>
      </c>
      <c r="AG357" s="75"/>
      <c r="AJ357" s="79" t="s">
        <v>46</v>
      </c>
      <c r="AK357" s="79">
        <v>0</v>
      </c>
      <c r="BB357" s="458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603</v>
      </c>
      <c r="B358" s="60" t="s">
        <v>604</v>
      </c>
      <c r="C358" s="34">
        <v>4301052057</v>
      </c>
      <c r="D358" s="666">
        <v>4680115887114</v>
      </c>
      <c r="E358" s="666"/>
      <c r="F358" s="59">
        <v>0.55000000000000004</v>
      </c>
      <c r="G358" s="35">
        <v>6</v>
      </c>
      <c r="H358" s="59">
        <v>3.3</v>
      </c>
      <c r="I358" s="59">
        <v>3.49</v>
      </c>
      <c r="J358" s="35">
        <v>132</v>
      </c>
      <c r="K358" s="35" t="s">
        <v>134</v>
      </c>
      <c r="L358" s="35" t="s">
        <v>46</v>
      </c>
      <c r="M358" s="36" t="s">
        <v>90</v>
      </c>
      <c r="N358" s="36"/>
      <c r="O358" s="35">
        <v>45</v>
      </c>
      <c r="P358" s="7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68"/>
      <c r="R358" s="668"/>
      <c r="S358" s="668"/>
      <c r="T358" s="66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59" t="s">
        <v>605</v>
      </c>
      <c r="AG358" s="75"/>
      <c r="AJ358" s="79" t="s">
        <v>46</v>
      </c>
      <c r="AK358" s="79">
        <v>0</v>
      </c>
      <c r="BB358" s="460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62"/>
      <c r="B359" s="662"/>
      <c r="C359" s="662"/>
      <c r="D359" s="662"/>
      <c r="E359" s="662"/>
      <c r="F359" s="662"/>
      <c r="G359" s="662"/>
      <c r="H359" s="662"/>
      <c r="I359" s="662"/>
      <c r="J359" s="662"/>
      <c r="K359" s="662"/>
      <c r="L359" s="662"/>
      <c r="M359" s="662"/>
      <c r="N359" s="662"/>
      <c r="O359" s="663"/>
      <c r="P359" s="659" t="s">
        <v>40</v>
      </c>
      <c r="Q359" s="660"/>
      <c r="R359" s="660"/>
      <c r="S359" s="660"/>
      <c r="T359" s="660"/>
      <c r="U359" s="660"/>
      <c r="V359" s="661"/>
      <c r="W359" s="40" t="s">
        <v>39</v>
      </c>
      <c r="X359" s="41">
        <f>IFERROR(X357/H357,"0")+IFERROR(X358/H358,"0")</f>
        <v>0</v>
      </c>
      <c r="Y359" s="41">
        <f>IFERROR(Y357/H357,"0")+IFERROR(Y358/H358,"0")</f>
        <v>0</v>
      </c>
      <c r="Z359" s="41">
        <f>IFERROR(IF(Z357="",0,Z357),"0")+IFERROR(IF(Z358="",0,Z358),"0")</f>
        <v>0</v>
      </c>
      <c r="AA359" s="64"/>
      <c r="AB359" s="64"/>
      <c r="AC359" s="64"/>
    </row>
    <row r="360" spans="1:68" hidden="1" x14ac:dyDescent="0.2">
      <c r="A360" s="662"/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3"/>
      <c r="P360" s="659" t="s">
        <v>40</v>
      </c>
      <c r="Q360" s="660"/>
      <c r="R360" s="660"/>
      <c r="S360" s="660"/>
      <c r="T360" s="660"/>
      <c r="U360" s="660"/>
      <c r="V360" s="661"/>
      <c r="W360" s="40" t="s">
        <v>0</v>
      </c>
      <c r="X360" s="41">
        <f>IFERROR(SUM(X357:X358),"0")</f>
        <v>0</v>
      </c>
      <c r="Y360" s="41">
        <f>IFERROR(SUM(Y357:Y358),"0")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64" t="s">
        <v>606</v>
      </c>
      <c r="B361" s="664"/>
      <c r="C361" s="664"/>
      <c r="D361" s="664"/>
      <c r="E361" s="664"/>
      <c r="F361" s="664"/>
      <c r="G361" s="664"/>
      <c r="H361" s="664"/>
      <c r="I361" s="664"/>
      <c r="J361" s="664"/>
      <c r="K361" s="664"/>
      <c r="L361" s="664"/>
      <c r="M361" s="664"/>
      <c r="N361" s="664"/>
      <c r="O361" s="664"/>
      <c r="P361" s="664"/>
      <c r="Q361" s="664"/>
      <c r="R361" s="664"/>
      <c r="S361" s="664"/>
      <c r="T361" s="664"/>
      <c r="U361" s="664"/>
      <c r="V361" s="664"/>
      <c r="W361" s="664"/>
      <c r="X361" s="664"/>
      <c r="Y361" s="664"/>
      <c r="Z361" s="664"/>
      <c r="AA361" s="62"/>
      <c r="AB361" s="62"/>
      <c r="AC361" s="62"/>
    </row>
    <row r="362" spans="1:68" ht="14.25" hidden="1" customHeight="1" x14ac:dyDescent="0.25">
      <c r="A362" s="665" t="s">
        <v>122</v>
      </c>
      <c r="B362" s="665"/>
      <c r="C362" s="665"/>
      <c r="D362" s="665"/>
      <c r="E362" s="665"/>
      <c r="F362" s="665"/>
      <c r="G362" s="665"/>
      <c r="H362" s="665"/>
      <c r="I362" s="665"/>
      <c r="J362" s="665"/>
      <c r="K362" s="665"/>
      <c r="L362" s="665"/>
      <c r="M362" s="665"/>
      <c r="N362" s="665"/>
      <c r="O362" s="665"/>
      <c r="P362" s="665"/>
      <c r="Q362" s="665"/>
      <c r="R362" s="665"/>
      <c r="S362" s="665"/>
      <c r="T362" s="665"/>
      <c r="U362" s="665"/>
      <c r="V362" s="665"/>
      <c r="W362" s="665"/>
      <c r="X362" s="665"/>
      <c r="Y362" s="665"/>
      <c r="Z362" s="665"/>
      <c r="AA362" s="63"/>
      <c r="AB362" s="63"/>
      <c r="AC362" s="63"/>
    </row>
    <row r="363" spans="1:68" ht="27" hidden="1" customHeight="1" x14ac:dyDescent="0.25">
      <c r="A363" s="60" t="s">
        <v>607</v>
      </c>
      <c r="B363" s="60" t="s">
        <v>608</v>
      </c>
      <c r="C363" s="34">
        <v>4301012324</v>
      </c>
      <c r="D363" s="666">
        <v>4680115887947</v>
      </c>
      <c r="E363" s="666"/>
      <c r="F363" s="59">
        <v>1.3</v>
      </c>
      <c r="G363" s="35">
        <v>6</v>
      </c>
      <c r="H363" s="59">
        <v>7.8</v>
      </c>
      <c r="I363" s="59">
        <v>8.2100000000000009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60</v>
      </c>
      <c r="P363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68"/>
      <c r="R363" s="668"/>
      <c r="S363" s="668"/>
      <c r="T363" s="669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61" t="s">
        <v>379</v>
      </c>
      <c r="AG363" s="75"/>
      <c r="AJ363" s="79" t="s">
        <v>46</v>
      </c>
      <c r="AK363" s="79">
        <v>0</v>
      </c>
      <c r="BB363" s="462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27" hidden="1" customHeight="1" x14ac:dyDescent="0.25">
      <c r="A364" s="60" t="s">
        <v>609</v>
      </c>
      <c r="B364" s="60" t="s">
        <v>610</v>
      </c>
      <c r="C364" s="34">
        <v>4301012325</v>
      </c>
      <c r="D364" s="666">
        <v>4680115887978</v>
      </c>
      <c r="E364" s="666"/>
      <c r="F364" s="59">
        <v>1.3</v>
      </c>
      <c r="G364" s="35">
        <v>6</v>
      </c>
      <c r="H364" s="59">
        <v>7.8</v>
      </c>
      <c r="I364" s="59">
        <v>8.2100000000000009</v>
      </c>
      <c r="J364" s="35">
        <v>64</v>
      </c>
      <c r="K364" s="35" t="s">
        <v>127</v>
      </c>
      <c r="L364" s="35" t="s">
        <v>46</v>
      </c>
      <c r="M364" s="36" t="s">
        <v>90</v>
      </c>
      <c r="N364" s="36"/>
      <c r="O364" s="35">
        <v>60</v>
      </c>
      <c r="P364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68"/>
      <c r="R364" s="668"/>
      <c r="S364" s="668"/>
      <c r="T364" s="669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63" t="s">
        <v>611</v>
      </c>
      <c r="AG364" s="75"/>
      <c r="AJ364" s="79" t="s">
        <v>46</v>
      </c>
      <c r="AK364" s="79">
        <v>0</v>
      </c>
      <c r="BB364" s="46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612</v>
      </c>
      <c r="B365" s="60" t="s">
        <v>613</v>
      </c>
      <c r="C365" s="34">
        <v>4301012327</v>
      </c>
      <c r="D365" s="666">
        <v>4680115887992</v>
      </c>
      <c r="E365" s="666"/>
      <c r="F365" s="59">
        <v>1.3</v>
      </c>
      <c r="G365" s="35">
        <v>6</v>
      </c>
      <c r="H365" s="59">
        <v>7.8</v>
      </c>
      <c r="I365" s="59">
        <v>8.2100000000000009</v>
      </c>
      <c r="J365" s="35">
        <v>64</v>
      </c>
      <c r="K365" s="35" t="s">
        <v>127</v>
      </c>
      <c r="L365" s="35" t="s">
        <v>46</v>
      </c>
      <c r="M365" s="36" t="s">
        <v>90</v>
      </c>
      <c r="N365" s="36"/>
      <c r="O365" s="35">
        <v>60</v>
      </c>
      <c r="P365" s="76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68"/>
      <c r="R365" s="668"/>
      <c r="S365" s="668"/>
      <c r="T365" s="669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65" t="s">
        <v>614</v>
      </c>
      <c r="AG365" s="75"/>
      <c r="AJ365" s="79" t="s">
        <v>46</v>
      </c>
      <c r="AK365" s="79">
        <v>0</v>
      </c>
      <c r="BB365" s="46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idden="1" x14ac:dyDescent="0.2">
      <c r="A366" s="662"/>
      <c r="B366" s="662"/>
      <c r="C366" s="662"/>
      <c r="D366" s="662"/>
      <c r="E366" s="662"/>
      <c r="F366" s="662"/>
      <c r="G366" s="662"/>
      <c r="H366" s="662"/>
      <c r="I366" s="662"/>
      <c r="J366" s="662"/>
      <c r="K366" s="662"/>
      <c r="L366" s="662"/>
      <c r="M366" s="662"/>
      <c r="N366" s="662"/>
      <c r="O366" s="663"/>
      <c r="P366" s="659" t="s">
        <v>40</v>
      </c>
      <c r="Q366" s="660"/>
      <c r="R366" s="660"/>
      <c r="S366" s="660"/>
      <c r="T366" s="660"/>
      <c r="U366" s="660"/>
      <c r="V366" s="661"/>
      <c r="W366" s="40" t="s">
        <v>39</v>
      </c>
      <c r="X366" s="41">
        <f>IFERROR(X363/H363,"0")+IFERROR(X364/H364,"0")+IFERROR(X365/H365,"0")</f>
        <v>0</v>
      </c>
      <c r="Y366" s="41">
        <f>IFERROR(Y363/H363,"0")+IFERROR(Y364/H364,"0")+IFERROR(Y365/H365,"0")</f>
        <v>0</v>
      </c>
      <c r="Z366" s="41">
        <f>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62"/>
      <c r="B367" s="662"/>
      <c r="C367" s="662"/>
      <c r="D367" s="662"/>
      <c r="E367" s="662"/>
      <c r="F367" s="662"/>
      <c r="G367" s="662"/>
      <c r="H367" s="662"/>
      <c r="I367" s="662"/>
      <c r="J367" s="662"/>
      <c r="K367" s="662"/>
      <c r="L367" s="662"/>
      <c r="M367" s="662"/>
      <c r="N367" s="662"/>
      <c r="O367" s="663"/>
      <c r="P367" s="659" t="s">
        <v>40</v>
      </c>
      <c r="Q367" s="660"/>
      <c r="R367" s="660"/>
      <c r="S367" s="660"/>
      <c r="T367" s="660"/>
      <c r="U367" s="660"/>
      <c r="V367" s="661"/>
      <c r="W367" s="40" t="s">
        <v>0</v>
      </c>
      <c r="X367" s="41">
        <f>IFERROR(SUM(X363:X365),"0")</f>
        <v>0</v>
      </c>
      <c r="Y367" s="41">
        <f>IFERROR(SUM(Y363:Y365),"0")</f>
        <v>0</v>
      </c>
      <c r="Z367" s="40"/>
      <c r="AA367" s="64"/>
      <c r="AB367" s="64"/>
      <c r="AC367" s="64"/>
    </row>
    <row r="368" spans="1:68" ht="16.5" hidden="1" customHeight="1" x14ac:dyDescent="0.25">
      <c r="A368" s="664" t="s">
        <v>615</v>
      </c>
      <c r="B368" s="664"/>
      <c r="C368" s="664"/>
      <c r="D368" s="664"/>
      <c r="E368" s="664"/>
      <c r="F368" s="664"/>
      <c r="G368" s="664"/>
      <c r="H368" s="664"/>
      <c r="I368" s="664"/>
      <c r="J368" s="664"/>
      <c r="K368" s="664"/>
      <c r="L368" s="664"/>
      <c r="M368" s="664"/>
      <c r="N368" s="664"/>
      <c r="O368" s="664"/>
      <c r="P368" s="664"/>
      <c r="Q368" s="664"/>
      <c r="R368" s="664"/>
      <c r="S368" s="664"/>
      <c r="T368" s="664"/>
      <c r="U368" s="664"/>
      <c r="V368" s="664"/>
      <c r="W368" s="664"/>
      <c r="X368" s="664"/>
      <c r="Y368" s="664"/>
      <c r="Z368" s="664"/>
      <c r="AA368" s="62"/>
      <c r="AB368" s="62"/>
      <c r="AC368" s="62"/>
    </row>
    <row r="369" spans="1:68" ht="14.25" hidden="1" customHeight="1" x14ac:dyDescent="0.25">
      <c r="A369" s="665" t="s">
        <v>122</v>
      </c>
      <c r="B369" s="665"/>
      <c r="C369" s="665"/>
      <c r="D369" s="665"/>
      <c r="E369" s="665"/>
      <c r="F369" s="665"/>
      <c r="G369" s="665"/>
      <c r="H369" s="665"/>
      <c r="I369" s="665"/>
      <c r="J369" s="665"/>
      <c r="K369" s="665"/>
      <c r="L369" s="665"/>
      <c r="M369" s="665"/>
      <c r="N369" s="665"/>
      <c r="O369" s="665"/>
      <c r="P369" s="665"/>
      <c r="Q369" s="665"/>
      <c r="R369" s="665"/>
      <c r="S369" s="665"/>
      <c r="T369" s="665"/>
      <c r="U369" s="665"/>
      <c r="V369" s="665"/>
      <c r="W369" s="665"/>
      <c r="X369" s="665"/>
      <c r="Y369" s="665"/>
      <c r="Z369" s="665"/>
      <c r="AA369" s="63"/>
      <c r="AB369" s="63"/>
      <c r="AC369" s="63"/>
    </row>
    <row r="370" spans="1:68" ht="27" hidden="1" customHeight="1" x14ac:dyDescent="0.25">
      <c r="A370" s="60" t="s">
        <v>616</v>
      </c>
      <c r="B370" s="60" t="s">
        <v>617</v>
      </c>
      <c r="C370" s="34">
        <v>4301012235</v>
      </c>
      <c r="D370" s="666">
        <v>4680115887190</v>
      </c>
      <c r="E370" s="666"/>
      <c r="F370" s="59">
        <v>1.35</v>
      </c>
      <c r="G370" s="35">
        <v>8</v>
      </c>
      <c r="H370" s="59">
        <v>10.8</v>
      </c>
      <c r="I370" s="59">
        <v>11.21</v>
      </c>
      <c r="J370" s="35">
        <v>64</v>
      </c>
      <c r="K370" s="35" t="s">
        <v>127</v>
      </c>
      <c r="L370" s="35" t="s">
        <v>46</v>
      </c>
      <c r="M370" s="36" t="s">
        <v>126</v>
      </c>
      <c r="N370" s="36"/>
      <c r="O370" s="35">
        <v>55</v>
      </c>
      <c r="P370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668"/>
      <c r="R370" s="668"/>
      <c r="S370" s="668"/>
      <c r="T370" s="669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IFERROR(IF(Y370=0,"",ROUNDUP(Y370/H370,0)*0.01898),"")</f>
        <v/>
      </c>
      <c r="AA370" s="65" t="s">
        <v>46</v>
      </c>
      <c r="AB370" s="66" t="s">
        <v>46</v>
      </c>
      <c r="AC370" s="467" t="s">
        <v>618</v>
      </c>
      <c r="AG370" s="75"/>
      <c r="AJ370" s="79" t="s">
        <v>46</v>
      </c>
      <c r="AK370" s="79">
        <v>0</v>
      </c>
      <c r="BB370" s="468" t="s">
        <v>67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t="37.5" hidden="1" customHeight="1" x14ac:dyDescent="0.25">
      <c r="A371" s="60" t="s">
        <v>619</v>
      </c>
      <c r="B371" s="60" t="s">
        <v>620</v>
      </c>
      <c r="C371" s="34">
        <v>4301012233</v>
      </c>
      <c r="D371" s="666">
        <v>4680115887138</v>
      </c>
      <c r="E371" s="666"/>
      <c r="F371" s="59">
        <v>1.35</v>
      </c>
      <c r="G371" s="35">
        <v>8</v>
      </c>
      <c r="H371" s="59">
        <v>10.8</v>
      </c>
      <c r="I371" s="59">
        <v>11.21</v>
      </c>
      <c r="J371" s="35">
        <v>64</v>
      </c>
      <c r="K371" s="35" t="s">
        <v>127</v>
      </c>
      <c r="L371" s="35" t="s">
        <v>46</v>
      </c>
      <c r="M371" s="36" t="s">
        <v>126</v>
      </c>
      <c r="N371" s="36"/>
      <c r="O371" s="35">
        <v>55</v>
      </c>
      <c r="P371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668"/>
      <c r="R371" s="668"/>
      <c r="S371" s="668"/>
      <c r="T371" s="669"/>
      <c r="U371" s="37" t="s">
        <v>46</v>
      </c>
      <c r="V371" s="37" t="s">
        <v>46</v>
      </c>
      <c r="W371" s="38" t="s">
        <v>0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67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hidden="1" customHeight="1" x14ac:dyDescent="0.25">
      <c r="A372" s="60" t="s">
        <v>622</v>
      </c>
      <c r="B372" s="60" t="s">
        <v>623</v>
      </c>
      <c r="C372" s="34">
        <v>4301012016</v>
      </c>
      <c r="D372" s="666">
        <v>4680115885554</v>
      </c>
      <c r="E372" s="666"/>
      <c r="F372" s="59">
        <v>1.35</v>
      </c>
      <c r="G372" s="35">
        <v>8</v>
      </c>
      <c r="H372" s="59">
        <v>10.8</v>
      </c>
      <c r="I372" s="59">
        <v>11.21</v>
      </c>
      <c r="J372" s="35">
        <v>64</v>
      </c>
      <c r="K372" s="35" t="s">
        <v>127</v>
      </c>
      <c r="L372" s="35" t="s">
        <v>46</v>
      </c>
      <c r="M372" s="36" t="s">
        <v>90</v>
      </c>
      <c r="N372" s="36"/>
      <c r="O372" s="35">
        <v>55</v>
      </c>
      <c r="P372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668"/>
      <c r="R372" s="668"/>
      <c r="S372" s="668"/>
      <c r="T372" s="669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71" t="s">
        <v>624</v>
      </c>
      <c r="AG372" s="75"/>
      <c r="AJ372" s="79" t="s">
        <v>46</v>
      </c>
      <c r="AK372" s="79">
        <v>0</v>
      </c>
      <c r="BB372" s="472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625</v>
      </c>
      <c r="B373" s="60" t="s">
        <v>626</v>
      </c>
      <c r="C373" s="34">
        <v>4301012236</v>
      </c>
      <c r="D373" s="666">
        <v>4680115887220</v>
      </c>
      <c r="E373" s="666"/>
      <c r="F373" s="59">
        <v>0.4</v>
      </c>
      <c r="G373" s="35">
        <v>10</v>
      </c>
      <c r="H373" s="59">
        <v>4</v>
      </c>
      <c r="I373" s="59">
        <v>4.1900000000000004</v>
      </c>
      <c r="J373" s="35">
        <v>132</v>
      </c>
      <c r="K373" s="35" t="s">
        <v>134</v>
      </c>
      <c r="L373" s="35" t="s">
        <v>46</v>
      </c>
      <c r="M373" s="36" t="s">
        <v>126</v>
      </c>
      <c r="N373" s="36"/>
      <c r="O373" s="35">
        <v>55</v>
      </c>
      <c r="P373" s="76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668"/>
      <c r="R373" s="668"/>
      <c r="S373" s="668"/>
      <c r="T373" s="669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73" t="s">
        <v>618</v>
      </c>
      <c r="AG373" s="75"/>
      <c r="AJ373" s="79" t="s">
        <v>46</v>
      </c>
      <c r="AK373" s="79">
        <v>0</v>
      </c>
      <c r="BB373" s="474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627</v>
      </c>
      <c r="B374" s="60" t="s">
        <v>628</v>
      </c>
      <c r="C374" s="34">
        <v>4301011859</v>
      </c>
      <c r="D374" s="666">
        <v>4680115885608</v>
      </c>
      <c r="E374" s="666"/>
      <c r="F374" s="59">
        <v>0.4</v>
      </c>
      <c r="G374" s="35">
        <v>10</v>
      </c>
      <c r="H374" s="59">
        <v>4</v>
      </c>
      <c r="I374" s="59">
        <v>4.1900000000000004</v>
      </c>
      <c r="J374" s="35">
        <v>132</v>
      </c>
      <c r="K374" s="35" t="s">
        <v>134</v>
      </c>
      <c r="L374" s="35" t="s">
        <v>46</v>
      </c>
      <c r="M374" s="36" t="s">
        <v>126</v>
      </c>
      <c r="N374" s="36"/>
      <c r="O374" s="35">
        <v>55</v>
      </c>
      <c r="P374" s="7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668"/>
      <c r="R374" s="668"/>
      <c r="S374" s="668"/>
      <c r="T374" s="669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629</v>
      </c>
      <c r="AG374" s="75"/>
      <c r="AJ374" s="79" t="s">
        <v>46</v>
      </c>
      <c r="AK374" s="79">
        <v>0</v>
      </c>
      <c r="BB374" s="476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idden="1" x14ac:dyDescent="0.2">
      <c r="A375" s="662"/>
      <c r="B375" s="662"/>
      <c r="C375" s="662"/>
      <c r="D375" s="662"/>
      <c r="E375" s="662"/>
      <c r="F375" s="662"/>
      <c r="G375" s="662"/>
      <c r="H375" s="662"/>
      <c r="I375" s="662"/>
      <c r="J375" s="662"/>
      <c r="K375" s="662"/>
      <c r="L375" s="662"/>
      <c r="M375" s="662"/>
      <c r="N375" s="662"/>
      <c r="O375" s="663"/>
      <c r="P375" s="659" t="s">
        <v>40</v>
      </c>
      <c r="Q375" s="660"/>
      <c r="R375" s="660"/>
      <c r="S375" s="660"/>
      <c r="T375" s="660"/>
      <c r="U375" s="660"/>
      <c r="V375" s="661"/>
      <c r="W375" s="40" t="s">
        <v>39</v>
      </c>
      <c r="X375" s="41">
        <f>IFERROR(X370/H370,"0")+IFERROR(X371/H371,"0")+IFERROR(X372/H372,"0")+IFERROR(X373/H373,"0")+IFERROR(X374/H374,"0")</f>
        <v>0</v>
      </c>
      <c r="Y375" s="41">
        <f>IFERROR(Y370/H370,"0")+IFERROR(Y371/H371,"0")+IFERROR(Y372/H372,"0")+IFERROR(Y373/H373,"0")+IFERROR(Y374/H374,"0")</f>
        <v>0</v>
      </c>
      <c r="Z375" s="41">
        <f>IFERROR(IF(Z370="",0,Z370),"0")+IFERROR(IF(Z371="",0,Z371),"0")+IFERROR(IF(Z372="",0,Z372),"0")+IFERROR(IF(Z373="",0,Z373),"0")+IFERROR(IF(Z374="",0,Z374),"0")</f>
        <v>0</v>
      </c>
      <c r="AA375" s="64"/>
      <c r="AB375" s="64"/>
      <c r="AC375" s="64"/>
    </row>
    <row r="376" spans="1:68" hidden="1" x14ac:dyDescent="0.2">
      <c r="A376" s="662"/>
      <c r="B376" s="662"/>
      <c r="C376" s="662"/>
      <c r="D376" s="662"/>
      <c r="E376" s="662"/>
      <c r="F376" s="662"/>
      <c r="G376" s="662"/>
      <c r="H376" s="662"/>
      <c r="I376" s="662"/>
      <c r="J376" s="662"/>
      <c r="K376" s="662"/>
      <c r="L376" s="662"/>
      <c r="M376" s="662"/>
      <c r="N376" s="662"/>
      <c r="O376" s="663"/>
      <c r="P376" s="659" t="s">
        <v>40</v>
      </c>
      <c r="Q376" s="660"/>
      <c r="R376" s="660"/>
      <c r="S376" s="660"/>
      <c r="T376" s="660"/>
      <c r="U376" s="660"/>
      <c r="V376" s="661"/>
      <c r="W376" s="40" t="s">
        <v>0</v>
      </c>
      <c r="X376" s="41">
        <f>IFERROR(SUM(X370:X374),"0")</f>
        <v>0</v>
      </c>
      <c r="Y376" s="41">
        <f>IFERROR(SUM(Y370:Y374),"0")</f>
        <v>0</v>
      </c>
      <c r="Z376" s="40"/>
      <c r="AA376" s="64"/>
      <c r="AB376" s="64"/>
      <c r="AC376" s="64"/>
    </row>
    <row r="377" spans="1:68" ht="14.25" hidden="1" customHeight="1" x14ac:dyDescent="0.25">
      <c r="A377" s="665" t="s">
        <v>77</v>
      </c>
      <c r="B377" s="665"/>
      <c r="C377" s="665"/>
      <c r="D377" s="665"/>
      <c r="E377" s="665"/>
      <c r="F377" s="665"/>
      <c r="G377" s="665"/>
      <c r="H377" s="665"/>
      <c r="I377" s="665"/>
      <c r="J377" s="665"/>
      <c r="K377" s="665"/>
      <c r="L377" s="665"/>
      <c r="M377" s="665"/>
      <c r="N377" s="665"/>
      <c r="O377" s="665"/>
      <c r="P377" s="665"/>
      <c r="Q377" s="665"/>
      <c r="R377" s="665"/>
      <c r="S377" s="665"/>
      <c r="T377" s="665"/>
      <c r="U377" s="665"/>
      <c r="V377" s="665"/>
      <c r="W377" s="665"/>
      <c r="X377" s="665"/>
      <c r="Y377" s="665"/>
      <c r="Z377" s="665"/>
      <c r="AA377" s="63"/>
      <c r="AB377" s="63"/>
      <c r="AC377" s="63"/>
    </row>
    <row r="378" spans="1:68" ht="27" hidden="1" customHeight="1" x14ac:dyDescent="0.25">
      <c r="A378" s="60" t="s">
        <v>630</v>
      </c>
      <c r="B378" s="60" t="s">
        <v>631</v>
      </c>
      <c r="C378" s="34">
        <v>4301030878</v>
      </c>
      <c r="D378" s="666">
        <v>4607091387193</v>
      </c>
      <c r="E378" s="666"/>
      <c r="F378" s="59">
        <v>0.7</v>
      </c>
      <c r="G378" s="35">
        <v>6</v>
      </c>
      <c r="H378" s="59">
        <v>4.2</v>
      </c>
      <c r="I378" s="59">
        <v>4.45</v>
      </c>
      <c r="J378" s="35">
        <v>132</v>
      </c>
      <c r="K378" s="35" t="s">
        <v>134</v>
      </c>
      <c r="L378" s="35" t="s">
        <v>46</v>
      </c>
      <c r="M378" s="36" t="s">
        <v>81</v>
      </c>
      <c r="N378" s="36"/>
      <c r="O378" s="35">
        <v>35</v>
      </c>
      <c r="P378" s="7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668"/>
      <c r="R378" s="668"/>
      <c r="S378" s="668"/>
      <c r="T378" s="66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ref="Y378:Y384" si="60"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77" t="s">
        <v>632</v>
      </c>
      <c r="AG378" s="75"/>
      <c r="AJ378" s="79" t="s">
        <v>46</v>
      </c>
      <c r="AK378" s="79">
        <v>0</v>
      </c>
      <c r="BB378" s="478" t="s">
        <v>67</v>
      </c>
      <c r="BM378" s="75">
        <f t="shared" ref="BM378:BM384" si="61">IFERROR(X378*I378/H378,"0")</f>
        <v>0</v>
      </c>
      <c r="BN378" s="75">
        <f t="shared" ref="BN378:BN384" si="62">IFERROR(Y378*I378/H378,"0")</f>
        <v>0</v>
      </c>
      <c r="BO378" s="75">
        <f t="shared" ref="BO378:BO384" si="63">IFERROR(1/J378*(X378/H378),"0")</f>
        <v>0</v>
      </c>
      <c r="BP378" s="75">
        <f t="shared" ref="BP378:BP384" si="64">IFERROR(1/J378*(Y378/H378),"0")</f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4301031153</v>
      </c>
      <c r="D379" s="666">
        <v>4607091387230</v>
      </c>
      <c r="E379" s="666"/>
      <c r="F379" s="59">
        <v>0.7</v>
      </c>
      <c r="G379" s="35">
        <v>6</v>
      </c>
      <c r="H379" s="59">
        <v>4.2</v>
      </c>
      <c r="I379" s="59">
        <v>4.45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40</v>
      </c>
      <c r="P379" s="7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668"/>
      <c r="R379" s="668"/>
      <c r="S379" s="668"/>
      <c r="T379" s="669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0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67</v>
      </c>
      <c r="BM379" s="75">
        <f t="shared" si="61"/>
        <v>0</v>
      </c>
      <c r="BN379" s="75">
        <f t="shared" si="62"/>
        <v>0</v>
      </c>
      <c r="BO379" s="75">
        <f t="shared" si="63"/>
        <v>0</v>
      </c>
      <c r="BP379" s="75">
        <f t="shared" si="64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4301031154</v>
      </c>
      <c r="D380" s="666">
        <v>4607091387292</v>
      </c>
      <c r="E380" s="666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134</v>
      </c>
      <c r="L380" s="35" t="s">
        <v>46</v>
      </c>
      <c r="M380" s="36" t="s">
        <v>81</v>
      </c>
      <c r="N380" s="36"/>
      <c r="O380" s="35">
        <v>45</v>
      </c>
      <c r="P380" s="76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668"/>
      <c r="R380" s="668"/>
      <c r="S380" s="668"/>
      <c r="T380" s="669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0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638</v>
      </c>
      <c r="AG380" s="75"/>
      <c r="AJ380" s="79" t="s">
        <v>46</v>
      </c>
      <c r="AK380" s="79">
        <v>0</v>
      </c>
      <c r="BB380" s="482" t="s">
        <v>67</v>
      </c>
      <c r="BM380" s="75">
        <f t="shared" si="61"/>
        <v>0</v>
      </c>
      <c r="BN380" s="75">
        <f t="shared" si="62"/>
        <v>0</v>
      </c>
      <c r="BO380" s="75">
        <f t="shared" si="63"/>
        <v>0</v>
      </c>
      <c r="BP380" s="75">
        <f t="shared" si="64"/>
        <v>0</v>
      </c>
    </row>
    <row r="381" spans="1:68" ht="27" hidden="1" customHeight="1" x14ac:dyDescent="0.25">
      <c r="A381" s="60" t="s">
        <v>639</v>
      </c>
      <c r="B381" s="60" t="s">
        <v>640</v>
      </c>
      <c r="C381" s="34">
        <v>4301031152</v>
      </c>
      <c r="D381" s="666">
        <v>4607091387285</v>
      </c>
      <c r="E381" s="666"/>
      <c r="F381" s="59">
        <v>0.35</v>
      </c>
      <c r="G381" s="35">
        <v>6</v>
      </c>
      <c r="H381" s="59">
        <v>2.1</v>
      </c>
      <c r="I381" s="59">
        <v>2.23</v>
      </c>
      <c r="J381" s="35">
        <v>234</v>
      </c>
      <c r="K381" s="35" t="s">
        <v>82</v>
      </c>
      <c r="L381" s="35" t="s">
        <v>46</v>
      </c>
      <c r="M381" s="36" t="s">
        <v>81</v>
      </c>
      <c r="N381" s="36"/>
      <c r="O381" s="35">
        <v>40</v>
      </c>
      <c r="P381" s="7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668"/>
      <c r="R381" s="668"/>
      <c r="S381" s="668"/>
      <c r="T381" s="669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0"/>
        <v>0</v>
      </c>
      <c r="Z381" s="39" t="str">
        <f>IFERROR(IF(Y381=0,"",ROUNDUP(Y381/H381,0)*0.00502),"")</f>
        <v/>
      </c>
      <c r="AA381" s="65" t="s">
        <v>46</v>
      </c>
      <c r="AB381" s="66" t="s">
        <v>46</v>
      </c>
      <c r="AC381" s="483" t="s">
        <v>635</v>
      </c>
      <c r="AG381" s="75"/>
      <c r="AJ381" s="79" t="s">
        <v>46</v>
      </c>
      <c r="AK381" s="79">
        <v>0</v>
      </c>
      <c r="BB381" s="484" t="s">
        <v>67</v>
      </c>
      <c r="BM381" s="75">
        <f t="shared" si="61"/>
        <v>0</v>
      </c>
      <c r="BN381" s="75">
        <f t="shared" si="62"/>
        <v>0</v>
      </c>
      <c r="BO381" s="75">
        <f t="shared" si="63"/>
        <v>0</v>
      </c>
      <c r="BP381" s="75">
        <f t="shared" si="64"/>
        <v>0</v>
      </c>
    </row>
    <row r="382" spans="1:68" ht="27" hidden="1" customHeight="1" x14ac:dyDescent="0.25">
      <c r="A382" s="60" t="s">
        <v>641</v>
      </c>
      <c r="B382" s="60" t="s">
        <v>642</v>
      </c>
      <c r="C382" s="34">
        <v>4301031305</v>
      </c>
      <c r="D382" s="666">
        <v>4607091389845</v>
      </c>
      <c r="E382" s="666"/>
      <c r="F382" s="59">
        <v>0.35</v>
      </c>
      <c r="G382" s="35">
        <v>6</v>
      </c>
      <c r="H382" s="59">
        <v>2.1</v>
      </c>
      <c r="I382" s="59">
        <v>2.2000000000000002</v>
      </c>
      <c r="J382" s="35">
        <v>234</v>
      </c>
      <c r="K382" s="35" t="s">
        <v>82</v>
      </c>
      <c r="L382" s="35" t="s">
        <v>46</v>
      </c>
      <c r="M382" s="36" t="s">
        <v>81</v>
      </c>
      <c r="N382" s="36"/>
      <c r="O382" s="35">
        <v>40</v>
      </c>
      <c r="P382" s="7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668"/>
      <c r="R382" s="668"/>
      <c r="S382" s="668"/>
      <c r="T382" s="669"/>
      <c r="U382" s="37" t="s">
        <v>46</v>
      </c>
      <c r="V382" s="37" t="s">
        <v>46</v>
      </c>
      <c r="W382" s="38" t="s">
        <v>0</v>
      </c>
      <c r="X382" s="56">
        <v>0</v>
      </c>
      <c r="Y382" s="53">
        <f t="shared" si="60"/>
        <v>0</v>
      </c>
      <c r="Z382" s="39" t="str">
        <f>IFERROR(IF(Y382=0,"",ROUNDUP(Y382/H382,0)*0.00502),"")</f>
        <v/>
      </c>
      <c r="AA382" s="65" t="s">
        <v>46</v>
      </c>
      <c r="AB382" s="66" t="s">
        <v>46</v>
      </c>
      <c r="AC382" s="485" t="s">
        <v>643</v>
      </c>
      <c r="AG382" s="75"/>
      <c r="AJ382" s="79" t="s">
        <v>46</v>
      </c>
      <c r="AK382" s="79">
        <v>0</v>
      </c>
      <c r="BB382" s="486" t="s">
        <v>67</v>
      </c>
      <c r="BM382" s="75">
        <f t="shared" si="61"/>
        <v>0</v>
      </c>
      <c r="BN382" s="75">
        <f t="shared" si="62"/>
        <v>0</v>
      </c>
      <c r="BO382" s="75">
        <f t="shared" si="63"/>
        <v>0</v>
      </c>
      <c r="BP382" s="75">
        <f t="shared" si="64"/>
        <v>0</v>
      </c>
    </row>
    <row r="383" spans="1:68" ht="27" hidden="1" customHeight="1" x14ac:dyDescent="0.25">
      <c r="A383" s="60" t="s">
        <v>644</v>
      </c>
      <c r="B383" s="60" t="s">
        <v>645</v>
      </c>
      <c r="C383" s="34">
        <v>4301031460</v>
      </c>
      <c r="D383" s="666">
        <v>4680115887442</v>
      </c>
      <c r="E383" s="666"/>
      <c r="F383" s="59">
        <v>0.73</v>
      </c>
      <c r="G383" s="35">
        <v>6</v>
      </c>
      <c r="H383" s="59">
        <v>4.38</v>
      </c>
      <c r="I383" s="59">
        <v>4.63</v>
      </c>
      <c r="J383" s="35">
        <v>132</v>
      </c>
      <c r="K383" s="35" t="s">
        <v>134</v>
      </c>
      <c r="L383" s="35" t="s">
        <v>46</v>
      </c>
      <c r="M383" s="36" t="s">
        <v>81</v>
      </c>
      <c r="N383" s="36"/>
      <c r="O383" s="35">
        <v>45</v>
      </c>
      <c r="P383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668"/>
      <c r="R383" s="668"/>
      <c r="S383" s="668"/>
      <c r="T383" s="669"/>
      <c r="U383" s="37" t="s">
        <v>46</v>
      </c>
      <c r="V383" s="37" t="s">
        <v>46</v>
      </c>
      <c r="W383" s="38" t="s">
        <v>0</v>
      </c>
      <c r="X383" s="56">
        <v>0</v>
      </c>
      <c r="Y383" s="53">
        <f t="shared" si="60"/>
        <v>0</v>
      </c>
      <c r="Z383" s="39" t="str">
        <f>IFERROR(IF(Y383=0,"",ROUNDUP(Y383/H383,0)*0.00902),"")</f>
        <v/>
      </c>
      <c r="AA383" s="65" t="s">
        <v>46</v>
      </c>
      <c r="AB383" s="66" t="s">
        <v>46</v>
      </c>
      <c r="AC383" s="487" t="s">
        <v>638</v>
      </c>
      <c r="AG383" s="75"/>
      <c r="AJ383" s="79" t="s">
        <v>46</v>
      </c>
      <c r="AK383" s="79">
        <v>0</v>
      </c>
      <c r="BB383" s="488" t="s">
        <v>67</v>
      </c>
      <c r="BM383" s="75">
        <f t="shared" si="61"/>
        <v>0</v>
      </c>
      <c r="BN383" s="75">
        <f t="shared" si="62"/>
        <v>0</v>
      </c>
      <c r="BO383" s="75">
        <f t="shared" si="63"/>
        <v>0</v>
      </c>
      <c r="BP383" s="75">
        <f t="shared" si="64"/>
        <v>0</v>
      </c>
    </row>
    <row r="384" spans="1:68" ht="27" hidden="1" customHeight="1" x14ac:dyDescent="0.25">
      <c r="A384" s="60" t="s">
        <v>646</v>
      </c>
      <c r="B384" s="60" t="s">
        <v>647</v>
      </c>
      <c r="C384" s="34">
        <v>4301031066</v>
      </c>
      <c r="D384" s="666">
        <v>4607091383836</v>
      </c>
      <c r="E384" s="666"/>
      <c r="F384" s="59">
        <v>0.3</v>
      </c>
      <c r="G384" s="35">
        <v>6</v>
      </c>
      <c r="H384" s="59">
        <v>1.8</v>
      </c>
      <c r="I384" s="59">
        <v>2.028</v>
      </c>
      <c r="J384" s="35">
        <v>182</v>
      </c>
      <c r="K384" s="35" t="s">
        <v>91</v>
      </c>
      <c r="L384" s="35" t="s">
        <v>46</v>
      </c>
      <c r="M384" s="36" t="s">
        <v>81</v>
      </c>
      <c r="N384" s="36"/>
      <c r="O384" s="35">
        <v>40</v>
      </c>
      <c r="P384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668"/>
      <c r="R384" s="668"/>
      <c r="S384" s="668"/>
      <c r="T384" s="669"/>
      <c r="U384" s="37" t="s">
        <v>46</v>
      </c>
      <c r="V384" s="37" t="s">
        <v>46</v>
      </c>
      <c r="W384" s="38" t="s">
        <v>0</v>
      </c>
      <c r="X384" s="56">
        <v>0</v>
      </c>
      <c r="Y384" s="53">
        <f t="shared" si="60"/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89" t="s">
        <v>648</v>
      </c>
      <c r="AG384" s="75"/>
      <c r="AJ384" s="79" t="s">
        <v>46</v>
      </c>
      <c r="AK384" s="79">
        <v>0</v>
      </c>
      <c r="BB384" s="490" t="s">
        <v>67</v>
      </c>
      <c r="BM384" s="75">
        <f t="shared" si="61"/>
        <v>0</v>
      </c>
      <c r="BN384" s="75">
        <f t="shared" si="62"/>
        <v>0</v>
      </c>
      <c r="BO384" s="75">
        <f t="shared" si="63"/>
        <v>0</v>
      </c>
      <c r="BP384" s="75">
        <f t="shared" si="64"/>
        <v>0</v>
      </c>
    </row>
    <row r="385" spans="1:68" hidden="1" x14ac:dyDescent="0.2">
      <c r="A385" s="662"/>
      <c r="B385" s="662"/>
      <c r="C385" s="662"/>
      <c r="D385" s="662"/>
      <c r="E385" s="662"/>
      <c r="F385" s="662"/>
      <c r="G385" s="662"/>
      <c r="H385" s="662"/>
      <c r="I385" s="662"/>
      <c r="J385" s="662"/>
      <c r="K385" s="662"/>
      <c r="L385" s="662"/>
      <c r="M385" s="662"/>
      <c r="N385" s="662"/>
      <c r="O385" s="663"/>
      <c r="P385" s="659" t="s">
        <v>40</v>
      </c>
      <c r="Q385" s="660"/>
      <c r="R385" s="660"/>
      <c r="S385" s="660"/>
      <c r="T385" s="660"/>
      <c r="U385" s="660"/>
      <c r="V385" s="661"/>
      <c r="W385" s="40" t="s">
        <v>39</v>
      </c>
      <c r="X385" s="41">
        <f>IFERROR(X378/H378,"0")+IFERROR(X379/H379,"0")+IFERROR(X380/H380,"0")+IFERROR(X381/H381,"0")+IFERROR(X382/H382,"0")+IFERROR(X383/H383,"0")+IFERROR(X384/H384,"0")</f>
        <v>0</v>
      </c>
      <c r="Y385" s="41">
        <f>IFERROR(Y378/H378,"0")+IFERROR(Y379/H379,"0")+IFERROR(Y380/H380,"0")+IFERROR(Y381/H381,"0")+IFERROR(Y382/H382,"0")+IFERROR(Y383/H383,"0")+IFERROR(Y384/H384,"0")</f>
        <v>0</v>
      </c>
      <c r="Z385" s="41">
        <f>IFERROR(IF(Z378="",0,Z378),"0")+IFERROR(IF(Z379="",0,Z379),"0")+IFERROR(IF(Z380="",0,Z380),"0")+IFERROR(IF(Z381="",0,Z381),"0")+IFERROR(IF(Z382="",0,Z382),"0")+IFERROR(IF(Z383="",0,Z383),"0")+IFERROR(IF(Z384="",0,Z384),"0")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hidden="1" x14ac:dyDescent="0.2">
      <c r="A386" s="662"/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3"/>
      <c r="P386" s="659" t="s">
        <v>40</v>
      </c>
      <c r="Q386" s="660"/>
      <c r="R386" s="660"/>
      <c r="S386" s="660"/>
      <c r="T386" s="660"/>
      <c r="U386" s="660"/>
      <c r="V386" s="661"/>
      <c r="W386" s="40" t="s">
        <v>0</v>
      </c>
      <c r="X386" s="41">
        <f>IFERROR(SUM(X378:X384),"0")</f>
        <v>0</v>
      </c>
      <c r="Y386" s="41">
        <f>IFERROR(SUM(Y378:Y384),"0")</f>
        <v>0</v>
      </c>
      <c r="Z386" s="40"/>
      <c r="AA386" s="64"/>
      <c r="AB386" s="64"/>
      <c r="AC386" s="64"/>
    </row>
    <row r="387" spans="1:68" ht="14.25" hidden="1" customHeight="1" x14ac:dyDescent="0.25">
      <c r="A387" s="665" t="s">
        <v>86</v>
      </c>
      <c r="B387" s="665"/>
      <c r="C387" s="665"/>
      <c r="D387" s="665"/>
      <c r="E387" s="665"/>
      <c r="F387" s="665"/>
      <c r="G387" s="665"/>
      <c r="H387" s="665"/>
      <c r="I387" s="665"/>
      <c r="J387" s="665"/>
      <c r="K387" s="665"/>
      <c r="L387" s="665"/>
      <c r="M387" s="665"/>
      <c r="N387" s="665"/>
      <c r="O387" s="665"/>
      <c r="P387" s="665"/>
      <c r="Q387" s="665"/>
      <c r="R387" s="665"/>
      <c r="S387" s="665"/>
      <c r="T387" s="665"/>
      <c r="U387" s="665"/>
      <c r="V387" s="665"/>
      <c r="W387" s="665"/>
      <c r="X387" s="665"/>
      <c r="Y387" s="665"/>
      <c r="Z387" s="665"/>
      <c r="AA387" s="63"/>
      <c r="AB387" s="63"/>
      <c r="AC387" s="63"/>
    </row>
    <row r="388" spans="1:68" ht="27" hidden="1" customHeight="1" x14ac:dyDescent="0.25">
      <c r="A388" s="60" t="s">
        <v>649</v>
      </c>
      <c r="B388" s="60" t="s">
        <v>650</v>
      </c>
      <c r="C388" s="34">
        <v>4301051100</v>
      </c>
      <c r="D388" s="666">
        <v>4607091387766</v>
      </c>
      <c r="E388" s="666"/>
      <c r="F388" s="59">
        <v>1.3</v>
      </c>
      <c r="G388" s="35">
        <v>6</v>
      </c>
      <c r="H388" s="59">
        <v>7.8</v>
      </c>
      <c r="I388" s="59">
        <v>8.2880000000000003</v>
      </c>
      <c r="J388" s="35">
        <v>64</v>
      </c>
      <c r="K388" s="35" t="s">
        <v>127</v>
      </c>
      <c r="L388" s="35" t="s">
        <v>46</v>
      </c>
      <c r="M388" s="36" t="s">
        <v>90</v>
      </c>
      <c r="N388" s="36"/>
      <c r="O388" s="35">
        <v>40</v>
      </c>
      <c r="P388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668"/>
      <c r="R388" s="668"/>
      <c r="S388" s="668"/>
      <c r="T388" s="669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651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hidden="1" customHeight="1" x14ac:dyDescent="0.25">
      <c r="A389" s="60" t="s">
        <v>652</v>
      </c>
      <c r="B389" s="60" t="s">
        <v>653</v>
      </c>
      <c r="C389" s="34">
        <v>4301051818</v>
      </c>
      <c r="D389" s="666">
        <v>4607091387957</v>
      </c>
      <c r="E389" s="666"/>
      <c r="F389" s="59">
        <v>1.3</v>
      </c>
      <c r="G389" s="35">
        <v>6</v>
      </c>
      <c r="H389" s="59">
        <v>7.8</v>
      </c>
      <c r="I389" s="59">
        <v>8.2940000000000005</v>
      </c>
      <c r="J389" s="35">
        <v>64</v>
      </c>
      <c r="K389" s="35" t="s">
        <v>127</v>
      </c>
      <c r="L389" s="35" t="s">
        <v>46</v>
      </c>
      <c r="M389" s="36" t="s">
        <v>90</v>
      </c>
      <c r="N389" s="36"/>
      <c r="O389" s="35">
        <v>40</v>
      </c>
      <c r="P389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668"/>
      <c r="R389" s="668"/>
      <c r="S389" s="668"/>
      <c r="T389" s="66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93" t="s">
        <v>654</v>
      </c>
      <c r="AG389" s="75"/>
      <c r="AJ389" s="79" t="s">
        <v>46</v>
      </c>
      <c r="AK389" s="79">
        <v>0</v>
      </c>
      <c r="BB389" s="494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655</v>
      </c>
      <c r="B390" s="60" t="s">
        <v>656</v>
      </c>
      <c r="C390" s="34">
        <v>4301051819</v>
      </c>
      <c r="D390" s="666">
        <v>4607091387964</v>
      </c>
      <c r="E390" s="666"/>
      <c r="F390" s="59">
        <v>1.35</v>
      </c>
      <c r="G390" s="35">
        <v>6</v>
      </c>
      <c r="H390" s="59">
        <v>8.1</v>
      </c>
      <c r="I390" s="59">
        <v>8.5760000000000005</v>
      </c>
      <c r="J390" s="35">
        <v>64</v>
      </c>
      <c r="K390" s="35" t="s">
        <v>127</v>
      </c>
      <c r="L390" s="35" t="s">
        <v>46</v>
      </c>
      <c r="M390" s="36" t="s">
        <v>90</v>
      </c>
      <c r="N390" s="36"/>
      <c r="O390" s="35">
        <v>40</v>
      </c>
      <c r="P390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668"/>
      <c r="R390" s="668"/>
      <c r="S390" s="668"/>
      <c r="T390" s="66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95" t="s">
        <v>657</v>
      </c>
      <c r="AG390" s="75"/>
      <c r="AJ390" s="79" t="s">
        <v>46</v>
      </c>
      <c r="AK390" s="79">
        <v>0</v>
      </c>
      <c r="BB390" s="496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658</v>
      </c>
      <c r="B391" s="60" t="s">
        <v>659</v>
      </c>
      <c r="C391" s="34">
        <v>4301051734</v>
      </c>
      <c r="D391" s="666">
        <v>4680115884588</v>
      </c>
      <c r="E391" s="666"/>
      <c r="F391" s="59">
        <v>0.5</v>
      </c>
      <c r="G391" s="35">
        <v>6</v>
      </c>
      <c r="H391" s="59">
        <v>3</v>
      </c>
      <c r="I391" s="59">
        <v>3.246</v>
      </c>
      <c r="J391" s="35">
        <v>182</v>
      </c>
      <c r="K391" s="35" t="s">
        <v>91</v>
      </c>
      <c r="L391" s="35" t="s">
        <v>46</v>
      </c>
      <c r="M391" s="36" t="s">
        <v>90</v>
      </c>
      <c r="N391" s="36"/>
      <c r="O391" s="35">
        <v>40</v>
      </c>
      <c r="P391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668"/>
      <c r="R391" s="668"/>
      <c r="S391" s="668"/>
      <c r="T391" s="66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IFERROR(IF(Y391=0,"",ROUNDUP(Y391/H391,0)*0.00651),"")</f>
        <v/>
      </c>
      <c r="AA391" s="65" t="s">
        <v>46</v>
      </c>
      <c r="AB391" s="66" t="s">
        <v>46</v>
      </c>
      <c r="AC391" s="497" t="s">
        <v>651</v>
      </c>
      <c r="AG391" s="75"/>
      <c r="AJ391" s="79" t="s">
        <v>46</v>
      </c>
      <c r="AK391" s="79">
        <v>0</v>
      </c>
      <c r="BB391" s="498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62"/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3"/>
      <c r="P392" s="659" t="s">
        <v>40</v>
      </c>
      <c r="Q392" s="660"/>
      <c r="R392" s="660"/>
      <c r="S392" s="660"/>
      <c r="T392" s="660"/>
      <c r="U392" s="660"/>
      <c r="V392" s="661"/>
      <c r="W392" s="40" t="s">
        <v>39</v>
      </c>
      <c r="X392" s="41">
        <f>IFERROR(X388/H388,"0")+IFERROR(X389/H389,"0")+IFERROR(X390/H390,"0")+IFERROR(X391/H391,"0")</f>
        <v>0</v>
      </c>
      <c r="Y392" s="41">
        <f>IFERROR(Y388/H388,"0")+IFERROR(Y389/H389,"0")+IFERROR(Y390/H390,"0")+IFERROR(Y391/H391,"0")</f>
        <v>0</v>
      </c>
      <c r="Z392" s="41">
        <f>IFERROR(IF(Z388="",0,Z388),"0")+IFERROR(IF(Z389="",0,Z389),"0")+IFERROR(IF(Z390="",0,Z390),"0")+IFERROR(IF(Z391="",0,Z391),"0")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62"/>
      <c r="B393" s="662"/>
      <c r="C393" s="662"/>
      <c r="D393" s="662"/>
      <c r="E393" s="662"/>
      <c r="F393" s="662"/>
      <c r="G393" s="662"/>
      <c r="H393" s="662"/>
      <c r="I393" s="662"/>
      <c r="J393" s="662"/>
      <c r="K393" s="662"/>
      <c r="L393" s="662"/>
      <c r="M393" s="662"/>
      <c r="N393" s="662"/>
      <c r="O393" s="663"/>
      <c r="P393" s="659" t="s">
        <v>40</v>
      </c>
      <c r="Q393" s="660"/>
      <c r="R393" s="660"/>
      <c r="S393" s="660"/>
      <c r="T393" s="660"/>
      <c r="U393" s="660"/>
      <c r="V393" s="661"/>
      <c r="W393" s="40" t="s">
        <v>0</v>
      </c>
      <c r="X393" s="41">
        <f>IFERROR(SUM(X388:X391),"0")</f>
        <v>0</v>
      </c>
      <c r="Y393" s="41">
        <f>IFERROR(SUM(Y388:Y391),"0")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65" t="s">
        <v>173</v>
      </c>
      <c r="B394" s="665"/>
      <c r="C394" s="665"/>
      <c r="D394" s="665"/>
      <c r="E394" s="665"/>
      <c r="F394" s="665"/>
      <c r="G394" s="665"/>
      <c r="H394" s="665"/>
      <c r="I394" s="665"/>
      <c r="J394" s="665"/>
      <c r="K394" s="665"/>
      <c r="L394" s="665"/>
      <c r="M394" s="665"/>
      <c r="N394" s="665"/>
      <c r="O394" s="665"/>
      <c r="P394" s="665"/>
      <c r="Q394" s="665"/>
      <c r="R394" s="665"/>
      <c r="S394" s="665"/>
      <c r="T394" s="665"/>
      <c r="U394" s="665"/>
      <c r="V394" s="665"/>
      <c r="W394" s="665"/>
      <c r="X394" s="665"/>
      <c r="Y394" s="665"/>
      <c r="Z394" s="665"/>
      <c r="AA394" s="63"/>
      <c r="AB394" s="63"/>
      <c r="AC394" s="63"/>
    </row>
    <row r="395" spans="1:68" ht="27" hidden="1" customHeight="1" x14ac:dyDescent="0.25">
      <c r="A395" s="60" t="s">
        <v>660</v>
      </c>
      <c r="B395" s="60" t="s">
        <v>661</v>
      </c>
      <c r="C395" s="34">
        <v>4301060387</v>
      </c>
      <c r="D395" s="666">
        <v>4607091380880</v>
      </c>
      <c r="E395" s="666"/>
      <c r="F395" s="59">
        <v>1.4</v>
      </c>
      <c r="G395" s="35">
        <v>6</v>
      </c>
      <c r="H395" s="59">
        <v>8.4</v>
      </c>
      <c r="I395" s="59">
        <v>8.8940000000000001</v>
      </c>
      <c r="J395" s="35">
        <v>64</v>
      </c>
      <c r="K395" s="35" t="s">
        <v>127</v>
      </c>
      <c r="L395" s="35" t="s">
        <v>46</v>
      </c>
      <c r="M395" s="36" t="s">
        <v>90</v>
      </c>
      <c r="N395" s="36"/>
      <c r="O395" s="35">
        <v>30</v>
      </c>
      <c r="P395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668"/>
      <c r="R395" s="668"/>
      <c r="S395" s="668"/>
      <c r="T395" s="66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IFERROR(IF(Y395=0,"",ROUNDUP(Y395/H395,0)*0.01898),"")</f>
        <v/>
      </c>
      <c r="AA395" s="65" t="s">
        <v>46</v>
      </c>
      <c r="AB395" s="66" t="s">
        <v>46</v>
      </c>
      <c r="AC395" s="499" t="s">
        <v>662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663</v>
      </c>
      <c r="B396" s="60" t="s">
        <v>664</v>
      </c>
      <c r="C396" s="34">
        <v>4301060406</v>
      </c>
      <c r="D396" s="666">
        <v>4607091384482</v>
      </c>
      <c r="E396" s="666"/>
      <c r="F396" s="59">
        <v>1.3</v>
      </c>
      <c r="G396" s="35">
        <v>6</v>
      </c>
      <c r="H396" s="59">
        <v>7.8</v>
      </c>
      <c r="I396" s="59">
        <v>8.2940000000000005</v>
      </c>
      <c r="J396" s="35">
        <v>64</v>
      </c>
      <c r="K396" s="35" t="s">
        <v>127</v>
      </c>
      <c r="L396" s="35" t="s">
        <v>46</v>
      </c>
      <c r="M396" s="36" t="s">
        <v>90</v>
      </c>
      <c r="N396" s="36"/>
      <c r="O396" s="35">
        <v>30</v>
      </c>
      <c r="P396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668"/>
      <c r="R396" s="668"/>
      <c r="S396" s="668"/>
      <c r="T396" s="66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IFERROR(IF(Y396=0,"",ROUNDUP(Y396/H396,0)*0.01898),"")</f>
        <v/>
      </c>
      <c r="AA396" s="65" t="s">
        <v>46</v>
      </c>
      <c r="AB396" s="66" t="s">
        <v>46</v>
      </c>
      <c r="AC396" s="501" t="s">
        <v>665</v>
      </c>
      <c r="AG396" s="75"/>
      <c r="AJ396" s="79" t="s">
        <v>46</v>
      </c>
      <c r="AK396" s="79">
        <v>0</v>
      </c>
      <c r="BB396" s="502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666</v>
      </c>
      <c r="B397" s="60" t="s">
        <v>667</v>
      </c>
      <c r="C397" s="34">
        <v>4301060484</v>
      </c>
      <c r="D397" s="666">
        <v>4607091380897</v>
      </c>
      <c r="E397" s="666"/>
      <c r="F397" s="59">
        <v>1.4</v>
      </c>
      <c r="G397" s="35">
        <v>6</v>
      </c>
      <c r="H397" s="59">
        <v>8.4</v>
      </c>
      <c r="I397" s="59">
        <v>8.8940000000000001</v>
      </c>
      <c r="J397" s="35">
        <v>64</v>
      </c>
      <c r="K397" s="35" t="s">
        <v>127</v>
      </c>
      <c r="L397" s="35" t="s">
        <v>46</v>
      </c>
      <c r="M397" s="36" t="s">
        <v>97</v>
      </c>
      <c r="N397" s="36"/>
      <c r="O397" s="35">
        <v>30</v>
      </c>
      <c r="P397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668"/>
      <c r="R397" s="668"/>
      <c r="S397" s="668"/>
      <c r="T397" s="66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IFERROR(IF(Y397=0,"",ROUNDUP(Y397/H397,0)*0.01898),"")</f>
        <v/>
      </c>
      <c r="AA397" s="65" t="s">
        <v>46</v>
      </c>
      <c r="AB397" s="66" t="s">
        <v>46</v>
      </c>
      <c r="AC397" s="503" t="s">
        <v>668</v>
      </c>
      <c r="AG397" s="75"/>
      <c r="AJ397" s="79" t="s">
        <v>46</v>
      </c>
      <c r="AK397" s="79">
        <v>0</v>
      </c>
      <c r="BB397" s="504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idden="1" x14ac:dyDescent="0.2">
      <c r="A398" s="662"/>
      <c r="B398" s="662"/>
      <c r="C398" s="662"/>
      <c r="D398" s="662"/>
      <c r="E398" s="662"/>
      <c r="F398" s="662"/>
      <c r="G398" s="662"/>
      <c r="H398" s="662"/>
      <c r="I398" s="662"/>
      <c r="J398" s="662"/>
      <c r="K398" s="662"/>
      <c r="L398" s="662"/>
      <c r="M398" s="662"/>
      <c r="N398" s="662"/>
      <c r="O398" s="663"/>
      <c r="P398" s="659" t="s">
        <v>40</v>
      </c>
      <c r="Q398" s="660"/>
      <c r="R398" s="660"/>
      <c r="S398" s="660"/>
      <c r="T398" s="660"/>
      <c r="U398" s="660"/>
      <c r="V398" s="661"/>
      <c r="W398" s="40" t="s">
        <v>39</v>
      </c>
      <c r="X398" s="41">
        <f>IFERROR(X395/H395,"0")+IFERROR(X396/H396,"0")+IFERROR(X397/H397,"0")</f>
        <v>0</v>
      </c>
      <c r="Y398" s="41">
        <f>IFERROR(Y395/H395,"0")+IFERROR(Y396/H396,"0")+IFERROR(Y397/H397,"0")</f>
        <v>0</v>
      </c>
      <c r="Z398" s="41">
        <f>IFERROR(IF(Z395="",0,Z395),"0")+IFERROR(IF(Z396="",0,Z396),"0")+IFERROR(IF(Z397="",0,Z397),"0")</f>
        <v>0</v>
      </c>
      <c r="AA398" s="64"/>
      <c r="AB398" s="64"/>
      <c r="AC398" s="64"/>
    </row>
    <row r="399" spans="1:68" hidden="1" x14ac:dyDescent="0.2">
      <c r="A399" s="662"/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3"/>
      <c r="P399" s="659" t="s">
        <v>40</v>
      </c>
      <c r="Q399" s="660"/>
      <c r="R399" s="660"/>
      <c r="S399" s="660"/>
      <c r="T399" s="660"/>
      <c r="U399" s="660"/>
      <c r="V399" s="661"/>
      <c r="W399" s="40" t="s">
        <v>0</v>
      </c>
      <c r="X399" s="41">
        <f>IFERROR(SUM(X395:X397),"0")</f>
        <v>0</v>
      </c>
      <c r="Y399" s="41">
        <f>IFERROR(SUM(Y395:Y397),"0")</f>
        <v>0</v>
      </c>
      <c r="Z399" s="40"/>
      <c r="AA399" s="64"/>
      <c r="AB399" s="64"/>
      <c r="AC399" s="64"/>
    </row>
    <row r="400" spans="1:68" ht="14.25" hidden="1" customHeight="1" x14ac:dyDescent="0.25">
      <c r="A400" s="665" t="s">
        <v>294</v>
      </c>
      <c r="B400" s="665"/>
      <c r="C400" s="665"/>
      <c r="D400" s="665"/>
      <c r="E400" s="665"/>
      <c r="F400" s="665"/>
      <c r="G400" s="665"/>
      <c r="H400" s="665"/>
      <c r="I400" s="665"/>
      <c r="J400" s="665"/>
      <c r="K400" s="665"/>
      <c r="L400" s="665"/>
      <c r="M400" s="665"/>
      <c r="N400" s="665"/>
      <c r="O400" s="665"/>
      <c r="P400" s="665"/>
      <c r="Q400" s="665"/>
      <c r="R400" s="665"/>
      <c r="S400" s="665"/>
      <c r="T400" s="665"/>
      <c r="U400" s="665"/>
      <c r="V400" s="665"/>
      <c r="W400" s="665"/>
      <c r="X400" s="665"/>
      <c r="Y400" s="665"/>
      <c r="Z400" s="665"/>
      <c r="AA400" s="63"/>
      <c r="AB400" s="63"/>
      <c r="AC400" s="63"/>
    </row>
    <row r="401" spans="1:68" ht="27" hidden="1" customHeight="1" x14ac:dyDescent="0.25">
      <c r="A401" s="60" t="s">
        <v>669</v>
      </c>
      <c r="B401" s="60" t="s">
        <v>670</v>
      </c>
      <c r="C401" s="34">
        <v>4301030235</v>
      </c>
      <c r="D401" s="666">
        <v>4607091388381</v>
      </c>
      <c r="E401" s="666"/>
      <c r="F401" s="59">
        <v>0.38</v>
      </c>
      <c r="G401" s="35">
        <v>8</v>
      </c>
      <c r="H401" s="59">
        <v>3.04</v>
      </c>
      <c r="I401" s="59">
        <v>3.31</v>
      </c>
      <c r="J401" s="35">
        <v>132</v>
      </c>
      <c r="K401" s="35" t="s">
        <v>134</v>
      </c>
      <c r="L401" s="35" t="s">
        <v>46</v>
      </c>
      <c r="M401" s="36" t="s">
        <v>269</v>
      </c>
      <c r="N401" s="36"/>
      <c r="O401" s="35">
        <v>180</v>
      </c>
      <c r="P401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668"/>
      <c r="R401" s="668"/>
      <c r="S401" s="668"/>
      <c r="T401" s="669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IFERROR(IF(Y401=0,"",ROUNDUP(Y401/H401,0)*0.00902),"")</f>
        <v/>
      </c>
      <c r="AA401" s="65" t="s">
        <v>46</v>
      </c>
      <c r="AB401" s="66" t="s">
        <v>46</v>
      </c>
      <c r="AC401" s="505" t="s">
        <v>671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hidden="1" customHeight="1" x14ac:dyDescent="0.25">
      <c r="A402" s="60" t="s">
        <v>672</v>
      </c>
      <c r="B402" s="60" t="s">
        <v>673</v>
      </c>
      <c r="C402" s="34">
        <v>4301030232</v>
      </c>
      <c r="D402" s="666">
        <v>4607091388374</v>
      </c>
      <c r="E402" s="666"/>
      <c r="F402" s="59">
        <v>0.38</v>
      </c>
      <c r="G402" s="35">
        <v>8</v>
      </c>
      <c r="H402" s="59">
        <v>3.04</v>
      </c>
      <c r="I402" s="59">
        <v>3.27</v>
      </c>
      <c r="J402" s="35">
        <v>132</v>
      </c>
      <c r="K402" s="35" t="s">
        <v>134</v>
      </c>
      <c r="L402" s="35" t="s">
        <v>46</v>
      </c>
      <c r="M402" s="36" t="s">
        <v>269</v>
      </c>
      <c r="N402" s="36"/>
      <c r="O402" s="35">
        <v>180</v>
      </c>
      <c r="P402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668"/>
      <c r="R402" s="668"/>
      <c r="S402" s="668"/>
      <c r="T402" s="66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IFERROR(IF(Y402=0,"",ROUNDUP(Y402/H402,0)*0.00902),"")</f>
        <v/>
      </c>
      <c r="AA402" s="65" t="s">
        <v>46</v>
      </c>
      <c r="AB402" s="66" t="s">
        <v>46</v>
      </c>
      <c r="AC402" s="507" t="s">
        <v>671</v>
      </c>
      <c r="AG402" s="75"/>
      <c r="AJ402" s="79" t="s">
        <v>46</v>
      </c>
      <c r="AK402" s="79">
        <v>0</v>
      </c>
      <c r="BB402" s="508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674</v>
      </c>
      <c r="B403" s="60" t="s">
        <v>675</v>
      </c>
      <c r="C403" s="34">
        <v>4301032015</v>
      </c>
      <c r="D403" s="666">
        <v>4607091383102</v>
      </c>
      <c r="E403" s="666"/>
      <c r="F403" s="59">
        <v>0.17</v>
      </c>
      <c r="G403" s="35">
        <v>15</v>
      </c>
      <c r="H403" s="59">
        <v>2.5499999999999998</v>
      </c>
      <c r="I403" s="59">
        <v>2.9550000000000001</v>
      </c>
      <c r="J403" s="35">
        <v>182</v>
      </c>
      <c r="K403" s="35" t="s">
        <v>91</v>
      </c>
      <c r="L403" s="35" t="s">
        <v>46</v>
      </c>
      <c r="M403" s="36" t="s">
        <v>269</v>
      </c>
      <c r="N403" s="36"/>
      <c r="O403" s="35">
        <v>180</v>
      </c>
      <c r="P403" s="74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668"/>
      <c r="R403" s="668"/>
      <c r="S403" s="668"/>
      <c r="T403" s="66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IFERROR(IF(Y403=0,"",ROUNDUP(Y403/H403,0)*0.00651),"")</f>
        <v/>
      </c>
      <c r="AA403" s="65" t="s">
        <v>46</v>
      </c>
      <c r="AB403" s="66" t="s">
        <v>46</v>
      </c>
      <c r="AC403" s="509" t="s">
        <v>671</v>
      </c>
      <c r="AG403" s="75"/>
      <c r="AJ403" s="79" t="s">
        <v>46</v>
      </c>
      <c r="AK403" s="79">
        <v>0</v>
      </c>
      <c r="BB403" s="510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676</v>
      </c>
      <c r="B404" s="60" t="s">
        <v>677</v>
      </c>
      <c r="C404" s="34">
        <v>4301030233</v>
      </c>
      <c r="D404" s="666">
        <v>4607091388404</v>
      </c>
      <c r="E404" s="666"/>
      <c r="F404" s="59">
        <v>0.17</v>
      </c>
      <c r="G404" s="35">
        <v>15</v>
      </c>
      <c r="H404" s="59">
        <v>2.5499999999999998</v>
      </c>
      <c r="I404" s="59">
        <v>2.88</v>
      </c>
      <c r="J404" s="35">
        <v>182</v>
      </c>
      <c r="K404" s="35" t="s">
        <v>91</v>
      </c>
      <c r="L404" s="35" t="s">
        <v>46</v>
      </c>
      <c r="M404" s="36" t="s">
        <v>269</v>
      </c>
      <c r="N404" s="36"/>
      <c r="O404" s="35">
        <v>180</v>
      </c>
      <c r="P404" s="7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668"/>
      <c r="R404" s="668"/>
      <c r="S404" s="668"/>
      <c r="T404" s="66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IFERROR(IF(Y404=0,"",ROUNDUP(Y404/H404,0)*0.00651),"")</f>
        <v/>
      </c>
      <c r="AA404" s="65" t="s">
        <v>46</v>
      </c>
      <c r="AB404" s="66" t="s">
        <v>46</v>
      </c>
      <c r="AC404" s="511" t="s">
        <v>671</v>
      </c>
      <c r="AG404" s="75"/>
      <c r="AJ404" s="79" t="s">
        <v>46</v>
      </c>
      <c r="AK404" s="79">
        <v>0</v>
      </c>
      <c r="BB404" s="512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62"/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3"/>
      <c r="P405" s="659" t="s">
        <v>40</v>
      </c>
      <c r="Q405" s="660"/>
      <c r="R405" s="660"/>
      <c r="S405" s="660"/>
      <c r="T405" s="660"/>
      <c r="U405" s="660"/>
      <c r="V405" s="661"/>
      <c r="W405" s="40" t="s">
        <v>39</v>
      </c>
      <c r="X405" s="41">
        <f>IFERROR(X401/H401,"0")+IFERROR(X402/H402,"0")+IFERROR(X403/H403,"0")+IFERROR(X404/H404,"0")</f>
        <v>0</v>
      </c>
      <c r="Y405" s="41">
        <f>IFERROR(Y401/H401,"0")+IFERROR(Y402/H402,"0")+IFERROR(Y403/H403,"0")+IFERROR(Y404/H404,"0")</f>
        <v>0</v>
      </c>
      <c r="Z405" s="41">
        <f>IFERROR(IF(Z401="",0,Z401),"0")+IFERROR(IF(Z402="",0,Z402),"0")+IFERROR(IF(Z403="",0,Z403),"0")+IFERROR(IF(Z404="",0,Z404),"0")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62"/>
      <c r="B406" s="662"/>
      <c r="C406" s="662"/>
      <c r="D406" s="662"/>
      <c r="E406" s="662"/>
      <c r="F406" s="662"/>
      <c r="G406" s="662"/>
      <c r="H406" s="662"/>
      <c r="I406" s="662"/>
      <c r="J406" s="662"/>
      <c r="K406" s="662"/>
      <c r="L406" s="662"/>
      <c r="M406" s="662"/>
      <c r="N406" s="662"/>
      <c r="O406" s="663"/>
      <c r="P406" s="659" t="s">
        <v>40</v>
      </c>
      <c r="Q406" s="660"/>
      <c r="R406" s="660"/>
      <c r="S406" s="660"/>
      <c r="T406" s="660"/>
      <c r="U406" s="660"/>
      <c r="V406" s="661"/>
      <c r="W406" s="40" t="s">
        <v>0</v>
      </c>
      <c r="X406" s="41">
        <f>IFERROR(SUM(X401:X404),"0")</f>
        <v>0</v>
      </c>
      <c r="Y406" s="41">
        <f>IFERROR(SUM(Y401:Y404),"0")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65" t="s">
        <v>678</v>
      </c>
      <c r="B407" s="665"/>
      <c r="C407" s="665"/>
      <c r="D407" s="665"/>
      <c r="E407" s="665"/>
      <c r="F407" s="665"/>
      <c r="G407" s="665"/>
      <c r="H407" s="665"/>
      <c r="I407" s="665"/>
      <c r="J407" s="665"/>
      <c r="K407" s="665"/>
      <c r="L407" s="665"/>
      <c r="M407" s="665"/>
      <c r="N407" s="665"/>
      <c r="O407" s="665"/>
      <c r="P407" s="665"/>
      <c r="Q407" s="665"/>
      <c r="R407" s="665"/>
      <c r="S407" s="665"/>
      <c r="T407" s="665"/>
      <c r="U407" s="665"/>
      <c r="V407" s="665"/>
      <c r="W407" s="665"/>
      <c r="X407" s="665"/>
      <c r="Y407" s="665"/>
      <c r="Z407" s="665"/>
      <c r="AA407" s="63"/>
      <c r="AB407" s="63"/>
      <c r="AC407" s="63"/>
    </row>
    <row r="408" spans="1:68" ht="16.5" hidden="1" customHeight="1" x14ac:dyDescent="0.25">
      <c r="A408" s="60" t="s">
        <v>679</v>
      </c>
      <c r="B408" s="60" t="s">
        <v>680</v>
      </c>
      <c r="C408" s="34">
        <v>4301180007</v>
      </c>
      <c r="D408" s="666">
        <v>4680115881808</v>
      </c>
      <c r="E408" s="666"/>
      <c r="F408" s="59">
        <v>0.1</v>
      </c>
      <c r="G408" s="35">
        <v>20</v>
      </c>
      <c r="H408" s="59">
        <v>2</v>
      </c>
      <c r="I408" s="59">
        <v>2.2400000000000002</v>
      </c>
      <c r="J408" s="35">
        <v>238</v>
      </c>
      <c r="K408" s="35" t="s">
        <v>91</v>
      </c>
      <c r="L408" s="35" t="s">
        <v>46</v>
      </c>
      <c r="M408" s="36" t="s">
        <v>682</v>
      </c>
      <c r="N408" s="36"/>
      <c r="O408" s="35">
        <v>731</v>
      </c>
      <c r="P408" s="7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668"/>
      <c r="R408" s="668"/>
      <c r="S408" s="668"/>
      <c r="T408" s="66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IFERROR(IF(Y408=0,"",ROUNDUP(Y408/H408,0)*0.00474),"")</f>
        <v/>
      </c>
      <c r="AA408" s="65" t="s">
        <v>46</v>
      </c>
      <c r="AB408" s="66" t="s">
        <v>46</v>
      </c>
      <c r="AC408" s="513" t="s">
        <v>681</v>
      </c>
      <c r="AG408" s="75"/>
      <c r="AJ408" s="79" t="s">
        <v>46</v>
      </c>
      <c r="AK408" s="79">
        <v>0</v>
      </c>
      <c r="BB408" s="514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683</v>
      </c>
      <c r="B409" s="60" t="s">
        <v>684</v>
      </c>
      <c r="C409" s="34">
        <v>4301180006</v>
      </c>
      <c r="D409" s="666">
        <v>4680115881822</v>
      </c>
      <c r="E409" s="666"/>
      <c r="F409" s="59">
        <v>0.1</v>
      </c>
      <c r="G409" s="35">
        <v>20</v>
      </c>
      <c r="H409" s="59">
        <v>2</v>
      </c>
      <c r="I409" s="59">
        <v>2.2400000000000002</v>
      </c>
      <c r="J409" s="35">
        <v>238</v>
      </c>
      <c r="K409" s="35" t="s">
        <v>91</v>
      </c>
      <c r="L409" s="35" t="s">
        <v>46</v>
      </c>
      <c r="M409" s="36" t="s">
        <v>682</v>
      </c>
      <c r="N409" s="36"/>
      <c r="O409" s="35">
        <v>731</v>
      </c>
      <c r="P409" s="7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668"/>
      <c r="R409" s="668"/>
      <c r="S409" s="668"/>
      <c r="T409" s="66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IFERROR(IF(Y409=0,"",ROUNDUP(Y409/H409,0)*0.00474),"")</f>
        <v/>
      </c>
      <c r="AA409" s="65" t="s">
        <v>46</v>
      </c>
      <c r="AB409" s="66" t="s">
        <v>46</v>
      </c>
      <c r="AC409" s="515" t="s">
        <v>681</v>
      </c>
      <c r="AG409" s="75"/>
      <c r="AJ409" s="79" t="s">
        <v>46</v>
      </c>
      <c r="AK409" s="79">
        <v>0</v>
      </c>
      <c r="BB409" s="516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685</v>
      </c>
      <c r="B410" s="60" t="s">
        <v>686</v>
      </c>
      <c r="C410" s="34">
        <v>4301180001</v>
      </c>
      <c r="D410" s="666">
        <v>4680115880016</v>
      </c>
      <c r="E410" s="666"/>
      <c r="F410" s="59">
        <v>0.1</v>
      </c>
      <c r="G410" s="35">
        <v>20</v>
      </c>
      <c r="H410" s="59">
        <v>2</v>
      </c>
      <c r="I410" s="59">
        <v>2.2400000000000002</v>
      </c>
      <c r="J410" s="35">
        <v>238</v>
      </c>
      <c r="K410" s="35" t="s">
        <v>91</v>
      </c>
      <c r="L410" s="35" t="s">
        <v>46</v>
      </c>
      <c r="M410" s="36" t="s">
        <v>682</v>
      </c>
      <c r="N410" s="36"/>
      <c r="O410" s="35">
        <v>731</v>
      </c>
      <c r="P410" s="7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668"/>
      <c r="R410" s="668"/>
      <c r="S410" s="668"/>
      <c r="T410" s="66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IFERROR(IF(Y410=0,"",ROUNDUP(Y410/H410,0)*0.00474),"")</f>
        <v/>
      </c>
      <c r="AA410" s="65" t="s">
        <v>46</v>
      </c>
      <c r="AB410" s="66" t="s">
        <v>46</v>
      </c>
      <c r="AC410" s="517" t="s">
        <v>681</v>
      </c>
      <c r="AG410" s="75"/>
      <c r="AJ410" s="79" t="s">
        <v>46</v>
      </c>
      <c r="AK410" s="79">
        <v>0</v>
      </c>
      <c r="BB410" s="518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62"/>
      <c r="B411" s="662"/>
      <c r="C411" s="662"/>
      <c r="D411" s="662"/>
      <c r="E411" s="662"/>
      <c r="F411" s="662"/>
      <c r="G411" s="662"/>
      <c r="H411" s="662"/>
      <c r="I411" s="662"/>
      <c r="J411" s="662"/>
      <c r="K411" s="662"/>
      <c r="L411" s="662"/>
      <c r="M411" s="662"/>
      <c r="N411" s="662"/>
      <c r="O411" s="663"/>
      <c r="P411" s="659" t="s">
        <v>40</v>
      </c>
      <c r="Q411" s="660"/>
      <c r="R411" s="660"/>
      <c r="S411" s="660"/>
      <c r="T411" s="660"/>
      <c r="U411" s="660"/>
      <c r="V411" s="661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62"/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3"/>
      <c r="P412" s="659" t="s">
        <v>40</v>
      </c>
      <c r="Q412" s="660"/>
      <c r="R412" s="660"/>
      <c r="S412" s="660"/>
      <c r="T412" s="660"/>
      <c r="U412" s="660"/>
      <c r="V412" s="661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665" t="s">
        <v>687</v>
      </c>
      <c r="B413" s="665"/>
      <c r="C413" s="665"/>
      <c r="D413" s="665"/>
      <c r="E413" s="665"/>
      <c r="F413" s="665"/>
      <c r="G413" s="665"/>
      <c r="H413" s="665"/>
      <c r="I413" s="665"/>
      <c r="J413" s="665"/>
      <c r="K413" s="665"/>
      <c r="L413" s="665"/>
      <c r="M413" s="665"/>
      <c r="N413" s="665"/>
      <c r="O413" s="665"/>
      <c r="P413" s="665"/>
      <c r="Q413" s="665"/>
      <c r="R413" s="665"/>
      <c r="S413" s="665"/>
      <c r="T413" s="665"/>
      <c r="U413" s="665"/>
      <c r="V413" s="665"/>
      <c r="W413" s="665"/>
      <c r="X413" s="665"/>
      <c r="Y413" s="665"/>
      <c r="Z413" s="665"/>
      <c r="AA413" s="63"/>
      <c r="AB413" s="63"/>
      <c r="AC413" s="63"/>
    </row>
    <row r="414" spans="1:68" ht="27" hidden="1" customHeight="1" x14ac:dyDescent="0.25">
      <c r="A414" s="60" t="s">
        <v>688</v>
      </c>
      <c r="B414" s="60" t="s">
        <v>689</v>
      </c>
      <c r="C414" s="34">
        <v>4301220003</v>
      </c>
      <c r="D414" s="666">
        <v>4680115888678</v>
      </c>
      <c r="E414" s="666"/>
      <c r="F414" s="59">
        <v>0.25</v>
      </c>
      <c r="G414" s="35">
        <v>12</v>
      </c>
      <c r="H414" s="59">
        <v>3</v>
      </c>
      <c r="I414" s="59">
        <v>3.22</v>
      </c>
      <c r="J414" s="35">
        <v>224</v>
      </c>
      <c r="K414" s="35" t="s">
        <v>91</v>
      </c>
      <c r="L414" s="35" t="s">
        <v>46</v>
      </c>
      <c r="M414" s="36" t="s">
        <v>682</v>
      </c>
      <c r="N414" s="36"/>
      <c r="O414" s="35">
        <v>1096</v>
      </c>
      <c r="P414" s="73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668"/>
      <c r="R414" s="668"/>
      <c r="S414" s="668"/>
      <c r="T414" s="669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IFERROR(IF(Y414=0,"",ROUNDUP(Y414/H414,0)*0.0045),"")</f>
        <v/>
      </c>
      <c r="AA414" s="65" t="s">
        <v>46</v>
      </c>
      <c r="AB414" s="66" t="s">
        <v>46</v>
      </c>
      <c r="AC414" s="519" t="s">
        <v>690</v>
      </c>
      <c r="AG414" s="75"/>
      <c r="AJ414" s="79" t="s">
        <v>46</v>
      </c>
      <c r="AK414" s="79">
        <v>0</v>
      </c>
      <c r="BB414" s="520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691</v>
      </c>
      <c r="B415" s="60" t="s">
        <v>692</v>
      </c>
      <c r="C415" s="34">
        <v>4301220001</v>
      </c>
      <c r="D415" s="666">
        <v>4680115888654</v>
      </c>
      <c r="E415" s="666"/>
      <c r="F415" s="59">
        <v>0.32500000000000001</v>
      </c>
      <c r="G415" s="35">
        <v>12</v>
      </c>
      <c r="H415" s="59">
        <v>3.9</v>
      </c>
      <c r="I415" s="59">
        <v>4.17</v>
      </c>
      <c r="J415" s="35">
        <v>144</v>
      </c>
      <c r="K415" s="35" t="s">
        <v>134</v>
      </c>
      <c r="L415" s="35" t="s">
        <v>46</v>
      </c>
      <c r="M415" s="36" t="s">
        <v>682</v>
      </c>
      <c r="N415" s="36"/>
      <c r="O415" s="35">
        <v>1096</v>
      </c>
      <c r="P415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668"/>
      <c r="R415" s="668"/>
      <c r="S415" s="668"/>
      <c r="T415" s="66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IFERROR(IF(Y415=0,"",ROUNDUP(Y415/H415,0)*0.006),"")</f>
        <v/>
      </c>
      <c r="AA415" s="65" t="s">
        <v>46</v>
      </c>
      <c r="AB415" s="66" t="s">
        <v>46</v>
      </c>
      <c r="AC415" s="521" t="s">
        <v>693</v>
      </c>
      <c r="AG415" s="75"/>
      <c r="AJ415" s="79" t="s">
        <v>46</v>
      </c>
      <c r="AK415" s="79">
        <v>0</v>
      </c>
      <c r="BB415" s="522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694</v>
      </c>
      <c r="B416" s="60" t="s">
        <v>695</v>
      </c>
      <c r="C416" s="34">
        <v>4301220002</v>
      </c>
      <c r="D416" s="666">
        <v>4680115888753</v>
      </c>
      <c r="E416" s="666"/>
      <c r="F416" s="59">
        <v>0.25</v>
      </c>
      <c r="G416" s="35">
        <v>12</v>
      </c>
      <c r="H416" s="59">
        <v>3</v>
      </c>
      <c r="I416" s="59">
        <v>3.22</v>
      </c>
      <c r="J416" s="35">
        <v>224</v>
      </c>
      <c r="K416" s="35" t="s">
        <v>91</v>
      </c>
      <c r="L416" s="35" t="s">
        <v>46</v>
      </c>
      <c r="M416" s="36" t="s">
        <v>682</v>
      </c>
      <c r="N416" s="36"/>
      <c r="O416" s="35">
        <v>1096</v>
      </c>
      <c r="P416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668"/>
      <c r="R416" s="668"/>
      <c r="S416" s="668"/>
      <c r="T416" s="66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IFERROR(IF(Y416=0,"",ROUNDUP(Y416/H416,0)*0.0045),"")</f>
        <v/>
      </c>
      <c r="AA416" s="65" t="s">
        <v>46</v>
      </c>
      <c r="AB416" s="66" t="s">
        <v>46</v>
      </c>
      <c r="AC416" s="523" t="s">
        <v>690</v>
      </c>
      <c r="AG416" s="75"/>
      <c r="AJ416" s="79" t="s">
        <v>46</v>
      </c>
      <c r="AK416" s="79">
        <v>0</v>
      </c>
      <c r="BB416" s="524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62"/>
      <c r="B417" s="662"/>
      <c r="C417" s="662"/>
      <c r="D417" s="662"/>
      <c r="E417" s="662"/>
      <c r="F417" s="662"/>
      <c r="G417" s="662"/>
      <c r="H417" s="662"/>
      <c r="I417" s="662"/>
      <c r="J417" s="662"/>
      <c r="K417" s="662"/>
      <c r="L417" s="662"/>
      <c r="M417" s="662"/>
      <c r="N417" s="662"/>
      <c r="O417" s="663"/>
      <c r="P417" s="659" t="s">
        <v>40</v>
      </c>
      <c r="Q417" s="660"/>
      <c r="R417" s="660"/>
      <c r="S417" s="660"/>
      <c r="T417" s="660"/>
      <c r="U417" s="660"/>
      <c r="V417" s="6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662"/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3"/>
      <c r="P418" s="659" t="s">
        <v>40</v>
      </c>
      <c r="Q418" s="660"/>
      <c r="R418" s="660"/>
      <c r="S418" s="660"/>
      <c r="T418" s="660"/>
      <c r="U418" s="660"/>
      <c r="V418" s="6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64" t="s">
        <v>696</v>
      </c>
      <c r="B419" s="664"/>
      <c r="C419" s="664"/>
      <c r="D419" s="664"/>
      <c r="E419" s="664"/>
      <c r="F419" s="664"/>
      <c r="G419" s="664"/>
      <c r="H419" s="664"/>
      <c r="I419" s="664"/>
      <c r="J419" s="664"/>
      <c r="K419" s="664"/>
      <c r="L419" s="664"/>
      <c r="M419" s="664"/>
      <c r="N419" s="664"/>
      <c r="O419" s="664"/>
      <c r="P419" s="664"/>
      <c r="Q419" s="664"/>
      <c r="R419" s="664"/>
      <c r="S419" s="664"/>
      <c r="T419" s="664"/>
      <c r="U419" s="664"/>
      <c r="V419" s="664"/>
      <c r="W419" s="664"/>
      <c r="X419" s="664"/>
      <c r="Y419" s="664"/>
      <c r="Z419" s="664"/>
      <c r="AA419" s="62"/>
      <c r="AB419" s="62"/>
      <c r="AC419" s="62"/>
    </row>
    <row r="420" spans="1:68" ht="14.25" hidden="1" customHeight="1" x14ac:dyDescent="0.25">
      <c r="A420" s="665" t="s">
        <v>86</v>
      </c>
      <c r="B420" s="665"/>
      <c r="C420" s="665"/>
      <c r="D420" s="665"/>
      <c r="E420" s="665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3"/>
      <c r="AB420" s="63"/>
      <c r="AC420" s="63"/>
    </row>
    <row r="421" spans="1:68" ht="16.5" hidden="1" customHeight="1" x14ac:dyDescent="0.25">
      <c r="A421" s="60" t="s">
        <v>697</v>
      </c>
      <c r="B421" s="60" t="s">
        <v>698</v>
      </c>
      <c r="C421" s="34">
        <v>4301052235</v>
      </c>
      <c r="D421" s="666">
        <v>4680115889415</v>
      </c>
      <c r="E421" s="666"/>
      <c r="F421" s="59">
        <v>1.3</v>
      </c>
      <c r="G421" s="35">
        <v>6</v>
      </c>
      <c r="H421" s="59">
        <v>7.8</v>
      </c>
      <c r="I421" s="59">
        <v>8.2100000000000009</v>
      </c>
      <c r="J421" s="35">
        <v>64</v>
      </c>
      <c r="K421" s="35" t="s">
        <v>127</v>
      </c>
      <c r="L421" s="35" t="s">
        <v>46</v>
      </c>
      <c r="M421" s="36" t="s">
        <v>90</v>
      </c>
      <c r="N421" s="36"/>
      <c r="O421" s="35">
        <v>40</v>
      </c>
      <c r="P421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668"/>
      <c r="R421" s="668"/>
      <c r="S421" s="668"/>
      <c r="T421" s="669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25" t="s">
        <v>699</v>
      </c>
      <c r="AG421" s="75"/>
      <c r="AJ421" s="79" t="s">
        <v>46</v>
      </c>
      <c r="AK421" s="79">
        <v>0</v>
      </c>
      <c r="BB421" s="526" t="s">
        <v>67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16.5" hidden="1" customHeight="1" x14ac:dyDescent="0.25">
      <c r="A422" s="60" t="s">
        <v>700</v>
      </c>
      <c r="B422" s="60" t="s">
        <v>701</v>
      </c>
      <c r="C422" s="34">
        <v>4301052236</v>
      </c>
      <c r="D422" s="666">
        <v>4680115889422</v>
      </c>
      <c r="E422" s="666"/>
      <c r="F422" s="59">
        <v>1.3</v>
      </c>
      <c r="G422" s="35">
        <v>6</v>
      </c>
      <c r="H422" s="59">
        <v>7.8</v>
      </c>
      <c r="I422" s="59">
        <v>8.2100000000000009</v>
      </c>
      <c r="J422" s="35">
        <v>64</v>
      </c>
      <c r="K422" s="35" t="s">
        <v>127</v>
      </c>
      <c r="L422" s="35" t="s">
        <v>46</v>
      </c>
      <c r="M422" s="36" t="s">
        <v>90</v>
      </c>
      <c r="N422" s="36"/>
      <c r="O422" s="35">
        <v>40</v>
      </c>
      <c r="P422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668"/>
      <c r="R422" s="668"/>
      <c r="S422" s="668"/>
      <c r="T422" s="669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27" t="s">
        <v>702</v>
      </c>
      <c r="AG422" s="75"/>
      <c r="AJ422" s="79" t="s">
        <v>46</v>
      </c>
      <c r="AK422" s="79">
        <v>0</v>
      </c>
      <c r="BB422" s="528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idden="1" x14ac:dyDescent="0.2">
      <c r="A423" s="662"/>
      <c r="B423" s="662"/>
      <c r="C423" s="662"/>
      <c r="D423" s="662"/>
      <c r="E423" s="662"/>
      <c r="F423" s="662"/>
      <c r="G423" s="662"/>
      <c r="H423" s="662"/>
      <c r="I423" s="662"/>
      <c r="J423" s="662"/>
      <c r="K423" s="662"/>
      <c r="L423" s="662"/>
      <c r="M423" s="662"/>
      <c r="N423" s="662"/>
      <c r="O423" s="663"/>
      <c r="P423" s="659" t="s">
        <v>40</v>
      </c>
      <c r="Q423" s="660"/>
      <c r="R423" s="660"/>
      <c r="S423" s="660"/>
      <c r="T423" s="660"/>
      <c r="U423" s="660"/>
      <c r="V423" s="661"/>
      <c r="W423" s="40" t="s">
        <v>39</v>
      </c>
      <c r="X423" s="41">
        <f>IFERROR(X421/H421,"0")+IFERROR(X422/H422,"0")</f>
        <v>0</v>
      </c>
      <c r="Y423" s="41">
        <f>IFERROR(Y421/H421,"0")+IFERROR(Y422/H422,"0")</f>
        <v>0</v>
      </c>
      <c r="Z423" s="41">
        <f>IFERROR(IF(Z421="",0,Z421),"0")+IFERROR(IF(Z422="",0,Z422),"0")</f>
        <v>0</v>
      </c>
      <c r="AA423" s="64"/>
      <c r="AB423" s="64"/>
      <c r="AC423" s="64"/>
    </row>
    <row r="424" spans="1:68" hidden="1" x14ac:dyDescent="0.2">
      <c r="A424" s="662"/>
      <c r="B424" s="662"/>
      <c r="C424" s="662"/>
      <c r="D424" s="662"/>
      <c r="E424" s="662"/>
      <c r="F424" s="662"/>
      <c r="G424" s="662"/>
      <c r="H424" s="662"/>
      <c r="I424" s="662"/>
      <c r="J424" s="662"/>
      <c r="K424" s="662"/>
      <c r="L424" s="662"/>
      <c r="M424" s="662"/>
      <c r="N424" s="662"/>
      <c r="O424" s="663"/>
      <c r="P424" s="659" t="s">
        <v>40</v>
      </c>
      <c r="Q424" s="660"/>
      <c r="R424" s="660"/>
      <c r="S424" s="660"/>
      <c r="T424" s="660"/>
      <c r="U424" s="660"/>
      <c r="V424" s="661"/>
      <c r="W424" s="40" t="s">
        <v>0</v>
      </c>
      <c r="X424" s="41">
        <f>IFERROR(SUM(X421:X422),"0")</f>
        <v>0</v>
      </c>
      <c r="Y424" s="41">
        <f>IFERROR(SUM(Y421:Y422),"0")</f>
        <v>0</v>
      </c>
      <c r="Z424" s="40"/>
      <c r="AA424" s="64"/>
      <c r="AB424" s="64"/>
      <c r="AC424" s="64"/>
    </row>
    <row r="425" spans="1:68" ht="16.5" hidden="1" customHeight="1" x14ac:dyDescent="0.25">
      <c r="A425" s="664" t="s">
        <v>703</v>
      </c>
      <c r="B425" s="664"/>
      <c r="C425" s="664"/>
      <c r="D425" s="664"/>
      <c r="E425" s="664"/>
      <c r="F425" s="664"/>
      <c r="G425" s="664"/>
      <c r="H425" s="664"/>
      <c r="I425" s="664"/>
      <c r="J425" s="664"/>
      <c r="K425" s="664"/>
      <c r="L425" s="664"/>
      <c r="M425" s="664"/>
      <c r="N425" s="664"/>
      <c r="O425" s="664"/>
      <c r="P425" s="664"/>
      <c r="Q425" s="664"/>
      <c r="R425" s="664"/>
      <c r="S425" s="664"/>
      <c r="T425" s="664"/>
      <c r="U425" s="664"/>
      <c r="V425" s="664"/>
      <c r="W425" s="664"/>
      <c r="X425" s="664"/>
      <c r="Y425" s="664"/>
      <c r="Z425" s="664"/>
      <c r="AA425" s="62"/>
      <c r="AB425" s="62"/>
      <c r="AC425" s="62"/>
    </row>
    <row r="426" spans="1:68" ht="14.25" hidden="1" customHeight="1" x14ac:dyDescent="0.25">
      <c r="A426" s="665" t="s">
        <v>86</v>
      </c>
      <c r="B426" s="665"/>
      <c r="C426" s="665"/>
      <c r="D426" s="665"/>
      <c r="E426" s="665"/>
      <c r="F426" s="665"/>
      <c r="G426" s="665"/>
      <c r="H426" s="665"/>
      <c r="I426" s="665"/>
      <c r="J426" s="665"/>
      <c r="K426" s="665"/>
      <c r="L426" s="665"/>
      <c r="M426" s="665"/>
      <c r="N426" s="665"/>
      <c r="O426" s="665"/>
      <c r="P426" s="665"/>
      <c r="Q426" s="665"/>
      <c r="R426" s="665"/>
      <c r="S426" s="665"/>
      <c r="T426" s="665"/>
      <c r="U426" s="665"/>
      <c r="V426" s="665"/>
      <c r="W426" s="665"/>
      <c r="X426" s="665"/>
      <c r="Y426" s="665"/>
      <c r="Z426" s="665"/>
      <c r="AA426" s="63"/>
      <c r="AB426" s="63"/>
      <c r="AC426" s="63"/>
    </row>
    <row r="427" spans="1:68" ht="27" hidden="1" customHeight="1" x14ac:dyDescent="0.25">
      <c r="A427" s="60" t="s">
        <v>704</v>
      </c>
      <c r="B427" s="60" t="s">
        <v>705</v>
      </c>
      <c r="C427" s="34">
        <v>4301051489</v>
      </c>
      <c r="D427" s="666">
        <v>4607091387919</v>
      </c>
      <c r="E427" s="666"/>
      <c r="F427" s="59">
        <v>1.35</v>
      </c>
      <c r="G427" s="35">
        <v>6</v>
      </c>
      <c r="H427" s="59">
        <v>8.1</v>
      </c>
      <c r="I427" s="59">
        <v>8.5939999999999994</v>
      </c>
      <c r="J427" s="35">
        <v>64</v>
      </c>
      <c r="K427" s="35" t="s">
        <v>127</v>
      </c>
      <c r="L427" s="35" t="s">
        <v>46</v>
      </c>
      <c r="M427" s="36" t="s">
        <v>97</v>
      </c>
      <c r="N427" s="36"/>
      <c r="O427" s="35">
        <v>45</v>
      </c>
      <c r="P427" s="7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668"/>
      <c r="R427" s="668"/>
      <c r="S427" s="668"/>
      <c r="T427" s="669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 t="s">
        <v>46</v>
      </c>
      <c r="AB427" s="66" t="s">
        <v>46</v>
      </c>
      <c r="AC427" s="529" t="s">
        <v>706</v>
      </c>
      <c r="AG427" s="75"/>
      <c r="AJ427" s="79" t="s">
        <v>46</v>
      </c>
      <c r="AK427" s="79">
        <v>0</v>
      </c>
      <c r="BB427" s="530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27" hidden="1" customHeight="1" x14ac:dyDescent="0.25">
      <c r="A428" s="60" t="s">
        <v>707</v>
      </c>
      <c r="B428" s="60" t="s">
        <v>708</v>
      </c>
      <c r="C428" s="34">
        <v>4301051461</v>
      </c>
      <c r="D428" s="666">
        <v>4680115883604</v>
      </c>
      <c r="E428" s="666"/>
      <c r="F428" s="59">
        <v>0.35</v>
      </c>
      <c r="G428" s="35">
        <v>6</v>
      </c>
      <c r="H428" s="59">
        <v>2.1</v>
      </c>
      <c r="I428" s="59">
        <v>2.3519999999999999</v>
      </c>
      <c r="J428" s="35">
        <v>182</v>
      </c>
      <c r="K428" s="35" t="s">
        <v>91</v>
      </c>
      <c r="L428" s="35" t="s">
        <v>46</v>
      </c>
      <c r="M428" s="36" t="s">
        <v>90</v>
      </c>
      <c r="N428" s="36"/>
      <c r="O428" s="35">
        <v>45</v>
      </c>
      <c r="P428" s="73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668"/>
      <c r="R428" s="668"/>
      <c r="S428" s="668"/>
      <c r="T428" s="669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IFERROR(IF(Y428=0,"",ROUNDUP(Y428/H428,0)*0.00651),"")</f>
        <v/>
      </c>
      <c r="AA428" s="65" t="s">
        <v>46</v>
      </c>
      <c r="AB428" s="66" t="s">
        <v>46</v>
      </c>
      <c r="AC428" s="531" t="s">
        <v>709</v>
      </c>
      <c r="AG428" s="75"/>
      <c r="AJ428" s="79" t="s">
        <v>46</v>
      </c>
      <c r="AK428" s="79">
        <v>0</v>
      </c>
      <c r="BB428" s="532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t="27" hidden="1" customHeight="1" x14ac:dyDescent="0.25">
      <c r="A429" s="60" t="s">
        <v>710</v>
      </c>
      <c r="B429" s="60" t="s">
        <v>711</v>
      </c>
      <c r="C429" s="34">
        <v>4301051864</v>
      </c>
      <c r="D429" s="666">
        <v>4680115883567</v>
      </c>
      <c r="E429" s="666"/>
      <c r="F429" s="59">
        <v>0.35</v>
      </c>
      <c r="G429" s="35">
        <v>6</v>
      </c>
      <c r="H429" s="59">
        <v>2.1</v>
      </c>
      <c r="I429" s="59">
        <v>2.34</v>
      </c>
      <c r="J429" s="35">
        <v>182</v>
      </c>
      <c r="K429" s="35" t="s">
        <v>91</v>
      </c>
      <c r="L429" s="35" t="s">
        <v>46</v>
      </c>
      <c r="M429" s="36" t="s">
        <v>97</v>
      </c>
      <c r="N429" s="36"/>
      <c r="O429" s="35">
        <v>40</v>
      </c>
      <c r="P429" s="73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668"/>
      <c r="R429" s="668"/>
      <c r="S429" s="668"/>
      <c r="T429" s="669"/>
      <c r="U429" s="37" t="s">
        <v>46</v>
      </c>
      <c r="V429" s="37" t="s">
        <v>46</v>
      </c>
      <c r="W429" s="38" t="s">
        <v>0</v>
      </c>
      <c r="X429" s="56">
        <v>0</v>
      </c>
      <c r="Y429" s="53">
        <f>IFERROR(IF(X429="",0,CEILING((X429/$H429),1)*$H429),"")</f>
        <v>0</v>
      </c>
      <c r="Z429" s="39" t="str">
        <f>IFERROR(IF(Y429=0,"",ROUNDUP(Y429/H429,0)*0.00651),"")</f>
        <v/>
      </c>
      <c r="AA429" s="65" t="s">
        <v>46</v>
      </c>
      <c r="AB429" s="66" t="s">
        <v>46</v>
      </c>
      <c r="AC429" s="533" t="s">
        <v>712</v>
      </c>
      <c r="AG429" s="75"/>
      <c r="AJ429" s="79" t="s">
        <v>46</v>
      </c>
      <c r="AK429" s="79">
        <v>0</v>
      </c>
      <c r="BB429" s="534" t="s">
        <v>67</v>
      </c>
      <c r="BM429" s="75">
        <f>IFERROR(X429*I429/H429,"0")</f>
        <v>0</v>
      </c>
      <c r="BN429" s="75">
        <f>IFERROR(Y429*I429/H429,"0")</f>
        <v>0</v>
      </c>
      <c r="BO429" s="75">
        <f>IFERROR(1/J429*(X429/H429),"0")</f>
        <v>0</v>
      </c>
      <c r="BP429" s="75">
        <f>IFERROR(1/J429*(Y429/H429),"0")</f>
        <v>0</v>
      </c>
    </row>
    <row r="430" spans="1:68" hidden="1" x14ac:dyDescent="0.2">
      <c r="A430" s="662"/>
      <c r="B430" s="662"/>
      <c r="C430" s="662"/>
      <c r="D430" s="662"/>
      <c r="E430" s="662"/>
      <c r="F430" s="662"/>
      <c r="G430" s="662"/>
      <c r="H430" s="662"/>
      <c r="I430" s="662"/>
      <c r="J430" s="662"/>
      <c r="K430" s="662"/>
      <c r="L430" s="662"/>
      <c r="M430" s="662"/>
      <c r="N430" s="662"/>
      <c r="O430" s="663"/>
      <c r="P430" s="659" t="s">
        <v>40</v>
      </c>
      <c r="Q430" s="660"/>
      <c r="R430" s="660"/>
      <c r="S430" s="660"/>
      <c r="T430" s="660"/>
      <c r="U430" s="660"/>
      <c r="V430" s="661"/>
      <c r="W430" s="40" t="s">
        <v>39</v>
      </c>
      <c r="X430" s="41">
        <f>IFERROR(X427/H427,"0")+IFERROR(X428/H428,"0")+IFERROR(X429/H429,"0")</f>
        <v>0</v>
      </c>
      <c r="Y430" s="41">
        <f>IFERROR(Y427/H427,"0")+IFERROR(Y428/H428,"0")+IFERROR(Y429/H429,"0")</f>
        <v>0</v>
      </c>
      <c r="Z430" s="41">
        <f>IFERROR(IF(Z427="",0,Z427),"0")+IFERROR(IF(Z428="",0,Z428),"0")+IFERROR(IF(Z429="",0,Z429),"0")</f>
        <v>0</v>
      </c>
      <c r="AA430" s="64"/>
      <c r="AB430" s="64"/>
      <c r="AC430" s="64"/>
    </row>
    <row r="431" spans="1:68" hidden="1" x14ac:dyDescent="0.2">
      <c r="A431" s="662"/>
      <c r="B431" s="662"/>
      <c r="C431" s="662"/>
      <c r="D431" s="662"/>
      <c r="E431" s="662"/>
      <c r="F431" s="662"/>
      <c r="G431" s="662"/>
      <c r="H431" s="662"/>
      <c r="I431" s="662"/>
      <c r="J431" s="662"/>
      <c r="K431" s="662"/>
      <c r="L431" s="662"/>
      <c r="M431" s="662"/>
      <c r="N431" s="662"/>
      <c r="O431" s="663"/>
      <c r="P431" s="659" t="s">
        <v>40</v>
      </c>
      <c r="Q431" s="660"/>
      <c r="R431" s="660"/>
      <c r="S431" s="660"/>
      <c r="T431" s="660"/>
      <c r="U431" s="660"/>
      <c r="V431" s="661"/>
      <c r="W431" s="40" t="s">
        <v>0</v>
      </c>
      <c r="X431" s="41">
        <f>IFERROR(SUM(X427:X429),"0")</f>
        <v>0</v>
      </c>
      <c r="Y431" s="41">
        <f>IFERROR(SUM(Y427:Y429),"0")</f>
        <v>0</v>
      </c>
      <c r="Z431" s="40"/>
      <c r="AA431" s="64"/>
      <c r="AB431" s="64"/>
      <c r="AC431" s="64"/>
    </row>
    <row r="432" spans="1:68" ht="27.75" hidden="1" customHeight="1" x14ac:dyDescent="0.2">
      <c r="A432" s="679" t="s">
        <v>713</v>
      </c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79"/>
      <c r="P432" s="679"/>
      <c r="Q432" s="679"/>
      <c r="R432" s="679"/>
      <c r="S432" s="679"/>
      <c r="T432" s="679"/>
      <c r="U432" s="679"/>
      <c r="V432" s="679"/>
      <c r="W432" s="679"/>
      <c r="X432" s="679"/>
      <c r="Y432" s="679"/>
      <c r="Z432" s="679"/>
      <c r="AA432" s="52"/>
      <c r="AB432" s="52"/>
      <c r="AC432" s="52"/>
    </row>
    <row r="433" spans="1:68" ht="16.5" hidden="1" customHeight="1" x14ac:dyDescent="0.25">
      <c r="A433" s="664" t="s">
        <v>714</v>
      </c>
      <c r="B433" s="664"/>
      <c r="C433" s="664"/>
      <c r="D433" s="664"/>
      <c r="E433" s="664"/>
      <c r="F433" s="664"/>
      <c r="G433" s="664"/>
      <c r="H433" s="664"/>
      <c r="I433" s="664"/>
      <c r="J433" s="664"/>
      <c r="K433" s="664"/>
      <c r="L433" s="664"/>
      <c r="M433" s="664"/>
      <c r="N433" s="664"/>
      <c r="O433" s="664"/>
      <c r="P433" s="664"/>
      <c r="Q433" s="664"/>
      <c r="R433" s="664"/>
      <c r="S433" s="664"/>
      <c r="T433" s="664"/>
      <c r="U433" s="664"/>
      <c r="V433" s="664"/>
      <c r="W433" s="664"/>
      <c r="X433" s="664"/>
      <c r="Y433" s="664"/>
      <c r="Z433" s="664"/>
      <c r="AA433" s="62"/>
      <c r="AB433" s="62"/>
      <c r="AC433" s="62"/>
    </row>
    <row r="434" spans="1:68" ht="14.25" hidden="1" customHeight="1" x14ac:dyDescent="0.25">
      <c r="A434" s="665" t="s">
        <v>122</v>
      </c>
      <c r="B434" s="665"/>
      <c r="C434" s="665"/>
      <c r="D434" s="665"/>
      <c r="E434" s="665"/>
      <c r="F434" s="665"/>
      <c r="G434" s="665"/>
      <c r="H434" s="665"/>
      <c r="I434" s="665"/>
      <c r="J434" s="665"/>
      <c r="K434" s="665"/>
      <c r="L434" s="665"/>
      <c r="M434" s="665"/>
      <c r="N434" s="665"/>
      <c r="O434" s="665"/>
      <c r="P434" s="665"/>
      <c r="Q434" s="665"/>
      <c r="R434" s="665"/>
      <c r="S434" s="665"/>
      <c r="T434" s="665"/>
      <c r="U434" s="665"/>
      <c r="V434" s="665"/>
      <c r="W434" s="665"/>
      <c r="X434" s="665"/>
      <c r="Y434" s="665"/>
      <c r="Z434" s="665"/>
      <c r="AA434" s="63"/>
      <c r="AB434" s="63"/>
      <c r="AC434" s="63"/>
    </row>
    <row r="435" spans="1:68" ht="27" hidden="1" customHeight="1" x14ac:dyDescent="0.25">
      <c r="A435" s="60" t="s">
        <v>715</v>
      </c>
      <c r="B435" s="60" t="s">
        <v>716</v>
      </c>
      <c r="C435" s="34">
        <v>4301012332</v>
      </c>
      <c r="D435" s="666">
        <v>4680115888401</v>
      </c>
      <c r="E435" s="66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97</v>
      </c>
      <c r="N435" s="36"/>
      <c r="O435" s="35">
        <v>60</v>
      </c>
      <c r="P435" s="73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668"/>
      <c r="R435" s="668"/>
      <c r="S435" s="668"/>
      <c r="T435" s="669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ref="Y435:Y442" si="65"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717</v>
      </c>
      <c r="AG435" s="75"/>
      <c r="AJ435" s="79" t="s">
        <v>46</v>
      </c>
      <c r="AK435" s="79">
        <v>0</v>
      </c>
      <c r="BB435" s="536" t="s">
        <v>67</v>
      </c>
      <c r="BM435" s="75">
        <f t="shared" ref="BM435:BM442" si="66">IFERROR(X435*I435/H435,"0")</f>
        <v>0</v>
      </c>
      <c r="BN435" s="75">
        <f t="shared" ref="BN435:BN442" si="67">IFERROR(Y435*I435/H435,"0")</f>
        <v>0</v>
      </c>
      <c r="BO435" s="75">
        <f t="shared" ref="BO435:BO442" si="68">IFERROR(1/J435*(X435/H435),"0")</f>
        <v>0</v>
      </c>
      <c r="BP435" s="75">
        <f t="shared" ref="BP435:BP442" si="69">IFERROR(1/J435*(Y435/H435),"0")</f>
        <v>0</v>
      </c>
    </row>
    <row r="436" spans="1:68" ht="37.5" customHeight="1" x14ac:dyDescent="0.25">
      <c r="A436" s="60" t="s">
        <v>718</v>
      </c>
      <c r="B436" s="60" t="s">
        <v>719</v>
      </c>
      <c r="C436" s="34">
        <v>4301011869</v>
      </c>
      <c r="D436" s="666">
        <v>4680115884847</v>
      </c>
      <c r="E436" s="666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81</v>
      </c>
      <c r="N436" s="36"/>
      <c r="O436" s="35">
        <v>60</v>
      </c>
      <c r="P436" s="73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668"/>
      <c r="R436" s="668"/>
      <c r="S436" s="668"/>
      <c r="T436" s="669"/>
      <c r="U436" s="37" t="s">
        <v>46</v>
      </c>
      <c r="V436" s="37" t="s">
        <v>46</v>
      </c>
      <c r="W436" s="38" t="s">
        <v>0</v>
      </c>
      <c r="X436" s="56">
        <v>500</v>
      </c>
      <c r="Y436" s="53">
        <f t="shared" si="65"/>
        <v>510</v>
      </c>
      <c r="Z436" s="39">
        <f>IFERROR(IF(Y436=0,"",ROUNDUP(Y436/H436,0)*0.02175),"")</f>
        <v>0.73949999999999994</v>
      </c>
      <c r="AA436" s="65" t="s">
        <v>46</v>
      </c>
      <c r="AB436" s="66" t="s">
        <v>46</v>
      </c>
      <c r="AC436" s="537" t="s">
        <v>720</v>
      </c>
      <c r="AG436" s="75"/>
      <c r="AJ436" s="79" t="s">
        <v>46</v>
      </c>
      <c r="AK436" s="79">
        <v>0</v>
      </c>
      <c r="BB436" s="538" t="s">
        <v>67</v>
      </c>
      <c r="BM436" s="75">
        <f t="shared" si="66"/>
        <v>515.66666666666663</v>
      </c>
      <c r="BN436" s="75">
        <f t="shared" si="67"/>
        <v>525.98</v>
      </c>
      <c r="BO436" s="75">
        <f t="shared" si="68"/>
        <v>0.69444444444444442</v>
      </c>
      <c r="BP436" s="75">
        <f t="shared" si="69"/>
        <v>0.70833333333333326</v>
      </c>
    </row>
    <row r="437" spans="1:68" ht="27" customHeight="1" x14ac:dyDescent="0.25">
      <c r="A437" s="60" t="s">
        <v>721</v>
      </c>
      <c r="B437" s="60" t="s">
        <v>722</v>
      </c>
      <c r="C437" s="34">
        <v>4301012083</v>
      </c>
      <c r="D437" s="666">
        <v>4680115884854</v>
      </c>
      <c r="E437" s="666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60</v>
      </c>
      <c r="P437" s="72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668"/>
      <c r="R437" s="668"/>
      <c r="S437" s="668"/>
      <c r="T437" s="669"/>
      <c r="U437" s="37" t="s">
        <v>46</v>
      </c>
      <c r="V437" s="37" t="s">
        <v>46</v>
      </c>
      <c r="W437" s="38" t="s">
        <v>0</v>
      </c>
      <c r="X437" s="56">
        <v>500</v>
      </c>
      <c r="Y437" s="53">
        <f t="shared" si="65"/>
        <v>510</v>
      </c>
      <c r="Z437" s="39">
        <f>IFERROR(IF(Y437=0,"",ROUNDUP(Y437/H437,0)*0.02175),"")</f>
        <v>0.73949999999999994</v>
      </c>
      <c r="AA437" s="65" t="s">
        <v>46</v>
      </c>
      <c r="AB437" s="66" t="s">
        <v>46</v>
      </c>
      <c r="AC437" s="539" t="s">
        <v>723</v>
      </c>
      <c r="AG437" s="75"/>
      <c r="AJ437" s="79" t="s">
        <v>46</v>
      </c>
      <c r="AK437" s="79">
        <v>0</v>
      </c>
      <c r="BB437" s="540" t="s">
        <v>67</v>
      </c>
      <c r="BM437" s="75">
        <f t="shared" si="66"/>
        <v>515.66666666666663</v>
      </c>
      <c r="BN437" s="75">
        <f t="shared" si="67"/>
        <v>525.98</v>
      </c>
      <c r="BO437" s="75">
        <f t="shared" si="68"/>
        <v>0.69444444444444442</v>
      </c>
      <c r="BP437" s="75">
        <f t="shared" si="69"/>
        <v>0.70833333333333326</v>
      </c>
    </row>
    <row r="438" spans="1:68" ht="27" customHeight="1" x14ac:dyDescent="0.25">
      <c r="A438" s="60" t="s">
        <v>724</v>
      </c>
      <c r="B438" s="60" t="s">
        <v>725</v>
      </c>
      <c r="C438" s="34">
        <v>4301011867</v>
      </c>
      <c r="D438" s="666">
        <v>4680115884830</v>
      </c>
      <c r="E438" s="666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81</v>
      </c>
      <c r="N438" s="36"/>
      <c r="O438" s="35">
        <v>60</v>
      </c>
      <c r="P438" s="7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668"/>
      <c r="R438" s="668"/>
      <c r="S438" s="668"/>
      <c r="T438" s="669"/>
      <c r="U438" s="37" t="s">
        <v>46</v>
      </c>
      <c r="V438" s="37" t="s">
        <v>46</v>
      </c>
      <c r="W438" s="38" t="s">
        <v>0</v>
      </c>
      <c r="X438" s="56">
        <v>300</v>
      </c>
      <c r="Y438" s="53">
        <f t="shared" si="65"/>
        <v>300</v>
      </c>
      <c r="Z438" s="39">
        <f>IFERROR(IF(Y438=0,"",ROUNDUP(Y438/H438,0)*0.02175),"")</f>
        <v>0.43499999999999994</v>
      </c>
      <c r="AA438" s="65" t="s">
        <v>46</v>
      </c>
      <c r="AB438" s="66" t="s">
        <v>46</v>
      </c>
      <c r="AC438" s="541" t="s">
        <v>726</v>
      </c>
      <c r="AG438" s="75"/>
      <c r="AJ438" s="79" t="s">
        <v>46</v>
      </c>
      <c r="AK438" s="79">
        <v>0</v>
      </c>
      <c r="BB438" s="542" t="s">
        <v>67</v>
      </c>
      <c r="BM438" s="75">
        <f t="shared" si="66"/>
        <v>309.39999999999998</v>
      </c>
      <c r="BN438" s="75">
        <f t="shared" si="67"/>
        <v>309.39999999999998</v>
      </c>
      <c r="BO438" s="75">
        <f t="shared" si="68"/>
        <v>0.41666666666666663</v>
      </c>
      <c r="BP438" s="75">
        <f t="shared" si="69"/>
        <v>0.41666666666666663</v>
      </c>
    </row>
    <row r="439" spans="1:68" ht="27" hidden="1" customHeight="1" x14ac:dyDescent="0.25">
      <c r="A439" s="60" t="s">
        <v>727</v>
      </c>
      <c r="B439" s="60" t="s">
        <v>728</v>
      </c>
      <c r="C439" s="34">
        <v>4301012356</v>
      </c>
      <c r="D439" s="666">
        <v>4680115889231</v>
      </c>
      <c r="E439" s="666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127</v>
      </c>
      <c r="L439" s="35" t="s">
        <v>46</v>
      </c>
      <c r="M439" s="36" t="s">
        <v>97</v>
      </c>
      <c r="N439" s="36"/>
      <c r="O439" s="35">
        <v>60</v>
      </c>
      <c r="P439" s="7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668"/>
      <c r="R439" s="668"/>
      <c r="S439" s="668"/>
      <c r="T439" s="669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65"/>
        <v>0</v>
      </c>
      <c r="Z439" s="39" t="str">
        <f>IFERROR(IF(Y439=0,"",ROUNDUP(Y439/H439,0)*0.02175),"")</f>
        <v/>
      </c>
      <c r="AA439" s="65" t="s">
        <v>46</v>
      </c>
      <c r="AB439" s="66" t="s">
        <v>46</v>
      </c>
      <c r="AC439" s="543" t="s">
        <v>729</v>
      </c>
      <c r="AG439" s="75"/>
      <c r="AJ439" s="79" t="s">
        <v>46</v>
      </c>
      <c r="AK439" s="79">
        <v>0</v>
      </c>
      <c r="BB439" s="544" t="s">
        <v>67</v>
      </c>
      <c r="BM439" s="75">
        <f t="shared" si="66"/>
        <v>0</v>
      </c>
      <c r="BN439" s="75">
        <f t="shared" si="67"/>
        <v>0</v>
      </c>
      <c r="BO439" s="75">
        <f t="shared" si="68"/>
        <v>0</v>
      </c>
      <c r="BP439" s="75">
        <f t="shared" si="69"/>
        <v>0</v>
      </c>
    </row>
    <row r="440" spans="1:68" ht="27" hidden="1" customHeight="1" x14ac:dyDescent="0.25">
      <c r="A440" s="60" t="s">
        <v>730</v>
      </c>
      <c r="B440" s="60" t="s">
        <v>731</v>
      </c>
      <c r="C440" s="34">
        <v>4301011433</v>
      </c>
      <c r="D440" s="666">
        <v>4680115882638</v>
      </c>
      <c r="E440" s="666"/>
      <c r="F440" s="59">
        <v>0.4</v>
      </c>
      <c r="G440" s="35">
        <v>10</v>
      </c>
      <c r="H440" s="59">
        <v>4</v>
      </c>
      <c r="I440" s="59">
        <v>4.1900000000000004</v>
      </c>
      <c r="J440" s="35">
        <v>132</v>
      </c>
      <c r="K440" s="35" t="s">
        <v>134</v>
      </c>
      <c r="L440" s="35" t="s">
        <v>46</v>
      </c>
      <c r="M440" s="36" t="s">
        <v>126</v>
      </c>
      <c r="N440" s="36"/>
      <c r="O440" s="35">
        <v>90</v>
      </c>
      <c r="P440" s="7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668"/>
      <c r="R440" s="668"/>
      <c r="S440" s="668"/>
      <c r="T440" s="669"/>
      <c r="U440" s="37" t="s">
        <v>46</v>
      </c>
      <c r="V440" s="37" t="s">
        <v>46</v>
      </c>
      <c r="W440" s="38" t="s">
        <v>0</v>
      </c>
      <c r="X440" s="56">
        <v>0</v>
      </c>
      <c r="Y440" s="53">
        <f t="shared" si="65"/>
        <v>0</v>
      </c>
      <c r="Z440" s="39" t="str">
        <f>IFERROR(IF(Y440=0,"",ROUNDUP(Y440/H440,0)*0.00902),"")</f>
        <v/>
      </c>
      <c r="AA440" s="65" t="s">
        <v>46</v>
      </c>
      <c r="AB440" s="66" t="s">
        <v>46</v>
      </c>
      <c r="AC440" s="545" t="s">
        <v>732</v>
      </c>
      <c r="AG440" s="75"/>
      <c r="AJ440" s="79" t="s">
        <v>46</v>
      </c>
      <c r="AK440" s="79">
        <v>0</v>
      </c>
      <c r="BB440" s="546" t="s">
        <v>67</v>
      </c>
      <c r="BM440" s="75">
        <f t="shared" si="66"/>
        <v>0</v>
      </c>
      <c r="BN440" s="75">
        <f t="shared" si="67"/>
        <v>0</v>
      </c>
      <c r="BO440" s="75">
        <f t="shared" si="68"/>
        <v>0</v>
      </c>
      <c r="BP440" s="75">
        <f t="shared" si="69"/>
        <v>0</v>
      </c>
    </row>
    <row r="441" spans="1:68" ht="27" hidden="1" customHeight="1" x14ac:dyDescent="0.25">
      <c r="A441" s="60" t="s">
        <v>733</v>
      </c>
      <c r="B441" s="60" t="s">
        <v>734</v>
      </c>
      <c r="C441" s="34">
        <v>4301011952</v>
      </c>
      <c r="D441" s="666">
        <v>4680115884922</v>
      </c>
      <c r="E441" s="666"/>
      <c r="F441" s="59">
        <v>0.5</v>
      </c>
      <c r="G441" s="35">
        <v>10</v>
      </c>
      <c r="H441" s="59">
        <v>5</v>
      </c>
      <c r="I441" s="59">
        <v>5.19</v>
      </c>
      <c r="J441" s="35">
        <v>132</v>
      </c>
      <c r="K441" s="35" t="s">
        <v>134</v>
      </c>
      <c r="L441" s="35" t="s">
        <v>46</v>
      </c>
      <c r="M441" s="36" t="s">
        <v>81</v>
      </c>
      <c r="N441" s="36"/>
      <c r="O441" s="35">
        <v>60</v>
      </c>
      <c r="P441" s="7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668"/>
      <c r="R441" s="668"/>
      <c r="S441" s="668"/>
      <c r="T441" s="669"/>
      <c r="U441" s="37" t="s">
        <v>46</v>
      </c>
      <c r="V441" s="37" t="s">
        <v>46</v>
      </c>
      <c r="W441" s="38" t="s">
        <v>0</v>
      </c>
      <c r="X441" s="56">
        <v>0</v>
      </c>
      <c r="Y441" s="53">
        <f t="shared" si="65"/>
        <v>0</v>
      </c>
      <c r="Z441" s="39" t="str">
        <f>IFERROR(IF(Y441=0,"",ROUNDUP(Y441/H441,0)*0.00902),"")</f>
        <v/>
      </c>
      <c r="AA441" s="65" t="s">
        <v>46</v>
      </c>
      <c r="AB441" s="66" t="s">
        <v>46</v>
      </c>
      <c r="AC441" s="547" t="s">
        <v>735</v>
      </c>
      <c r="AG441" s="75"/>
      <c r="AJ441" s="79" t="s">
        <v>46</v>
      </c>
      <c r="AK441" s="79">
        <v>0</v>
      </c>
      <c r="BB441" s="548" t="s">
        <v>67</v>
      </c>
      <c r="BM441" s="75">
        <f t="shared" si="66"/>
        <v>0</v>
      </c>
      <c r="BN441" s="75">
        <f t="shared" si="67"/>
        <v>0</v>
      </c>
      <c r="BO441" s="75">
        <f t="shared" si="68"/>
        <v>0</v>
      </c>
      <c r="BP441" s="75">
        <f t="shared" si="69"/>
        <v>0</v>
      </c>
    </row>
    <row r="442" spans="1:68" ht="37.5" hidden="1" customHeight="1" x14ac:dyDescent="0.25">
      <c r="A442" s="60" t="s">
        <v>736</v>
      </c>
      <c r="B442" s="60" t="s">
        <v>737</v>
      </c>
      <c r="C442" s="34">
        <v>4301011868</v>
      </c>
      <c r="D442" s="666">
        <v>4680115884861</v>
      </c>
      <c r="E442" s="666"/>
      <c r="F442" s="59">
        <v>0.5</v>
      </c>
      <c r="G442" s="35">
        <v>10</v>
      </c>
      <c r="H442" s="59">
        <v>5</v>
      </c>
      <c r="I442" s="59">
        <v>5.19</v>
      </c>
      <c r="J442" s="35">
        <v>132</v>
      </c>
      <c r="K442" s="35" t="s">
        <v>134</v>
      </c>
      <c r="L442" s="35" t="s">
        <v>46</v>
      </c>
      <c r="M442" s="36" t="s">
        <v>81</v>
      </c>
      <c r="N442" s="36"/>
      <c r="O442" s="35">
        <v>60</v>
      </c>
      <c r="P442" s="7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668"/>
      <c r="R442" s="668"/>
      <c r="S442" s="668"/>
      <c r="T442" s="669"/>
      <c r="U442" s="37" t="s">
        <v>46</v>
      </c>
      <c r="V442" s="37" t="s">
        <v>46</v>
      </c>
      <c r="W442" s="38" t="s">
        <v>0</v>
      </c>
      <c r="X442" s="56">
        <v>0</v>
      </c>
      <c r="Y442" s="53">
        <f t="shared" si="65"/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9" t="s">
        <v>738</v>
      </c>
      <c r="AG442" s="75"/>
      <c r="AJ442" s="79" t="s">
        <v>46</v>
      </c>
      <c r="AK442" s="79">
        <v>0</v>
      </c>
      <c r="BB442" s="550" t="s">
        <v>67</v>
      </c>
      <c r="BM442" s="75">
        <f t="shared" si="66"/>
        <v>0</v>
      </c>
      <c r="BN442" s="75">
        <f t="shared" si="67"/>
        <v>0</v>
      </c>
      <c r="BO442" s="75">
        <f t="shared" si="68"/>
        <v>0</v>
      </c>
      <c r="BP442" s="75">
        <f t="shared" si="69"/>
        <v>0</v>
      </c>
    </row>
    <row r="443" spans="1:68" x14ac:dyDescent="0.2">
      <c r="A443" s="662"/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3"/>
      <c r="P443" s="659" t="s">
        <v>40</v>
      </c>
      <c r="Q443" s="660"/>
      <c r="R443" s="660"/>
      <c r="S443" s="660"/>
      <c r="T443" s="660"/>
      <c r="U443" s="660"/>
      <c r="V443" s="661"/>
      <c r="W443" s="40" t="s">
        <v>39</v>
      </c>
      <c r="X443" s="41">
        <f>IFERROR(X435/H435,"0")+IFERROR(X436/H436,"0")+IFERROR(X437/H437,"0")+IFERROR(X438/H438,"0")+IFERROR(X439/H439,"0")+IFERROR(X440/H440,"0")+IFERROR(X441/H441,"0")+IFERROR(X442/H442,"0")</f>
        <v>86.666666666666671</v>
      </c>
      <c r="Y443" s="41">
        <f>IFERROR(Y435/H435,"0")+IFERROR(Y436/H436,"0")+IFERROR(Y437/H437,"0")+IFERROR(Y438/H438,"0")+IFERROR(Y439/H439,"0")+IFERROR(Y440/H440,"0")+IFERROR(Y441/H441,"0")+IFERROR(Y442/H442,"0")</f>
        <v>88</v>
      </c>
      <c r="Z443" s="41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1.9139999999999997</v>
      </c>
      <c r="AA443" s="64"/>
      <c r="AB443" s="64"/>
      <c r="AC443" s="64"/>
    </row>
    <row r="444" spans="1:68" x14ac:dyDescent="0.2">
      <c r="A444" s="662"/>
      <c r="B444" s="662"/>
      <c r="C444" s="662"/>
      <c r="D444" s="662"/>
      <c r="E444" s="662"/>
      <c r="F444" s="662"/>
      <c r="G444" s="662"/>
      <c r="H444" s="662"/>
      <c r="I444" s="662"/>
      <c r="J444" s="662"/>
      <c r="K444" s="662"/>
      <c r="L444" s="662"/>
      <c r="M444" s="662"/>
      <c r="N444" s="662"/>
      <c r="O444" s="663"/>
      <c r="P444" s="659" t="s">
        <v>40</v>
      </c>
      <c r="Q444" s="660"/>
      <c r="R444" s="660"/>
      <c r="S444" s="660"/>
      <c r="T444" s="660"/>
      <c r="U444" s="660"/>
      <c r="V444" s="661"/>
      <c r="W444" s="40" t="s">
        <v>0</v>
      </c>
      <c r="X444" s="41">
        <f>IFERROR(SUM(X435:X442),"0")</f>
        <v>1300</v>
      </c>
      <c r="Y444" s="41">
        <f>IFERROR(SUM(Y435:Y442),"0")</f>
        <v>1320</v>
      </c>
      <c r="Z444" s="40"/>
      <c r="AA444" s="64"/>
      <c r="AB444" s="64"/>
      <c r="AC444" s="64"/>
    </row>
    <row r="445" spans="1:68" ht="14.25" hidden="1" customHeight="1" x14ac:dyDescent="0.25">
      <c r="A445" s="665" t="s">
        <v>155</v>
      </c>
      <c r="B445" s="665"/>
      <c r="C445" s="665"/>
      <c r="D445" s="665"/>
      <c r="E445" s="665"/>
      <c r="F445" s="665"/>
      <c r="G445" s="665"/>
      <c r="H445" s="665"/>
      <c r="I445" s="665"/>
      <c r="J445" s="665"/>
      <c r="K445" s="665"/>
      <c r="L445" s="665"/>
      <c r="M445" s="665"/>
      <c r="N445" s="665"/>
      <c r="O445" s="665"/>
      <c r="P445" s="665"/>
      <c r="Q445" s="665"/>
      <c r="R445" s="665"/>
      <c r="S445" s="665"/>
      <c r="T445" s="665"/>
      <c r="U445" s="665"/>
      <c r="V445" s="665"/>
      <c r="W445" s="665"/>
      <c r="X445" s="665"/>
      <c r="Y445" s="665"/>
      <c r="Z445" s="665"/>
      <c r="AA445" s="63"/>
      <c r="AB445" s="63"/>
      <c r="AC445" s="63"/>
    </row>
    <row r="446" spans="1:68" ht="27" customHeight="1" x14ac:dyDescent="0.25">
      <c r="A446" s="60" t="s">
        <v>739</v>
      </c>
      <c r="B446" s="60" t="s">
        <v>740</v>
      </c>
      <c r="C446" s="34">
        <v>4301020178</v>
      </c>
      <c r="D446" s="666">
        <v>4607091383980</v>
      </c>
      <c r="E446" s="666"/>
      <c r="F446" s="59">
        <v>2.5</v>
      </c>
      <c r="G446" s="35">
        <v>6</v>
      </c>
      <c r="H446" s="59">
        <v>15</v>
      </c>
      <c r="I446" s="59">
        <v>15.47</v>
      </c>
      <c r="J446" s="35">
        <v>48</v>
      </c>
      <c r="K446" s="35" t="s">
        <v>127</v>
      </c>
      <c r="L446" s="35" t="s">
        <v>46</v>
      </c>
      <c r="M446" s="36" t="s">
        <v>126</v>
      </c>
      <c r="N446" s="36"/>
      <c r="O446" s="35">
        <v>50</v>
      </c>
      <c r="P446" s="73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668"/>
      <c r="R446" s="668"/>
      <c r="S446" s="668"/>
      <c r="T446" s="669"/>
      <c r="U446" s="37" t="s">
        <v>46</v>
      </c>
      <c r="V446" s="37" t="s">
        <v>46</v>
      </c>
      <c r="W446" s="38" t="s">
        <v>0</v>
      </c>
      <c r="X446" s="56">
        <v>500</v>
      </c>
      <c r="Y446" s="53">
        <f>IFERROR(IF(X446="",0,CEILING((X446/$H446),1)*$H446),"")</f>
        <v>510</v>
      </c>
      <c r="Z446" s="39">
        <f>IFERROR(IF(Y446=0,"",ROUNDUP(Y446/H446,0)*0.02175),"")</f>
        <v>0.73949999999999994</v>
      </c>
      <c r="AA446" s="65" t="s">
        <v>46</v>
      </c>
      <c r="AB446" s="66" t="s">
        <v>46</v>
      </c>
      <c r="AC446" s="551" t="s">
        <v>741</v>
      </c>
      <c r="AG446" s="75"/>
      <c r="AJ446" s="79" t="s">
        <v>46</v>
      </c>
      <c r="AK446" s="79">
        <v>0</v>
      </c>
      <c r="BB446" s="552" t="s">
        <v>67</v>
      </c>
      <c r="BM446" s="75">
        <f>IFERROR(X446*I446/H446,"0")</f>
        <v>515.66666666666663</v>
      </c>
      <c r="BN446" s="75">
        <f>IFERROR(Y446*I446/H446,"0")</f>
        <v>525.98</v>
      </c>
      <c r="BO446" s="75">
        <f>IFERROR(1/J446*(X446/H446),"0")</f>
        <v>0.69444444444444442</v>
      </c>
      <c r="BP446" s="75">
        <f>IFERROR(1/J446*(Y446/H446),"0")</f>
        <v>0.70833333333333326</v>
      </c>
    </row>
    <row r="447" spans="1:68" ht="27" hidden="1" customHeight="1" x14ac:dyDescent="0.25">
      <c r="A447" s="60" t="s">
        <v>742</v>
      </c>
      <c r="B447" s="60" t="s">
        <v>743</v>
      </c>
      <c r="C447" s="34">
        <v>4301020355</v>
      </c>
      <c r="D447" s="666">
        <v>4680115888425</v>
      </c>
      <c r="E447" s="666"/>
      <c r="F447" s="59">
        <v>2.5</v>
      </c>
      <c r="G447" s="35">
        <v>6</v>
      </c>
      <c r="H447" s="59">
        <v>15</v>
      </c>
      <c r="I447" s="59">
        <v>15.47</v>
      </c>
      <c r="J447" s="35">
        <v>48</v>
      </c>
      <c r="K447" s="35" t="s">
        <v>127</v>
      </c>
      <c r="L447" s="35" t="s">
        <v>46</v>
      </c>
      <c r="M447" s="36" t="s">
        <v>126</v>
      </c>
      <c r="N447" s="36"/>
      <c r="O447" s="35">
        <v>50</v>
      </c>
      <c r="P447" s="72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668"/>
      <c r="R447" s="668"/>
      <c r="S447" s="668"/>
      <c r="T447" s="66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IFERROR(IF(Y447=0,"",ROUNDUP(Y447/H447,0)*0.02175),"")</f>
        <v/>
      </c>
      <c r="AA447" s="65" t="s">
        <v>46</v>
      </c>
      <c r="AB447" s="66" t="s">
        <v>46</v>
      </c>
      <c r="AC447" s="553" t="s">
        <v>744</v>
      </c>
      <c r="AG447" s="75"/>
      <c r="AJ447" s="79" t="s">
        <v>46</v>
      </c>
      <c r="AK447" s="79">
        <v>0</v>
      </c>
      <c r="BB447" s="554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745</v>
      </c>
      <c r="B448" s="60" t="s">
        <v>746</v>
      </c>
      <c r="C448" s="34">
        <v>4301020179</v>
      </c>
      <c r="D448" s="666">
        <v>4607091384178</v>
      </c>
      <c r="E448" s="666"/>
      <c r="F448" s="59">
        <v>0.4</v>
      </c>
      <c r="G448" s="35">
        <v>10</v>
      </c>
      <c r="H448" s="59">
        <v>4</v>
      </c>
      <c r="I448" s="59">
        <v>4.1900000000000004</v>
      </c>
      <c r="J448" s="35">
        <v>132</v>
      </c>
      <c r="K448" s="35" t="s">
        <v>134</v>
      </c>
      <c r="L448" s="35" t="s">
        <v>46</v>
      </c>
      <c r="M448" s="36" t="s">
        <v>126</v>
      </c>
      <c r="N448" s="36"/>
      <c r="O448" s="35">
        <v>50</v>
      </c>
      <c r="P448" s="72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668"/>
      <c r="R448" s="668"/>
      <c r="S448" s="668"/>
      <c r="T448" s="669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IFERROR(IF(Y448=0,"",ROUNDUP(Y448/H448,0)*0.00902),"")</f>
        <v/>
      </c>
      <c r="AA448" s="65" t="s">
        <v>46</v>
      </c>
      <c r="AB448" s="66" t="s">
        <v>46</v>
      </c>
      <c r="AC448" s="555" t="s">
        <v>747</v>
      </c>
      <c r="AG448" s="75"/>
      <c r="AJ448" s="79" t="s">
        <v>46</v>
      </c>
      <c r="AK448" s="79">
        <v>0</v>
      </c>
      <c r="BB448" s="556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x14ac:dyDescent="0.2">
      <c r="A449" s="662"/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3"/>
      <c r="P449" s="659" t="s">
        <v>40</v>
      </c>
      <c r="Q449" s="660"/>
      <c r="R449" s="660"/>
      <c r="S449" s="660"/>
      <c r="T449" s="660"/>
      <c r="U449" s="660"/>
      <c r="V449" s="661"/>
      <c r="W449" s="40" t="s">
        <v>39</v>
      </c>
      <c r="X449" s="41">
        <f>IFERROR(X446/H446,"0")+IFERROR(X447/H447,"0")+IFERROR(X448/H448,"0")</f>
        <v>33.333333333333336</v>
      </c>
      <c r="Y449" s="41">
        <f>IFERROR(Y446/H446,"0")+IFERROR(Y447/H447,"0")+IFERROR(Y448/H448,"0")</f>
        <v>34</v>
      </c>
      <c r="Z449" s="41">
        <f>IFERROR(IF(Z446="",0,Z446),"0")+IFERROR(IF(Z447="",0,Z447),"0")+IFERROR(IF(Z448="",0,Z448),"0")</f>
        <v>0.73949999999999994</v>
      </c>
      <c r="AA449" s="64"/>
      <c r="AB449" s="64"/>
      <c r="AC449" s="64"/>
    </row>
    <row r="450" spans="1:68" x14ac:dyDescent="0.2">
      <c r="A450" s="662"/>
      <c r="B450" s="662"/>
      <c r="C450" s="662"/>
      <c r="D450" s="662"/>
      <c r="E450" s="662"/>
      <c r="F450" s="662"/>
      <c r="G450" s="662"/>
      <c r="H450" s="662"/>
      <c r="I450" s="662"/>
      <c r="J450" s="662"/>
      <c r="K450" s="662"/>
      <c r="L450" s="662"/>
      <c r="M450" s="662"/>
      <c r="N450" s="662"/>
      <c r="O450" s="663"/>
      <c r="P450" s="659" t="s">
        <v>40</v>
      </c>
      <c r="Q450" s="660"/>
      <c r="R450" s="660"/>
      <c r="S450" s="660"/>
      <c r="T450" s="660"/>
      <c r="U450" s="660"/>
      <c r="V450" s="661"/>
      <c r="W450" s="40" t="s">
        <v>0</v>
      </c>
      <c r="X450" s="41">
        <f>IFERROR(SUM(X446:X448),"0")</f>
        <v>500</v>
      </c>
      <c r="Y450" s="41">
        <f>IFERROR(SUM(Y446:Y448),"0")</f>
        <v>510</v>
      </c>
      <c r="Z450" s="40"/>
      <c r="AA450" s="64"/>
      <c r="AB450" s="64"/>
      <c r="AC450" s="64"/>
    </row>
    <row r="451" spans="1:68" ht="14.25" hidden="1" customHeight="1" x14ac:dyDescent="0.25">
      <c r="A451" s="665" t="s">
        <v>86</v>
      </c>
      <c r="B451" s="665"/>
      <c r="C451" s="665"/>
      <c r="D451" s="665"/>
      <c r="E451" s="665"/>
      <c r="F451" s="665"/>
      <c r="G451" s="665"/>
      <c r="H451" s="665"/>
      <c r="I451" s="665"/>
      <c r="J451" s="665"/>
      <c r="K451" s="665"/>
      <c r="L451" s="665"/>
      <c r="M451" s="665"/>
      <c r="N451" s="665"/>
      <c r="O451" s="665"/>
      <c r="P451" s="665"/>
      <c r="Q451" s="665"/>
      <c r="R451" s="665"/>
      <c r="S451" s="665"/>
      <c r="T451" s="665"/>
      <c r="U451" s="665"/>
      <c r="V451" s="665"/>
      <c r="W451" s="665"/>
      <c r="X451" s="665"/>
      <c r="Y451" s="665"/>
      <c r="Z451" s="665"/>
      <c r="AA451" s="63"/>
      <c r="AB451" s="63"/>
      <c r="AC451" s="63"/>
    </row>
    <row r="452" spans="1:68" ht="27" hidden="1" customHeight="1" x14ac:dyDescent="0.25">
      <c r="A452" s="60" t="s">
        <v>748</v>
      </c>
      <c r="B452" s="60" t="s">
        <v>749</v>
      </c>
      <c r="C452" s="34">
        <v>4301051903</v>
      </c>
      <c r="D452" s="666">
        <v>4607091383928</v>
      </c>
      <c r="E452" s="666"/>
      <c r="F452" s="59">
        <v>1.5</v>
      </c>
      <c r="G452" s="35">
        <v>6</v>
      </c>
      <c r="H452" s="59">
        <v>9</v>
      </c>
      <c r="I452" s="59">
        <v>9.5</v>
      </c>
      <c r="J452" s="35">
        <v>64</v>
      </c>
      <c r="K452" s="35" t="s">
        <v>127</v>
      </c>
      <c r="L452" s="35" t="s">
        <v>46</v>
      </c>
      <c r="M452" s="36" t="s">
        <v>90</v>
      </c>
      <c r="N452" s="36"/>
      <c r="O452" s="35">
        <v>40</v>
      </c>
      <c r="P452" s="7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668"/>
      <c r="R452" s="668"/>
      <c r="S452" s="668"/>
      <c r="T452" s="66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57" t="s">
        <v>750</v>
      </c>
      <c r="AG452" s="75"/>
      <c r="AJ452" s="79" t="s">
        <v>46</v>
      </c>
      <c r="AK452" s="79">
        <v>0</v>
      </c>
      <c r="BB452" s="558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751</v>
      </c>
      <c r="B453" s="60" t="s">
        <v>752</v>
      </c>
      <c r="C453" s="34">
        <v>4301051897</v>
      </c>
      <c r="D453" s="666">
        <v>4607091384260</v>
      </c>
      <c r="E453" s="666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127</v>
      </c>
      <c r="L453" s="35" t="s">
        <v>46</v>
      </c>
      <c r="M453" s="36" t="s">
        <v>90</v>
      </c>
      <c r="N453" s="36"/>
      <c r="O453" s="35">
        <v>40</v>
      </c>
      <c r="P453" s="7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668"/>
      <c r="R453" s="668"/>
      <c r="S453" s="668"/>
      <c r="T453" s="66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9" t="s">
        <v>753</v>
      </c>
      <c r="AG453" s="75"/>
      <c r="AJ453" s="79" t="s">
        <v>46</v>
      </c>
      <c r="AK453" s="79">
        <v>0</v>
      </c>
      <c r="BB453" s="560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754</v>
      </c>
      <c r="B454" s="60" t="s">
        <v>755</v>
      </c>
      <c r="C454" s="34">
        <v>4301052220</v>
      </c>
      <c r="D454" s="666">
        <v>4680115889538</v>
      </c>
      <c r="E454" s="666"/>
      <c r="F454" s="59">
        <v>0.8</v>
      </c>
      <c r="G454" s="35">
        <v>6</v>
      </c>
      <c r="H454" s="59">
        <v>4.8</v>
      </c>
      <c r="I454" s="59">
        <v>5.2160000000000002</v>
      </c>
      <c r="J454" s="35">
        <v>104</v>
      </c>
      <c r="K454" s="35" t="s">
        <v>127</v>
      </c>
      <c r="L454" s="35" t="s">
        <v>46</v>
      </c>
      <c r="M454" s="36" t="s">
        <v>90</v>
      </c>
      <c r="N454" s="36"/>
      <c r="O454" s="35">
        <v>45</v>
      </c>
      <c r="P454" s="72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668"/>
      <c r="R454" s="668"/>
      <c r="S454" s="668"/>
      <c r="T454" s="669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61" t="s">
        <v>756</v>
      </c>
      <c r="AG454" s="75"/>
      <c r="AJ454" s="79" t="s">
        <v>46</v>
      </c>
      <c r="AK454" s="79">
        <v>0</v>
      </c>
      <c r="BB454" s="562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62"/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3"/>
      <c r="P455" s="659" t="s">
        <v>40</v>
      </c>
      <c r="Q455" s="660"/>
      <c r="R455" s="660"/>
      <c r="S455" s="660"/>
      <c r="T455" s="660"/>
      <c r="U455" s="660"/>
      <c r="V455" s="661"/>
      <c r="W455" s="40" t="s">
        <v>39</v>
      </c>
      <c r="X455" s="41">
        <f>IFERROR(X452/H452,"0")+IFERROR(X453/H453,"0")+IFERROR(X454/H454,"0")</f>
        <v>0</v>
      </c>
      <c r="Y455" s="41">
        <f>IFERROR(Y452/H452,"0")+IFERROR(Y453/H453,"0")+IFERROR(Y454/H454,"0")</f>
        <v>0</v>
      </c>
      <c r="Z455" s="41">
        <f>IFERROR(IF(Z452="",0,Z452),"0")+IFERROR(IF(Z453="",0,Z453),"0")+IFERROR(IF(Z454="",0,Z454),"0")</f>
        <v>0</v>
      </c>
      <c r="AA455" s="64"/>
      <c r="AB455" s="64"/>
      <c r="AC455" s="64"/>
    </row>
    <row r="456" spans="1:68" hidden="1" x14ac:dyDescent="0.2">
      <c r="A456" s="662"/>
      <c r="B456" s="662"/>
      <c r="C456" s="662"/>
      <c r="D456" s="662"/>
      <c r="E456" s="662"/>
      <c r="F456" s="662"/>
      <c r="G456" s="662"/>
      <c r="H456" s="662"/>
      <c r="I456" s="662"/>
      <c r="J456" s="662"/>
      <c r="K456" s="662"/>
      <c r="L456" s="662"/>
      <c r="M456" s="662"/>
      <c r="N456" s="662"/>
      <c r="O456" s="663"/>
      <c r="P456" s="659" t="s">
        <v>40</v>
      </c>
      <c r="Q456" s="660"/>
      <c r="R456" s="660"/>
      <c r="S456" s="660"/>
      <c r="T456" s="660"/>
      <c r="U456" s="660"/>
      <c r="V456" s="661"/>
      <c r="W456" s="40" t="s">
        <v>0</v>
      </c>
      <c r="X456" s="41">
        <f>IFERROR(SUM(X452:X454),"0")</f>
        <v>0</v>
      </c>
      <c r="Y456" s="41">
        <f>IFERROR(SUM(Y452:Y454),"0")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665" t="s">
        <v>173</v>
      </c>
      <c r="B457" s="665"/>
      <c r="C457" s="665"/>
      <c r="D457" s="665"/>
      <c r="E457" s="665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3"/>
      <c r="AB457" s="63"/>
      <c r="AC457" s="63"/>
    </row>
    <row r="458" spans="1:68" ht="27" hidden="1" customHeight="1" x14ac:dyDescent="0.25">
      <c r="A458" s="60" t="s">
        <v>757</v>
      </c>
      <c r="B458" s="60" t="s">
        <v>758</v>
      </c>
      <c r="C458" s="34">
        <v>4301060537</v>
      </c>
      <c r="D458" s="666">
        <v>4680115889545</v>
      </c>
      <c r="E458" s="666"/>
      <c r="F458" s="59">
        <v>0.7</v>
      </c>
      <c r="G458" s="35">
        <v>6</v>
      </c>
      <c r="H458" s="59">
        <v>4.2</v>
      </c>
      <c r="I458" s="59">
        <v>4.6159999999999997</v>
      </c>
      <c r="J458" s="35">
        <v>104</v>
      </c>
      <c r="K458" s="35" t="s">
        <v>127</v>
      </c>
      <c r="L458" s="35" t="s">
        <v>46</v>
      </c>
      <c r="M458" s="36" t="s">
        <v>90</v>
      </c>
      <c r="N458" s="36"/>
      <c r="O458" s="35">
        <v>30</v>
      </c>
      <c r="P458" s="71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668"/>
      <c r="R458" s="668"/>
      <c r="S458" s="668"/>
      <c r="T458" s="669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IFERROR(IF(Y458=0,"",ROUNDUP(Y458/H458,0)*0.01196),"")</f>
        <v/>
      </c>
      <c r="AA458" s="65" t="s">
        <v>46</v>
      </c>
      <c r="AB458" s="66" t="s">
        <v>46</v>
      </c>
      <c r="AC458" s="563" t="s">
        <v>759</v>
      </c>
      <c r="AG458" s="75"/>
      <c r="AJ458" s="79" t="s">
        <v>46</v>
      </c>
      <c r="AK458" s="79">
        <v>0</v>
      </c>
      <c r="BB458" s="56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16.5" hidden="1" customHeight="1" x14ac:dyDescent="0.25">
      <c r="A459" s="60" t="s">
        <v>760</v>
      </c>
      <c r="B459" s="60" t="s">
        <v>761</v>
      </c>
      <c r="C459" s="34">
        <v>4301060524</v>
      </c>
      <c r="D459" s="666">
        <v>4607091384673</v>
      </c>
      <c r="E459" s="666"/>
      <c r="F459" s="59">
        <v>1.5</v>
      </c>
      <c r="G459" s="35">
        <v>6</v>
      </c>
      <c r="H459" s="59">
        <v>9</v>
      </c>
      <c r="I459" s="59">
        <v>9.4939999999999998</v>
      </c>
      <c r="J459" s="35">
        <v>64</v>
      </c>
      <c r="K459" s="35" t="s">
        <v>127</v>
      </c>
      <c r="L459" s="35" t="s">
        <v>46</v>
      </c>
      <c r="M459" s="36" t="s">
        <v>90</v>
      </c>
      <c r="N459" s="36"/>
      <c r="O459" s="35">
        <v>40</v>
      </c>
      <c r="P459" s="71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668"/>
      <c r="R459" s="668"/>
      <c r="S459" s="668"/>
      <c r="T459" s="669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IFERROR(IF(Y459=0,"",ROUNDUP(Y459/H459,0)*0.01898),"")</f>
        <v/>
      </c>
      <c r="AA459" s="65" t="s">
        <v>46</v>
      </c>
      <c r="AB459" s="66" t="s">
        <v>46</v>
      </c>
      <c r="AC459" s="565" t="s">
        <v>762</v>
      </c>
      <c r="AG459" s="75"/>
      <c r="AJ459" s="79" t="s">
        <v>46</v>
      </c>
      <c r="AK459" s="79">
        <v>0</v>
      </c>
      <c r="BB459" s="56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62"/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3"/>
      <c r="P460" s="659" t="s">
        <v>40</v>
      </c>
      <c r="Q460" s="660"/>
      <c r="R460" s="660"/>
      <c r="S460" s="660"/>
      <c r="T460" s="660"/>
      <c r="U460" s="660"/>
      <c r="V460" s="661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662"/>
      <c r="B461" s="662"/>
      <c r="C461" s="662"/>
      <c r="D461" s="662"/>
      <c r="E461" s="662"/>
      <c r="F461" s="662"/>
      <c r="G461" s="662"/>
      <c r="H461" s="662"/>
      <c r="I461" s="662"/>
      <c r="J461" s="662"/>
      <c r="K461" s="662"/>
      <c r="L461" s="662"/>
      <c r="M461" s="662"/>
      <c r="N461" s="662"/>
      <c r="O461" s="663"/>
      <c r="P461" s="659" t="s">
        <v>40</v>
      </c>
      <c r="Q461" s="660"/>
      <c r="R461" s="660"/>
      <c r="S461" s="660"/>
      <c r="T461" s="660"/>
      <c r="U461" s="660"/>
      <c r="V461" s="661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6.5" hidden="1" customHeight="1" x14ac:dyDescent="0.25">
      <c r="A462" s="664" t="s">
        <v>763</v>
      </c>
      <c r="B462" s="664"/>
      <c r="C462" s="664"/>
      <c r="D462" s="664"/>
      <c r="E462" s="664"/>
      <c r="F462" s="664"/>
      <c r="G462" s="664"/>
      <c r="H462" s="664"/>
      <c r="I462" s="664"/>
      <c r="J462" s="664"/>
      <c r="K462" s="664"/>
      <c r="L462" s="664"/>
      <c r="M462" s="664"/>
      <c r="N462" s="664"/>
      <c r="O462" s="664"/>
      <c r="P462" s="664"/>
      <c r="Q462" s="664"/>
      <c r="R462" s="664"/>
      <c r="S462" s="664"/>
      <c r="T462" s="664"/>
      <c r="U462" s="664"/>
      <c r="V462" s="664"/>
      <c r="W462" s="664"/>
      <c r="X462" s="664"/>
      <c r="Y462" s="664"/>
      <c r="Z462" s="664"/>
      <c r="AA462" s="62"/>
      <c r="AB462" s="62"/>
      <c r="AC462" s="62"/>
    </row>
    <row r="463" spans="1:68" ht="14.25" hidden="1" customHeight="1" x14ac:dyDescent="0.25">
      <c r="A463" s="665" t="s">
        <v>122</v>
      </c>
      <c r="B463" s="665"/>
      <c r="C463" s="665"/>
      <c r="D463" s="665"/>
      <c r="E463" s="665"/>
      <c r="F463" s="665"/>
      <c r="G463" s="665"/>
      <c r="H463" s="665"/>
      <c r="I463" s="665"/>
      <c r="J463" s="665"/>
      <c r="K463" s="665"/>
      <c r="L463" s="665"/>
      <c r="M463" s="665"/>
      <c r="N463" s="665"/>
      <c r="O463" s="665"/>
      <c r="P463" s="665"/>
      <c r="Q463" s="665"/>
      <c r="R463" s="665"/>
      <c r="S463" s="665"/>
      <c r="T463" s="665"/>
      <c r="U463" s="665"/>
      <c r="V463" s="665"/>
      <c r="W463" s="665"/>
      <c r="X463" s="665"/>
      <c r="Y463" s="665"/>
      <c r="Z463" s="665"/>
      <c r="AA463" s="63"/>
      <c r="AB463" s="63"/>
      <c r="AC463" s="63"/>
    </row>
    <row r="464" spans="1:68" ht="27" hidden="1" customHeight="1" x14ac:dyDescent="0.25">
      <c r="A464" s="60" t="s">
        <v>764</v>
      </c>
      <c r="B464" s="60" t="s">
        <v>765</v>
      </c>
      <c r="C464" s="34">
        <v>4301011875</v>
      </c>
      <c r="D464" s="666">
        <v>4680115884885</v>
      </c>
      <c r="E464" s="666"/>
      <c r="F464" s="59">
        <v>0.8</v>
      </c>
      <c r="G464" s="35">
        <v>15</v>
      </c>
      <c r="H464" s="59">
        <v>12</v>
      </c>
      <c r="I464" s="59">
        <v>12.41</v>
      </c>
      <c r="J464" s="35">
        <v>64</v>
      </c>
      <c r="K464" s="35" t="s">
        <v>127</v>
      </c>
      <c r="L464" s="35" t="s">
        <v>46</v>
      </c>
      <c r="M464" s="36" t="s">
        <v>81</v>
      </c>
      <c r="N464" s="36"/>
      <c r="O464" s="35">
        <v>60</v>
      </c>
      <c r="P464" s="7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668"/>
      <c r="R464" s="668"/>
      <c r="S464" s="668"/>
      <c r="T464" s="669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7" t="s">
        <v>766</v>
      </c>
      <c r="AG464" s="75"/>
      <c r="AJ464" s="79" t="s">
        <v>46</v>
      </c>
      <c r="AK464" s="79">
        <v>0</v>
      </c>
      <c r="BB464" s="568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37.5" hidden="1" customHeight="1" x14ac:dyDescent="0.25">
      <c r="A465" s="60" t="s">
        <v>767</v>
      </c>
      <c r="B465" s="60" t="s">
        <v>768</v>
      </c>
      <c r="C465" s="34">
        <v>4301011871</v>
      </c>
      <c r="D465" s="666">
        <v>4680115884908</v>
      </c>
      <c r="E465" s="666"/>
      <c r="F465" s="59">
        <v>0.4</v>
      </c>
      <c r="G465" s="35">
        <v>10</v>
      </c>
      <c r="H465" s="59">
        <v>4</v>
      </c>
      <c r="I465" s="59">
        <v>4.1900000000000004</v>
      </c>
      <c r="J465" s="35">
        <v>132</v>
      </c>
      <c r="K465" s="35" t="s">
        <v>134</v>
      </c>
      <c r="L465" s="35" t="s">
        <v>46</v>
      </c>
      <c r="M465" s="36" t="s">
        <v>81</v>
      </c>
      <c r="N465" s="36"/>
      <c r="O465" s="35">
        <v>60</v>
      </c>
      <c r="P465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668"/>
      <c r="R465" s="668"/>
      <c r="S465" s="668"/>
      <c r="T465" s="669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9" t="s">
        <v>766</v>
      </c>
      <c r="AG465" s="75"/>
      <c r="AJ465" s="79" t="s">
        <v>46</v>
      </c>
      <c r="AK465" s="79">
        <v>0</v>
      </c>
      <c r="BB465" s="570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62"/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3"/>
      <c r="P466" s="659" t="s">
        <v>40</v>
      </c>
      <c r="Q466" s="660"/>
      <c r="R466" s="660"/>
      <c r="S466" s="660"/>
      <c r="T466" s="660"/>
      <c r="U466" s="660"/>
      <c r="V466" s="661"/>
      <c r="W466" s="40" t="s">
        <v>39</v>
      </c>
      <c r="X466" s="41">
        <f>IFERROR(X464/H464,"0")+IFERROR(X465/H465,"0")</f>
        <v>0</v>
      </c>
      <c r="Y466" s="41">
        <f>IFERROR(Y464/H464,"0")+IFERROR(Y465/H465,"0")</f>
        <v>0</v>
      </c>
      <c r="Z466" s="41">
        <f>IFERROR(IF(Z464="",0,Z464),"0")+IFERROR(IF(Z465="",0,Z465),"0")</f>
        <v>0</v>
      </c>
      <c r="AA466" s="64"/>
      <c r="AB466" s="64"/>
      <c r="AC466" s="64"/>
    </row>
    <row r="467" spans="1:68" hidden="1" x14ac:dyDescent="0.2">
      <c r="A467" s="662"/>
      <c r="B467" s="662"/>
      <c r="C467" s="662"/>
      <c r="D467" s="662"/>
      <c r="E467" s="662"/>
      <c r="F467" s="662"/>
      <c r="G467" s="662"/>
      <c r="H467" s="662"/>
      <c r="I467" s="662"/>
      <c r="J467" s="662"/>
      <c r="K467" s="662"/>
      <c r="L467" s="662"/>
      <c r="M467" s="662"/>
      <c r="N467" s="662"/>
      <c r="O467" s="663"/>
      <c r="P467" s="659" t="s">
        <v>40</v>
      </c>
      <c r="Q467" s="660"/>
      <c r="R467" s="660"/>
      <c r="S467" s="660"/>
      <c r="T467" s="660"/>
      <c r="U467" s="660"/>
      <c r="V467" s="661"/>
      <c r="W467" s="40" t="s">
        <v>0</v>
      </c>
      <c r="X467" s="41">
        <f>IFERROR(SUM(X464:X465),"0")</f>
        <v>0</v>
      </c>
      <c r="Y467" s="41">
        <f>IFERROR(SUM(Y464:Y465),"0")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665" t="s">
        <v>77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3"/>
      <c r="AB468" s="63"/>
      <c r="AC468" s="63"/>
    </row>
    <row r="469" spans="1:68" ht="27" hidden="1" customHeight="1" x14ac:dyDescent="0.25">
      <c r="A469" s="60" t="s">
        <v>769</v>
      </c>
      <c r="B469" s="60" t="s">
        <v>770</v>
      </c>
      <c r="C469" s="34">
        <v>4301031457</v>
      </c>
      <c r="D469" s="666">
        <v>4607091384802</v>
      </c>
      <c r="E469" s="666"/>
      <c r="F469" s="59">
        <v>0.7</v>
      </c>
      <c r="G469" s="35">
        <v>6</v>
      </c>
      <c r="H469" s="59">
        <v>4.2</v>
      </c>
      <c r="I469" s="59">
        <v>4.45</v>
      </c>
      <c r="J469" s="35">
        <v>132</v>
      </c>
      <c r="K469" s="35" t="s">
        <v>134</v>
      </c>
      <c r="L469" s="35" t="s">
        <v>46</v>
      </c>
      <c r="M469" s="36" t="s">
        <v>81</v>
      </c>
      <c r="N469" s="36"/>
      <c r="O469" s="35">
        <v>50</v>
      </c>
      <c r="P469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668"/>
      <c r="R469" s="668"/>
      <c r="S469" s="668"/>
      <c r="T469" s="669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71" t="s">
        <v>771</v>
      </c>
      <c r="AG469" s="75"/>
      <c r="AJ469" s="79" t="s">
        <v>46</v>
      </c>
      <c r="AK469" s="79">
        <v>0</v>
      </c>
      <c r="BB469" s="572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662"/>
      <c r="B470" s="662"/>
      <c r="C470" s="662"/>
      <c r="D470" s="662"/>
      <c r="E470" s="662"/>
      <c r="F470" s="662"/>
      <c r="G470" s="662"/>
      <c r="H470" s="662"/>
      <c r="I470" s="662"/>
      <c r="J470" s="662"/>
      <c r="K470" s="662"/>
      <c r="L470" s="662"/>
      <c r="M470" s="662"/>
      <c r="N470" s="662"/>
      <c r="O470" s="663"/>
      <c r="P470" s="659" t="s">
        <v>40</v>
      </c>
      <c r="Q470" s="660"/>
      <c r="R470" s="660"/>
      <c r="S470" s="660"/>
      <c r="T470" s="660"/>
      <c r="U470" s="660"/>
      <c r="V470" s="661"/>
      <c r="W470" s="40" t="s">
        <v>39</v>
      </c>
      <c r="X470" s="41">
        <f>IFERROR(X469/H469,"0")</f>
        <v>0</v>
      </c>
      <c r="Y470" s="41">
        <f>IFERROR(Y469/H469,"0")</f>
        <v>0</v>
      </c>
      <c r="Z470" s="41">
        <f>IFERROR(IF(Z469="",0,Z469),"0")</f>
        <v>0</v>
      </c>
      <c r="AA470" s="64"/>
      <c r="AB470" s="64"/>
      <c r="AC470" s="64"/>
    </row>
    <row r="471" spans="1:68" hidden="1" x14ac:dyDescent="0.2">
      <c r="A471" s="662"/>
      <c r="B471" s="662"/>
      <c r="C471" s="662"/>
      <c r="D471" s="662"/>
      <c r="E471" s="662"/>
      <c r="F471" s="662"/>
      <c r="G471" s="662"/>
      <c r="H471" s="662"/>
      <c r="I471" s="662"/>
      <c r="J471" s="662"/>
      <c r="K471" s="662"/>
      <c r="L471" s="662"/>
      <c r="M471" s="662"/>
      <c r="N471" s="662"/>
      <c r="O471" s="663"/>
      <c r="P471" s="659" t="s">
        <v>40</v>
      </c>
      <c r="Q471" s="660"/>
      <c r="R471" s="660"/>
      <c r="S471" s="660"/>
      <c r="T471" s="660"/>
      <c r="U471" s="660"/>
      <c r="V471" s="661"/>
      <c r="W471" s="40" t="s">
        <v>0</v>
      </c>
      <c r="X471" s="41">
        <f>IFERROR(SUM(X469:X469),"0")</f>
        <v>0</v>
      </c>
      <c r="Y471" s="41">
        <f>IFERROR(SUM(Y469:Y469),"0")</f>
        <v>0</v>
      </c>
      <c r="Z471" s="40"/>
      <c r="AA471" s="64"/>
      <c r="AB471" s="64"/>
      <c r="AC471" s="64"/>
    </row>
    <row r="472" spans="1:68" ht="14.25" hidden="1" customHeight="1" x14ac:dyDescent="0.25">
      <c r="A472" s="665" t="s">
        <v>86</v>
      </c>
      <c r="B472" s="665"/>
      <c r="C472" s="665"/>
      <c r="D472" s="665"/>
      <c r="E472" s="665"/>
      <c r="F472" s="665"/>
      <c r="G472" s="665"/>
      <c r="H472" s="665"/>
      <c r="I472" s="665"/>
      <c r="J472" s="665"/>
      <c r="K472" s="665"/>
      <c r="L472" s="665"/>
      <c r="M472" s="665"/>
      <c r="N472" s="665"/>
      <c r="O472" s="665"/>
      <c r="P472" s="665"/>
      <c r="Q472" s="665"/>
      <c r="R472" s="665"/>
      <c r="S472" s="665"/>
      <c r="T472" s="665"/>
      <c r="U472" s="665"/>
      <c r="V472" s="665"/>
      <c r="W472" s="665"/>
      <c r="X472" s="665"/>
      <c r="Y472" s="665"/>
      <c r="Z472" s="665"/>
      <c r="AA472" s="63"/>
      <c r="AB472" s="63"/>
      <c r="AC472" s="63"/>
    </row>
    <row r="473" spans="1:68" ht="27" hidden="1" customHeight="1" x14ac:dyDescent="0.25">
      <c r="A473" s="60" t="s">
        <v>772</v>
      </c>
      <c r="B473" s="60" t="s">
        <v>773</v>
      </c>
      <c r="C473" s="34">
        <v>4301051899</v>
      </c>
      <c r="D473" s="666">
        <v>4607091384246</v>
      </c>
      <c r="E473" s="666"/>
      <c r="F473" s="59">
        <v>1.5</v>
      </c>
      <c r="G473" s="35">
        <v>6</v>
      </c>
      <c r="H473" s="59">
        <v>9</v>
      </c>
      <c r="I473" s="59">
        <v>9.4939999999999998</v>
      </c>
      <c r="J473" s="35">
        <v>64</v>
      </c>
      <c r="K473" s="35" t="s">
        <v>127</v>
      </c>
      <c r="L473" s="35" t="s">
        <v>46</v>
      </c>
      <c r="M473" s="36" t="s">
        <v>90</v>
      </c>
      <c r="N473" s="36"/>
      <c r="O473" s="35">
        <v>40</v>
      </c>
      <c r="P473" s="7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668"/>
      <c r="R473" s="668"/>
      <c r="S473" s="668"/>
      <c r="T473" s="669"/>
      <c r="U473" s="37" t="s">
        <v>46</v>
      </c>
      <c r="V473" s="37" t="s">
        <v>46</v>
      </c>
      <c r="W473" s="38" t="s">
        <v>0</v>
      </c>
      <c r="X473" s="56">
        <v>0</v>
      </c>
      <c r="Y473" s="53">
        <f>IFERROR(IF(X473="",0,CEILING((X473/$H473),1)*$H473),"")</f>
        <v>0</v>
      </c>
      <c r="Z473" s="39" t="str">
        <f>IFERROR(IF(Y473=0,"",ROUNDUP(Y473/H473,0)*0.01898),"")</f>
        <v/>
      </c>
      <c r="AA473" s="65" t="s">
        <v>46</v>
      </c>
      <c r="AB473" s="66" t="s">
        <v>46</v>
      </c>
      <c r="AC473" s="573" t="s">
        <v>774</v>
      </c>
      <c r="AG473" s="75"/>
      <c r="AJ473" s="79" t="s">
        <v>46</v>
      </c>
      <c r="AK473" s="79">
        <v>0</v>
      </c>
      <c r="BB473" s="574" t="s">
        <v>67</v>
      </c>
      <c r="BM473" s="75">
        <f>IFERROR(X473*I473/H473,"0")</f>
        <v>0</v>
      </c>
      <c r="BN473" s="75">
        <f>IFERROR(Y473*I473/H473,"0")</f>
        <v>0</v>
      </c>
      <c r="BO473" s="75">
        <f>IFERROR(1/J473*(X473/H473),"0")</f>
        <v>0</v>
      </c>
      <c r="BP473" s="75">
        <f>IFERROR(1/J473*(Y473/H473),"0")</f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4301051660</v>
      </c>
      <c r="D474" s="666">
        <v>4607091384253</v>
      </c>
      <c r="E474" s="666"/>
      <c r="F474" s="59">
        <v>0.4</v>
      </c>
      <c r="G474" s="35">
        <v>6</v>
      </c>
      <c r="H474" s="59">
        <v>2.4</v>
      </c>
      <c r="I474" s="59">
        <v>2.6640000000000001</v>
      </c>
      <c r="J474" s="35">
        <v>182</v>
      </c>
      <c r="K474" s="35" t="s">
        <v>91</v>
      </c>
      <c r="L474" s="35" t="s">
        <v>46</v>
      </c>
      <c r="M474" s="36" t="s">
        <v>90</v>
      </c>
      <c r="N474" s="36"/>
      <c r="O474" s="35">
        <v>40</v>
      </c>
      <c r="P474" s="71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668"/>
      <c r="R474" s="668"/>
      <c r="S474" s="668"/>
      <c r="T474" s="669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46</v>
      </c>
      <c r="AB474" s="66" t="s">
        <v>46</v>
      </c>
      <c r="AC474" s="575" t="s">
        <v>774</v>
      </c>
      <c r="AG474" s="75"/>
      <c r="AJ474" s="79" t="s">
        <v>46</v>
      </c>
      <c r="AK474" s="79">
        <v>0</v>
      </c>
      <c r="BB474" s="576" t="s">
        <v>67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t="27" hidden="1" customHeight="1" x14ac:dyDescent="0.25">
      <c r="A475" s="60" t="s">
        <v>775</v>
      </c>
      <c r="B475" s="60" t="s">
        <v>777</v>
      </c>
      <c r="C475" s="34">
        <v>4301052069</v>
      </c>
      <c r="D475" s="666">
        <v>4607091384253</v>
      </c>
      <c r="E475" s="666"/>
      <c r="F475" s="59">
        <v>0.4</v>
      </c>
      <c r="G475" s="35">
        <v>6</v>
      </c>
      <c r="H475" s="59">
        <v>2.4</v>
      </c>
      <c r="I475" s="59">
        <v>2.6640000000000001</v>
      </c>
      <c r="J475" s="35">
        <v>182</v>
      </c>
      <c r="K475" s="35" t="s">
        <v>91</v>
      </c>
      <c r="L475" s="35" t="s">
        <v>46</v>
      </c>
      <c r="M475" s="36" t="s">
        <v>90</v>
      </c>
      <c r="N475" s="36"/>
      <c r="O475" s="35">
        <v>40</v>
      </c>
      <c r="P475" s="7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668"/>
      <c r="R475" s="668"/>
      <c r="S475" s="668"/>
      <c r="T475" s="669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IFERROR(IF(Y475=0,"",ROUNDUP(Y475/H475,0)*0.00651),"")</f>
        <v/>
      </c>
      <c r="AA475" s="65" t="s">
        <v>46</v>
      </c>
      <c r="AB475" s="66" t="s">
        <v>46</v>
      </c>
      <c r="AC475" s="577" t="s">
        <v>778</v>
      </c>
      <c r="AG475" s="75"/>
      <c r="AJ475" s="79" t="s">
        <v>46</v>
      </c>
      <c r="AK475" s="79">
        <v>0</v>
      </c>
      <c r="BB475" s="578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62"/>
      <c r="B476" s="662"/>
      <c r="C476" s="662"/>
      <c r="D476" s="662"/>
      <c r="E476" s="662"/>
      <c r="F476" s="662"/>
      <c r="G476" s="662"/>
      <c r="H476" s="662"/>
      <c r="I476" s="662"/>
      <c r="J476" s="662"/>
      <c r="K476" s="662"/>
      <c r="L476" s="662"/>
      <c r="M476" s="662"/>
      <c r="N476" s="662"/>
      <c r="O476" s="663"/>
      <c r="P476" s="659" t="s">
        <v>40</v>
      </c>
      <c r="Q476" s="660"/>
      <c r="R476" s="660"/>
      <c r="S476" s="660"/>
      <c r="T476" s="660"/>
      <c r="U476" s="660"/>
      <c r="V476" s="661"/>
      <c r="W476" s="40" t="s">
        <v>39</v>
      </c>
      <c r="X476" s="41">
        <f>IFERROR(X473/H473,"0")+IFERROR(X474/H474,"0")+IFERROR(X475/H475,"0")</f>
        <v>0</v>
      </c>
      <c r="Y476" s="41">
        <f>IFERROR(Y473/H473,"0")+IFERROR(Y474/H474,"0")+IFERROR(Y475/H475,"0")</f>
        <v>0</v>
      </c>
      <c r="Z476" s="41">
        <f>IFERROR(IF(Z473="",0,Z473),"0")+IFERROR(IF(Z474="",0,Z474),"0")+IFERROR(IF(Z475="",0,Z475),"0")</f>
        <v>0</v>
      </c>
      <c r="AA476" s="64"/>
      <c r="AB476" s="64"/>
      <c r="AC476" s="64"/>
    </row>
    <row r="477" spans="1:68" hidden="1" x14ac:dyDescent="0.2">
      <c r="A477" s="662"/>
      <c r="B477" s="662"/>
      <c r="C477" s="662"/>
      <c r="D477" s="662"/>
      <c r="E477" s="662"/>
      <c r="F477" s="662"/>
      <c r="G477" s="662"/>
      <c r="H477" s="662"/>
      <c r="I477" s="662"/>
      <c r="J477" s="662"/>
      <c r="K477" s="662"/>
      <c r="L477" s="662"/>
      <c r="M477" s="662"/>
      <c r="N477" s="662"/>
      <c r="O477" s="663"/>
      <c r="P477" s="659" t="s">
        <v>40</v>
      </c>
      <c r="Q477" s="660"/>
      <c r="R477" s="660"/>
      <c r="S477" s="660"/>
      <c r="T477" s="660"/>
      <c r="U477" s="660"/>
      <c r="V477" s="661"/>
      <c r="W477" s="40" t="s">
        <v>0</v>
      </c>
      <c r="X477" s="41">
        <f>IFERROR(SUM(X473:X475),"0")</f>
        <v>0</v>
      </c>
      <c r="Y477" s="41">
        <f>IFERROR(SUM(Y473:Y475),"0")</f>
        <v>0</v>
      </c>
      <c r="Z477" s="40"/>
      <c r="AA477" s="64"/>
      <c r="AB477" s="64"/>
      <c r="AC477" s="64"/>
    </row>
    <row r="478" spans="1:68" ht="27.75" hidden="1" customHeight="1" x14ac:dyDescent="0.2">
      <c r="A478" s="679" t="s">
        <v>779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52"/>
      <c r="AB478" s="52"/>
      <c r="AC478" s="52"/>
    </row>
    <row r="479" spans="1:68" ht="16.5" hidden="1" customHeight="1" x14ac:dyDescent="0.25">
      <c r="A479" s="664" t="s">
        <v>780</v>
      </c>
      <c r="B479" s="664"/>
      <c r="C479" s="664"/>
      <c r="D479" s="664"/>
      <c r="E479" s="664"/>
      <c r="F479" s="664"/>
      <c r="G479" s="664"/>
      <c r="H479" s="664"/>
      <c r="I479" s="664"/>
      <c r="J479" s="664"/>
      <c r="K479" s="664"/>
      <c r="L479" s="664"/>
      <c r="M479" s="664"/>
      <c r="N479" s="664"/>
      <c r="O479" s="664"/>
      <c r="P479" s="664"/>
      <c r="Q479" s="664"/>
      <c r="R479" s="664"/>
      <c r="S479" s="664"/>
      <c r="T479" s="664"/>
      <c r="U479" s="664"/>
      <c r="V479" s="664"/>
      <c r="W479" s="664"/>
      <c r="X479" s="664"/>
      <c r="Y479" s="664"/>
      <c r="Z479" s="664"/>
      <c r="AA479" s="62"/>
      <c r="AB479" s="62"/>
      <c r="AC479" s="62"/>
    </row>
    <row r="480" spans="1:68" ht="14.25" hidden="1" customHeight="1" x14ac:dyDescent="0.25">
      <c r="A480" s="665" t="s">
        <v>77</v>
      </c>
      <c r="B480" s="665"/>
      <c r="C480" s="665"/>
      <c r="D480" s="665"/>
      <c r="E480" s="665"/>
      <c r="F480" s="665"/>
      <c r="G480" s="665"/>
      <c r="H480" s="665"/>
      <c r="I480" s="665"/>
      <c r="J480" s="665"/>
      <c r="K480" s="665"/>
      <c r="L480" s="665"/>
      <c r="M480" s="665"/>
      <c r="N480" s="665"/>
      <c r="O480" s="665"/>
      <c r="P480" s="665"/>
      <c r="Q480" s="665"/>
      <c r="R480" s="665"/>
      <c r="S480" s="665"/>
      <c r="T480" s="665"/>
      <c r="U480" s="665"/>
      <c r="V480" s="665"/>
      <c r="W480" s="665"/>
      <c r="X480" s="665"/>
      <c r="Y480" s="665"/>
      <c r="Z480" s="665"/>
      <c r="AA480" s="63"/>
      <c r="AB480" s="63"/>
      <c r="AC480" s="63"/>
    </row>
    <row r="481" spans="1:68" ht="27" hidden="1" customHeight="1" x14ac:dyDescent="0.25">
      <c r="A481" s="60" t="s">
        <v>781</v>
      </c>
      <c r="B481" s="60" t="s">
        <v>782</v>
      </c>
      <c r="C481" s="34">
        <v>4301031405</v>
      </c>
      <c r="D481" s="666">
        <v>4680115886100</v>
      </c>
      <c r="E481" s="666"/>
      <c r="F481" s="59">
        <v>0.9</v>
      </c>
      <c r="G481" s="35">
        <v>6</v>
      </c>
      <c r="H481" s="59">
        <v>5.4</v>
      </c>
      <c r="I481" s="59">
        <v>5.59</v>
      </c>
      <c r="J481" s="35">
        <v>132</v>
      </c>
      <c r="K481" s="35" t="s">
        <v>134</v>
      </c>
      <c r="L481" s="35" t="s">
        <v>46</v>
      </c>
      <c r="M481" s="36" t="s">
        <v>81</v>
      </c>
      <c r="N481" s="36"/>
      <c r="O481" s="35">
        <v>50</v>
      </c>
      <c r="P481" s="7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668"/>
      <c r="R481" s="668"/>
      <c r="S481" s="668"/>
      <c r="T481" s="669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ref="Y481:Y486" si="70"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783</v>
      </c>
      <c r="AG481" s="75"/>
      <c r="AJ481" s="79" t="s">
        <v>46</v>
      </c>
      <c r="AK481" s="79">
        <v>0</v>
      </c>
      <c r="BB481" s="580" t="s">
        <v>67</v>
      </c>
      <c r="BM481" s="75">
        <f t="shared" ref="BM481:BM486" si="71">IFERROR(X481*I481/H481,"0")</f>
        <v>0</v>
      </c>
      <c r="BN481" s="75">
        <f t="shared" ref="BN481:BN486" si="72">IFERROR(Y481*I481/H481,"0")</f>
        <v>0</v>
      </c>
      <c r="BO481" s="75">
        <f t="shared" ref="BO481:BO486" si="73">IFERROR(1/J481*(X481/H481),"0")</f>
        <v>0</v>
      </c>
      <c r="BP481" s="75">
        <f t="shared" ref="BP481:BP486" si="74">IFERROR(1/J481*(Y481/H481),"0")</f>
        <v>0</v>
      </c>
    </row>
    <row r="482" spans="1:68" ht="27" hidden="1" customHeight="1" x14ac:dyDescent="0.25">
      <c r="A482" s="60" t="s">
        <v>784</v>
      </c>
      <c r="B482" s="60" t="s">
        <v>785</v>
      </c>
      <c r="C482" s="34">
        <v>4301031402</v>
      </c>
      <c r="D482" s="666">
        <v>4680115886124</v>
      </c>
      <c r="E482" s="666"/>
      <c r="F482" s="59">
        <v>0.9</v>
      </c>
      <c r="G482" s="35">
        <v>6</v>
      </c>
      <c r="H482" s="59">
        <v>5.4</v>
      </c>
      <c r="I482" s="59">
        <v>5.59</v>
      </c>
      <c r="J482" s="35">
        <v>132</v>
      </c>
      <c r="K482" s="35" t="s">
        <v>134</v>
      </c>
      <c r="L482" s="35" t="s">
        <v>46</v>
      </c>
      <c r="M482" s="36" t="s">
        <v>81</v>
      </c>
      <c r="N482" s="36"/>
      <c r="O482" s="35">
        <v>50</v>
      </c>
      <c r="P482" s="7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668"/>
      <c r="R482" s="668"/>
      <c r="S482" s="668"/>
      <c r="T482" s="669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0"/>
        <v>0</v>
      </c>
      <c r="Z482" s="39" t="str">
        <f>IFERROR(IF(Y482=0,"",ROUNDUP(Y482/H482,0)*0.00902),"")</f>
        <v/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67</v>
      </c>
      <c r="BM482" s="75">
        <f t="shared" si="71"/>
        <v>0</v>
      </c>
      <c r="BN482" s="75">
        <f t="shared" si="72"/>
        <v>0</v>
      </c>
      <c r="BO482" s="75">
        <f t="shared" si="73"/>
        <v>0</v>
      </c>
      <c r="BP482" s="75">
        <f t="shared" si="74"/>
        <v>0</v>
      </c>
    </row>
    <row r="483" spans="1:68" ht="27" hidden="1" customHeight="1" x14ac:dyDescent="0.25">
      <c r="A483" s="60" t="s">
        <v>787</v>
      </c>
      <c r="B483" s="60" t="s">
        <v>788</v>
      </c>
      <c r="C483" s="34">
        <v>4301031362</v>
      </c>
      <c r="D483" s="666">
        <v>4607091384338</v>
      </c>
      <c r="E483" s="666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82</v>
      </c>
      <c r="L483" s="35" t="s">
        <v>46</v>
      </c>
      <c r="M483" s="36" t="s">
        <v>81</v>
      </c>
      <c r="N483" s="36"/>
      <c r="O483" s="35">
        <v>50</v>
      </c>
      <c r="P483" s="7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668"/>
      <c r="R483" s="668"/>
      <c r="S483" s="668"/>
      <c r="T483" s="669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0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783</v>
      </c>
      <c r="AG483" s="75"/>
      <c r="AJ483" s="79" t="s">
        <v>46</v>
      </c>
      <c r="AK483" s="79">
        <v>0</v>
      </c>
      <c r="BB483" s="584" t="s">
        <v>67</v>
      </c>
      <c r="BM483" s="75">
        <f t="shared" si="71"/>
        <v>0</v>
      </c>
      <c r="BN483" s="75">
        <f t="shared" si="72"/>
        <v>0</v>
      </c>
      <c r="BO483" s="75">
        <f t="shared" si="73"/>
        <v>0</v>
      </c>
      <c r="BP483" s="75">
        <f t="shared" si="74"/>
        <v>0</v>
      </c>
    </row>
    <row r="484" spans="1:68" ht="27" hidden="1" customHeight="1" x14ac:dyDescent="0.25">
      <c r="A484" s="60" t="s">
        <v>789</v>
      </c>
      <c r="B484" s="60" t="s">
        <v>790</v>
      </c>
      <c r="C484" s="34">
        <v>4301031364</v>
      </c>
      <c r="D484" s="666">
        <v>4680115883161</v>
      </c>
      <c r="E484" s="666"/>
      <c r="F484" s="59">
        <v>0.28000000000000003</v>
      </c>
      <c r="G484" s="35">
        <v>6</v>
      </c>
      <c r="H484" s="59">
        <v>1.68</v>
      </c>
      <c r="I484" s="59">
        <v>1.81</v>
      </c>
      <c r="J484" s="35">
        <v>234</v>
      </c>
      <c r="K484" s="35" t="s">
        <v>82</v>
      </c>
      <c r="L484" s="35" t="s">
        <v>46</v>
      </c>
      <c r="M484" s="36" t="s">
        <v>81</v>
      </c>
      <c r="N484" s="36"/>
      <c r="O484" s="35">
        <v>50</v>
      </c>
      <c r="P484" s="7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668"/>
      <c r="R484" s="668"/>
      <c r="S484" s="668"/>
      <c r="T484" s="669"/>
      <c r="U484" s="37" t="s">
        <v>46</v>
      </c>
      <c r="V484" s="37" t="s">
        <v>46</v>
      </c>
      <c r="W484" s="38" t="s">
        <v>0</v>
      </c>
      <c r="X484" s="56">
        <v>0</v>
      </c>
      <c r="Y484" s="53">
        <f t="shared" si="70"/>
        <v>0</v>
      </c>
      <c r="Z484" s="39" t="str">
        <f>IFERROR(IF(Y484=0,"",ROUNDUP(Y484/H484,0)*0.00502),"")</f>
        <v/>
      </c>
      <c r="AA484" s="65" t="s">
        <v>46</v>
      </c>
      <c r="AB484" s="66" t="s">
        <v>46</v>
      </c>
      <c r="AC484" s="585" t="s">
        <v>791</v>
      </c>
      <c r="AG484" s="75"/>
      <c r="AJ484" s="79" t="s">
        <v>46</v>
      </c>
      <c r="AK484" s="79">
        <v>0</v>
      </c>
      <c r="BB484" s="586" t="s">
        <v>67</v>
      </c>
      <c r="BM484" s="75">
        <f t="shared" si="71"/>
        <v>0</v>
      </c>
      <c r="BN484" s="75">
        <f t="shared" si="72"/>
        <v>0</v>
      </c>
      <c r="BO484" s="75">
        <f t="shared" si="73"/>
        <v>0</v>
      </c>
      <c r="BP484" s="75">
        <f t="shared" si="74"/>
        <v>0</v>
      </c>
    </row>
    <row r="485" spans="1:68" ht="27" hidden="1" customHeight="1" x14ac:dyDescent="0.25">
      <c r="A485" s="60" t="s">
        <v>792</v>
      </c>
      <c r="B485" s="60" t="s">
        <v>793</v>
      </c>
      <c r="C485" s="34">
        <v>4301031358</v>
      </c>
      <c r="D485" s="666">
        <v>4607091389531</v>
      </c>
      <c r="E485" s="666"/>
      <c r="F485" s="59">
        <v>0.35</v>
      </c>
      <c r="G485" s="35">
        <v>6</v>
      </c>
      <c r="H485" s="59">
        <v>2.1</v>
      </c>
      <c r="I485" s="59">
        <v>2.23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7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668"/>
      <c r="R485" s="668"/>
      <c r="S485" s="668"/>
      <c r="T485" s="669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70"/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87" t="s">
        <v>794</v>
      </c>
      <c r="AG485" s="75"/>
      <c r="AJ485" s="79" t="s">
        <v>46</v>
      </c>
      <c r="AK485" s="79">
        <v>0</v>
      </c>
      <c r="BB485" s="588" t="s">
        <v>67</v>
      </c>
      <c r="BM485" s="75">
        <f t="shared" si="71"/>
        <v>0</v>
      </c>
      <c r="BN485" s="75">
        <f t="shared" si="72"/>
        <v>0</v>
      </c>
      <c r="BO485" s="75">
        <f t="shared" si="73"/>
        <v>0</v>
      </c>
      <c r="BP485" s="75">
        <f t="shared" si="74"/>
        <v>0</v>
      </c>
    </row>
    <row r="486" spans="1:68" ht="37.5" hidden="1" customHeight="1" x14ac:dyDescent="0.25">
      <c r="A486" s="60" t="s">
        <v>795</v>
      </c>
      <c r="B486" s="60" t="s">
        <v>796</v>
      </c>
      <c r="C486" s="34">
        <v>4301031360</v>
      </c>
      <c r="D486" s="666">
        <v>4607091384345</v>
      </c>
      <c r="E486" s="666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668"/>
      <c r="R486" s="668"/>
      <c r="S486" s="668"/>
      <c r="T486" s="669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si="70"/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89" t="s">
        <v>791</v>
      </c>
      <c r="AG486" s="75"/>
      <c r="AJ486" s="79" t="s">
        <v>46</v>
      </c>
      <c r="AK486" s="79">
        <v>0</v>
      </c>
      <c r="BB486" s="590" t="s">
        <v>67</v>
      </c>
      <c r="BM486" s="75">
        <f t="shared" si="71"/>
        <v>0</v>
      </c>
      <c r="BN486" s="75">
        <f t="shared" si="72"/>
        <v>0</v>
      </c>
      <c r="BO486" s="75">
        <f t="shared" si="73"/>
        <v>0</v>
      </c>
      <c r="BP486" s="75">
        <f t="shared" si="74"/>
        <v>0</v>
      </c>
    </row>
    <row r="487" spans="1:68" hidden="1" x14ac:dyDescent="0.2">
      <c r="A487" s="662"/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3"/>
      <c r="P487" s="659" t="s">
        <v>40</v>
      </c>
      <c r="Q487" s="660"/>
      <c r="R487" s="660"/>
      <c r="S487" s="660"/>
      <c r="T487" s="660"/>
      <c r="U487" s="660"/>
      <c r="V487" s="661"/>
      <c r="W487" s="40" t="s">
        <v>39</v>
      </c>
      <c r="X487" s="41">
        <f>IFERROR(X481/H481,"0")+IFERROR(X482/H482,"0")+IFERROR(X483/H483,"0")+IFERROR(X484/H484,"0")+IFERROR(X485/H485,"0")+IFERROR(X486/H486,"0")</f>
        <v>0</v>
      </c>
      <c r="Y487" s="41">
        <f>IFERROR(Y481/H481,"0")+IFERROR(Y482/H482,"0")+IFERROR(Y483/H483,"0")+IFERROR(Y484/H484,"0")+IFERROR(Y485/H485,"0")+IFERROR(Y486/H486,"0")</f>
        <v>0</v>
      </c>
      <c r="Z487" s="41">
        <f>IFERROR(IF(Z481="",0,Z481),"0")+IFERROR(IF(Z482="",0,Z482),"0")+IFERROR(IF(Z483="",0,Z483),"0")+IFERROR(IF(Z484="",0,Z484),"0")+IFERROR(IF(Z485="",0,Z485),"0")+IFERROR(IF(Z486="",0,Z486),"0")</f>
        <v>0</v>
      </c>
      <c r="AA487" s="64"/>
      <c r="AB487" s="64"/>
      <c r="AC487" s="64"/>
    </row>
    <row r="488" spans="1:68" hidden="1" x14ac:dyDescent="0.2">
      <c r="A488" s="662"/>
      <c r="B488" s="662"/>
      <c r="C488" s="662"/>
      <c r="D488" s="662"/>
      <c r="E488" s="662"/>
      <c r="F488" s="662"/>
      <c r="G488" s="662"/>
      <c r="H488" s="662"/>
      <c r="I488" s="662"/>
      <c r="J488" s="662"/>
      <c r="K488" s="662"/>
      <c r="L488" s="662"/>
      <c r="M488" s="662"/>
      <c r="N488" s="662"/>
      <c r="O488" s="663"/>
      <c r="P488" s="659" t="s">
        <v>40</v>
      </c>
      <c r="Q488" s="660"/>
      <c r="R488" s="660"/>
      <c r="S488" s="660"/>
      <c r="T488" s="660"/>
      <c r="U488" s="660"/>
      <c r="V488" s="661"/>
      <c r="W488" s="40" t="s">
        <v>0</v>
      </c>
      <c r="X488" s="41">
        <f>IFERROR(SUM(X481:X486),"0")</f>
        <v>0</v>
      </c>
      <c r="Y488" s="41">
        <f>IFERROR(SUM(Y481:Y486),"0")</f>
        <v>0</v>
      </c>
      <c r="Z488" s="40"/>
      <c r="AA488" s="64"/>
      <c r="AB488" s="64"/>
      <c r="AC488" s="64"/>
    </row>
    <row r="489" spans="1:68" ht="14.25" hidden="1" customHeight="1" x14ac:dyDescent="0.25">
      <c r="A489" s="665" t="s">
        <v>86</v>
      </c>
      <c r="B489" s="665"/>
      <c r="C489" s="665"/>
      <c r="D489" s="665"/>
      <c r="E489" s="665"/>
      <c r="F489" s="665"/>
      <c r="G489" s="665"/>
      <c r="H489" s="665"/>
      <c r="I489" s="665"/>
      <c r="J489" s="665"/>
      <c r="K489" s="665"/>
      <c r="L489" s="665"/>
      <c r="M489" s="665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3"/>
      <c r="AB489" s="63"/>
      <c r="AC489" s="63"/>
    </row>
    <row r="490" spans="1:68" ht="27" hidden="1" customHeight="1" x14ac:dyDescent="0.25">
      <c r="A490" s="60" t="s">
        <v>797</v>
      </c>
      <c r="B490" s="60" t="s">
        <v>798</v>
      </c>
      <c r="C490" s="34">
        <v>4301051284</v>
      </c>
      <c r="D490" s="666">
        <v>4607091384352</v>
      </c>
      <c r="E490" s="666"/>
      <c r="F490" s="59">
        <v>0.6</v>
      </c>
      <c r="G490" s="35">
        <v>4</v>
      </c>
      <c r="H490" s="59">
        <v>2.4</v>
      </c>
      <c r="I490" s="59">
        <v>2.6259999999999999</v>
      </c>
      <c r="J490" s="35">
        <v>132</v>
      </c>
      <c r="K490" s="35" t="s">
        <v>134</v>
      </c>
      <c r="L490" s="35" t="s">
        <v>46</v>
      </c>
      <c r="M490" s="36" t="s">
        <v>90</v>
      </c>
      <c r="N490" s="36"/>
      <c r="O490" s="35">
        <v>45</v>
      </c>
      <c r="P490" s="7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668"/>
      <c r="R490" s="668"/>
      <c r="S490" s="668"/>
      <c r="T490" s="66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IFERROR(IF(Y490=0,"",ROUNDUP(Y490/H490,0)*0.00902),"")</f>
        <v/>
      </c>
      <c r="AA490" s="65" t="s">
        <v>46</v>
      </c>
      <c r="AB490" s="66" t="s">
        <v>46</v>
      </c>
      <c r="AC490" s="591" t="s">
        <v>799</v>
      </c>
      <c r="AG490" s="75"/>
      <c r="AJ490" s="79" t="s">
        <v>46</v>
      </c>
      <c r="AK490" s="79">
        <v>0</v>
      </c>
      <c r="BB490" s="592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t="27" hidden="1" customHeight="1" x14ac:dyDescent="0.25">
      <c r="A491" s="60" t="s">
        <v>800</v>
      </c>
      <c r="B491" s="60" t="s">
        <v>801</v>
      </c>
      <c r="C491" s="34">
        <v>4301051431</v>
      </c>
      <c r="D491" s="666">
        <v>4607091389654</v>
      </c>
      <c r="E491" s="666"/>
      <c r="F491" s="59">
        <v>0.33</v>
      </c>
      <c r="G491" s="35">
        <v>6</v>
      </c>
      <c r="H491" s="59">
        <v>1.98</v>
      </c>
      <c r="I491" s="59">
        <v>2.238</v>
      </c>
      <c r="J491" s="35">
        <v>182</v>
      </c>
      <c r="K491" s="35" t="s">
        <v>91</v>
      </c>
      <c r="L491" s="35" t="s">
        <v>46</v>
      </c>
      <c r="M491" s="36" t="s">
        <v>90</v>
      </c>
      <c r="N491" s="36"/>
      <c r="O491" s="35">
        <v>45</v>
      </c>
      <c r="P491" s="7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668"/>
      <c r="R491" s="668"/>
      <c r="S491" s="668"/>
      <c r="T491" s="669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IFERROR(IF(Y491=0,"",ROUNDUP(Y491/H491,0)*0.00651),"")</f>
        <v/>
      </c>
      <c r="AA491" s="65" t="s">
        <v>46</v>
      </c>
      <c r="AB491" s="66" t="s">
        <v>46</v>
      </c>
      <c r="AC491" s="593" t="s">
        <v>802</v>
      </c>
      <c r="AG491" s="75"/>
      <c r="AJ491" s="79" t="s">
        <v>46</v>
      </c>
      <c r="AK491" s="79">
        <v>0</v>
      </c>
      <c r="BB491" s="594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idden="1" x14ac:dyDescent="0.2">
      <c r="A492" s="662"/>
      <c r="B492" s="662"/>
      <c r="C492" s="662"/>
      <c r="D492" s="662"/>
      <c r="E492" s="662"/>
      <c r="F492" s="662"/>
      <c r="G492" s="662"/>
      <c r="H492" s="662"/>
      <c r="I492" s="662"/>
      <c r="J492" s="662"/>
      <c r="K492" s="662"/>
      <c r="L492" s="662"/>
      <c r="M492" s="662"/>
      <c r="N492" s="662"/>
      <c r="O492" s="663"/>
      <c r="P492" s="659" t="s">
        <v>40</v>
      </c>
      <c r="Q492" s="660"/>
      <c r="R492" s="660"/>
      <c r="S492" s="660"/>
      <c r="T492" s="660"/>
      <c r="U492" s="660"/>
      <c r="V492" s="661"/>
      <c r="W492" s="40" t="s">
        <v>39</v>
      </c>
      <c r="X492" s="41">
        <f>IFERROR(X490/H490,"0")+IFERROR(X491/H491,"0")</f>
        <v>0</v>
      </c>
      <c r="Y492" s="41">
        <f>IFERROR(Y490/H490,"0")+IFERROR(Y491/H491,"0")</f>
        <v>0</v>
      </c>
      <c r="Z492" s="41">
        <f>IFERROR(IF(Z490="",0,Z490),"0")+IFERROR(IF(Z491="",0,Z491),"0")</f>
        <v>0</v>
      </c>
      <c r="AA492" s="64"/>
      <c r="AB492" s="64"/>
      <c r="AC492" s="64"/>
    </row>
    <row r="493" spans="1:68" hidden="1" x14ac:dyDescent="0.2">
      <c r="A493" s="662"/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3"/>
      <c r="P493" s="659" t="s">
        <v>40</v>
      </c>
      <c r="Q493" s="660"/>
      <c r="R493" s="660"/>
      <c r="S493" s="660"/>
      <c r="T493" s="660"/>
      <c r="U493" s="660"/>
      <c r="V493" s="661"/>
      <c r="W493" s="40" t="s">
        <v>0</v>
      </c>
      <c r="X493" s="41">
        <f>IFERROR(SUM(X490:X491),"0")</f>
        <v>0</v>
      </c>
      <c r="Y493" s="41">
        <f>IFERROR(SUM(Y490:Y491),"0")</f>
        <v>0</v>
      </c>
      <c r="Z493" s="40"/>
      <c r="AA493" s="64"/>
      <c r="AB493" s="64"/>
      <c r="AC493" s="64"/>
    </row>
    <row r="494" spans="1:68" ht="16.5" hidden="1" customHeight="1" x14ac:dyDescent="0.25">
      <c r="A494" s="664" t="s">
        <v>803</v>
      </c>
      <c r="B494" s="664"/>
      <c r="C494" s="664"/>
      <c r="D494" s="664"/>
      <c r="E494" s="664"/>
      <c r="F494" s="664"/>
      <c r="G494" s="664"/>
      <c r="H494" s="664"/>
      <c r="I494" s="664"/>
      <c r="J494" s="664"/>
      <c r="K494" s="664"/>
      <c r="L494" s="664"/>
      <c r="M494" s="664"/>
      <c r="N494" s="664"/>
      <c r="O494" s="664"/>
      <c r="P494" s="664"/>
      <c r="Q494" s="664"/>
      <c r="R494" s="664"/>
      <c r="S494" s="664"/>
      <c r="T494" s="664"/>
      <c r="U494" s="664"/>
      <c r="V494" s="664"/>
      <c r="W494" s="664"/>
      <c r="X494" s="664"/>
      <c r="Y494" s="664"/>
      <c r="Z494" s="664"/>
      <c r="AA494" s="62"/>
      <c r="AB494" s="62"/>
      <c r="AC494" s="62"/>
    </row>
    <row r="495" spans="1:68" ht="14.25" hidden="1" customHeight="1" x14ac:dyDescent="0.25">
      <c r="A495" s="665" t="s">
        <v>155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3"/>
      <c r="AB495" s="63"/>
      <c r="AC495" s="63"/>
    </row>
    <row r="496" spans="1:68" ht="27" hidden="1" customHeight="1" x14ac:dyDescent="0.25">
      <c r="A496" s="60" t="s">
        <v>804</v>
      </c>
      <c r="B496" s="60" t="s">
        <v>805</v>
      </c>
      <c r="C496" s="34">
        <v>4301020416</v>
      </c>
      <c r="D496" s="666">
        <v>4680115885240</v>
      </c>
      <c r="E496" s="666"/>
      <c r="F496" s="59">
        <v>0.35</v>
      </c>
      <c r="G496" s="35">
        <v>6</v>
      </c>
      <c r="H496" s="59">
        <v>2.1</v>
      </c>
      <c r="I496" s="59">
        <v>2.31</v>
      </c>
      <c r="J496" s="35">
        <v>182</v>
      </c>
      <c r="K496" s="35" t="s">
        <v>91</v>
      </c>
      <c r="L496" s="35" t="s">
        <v>46</v>
      </c>
      <c r="M496" s="36" t="s">
        <v>81</v>
      </c>
      <c r="N496" s="36"/>
      <c r="O496" s="35">
        <v>40</v>
      </c>
      <c r="P496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68"/>
      <c r="R496" s="668"/>
      <c r="S496" s="668"/>
      <c r="T496" s="669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IFERROR(IF(Y496=0,"",ROUNDUP(Y496/H496,0)*0.00651),"")</f>
        <v/>
      </c>
      <c r="AA496" s="65" t="s">
        <v>46</v>
      </c>
      <c r="AB496" s="66" t="s">
        <v>46</v>
      </c>
      <c r="AC496" s="595" t="s">
        <v>806</v>
      </c>
      <c r="AG496" s="75"/>
      <c r="AJ496" s="79" t="s">
        <v>46</v>
      </c>
      <c r="AK496" s="79">
        <v>0</v>
      </c>
      <c r="BB496" s="596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662"/>
      <c r="B497" s="662"/>
      <c r="C497" s="662"/>
      <c r="D497" s="662"/>
      <c r="E497" s="662"/>
      <c r="F497" s="662"/>
      <c r="G497" s="662"/>
      <c r="H497" s="662"/>
      <c r="I497" s="662"/>
      <c r="J497" s="662"/>
      <c r="K497" s="662"/>
      <c r="L497" s="662"/>
      <c r="M497" s="662"/>
      <c r="N497" s="662"/>
      <c r="O497" s="663"/>
      <c r="P497" s="659" t="s">
        <v>40</v>
      </c>
      <c r="Q497" s="660"/>
      <c r="R497" s="660"/>
      <c r="S497" s="660"/>
      <c r="T497" s="660"/>
      <c r="U497" s="660"/>
      <c r="V497" s="661"/>
      <c r="W497" s="40" t="s">
        <v>39</v>
      </c>
      <c r="X497" s="41">
        <f>IFERROR(X496/H496,"0")</f>
        <v>0</v>
      </c>
      <c r="Y497" s="41">
        <f>IFERROR(Y496/H496,"0")</f>
        <v>0</v>
      </c>
      <c r="Z497" s="41">
        <f>IFERROR(IF(Z496="",0,Z496),"0")</f>
        <v>0</v>
      </c>
      <c r="AA497" s="64"/>
      <c r="AB497" s="64"/>
      <c r="AC497" s="64"/>
    </row>
    <row r="498" spans="1:68" hidden="1" x14ac:dyDescent="0.2">
      <c r="A498" s="662"/>
      <c r="B498" s="662"/>
      <c r="C498" s="662"/>
      <c r="D498" s="662"/>
      <c r="E498" s="662"/>
      <c r="F498" s="662"/>
      <c r="G498" s="662"/>
      <c r="H498" s="662"/>
      <c r="I498" s="662"/>
      <c r="J498" s="662"/>
      <c r="K498" s="662"/>
      <c r="L498" s="662"/>
      <c r="M498" s="662"/>
      <c r="N498" s="662"/>
      <c r="O498" s="663"/>
      <c r="P498" s="659" t="s">
        <v>40</v>
      </c>
      <c r="Q498" s="660"/>
      <c r="R498" s="660"/>
      <c r="S498" s="660"/>
      <c r="T498" s="660"/>
      <c r="U498" s="660"/>
      <c r="V498" s="661"/>
      <c r="W498" s="40" t="s">
        <v>0</v>
      </c>
      <c r="X498" s="41">
        <f>IFERROR(SUM(X496:X496),"0")</f>
        <v>0</v>
      </c>
      <c r="Y498" s="41">
        <f>IFERROR(SUM(Y496:Y496),"0")</f>
        <v>0</v>
      </c>
      <c r="Z498" s="40"/>
      <c r="AA498" s="64"/>
      <c r="AB498" s="64"/>
      <c r="AC498" s="64"/>
    </row>
    <row r="499" spans="1:68" ht="14.25" hidden="1" customHeight="1" x14ac:dyDescent="0.25">
      <c r="A499" s="665" t="s">
        <v>77</v>
      </c>
      <c r="B499" s="665"/>
      <c r="C499" s="665"/>
      <c r="D499" s="665"/>
      <c r="E499" s="665"/>
      <c r="F499" s="665"/>
      <c r="G499" s="665"/>
      <c r="H499" s="665"/>
      <c r="I499" s="665"/>
      <c r="J499" s="665"/>
      <c r="K499" s="665"/>
      <c r="L499" s="665"/>
      <c r="M499" s="665"/>
      <c r="N499" s="665"/>
      <c r="O499" s="665"/>
      <c r="P499" s="665"/>
      <c r="Q499" s="665"/>
      <c r="R499" s="665"/>
      <c r="S499" s="665"/>
      <c r="T499" s="665"/>
      <c r="U499" s="665"/>
      <c r="V499" s="665"/>
      <c r="W499" s="665"/>
      <c r="X499" s="665"/>
      <c r="Y499" s="665"/>
      <c r="Z499" s="665"/>
      <c r="AA499" s="63"/>
      <c r="AB499" s="63"/>
      <c r="AC499" s="63"/>
    </row>
    <row r="500" spans="1:68" ht="27" hidden="1" customHeight="1" x14ac:dyDescent="0.25">
      <c r="A500" s="60" t="s">
        <v>807</v>
      </c>
      <c r="B500" s="60" t="s">
        <v>808</v>
      </c>
      <c r="C500" s="34">
        <v>4301031407</v>
      </c>
      <c r="D500" s="666">
        <v>4680115886094</v>
      </c>
      <c r="E500" s="666"/>
      <c r="F500" s="59">
        <v>0.9</v>
      </c>
      <c r="G500" s="35">
        <v>6</v>
      </c>
      <c r="H500" s="59">
        <v>5.4</v>
      </c>
      <c r="I500" s="59">
        <v>5.59</v>
      </c>
      <c r="J500" s="35">
        <v>132</v>
      </c>
      <c r="K500" s="35" t="s">
        <v>134</v>
      </c>
      <c r="L500" s="35" t="s">
        <v>46</v>
      </c>
      <c r="M500" s="36" t="s">
        <v>81</v>
      </c>
      <c r="N500" s="36"/>
      <c r="O500" s="35">
        <v>50</v>
      </c>
      <c r="P500" s="70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68"/>
      <c r="R500" s="668"/>
      <c r="S500" s="668"/>
      <c r="T500" s="669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IFERROR(IF(Y500=0,"",ROUNDUP(Y500/H500,0)*0.00902),"")</f>
        <v/>
      </c>
      <c r="AA500" s="65" t="s">
        <v>46</v>
      </c>
      <c r="AB500" s="66" t="s">
        <v>46</v>
      </c>
      <c r="AC500" s="597" t="s">
        <v>809</v>
      </c>
      <c r="AG500" s="75"/>
      <c r="AJ500" s="79" t="s">
        <v>46</v>
      </c>
      <c r="AK500" s="79">
        <v>0</v>
      </c>
      <c r="BB500" s="598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27" hidden="1" customHeight="1" x14ac:dyDescent="0.25">
      <c r="A501" s="60" t="s">
        <v>810</v>
      </c>
      <c r="B501" s="60" t="s">
        <v>811</v>
      </c>
      <c r="C501" s="34">
        <v>4301031373</v>
      </c>
      <c r="D501" s="666">
        <v>4680115880771</v>
      </c>
      <c r="E501" s="666"/>
      <c r="F501" s="59">
        <v>0.28000000000000003</v>
      </c>
      <c r="G501" s="35">
        <v>6</v>
      </c>
      <c r="H501" s="59">
        <v>1.68</v>
      </c>
      <c r="I501" s="59">
        <v>1.81</v>
      </c>
      <c r="J501" s="35">
        <v>234</v>
      </c>
      <c r="K501" s="35" t="s">
        <v>82</v>
      </c>
      <c r="L501" s="35" t="s">
        <v>46</v>
      </c>
      <c r="M501" s="36" t="s">
        <v>81</v>
      </c>
      <c r="N501" s="36"/>
      <c r="O501" s="35">
        <v>50</v>
      </c>
      <c r="P501" s="69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68"/>
      <c r="R501" s="668"/>
      <c r="S501" s="668"/>
      <c r="T501" s="669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IFERROR(IF(Y501=0,"",ROUNDUP(Y501/H501,0)*0.00502),"")</f>
        <v/>
      </c>
      <c r="AA501" s="65" t="s">
        <v>46</v>
      </c>
      <c r="AB501" s="66" t="s">
        <v>46</v>
      </c>
      <c r="AC501" s="599" t="s">
        <v>812</v>
      </c>
      <c r="AG501" s="75"/>
      <c r="AJ501" s="79" t="s">
        <v>46</v>
      </c>
      <c r="AK501" s="79">
        <v>0</v>
      </c>
      <c r="BB501" s="600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27" hidden="1" customHeight="1" x14ac:dyDescent="0.25">
      <c r="A502" s="60" t="s">
        <v>813</v>
      </c>
      <c r="B502" s="60" t="s">
        <v>814</v>
      </c>
      <c r="C502" s="34">
        <v>4301031359</v>
      </c>
      <c r="D502" s="666">
        <v>4607091389500</v>
      </c>
      <c r="E502" s="666"/>
      <c r="F502" s="59">
        <v>0.35</v>
      </c>
      <c r="G502" s="35">
        <v>6</v>
      </c>
      <c r="H502" s="59">
        <v>2.1</v>
      </c>
      <c r="I502" s="59">
        <v>2.23</v>
      </c>
      <c r="J502" s="35">
        <v>234</v>
      </c>
      <c r="K502" s="35" t="s">
        <v>82</v>
      </c>
      <c r="L502" s="35" t="s">
        <v>46</v>
      </c>
      <c r="M502" s="36" t="s">
        <v>81</v>
      </c>
      <c r="N502" s="36"/>
      <c r="O502" s="35">
        <v>50</v>
      </c>
      <c r="P502" s="6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68"/>
      <c r="R502" s="668"/>
      <c r="S502" s="668"/>
      <c r="T502" s="669"/>
      <c r="U502" s="37" t="s">
        <v>46</v>
      </c>
      <c r="V502" s="37" t="s">
        <v>46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IFERROR(IF(Y502=0,"",ROUNDUP(Y502/H502,0)*0.00502),"")</f>
        <v/>
      </c>
      <c r="AA502" s="65" t="s">
        <v>46</v>
      </c>
      <c r="AB502" s="66" t="s">
        <v>46</v>
      </c>
      <c r="AC502" s="601" t="s">
        <v>812</v>
      </c>
      <c r="AG502" s="75"/>
      <c r="AJ502" s="79" t="s">
        <v>46</v>
      </c>
      <c r="AK502" s="79">
        <v>0</v>
      </c>
      <c r="BB502" s="602" t="s">
        <v>67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hidden="1" x14ac:dyDescent="0.2">
      <c r="A503" s="662"/>
      <c r="B503" s="662"/>
      <c r="C503" s="662"/>
      <c r="D503" s="662"/>
      <c r="E503" s="662"/>
      <c r="F503" s="662"/>
      <c r="G503" s="662"/>
      <c r="H503" s="662"/>
      <c r="I503" s="662"/>
      <c r="J503" s="662"/>
      <c r="K503" s="662"/>
      <c r="L503" s="662"/>
      <c r="M503" s="662"/>
      <c r="N503" s="662"/>
      <c r="O503" s="663"/>
      <c r="P503" s="659" t="s">
        <v>40</v>
      </c>
      <c r="Q503" s="660"/>
      <c r="R503" s="660"/>
      <c r="S503" s="660"/>
      <c r="T503" s="660"/>
      <c r="U503" s="660"/>
      <c r="V503" s="661"/>
      <c r="W503" s="40" t="s">
        <v>39</v>
      </c>
      <c r="X503" s="41">
        <f>IFERROR(X500/H500,"0")+IFERROR(X501/H501,"0")+IFERROR(X502/H502,"0")</f>
        <v>0</v>
      </c>
      <c r="Y503" s="41">
        <f>IFERROR(Y500/H500,"0")+IFERROR(Y501/H501,"0")+IFERROR(Y502/H502,"0")</f>
        <v>0</v>
      </c>
      <c r="Z503" s="41">
        <f>IFERROR(IF(Z500="",0,Z500),"0")+IFERROR(IF(Z501="",0,Z501),"0")+IFERROR(IF(Z502="",0,Z502),"0")</f>
        <v>0</v>
      </c>
      <c r="AA503" s="64"/>
      <c r="AB503" s="64"/>
      <c r="AC503" s="64"/>
    </row>
    <row r="504" spans="1:68" hidden="1" x14ac:dyDescent="0.2">
      <c r="A504" s="662"/>
      <c r="B504" s="662"/>
      <c r="C504" s="662"/>
      <c r="D504" s="662"/>
      <c r="E504" s="662"/>
      <c r="F504" s="662"/>
      <c r="G504" s="662"/>
      <c r="H504" s="662"/>
      <c r="I504" s="662"/>
      <c r="J504" s="662"/>
      <c r="K504" s="662"/>
      <c r="L504" s="662"/>
      <c r="M504" s="662"/>
      <c r="N504" s="662"/>
      <c r="O504" s="663"/>
      <c r="P504" s="659" t="s">
        <v>40</v>
      </c>
      <c r="Q504" s="660"/>
      <c r="R504" s="660"/>
      <c r="S504" s="660"/>
      <c r="T504" s="660"/>
      <c r="U504" s="660"/>
      <c r="V504" s="661"/>
      <c r="W504" s="40" t="s">
        <v>0</v>
      </c>
      <c r="X504" s="41">
        <f>IFERROR(SUM(X500:X502),"0")</f>
        <v>0</v>
      </c>
      <c r="Y504" s="41">
        <f>IFERROR(SUM(Y500:Y502),"0")</f>
        <v>0</v>
      </c>
      <c r="Z504" s="40"/>
      <c r="AA504" s="64"/>
      <c r="AB504" s="64"/>
      <c r="AC504" s="64"/>
    </row>
    <row r="505" spans="1:68" ht="27.75" hidden="1" customHeight="1" x14ac:dyDescent="0.2">
      <c r="A505" s="679" t="s">
        <v>815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52"/>
      <c r="AB505" s="52"/>
      <c r="AC505" s="52"/>
    </row>
    <row r="506" spans="1:68" ht="16.5" hidden="1" customHeight="1" x14ac:dyDescent="0.25">
      <c r="A506" s="664" t="s">
        <v>815</v>
      </c>
      <c r="B506" s="664"/>
      <c r="C506" s="664"/>
      <c r="D506" s="664"/>
      <c r="E506" s="664"/>
      <c r="F506" s="664"/>
      <c r="G506" s="664"/>
      <c r="H506" s="664"/>
      <c r="I506" s="664"/>
      <c r="J506" s="664"/>
      <c r="K506" s="664"/>
      <c r="L506" s="664"/>
      <c r="M506" s="664"/>
      <c r="N506" s="664"/>
      <c r="O506" s="664"/>
      <c r="P506" s="664"/>
      <c r="Q506" s="664"/>
      <c r="R506" s="664"/>
      <c r="S506" s="664"/>
      <c r="T506" s="664"/>
      <c r="U506" s="664"/>
      <c r="V506" s="664"/>
      <c r="W506" s="664"/>
      <c r="X506" s="664"/>
      <c r="Y506" s="664"/>
      <c r="Z506" s="664"/>
      <c r="AA506" s="62"/>
      <c r="AB506" s="62"/>
      <c r="AC506" s="62"/>
    </row>
    <row r="507" spans="1:68" ht="14.25" hidden="1" customHeight="1" x14ac:dyDescent="0.25">
      <c r="A507" s="665" t="s">
        <v>122</v>
      </c>
      <c r="B507" s="665"/>
      <c r="C507" s="665"/>
      <c r="D507" s="665"/>
      <c r="E507" s="665"/>
      <c r="F507" s="665"/>
      <c r="G507" s="665"/>
      <c r="H507" s="665"/>
      <c r="I507" s="665"/>
      <c r="J507" s="665"/>
      <c r="K507" s="665"/>
      <c r="L507" s="665"/>
      <c r="M507" s="665"/>
      <c r="N507" s="665"/>
      <c r="O507" s="665"/>
      <c r="P507" s="665"/>
      <c r="Q507" s="665"/>
      <c r="R507" s="665"/>
      <c r="S507" s="665"/>
      <c r="T507" s="665"/>
      <c r="U507" s="665"/>
      <c r="V507" s="665"/>
      <c r="W507" s="665"/>
      <c r="X507" s="665"/>
      <c r="Y507" s="665"/>
      <c r="Z507" s="665"/>
      <c r="AA507" s="63"/>
      <c r="AB507" s="63"/>
      <c r="AC507" s="63"/>
    </row>
    <row r="508" spans="1:68" ht="27" hidden="1" customHeight="1" x14ac:dyDescent="0.25">
      <c r="A508" s="60" t="s">
        <v>816</v>
      </c>
      <c r="B508" s="60" t="s">
        <v>817</v>
      </c>
      <c r="C508" s="34">
        <v>4301011769</v>
      </c>
      <c r="D508" s="666">
        <v>4607091389067</v>
      </c>
      <c r="E508" s="666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90</v>
      </c>
      <c r="N508" s="36"/>
      <c r="O508" s="35">
        <v>60</v>
      </c>
      <c r="P508" s="6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68"/>
      <c r="R508" s="668"/>
      <c r="S508" s="668"/>
      <c r="T508" s="669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ref="Y508:Y516" si="75">IFERROR(IF(X508="",0,CEILING((X508/$H508),1)*$H508),"")</f>
        <v>0</v>
      </c>
      <c r="Z508" s="39" t="str">
        <f t="shared" ref="Z508:Z513" si="76">IFERROR(IF(Y508=0,"",ROUNDUP(Y508/H508,0)*0.01196),"")</f>
        <v/>
      </c>
      <c r="AA508" s="65" t="s">
        <v>46</v>
      </c>
      <c r="AB508" s="66" t="s">
        <v>46</v>
      </c>
      <c r="AC508" s="603" t="s">
        <v>125</v>
      </c>
      <c r="AG508" s="75"/>
      <c r="AJ508" s="79" t="s">
        <v>46</v>
      </c>
      <c r="AK508" s="79">
        <v>0</v>
      </c>
      <c r="BB508" s="604" t="s">
        <v>67</v>
      </c>
      <c r="BM508" s="75">
        <f t="shared" ref="BM508:BM516" si="77">IFERROR(X508*I508/H508,"0")</f>
        <v>0</v>
      </c>
      <c r="BN508" s="75">
        <f t="shared" ref="BN508:BN516" si="78">IFERROR(Y508*I508/H508,"0")</f>
        <v>0</v>
      </c>
      <c r="BO508" s="75">
        <f t="shared" ref="BO508:BO516" si="79">IFERROR(1/J508*(X508/H508),"0")</f>
        <v>0</v>
      </c>
      <c r="BP508" s="75">
        <f t="shared" ref="BP508:BP516" si="80">IFERROR(1/J508*(Y508/H508),"0")</f>
        <v>0</v>
      </c>
    </row>
    <row r="509" spans="1:68" ht="16.5" hidden="1" customHeight="1" x14ac:dyDescent="0.25">
      <c r="A509" s="60" t="s">
        <v>818</v>
      </c>
      <c r="B509" s="60" t="s">
        <v>819</v>
      </c>
      <c r="C509" s="34">
        <v>4301012380</v>
      </c>
      <c r="D509" s="666">
        <v>4680115889576</v>
      </c>
      <c r="E509" s="666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126</v>
      </c>
      <c r="N509" s="36"/>
      <c r="O509" s="35">
        <v>60</v>
      </c>
      <c r="P509" s="69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68"/>
      <c r="R509" s="668"/>
      <c r="S509" s="668"/>
      <c r="T509" s="669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5"/>
        <v>0</v>
      </c>
      <c r="Z509" s="39" t="str">
        <f t="shared" si="76"/>
        <v/>
      </c>
      <c r="AA509" s="65" t="s">
        <v>46</v>
      </c>
      <c r="AB509" s="66" t="s">
        <v>46</v>
      </c>
      <c r="AC509" s="605" t="s">
        <v>820</v>
      </c>
      <c r="AG509" s="75"/>
      <c r="AJ509" s="79" t="s">
        <v>46</v>
      </c>
      <c r="AK509" s="79">
        <v>0</v>
      </c>
      <c r="BB509" s="606" t="s">
        <v>67</v>
      </c>
      <c r="BM509" s="75">
        <f t="shared" si="77"/>
        <v>0</v>
      </c>
      <c r="BN509" s="75">
        <f t="shared" si="78"/>
        <v>0</v>
      </c>
      <c r="BO509" s="75">
        <f t="shared" si="79"/>
        <v>0</v>
      </c>
      <c r="BP509" s="75">
        <f t="shared" si="80"/>
        <v>0</v>
      </c>
    </row>
    <row r="510" spans="1:68" ht="27" hidden="1" customHeight="1" x14ac:dyDescent="0.25">
      <c r="A510" s="60" t="s">
        <v>821</v>
      </c>
      <c r="B510" s="60" t="s">
        <v>822</v>
      </c>
      <c r="C510" s="34">
        <v>4301011961</v>
      </c>
      <c r="D510" s="666">
        <v>4680115885271</v>
      </c>
      <c r="E510" s="666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127</v>
      </c>
      <c r="L510" s="35" t="s">
        <v>46</v>
      </c>
      <c r="M510" s="36" t="s">
        <v>126</v>
      </c>
      <c r="N510" s="36"/>
      <c r="O510" s="35">
        <v>60</v>
      </c>
      <c r="P510" s="70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68"/>
      <c r="R510" s="668"/>
      <c r="S510" s="668"/>
      <c r="T510" s="669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5"/>
        <v>0</v>
      </c>
      <c r="Z510" s="39" t="str">
        <f t="shared" si="76"/>
        <v/>
      </c>
      <c r="AA510" s="65" t="s">
        <v>46</v>
      </c>
      <c r="AB510" s="66" t="s">
        <v>46</v>
      </c>
      <c r="AC510" s="607" t="s">
        <v>823</v>
      </c>
      <c r="AG510" s="75"/>
      <c r="AJ510" s="79" t="s">
        <v>46</v>
      </c>
      <c r="AK510" s="79">
        <v>0</v>
      </c>
      <c r="BB510" s="608" t="s">
        <v>67</v>
      </c>
      <c r="BM510" s="75">
        <f t="shared" si="77"/>
        <v>0</v>
      </c>
      <c r="BN510" s="75">
        <f t="shared" si="78"/>
        <v>0</v>
      </c>
      <c r="BO510" s="75">
        <f t="shared" si="79"/>
        <v>0</v>
      </c>
      <c r="BP510" s="75">
        <f t="shared" si="80"/>
        <v>0</v>
      </c>
    </row>
    <row r="511" spans="1:68" ht="27" hidden="1" customHeight="1" x14ac:dyDescent="0.25">
      <c r="A511" s="60" t="s">
        <v>824</v>
      </c>
      <c r="B511" s="60" t="s">
        <v>825</v>
      </c>
      <c r="C511" s="34">
        <v>4301011369</v>
      </c>
      <c r="D511" s="666">
        <v>4680115885226</v>
      </c>
      <c r="E511" s="666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126</v>
      </c>
      <c r="N511" s="36"/>
      <c r="O511" s="35">
        <v>60</v>
      </c>
      <c r="P511" s="70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68"/>
      <c r="R511" s="668"/>
      <c r="S511" s="668"/>
      <c r="T511" s="669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5"/>
        <v>0</v>
      </c>
      <c r="Z511" s="39" t="str">
        <f t="shared" si="76"/>
        <v/>
      </c>
      <c r="AA511" s="65" t="s">
        <v>46</v>
      </c>
      <c r="AB511" s="66" t="s">
        <v>46</v>
      </c>
      <c r="AC511" s="609" t="s">
        <v>826</v>
      </c>
      <c r="AG511" s="75"/>
      <c r="AJ511" s="79" t="s">
        <v>46</v>
      </c>
      <c r="AK511" s="79">
        <v>0</v>
      </c>
      <c r="BB511" s="610" t="s">
        <v>67</v>
      </c>
      <c r="BM511" s="75">
        <f t="shared" si="77"/>
        <v>0</v>
      </c>
      <c r="BN511" s="75">
        <f t="shared" si="78"/>
        <v>0</v>
      </c>
      <c r="BO511" s="75">
        <f t="shared" si="79"/>
        <v>0</v>
      </c>
      <c r="BP511" s="75">
        <f t="shared" si="80"/>
        <v>0</v>
      </c>
    </row>
    <row r="512" spans="1:68" ht="16.5" hidden="1" customHeight="1" x14ac:dyDescent="0.25">
      <c r="A512" s="60" t="s">
        <v>827</v>
      </c>
      <c r="B512" s="60" t="s">
        <v>828</v>
      </c>
      <c r="C512" s="34">
        <v>4301011797</v>
      </c>
      <c r="D512" s="666">
        <v>4680115884502</v>
      </c>
      <c r="E512" s="666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127</v>
      </c>
      <c r="L512" s="35" t="s">
        <v>46</v>
      </c>
      <c r="M512" s="36" t="s">
        <v>90</v>
      </c>
      <c r="N512" s="36"/>
      <c r="O512" s="35">
        <v>60</v>
      </c>
      <c r="P512" s="68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668"/>
      <c r="R512" s="668"/>
      <c r="S512" s="668"/>
      <c r="T512" s="669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5"/>
        <v>0</v>
      </c>
      <c r="Z512" s="39" t="str">
        <f t="shared" si="76"/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 t="shared" si="77"/>
        <v>0</v>
      </c>
      <c r="BN512" s="75">
        <f t="shared" si="78"/>
        <v>0</v>
      </c>
      <c r="BO512" s="75">
        <f t="shared" si="79"/>
        <v>0</v>
      </c>
      <c r="BP512" s="75">
        <f t="shared" si="80"/>
        <v>0</v>
      </c>
    </row>
    <row r="513" spans="1:68" ht="27" hidden="1" customHeight="1" x14ac:dyDescent="0.25">
      <c r="A513" s="60" t="s">
        <v>830</v>
      </c>
      <c r="B513" s="60" t="s">
        <v>831</v>
      </c>
      <c r="C513" s="34">
        <v>4301011771</v>
      </c>
      <c r="D513" s="666">
        <v>4607091389104</v>
      </c>
      <c r="E513" s="666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127</v>
      </c>
      <c r="L513" s="35" t="s">
        <v>46</v>
      </c>
      <c r="M513" s="36" t="s">
        <v>126</v>
      </c>
      <c r="N513" s="36"/>
      <c r="O513" s="35">
        <v>60</v>
      </c>
      <c r="P513" s="69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668"/>
      <c r="R513" s="668"/>
      <c r="S513" s="668"/>
      <c r="T513" s="669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5"/>
        <v>0</v>
      </c>
      <c r="Z513" s="39" t="str">
        <f t="shared" si="76"/>
        <v/>
      </c>
      <c r="AA513" s="65" t="s">
        <v>46</v>
      </c>
      <c r="AB513" s="66" t="s">
        <v>46</v>
      </c>
      <c r="AC513" s="613" t="s">
        <v>832</v>
      </c>
      <c r="AG513" s="75"/>
      <c r="AJ513" s="79" t="s">
        <v>46</v>
      </c>
      <c r="AK513" s="79">
        <v>0</v>
      </c>
      <c r="BB513" s="614" t="s">
        <v>67</v>
      </c>
      <c r="BM513" s="75">
        <f t="shared" si="77"/>
        <v>0</v>
      </c>
      <c r="BN513" s="75">
        <f t="shared" si="78"/>
        <v>0</v>
      </c>
      <c r="BO513" s="75">
        <f t="shared" si="79"/>
        <v>0</v>
      </c>
      <c r="BP513" s="75">
        <f t="shared" si="80"/>
        <v>0</v>
      </c>
    </row>
    <row r="514" spans="1:68" ht="27" hidden="1" customHeight="1" x14ac:dyDescent="0.25">
      <c r="A514" s="60" t="s">
        <v>833</v>
      </c>
      <c r="B514" s="60" t="s">
        <v>834</v>
      </c>
      <c r="C514" s="34">
        <v>4301012125</v>
      </c>
      <c r="D514" s="666">
        <v>4680115886391</v>
      </c>
      <c r="E514" s="666"/>
      <c r="F514" s="59">
        <v>0.4</v>
      </c>
      <c r="G514" s="35">
        <v>6</v>
      </c>
      <c r="H514" s="59">
        <v>2.4</v>
      </c>
      <c r="I514" s="59">
        <v>2.58</v>
      </c>
      <c r="J514" s="35">
        <v>182</v>
      </c>
      <c r="K514" s="35" t="s">
        <v>91</v>
      </c>
      <c r="L514" s="35" t="s">
        <v>46</v>
      </c>
      <c r="M514" s="36" t="s">
        <v>90</v>
      </c>
      <c r="N514" s="36"/>
      <c r="O514" s="35">
        <v>60</v>
      </c>
      <c r="P514" s="6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668"/>
      <c r="R514" s="668"/>
      <c r="S514" s="668"/>
      <c r="T514" s="669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75"/>
        <v>0</v>
      </c>
      <c r="Z514" s="39" t="str">
        <f>IFERROR(IF(Y514=0,"",ROUNDUP(Y514/H514,0)*0.00651),"")</f>
        <v/>
      </c>
      <c r="AA514" s="65" t="s">
        <v>46</v>
      </c>
      <c r="AB514" s="66" t="s">
        <v>46</v>
      </c>
      <c r="AC514" s="615" t="s">
        <v>125</v>
      </c>
      <c r="AG514" s="75"/>
      <c r="AJ514" s="79" t="s">
        <v>46</v>
      </c>
      <c r="AK514" s="79">
        <v>0</v>
      </c>
      <c r="BB514" s="616" t="s">
        <v>67</v>
      </c>
      <c r="BM514" s="75">
        <f t="shared" si="77"/>
        <v>0</v>
      </c>
      <c r="BN514" s="75">
        <f t="shared" si="78"/>
        <v>0</v>
      </c>
      <c r="BO514" s="75">
        <f t="shared" si="79"/>
        <v>0</v>
      </c>
      <c r="BP514" s="75">
        <f t="shared" si="80"/>
        <v>0</v>
      </c>
    </row>
    <row r="515" spans="1:68" ht="27" hidden="1" customHeight="1" x14ac:dyDescent="0.25">
      <c r="A515" s="60" t="s">
        <v>835</v>
      </c>
      <c r="B515" s="60" t="s">
        <v>836</v>
      </c>
      <c r="C515" s="34">
        <v>4301012048</v>
      </c>
      <c r="D515" s="666">
        <v>4680115880603</v>
      </c>
      <c r="E515" s="666"/>
      <c r="F515" s="59">
        <v>0.6</v>
      </c>
      <c r="G515" s="35">
        <v>8</v>
      </c>
      <c r="H515" s="59">
        <v>4.8</v>
      </c>
      <c r="I515" s="59">
        <v>6.91</v>
      </c>
      <c r="J515" s="35">
        <v>132</v>
      </c>
      <c r="K515" s="35" t="s">
        <v>134</v>
      </c>
      <c r="L515" s="35" t="s">
        <v>46</v>
      </c>
      <c r="M515" s="36" t="s">
        <v>90</v>
      </c>
      <c r="N515" s="36"/>
      <c r="O515" s="35">
        <v>60</v>
      </c>
      <c r="P515" s="69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668"/>
      <c r="R515" s="668"/>
      <c r="S515" s="668"/>
      <c r="T515" s="669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5"/>
        <v>0</v>
      </c>
      <c r="Z515" s="39" t="str">
        <f>IFERROR(IF(Y515=0,"",ROUNDUP(Y515/H515,0)*0.00902),"")</f>
        <v/>
      </c>
      <c r="AA515" s="65" t="s">
        <v>46</v>
      </c>
      <c r="AB515" s="66" t="s">
        <v>46</v>
      </c>
      <c r="AC515" s="617" t="s">
        <v>125</v>
      </c>
      <c r="AG515" s="75"/>
      <c r="AJ515" s="79" t="s">
        <v>46</v>
      </c>
      <c r="AK515" s="79">
        <v>0</v>
      </c>
      <c r="BB515" s="618" t="s">
        <v>67</v>
      </c>
      <c r="BM515" s="75">
        <f t="shared" si="77"/>
        <v>0</v>
      </c>
      <c r="BN515" s="75">
        <f t="shared" si="78"/>
        <v>0</v>
      </c>
      <c r="BO515" s="75">
        <f t="shared" si="79"/>
        <v>0</v>
      </c>
      <c r="BP515" s="75">
        <f t="shared" si="80"/>
        <v>0</v>
      </c>
    </row>
    <row r="516" spans="1:68" ht="27" hidden="1" customHeight="1" x14ac:dyDescent="0.25">
      <c r="A516" s="60" t="s">
        <v>837</v>
      </c>
      <c r="B516" s="60" t="s">
        <v>838</v>
      </c>
      <c r="C516" s="34">
        <v>4301012034</v>
      </c>
      <c r="D516" s="666">
        <v>4607091389982</v>
      </c>
      <c r="E516" s="666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134</v>
      </c>
      <c r="L516" s="35" t="s">
        <v>46</v>
      </c>
      <c r="M516" s="36" t="s">
        <v>126</v>
      </c>
      <c r="N516" s="36"/>
      <c r="O516" s="35">
        <v>60</v>
      </c>
      <c r="P516" s="69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668"/>
      <c r="R516" s="668"/>
      <c r="S516" s="668"/>
      <c r="T516" s="669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9" t="s">
        <v>832</v>
      </c>
      <c r="AG516" s="75"/>
      <c r="AJ516" s="79" t="s">
        <v>46</v>
      </c>
      <c r="AK516" s="79">
        <v>0</v>
      </c>
      <c r="BB516" s="620" t="s">
        <v>67</v>
      </c>
      <c r="BM516" s="75">
        <f t="shared" si="77"/>
        <v>0</v>
      </c>
      <c r="BN516" s="75">
        <f t="shared" si="78"/>
        <v>0</v>
      </c>
      <c r="BO516" s="75">
        <f t="shared" si="79"/>
        <v>0</v>
      </c>
      <c r="BP516" s="75">
        <f t="shared" si="80"/>
        <v>0</v>
      </c>
    </row>
    <row r="517" spans="1:68" hidden="1" x14ac:dyDescent="0.2">
      <c r="A517" s="662"/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3"/>
      <c r="P517" s="659" t="s">
        <v>40</v>
      </c>
      <c r="Q517" s="660"/>
      <c r="R517" s="660"/>
      <c r="S517" s="660"/>
      <c r="T517" s="660"/>
      <c r="U517" s="660"/>
      <c r="V517" s="661"/>
      <c r="W517" s="40" t="s">
        <v>39</v>
      </c>
      <c r="X517" s="41">
        <f>IFERROR(X508/H508,"0")+IFERROR(X509/H509,"0")+IFERROR(X510/H510,"0")+IFERROR(X511/H511,"0")+IFERROR(X512/H512,"0")+IFERROR(X513/H513,"0")+IFERROR(X514/H514,"0")+IFERROR(X515/H515,"0")+IFERROR(X516/H516,"0")</f>
        <v>0</v>
      </c>
      <c r="Y517" s="41">
        <f>IFERROR(Y508/H508,"0")+IFERROR(Y509/H509,"0")+IFERROR(Y510/H510,"0")+IFERROR(Y511/H511,"0")+IFERROR(Y512/H512,"0")+IFERROR(Y513/H513,"0")+IFERROR(Y514/H514,"0")+IFERROR(Y515/H515,"0")+IFERROR(Y516/H516,"0")</f>
        <v>0</v>
      </c>
      <c r="Z517" s="41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4"/>
      <c r="AB517" s="64"/>
      <c r="AC517" s="64"/>
    </row>
    <row r="518" spans="1:68" hidden="1" x14ac:dyDescent="0.2">
      <c r="A518" s="662"/>
      <c r="B518" s="662"/>
      <c r="C518" s="662"/>
      <c r="D518" s="662"/>
      <c r="E518" s="662"/>
      <c r="F518" s="662"/>
      <c r="G518" s="662"/>
      <c r="H518" s="662"/>
      <c r="I518" s="662"/>
      <c r="J518" s="662"/>
      <c r="K518" s="662"/>
      <c r="L518" s="662"/>
      <c r="M518" s="662"/>
      <c r="N518" s="662"/>
      <c r="O518" s="663"/>
      <c r="P518" s="659" t="s">
        <v>40</v>
      </c>
      <c r="Q518" s="660"/>
      <c r="R518" s="660"/>
      <c r="S518" s="660"/>
      <c r="T518" s="660"/>
      <c r="U518" s="660"/>
      <c r="V518" s="661"/>
      <c r="W518" s="40" t="s">
        <v>0</v>
      </c>
      <c r="X518" s="41">
        <f>IFERROR(SUM(X508:X516),"0")</f>
        <v>0</v>
      </c>
      <c r="Y518" s="41">
        <f>IFERROR(SUM(Y508:Y516),"0")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665" t="s">
        <v>155</v>
      </c>
      <c r="B519" s="665"/>
      <c r="C519" s="665"/>
      <c r="D519" s="665"/>
      <c r="E519" s="665"/>
      <c r="F519" s="665"/>
      <c r="G519" s="665"/>
      <c r="H519" s="665"/>
      <c r="I519" s="665"/>
      <c r="J519" s="665"/>
      <c r="K519" s="665"/>
      <c r="L519" s="665"/>
      <c r="M519" s="665"/>
      <c r="N519" s="665"/>
      <c r="O519" s="665"/>
      <c r="P519" s="665"/>
      <c r="Q519" s="665"/>
      <c r="R519" s="665"/>
      <c r="S519" s="665"/>
      <c r="T519" s="665"/>
      <c r="U519" s="665"/>
      <c r="V519" s="665"/>
      <c r="W519" s="665"/>
      <c r="X519" s="665"/>
      <c r="Y519" s="665"/>
      <c r="Z519" s="665"/>
      <c r="AA519" s="63"/>
      <c r="AB519" s="63"/>
      <c r="AC519" s="63"/>
    </row>
    <row r="520" spans="1:68" ht="16.5" hidden="1" customHeight="1" x14ac:dyDescent="0.25">
      <c r="A520" s="60" t="s">
        <v>839</v>
      </c>
      <c r="B520" s="60" t="s">
        <v>840</v>
      </c>
      <c r="C520" s="34">
        <v>4301020334</v>
      </c>
      <c r="D520" s="666">
        <v>4607091388930</v>
      </c>
      <c r="E520" s="666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127</v>
      </c>
      <c r="L520" s="35" t="s">
        <v>46</v>
      </c>
      <c r="M520" s="36" t="s">
        <v>90</v>
      </c>
      <c r="N520" s="36"/>
      <c r="O520" s="35">
        <v>70</v>
      </c>
      <c r="P520" s="69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668"/>
      <c r="R520" s="668"/>
      <c r="S520" s="668"/>
      <c r="T520" s="669"/>
      <c r="U520" s="37" t="s">
        <v>46</v>
      </c>
      <c r="V520" s="37" t="s">
        <v>46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21" t="s">
        <v>841</v>
      </c>
      <c r="AG520" s="75"/>
      <c r="AJ520" s="79" t="s">
        <v>46</v>
      </c>
      <c r="AK520" s="79">
        <v>0</v>
      </c>
      <c r="BB520" s="622" t="s">
        <v>67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t="16.5" hidden="1" customHeight="1" x14ac:dyDescent="0.25">
      <c r="A521" s="60" t="s">
        <v>842</v>
      </c>
      <c r="B521" s="60" t="s">
        <v>843</v>
      </c>
      <c r="C521" s="34">
        <v>4301020374</v>
      </c>
      <c r="D521" s="666">
        <v>4680115886407</v>
      </c>
      <c r="E521" s="666"/>
      <c r="F521" s="59">
        <v>0.4</v>
      </c>
      <c r="G521" s="35">
        <v>6</v>
      </c>
      <c r="H521" s="59">
        <v>2.4</v>
      </c>
      <c r="I521" s="59">
        <v>2.58</v>
      </c>
      <c r="J521" s="35">
        <v>182</v>
      </c>
      <c r="K521" s="35" t="s">
        <v>91</v>
      </c>
      <c r="L521" s="35" t="s">
        <v>46</v>
      </c>
      <c r="M521" s="36" t="s">
        <v>126</v>
      </c>
      <c r="N521" s="36"/>
      <c r="O521" s="35">
        <v>70</v>
      </c>
      <c r="P521" s="69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668"/>
      <c r="R521" s="668"/>
      <c r="S521" s="668"/>
      <c r="T521" s="669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IFERROR(IF(Y521=0,"",ROUNDUP(Y521/H521,0)*0.00651),"")</f>
        <v/>
      </c>
      <c r="AA521" s="65" t="s">
        <v>46</v>
      </c>
      <c r="AB521" s="66" t="s">
        <v>46</v>
      </c>
      <c r="AC521" s="623" t="s">
        <v>841</v>
      </c>
      <c r="AG521" s="75"/>
      <c r="AJ521" s="79" t="s">
        <v>46</v>
      </c>
      <c r="AK521" s="79">
        <v>0</v>
      </c>
      <c r="BB521" s="624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16.5" hidden="1" customHeight="1" x14ac:dyDescent="0.25">
      <c r="A522" s="60" t="s">
        <v>844</v>
      </c>
      <c r="B522" s="60" t="s">
        <v>845</v>
      </c>
      <c r="C522" s="34">
        <v>4301020385</v>
      </c>
      <c r="D522" s="666">
        <v>4680115880054</v>
      </c>
      <c r="E522" s="666"/>
      <c r="F522" s="59">
        <v>0.6</v>
      </c>
      <c r="G522" s="35">
        <v>8</v>
      </c>
      <c r="H522" s="59">
        <v>4.8</v>
      </c>
      <c r="I522" s="59">
        <v>6.91</v>
      </c>
      <c r="J522" s="35">
        <v>132</v>
      </c>
      <c r="K522" s="35" t="s">
        <v>134</v>
      </c>
      <c r="L522" s="35" t="s">
        <v>46</v>
      </c>
      <c r="M522" s="36" t="s">
        <v>126</v>
      </c>
      <c r="N522" s="36"/>
      <c r="O522" s="35">
        <v>70</v>
      </c>
      <c r="P522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668"/>
      <c r="R522" s="668"/>
      <c r="S522" s="668"/>
      <c r="T522" s="669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841</v>
      </c>
      <c r="AG522" s="75"/>
      <c r="AJ522" s="79" t="s">
        <v>46</v>
      </c>
      <c r="AK522" s="79">
        <v>0</v>
      </c>
      <c r="BB522" s="626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62"/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3"/>
      <c r="P523" s="659" t="s">
        <v>40</v>
      </c>
      <c r="Q523" s="660"/>
      <c r="R523" s="660"/>
      <c r="S523" s="660"/>
      <c r="T523" s="660"/>
      <c r="U523" s="660"/>
      <c r="V523" s="661"/>
      <c r="W523" s="40" t="s">
        <v>39</v>
      </c>
      <c r="X523" s="41">
        <f>IFERROR(X520/H520,"0")+IFERROR(X521/H521,"0")+IFERROR(X522/H522,"0")</f>
        <v>0</v>
      </c>
      <c r="Y523" s="41">
        <f>IFERROR(Y520/H520,"0")+IFERROR(Y521/H521,"0")+IFERROR(Y522/H522,"0")</f>
        <v>0</v>
      </c>
      <c r="Z523" s="41">
        <f>IFERROR(IF(Z520="",0,Z520),"0")+IFERROR(IF(Z521="",0,Z521),"0")+IFERROR(IF(Z522="",0,Z522),"0")</f>
        <v>0</v>
      </c>
      <c r="AA523" s="64"/>
      <c r="AB523" s="64"/>
      <c r="AC523" s="64"/>
    </row>
    <row r="524" spans="1:68" hidden="1" x14ac:dyDescent="0.2">
      <c r="A524" s="662"/>
      <c r="B524" s="662"/>
      <c r="C524" s="662"/>
      <c r="D524" s="662"/>
      <c r="E524" s="662"/>
      <c r="F524" s="662"/>
      <c r="G524" s="662"/>
      <c r="H524" s="662"/>
      <c r="I524" s="662"/>
      <c r="J524" s="662"/>
      <c r="K524" s="662"/>
      <c r="L524" s="662"/>
      <c r="M524" s="662"/>
      <c r="N524" s="662"/>
      <c r="O524" s="663"/>
      <c r="P524" s="659" t="s">
        <v>40</v>
      </c>
      <c r="Q524" s="660"/>
      <c r="R524" s="660"/>
      <c r="S524" s="660"/>
      <c r="T524" s="660"/>
      <c r="U524" s="660"/>
      <c r="V524" s="661"/>
      <c r="W524" s="40" t="s">
        <v>0</v>
      </c>
      <c r="X524" s="41">
        <f>IFERROR(SUM(X520:X522),"0")</f>
        <v>0</v>
      </c>
      <c r="Y524" s="41">
        <f>IFERROR(SUM(Y520:Y522),"0")</f>
        <v>0</v>
      </c>
      <c r="Z524" s="40"/>
      <c r="AA524" s="64"/>
      <c r="AB524" s="64"/>
      <c r="AC524" s="64"/>
    </row>
    <row r="525" spans="1:68" ht="14.25" hidden="1" customHeight="1" x14ac:dyDescent="0.25">
      <c r="A525" s="665" t="s">
        <v>77</v>
      </c>
      <c r="B525" s="665"/>
      <c r="C525" s="665"/>
      <c r="D525" s="665"/>
      <c r="E525" s="665"/>
      <c r="F525" s="665"/>
      <c r="G525" s="665"/>
      <c r="H525" s="665"/>
      <c r="I525" s="665"/>
      <c r="J525" s="665"/>
      <c r="K525" s="665"/>
      <c r="L525" s="665"/>
      <c r="M525" s="665"/>
      <c r="N525" s="665"/>
      <c r="O525" s="665"/>
      <c r="P525" s="665"/>
      <c r="Q525" s="665"/>
      <c r="R525" s="665"/>
      <c r="S525" s="665"/>
      <c r="T525" s="665"/>
      <c r="U525" s="665"/>
      <c r="V525" s="665"/>
      <c r="W525" s="665"/>
      <c r="X525" s="665"/>
      <c r="Y525" s="665"/>
      <c r="Z525" s="665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4301031349</v>
      </c>
      <c r="D526" s="666">
        <v>4680115883116</v>
      </c>
      <c r="E526" s="666"/>
      <c r="F526" s="59">
        <v>0.88</v>
      </c>
      <c r="G526" s="35">
        <v>6</v>
      </c>
      <c r="H526" s="59">
        <v>5.28</v>
      </c>
      <c r="I526" s="59">
        <v>5.63</v>
      </c>
      <c r="J526" s="35">
        <v>104</v>
      </c>
      <c r="K526" s="35" t="s">
        <v>127</v>
      </c>
      <c r="L526" s="35" t="s">
        <v>46</v>
      </c>
      <c r="M526" s="36" t="s">
        <v>126</v>
      </c>
      <c r="N526" s="36"/>
      <c r="O526" s="35">
        <v>70</v>
      </c>
      <c r="P526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668"/>
      <c r="R526" s="668"/>
      <c r="S526" s="668"/>
      <c r="T526" s="669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ref="Y526:Y532" si="81">IFERROR(IF(X526="",0,CEILING((X526/$H526),1)*$H526),"")</f>
        <v>0</v>
      </c>
      <c r="Z526" s="39" t="str">
        <f>IFERROR(IF(Y526=0,"",ROUNDUP(Y526/H526,0)*0.01196),"")</f>
        <v/>
      </c>
      <c r="AA526" s="65" t="s">
        <v>46</v>
      </c>
      <c r="AB526" s="66" t="s">
        <v>46</v>
      </c>
      <c r="AC526" s="627" t="s">
        <v>848</v>
      </c>
      <c r="AG526" s="75"/>
      <c r="AJ526" s="79" t="s">
        <v>46</v>
      </c>
      <c r="AK526" s="79">
        <v>0</v>
      </c>
      <c r="BB526" s="628" t="s">
        <v>67</v>
      </c>
      <c r="BM526" s="75">
        <f t="shared" ref="BM526:BM532" si="82">IFERROR(X526*I526/H526,"0")</f>
        <v>0</v>
      </c>
      <c r="BN526" s="75">
        <f t="shared" ref="BN526:BN532" si="83">IFERROR(Y526*I526/H526,"0")</f>
        <v>0</v>
      </c>
      <c r="BO526" s="75">
        <f t="shared" ref="BO526:BO532" si="84">IFERROR(1/J526*(X526/H526),"0")</f>
        <v>0</v>
      </c>
      <c r="BP526" s="75">
        <f t="shared" ref="BP526:BP532" si="85">IFERROR(1/J526*(Y526/H526),"0")</f>
        <v>0</v>
      </c>
    </row>
    <row r="527" spans="1:68" ht="27" hidden="1" customHeight="1" x14ac:dyDescent="0.25">
      <c r="A527" s="60" t="s">
        <v>849</v>
      </c>
      <c r="B527" s="60" t="s">
        <v>850</v>
      </c>
      <c r="C527" s="34">
        <v>4301031350</v>
      </c>
      <c r="D527" s="666">
        <v>4680115883093</v>
      </c>
      <c r="E527" s="666"/>
      <c r="F527" s="59">
        <v>0.88</v>
      </c>
      <c r="G527" s="35">
        <v>6</v>
      </c>
      <c r="H527" s="59">
        <v>5.28</v>
      </c>
      <c r="I527" s="59">
        <v>5.63</v>
      </c>
      <c r="J527" s="35">
        <v>104</v>
      </c>
      <c r="K527" s="35" t="s">
        <v>127</v>
      </c>
      <c r="L527" s="35" t="s">
        <v>46</v>
      </c>
      <c r="M527" s="36" t="s">
        <v>81</v>
      </c>
      <c r="N527" s="36"/>
      <c r="O527" s="35">
        <v>70</v>
      </c>
      <c r="P527" s="68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668"/>
      <c r="R527" s="668"/>
      <c r="S527" s="668"/>
      <c r="T527" s="669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1"/>
        <v>0</v>
      </c>
      <c r="Z527" s="39" t="str">
        <f>IFERROR(IF(Y527=0,"",ROUNDUP(Y527/H527,0)*0.01196),"")</f>
        <v/>
      </c>
      <c r="AA527" s="65" t="s">
        <v>46</v>
      </c>
      <c r="AB527" s="66" t="s">
        <v>46</v>
      </c>
      <c r="AC527" s="629" t="s">
        <v>851</v>
      </c>
      <c r="AG527" s="75"/>
      <c r="AJ527" s="79" t="s">
        <v>46</v>
      </c>
      <c r="AK527" s="79">
        <v>0</v>
      </c>
      <c r="BB527" s="630" t="s">
        <v>67</v>
      </c>
      <c r="BM527" s="75">
        <f t="shared" si="82"/>
        <v>0</v>
      </c>
      <c r="BN527" s="75">
        <f t="shared" si="83"/>
        <v>0</v>
      </c>
      <c r="BO527" s="75">
        <f t="shared" si="84"/>
        <v>0</v>
      </c>
      <c r="BP527" s="75">
        <f t="shared" si="85"/>
        <v>0</v>
      </c>
    </row>
    <row r="528" spans="1:68" ht="27" hidden="1" customHeight="1" x14ac:dyDescent="0.25">
      <c r="A528" s="60" t="s">
        <v>852</v>
      </c>
      <c r="B528" s="60" t="s">
        <v>853</v>
      </c>
      <c r="C528" s="34">
        <v>4301031353</v>
      </c>
      <c r="D528" s="666">
        <v>4680115883109</v>
      </c>
      <c r="E528" s="666"/>
      <c r="F528" s="59">
        <v>0.88</v>
      </c>
      <c r="G528" s="35">
        <v>6</v>
      </c>
      <c r="H528" s="59">
        <v>5.28</v>
      </c>
      <c r="I528" s="59">
        <v>5.63</v>
      </c>
      <c r="J528" s="35">
        <v>104</v>
      </c>
      <c r="K528" s="35" t="s">
        <v>127</v>
      </c>
      <c r="L528" s="35" t="s">
        <v>46</v>
      </c>
      <c r="M528" s="36" t="s">
        <v>81</v>
      </c>
      <c r="N528" s="36"/>
      <c r="O528" s="35">
        <v>70</v>
      </c>
      <c r="P528" s="6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668"/>
      <c r="R528" s="668"/>
      <c r="S528" s="668"/>
      <c r="T528" s="669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1"/>
        <v>0</v>
      </c>
      <c r="Z528" s="39" t="str">
        <f>IFERROR(IF(Y528=0,"",ROUNDUP(Y528/H528,0)*0.01196),"")</f>
        <v/>
      </c>
      <c r="AA528" s="65" t="s">
        <v>46</v>
      </c>
      <c r="AB528" s="66" t="s">
        <v>46</v>
      </c>
      <c r="AC528" s="631" t="s">
        <v>854</v>
      </c>
      <c r="AG528" s="75"/>
      <c r="AJ528" s="79" t="s">
        <v>46</v>
      </c>
      <c r="AK528" s="79">
        <v>0</v>
      </c>
      <c r="BB528" s="632" t="s">
        <v>67</v>
      </c>
      <c r="BM528" s="75">
        <f t="shared" si="82"/>
        <v>0</v>
      </c>
      <c r="BN528" s="75">
        <f t="shared" si="83"/>
        <v>0</v>
      </c>
      <c r="BO528" s="75">
        <f t="shared" si="84"/>
        <v>0</v>
      </c>
      <c r="BP528" s="75">
        <f t="shared" si="85"/>
        <v>0</v>
      </c>
    </row>
    <row r="529" spans="1:68" ht="27" hidden="1" customHeight="1" x14ac:dyDescent="0.25">
      <c r="A529" s="60" t="s">
        <v>855</v>
      </c>
      <c r="B529" s="60" t="s">
        <v>856</v>
      </c>
      <c r="C529" s="34">
        <v>4301031419</v>
      </c>
      <c r="D529" s="666">
        <v>4680115882072</v>
      </c>
      <c r="E529" s="666"/>
      <c r="F529" s="59">
        <v>0.6</v>
      </c>
      <c r="G529" s="35">
        <v>8</v>
      </c>
      <c r="H529" s="59">
        <v>4.8</v>
      </c>
      <c r="I529" s="59">
        <v>6.91</v>
      </c>
      <c r="J529" s="35">
        <v>132</v>
      </c>
      <c r="K529" s="35" t="s">
        <v>134</v>
      </c>
      <c r="L529" s="35" t="s">
        <v>46</v>
      </c>
      <c r="M529" s="36" t="s">
        <v>126</v>
      </c>
      <c r="N529" s="36"/>
      <c r="O529" s="35">
        <v>70</v>
      </c>
      <c r="P529" s="68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668"/>
      <c r="R529" s="668"/>
      <c r="S529" s="668"/>
      <c r="T529" s="669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1"/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33" t="s">
        <v>848</v>
      </c>
      <c r="AG529" s="75"/>
      <c r="AJ529" s="79" t="s">
        <v>46</v>
      </c>
      <c r="AK529" s="79">
        <v>0</v>
      </c>
      <c r="BB529" s="634" t="s">
        <v>67</v>
      </c>
      <c r="BM529" s="75">
        <f t="shared" si="82"/>
        <v>0</v>
      </c>
      <c r="BN529" s="75">
        <f t="shared" si="83"/>
        <v>0</v>
      </c>
      <c r="BO529" s="75">
        <f t="shared" si="84"/>
        <v>0</v>
      </c>
      <c r="BP529" s="75">
        <f t="shared" si="85"/>
        <v>0</v>
      </c>
    </row>
    <row r="530" spans="1:68" ht="27" hidden="1" customHeight="1" x14ac:dyDescent="0.25">
      <c r="A530" s="60" t="s">
        <v>857</v>
      </c>
      <c r="B530" s="60" t="s">
        <v>858</v>
      </c>
      <c r="C530" s="34">
        <v>4301031352</v>
      </c>
      <c r="D530" s="666">
        <v>4680115882102</v>
      </c>
      <c r="E530" s="666"/>
      <c r="F530" s="59">
        <v>0.6</v>
      </c>
      <c r="G530" s="35">
        <v>6</v>
      </c>
      <c r="H530" s="59">
        <v>3.6</v>
      </c>
      <c r="I530" s="59">
        <v>3.79</v>
      </c>
      <c r="J530" s="35">
        <v>132</v>
      </c>
      <c r="K530" s="35" t="s">
        <v>134</v>
      </c>
      <c r="L530" s="35" t="s">
        <v>46</v>
      </c>
      <c r="M530" s="36" t="s">
        <v>81</v>
      </c>
      <c r="N530" s="36"/>
      <c r="O530" s="35">
        <v>70</v>
      </c>
      <c r="P530" s="68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668"/>
      <c r="R530" s="668"/>
      <c r="S530" s="668"/>
      <c r="T530" s="669"/>
      <c r="U530" s="37" t="s">
        <v>46</v>
      </c>
      <c r="V530" s="37" t="s">
        <v>46</v>
      </c>
      <c r="W530" s="38" t="s">
        <v>0</v>
      </c>
      <c r="X530" s="56">
        <v>0</v>
      </c>
      <c r="Y530" s="53">
        <f t="shared" si="81"/>
        <v>0</v>
      </c>
      <c r="Z530" s="39" t="str">
        <f>IFERROR(IF(Y530=0,"",ROUNDUP(Y530/H530,0)*0.00902),"")</f>
        <v/>
      </c>
      <c r="AA530" s="65" t="s">
        <v>46</v>
      </c>
      <c r="AB530" s="66" t="s">
        <v>46</v>
      </c>
      <c r="AC530" s="635" t="s">
        <v>851</v>
      </c>
      <c r="AG530" s="75"/>
      <c r="AJ530" s="79" t="s">
        <v>46</v>
      </c>
      <c r="AK530" s="79">
        <v>0</v>
      </c>
      <c r="BB530" s="636" t="s">
        <v>67</v>
      </c>
      <c r="BM530" s="75">
        <f t="shared" si="82"/>
        <v>0</v>
      </c>
      <c r="BN530" s="75">
        <f t="shared" si="83"/>
        <v>0</v>
      </c>
      <c r="BO530" s="75">
        <f t="shared" si="84"/>
        <v>0</v>
      </c>
      <c r="BP530" s="75">
        <f t="shared" si="85"/>
        <v>0</v>
      </c>
    </row>
    <row r="531" spans="1:68" ht="27" hidden="1" customHeight="1" x14ac:dyDescent="0.25">
      <c r="A531" s="60" t="s">
        <v>857</v>
      </c>
      <c r="B531" s="60" t="s">
        <v>859</v>
      </c>
      <c r="C531" s="34">
        <v>4301031418</v>
      </c>
      <c r="D531" s="666">
        <v>4680115882102</v>
      </c>
      <c r="E531" s="666"/>
      <c r="F531" s="59">
        <v>0.6</v>
      </c>
      <c r="G531" s="35">
        <v>8</v>
      </c>
      <c r="H531" s="59">
        <v>4.8</v>
      </c>
      <c r="I531" s="59">
        <v>6.67</v>
      </c>
      <c r="J531" s="35">
        <v>132</v>
      </c>
      <c r="K531" s="35" t="s">
        <v>134</v>
      </c>
      <c r="L531" s="35" t="s">
        <v>46</v>
      </c>
      <c r="M531" s="36" t="s">
        <v>81</v>
      </c>
      <c r="N531" s="36"/>
      <c r="O531" s="35">
        <v>70</v>
      </c>
      <c r="P531" s="6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668"/>
      <c r="R531" s="668"/>
      <c r="S531" s="668"/>
      <c r="T531" s="669"/>
      <c r="U531" s="37" t="s">
        <v>46</v>
      </c>
      <c r="V531" s="37" t="s">
        <v>46</v>
      </c>
      <c r="W531" s="38" t="s">
        <v>0</v>
      </c>
      <c r="X531" s="56">
        <v>0</v>
      </c>
      <c r="Y531" s="53">
        <f t="shared" si="81"/>
        <v>0</v>
      </c>
      <c r="Z531" s="39" t="str">
        <f>IFERROR(IF(Y531=0,"",ROUNDUP(Y531/H531,0)*0.00902),"")</f>
        <v/>
      </c>
      <c r="AA531" s="65" t="s">
        <v>46</v>
      </c>
      <c r="AB531" s="66" t="s">
        <v>46</v>
      </c>
      <c r="AC531" s="637" t="s">
        <v>851</v>
      </c>
      <c r="AG531" s="75"/>
      <c r="AJ531" s="79" t="s">
        <v>46</v>
      </c>
      <c r="AK531" s="79">
        <v>0</v>
      </c>
      <c r="BB531" s="638" t="s">
        <v>67</v>
      </c>
      <c r="BM531" s="75">
        <f t="shared" si="82"/>
        <v>0</v>
      </c>
      <c r="BN531" s="75">
        <f t="shared" si="83"/>
        <v>0</v>
      </c>
      <c r="BO531" s="75">
        <f t="shared" si="84"/>
        <v>0</v>
      </c>
      <c r="BP531" s="75">
        <f t="shared" si="85"/>
        <v>0</v>
      </c>
    </row>
    <row r="532" spans="1:68" ht="27" hidden="1" customHeight="1" x14ac:dyDescent="0.25">
      <c r="A532" s="60" t="s">
        <v>860</v>
      </c>
      <c r="B532" s="60" t="s">
        <v>861</v>
      </c>
      <c r="C532" s="34">
        <v>4301031417</v>
      </c>
      <c r="D532" s="666">
        <v>4680115882096</v>
      </c>
      <c r="E532" s="666"/>
      <c r="F532" s="59">
        <v>0.6</v>
      </c>
      <c r="G532" s="35">
        <v>8</v>
      </c>
      <c r="H532" s="59">
        <v>4.8</v>
      </c>
      <c r="I532" s="59">
        <v>6.67</v>
      </c>
      <c r="J532" s="35">
        <v>132</v>
      </c>
      <c r="K532" s="35" t="s">
        <v>134</v>
      </c>
      <c r="L532" s="35" t="s">
        <v>46</v>
      </c>
      <c r="M532" s="36" t="s">
        <v>81</v>
      </c>
      <c r="N532" s="36"/>
      <c r="O532" s="35">
        <v>70</v>
      </c>
      <c r="P532" s="67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668"/>
      <c r="R532" s="668"/>
      <c r="S532" s="668"/>
      <c r="T532" s="669"/>
      <c r="U532" s="37" t="s">
        <v>46</v>
      </c>
      <c r="V532" s="37" t="s">
        <v>46</v>
      </c>
      <c r="W532" s="38" t="s">
        <v>0</v>
      </c>
      <c r="X532" s="56">
        <v>0</v>
      </c>
      <c r="Y532" s="53">
        <f t="shared" si="81"/>
        <v>0</v>
      </c>
      <c r="Z532" s="39" t="str">
        <f>IFERROR(IF(Y532=0,"",ROUNDUP(Y532/H532,0)*0.00902),"")</f>
        <v/>
      </c>
      <c r="AA532" s="65" t="s">
        <v>46</v>
      </c>
      <c r="AB532" s="66" t="s">
        <v>46</v>
      </c>
      <c r="AC532" s="639" t="s">
        <v>854</v>
      </c>
      <c r="AG532" s="75"/>
      <c r="AJ532" s="79" t="s">
        <v>46</v>
      </c>
      <c r="AK532" s="79">
        <v>0</v>
      </c>
      <c r="BB532" s="640" t="s">
        <v>67</v>
      </c>
      <c r="BM532" s="75">
        <f t="shared" si="82"/>
        <v>0</v>
      </c>
      <c r="BN532" s="75">
        <f t="shared" si="83"/>
        <v>0</v>
      </c>
      <c r="BO532" s="75">
        <f t="shared" si="84"/>
        <v>0</v>
      </c>
      <c r="BP532" s="75">
        <f t="shared" si="85"/>
        <v>0</v>
      </c>
    </row>
    <row r="533" spans="1:68" hidden="1" x14ac:dyDescent="0.2">
      <c r="A533" s="662"/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3"/>
      <c r="P533" s="659" t="s">
        <v>40</v>
      </c>
      <c r="Q533" s="660"/>
      <c r="R533" s="660"/>
      <c r="S533" s="660"/>
      <c r="T533" s="660"/>
      <c r="U533" s="660"/>
      <c r="V533" s="661"/>
      <c r="W533" s="40" t="s">
        <v>39</v>
      </c>
      <c r="X533" s="41">
        <f>IFERROR(X526/H526,"0")+IFERROR(X527/H527,"0")+IFERROR(X528/H528,"0")+IFERROR(X529/H529,"0")+IFERROR(X530/H530,"0")+IFERROR(X531/H531,"0")+IFERROR(X532/H532,"0")</f>
        <v>0</v>
      </c>
      <c r="Y533" s="41">
        <f>IFERROR(Y526/H526,"0")+IFERROR(Y527/H527,"0")+IFERROR(Y528/H528,"0")+IFERROR(Y529/H529,"0")+IFERROR(Y530/H530,"0")+IFERROR(Y531/H531,"0")+IFERROR(Y532/H532,"0")</f>
        <v>0</v>
      </c>
      <c r="Z533" s="41">
        <f>IFERROR(IF(Z526="",0,Z526),"0")+IFERROR(IF(Z527="",0,Z527),"0")+IFERROR(IF(Z528="",0,Z528),"0")+IFERROR(IF(Z529="",0,Z529),"0")+IFERROR(IF(Z530="",0,Z530),"0")+IFERROR(IF(Z531="",0,Z531),"0")+IFERROR(IF(Z532="",0,Z532),"0")</f>
        <v>0</v>
      </c>
      <c r="AA533" s="64"/>
      <c r="AB533" s="64"/>
      <c r="AC533" s="64"/>
    </row>
    <row r="534" spans="1:68" hidden="1" x14ac:dyDescent="0.2">
      <c r="A534" s="662"/>
      <c r="B534" s="662"/>
      <c r="C534" s="662"/>
      <c r="D534" s="662"/>
      <c r="E534" s="662"/>
      <c r="F534" s="662"/>
      <c r="G534" s="662"/>
      <c r="H534" s="662"/>
      <c r="I534" s="662"/>
      <c r="J534" s="662"/>
      <c r="K534" s="662"/>
      <c r="L534" s="662"/>
      <c r="M534" s="662"/>
      <c r="N534" s="662"/>
      <c r="O534" s="663"/>
      <c r="P534" s="659" t="s">
        <v>40</v>
      </c>
      <c r="Q534" s="660"/>
      <c r="R534" s="660"/>
      <c r="S534" s="660"/>
      <c r="T534" s="660"/>
      <c r="U534" s="660"/>
      <c r="V534" s="661"/>
      <c r="W534" s="40" t="s">
        <v>0</v>
      </c>
      <c r="X534" s="41">
        <f>IFERROR(SUM(X526:X532),"0")</f>
        <v>0</v>
      </c>
      <c r="Y534" s="41">
        <f>IFERROR(SUM(Y526:Y532),"0")</f>
        <v>0</v>
      </c>
      <c r="Z534" s="40"/>
      <c r="AA534" s="64"/>
      <c r="AB534" s="64"/>
      <c r="AC534" s="64"/>
    </row>
    <row r="535" spans="1:68" ht="27.75" hidden="1" customHeight="1" x14ac:dyDescent="0.2">
      <c r="A535" s="679" t="s">
        <v>862</v>
      </c>
      <c r="B535" s="679"/>
      <c r="C535" s="679"/>
      <c r="D535" s="679"/>
      <c r="E535" s="679"/>
      <c r="F535" s="679"/>
      <c r="G535" s="679"/>
      <c r="H535" s="679"/>
      <c r="I535" s="679"/>
      <c r="J535" s="679"/>
      <c r="K535" s="679"/>
      <c r="L535" s="679"/>
      <c r="M535" s="679"/>
      <c r="N535" s="679"/>
      <c r="O535" s="679"/>
      <c r="P535" s="679"/>
      <c r="Q535" s="679"/>
      <c r="R535" s="679"/>
      <c r="S535" s="679"/>
      <c r="T535" s="679"/>
      <c r="U535" s="679"/>
      <c r="V535" s="679"/>
      <c r="W535" s="679"/>
      <c r="X535" s="679"/>
      <c r="Y535" s="679"/>
      <c r="Z535" s="679"/>
      <c r="AA535" s="52"/>
      <c r="AB535" s="52"/>
      <c r="AC535" s="52"/>
    </row>
    <row r="536" spans="1:68" ht="16.5" hidden="1" customHeight="1" x14ac:dyDescent="0.25">
      <c r="A536" s="664" t="s">
        <v>862</v>
      </c>
      <c r="B536" s="664"/>
      <c r="C536" s="664"/>
      <c r="D536" s="664"/>
      <c r="E536" s="664"/>
      <c r="F536" s="664"/>
      <c r="G536" s="664"/>
      <c r="H536" s="664"/>
      <c r="I536" s="664"/>
      <c r="J536" s="664"/>
      <c r="K536" s="664"/>
      <c r="L536" s="664"/>
      <c r="M536" s="664"/>
      <c r="N536" s="664"/>
      <c r="O536" s="664"/>
      <c r="P536" s="664"/>
      <c r="Q536" s="664"/>
      <c r="R536" s="664"/>
      <c r="S536" s="664"/>
      <c r="T536" s="664"/>
      <c r="U536" s="664"/>
      <c r="V536" s="664"/>
      <c r="W536" s="664"/>
      <c r="X536" s="664"/>
      <c r="Y536" s="664"/>
      <c r="Z536" s="664"/>
      <c r="AA536" s="62"/>
      <c r="AB536" s="62"/>
      <c r="AC536" s="62"/>
    </row>
    <row r="537" spans="1:68" ht="14.25" hidden="1" customHeight="1" x14ac:dyDescent="0.25">
      <c r="A537" s="665" t="s">
        <v>122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3"/>
      <c r="AB537" s="63"/>
      <c r="AC537" s="63"/>
    </row>
    <row r="538" spans="1:68" ht="27" hidden="1" customHeight="1" x14ac:dyDescent="0.25">
      <c r="A538" s="60" t="s">
        <v>863</v>
      </c>
      <c r="B538" s="60" t="s">
        <v>864</v>
      </c>
      <c r="C538" s="34">
        <v>4301011584</v>
      </c>
      <c r="D538" s="666">
        <v>4640242180564</v>
      </c>
      <c r="E538" s="666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127</v>
      </c>
      <c r="L538" s="35" t="s">
        <v>46</v>
      </c>
      <c r="M538" s="36" t="s">
        <v>126</v>
      </c>
      <c r="N538" s="36"/>
      <c r="O538" s="35">
        <v>50</v>
      </c>
      <c r="P538" s="68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668"/>
      <c r="R538" s="668"/>
      <c r="S538" s="668"/>
      <c r="T538" s="669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41" t="s">
        <v>865</v>
      </c>
      <c r="AG538" s="75"/>
      <c r="AJ538" s="79" t="s">
        <v>46</v>
      </c>
      <c r="AK538" s="79">
        <v>0</v>
      </c>
      <c r="BB538" s="642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62"/>
      <c r="B539" s="662"/>
      <c r="C539" s="662"/>
      <c r="D539" s="662"/>
      <c r="E539" s="662"/>
      <c r="F539" s="662"/>
      <c r="G539" s="662"/>
      <c r="H539" s="662"/>
      <c r="I539" s="662"/>
      <c r="J539" s="662"/>
      <c r="K539" s="662"/>
      <c r="L539" s="662"/>
      <c r="M539" s="662"/>
      <c r="N539" s="662"/>
      <c r="O539" s="663"/>
      <c r="P539" s="659" t="s">
        <v>40</v>
      </c>
      <c r="Q539" s="660"/>
      <c r="R539" s="660"/>
      <c r="S539" s="660"/>
      <c r="T539" s="660"/>
      <c r="U539" s="660"/>
      <c r="V539" s="661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62"/>
      <c r="B540" s="662"/>
      <c r="C540" s="662"/>
      <c r="D540" s="662"/>
      <c r="E540" s="662"/>
      <c r="F540" s="662"/>
      <c r="G540" s="662"/>
      <c r="H540" s="662"/>
      <c r="I540" s="662"/>
      <c r="J540" s="662"/>
      <c r="K540" s="662"/>
      <c r="L540" s="662"/>
      <c r="M540" s="662"/>
      <c r="N540" s="662"/>
      <c r="O540" s="663"/>
      <c r="P540" s="659" t="s">
        <v>40</v>
      </c>
      <c r="Q540" s="660"/>
      <c r="R540" s="660"/>
      <c r="S540" s="660"/>
      <c r="T540" s="660"/>
      <c r="U540" s="660"/>
      <c r="V540" s="661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65" t="s">
        <v>155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3"/>
      <c r="AB541" s="63"/>
      <c r="AC541" s="63"/>
    </row>
    <row r="542" spans="1:68" ht="27" hidden="1" customHeight="1" x14ac:dyDescent="0.25">
      <c r="A542" s="60" t="s">
        <v>866</v>
      </c>
      <c r="B542" s="60" t="s">
        <v>867</v>
      </c>
      <c r="C542" s="34">
        <v>4301020400</v>
      </c>
      <c r="D542" s="666">
        <v>4640242180519</v>
      </c>
      <c r="E542" s="666"/>
      <c r="F542" s="59">
        <v>1.5</v>
      </c>
      <c r="G542" s="35">
        <v>8</v>
      </c>
      <c r="H542" s="59">
        <v>12</v>
      </c>
      <c r="I542" s="59">
        <v>12.41</v>
      </c>
      <c r="J542" s="35">
        <v>64</v>
      </c>
      <c r="K542" s="35" t="s">
        <v>127</v>
      </c>
      <c r="L542" s="35" t="s">
        <v>46</v>
      </c>
      <c r="M542" s="36" t="s">
        <v>126</v>
      </c>
      <c r="N542" s="36"/>
      <c r="O542" s="35">
        <v>50</v>
      </c>
      <c r="P542" s="6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668"/>
      <c r="R542" s="668"/>
      <c r="S542" s="668"/>
      <c r="T542" s="669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43" t="s">
        <v>868</v>
      </c>
      <c r="AG542" s="75"/>
      <c r="AJ542" s="79" t="s">
        <v>46</v>
      </c>
      <c r="AK542" s="79">
        <v>0</v>
      </c>
      <c r="BB542" s="644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662"/>
      <c r="B543" s="662"/>
      <c r="C543" s="662"/>
      <c r="D543" s="662"/>
      <c r="E543" s="662"/>
      <c r="F543" s="662"/>
      <c r="G543" s="662"/>
      <c r="H543" s="662"/>
      <c r="I543" s="662"/>
      <c r="J543" s="662"/>
      <c r="K543" s="662"/>
      <c r="L543" s="662"/>
      <c r="M543" s="662"/>
      <c r="N543" s="662"/>
      <c r="O543" s="663"/>
      <c r="P543" s="659" t="s">
        <v>40</v>
      </c>
      <c r="Q543" s="660"/>
      <c r="R543" s="660"/>
      <c r="S543" s="660"/>
      <c r="T543" s="660"/>
      <c r="U543" s="660"/>
      <c r="V543" s="661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662"/>
      <c r="B544" s="662"/>
      <c r="C544" s="662"/>
      <c r="D544" s="662"/>
      <c r="E544" s="662"/>
      <c r="F544" s="662"/>
      <c r="G544" s="662"/>
      <c r="H544" s="662"/>
      <c r="I544" s="662"/>
      <c r="J544" s="662"/>
      <c r="K544" s="662"/>
      <c r="L544" s="662"/>
      <c r="M544" s="662"/>
      <c r="N544" s="662"/>
      <c r="O544" s="663"/>
      <c r="P544" s="659" t="s">
        <v>40</v>
      </c>
      <c r="Q544" s="660"/>
      <c r="R544" s="660"/>
      <c r="S544" s="660"/>
      <c r="T544" s="660"/>
      <c r="U544" s="660"/>
      <c r="V544" s="661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665" t="s">
        <v>77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3"/>
      <c r="AB545" s="63"/>
      <c r="AC545" s="63"/>
    </row>
    <row r="546" spans="1:68" ht="27" hidden="1" customHeight="1" x14ac:dyDescent="0.25">
      <c r="A546" s="60" t="s">
        <v>869</v>
      </c>
      <c r="B546" s="60" t="s">
        <v>870</v>
      </c>
      <c r="C546" s="34">
        <v>4301031500</v>
      </c>
      <c r="D546" s="666">
        <v>4640242180595</v>
      </c>
      <c r="E546" s="666"/>
      <c r="F546" s="59">
        <v>0.7</v>
      </c>
      <c r="G546" s="35">
        <v>6</v>
      </c>
      <c r="H546" s="59">
        <v>4.2</v>
      </c>
      <c r="I546" s="59">
        <v>4.45</v>
      </c>
      <c r="J546" s="35">
        <v>132</v>
      </c>
      <c r="K546" s="35" t="s">
        <v>134</v>
      </c>
      <c r="L546" s="35" t="s">
        <v>46</v>
      </c>
      <c r="M546" s="36" t="s">
        <v>81</v>
      </c>
      <c r="N546" s="36"/>
      <c r="O546" s="35">
        <v>40</v>
      </c>
      <c r="P546" s="67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668"/>
      <c r="R546" s="668"/>
      <c r="S546" s="668"/>
      <c r="T546" s="669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IFERROR(IF(Y546=0,"",ROUNDUP(Y546/H546,0)*0.00902),"")</f>
        <v/>
      </c>
      <c r="AA546" s="65" t="s">
        <v>46</v>
      </c>
      <c r="AB546" s="66" t="s">
        <v>46</v>
      </c>
      <c r="AC546" s="645" t="s">
        <v>871</v>
      </c>
      <c r="AG546" s="75"/>
      <c r="AJ546" s="79" t="s">
        <v>46</v>
      </c>
      <c r="AK546" s="79">
        <v>0</v>
      </c>
      <c r="BB546" s="646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62"/>
      <c r="B547" s="662"/>
      <c r="C547" s="662"/>
      <c r="D547" s="662"/>
      <c r="E547" s="662"/>
      <c r="F547" s="662"/>
      <c r="G547" s="662"/>
      <c r="H547" s="662"/>
      <c r="I547" s="662"/>
      <c r="J547" s="662"/>
      <c r="K547" s="662"/>
      <c r="L547" s="662"/>
      <c r="M547" s="662"/>
      <c r="N547" s="662"/>
      <c r="O547" s="663"/>
      <c r="P547" s="659" t="s">
        <v>40</v>
      </c>
      <c r="Q547" s="660"/>
      <c r="R547" s="660"/>
      <c r="S547" s="660"/>
      <c r="T547" s="660"/>
      <c r="U547" s="660"/>
      <c r="V547" s="661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">
      <c r="A548" s="662"/>
      <c r="B548" s="662"/>
      <c r="C548" s="662"/>
      <c r="D548" s="662"/>
      <c r="E548" s="662"/>
      <c r="F548" s="662"/>
      <c r="G548" s="662"/>
      <c r="H548" s="662"/>
      <c r="I548" s="662"/>
      <c r="J548" s="662"/>
      <c r="K548" s="662"/>
      <c r="L548" s="662"/>
      <c r="M548" s="662"/>
      <c r="N548" s="662"/>
      <c r="O548" s="663"/>
      <c r="P548" s="659" t="s">
        <v>40</v>
      </c>
      <c r="Q548" s="660"/>
      <c r="R548" s="660"/>
      <c r="S548" s="660"/>
      <c r="T548" s="660"/>
      <c r="U548" s="660"/>
      <c r="V548" s="661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665" t="s">
        <v>86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3"/>
      <c r="AB549" s="63"/>
      <c r="AC549" s="63"/>
    </row>
    <row r="550" spans="1:68" ht="27" hidden="1" customHeight="1" x14ac:dyDescent="0.25">
      <c r="A550" s="60" t="s">
        <v>872</v>
      </c>
      <c r="B550" s="60" t="s">
        <v>873</v>
      </c>
      <c r="C550" s="34">
        <v>4301052043</v>
      </c>
      <c r="D550" s="666">
        <v>4640242180533</v>
      </c>
      <c r="E550" s="666"/>
      <c r="F550" s="59">
        <v>1.5</v>
      </c>
      <c r="G550" s="35">
        <v>6</v>
      </c>
      <c r="H550" s="59">
        <v>9</v>
      </c>
      <c r="I550" s="59">
        <v>9.4939999999999998</v>
      </c>
      <c r="J550" s="35">
        <v>64</v>
      </c>
      <c r="K550" s="35" t="s">
        <v>127</v>
      </c>
      <c r="L550" s="35" t="s">
        <v>46</v>
      </c>
      <c r="M550" s="36" t="s">
        <v>90</v>
      </c>
      <c r="N550" s="36"/>
      <c r="O550" s="35">
        <v>45</v>
      </c>
      <c r="P550" s="67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668"/>
      <c r="R550" s="668"/>
      <c r="S550" s="668"/>
      <c r="T550" s="669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7" t="s">
        <v>874</v>
      </c>
      <c r="AG550" s="75"/>
      <c r="AJ550" s="79" t="s">
        <v>46</v>
      </c>
      <c r="AK550" s="79">
        <v>0</v>
      </c>
      <c r="BB550" s="648" t="s">
        <v>67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idden="1" x14ac:dyDescent="0.2">
      <c r="A551" s="662"/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3"/>
      <c r="P551" s="659" t="s">
        <v>40</v>
      </c>
      <c r="Q551" s="660"/>
      <c r="R551" s="660"/>
      <c r="S551" s="660"/>
      <c r="T551" s="660"/>
      <c r="U551" s="660"/>
      <c r="V551" s="661"/>
      <c r="W551" s="40" t="s">
        <v>39</v>
      </c>
      <c r="X551" s="41">
        <f>IFERROR(X550/H550,"0")</f>
        <v>0</v>
      </c>
      <c r="Y551" s="41">
        <f>IFERROR(Y550/H550,"0")</f>
        <v>0</v>
      </c>
      <c r="Z551" s="41">
        <f>IFERROR(IF(Z550="",0,Z550),"0")</f>
        <v>0</v>
      </c>
      <c r="AA551" s="64"/>
      <c r="AB551" s="64"/>
      <c r="AC551" s="64"/>
    </row>
    <row r="552" spans="1:68" hidden="1" x14ac:dyDescent="0.2">
      <c r="A552" s="662"/>
      <c r="B552" s="662"/>
      <c r="C552" s="662"/>
      <c r="D552" s="662"/>
      <c r="E552" s="662"/>
      <c r="F552" s="662"/>
      <c r="G552" s="662"/>
      <c r="H552" s="662"/>
      <c r="I552" s="662"/>
      <c r="J552" s="662"/>
      <c r="K552" s="662"/>
      <c r="L552" s="662"/>
      <c r="M552" s="662"/>
      <c r="N552" s="662"/>
      <c r="O552" s="663"/>
      <c r="P552" s="659" t="s">
        <v>40</v>
      </c>
      <c r="Q552" s="660"/>
      <c r="R552" s="660"/>
      <c r="S552" s="660"/>
      <c r="T552" s="660"/>
      <c r="U552" s="660"/>
      <c r="V552" s="661"/>
      <c r="W552" s="40" t="s">
        <v>0</v>
      </c>
      <c r="X552" s="41">
        <f>IFERROR(SUM(X550:X550),"0")</f>
        <v>0</v>
      </c>
      <c r="Y552" s="41">
        <f>IFERROR(SUM(Y550:Y550),"0")</f>
        <v>0</v>
      </c>
      <c r="Z552" s="40"/>
      <c r="AA552" s="64"/>
      <c r="AB552" s="64"/>
      <c r="AC552" s="64"/>
    </row>
    <row r="553" spans="1:68" ht="14.25" hidden="1" customHeight="1" x14ac:dyDescent="0.25">
      <c r="A553" s="665" t="s">
        <v>173</v>
      </c>
      <c r="B553" s="665"/>
      <c r="C553" s="665"/>
      <c r="D553" s="665"/>
      <c r="E553" s="665"/>
      <c r="F553" s="665"/>
      <c r="G553" s="665"/>
      <c r="H553" s="665"/>
      <c r="I553" s="665"/>
      <c r="J553" s="665"/>
      <c r="K553" s="665"/>
      <c r="L553" s="665"/>
      <c r="M553" s="665"/>
      <c r="N553" s="665"/>
      <c r="O553" s="665"/>
      <c r="P553" s="665"/>
      <c r="Q553" s="665"/>
      <c r="R553" s="665"/>
      <c r="S553" s="665"/>
      <c r="T553" s="665"/>
      <c r="U553" s="665"/>
      <c r="V553" s="665"/>
      <c r="W553" s="665"/>
      <c r="X553" s="665"/>
      <c r="Y553" s="665"/>
      <c r="Z553" s="665"/>
      <c r="AA553" s="63"/>
      <c r="AB553" s="63"/>
      <c r="AC553" s="63"/>
    </row>
    <row r="554" spans="1:68" ht="27" hidden="1" customHeight="1" x14ac:dyDescent="0.25">
      <c r="A554" s="60" t="s">
        <v>875</v>
      </c>
      <c r="B554" s="60" t="s">
        <v>876</v>
      </c>
      <c r="C554" s="34">
        <v>4301060535</v>
      </c>
      <c r="D554" s="666">
        <v>4640242180120</v>
      </c>
      <c r="E554" s="666"/>
      <c r="F554" s="59">
        <v>1.5</v>
      </c>
      <c r="G554" s="35">
        <v>6</v>
      </c>
      <c r="H554" s="59">
        <v>9</v>
      </c>
      <c r="I554" s="59">
        <v>9.41</v>
      </c>
      <c r="J554" s="35">
        <v>64</v>
      </c>
      <c r="K554" s="35" t="s">
        <v>127</v>
      </c>
      <c r="L554" s="35" t="s">
        <v>46</v>
      </c>
      <c r="M554" s="36" t="s">
        <v>90</v>
      </c>
      <c r="N554" s="36"/>
      <c r="O554" s="35">
        <v>40</v>
      </c>
      <c r="P554" s="67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668"/>
      <c r="R554" s="668"/>
      <c r="S554" s="668"/>
      <c r="T554" s="669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9" t="s">
        <v>877</v>
      </c>
      <c r="AG554" s="75"/>
      <c r="AJ554" s="79" t="s">
        <v>46</v>
      </c>
      <c r="AK554" s="79">
        <v>0</v>
      </c>
      <c r="BB554" s="650" t="s">
        <v>67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878</v>
      </c>
      <c r="B555" s="60" t="s">
        <v>879</v>
      </c>
      <c r="C555" s="34">
        <v>4301060536</v>
      </c>
      <c r="D555" s="666">
        <v>4640242180137</v>
      </c>
      <c r="E555" s="666"/>
      <c r="F555" s="59">
        <v>1.5</v>
      </c>
      <c r="G555" s="35">
        <v>6</v>
      </c>
      <c r="H555" s="59">
        <v>9</v>
      </c>
      <c r="I555" s="59">
        <v>9.41</v>
      </c>
      <c r="J555" s="35">
        <v>64</v>
      </c>
      <c r="K555" s="35" t="s">
        <v>127</v>
      </c>
      <c r="L555" s="35" t="s">
        <v>46</v>
      </c>
      <c r="M555" s="36" t="s">
        <v>90</v>
      </c>
      <c r="N555" s="36"/>
      <c r="O555" s="35">
        <v>40</v>
      </c>
      <c r="P555" s="67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668"/>
      <c r="R555" s="668"/>
      <c r="S555" s="668"/>
      <c r="T555" s="669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51" t="s">
        <v>880</v>
      </c>
      <c r="AG555" s="75"/>
      <c r="AJ555" s="79" t="s">
        <v>46</v>
      </c>
      <c r="AK555" s="79">
        <v>0</v>
      </c>
      <c r="BB555" s="652" t="s">
        <v>67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662"/>
      <c r="B556" s="662"/>
      <c r="C556" s="662"/>
      <c r="D556" s="662"/>
      <c r="E556" s="662"/>
      <c r="F556" s="662"/>
      <c r="G556" s="662"/>
      <c r="H556" s="662"/>
      <c r="I556" s="662"/>
      <c r="J556" s="662"/>
      <c r="K556" s="662"/>
      <c r="L556" s="662"/>
      <c r="M556" s="662"/>
      <c r="N556" s="662"/>
      <c r="O556" s="663"/>
      <c r="P556" s="659" t="s">
        <v>40</v>
      </c>
      <c r="Q556" s="660"/>
      <c r="R556" s="660"/>
      <c r="S556" s="660"/>
      <c r="T556" s="660"/>
      <c r="U556" s="660"/>
      <c r="V556" s="661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662"/>
      <c r="B557" s="662"/>
      <c r="C557" s="662"/>
      <c r="D557" s="662"/>
      <c r="E557" s="662"/>
      <c r="F557" s="662"/>
      <c r="G557" s="662"/>
      <c r="H557" s="662"/>
      <c r="I557" s="662"/>
      <c r="J557" s="662"/>
      <c r="K557" s="662"/>
      <c r="L557" s="662"/>
      <c r="M557" s="662"/>
      <c r="N557" s="662"/>
      <c r="O557" s="663"/>
      <c r="P557" s="659" t="s">
        <v>40</v>
      </c>
      <c r="Q557" s="660"/>
      <c r="R557" s="660"/>
      <c r="S557" s="660"/>
      <c r="T557" s="660"/>
      <c r="U557" s="660"/>
      <c r="V557" s="661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6.5" hidden="1" customHeight="1" x14ac:dyDescent="0.25">
      <c r="A558" s="664" t="s">
        <v>881</v>
      </c>
      <c r="B558" s="664"/>
      <c r="C558" s="664"/>
      <c r="D558" s="664"/>
      <c r="E558" s="664"/>
      <c r="F558" s="664"/>
      <c r="G558" s="664"/>
      <c r="H558" s="664"/>
      <c r="I558" s="664"/>
      <c r="J558" s="664"/>
      <c r="K558" s="664"/>
      <c r="L558" s="664"/>
      <c r="M558" s="664"/>
      <c r="N558" s="664"/>
      <c r="O558" s="664"/>
      <c r="P558" s="664"/>
      <c r="Q558" s="664"/>
      <c r="R558" s="664"/>
      <c r="S558" s="664"/>
      <c r="T558" s="664"/>
      <c r="U558" s="664"/>
      <c r="V558" s="664"/>
      <c r="W558" s="664"/>
      <c r="X558" s="664"/>
      <c r="Y558" s="664"/>
      <c r="Z558" s="664"/>
      <c r="AA558" s="62"/>
      <c r="AB558" s="62"/>
      <c r="AC558" s="62"/>
    </row>
    <row r="559" spans="1:68" ht="14.25" hidden="1" customHeight="1" x14ac:dyDescent="0.25">
      <c r="A559" s="665" t="s">
        <v>155</v>
      </c>
      <c r="B559" s="665"/>
      <c r="C559" s="665"/>
      <c r="D559" s="665"/>
      <c r="E559" s="665"/>
      <c r="F559" s="665"/>
      <c r="G559" s="665"/>
      <c r="H559" s="665"/>
      <c r="I559" s="665"/>
      <c r="J559" s="665"/>
      <c r="K559" s="665"/>
      <c r="L559" s="665"/>
      <c r="M559" s="665"/>
      <c r="N559" s="665"/>
      <c r="O559" s="665"/>
      <c r="P559" s="665"/>
      <c r="Q559" s="665"/>
      <c r="R559" s="665"/>
      <c r="S559" s="665"/>
      <c r="T559" s="665"/>
      <c r="U559" s="665"/>
      <c r="V559" s="665"/>
      <c r="W559" s="665"/>
      <c r="X559" s="665"/>
      <c r="Y559" s="665"/>
      <c r="Z559" s="665"/>
      <c r="AA559" s="63"/>
      <c r="AB559" s="63"/>
      <c r="AC559" s="63"/>
    </row>
    <row r="560" spans="1:68" ht="27" hidden="1" customHeight="1" x14ac:dyDescent="0.25">
      <c r="A560" s="60" t="s">
        <v>882</v>
      </c>
      <c r="B560" s="60" t="s">
        <v>883</v>
      </c>
      <c r="C560" s="34">
        <v>4301020428</v>
      </c>
      <c r="D560" s="666">
        <v>4640242180090</v>
      </c>
      <c r="E560" s="666"/>
      <c r="F560" s="59">
        <v>1.5</v>
      </c>
      <c r="G560" s="35">
        <v>8</v>
      </c>
      <c r="H560" s="59">
        <v>12</v>
      </c>
      <c r="I560" s="59">
        <v>12.41</v>
      </c>
      <c r="J560" s="35">
        <v>64</v>
      </c>
      <c r="K560" s="35" t="s">
        <v>127</v>
      </c>
      <c r="L560" s="35" t="s">
        <v>46</v>
      </c>
      <c r="M560" s="36" t="s">
        <v>126</v>
      </c>
      <c r="N560" s="36"/>
      <c r="O560" s="35">
        <v>50</v>
      </c>
      <c r="P560" s="66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668"/>
      <c r="R560" s="668"/>
      <c r="S560" s="668"/>
      <c r="T560" s="669"/>
      <c r="U560" s="37" t="s">
        <v>46</v>
      </c>
      <c r="V560" s="37" t="s">
        <v>46</v>
      </c>
      <c r="W560" s="38" t="s">
        <v>0</v>
      </c>
      <c r="X560" s="56">
        <v>0</v>
      </c>
      <c r="Y560" s="53">
        <f>IFERROR(IF(X560="",0,CEILING((X560/$H560),1)*$H560),"")</f>
        <v>0</v>
      </c>
      <c r="Z560" s="39" t="str">
        <f>IFERROR(IF(Y560=0,"",ROUNDUP(Y560/H560,0)*0.01898),"")</f>
        <v/>
      </c>
      <c r="AA560" s="65" t="s">
        <v>46</v>
      </c>
      <c r="AB560" s="66" t="s">
        <v>46</v>
      </c>
      <c r="AC560" s="653" t="s">
        <v>884</v>
      </c>
      <c r="AG560" s="75"/>
      <c r="AJ560" s="79" t="s">
        <v>46</v>
      </c>
      <c r="AK560" s="79">
        <v>0</v>
      </c>
      <c r="BB560" s="654" t="s">
        <v>67</v>
      </c>
      <c r="BM560" s="75">
        <f>IFERROR(X560*I560/H560,"0")</f>
        <v>0</v>
      </c>
      <c r="BN560" s="75">
        <f>IFERROR(Y560*I560/H560,"0")</f>
        <v>0</v>
      </c>
      <c r="BO560" s="75">
        <f>IFERROR(1/J560*(X560/H560),"0")</f>
        <v>0</v>
      </c>
      <c r="BP560" s="75">
        <f>IFERROR(1/J560*(Y560/H560),"0")</f>
        <v>0</v>
      </c>
    </row>
    <row r="561" spans="1:32" hidden="1" x14ac:dyDescent="0.2">
      <c r="A561" s="662"/>
      <c r="B561" s="662"/>
      <c r="C561" s="662"/>
      <c r="D561" s="662"/>
      <c r="E561" s="662"/>
      <c r="F561" s="662"/>
      <c r="G561" s="662"/>
      <c r="H561" s="662"/>
      <c r="I561" s="662"/>
      <c r="J561" s="662"/>
      <c r="K561" s="662"/>
      <c r="L561" s="662"/>
      <c r="M561" s="662"/>
      <c r="N561" s="662"/>
      <c r="O561" s="663"/>
      <c r="P561" s="659" t="s">
        <v>40</v>
      </c>
      <c r="Q561" s="660"/>
      <c r="R561" s="660"/>
      <c r="S561" s="660"/>
      <c r="T561" s="660"/>
      <c r="U561" s="660"/>
      <c r="V561" s="661"/>
      <c r="W561" s="40" t="s">
        <v>39</v>
      </c>
      <c r="X561" s="41">
        <f>IFERROR(X560/H560,"0")</f>
        <v>0</v>
      </c>
      <c r="Y561" s="41">
        <f>IFERROR(Y560/H560,"0")</f>
        <v>0</v>
      </c>
      <c r="Z561" s="41">
        <f>IFERROR(IF(Z560="",0,Z560),"0")</f>
        <v>0</v>
      </c>
      <c r="AA561" s="64"/>
      <c r="AB561" s="64"/>
      <c r="AC561" s="64"/>
    </row>
    <row r="562" spans="1:32" hidden="1" x14ac:dyDescent="0.2">
      <c r="A562" s="662"/>
      <c r="B562" s="662"/>
      <c r="C562" s="662"/>
      <c r="D562" s="662"/>
      <c r="E562" s="662"/>
      <c r="F562" s="662"/>
      <c r="G562" s="662"/>
      <c r="H562" s="662"/>
      <c r="I562" s="662"/>
      <c r="J562" s="662"/>
      <c r="K562" s="662"/>
      <c r="L562" s="662"/>
      <c r="M562" s="662"/>
      <c r="N562" s="662"/>
      <c r="O562" s="663"/>
      <c r="P562" s="659" t="s">
        <v>40</v>
      </c>
      <c r="Q562" s="660"/>
      <c r="R562" s="660"/>
      <c r="S562" s="660"/>
      <c r="T562" s="660"/>
      <c r="U562" s="660"/>
      <c r="V562" s="661"/>
      <c r="W562" s="40" t="s">
        <v>0</v>
      </c>
      <c r="X562" s="41">
        <f>IFERROR(SUM(X560:X560),"0")</f>
        <v>0</v>
      </c>
      <c r="Y562" s="41">
        <f>IFERROR(SUM(Y560:Y560),"0")</f>
        <v>0</v>
      </c>
      <c r="Z562" s="40"/>
      <c r="AA562" s="64"/>
      <c r="AB562" s="64"/>
      <c r="AC562" s="64"/>
    </row>
    <row r="563" spans="1:32" ht="15" customHeight="1" x14ac:dyDescent="0.2">
      <c r="A563" s="662"/>
      <c r="B563" s="662"/>
      <c r="C563" s="662"/>
      <c r="D563" s="662"/>
      <c r="E563" s="662"/>
      <c r="F563" s="662"/>
      <c r="G563" s="662"/>
      <c r="H563" s="662"/>
      <c r="I563" s="662"/>
      <c r="J563" s="662"/>
      <c r="K563" s="662"/>
      <c r="L563" s="662"/>
      <c r="M563" s="662"/>
      <c r="N563" s="662"/>
      <c r="O563" s="673"/>
      <c r="P563" s="670" t="s">
        <v>33</v>
      </c>
      <c r="Q563" s="671"/>
      <c r="R563" s="671"/>
      <c r="S563" s="671"/>
      <c r="T563" s="671"/>
      <c r="U563" s="671"/>
      <c r="V563" s="672"/>
      <c r="W563" s="40" t="s">
        <v>0</v>
      </c>
      <c r="X563" s="41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1800</v>
      </c>
      <c r="Y563" s="41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1830</v>
      </c>
      <c r="Z563" s="40"/>
      <c r="AA563" s="64"/>
      <c r="AB563" s="64"/>
      <c r="AC563" s="64"/>
    </row>
    <row r="564" spans="1:32" x14ac:dyDescent="0.2">
      <c r="A564" s="662"/>
      <c r="B564" s="662"/>
      <c r="C564" s="662"/>
      <c r="D564" s="662"/>
      <c r="E564" s="662"/>
      <c r="F564" s="662"/>
      <c r="G564" s="662"/>
      <c r="H564" s="662"/>
      <c r="I564" s="662"/>
      <c r="J564" s="662"/>
      <c r="K564" s="662"/>
      <c r="L564" s="662"/>
      <c r="M564" s="662"/>
      <c r="N564" s="662"/>
      <c r="O564" s="673"/>
      <c r="P564" s="670" t="s">
        <v>34</v>
      </c>
      <c r="Q564" s="671"/>
      <c r="R564" s="671"/>
      <c r="S564" s="671"/>
      <c r="T564" s="671"/>
      <c r="U564" s="671"/>
      <c r="V564" s="672"/>
      <c r="W564" s="40" t="s">
        <v>0</v>
      </c>
      <c r="X564" s="41">
        <f>IFERROR(SUM(BM22:BM560),"0")</f>
        <v>1856.3999999999996</v>
      </c>
      <c r="Y564" s="41">
        <f>IFERROR(SUM(BN22:BN560),"0")</f>
        <v>1887.3400000000001</v>
      </c>
      <c r="Z564" s="40"/>
      <c r="AA564" s="64"/>
      <c r="AB564" s="64"/>
      <c r="AC564" s="64"/>
    </row>
    <row r="565" spans="1:32" x14ac:dyDescent="0.2">
      <c r="A565" s="662"/>
      <c r="B565" s="662"/>
      <c r="C565" s="662"/>
      <c r="D565" s="662"/>
      <c r="E565" s="662"/>
      <c r="F565" s="662"/>
      <c r="G565" s="662"/>
      <c r="H565" s="662"/>
      <c r="I565" s="662"/>
      <c r="J565" s="662"/>
      <c r="K565" s="662"/>
      <c r="L565" s="662"/>
      <c r="M565" s="662"/>
      <c r="N565" s="662"/>
      <c r="O565" s="673"/>
      <c r="P565" s="670" t="s">
        <v>35</v>
      </c>
      <c r="Q565" s="671"/>
      <c r="R565" s="671"/>
      <c r="S565" s="671"/>
      <c r="T565" s="671"/>
      <c r="U565" s="671"/>
      <c r="V565" s="672"/>
      <c r="W565" s="40" t="s">
        <v>20</v>
      </c>
      <c r="X565" s="42">
        <f>ROUNDUP(SUM(BO22:BO560),0)</f>
        <v>3</v>
      </c>
      <c r="Y565" s="42">
        <f>ROUNDUP(SUM(BP22:BP560),0)</f>
        <v>3</v>
      </c>
      <c r="Z565" s="40"/>
      <c r="AA565" s="64"/>
      <c r="AB565" s="64"/>
      <c r="AC565" s="64"/>
    </row>
    <row r="566" spans="1:32" x14ac:dyDescent="0.2">
      <c r="A566" s="662"/>
      <c r="B566" s="662"/>
      <c r="C566" s="662"/>
      <c r="D566" s="662"/>
      <c r="E566" s="662"/>
      <c r="F566" s="662"/>
      <c r="G566" s="662"/>
      <c r="H566" s="662"/>
      <c r="I566" s="662"/>
      <c r="J566" s="662"/>
      <c r="K566" s="662"/>
      <c r="L566" s="662"/>
      <c r="M566" s="662"/>
      <c r="N566" s="662"/>
      <c r="O566" s="673"/>
      <c r="P566" s="670" t="s">
        <v>36</v>
      </c>
      <c r="Q566" s="671"/>
      <c r="R566" s="671"/>
      <c r="S566" s="671"/>
      <c r="T566" s="671"/>
      <c r="U566" s="671"/>
      <c r="V566" s="672"/>
      <c r="W566" s="40" t="s">
        <v>0</v>
      </c>
      <c r="X566" s="41">
        <f>GrossWeightTotal+PalletQtyTotal*25</f>
        <v>1931.3999999999996</v>
      </c>
      <c r="Y566" s="41">
        <f>GrossWeightTotalR+PalletQtyTotalR*25</f>
        <v>1962.3400000000001</v>
      </c>
      <c r="Z566" s="40"/>
      <c r="AA566" s="64"/>
      <c r="AB566" s="64"/>
      <c r="AC566" s="64"/>
    </row>
    <row r="567" spans="1:32" x14ac:dyDescent="0.2">
      <c r="A567" s="662"/>
      <c r="B567" s="662"/>
      <c r="C567" s="662"/>
      <c r="D567" s="662"/>
      <c r="E567" s="662"/>
      <c r="F567" s="662"/>
      <c r="G567" s="662"/>
      <c r="H567" s="662"/>
      <c r="I567" s="662"/>
      <c r="J567" s="662"/>
      <c r="K567" s="662"/>
      <c r="L567" s="662"/>
      <c r="M567" s="662"/>
      <c r="N567" s="662"/>
      <c r="O567" s="673"/>
      <c r="P567" s="670" t="s">
        <v>37</v>
      </c>
      <c r="Q567" s="671"/>
      <c r="R567" s="671"/>
      <c r="S567" s="671"/>
      <c r="T567" s="671"/>
      <c r="U567" s="671"/>
      <c r="V567" s="672"/>
      <c r="W567" s="40" t="s">
        <v>20</v>
      </c>
      <c r="X567" s="41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120</v>
      </c>
      <c r="Y567" s="41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122</v>
      </c>
      <c r="Z567" s="40"/>
      <c r="AA567" s="64"/>
      <c r="AB567" s="64"/>
      <c r="AC567" s="64"/>
    </row>
    <row r="568" spans="1:32" ht="14.25" hidden="1" x14ac:dyDescent="0.2">
      <c r="A568" s="662"/>
      <c r="B568" s="662"/>
      <c r="C568" s="662"/>
      <c r="D568" s="662"/>
      <c r="E568" s="662"/>
      <c r="F568" s="662"/>
      <c r="G568" s="662"/>
      <c r="H568" s="662"/>
      <c r="I568" s="662"/>
      <c r="J568" s="662"/>
      <c r="K568" s="662"/>
      <c r="L568" s="662"/>
      <c r="M568" s="662"/>
      <c r="N568" s="662"/>
      <c r="O568" s="673"/>
      <c r="P568" s="670" t="s">
        <v>38</v>
      </c>
      <c r="Q568" s="671"/>
      <c r="R568" s="671"/>
      <c r="S568" s="671"/>
      <c r="T568" s="671"/>
      <c r="U568" s="671"/>
      <c r="V568" s="672"/>
      <c r="W568" s="43" t="s">
        <v>52</v>
      </c>
      <c r="X568" s="40"/>
      <c r="Y568" s="40"/>
      <c r="Z568" s="40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2.6534999999999997</v>
      </c>
      <c r="AA568" s="64"/>
      <c r="AB568" s="64"/>
      <c r="AC568" s="64"/>
    </row>
    <row r="569" spans="1:32" ht="13.5" thickBot="1" x14ac:dyDescent="0.25"/>
    <row r="570" spans="1:32" ht="27" thickTop="1" thickBot="1" x14ac:dyDescent="0.25">
      <c r="A570" s="44" t="s">
        <v>9</v>
      </c>
      <c r="B570" s="80" t="s">
        <v>76</v>
      </c>
      <c r="C570" s="80" t="s">
        <v>45</v>
      </c>
      <c r="D570" s="655" t="s">
        <v>120</v>
      </c>
      <c r="E570" s="655" t="s">
        <v>120</v>
      </c>
      <c r="F570" s="655" t="s">
        <v>120</v>
      </c>
      <c r="G570" s="655" t="s">
        <v>120</v>
      </c>
      <c r="H570" s="655" t="s">
        <v>120</v>
      </c>
      <c r="I570" s="655" t="s">
        <v>120</v>
      </c>
      <c r="J570" s="655" t="s">
        <v>120</v>
      </c>
      <c r="K570" s="655" t="s">
        <v>370</v>
      </c>
      <c r="L570" s="655" t="s">
        <v>370</v>
      </c>
      <c r="M570" s="655" t="s">
        <v>370</v>
      </c>
      <c r="N570" s="656"/>
      <c r="O570" s="655" t="s">
        <v>370</v>
      </c>
      <c r="P570" s="655" t="s">
        <v>370</v>
      </c>
      <c r="Q570" s="655" t="s">
        <v>370</v>
      </c>
      <c r="R570" s="655" t="s">
        <v>370</v>
      </c>
      <c r="S570" s="655" t="s">
        <v>370</v>
      </c>
      <c r="T570" s="655" t="s">
        <v>370</v>
      </c>
      <c r="U570" s="655" t="s">
        <v>370</v>
      </c>
      <c r="V570" s="655" t="s">
        <v>370</v>
      </c>
      <c r="W570" s="655" t="s">
        <v>713</v>
      </c>
      <c r="X570" s="655" t="s">
        <v>713</v>
      </c>
      <c r="Y570" s="655" t="s">
        <v>779</v>
      </c>
      <c r="Z570" s="655" t="s">
        <v>779</v>
      </c>
      <c r="AA570" s="80" t="s">
        <v>815</v>
      </c>
      <c r="AB570" s="655" t="s">
        <v>862</v>
      </c>
      <c r="AC570" s="655" t="s">
        <v>862</v>
      </c>
      <c r="AF570" s="1"/>
    </row>
    <row r="571" spans="1:32" ht="14.25" customHeight="1" thickTop="1" x14ac:dyDescent="0.2">
      <c r="A571" s="657" t="s">
        <v>10</v>
      </c>
      <c r="B571" s="655" t="s">
        <v>76</v>
      </c>
      <c r="C571" s="655" t="s">
        <v>104</v>
      </c>
      <c r="D571" s="655" t="s">
        <v>121</v>
      </c>
      <c r="E571" s="655" t="s">
        <v>137</v>
      </c>
      <c r="F571" s="655" t="s">
        <v>182</v>
      </c>
      <c r="G571" s="655" t="s">
        <v>212</v>
      </c>
      <c r="H571" s="655" t="s">
        <v>265</v>
      </c>
      <c r="I571" s="655" t="s">
        <v>278</v>
      </c>
      <c r="J571" s="655" t="s">
        <v>120</v>
      </c>
      <c r="K571" s="655" t="s">
        <v>371</v>
      </c>
      <c r="L571" s="655" t="s">
        <v>392</v>
      </c>
      <c r="M571" s="655" t="s">
        <v>459</v>
      </c>
      <c r="N571" s="1"/>
      <c r="O571" s="655" t="s">
        <v>527</v>
      </c>
      <c r="P571" s="655" t="s">
        <v>560</v>
      </c>
      <c r="Q571" s="655" t="s">
        <v>576</v>
      </c>
      <c r="R571" s="655" t="s">
        <v>585</v>
      </c>
      <c r="S571" s="655" t="s">
        <v>606</v>
      </c>
      <c r="T571" s="655" t="s">
        <v>615</v>
      </c>
      <c r="U571" s="655" t="s">
        <v>696</v>
      </c>
      <c r="V571" s="655" t="s">
        <v>703</v>
      </c>
      <c r="W571" s="655" t="s">
        <v>714</v>
      </c>
      <c r="X571" s="655" t="s">
        <v>763</v>
      </c>
      <c r="Y571" s="655" t="s">
        <v>780</v>
      </c>
      <c r="Z571" s="655" t="s">
        <v>803</v>
      </c>
      <c r="AA571" s="655" t="s">
        <v>815</v>
      </c>
      <c r="AB571" s="655" t="s">
        <v>862</v>
      </c>
      <c r="AC571" s="655" t="s">
        <v>881</v>
      </c>
      <c r="AF571" s="1"/>
    </row>
    <row r="572" spans="1:32" ht="13.5" thickBot="1" x14ac:dyDescent="0.25">
      <c r="A572" s="658"/>
      <c r="B572" s="655"/>
      <c r="C572" s="655"/>
      <c r="D572" s="655"/>
      <c r="E572" s="655"/>
      <c r="F572" s="655"/>
      <c r="G572" s="655"/>
      <c r="H572" s="655"/>
      <c r="I572" s="655"/>
      <c r="J572" s="655"/>
      <c r="K572" s="655"/>
      <c r="L572" s="655"/>
      <c r="M572" s="655"/>
      <c r="N572" s="1"/>
      <c r="O572" s="655"/>
      <c r="P572" s="655"/>
      <c r="Q572" s="655"/>
      <c r="R572" s="655"/>
      <c r="S572" s="655"/>
      <c r="T572" s="655"/>
      <c r="U572" s="655"/>
      <c r="V572" s="655"/>
      <c r="W572" s="655"/>
      <c r="X572" s="655"/>
      <c r="Y572" s="655"/>
      <c r="Z572" s="655"/>
      <c r="AA572" s="655"/>
      <c r="AB572" s="655"/>
      <c r="AC572" s="655"/>
      <c r="AF572" s="1"/>
    </row>
    <row r="573" spans="1:32" ht="18" thickTop="1" thickBot="1" x14ac:dyDescent="0.25">
      <c r="A573" s="44" t="s">
        <v>13</v>
      </c>
      <c r="B573" s="50">
        <f>IFERROR(Y22*1,"0")+IFERROR(Y23*1,"0")+IFERROR(Y27*1,"0")+IFERROR(Y28*1,"0")+IFERROR(Y29*1,"0")+IFERROR(Y30*1,"0")+IFERROR(Y31*1,"0")</f>
        <v>0</v>
      </c>
      <c r="C573" s="50">
        <f>IFERROR(Y37*1,"0")+IFERROR(Y38*1,"0")+IFERROR(Y39*1,"0")+IFERROR(Y40*1,"0")+IFERROR(Y41*1,"0")</f>
        <v>0</v>
      </c>
      <c r="D573" s="50">
        <f>IFERROR(Y47*1,"0")+IFERROR(Y48*1,"0")+IFERROR(Y49*1,"0")+IFERROR(Y50*1,"0")</f>
        <v>0</v>
      </c>
      <c r="E573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3" s="50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3" s="50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3" s="50">
        <f>IFERROR(Y140*1,"0")+IFERROR(Y141*1,"0")+IFERROR(Y145*1,"0")+IFERROR(Y146*1,"0")+IFERROR(Y150*1,"0")+IFERROR(Y151*1,"0")</f>
        <v>0</v>
      </c>
      <c r="I573" s="50">
        <f>IFERROR(Y156*1,"0")+IFERROR(Y157*1,"0")+IFERROR(Y158*1,"0")+IFERROR(Y159*1,"0")+IFERROR(Y160*1,"0")+IFERROR(Y161*1,"0")+IFERROR(Y162*1,"0")+IFERROR(Y166*1,"0")</f>
        <v>0</v>
      </c>
      <c r="J573" s="50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3" s="50">
        <f>IFERROR(Y215*1,"0")+IFERROR(Y216*1,"0")+IFERROR(Y217*1,"0")+IFERROR(Y218*1,"0")+IFERROR(Y219*1,"0")+IFERROR(Y220*1,"0")+IFERROR(Y221*1,"0")</f>
        <v>0</v>
      </c>
      <c r="L573" s="50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3" s="50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3" s="1"/>
      <c r="O573" s="50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3" s="50">
        <f>IFERROR(Y333*1,"0")+IFERROR(Y334*1,"0")+IFERROR(Y335*1,"0")+IFERROR(Y336*1,"0")+IFERROR(Y337*1,"0")</f>
        <v>0</v>
      </c>
      <c r="Q573" s="50">
        <f>IFERROR(Y342*1,"0")+IFERROR(Y343*1,"0")+IFERROR(Y344*1,"0")</f>
        <v>0</v>
      </c>
      <c r="R573" s="50">
        <f>IFERROR(Y349*1,"0")+IFERROR(Y350*1,"0")+IFERROR(Y351*1,"0")+IFERROR(Y352*1,"0")+IFERROR(Y353*1,"0")+IFERROR(Y357*1,"0")+IFERROR(Y358*1,"0")</f>
        <v>0</v>
      </c>
      <c r="S573" s="50">
        <f>IFERROR(Y363*1,"0")+IFERROR(Y364*1,"0")+IFERROR(Y365*1,"0")</f>
        <v>0</v>
      </c>
      <c r="T573" s="50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0</v>
      </c>
      <c r="U573" s="50">
        <f>IFERROR(Y421*1,"0")+IFERROR(Y422*1,"0")</f>
        <v>0</v>
      </c>
      <c r="V573" s="50">
        <f>IFERROR(Y427*1,"0")+IFERROR(Y428*1,"0")+IFERROR(Y429*1,"0")</f>
        <v>0</v>
      </c>
      <c r="W573" s="50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1830</v>
      </c>
      <c r="X573" s="50">
        <f>IFERROR(Y464*1,"0")+IFERROR(Y465*1,"0")+IFERROR(Y469*1,"0")+IFERROR(Y473*1,"0")+IFERROR(Y474*1,"0")+IFERROR(Y475*1,"0")</f>
        <v>0</v>
      </c>
      <c r="Y573" s="50">
        <f>IFERROR(Y481*1,"0")+IFERROR(Y482*1,"0")+IFERROR(Y483*1,"0")+IFERROR(Y484*1,"0")+IFERROR(Y485*1,"0")+IFERROR(Y486*1,"0")+IFERROR(Y490*1,"0")+IFERROR(Y491*1,"0")</f>
        <v>0</v>
      </c>
      <c r="Z573" s="50">
        <f>IFERROR(Y496*1,"0")+IFERROR(Y500*1,"0")+IFERROR(Y501*1,"0")+IFERROR(Y502*1,"0")</f>
        <v>0</v>
      </c>
      <c r="AA573" s="50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0</v>
      </c>
      <c r="AB573" s="50">
        <f>IFERROR(Y538*1,"0")+IFERROR(Y542*1,"0")+IFERROR(Y546*1,"0")+IFERROR(Y550*1,"0")+IFERROR(Y554*1,"0")+IFERROR(Y555*1,"0")</f>
        <v>0</v>
      </c>
      <c r="AC573" s="50">
        <f>IFERROR(Y560*1,"0")</f>
        <v>0</v>
      </c>
      <c r="AF573" s="1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 800,00"/>
        <filter val="1 856,40"/>
        <filter val="1 931,40"/>
        <filter val="120,00"/>
        <filter val="3"/>
        <filter val="300,00"/>
        <filter val="33,33"/>
        <filter val="500,00"/>
        <filter val="86,67"/>
      </filters>
    </filterColumn>
    <filterColumn colId="29" showButton="0"/>
    <filterColumn colId="30" showButton="0"/>
  </autoFilter>
  <dataConsolidate/>
  <mergeCells count="101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A433:Z433"/>
    <mergeCell ref="A434:Z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A479:Z479"/>
    <mergeCell ref="A480:Z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P533:V533"/>
    <mergeCell ref="A533:O534"/>
    <mergeCell ref="P534:V534"/>
    <mergeCell ref="A535:Z535"/>
    <mergeCell ref="A536:Z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P551:V551"/>
    <mergeCell ref="A551:O552"/>
    <mergeCell ref="P552:V552"/>
    <mergeCell ref="A553:Z553"/>
    <mergeCell ref="D554:E554"/>
    <mergeCell ref="P554:T554"/>
    <mergeCell ref="D555:E555"/>
    <mergeCell ref="P555:T555"/>
    <mergeCell ref="AB571:AB572"/>
    <mergeCell ref="P556:V556"/>
    <mergeCell ref="A556:O557"/>
    <mergeCell ref="P557:V557"/>
    <mergeCell ref="A558:Z558"/>
    <mergeCell ref="A559:Z559"/>
    <mergeCell ref="D560:E560"/>
    <mergeCell ref="P560:T560"/>
    <mergeCell ref="P561:V561"/>
    <mergeCell ref="A561:O562"/>
    <mergeCell ref="P562:V562"/>
    <mergeCell ref="P563:V563"/>
    <mergeCell ref="A563:O568"/>
    <mergeCell ref="P564:V564"/>
    <mergeCell ref="P565:V565"/>
    <mergeCell ref="P566:V566"/>
    <mergeCell ref="P567:V567"/>
    <mergeCell ref="P568:V568"/>
    <mergeCell ref="AC571:AC572"/>
    <mergeCell ref="D570:J570"/>
    <mergeCell ref="K570:V570"/>
    <mergeCell ref="W570:X570"/>
    <mergeCell ref="Y570:Z570"/>
    <mergeCell ref="AB570:AC570"/>
    <mergeCell ref="A571:A572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K571:K572"/>
    <mergeCell ref="L571:L572"/>
    <mergeCell ref="M571:M572"/>
    <mergeCell ref="O571:O572"/>
    <mergeCell ref="P571:P572"/>
    <mergeCell ref="Q571:Q572"/>
    <mergeCell ref="R571:R572"/>
    <mergeCell ref="S571:S572"/>
    <mergeCell ref="T571:T572"/>
    <mergeCell ref="U571:U572"/>
    <mergeCell ref="V571:V572"/>
    <mergeCell ref="W571:W572"/>
    <mergeCell ref="X571:X572"/>
    <mergeCell ref="Y571:Y572"/>
    <mergeCell ref="Z571:Z572"/>
    <mergeCell ref="AA571:AA572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 P8">
    <cfRule type="expression" dxfId="2" priority="2" stopIfTrue="1">
      <formula>IF($V$5="доставка",1,0)</formula>
    </cfRule>
  </conditionalFormatting>
  <conditionalFormatting sqref="P9:R13">
    <cfRule type="expression" dxfId="1" priority="14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885</v>
      </c>
      <c r="H1" s="9"/>
    </row>
    <row r="3" spans="2:8" x14ac:dyDescent="0.2">
      <c r="B3" s="51" t="s">
        <v>886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887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888</v>
      </c>
      <c r="C6" s="51" t="s">
        <v>889</v>
      </c>
      <c r="D6" s="51" t="s">
        <v>890</v>
      </c>
      <c r="E6" s="51" t="s">
        <v>46</v>
      </c>
    </row>
    <row r="7" spans="2:8" x14ac:dyDescent="0.2">
      <c r="B7" s="51" t="s">
        <v>891</v>
      </c>
      <c r="C7" s="51" t="s">
        <v>892</v>
      </c>
      <c r="D7" s="51" t="s">
        <v>893</v>
      </c>
      <c r="E7" s="51" t="s">
        <v>46</v>
      </c>
    </row>
    <row r="8" spans="2:8" x14ac:dyDescent="0.2">
      <c r="B8" s="51" t="s">
        <v>894</v>
      </c>
      <c r="C8" s="51" t="s">
        <v>895</v>
      </c>
      <c r="D8" s="51" t="s">
        <v>896</v>
      </c>
      <c r="E8" s="51" t="s">
        <v>46</v>
      </c>
    </row>
    <row r="9" spans="2:8" x14ac:dyDescent="0.2">
      <c r="B9" s="51" t="s">
        <v>897</v>
      </c>
      <c r="C9" s="51" t="s">
        <v>898</v>
      </c>
      <c r="D9" s="51" t="s">
        <v>899</v>
      </c>
      <c r="E9" s="51" t="s">
        <v>46</v>
      </c>
    </row>
    <row r="10" spans="2:8" x14ac:dyDescent="0.2">
      <c r="B10" s="51" t="s">
        <v>900</v>
      </c>
      <c r="C10" s="51" t="s">
        <v>901</v>
      </c>
      <c r="D10" s="51" t="s">
        <v>902</v>
      </c>
      <c r="E10" s="51" t="s">
        <v>46</v>
      </c>
    </row>
    <row r="11" spans="2:8" x14ac:dyDescent="0.2">
      <c r="B11" s="51" t="s">
        <v>903</v>
      </c>
      <c r="C11" s="51" t="s">
        <v>904</v>
      </c>
      <c r="D11" s="51" t="s">
        <v>905</v>
      </c>
      <c r="E11" s="51" t="s">
        <v>46</v>
      </c>
    </row>
    <row r="12" spans="2:8" x14ac:dyDescent="0.2">
      <c r="B12" s="51" t="s">
        <v>906</v>
      </c>
      <c r="C12" s="51" t="s">
        <v>907</v>
      </c>
      <c r="D12" s="51" t="s">
        <v>908</v>
      </c>
      <c r="E12" s="51" t="s">
        <v>46</v>
      </c>
    </row>
    <row r="14" spans="2:8" x14ac:dyDescent="0.2">
      <c r="B14" s="51" t="s">
        <v>909</v>
      </c>
      <c r="C14" s="51" t="s">
        <v>889</v>
      </c>
      <c r="D14" s="51" t="s">
        <v>46</v>
      </c>
      <c r="E14" s="51" t="s">
        <v>46</v>
      </c>
    </row>
    <row r="16" spans="2:8" x14ac:dyDescent="0.2">
      <c r="B16" s="51" t="s">
        <v>910</v>
      </c>
      <c r="C16" s="51" t="s">
        <v>892</v>
      </c>
      <c r="D16" s="51" t="s">
        <v>46</v>
      </c>
      <c r="E16" s="51" t="s">
        <v>46</v>
      </c>
    </row>
    <row r="18" spans="2:5" x14ac:dyDescent="0.2">
      <c r="B18" s="51" t="s">
        <v>911</v>
      </c>
      <c r="C18" s="51" t="s">
        <v>895</v>
      </c>
      <c r="D18" s="51" t="s">
        <v>46</v>
      </c>
      <c r="E18" s="51" t="s">
        <v>46</v>
      </c>
    </row>
    <row r="20" spans="2:5" x14ac:dyDescent="0.2">
      <c r="B20" s="51" t="s">
        <v>912</v>
      </c>
      <c r="C20" s="51" t="s">
        <v>898</v>
      </c>
      <c r="D20" s="51" t="s">
        <v>46</v>
      </c>
      <c r="E20" s="51" t="s">
        <v>46</v>
      </c>
    </row>
    <row r="22" spans="2:5" x14ac:dyDescent="0.2">
      <c r="B22" s="51" t="s">
        <v>913</v>
      </c>
      <c r="C22" s="51" t="s">
        <v>901</v>
      </c>
      <c r="D22" s="51" t="s">
        <v>46</v>
      </c>
      <c r="E22" s="51" t="s">
        <v>46</v>
      </c>
    </row>
    <row r="24" spans="2:5" x14ac:dyDescent="0.2">
      <c r="B24" s="51" t="s">
        <v>914</v>
      </c>
      <c r="C24" s="51" t="s">
        <v>904</v>
      </c>
      <c r="D24" s="51" t="s">
        <v>46</v>
      </c>
      <c r="E24" s="51" t="s">
        <v>46</v>
      </c>
    </row>
    <row r="26" spans="2:5" x14ac:dyDescent="0.2">
      <c r="B26" s="51" t="s">
        <v>915</v>
      </c>
      <c r="C26" s="51" t="s">
        <v>907</v>
      </c>
      <c r="D26" s="51" t="s">
        <v>46</v>
      </c>
      <c r="E26" s="51" t="s">
        <v>46</v>
      </c>
    </row>
    <row r="28" spans="2:5" x14ac:dyDescent="0.2">
      <c r="B28" s="51" t="s">
        <v>916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917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918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919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920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921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922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923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924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925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926</v>
      </c>
      <c r="C38" s="51" t="s">
        <v>46</v>
      </c>
      <c r="D38" s="51" t="s">
        <v>46</v>
      </c>
      <c r="E38" s="51" t="s">
        <v>46</v>
      </c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2026-09-05T06:39:28Z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