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03,09,26 ПОКОМ КИ\дозаказы 05-06,09,26\"/>
    </mc:Choice>
  </mc:AlternateContent>
  <xr:revisionPtr revIDLastSave="0" documentId="13_ncr:1_{F2CEE876-ACA0-44F9-A2EC-11E583EF4C7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Y524" i="2" s="1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P513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Z509" i="2" s="1"/>
  <c r="P509" i="2"/>
  <c r="BO508" i="2"/>
  <c r="BM508" i="2"/>
  <c r="Y508" i="2"/>
  <c r="BN508" i="2" s="1"/>
  <c r="P508" i="2"/>
  <c r="X504" i="2"/>
  <c r="X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P485" i="2"/>
  <c r="BO485" i="2"/>
  <c r="BM485" i="2"/>
  <c r="Y485" i="2"/>
  <c r="BN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P482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Y477" i="2" s="1"/>
  <c r="P473" i="2"/>
  <c r="X471" i="2"/>
  <c r="X470" i="2"/>
  <c r="BO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P464" i="2"/>
  <c r="X461" i="2"/>
  <c r="X460" i="2"/>
  <c r="BO459" i="2"/>
  <c r="BM459" i="2"/>
  <c r="Y459" i="2"/>
  <c r="Z459" i="2" s="1"/>
  <c r="P459" i="2"/>
  <c r="BP458" i="2"/>
  <c r="BO458" i="2"/>
  <c r="BN458" i="2"/>
  <c r="BM458" i="2"/>
  <c r="Z458" i="2"/>
  <c r="Z460" i="2" s="1"/>
  <c r="Y458" i="2"/>
  <c r="P458" i="2"/>
  <c r="X456" i="2"/>
  <c r="X455" i="2"/>
  <c r="BO454" i="2"/>
  <c r="BM454" i="2"/>
  <c r="Y454" i="2"/>
  <c r="BN454" i="2" s="1"/>
  <c r="P454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Z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BN435" i="2" s="1"/>
  <c r="P435" i="2"/>
  <c r="X431" i="2"/>
  <c r="X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Y430" i="2" s="1"/>
  <c r="P427" i="2"/>
  <c r="X424" i="2"/>
  <c r="X423" i="2"/>
  <c r="BP422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Y418" i="2" s="1"/>
  <c r="P414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Y411" i="2" s="1"/>
  <c r="P408" i="2"/>
  <c r="X406" i="2"/>
  <c r="X405" i="2"/>
  <c r="BO404" i="2"/>
  <c r="BM404" i="2"/>
  <c r="Y404" i="2"/>
  <c r="BN404" i="2" s="1"/>
  <c r="P404" i="2"/>
  <c r="BP403" i="2"/>
  <c r="BO403" i="2"/>
  <c r="BM403" i="2"/>
  <c r="Y403" i="2"/>
  <c r="BN403" i="2" s="1"/>
  <c r="P403" i="2"/>
  <c r="BO402" i="2"/>
  <c r="BM402" i="2"/>
  <c r="Y402" i="2"/>
  <c r="P402" i="2"/>
  <c r="BO401" i="2"/>
  <c r="BM401" i="2"/>
  <c r="Y401" i="2"/>
  <c r="BP401" i="2" s="1"/>
  <c r="P401" i="2"/>
  <c r="X399" i="2"/>
  <c r="X398" i="2"/>
  <c r="BO397" i="2"/>
  <c r="BM397" i="2"/>
  <c r="Z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Y399" i="2" s="1"/>
  <c r="P395" i="2"/>
  <c r="X393" i="2"/>
  <c r="X392" i="2"/>
  <c r="BO391" i="2"/>
  <c r="BM391" i="2"/>
  <c r="Y391" i="2"/>
  <c r="Z391" i="2" s="1"/>
  <c r="P391" i="2"/>
  <c r="BP390" i="2"/>
  <c r="BO390" i="2"/>
  <c r="BN390" i="2"/>
  <c r="BM390" i="2"/>
  <c r="Z390" i="2"/>
  <c r="Y390" i="2"/>
  <c r="P390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P382" i="2"/>
  <c r="BO382" i="2"/>
  <c r="BM382" i="2"/>
  <c r="Y382" i="2"/>
  <c r="BN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P379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X355" i="2"/>
  <c r="X354" i="2"/>
  <c r="BO353" i="2"/>
  <c r="BM353" i="2"/>
  <c r="Z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P350" i="2"/>
  <c r="BP349" i="2"/>
  <c r="BO349" i="2"/>
  <c r="BM349" i="2"/>
  <c r="Y349" i="2"/>
  <c r="BN349" i="2" s="1"/>
  <c r="P349" i="2"/>
  <c r="X346" i="2"/>
  <c r="X345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Y323" i="2"/>
  <c r="X323" i="2"/>
  <c r="BO322" i="2"/>
  <c r="BM322" i="2"/>
  <c r="Y322" i="2"/>
  <c r="Y324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P302" i="2"/>
  <c r="BO302" i="2"/>
  <c r="BM302" i="2"/>
  <c r="Y302" i="2"/>
  <c r="BN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P295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Z287" i="2"/>
  <c r="Y287" i="2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P280" i="2"/>
  <c r="BO280" i="2"/>
  <c r="BM280" i="2"/>
  <c r="Y280" i="2"/>
  <c r="P280" i="2"/>
  <c r="BP279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Z276" i="2" s="1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P249" i="2"/>
  <c r="BO249" i="2"/>
  <c r="BM249" i="2"/>
  <c r="Y249" i="2"/>
  <c r="BN249" i="2" s="1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P233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Z230" i="2"/>
  <c r="Y230" i="2"/>
  <c r="BN230" i="2" s="1"/>
  <c r="P230" i="2"/>
  <c r="X228" i="2"/>
  <c r="X227" i="2"/>
  <c r="BP226" i="2"/>
  <c r="BO226" i="2"/>
  <c r="BM226" i="2"/>
  <c r="Y226" i="2"/>
  <c r="Y227" i="2" s="1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P216" i="2"/>
  <c r="BO216" i="2"/>
  <c r="BN216" i="2"/>
  <c r="BM216" i="2"/>
  <c r="Z216" i="2"/>
  <c r="Y216" i="2"/>
  <c r="P216" i="2"/>
  <c r="BO215" i="2"/>
  <c r="BM215" i="2"/>
  <c r="Y215" i="2"/>
  <c r="BP215" i="2" s="1"/>
  <c r="P215" i="2"/>
  <c r="X211" i="2"/>
  <c r="X210" i="2"/>
  <c r="BP209" i="2"/>
  <c r="BO209" i="2"/>
  <c r="BM209" i="2"/>
  <c r="Y209" i="2"/>
  <c r="Y211" i="2" s="1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Z190" i="2"/>
  <c r="Y190" i="2"/>
  <c r="BN190" i="2" s="1"/>
  <c r="P190" i="2"/>
  <c r="BO189" i="2"/>
  <c r="BM189" i="2"/>
  <c r="Y189" i="2"/>
  <c r="BP189" i="2" s="1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Z171" i="2"/>
  <c r="Y171" i="2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Y162" i="2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P151" i="2"/>
  <c r="BP150" i="2"/>
  <c r="BO150" i="2"/>
  <c r="BN150" i="2"/>
  <c r="BM150" i="2"/>
  <c r="Z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Z140" i="2"/>
  <c r="Z142" i="2" s="1"/>
  <c r="Y140" i="2"/>
  <c r="BN140" i="2" s="1"/>
  <c r="P140" i="2"/>
  <c r="X137" i="2"/>
  <c r="X136" i="2"/>
  <c r="BP135" i="2"/>
  <c r="BO135" i="2"/>
  <c r="BM135" i="2"/>
  <c r="Y135" i="2"/>
  <c r="BN135" i="2" s="1"/>
  <c r="BO134" i="2"/>
  <c r="BM134" i="2"/>
  <c r="Y134" i="2"/>
  <c r="Y137" i="2" s="1"/>
  <c r="P134" i="2"/>
  <c r="X132" i="2"/>
  <c r="X131" i="2"/>
  <c r="BP130" i="2"/>
  <c r="BO130" i="2"/>
  <c r="BM130" i="2"/>
  <c r="Y130" i="2"/>
  <c r="BN130" i="2" s="1"/>
  <c r="BO129" i="2"/>
  <c r="BM129" i="2"/>
  <c r="Y129" i="2"/>
  <c r="P129" i="2"/>
  <c r="BO128" i="2"/>
  <c r="BM128" i="2"/>
  <c r="Y128" i="2"/>
  <c r="BP128" i="2" s="1"/>
  <c r="BO127" i="2"/>
  <c r="BM127" i="2"/>
  <c r="Y127" i="2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Y113" i="2" s="1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Y96" i="2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P89" i="2"/>
  <c r="BO89" i="2"/>
  <c r="BM89" i="2"/>
  <c r="Y89" i="2"/>
  <c r="P89" i="2"/>
  <c r="BO88" i="2"/>
  <c r="BM88" i="2"/>
  <c r="Y88" i="2"/>
  <c r="P88" i="2"/>
  <c r="BO87" i="2"/>
  <c r="BM87" i="2"/>
  <c r="Y87" i="2"/>
  <c r="BO86" i="2"/>
  <c r="BM86" i="2"/>
  <c r="Z86" i="2"/>
  <c r="Y86" i="2"/>
  <c r="BN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P73" i="2"/>
  <c r="BO73" i="2"/>
  <c r="BM73" i="2"/>
  <c r="Y73" i="2"/>
  <c r="P73" i="2"/>
  <c r="BO72" i="2"/>
  <c r="BM72" i="2"/>
  <c r="Y72" i="2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P56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P48" i="2"/>
  <c r="BO48" i="2"/>
  <c r="BN48" i="2"/>
  <c r="BM48" i="2"/>
  <c r="Z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N30" i="2" l="1"/>
  <c r="BN40" i="2"/>
  <c r="BN50" i="2"/>
  <c r="BN57" i="2"/>
  <c r="BP105" i="2"/>
  <c r="BN105" i="2"/>
  <c r="Z105" i="2"/>
  <c r="BN108" i="2"/>
  <c r="Z108" i="2"/>
  <c r="BN129" i="2"/>
  <c r="Z129" i="2"/>
  <c r="Y153" i="2"/>
  <c r="BP151" i="2"/>
  <c r="BN162" i="2"/>
  <c r="Z162" i="2"/>
  <c r="BN217" i="2"/>
  <c r="Y263" i="2"/>
  <c r="Y262" i="2"/>
  <c r="BP261" i="2"/>
  <c r="BN261" i="2"/>
  <c r="Z261" i="2"/>
  <c r="Z262" i="2" s="1"/>
  <c r="BN272" i="2"/>
  <c r="BP272" i="2"/>
  <c r="BN277" i="2"/>
  <c r="Z277" i="2"/>
  <c r="Z281" i="2"/>
  <c r="BN281" i="2"/>
  <c r="X567" i="2"/>
  <c r="BN96" i="2"/>
  <c r="Z96" i="2"/>
  <c r="BN116" i="2"/>
  <c r="Z116" i="2"/>
  <c r="BN127" i="2"/>
  <c r="Z127" i="2"/>
  <c r="BP129" i="2"/>
  <c r="BN177" i="2"/>
  <c r="Z177" i="2"/>
  <c r="BN242" i="2"/>
  <c r="BP242" i="2"/>
  <c r="BN280" i="2"/>
  <c r="Z280" i="2"/>
  <c r="BN297" i="2"/>
  <c r="BN312" i="2"/>
  <c r="BN350" i="2"/>
  <c r="BN357" i="2"/>
  <c r="BN380" i="2"/>
  <c r="BN391" i="2"/>
  <c r="BN401" i="2"/>
  <c r="BP404" i="2"/>
  <c r="BN436" i="2"/>
  <c r="BN459" i="2"/>
  <c r="BN483" i="2"/>
  <c r="BN27" i="2"/>
  <c r="Y42" i="2"/>
  <c r="BN59" i="2"/>
  <c r="BN117" i="2"/>
  <c r="BP140" i="2"/>
  <c r="BN141" i="2"/>
  <c r="BN185" i="2"/>
  <c r="BN193" i="2"/>
  <c r="Y228" i="2"/>
  <c r="BN267" i="2"/>
  <c r="BN276" i="2"/>
  <c r="BP289" i="2"/>
  <c r="BN290" i="2"/>
  <c r="BP292" i="2"/>
  <c r="BN322" i="2"/>
  <c r="BN335" i="2"/>
  <c r="BP344" i="2"/>
  <c r="Y360" i="2"/>
  <c r="BP372" i="2"/>
  <c r="BP389" i="2"/>
  <c r="Y406" i="2"/>
  <c r="Z404" i="2"/>
  <c r="Z409" i="2"/>
  <c r="BN410" i="2"/>
  <c r="BP414" i="2"/>
  <c r="BP427" i="2"/>
  <c r="BN428" i="2"/>
  <c r="Z435" i="2"/>
  <c r="BN440" i="2"/>
  <c r="BP453" i="2"/>
  <c r="X573" i="2"/>
  <c r="BN469" i="2"/>
  <c r="BP473" i="2"/>
  <c r="Y504" i="2"/>
  <c r="BP510" i="2"/>
  <c r="BN515" i="2"/>
  <c r="BP520" i="2"/>
  <c r="BN528" i="2"/>
  <c r="BP530" i="2"/>
  <c r="BN438" i="2"/>
  <c r="X565" i="2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BP178" i="2"/>
  <c r="Z178" i="2"/>
  <c r="Z179" i="2" s="1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6" i="2" s="1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Z152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73" i="2" s="1"/>
  <c r="Z282" i="2"/>
  <c r="Z292" i="2"/>
  <c r="BP294" i="2"/>
  <c r="Z302" i="2"/>
  <c r="Z313" i="2"/>
  <c r="BP327" i="2"/>
  <c r="Z336" i="2"/>
  <c r="BP363" i="2"/>
  <c r="Z372" i="2"/>
  <c r="BP374" i="2"/>
  <c r="Z382" i="2"/>
  <c r="BP384" i="2"/>
  <c r="Z414" i="2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Z449" i="2" s="1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1" i="2" s="1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Z366" i="2" s="1"/>
  <c r="BN397" i="2"/>
  <c r="Y423" i="2"/>
  <c r="BP435" i="2"/>
  <c r="Y444" i="2"/>
  <c r="Z453" i="2"/>
  <c r="Y467" i="2"/>
  <c r="BN490" i="2"/>
  <c r="Z501" i="2"/>
  <c r="Z503" i="2" s="1"/>
  <c r="Z513" i="2"/>
  <c r="Z560" i="2"/>
  <c r="Z561" i="2" s="1"/>
  <c r="R573" i="2"/>
  <c r="BN542" i="2"/>
  <c r="BN554" i="2"/>
  <c r="S573" i="2"/>
  <c r="Z29" i="2"/>
  <c r="Z41" i="2"/>
  <c r="Z42" i="2" s="1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52" i="2" s="1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Z24" i="2" s="1"/>
  <c r="Y51" i="2"/>
  <c r="Z79" i="2"/>
  <c r="Z98" i="2"/>
  <c r="Z109" i="2"/>
  <c r="Z172" i="2"/>
  <c r="Z200" i="2"/>
  <c r="Z202" i="2" s="1"/>
  <c r="Z235" i="2"/>
  <c r="Z255" i="2"/>
  <c r="Y269" i="2"/>
  <c r="Z278" i="2"/>
  <c r="Z288" i="2"/>
  <c r="Z309" i="2"/>
  <c r="Z343" i="2"/>
  <c r="Z345" i="2" s="1"/>
  <c r="Y359" i="2"/>
  <c r="Z378" i="2"/>
  <c r="Z388" i="2"/>
  <c r="Z421" i="2"/>
  <c r="Z423" i="2" s="1"/>
  <c r="Z481" i="2"/>
  <c r="Z491" i="2"/>
  <c r="Z492" i="2" s="1"/>
  <c r="Y497" i="2"/>
  <c r="Z526" i="2"/>
  <c r="Z533" i="2" s="1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BP351" i="2"/>
  <c r="BN373" i="2"/>
  <c r="BN383" i="2"/>
  <c r="BP395" i="2"/>
  <c r="Z403" i="2"/>
  <c r="Z405" i="2" s="1"/>
  <c r="BN415" i="2"/>
  <c r="Z427" i="2"/>
  <c r="Z430" i="2" s="1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59" i="2"/>
  <c r="BN172" i="2"/>
  <c r="Z182" i="2"/>
  <c r="BN200" i="2"/>
  <c r="BN235" i="2"/>
  <c r="Z243" i="2"/>
  <c r="BN255" i="2"/>
  <c r="Y258" i="2"/>
  <c r="Z266" i="2"/>
  <c r="Z268" i="2" s="1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Z131" i="2" l="1"/>
  <c r="Z136" i="2"/>
  <c r="Z354" i="2"/>
  <c r="Z487" i="2"/>
  <c r="Z392" i="2"/>
  <c r="Z315" i="2"/>
  <c r="Z284" i="2"/>
  <c r="Z81" i="2"/>
  <c r="Z32" i="2"/>
  <c r="Z455" i="2"/>
  <c r="Z417" i="2"/>
  <c r="Z375" i="2"/>
  <c r="Z90" i="2"/>
  <c r="Z359" i="2"/>
  <c r="Y564" i="2"/>
  <c r="Z523" i="2"/>
  <c r="Z163" i="2"/>
  <c r="Y563" i="2"/>
  <c r="Z411" i="2"/>
  <c r="Y565" i="2"/>
  <c r="Z517" i="2"/>
  <c r="Z244" i="2"/>
  <c r="Z112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Y566" i="2" l="1"/>
  <c r="Z568" i="2"/>
</calcChain>
</file>

<file path=xl/sharedStrings.xml><?xml version="1.0" encoding="utf-8"?>
<sst xmlns="http://schemas.openxmlformats.org/spreadsheetml/2006/main" count="4391" uniqueCount="927">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</sst>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A438" sqref="AA43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9" t="s">
        <v>8</v>
      </c>
      <c r="B5" s="1009"/>
      <c r="C5" s="1009"/>
      <c r="D5" s="1010"/>
      <c r="E5" s="1010"/>
      <c r="F5" s="1011" t="s">
        <v>14</v>
      </c>
      <c r="G5" s="1011"/>
      <c r="H5" s="1010"/>
      <c r="I5" s="1010"/>
      <c r="J5" s="1010"/>
      <c r="K5" s="1010"/>
      <c r="L5" s="1010"/>
      <c r="M5" s="1010"/>
      <c r="N5" s="72"/>
      <c r="P5" s="27" t="s">
        <v>4</v>
      </c>
      <c r="Q5" s="1012">
        <v>46272</v>
      </c>
      <c r="R5" s="1012"/>
      <c r="T5" s="1013" t="s">
        <v>3</v>
      </c>
      <c r="U5" s="1014"/>
      <c r="V5" s="1015" t="s">
        <v>887</v>
      </c>
      <c r="W5" s="1016"/>
      <c r="AB5" s="59"/>
      <c r="AC5" s="59"/>
      <c r="AD5" s="59"/>
      <c r="AE5" s="59"/>
    </row>
    <row r="6" spans="1:32" s="17" customFormat="1" ht="24" customHeight="1" x14ac:dyDescent="0.2">
      <c r="A6" s="1009" t="s">
        <v>1</v>
      </c>
      <c r="B6" s="1009"/>
      <c r="C6" s="1009"/>
      <c r="D6" s="1017"/>
      <c r="E6" s="1017"/>
      <c r="F6" s="1017"/>
      <c r="G6" s="1017"/>
      <c r="H6" s="1017"/>
      <c r="I6" s="1017"/>
      <c r="J6" s="1017"/>
      <c r="K6" s="1017"/>
      <c r="L6" s="1017"/>
      <c r="M6" s="1017"/>
      <c r="N6" s="73"/>
      <c r="P6" s="27" t="s">
        <v>27</v>
      </c>
      <c r="Q6" s="1018" t="str">
        <f>IF(Q5=0," ",CHOOSE(WEEKDAY(Q5,2),"Понедельник","Вторник","Среда","Четверг","Пятница","Суббота","Воскресенье"))</f>
        <v>Понедельник</v>
      </c>
      <c r="R6" s="1018"/>
      <c r="T6" s="1019" t="s">
        <v>5</v>
      </c>
      <c r="U6" s="1020"/>
      <c r="V6" s="1021" t="s">
        <v>70</v>
      </c>
      <c r="W6" s="102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7">
        <f>IFERROR(VLOOKUP(DeliveryAddress,Table,3,0),1)</f>
        <v>1</v>
      </c>
      <c r="E7" s="1028"/>
      <c r="F7" s="1028"/>
      <c r="G7" s="1028"/>
      <c r="H7" s="1028"/>
      <c r="I7" s="1028"/>
      <c r="J7" s="1028"/>
      <c r="K7" s="1028"/>
      <c r="L7" s="1028"/>
      <c r="M7" s="1029"/>
      <c r="N7" s="74"/>
      <c r="P7" s="29"/>
      <c r="Q7" s="48"/>
      <c r="R7" s="48"/>
      <c r="T7" s="1019"/>
      <c r="U7" s="1020"/>
      <c r="V7" s="1023"/>
      <c r="W7" s="1024"/>
      <c r="AB7" s="59"/>
      <c r="AC7" s="59"/>
      <c r="AD7" s="59"/>
      <c r="AE7" s="59"/>
    </row>
    <row r="8" spans="1:32" s="17" customFormat="1" ht="25.5" customHeight="1" x14ac:dyDescent="0.2">
      <c r="A8" s="1030" t="s">
        <v>58</v>
      </c>
      <c r="B8" s="1030"/>
      <c r="C8" s="1030"/>
      <c r="D8" s="1031"/>
      <c r="E8" s="1031"/>
      <c r="F8" s="1031"/>
      <c r="G8" s="1031"/>
      <c r="H8" s="1031"/>
      <c r="I8" s="1031"/>
      <c r="J8" s="1031"/>
      <c r="K8" s="1031"/>
      <c r="L8" s="1031"/>
      <c r="M8" s="1031"/>
      <c r="N8" s="75"/>
      <c r="P8" s="27" t="s">
        <v>11</v>
      </c>
      <c r="Q8" s="990">
        <v>0.41666666666666669</v>
      </c>
      <c r="R8" s="1032"/>
      <c r="T8" s="1019"/>
      <c r="U8" s="1020"/>
      <c r="V8" s="1023"/>
      <c r="W8" s="1024"/>
      <c r="AB8" s="59"/>
      <c r="AC8" s="59"/>
      <c r="AD8" s="59"/>
      <c r="AE8" s="59"/>
    </row>
    <row r="9" spans="1:32" s="17" customFormat="1" ht="39.950000000000003" customHeight="1" x14ac:dyDescent="0.2">
      <c r="A9" s="9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0"/>
      <c r="C9" s="980"/>
      <c r="D9" s="981" t="s">
        <v>46</v>
      </c>
      <c r="E9" s="982"/>
      <c r="F9" s="9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0"/>
      <c r="H9" s="1033" t="str">
        <f>IF(AND($A$9="Тип доверенности/получателя при получении в адресе перегруза:",$D$9="Разовая доверенность"),"Введите ФИО","")</f>
        <v/>
      </c>
      <c r="I9" s="1033"/>
      <c r="J9" s="103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3"/>
      <c r="L9" s="1033"/>
      <c r="M9" s="1033"/>
      <c r="N9" s="70"/>
      <c r="P9" s="31" t="s">
        <v>15</v>
      </c>
      <c r="Q9" s="1034"/>
      <c r="R9" s="1034"/>
      <c r="T9" s="1019"/>
      <c r="U9" s="1020"/>
      <c r="V9" s="1025"/>
      <c r="W9" s="102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0"/>
      <c r="C10" s="980"/>
      <c r="D10" s="981"/>
      <c r="E10" s="982"/>
      <c r="F10" s="9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0"/>
      <c r="H10" s="983" t="str">
        <f>IFERROR(VLOOKUP($D$10,Proxy,2,FALSE),"")</f>
        <v/>
      </c>
      <c r="I10" s="983"/>
      <c r="J10" s="983"/>
      <c r="K10" s="983"/>
      <c r="L10" s="983"/>
      <c r="M10" s="983"/>
      <c r="N10" s="71"/>
      <c r="P10" s="31" t="s">
        <v>32</v>
      </c>
      <c r="Q10" s="984"/>
      <c r="R10" s="984"/>
      <c r="U10" s="29" t="s">
        <v>12</v>
      </c>
      <c r="V10" s="985" t="s">
        <v>71</v>
      </c>
      <c r="W10" s="9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7"/>
      <c r="R11" s="987"/>
      <c r="U11" s="29" t="s">
        <v>28</v>
      </c>
      <c r="V11" s="988" t="s">
        <v>55</v>
      </c>
      <c r="W11" s="9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9" t="s">
        <v>72</v>
      </c>
      <c r="B12" s="989"/>
      <c r="C12" s="989"/>
      <c r="D12" s="989"/>
      <c r="E12" s="989"/>
      <c r="F12" s="989"/>
      <c r="G12" s="989"/>
      <c r="H12" s="989"/>
      <c r="I12" s="989"/>
      <c r="J12" s="989"/>
      <c r="K12" s="989"/>
      <c r="L12" s="989"/>
      <c r="M12" s="989"/>
      <c r="N12" s="76"/>
      <c r="P12" s="27" t="s">
        <v>30</v>
      </c>
      <c r="Q12" s="990"/>
      <c r="R12" s="990"/>
      <c r="S12" s="28"/>
      <c r="T12"/>
      <c r="U12" s="29" t="s">
        <v>46</v>
      </c>
      <c r="V12" s="991"/>
      <c r="W12" s="991"/>
      <c r="X12"/>
      <c r="AB12" s="59"/>
      <c r="AC12" s="59"/>
      <c r="AD12" s="59"/>
      <c r="AE12" s="59"/>
    </row>
    <row r="13" spans="1:32" s="17" customFormat="1" ht="23.25" customHeight="1" x14ac:dyDescent="0.2">
      <c r="A13" s="989" t="s">
        <v>73</v>
      </c>
      <c r="B13" s="989"/>
      <c r="C13" s="989"/>
      <c r="D13" s="989"/>
      <c r="E13" s="989"/>
      <c r="F13" s="989"/>
      <c r="G13" s="989"/>
      <c r="H13" s="989"/>
      <c r="I13" s="989"/>
      <c r="J13" s="989"/>
      <c r="K13" s="989"/>
      <c r="L13" s="989"/>
      <c r="M13" s="989"/>
      <c r="N13" s="76"/>
      <c r="O13" s="31"/>
      <c r="P13" s="31" t="s">
        <v>31</v>
      </c>
      <c r="Q13" s="988"/>
      <c r="R13" s="9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9" t="s">
        <v>74</v>
      </c>
      <c r="B14" s="989"/>
      <c r="C14" s="989"/>
      <c r="D14" s="989"/>
      <c r="E14" s="989"/>
      <c r="F14" s="989"/>
      <c r="G14" s="989"/>
      <c r="H14" s="989"/>
      <c r="I14" s="989"/>
      <c r="J14" s="989"/>
      <c r="K14" s="989"/>
      <c r="L14" s="989"/>
      <c r="M14" s="9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2" t="s">
        <v>75</v>
      </c>
      <c r="B15" s="992"/>
      <c r="C15" s="992"/>
      <c r="D15" s="992"/>
      <c r="E15" s="992"/>
      <c r="F15" s="992"/>
      <c r="G15" s="992"/>
      <c r="H15" s="992"/>
      <c r="I15" s="992"/>
      <c r="J15" s="992"/>
      <c r="K15" s="992"/>
      <c r="L15" s="992"/>
      <c r="M15" s="992"/>
      <c r="N15" s="77"/>
      <c r="O15"/>
      <c r="P15" s="993" t="s">
        <v>61</v>
      </c>
      <c r="Q15" s="993"/>
      <c r="R15" s="993"/>
      <c r="S15" s="993"/>
      <c r="T15" s="99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4"/>
      <c r="Q16" s="994"/>
      <c r="R16" s="994"/>
      <c r="S16" s="994"/>
      <c r="T16" s="9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4" t="s">
        <v>59</v>
      </c>
      <c r="B17" s="964" t="s">
        <v>49</v>
      </c>
      <c r="C17" s="997" t="s">
        <v>48</v>
      </c>
      <c r="D17" s="999" t="s">
        <v>50</v>
      </c>
      <c r="E17" s="1000"/>
      <c r="F17" s="964" t="s">
        <v>21</v>
      </c>
      <c r="G17" s="964" t="s">
        <v>24</v>
      </c>
      <c r="H17" s="964" t="s">
        <v>22</v>
      </c>
      <c r="I17" s="964" t="s">
        <v>23</v>
      </c>
      <c r="J17" s="964" t="s">
        <v>16</v>
      </c>
      <c r="K17" s="964" t="s">
        <v>66</v>
      </c>
      <c r="L17" s="964" t="s">
        <v>64</v>
      </c>
      <c r="M17" s="964" t="s">
        <v>2</v>
      </c>
      <c r="N17" s="964" t="s">
        <v>63</v>
      </c>
      <c r="O17" s="964" t="s">
        <v>25</v>
      </c>
      <c r="P17" s="999" t="s">
        <v>17</v>
      </c>
      <c r="Q17" s="1003"/>
      <c r="R17" s="1003"/>
      <c r="S17" s="1003"/>
      <c r="T17" s="1000"/>
      <c r="U17" s="995" t="s">
        <v>56</v>
      </c>
      <c r="V17" s="996"/>
      <c r="W17" s="964" t="s">
        <v>6</v>
      </c>
      <c r="X17" s="964" t="s">
        <v>41</v>
      </c>
      <c r="Y17" s="966" t="s">
        <v>54</v>
      </c>
      <c r="Z17" s="968" t="s">
        <v>18</v>
      </c>
      <c r="AA17" s="970" t="s">
        <v>60</v>
      </c>
      <c r="AB17" s="970" t="s">
        <v>19</v>
      </c>
      <c r="AC17" s="970" t="s">
        <v>65</v>
      </c>
      <c r="AD17" s="972" t="s">
        <v>57</v>
      </c>
      <c r="AE17" s="973"/>
      <c r="AF17" s="974"/>
      <c r="AG17" s="82"/>
      <c r="BD17" s="81" t="s">
        <v>62</v>
      </c>
    </row>
    <row r="18" spans="1:68" ht="14.25" customHeight="1" x14ac:dyDescent="0.2">
      <c r="A18" s="965"/>
      <c r="B18" s="965"/>
      <c r="C18" s="998"/>
      <c r="D18" s="1001"/>
      <c r="E18" s="1002"/>
      <c r="F18" s="965"/>
      <c r="G18" s="965"/>
      <c r="H18" s="965"/>
      <c r="I18" s="965"/>
      <c r="J18" s="965"/>
      <c r="K18" s="965"/>
      <c r="L18" s="965"/>
      <c r="M18" s="965"/>
      <c r="N18" s="965"/>
      <c r="O18" s="965"/>
      <c r="P18" s="1001"/>
      <c r="Q18" s="1004"/>
      <c r="R18" s="1004"/>
      <c r="S18" s="1004"/>
      <c r="T18" s="1002"/>
      <c r="U18" s="83" t="s">
        <v>44</v>
      </c>
      <c r="V18" s="83" t="s">
        <v>43</v>
      </c>
      <c r="W18" s="965"/>
      <c r="X18" s="965"/>
      <c r="Y18" s="967"/>
      <c r="Z18" s="969"/>
      <c r="AA18" s="971"/>
      <c r="AB18" s="971"/>
      <c r="AC18" s="971"/>
      <c r="AD18" s="975"/>
      <c r="AE18" s="976"/>
      <c r="AF18" s="977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hidden="1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1">
        <v>4680115886643</v>
      </c>
      <c r="E22" s="67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3"/>
      <c r="R22" s="673"/>
      <c r="S22" s="673"/>
      <c r="T22" s="67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1">
        <v>4680115889071</v>
      </c>
      <c r="E23" s="67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3"/>
      <c r="R23" s="673"/>
      <c r="S23" s="673"/>
      <c r="T23" s="67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7"/>
      <c r="B24" s="667"/>
      <c r="C24" s="667"/>
      <c r="D24" s="667"/>
      <c r="E24" s="667"/>
      <c r="F24" s="667"/>
      <c r="G24" s="667"/>
      <c r="H24" s="667"/>
      <c r="I24" s="667"/>
      <c r="J24" s="667"/>
      <c r="K24" s="667"/>
      <c r="L24" s="667"/>
      <c r="M24" s="667"/>
      <c r="N24" s="667"/>
      <c r="O24" s="668"/>
      <c r="P24" s="664" t="s">
        <v>40</v>
      </c>
      <c r="Q24" s="665"/>
      <c r="R24" s="665"/>
      <c r="S24" s="665"/>
      <c r="T24" s="665"/>
      <c r="U24" s="665"/>
      <c r="V24" s="66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7"/>
      <c r="B25" s="667"/>
      <c r="C25" s="667"/>
      <c r="D25" s="667"/>
      <c r="E25" s="667"/>
      <c r="F25" s="667"/>
      <c r="G25" s="667"/>
      <c r="H25" s="667"/>
      <c r="I25" s="667"/>
      <c r="J25" s="667"/>
      <c r="K25" s="667"/>
      <c r="L25" s="667"/>
      <c r="M25" s="667"/>
      <c r="N25" s="667"/>
      <c r="O25" s="668"/>
      <c r="P25" s="664" t="s">
        <v>40</v>
      </c>
      <c r="Q25" s="665"/>
      <c r="R25" s="665"/>
      <c r="S25" s="665"/>
      <c r="T25" s="665"/>
      <c r="U25" s="665"/>
      <c r="V25" s="66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1">
        <v>4680115885912</v>
      </c>
      <c r="E27" s="67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3"/>
      <c r="R27" s="673"/>
      <c r="S27" s="673"/>
      <c r="T27" s="67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1">
        <v>4607091388237</v>
      </c>
      <c r="E28" s="67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3"/>
      <c r="R28" s="673"/>
      <c r="S28" s="673"/>
      <c r="T28" s="67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1">
        <v>4680115887350</v>
      </c>
      <c r="E29" s="67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3"/>
      <c r="R29" s="673"/>
      <c r="S29" s="673"/>
      <c r="T29" s="67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1">
        <v>4680115885905</v>
      </c>
      <c r="E30" s="67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3"/>
      <c r="R30" s="673"/>
      <c r="S30" s="673"/>
      <c r="T30" s="67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1">
        <v>4680115887619</v>
      </c>
      <c r="E31" s="67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3"/>
      <c r="R31" s="673"/>
      <c r="S31" s="673"/>
      <c r="T31" s="67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7"/>
      <c r="B32" s="667"/>
      <c r="C32" s="667"/>
      <c r="D32" s="667"/>
      <c r="E32" s="667"/>
      <c r="F32" s="667"/>
      <c r="G32" s="667"/>
      <c r="H32" s="667"/>
      <c r="I32" s="667"/>
      <c r="J32" s="667"/>
      <c r="K32" s="667"/>
      <c r="L32" s="667"/>
      <c r="M32" s="667"/>
      <c r="N32" s="667"/>
      <c r="O32" s="668"/>
      <c r="P32" s="664" t="s">
        <v>40</v>
      </c>
      <c r="Q32" s="665"/>
      <c r="R32" s="665"/>
      <c r="S32" s="665"/>
      <c r="T32" s="665"/>
      <c r="U32" s="665"/>
      <c r="V32" s="66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7"/>
      <c r="B33" s="667"/>
      <c r="C33" s="667"/>
      <c r="D33" s="667"/>
      <c r="E33" s="667"/>
      <c r="F33" s="667"/>
      <c r="G33" s="667"/>
      <c r="H33" s="667"/>
      <c r="I33" s="667"/>
      <c r="J33" s="667"/>
      <c r="K33" s="667"/>
      <c r="L33" s="667"/>
      <c r="M33" s="667"/>
      <c r="N33" s="667"/>
      <c r="O33" s="668"/>
      <c r="P33" s="664" t="s">
        <v>40</v>
      </c>
      <c r="Q33" s="665"/>
      <c r="R33" s="665"/>
      <c r="S33" s="665"/>
      <c r="T33" s="665"/>
      <c r="U33" s="665"/>
      <c r="V33" s="66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4" t="s">
        <v>45</v>
      </c>
      <c r="B34" s="684"/>
      <c r="C34" s="684"/>
      <c r="D34" s="684"/>
      <c r="E34" s="684"/>
      <c r="F34" s="684"/>
      <c r="G34" s="684"/>
      <c r="H34" s="684"/>
      <c r="I34" s="684"/>
      <c r="J34" s="684"/>
      <c r="K34" s="684"/>
      <c r="L34" s="684"/>
      <c r="M34" s="684"/>
      <c r="N34" s="684"/>
      <c r="O34" s="684"/>
      <c r="P34" s="684"/>
      <c r="Q34" s="684"/>
      <c r="R34" s="684"/>
      <c r="S34" s="684"/>
      <c r="T34" s="684"/>
      <c r="U34" s="684"/>
      <c r="V34" s="684"/>
      <c r="W34" s="684"/>
      <c r="X34" s="684"/>
      <c r="Y34" s="684"/>
      <c r="Z34" s="684"/>
      <c r="AA34" s="54"/>
      <c r="AB34" s="54"/>
      <c r="AC34" s="54"/>
    </row>
    <row r="35" spans="1:68" ht="16.5" hidden="1" customHeight="1" x14ac:dyDescent="0.25">
      <c r="A35" s="669" t="s">
        <v>104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hidden="1" customHeight="1" x14ac:dyDescent="0.25">
      <c r="A36" s="670" t="s">
        <v>86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1">
        <v>4680115889354</v>
      </c>
      <c r="E37" s="67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3"/>
      <c r="R37" s="673"/>
      <c r="S37" s="673"/>
      <c r="T37" s="67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1">
        <v>4680115888463</v>
      </c>
      <c r="E38" s="67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3"/>
      <c r="R38" s="673"/>
      <c r="S38" s="673"/>
      <c r="T38" s="67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1">
        <v>4680115889590</v>
      </c>
      <c r="E39" s="67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3"/>
      <c r="R39" s="673"/>
      <c r="S39" s="673"/>
      <c r="T39" s="67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1">
        <v>4680115888272</v>
      </c>
      <c r="E40" s="67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3"/>
      <c r="R40" s="673"/>
      <c r="S40" s="673"/>
      <c r="T40" s="674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1">
        <v>4680115888364</v>
      </c>
      <c r="E41" s="67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3"/>
      <c r="R41" s="673"/>
      <c r="S41" s="673"/>
      <c r="T41" s="67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7"/>
      <c r="B42" s="667"/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8"/>
      <c r="P42" s="664" t="s">
        <v>40</v>
      </c>
      <c r="Q42" s="665"/>
      <c r="R42" s="665"/>
      <c r="S42" s="665"/>
      <c r="T42" s="665"/>
      <c r="U42" s="665"/>
      <c r="V42" s="66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7"/>
      <c r="B43" s="667"/>
      <c r="C43" s="667"/>
      <c r="D43" s="667"/>
      <c r="E43" s="667"/>
      <c r="F43" s="667"/>
      <c r="G43" s="667"/>
      <c r="H43" s="667"/>
      <c r="I43" s="667"/>
      <c r="J43" s="667"/>
      <c r="K43" s="667"/>
      <c r="L43" s="667"/>
      <c r="M43" s="667"/>
      <c r="N43" s="667"/>
      <c r="O43" s="668"/>
      <c r="P43" s="664" t="s">
        <v>40</v>
      </c>
      <c r="Q43" s="665"/>
      <c r="R43" s="665"/>
      <c r="S43" s="665"/>
      <c r="T43" s="665"/>
      <c r="U43" s="665"/>
      <c r="V43" s="66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4" t="s">
        <v>120</v>
      </c>
      <c r="B44" s="684"/>
      <c r="C44" s="684"/>
      <c r="D44" s="684"/>
      <c r="E44" s="684"/>
      <c r="F44" s="684"/>
      <c r="G44" s="684"/>
      <c r="H44" s="684"/>
      <c r="I44" s="684"/>
      <c r="J44" s="684"/>
      <c r="K44" s="684"/>
      <c r="L44" s="684"/>
      <c r="M44" s="684"/>
      <c r="N44" s="684"/>
      <c r="O44" s="684"/>
      <c r="P44" s="684"/>
      <c r="Q44" s="684"/>
      <c r="R44" s="684"/>
      <c r="S44" s="684"/>
      <c r="T44" s="684"/>
      <c r="U44" s="684"/>
      <c r="V44" s="684"/>
      <c r="W44" s="684"/>
      <c r="X44" s="684"/>
      <c r="Y44" s="684"/>
      <c r="Z44" s="684"/>
      <c r="AA44" s="54"/>
      <c r="AB44" s="54"/>
      <c r="AC44" s="54"/>
    </row>
    <row r="45" spans="1:68" ht="16.5" hidden="1" customHeight="1" x14ac:dyDescent="0.25">
      <c r="A45" s="669" t="s">
        <v>121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hidden="1" customHeight="1" x14ac:dyDescent="0.25">
      <c r="A46" s="670" t="s">
        <v>122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1">
        <v>4607091385670</v>
      </c>
      <c r="E47" s="67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3"/>
      <c r="R47" s="673"/>
      <c r="S47" s="673"/>
      <c r="T47" s="674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1">
        <v>4680115887725</v>
      </c>
      <c r="E48" s="67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3"/>
      <c r="R48" s="673"/>
      <c r="S48" s="673"/>
      <c r="T48" s="67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1">
        <v>4607091385687</v>
      </c>
      <c r="E49" s="67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3"/>
      <c r="R49" s="673"/>
      <c r="S49" s="673"/>
      <c r="T49" s="67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1">
        <v>4680115882539</v>
      </c>
      <c r="E50" s="67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3"/>
      <c r="R50" s="673"/>
      <c r="S50" s="673"/>
      <c r="T50" s="67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7"/>
      <c r="B51" s="667"/>
      <c r="C51" s="667"/>
      <c r="D51" s="667"/>
      <c r="E51" s="667"/>
      <c r="F51" s="667"/>
      <c r="G51" s="667"/>
      <c r="H51" s="667"/>
      <c r="I51" s="667"/>
      <c r="J51" s="667"/>
      <c r="K51" s="667"/>
      <c r="L51" s="667"/>
      <c r="M51" s="667"/>
      <c r="N51" s="667"/>
      <c r="O51" s="668"/>
      <c r="P51" s="664" t="s">
        <v>40</v>
      </c>
      <c r="Q51" s="665"/>
      <c r="R51" s="665"/>
      <c r="S51" s="665"/>
      <c r="T51" s="665"/>
      <c r="U51" s="665"/>
      <c r="V51" s="66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7"/>
      <c r="B52" s="667"/>
      <c r="C52" s="667"/>
      <c r="D52" s="667"/>
      <c r="E52" s="667"/>
      <c r="F52" s="667"/>
      <c r="G52" s="667"/>
      <c r="H52" s="667"/>
      <c r="I52" s="667"/>
      <c r="J52" s="667"/>
      <c r="K52" s="667"/>
      <c r="L52" s="667"/>
      <c r="M52" s="667"/>
      <c r="N52" s="667"/>
      <c r="O52" s="668"/>
      <c r="P52" s="664" t="s">
        <v>40</v>
      </c>
      <c r="Q52" s="665"/>
      <c r="R52" s="665"/>
      <c r="S52" s="665"/>
      <c r="T52" s="665"/>
      <c r="U52" s="665"/>
      <c r="V52" s="66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9" t="s">
        <v>137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hidden="1" customHeight="1" x14ac:dyDescent="0.25">
      <c r="A54" s="670" t="s">
        <v>122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1">
        <v>4680115885882</v>
      </c>
      <c r="E55" s="67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3"/>
      <c r="R55" s="673"/>
      <c r="S55" s="673"/>
      <c r="T55" s="67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1">
        <v>4680115881426</v>
      </c>
      <c r="E56" s="67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3"/>
      <c r="R56" s="673"/>
      <c r="S56" s="673"/>
      <c r="T56" s="67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1">
        <v>4680115880283</v>
      </c>
      <c r="E57" s="67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3"/>
      <c r="R57" s="673"/>
      <c r="S57" s="673"/>
      <c r="T57" s="67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1">
        <v>4680115881525</v>
      </c>
      <c r="E58" s="67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3"/>
      <c r="R58" s="673"/>
      <c r="S58" s="673"/>
      <c r="T58" s="67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1">
        <v>4680115885899</v>
      </c>
      <c r="E59" s="671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3"/>
      <c r="R59" s="673"/>
      <c r="S59" s="673"/>
      <c r="T59" s="67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1">
        <v>4680115881419</v>
      </c>
      <c r="E60" s="671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3"/>
      <c r="R60" s="673"/>
      <c r="S60" s="673"/>
      <c r="T60" s="67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7"/>
      <c r="B61" s="667"/>
      <c r="C61" s="667"/>
      <c r="D61" s="667"/>
      <c r="E61" s="667"/>
      <c r="F61" s="667"/>
      <c r="G61" s="667"/>
      <c r="H61" s="667"/>
      <c r="I61" s="667"/>
      <c r="J61" s="667"/>
      <c r="K61" s="667"/>
      <c r="L61" s="667"/>
      <c r="M61" s="667"/>
      <c r="N61" s="667"/>
      <c r="O61" s="668"/>
      <c r="P61" s="664" t="s">
        <v>40</v>
      </c>
      <c r="Q61" s="665"/>
      <c r="R61" s="665"/>
      <c r="S61" s="665"/>
      <c r="T61" s="665"/>
      <c r="U61" s="665"/>
      <c r="V61" s="666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7"/>
      <c r="B62" s="667"/>
      <c r="C62" s="667"/>
      <c r="D62" s="667"/>
      <c r="E62" s="667"/>
      <c r="F62" s="667"/>
      <c r="G62" s="667"/>
      <c r="H62" s="667"/>
      <c r="I62" s="667"/>
      <c r="J62" s="667"/>
      <c r="K62" s="667"/>
      <c r="L62" s="667"/>
      <c r="M62" s="667"/>
      <c r="N62" s="667"/>
      <c r="O62" s="668"/>
      <c r="P62" s="664" t="s">
        <v>40</v>
      </c>
      <c r="Q62" s="665"/>
      <c r="R62" s="665"/>
      <c r="S62" s="665"/>
      <c r="T62" s="665"/>
      <c r="U62" s="665"/>
      <c r="V62" s="666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0" t="s">
        <v>155</v>
      </c>
      <c r="B63" s="670"/>
      <c r="C63" s="670"/>
      <c r="D63" s="670"/>
      <c r="E63" s="670"/>
      <c r="F63" s="670"/>
      <c r="G63" s="670"/>
      <c r="H63" s="670"/>
      <c r="I63" s="670"/>
      <c r="J63" s="670"/>
      <c r="K63" s="670"/>
      <c r="L63" s="670"/>
      <c r="M63" s="670"/>
      <c r="N63" s="670"/>
      <c r="O63" s="670"/>
      <c r="P63" s="670"/>
      <c r="Q63" s="670"/>
      <c r="R63" s="670"/>
      <c r="S63" s="670"/>
      <c r="T63" s="670"/>
      <c r="U63" s="670"/>
      <c r="V63" s="670"/>
      <c r="W63" s="670"/>
      <c r="X63" s="670"/>
      <c r="Y63" s="670"/>
      <c r="Z63" s="670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1">
        <v>4680115881440</v>
      </c>
      <c r="E64" s="671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3"/>
      <c r="R64" s="673"/>
      <c r="S64" s="673"/>
      <c r="T64" s="674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1">
        <v>4680115885950</v>
      </c>
      <c r="E65" s="671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3"/>
      <c r="R65" s="673"/>
      <c r="S65" s="673"/>
      <c r="T65" s="674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1">
        <v>4680115887688</v>
      </c>
      <c r="E66" s="671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3"/>
      <c r="R66" s="673"/>
      <c r="S66" s="673"/>
      <c r="T66" s="67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1">
        <v>4680115881433</v>
      </c>
      <c r="E67" s="671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3"/>
      <c r="R67" s="673"/>
      <c r="S67" s="673"/>
      <c r="T67" s="67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7"/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8"/>
      <c r="P68" s="664" t="s">
        <v>40</v>
      </c>
      <c r="Q68" s="665"/>
      <c r="R68" s="665"/>
      <c r="S68" s="665"/>
      <c r="T68" s="665"/>
      <c r="U68" s="665"/>
      <c r="V68" s="666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7"/>
      <c r="B69" s="667"/>
      <c r="C69" s="667"/>
      <c r="D69" s="667"/>
      <c r="E69" s="667"/>
      <c r="F69" s="667"/>
      <c r="G69" s="667"/>
      <c r="H69" s="667"/>
      <c r="I69" s="667"/>
      <c r="J69" s="667"/>
      <c r="K69" s="667"/>
      <c r="L69" s="667"/>
      <c r="M69" s="667"/>
      <c r="N69" s="667"/>
      <c r="O69" s="668"/>
      <c r="P69" s="664" t="s">
        <v>40</v>
      </c>
      <c r="Q69" s="665"/>
      <c r="R69" s="665"/>
      <c r="S69" s="665"/>
      <c r="T69" s="665"/>
      <c r="U69" s="665"/>
      <c r="V69" s="666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0" t="s">
        <v>86</v>
      </c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1">
        <v>4680115884311</v>
      </c>
      <c r="E71" s="671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3"/>
      <c r="R71" s="673"/>
      <c r="S71" s="673"/>
      <c r="T71" s="67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1">
        <v>4680115884403</v>
      </c>
      <c r="E72" s="671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3"/>
      <c r="R72" s="673"/>
      <c r="S72" s="673"/>
      <c r="T72" s="67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1">
        <v>4680115884403</v>
      </c>
      <c r="E73" s="67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3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3"/>
      <c r="R73" s="673"/>
      <c r="S73" s="673"/>
      <c r="T73" s="67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7"/>
      <c r="B74" s="667"/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8"/>
      <c r="P74" s="664" t="s">
        <v>40</v>
      </c>
      <c r="Q74" s="665"/>
      <c r="R74" s="665"/>
      <c r="S74" s="665"/>
      <c r="T74" s="665"/>
      <c r="U74" s="665"/>
      <c r="V74" s="666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7"/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8"/>
      <c r="P75" s="664" t="s">
        <v>40</v>
      </c>
      <c r="Q75" s="665"/>
      <c r="R75" s="665"/>
      <c r="S75" s="665"/>
      <c r="T75" s="665"/>
      <c r="U75" s="665"/>
      <c r="V75" s="666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0" t="s">
        <v>173</v>
      </c>
      <c r="B76" s="670"/>
      <c r="C76" s="670"/>
      <c r="D76" s="670"/>
      <c r="E76" s="670"/>
      <c r="F76" s="670"/>
      <c r="G76" s="670"/>
      <c r="H76" s="670"/>
      <c r="I76" s="670"/>
      <c r="J76" s="670"/>
      <c r="K76" s="670"/>
      <c r="L76" s="670"/>
      <c r="M76" s="670"/>
      <c r="N76" s="670"/>
      <c r="O76" s="670"/>
      <c r="P76" s="670"/>
      <c r="Q76" s="670"/>
      <c r="R76" s="670"/>
      <c r="S76" s="670"/>
      <c r="T76" s="670"/>
      <c r="U76" s="670"/>
      <c r="V76" s="670"/>
      <c r="W76" s="670"/>
      <c r="X76" s="670"/>
      <c r="Y76" s="670"/>
      <c r="Z76" s="67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1">
        <v>4680115881532</v>
      </c>
      <c r="E77" s="67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3"/>
      <c r="R77" s="673"/>
      <c r="S77" s="673"/>
      <c r="T77" s="67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1">
        <v>4680115881532</v>
      </c>
      <c r="E78" s="67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3"/>
      <c r="R78" s="673"/>
      <c r="S78" s="673"/>
      <c r="T78" s="67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1">
        <v>4680115881464</v>
      </c>
      <c r="E79" s="671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3"/>
      <c r="R79" s="673"/>
      <c r="S79" s="673"/>
      <c r="T79" s="67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1">
        <v>4680115881464</v>
      </c>
      <c r="E80" s="67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3"/>
      <c r="R80" s="673"/>
      <c r="S80" s="673"/>
      <c r="T80" s="67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7"/>
      <c r="B81" s="667"/>
      <c r="C81" s="667"/>
      <c r="D81" s="667"/>
      <c r="E81" s="667"/>
      <c r="F81" s="667"/>
      <c r="G81" s="667"/>
      <c r="H81" s="667"/>
      <c r="I81" s="667"/>
      <c r="J81" s="667"/>
      <c r="K81" s="667"/>
      <c r="L81" s="667"/>
      <c r="M81" s="667"/>
      <c r="N81" s="667"/>
      <c r="O81" s="668"/>
      <c r="P81" s="664" t="s">
        <v>40</v>
      </c>
      <c r="Q81" s="665"/>
      <c r="R81" s="665"/>
      <c r="S81" s="665"/>
      <c r="T81" s="665"/>
      <c r="U81" s="665"/>
      <c r="V81" s="666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7"/>
      <c r="B82" s="667"/>
      <c r="C82" s="667"/>
      <c r="D82" s="667"/>
      <c r="E82" s="667"/>
      <c r="F82" s="667"/>
      <c r="G82" s="667"/>
      <c r="H82" s="667"/>
      <c r="I82" s="667"/>
      <c r="J82" s="667"/>
      <c r="K82" s="667"/>
      <c r="L82" s="667"/>
      <c r="M82" s="667"/>
      <c r="N82" s="667"/>
      <c r="O82" s="668"/>
      <c r="P82" s="664" t="s">
        <v>40</v>
      </c>
      <c r="Q82" s="665"/>
      <c r="R82" s="665"/>
      <c r="S82" s="665"/>
      <c r="T82" s="665"/>
      <c r="U82" s="665"/>
      <c r="V82" s="666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9" t="s">
        <v>182</v>
      </c>
      <c r="B83" s="669"/>
      <c r="C83" s="669"/>
      <c r="D83" s="669"/>
      <c r="E83" s="669"/>
      <c r="F83" s="669"/>
      <c r="G83" s="669"/>
      <c r="H83" s="669"/>
      <c r="I83" s="669"/>
      <c r="J83" s="669"/>
      <c r="K83" s="669"/>
      <c r="L83" s="669"/>
      <c r="M83" s="669"/>
      <c r="N83" s="669"/>
      <c r="O83" s="669"/>
      <c r="P83" s="669"/>
      <c r="Q83" s="669"/>
      <c r="R83" s="669"/>
      <c r="S83" s="669"/>
      <c r="T83" s="669"/>
      <c r="U83" s="669"/>
      <c r="V83" s="669"/>
      <c r="W83" s="669"/>
      <c r="X83" s="669"/>
      <c r="Y83" s="669"/>
      <c r="Z83" s="669"/>
      <c r="AA83" s="65"/>
      <c r="AB83" s="65"/>
      <c r="AC83" s="79"/>
    </row>
    <row r="84" spans="1:68" ht="14.25" hidden="1" customHeight="1" x14ac:dyDescent="0.25">
      <c r="A84" s="670" t="s">
        <v>122</v>
      </c>
      <c r="B84" s="670"/>
      <c r="C84" s="670"/>
      <c r="D84" s="670"/>
      <c r="E84" s="670"/>
      <c r="F84" s="670"/>
      <c r="G84" s="670"/>
      <c r="H84" s="670"/>
      <c r="I84" s="670"/>
      <c r="J84" s="670"/>
      <c r="K84" s="670"/>
      <c r="L84" s="670"/>
      <c r="M84" s="670"/>
      <c r="N84" s="670"/>
      <c r="O84" s="670"/>
      <c r="P84" s="670"/>
      <c r="Q84" s="670"/>
      <c r="R84" s="670"/>
      <c r="S84" s="670"/>
      <c r="T84" s="670"/>
      <c r="U84" s="670"/>
      <c r="V84" s="670"/>
      <c r="W84" s="670"/>
      <c r="X84" s="670"/>
      <c r="Y84" s="670"/>
      <c r="Z84" s="670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1">
        <v>4680115881327</v>
      </c>
      <c r="E85" s="67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3"/>
      <c r="R85" s="673"/>
      <c r="S85" s="673"/>
      <c r="T85" s="67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1">
        <v>4680115887732</v>
      </c>
      <c r="E86" s="67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3"/>
      <c r="R86" s="673"/>
      <c r="S86" s="673"/>
      <c r="T86" s="674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1">
        <v>4680115887732</v>
      </c>
      <c r="E87" s="67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3" t="s">
        <v>190</v>
      </c>
      <c r="Q87" s="673"/>
      <c r="R87" s="673"/>
      <c r="S87" s="673"/>
      <c r="T87" s="674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1">
        <v>4680115881518</v>
      </c>
      <c r="E88" s="67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1">
        <v>4680115881303</v>
      </c>
      <c r="E89" s="67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7"/>
      <c r="B90" s="667"/>
      <c r="C90" s="667"/>
      <c r="D90" s="667"/>
      <c r="E90" s="667"/>
      <c r="F90" s="667"/>
      <c r="G90" s="667"/>
      <c r="H90" s="667"/>
      <c r="I90" s="667"/>
      <c r="J90" s="667"/>
      <c r="K90" s="667"/>
      <c r="L90" s="667"/>
      <c r="M90" s="667"/>
      <c r="N90" s="667"/>
      <c r="O90" s="668"/>
      <c r="P90" s="664" t="s">
        <v>40</v>
      </c>
      <c r="Q90" s="665"/>
      <c r="R90" s="665"/>
      <c r="S90" s="665"/>
      <c r="T90" s="665"/>
      <c r="U90" s="665"/>
      <c r="V90" s="66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7"/>
      <c r="B91" s="667"/>
      <c r="C91" s="667"/>
      <c r="D91" s="667"/>
      <c r="E91" s="667"/>
      <c r="F91" s="667"/>
      <c r="G91" s="667"/>
      <c r="H91" s="667"/>
      <c r="I91" s="667"/>
      <c r="J91" s="667"/>
      <c r="K91" s="667"/>
      <c r="L91" s="667"/>
      <c r="M91" s="667"/>
      <c r="N91" s="667"/>
      <c r="O91" s="668"/>
      <c r="P91" s="664" t="s">
        <v>40</v>
      </c>
      <c r="Q91" s="665"/>
      <c r="R91" s="665"/>
      <c r="S91" s="665"/>
      <c r="T91" s="665"/>
      <c r="U91" s="665"/>
      <c r="V91" s="66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0" t="s">
        <v>86</v>
      </c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1">
        <v>4607091386967</v>
      </c>
      <c r="E93" s="671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3"/>
      <c r="R93" s="673"/>
      <c r="S93" s="673"/>
      <c r="T93" s="674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1">
        <v>4607091386967</v>
      </c>
      <c r="E94" s="67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4" t="s">
        <v>199</v>
      </c>
      <c r="Q94" s="673"/>
      <c r="R94" s="673"/>
      <c r="S94" s="673"/>
      <c r="T94" s="674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1">
        <v>4680115884953</v>
      </c>
      <c r="E95" s="67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3"/>
      <c r="R95" s="673"/>
      <c r="S95" s="673"/>
      <c r="T95" s="674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1">
        <v>4680115884953</v>
      </c>
      <c r="E96" s="67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6" t="s">
        <v>203</v>
      </c>
      <c r="Q96" s="673"/>
      <c r="R96" s="673"/>
      <c r="S96" s="673"/>
      <c r="T96" s="674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1">
        <v>4607091385731</v>
      </c>
      <c r="E97" s="67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2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3"/>
      <c r="R97" s="673"/>
      <c r="S97" s="673"/>
      <c r="T97" s="674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1">
        <v>4607091385731</v>
      </c>
      <c r="E98" s="671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8" t="s">
        <v>208</v>
      </c>
      <c r="Q98" s="673"/>
      <c r="R98" s="673"/>
      <c r="S98" s="673"/>
      <c r="T98" s="67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1">
        <v>4680115880894</v>
      </c>
      <c r="E99" s="671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3"/>
      <c r="R99" s="673"/>
      <c r="S99" s="673"/>
      <c r="T99" s="67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7"/>
      <c r="B100" s="667"/>
      <c r="C100" s="667"/>
      <c r="D100" s="667"/>
      <c r="E100" s="667"/>
      <c r="F100" s="667"/>
      <c r="G100" s="667"/>
      <c r="H100" s="667"/>
      <c r="I100" s="667"/>
      <c r="J100" s="667"/>
      <c r="K100" s="667"/>
      <c r="L100" s="667"/>
      <c r="M100" s="667"/>
      <c r="N100" s="667"/>
      <c r="O100" s="668"/>
      <c r="P100" s="664" t="s">
        <v>40</v>
      </c>
      <c r="Q100" s="665"/>
      <c r="R100" s="665"/>
      <c r="S100" s="665"/>
      <c r="T100" s="665"/>
      <c r="U100" s="665"/>
      <c r="V100" s="666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7"/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8"/>
      <c r="P101" s="664" t="s">
        <v>40</v>
      </c>
      <c r="Q101" s="665"/>
      <c r="R101" s="665"/>
      <c r="S101" s="665"/>
      <c r="T101" s="665"/>
      <c r="U101" s="665"/>
      <c r="V101" s="666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9" t="s">
        <v>212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hidden="1" customHeight="1" x14ac:dyDescent="0.25">
      <c r="A103" s="670" t="s">
        <v>122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1">
        <v>4680115882133</v>
      </c>
      <c r="E104" s="671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1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3"/>
      <c r="R104" s="673"/>
      <c r="S104" s="673"/>
      <c r="T104" s="67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1">
        <v>4680115887718</v>
      </c>
      <c r="E105" s="671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1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3"/>
      <c r="R105" s="673"/>
      <c r="S105" s="673"/>
      <c r="T105" s="67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1">
        <v>4680115887718</v>
      </c>
      <c r="E106" s="671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3"/>
      <c r="R106" s="673"/>
      <c r="S106" s="673"/>
      <c r="T106" s="67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1">
        <v>4680115887718</v>
      </c>
      <c r="E107" s="671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3"/>
      <c r="R107" s="673"/>
      <c r="S107" s="673"/>
      <c r="T107" s="67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1">
        <v>4680115880269</v>
      </c>
      <c r="E108" s="671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3"/>
      <c r="R108" s="673"/>
      <c r="S108" s="673"/>
      <c r="T108" s="67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1">
        <v>4680115880429</v>
      </c>
      <c r="E109" s="671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3"/>
      <c r="R109" s="673"/>
      <c r="S109" s="673"/>
      <c r="T109" s="67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1">
        <v>4680115880429</v>
      </c>
      <c r="E110" s="671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0" t="s">
        <v>226</v>
      </c>
      <c r="Q110" s="673"/>
      <c r="R110" s="673"/>
      <c r="S110" s="673"/>
      <c r="T110" s="674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1">
        <v>4680115881457</v>
      </c>
      <c r="E111" s="671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3"/>
      <c r="R111" s="673"/>
      <c r="S111" s="673"/>
      <c r="T111" s="674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7"/>
      <c r="B112" s="667"/>
      <c r="C112" s="667"/>
      <c r="D112" s="667"/>
      <c r="E112" s="667"/>
      <c r="F112" s="667"/>
      <c r="G112" s="667"/>
      <c r="H112" s="667"/>
      <c r="I112" s="667"/>
      <c r="J112" s="667"/>
      <c r="K112" s="667"/>
      <c r="L112" s="667"/>
      <c r="M112" s="667"/>
      <c r="N112" s="667"/>
      <c r="O112" s="668"/>
      <c r="P112" s="664" t="s">
        <v>40</v>
      </c>
      <c r="Q112" s="665"/>
      <c r="R112" s="665"/>
      <c r="S112" s="665"/>
      <c r="T112" s="665"/>
      <c r="U112" s="665"/>
      <c r="V112" s="666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7"/>
      <c r="B113" s="667"/>
      <c r="C113" s="667"/>
      <c r="D113" s="667"/>
      <c r="E113" s="667"/>
      <c r="F113" s="667"/>
      <c r="G113" s="667"/>
      <c r="H113" s="667"/>
      <c r="I113" s="667"/>
      <c r="J113" s="667"/>
      <c r="K113" s="667"/>
      <c r="L113" s="667"/>
      <c r="M113" s="667"/>
      <c r="N113" s="667"/>
      <c r="O113" s="668"/>
      <c r="P113" s="664" t="s">
        <v>40</v>
      </c>
      <c r="Q113" s="665"/>
      <c r="R113" s="665"/>
      <c r="S113" s="665"/>
      <c r="T113" s="665"/>
      <c r="U113" s="665"/>
      <c r="V113" s="666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0" t="s">
        <v>155</v>
      </c>
      <c r="B114" s="670"/>
      <c r="C114" s="670"/>
      <c r="D114" s="670"/>
      <c r="E114" s="670"/>
      <c r="F114" s="670"/>
      <c r="G114" s="670"/>
      <c r="H114" s="670"/>
      <c r="I114" s="670"/>
      <c r="J114" s="670"/>
      <c r="K114" s="670"/>
      <c r="L114" s="670"/>
      <c r="M114" s="670"/>
      <c r="N114" s="670"/>
      <c r="O114" s="670"/>
      <c r="P114" s="670"/>
      <c r="Q114" s="670"/>
      <c r="R114" s="670"/>
      <c r="S114" s="670"/>
      <c r="T114" s="670"/>
      <c r="U114" s="670"/>
      <c r="V114" s="670"/>
      <c r="W114" s="670"/>
      <c r="X114" s="670"/>
      <c r="Y114" s="670"/>
      <c r="Z114" s="670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1">
        <v>4680115881488</v>
      </c>
      <c r="E115" s="671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3"/>
      <c r="R115" s="673"/>
      <c r="S115" s="673"/>
      <c r="T115" s="67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1">
        <v>4680115887664</v>
      </c>
      <c r="E116" s="671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3"/>
      <c r="R116" s="673"/>
      <c r="S116" s="673"/>
      <c r="T116" s="67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1">
        <v>4680115887664</v>
      </c>
      <c r="E117" s="671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3"/>
      <c r="R117" s="673"/>
      <c r="S117" s="673"/>
      <c r="T117" s="67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1">
        <v>4680115882775</v>
      </c>
      <c r="E118" s="671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3"/>
      <c r="R118" s="673"/>
      <c r="S118" s="673"/>
      <c r="T118" s="674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1">
        <v>4680115880658</v>
      </c>
      <c r="E119" s="67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3"/>
      <c r="R119" s="673"/>
      <c r="S119" s="673"/>
      <c r="T119" s="67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7"/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8"/>
      <c r="P120" s="664" t="s">
        <v>40</v>
      </c>
      <c r="Q120" s="665"/>
      <c r="R120" s="665"/>
      <c r="S120" s="665"/>
      <c r="T120" s="665"/>
      <c r="U120" s="665"/>
      <c r="V120" s="666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7"/>
      <c r="B121" s="667"/>
      <c r="C121" s="667"/>
      <c r="D121" s="667"/>
      <c r="E121" s="667"/>
      <c r="F121" s="667"/>
      <c r="G121" s="667"/>
      <c r="H121" s="667"/>
      <c r="I121" s="667"/>
      <c r="J121" s="667"/>
      <c r="K121" s="667"/>
      <c r="L121" s="667"/>
      <c r="M121" s="667"/>
      <c r="N121" s="667"/>
      <c r="O121" s="668"/>
      <c r="P121" s="664" t="s">
        <v>40</v>
      </c>
      <c r="Q121" s="665"/>
      <c r="R121" s="665"/>
      <c r="S121" s="665"/>
      <c r="T121" s="665"/>
      <c r="U121" s="665"/>
      <c r="V121" s="666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0" t="s">
        <v>86</v>
      </c>
      <c r="B122" s="670"/>
      <c r="C122" s="670"/>
      <c r="D122" s="670"/>
      <c r="E122" s="670"/>
      <c r="F122" s="670"/>
      <c r="G122" s="670"/>
      <c r="H122" s="670"/>
      <c r="I122" s="670"/>
      <c r="J122" s="670"/>
      <c r="K122" s="670"/>
      <c r="L122" s="670"/>
      <c r="M122" s="670"/>
      <c r="N122" s="670"/>
      <c r="O122" s="670"/>
      <c r="P122" s="670"/>
      <c r="Q122" s="670"/>
      <c r="R122" s="670"/>
      <c r="S122" s="670"/>
      <c r="T122" s="670"/>
      <c r="U122" s="670"/>
      <c r="V122" s="670"/>
      <c r="W122" s="670"/>
      <c r="X122" s="670"/>
      <c r="Y122" s="670"/>
      <c r="Z122" s="670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1">
        <v>4607091385168</v>
      </c>
      <c r="E123" s="67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3"/>
      <c r="R123" s="673"/>
      <c r="S123" s="673"/>
      <c r="T123" s="674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1">
        <v>4607091385168</v>
      </c>
      <c r="E124" s="671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4" t="s">
        <v>246</v>
      </c>
      <c r="Q124" s="673"/>
      <c r="R124" s="673"/>
      <c r="S124" s="673"/>
      <c r="T124" s="674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1">
        <v>4607091383256</v>
      </c>
      <c r="E125" s="671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3"/>
      <c r="R125" s="673"/>
      <c r="S125" s="673"/>
      <c r="T125" s="674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1">
        <v>4607091383256</v>
      </c>
      <c r="E126" s="671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6" t="s">
        <v>250</v>
      </c>
      <c r="Q126" s="673"/>
      <c r="R126" s="673"/>
      <c r="S126" s="673"/>
      <c r="T126" s="674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1">
        <v>4607091385748</v>
      </c>
      <c r="E127" s="671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0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3"/>
      <c r="R127" s="673"/>
      <c r="S127" s="673"/>
      <c r="T127" s="674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1">
        <v>4607091385748</v>
      </c>
      <c r="E128" s="671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08" t="s">
        <v>254</v>
      </c>
      <c r="Q128" s="673"/>
      <c r="R128" s="673"/>
      <c r="S128" s="673"/>
      <c r="T128" s="674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1">
        <v>4680115884533</v>
      </c>
      <c r="E129" s="671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3"/>
      <c r="R129" s="673"/>
      <c r="S129" s="673"/>
      <c r="T129" s="674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1">
        <v>4680115884533</v>
      </c>
      <c r="E130" s="671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99" t="s">
        <v>259</v>
      </c>
      <c r="Q130" s="673"/>
      <c r="R130" s="673"/>
      <c r="S130" s="673"/>
      <c r="T130" s="674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7"/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8"/>
      <c r="P131" s="664" t="s">
        <v>40</v>
      </c>
      <c r="Q131" s="665"/>
      <c r="R131" s="665"/>
      <c r="S131" s="665"/>
      <c r="T131" s="665"/>
      <c r="U131" s="665"/>
      <c r="V131" s="666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7"/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8"/>
      <c r="P132" s="664" t="s">
        <v>40</v>
      </c>
      <c r="Q132" s="665"/>
      <c r="R132" s="665"/>
      <c r="S132" s="665"/>
      <c r="T132" s="665"/>
      <c r="U132" s="665"/>
      <c r="V132" s="666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0" t="s">
        <v>173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1">
        <v>4680115880238</v>
      </c>
      <c r="E134" s="671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3"/>
      <c r="R134" s="673"/>
      <c r="S134" s="673"/>
      <c r="T134" s="67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1">
        <v>4680115880238</v>
      </c>
      <c r="E135" s="671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1" t="s">
        <v>264</v>
      </c>
      <c r="Q135" s="673"/>
      <c r="R135" s="673"/>
      <c r="S135" s="673"/>
      <c r="T135" s="67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7"/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8"/>
      <c r="P136" s="664" t="s">
        <v>40</v>
      </c>
      <c r="Q136" s="665"/>
      <c r="R136" s="665"/>
      <c r="S136" s="665"/>
      <c r="T136" s="665"/>
      <c r="U136" s="665"/>
      <c r="V136" s="666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7"/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8"/>
      <c r="P137" s="664" t="s">
        <v>40</v>
      </c>
      <c r="Q137" s="665"/>
      <c r="R137" s="665"/>
      <c r="S137" s="665"/>
      <c r="T137" s="665"/>
      <c r="U137" s="665"/>
      <c r="V137" s="666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69" t="s">
        <v>265</v>
      </c>
      <c r="B138" s="669"/>
      <c r="C138" s="669"/>
      <c r="D138" s="669"/>
      <c r="E138" s="669"/>
      <c r="F138" s="669"/>
      <c r="G138" s="669"/>
      <c r="H138" s="669"/>
      <c r="I138" s="669"/>
      <c r="J138" s="669"/>
      <c r="K138" s="669"/>
      <c r="L138" s="669"/>
      <c r="M138" s="669"/>
      <c r="N138" s="669"/>
      <c r="O138" s="669"/>
      <c r="P138" s="669"/>
      <c r="Q138" s="669"/>
      <c r="R138" s="669"/>
      <c r="S138" s="669"/>
      <c r="T138" s="669"/>
      <c r="U138" s="669"/>
      <c r="V138" s="669"/>
      <c r="W138" s="669"/>
      <c r="X138" s="669"/>
      <c r="Y138" s="669"/>
      <c r="Z138" s="669"/>
      <c r="AA138" s="65"/>
      <c r="AB138" s="65"/>
      <c r="AC138" s="79"/>
    </row>
    <row r="139" spans="1:68" ht="14.25" hidden="1" customHeight="1" x14ac:dyDescent="0.25">
      <c r="A139" s="670" t="s">
        <v>122</v>
      </c>
      <c r="B139" s="670"/>
      <c r="C139" s="670"/>
      <c r="D139" s="670"/>
      <c r="E139" s="670"/>
      <c r="F139" s="670"/>
      <c r="G139" s="670"/>
      <c r="H139" s="670"/>
      <c r="I139" s="670"/>
      <c r="J139" s="670"/>
      <c r="K139" s="670"/>
      <c r="L139" s="670"/>
      <c r="M139" s="670"/>
      <c r="N139" s="670"/>
      <c r="O139" s="670"/>
      <c r="P139" s="670"/>
      <c r="Q139" s="670"/>
      <c r="R139" s="670"/>
      <c r="S139" s="670"/>
      <c r="T139" s="670"/>
      <c r="U139" s="670"/>
      <c r="V139" s="670"/>
      <c r="W139" s="670"/>
      <c r="X139" s="670"/>
      <c r="Y139" s="670"/>
      <c r="Z139" s="670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1">
        <v>4680115882577</v>
      </c>
      <c r="E140" s="671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3"/>
      <c r="R140" s="673"/>
      <c r="S140" s="673"/>
      <c r="T140" s="67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1">
        <v>4680115882577</v>
      </c>
      <c r="E141" s="671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3"/>
      <c r="R141" s="673"/>
      <c r="S141" s="673"/>
      <c r="T141" s="67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7"/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8"/>
      <c r="P142" s="664" t="s">
        <v>40</v>
      </c>
      <c r="Q142" s="665"/>
      <c r="R142" s="665"/>
      <c r="S142" s="665"/>
      <c r="T142" s="665"/>
      <c r="U142" s="665"/>
      <c r="V142" s="666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7"/>
      <c r="B143" s="667"/>
      <c r="C143" s="667"/>
      <c r="D143" s="667"/>
      <c r="E143" s="667"/>
      <c r="F143" s="667"/>
      <c r="G143" s="667"/>
      <c r="H143" s="667"/>
      <c r="I143" s="667"/>
      <c r="J143" s="667"/>
      <c r="K143" s="667"/>
      <c r="L143" s="667"/>
      <c r="M143" s="667"/>
      <c r="N143" s="667"/>
      <c r="O143" s="668"/>
      <c r="P143" s="664" t="s">
        <v>40</v>
      </c>
      <c r="Q143" s="665"/>
      <c r="R143" s="665"/>
      <c r="S143" s="665"/>
      <c r="T143" s="665"/>
      <c r="U143" s="665"/>
      <c r="V143" s="666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0" t="s">
        <v>77</v>
      </c>
      <c r="B144" s="670"/>
      <c r="C144" s="670"/>
      <c r="D144" s="670"/>
      <c r="E144" s="670"/>
      <c r="F144" s="670"/>
      <c r="G144" s="670"/>
      <c r="H144" s="670"/>
      <c r="I144" s="670"/>
      <c r="J144" s="670"/>
      <c r="K144" s="670"/>
      <c r="L144" s="670"/>
      <c r="M144" s="670"/>
      <c r="N144" s="670"/>
      <c r="O144" s="670"/>
      <c r="P144" s="670"/>
      <c r="Q144" s="670"/>
      <c r="R144" s="670"/>
      <c r="S144" s="670"/>
      <c r="T144" s="670"/>
      <c r="U144" s="670"/>
      <c r="V144" s="670"/>
      <c r="W144" s="670"/>
      <c r="X144" s="670"/>
      <c r="Y144" s="670"/>
      <c r="Z144" s="670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1">
        <v>4680115883444</v>
      </c>
      <c r="E145" s="671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3"/>
      <c r="R145" s="673"/>
      <c r="S145" s="673"/>
      <c r="T145" s="67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1">
        <v>4680115883444</v>
      </c>
      <c r="E146" s="671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3"/>
      <c r="R146" s="673"/>
      <c r="S146" s="673"/>
      <c r="T146" s="67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7"/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8"/>
      <c r="P147" s="664" t="s">
        <v>40</v>
      </c>
      <c r="Q147" s="665"/>
      <c r="R147" s="665"/>
      <c r="S147" s="665"/>
      <c r="T147" s="665"/>
      <c r="U147" s="665"/>
      <c r="V147" s="666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7"/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8"/>
      <c r="P148" s="664" t="s">
        <v>40</v>
      </c>
      <c r="Q148" s="665"/>
      <c r="R148" s="665"/>
      <c r="S148" s="665"/>
      <c r="T148" s="665"/>
      <c r="U148" s="665"/>
      <c r="V148" s="666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0" t="s">
        <v>86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1">
        <v>4680115882584</v>
      </c>
      <c r="E150" s="671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3"/>
      <c r="R150" s="673"/>
      <c r="S150" s="673"/>
      <c r="T150" s="67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1">
        <v>4680115882584</v>
      </c>
      <c r="E151" s="671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3"/>
      <c r="R151" s="673"/>
      <c r="S151" s="673"/>
      <c r="T151" s="67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7"/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8"/>
      <c r="P152" s="664" t="s">
        <v>40</v>
      </c>
      <c r="Q152" s="665"/>
      <c r="R152" s="665"/>
      <c r="S152" s="665"/>
      <c r="T152" s="665"/>
      <c r="U152" s="665"/>
      <c r="V152" s="666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7"/>
      <c r="B153" s="667"/>
      <c r="C153" s="667"/>
      <c r="D153" s="667"/>
      <c r="E153" s="667"/>
      <c r="F153" s="667"/>
      <c r="G153" s="667"/>
      <c r="H153" s="667"/>
      <c r="I153" s="667"/>
      <c r="J153" s="667"/>
      <c r="K153" s="667"/>
      <c r="L153" s="667"/>
      <c r="M153" s="667"/>
      <c r="N153" s="667"/>
      <c r="O153" s="668"/>
      <c r="P153" s="664" t="s">
        <v>40</v>
      </c>
      <c r="Q153" s="665"/>
      <c r="R153" s="665"/>
      <c r="S153" s="665"/>
      <c r="T153" s="665"/>
      <c r="U153" s="665"/>
      <c r="V153" s="666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69" t="s">
        <v>278</v>
      </c>
      <c r="B154" s="669"/>
      <c r="C154" s="669"/>
      <c r="D154" s="669"/>
      <c r="E154" s="669"/>
      <c r="F154" s="669"/>
      <c r="G154" s="669"/>
      <c r="H154" s="669"/>
      <c r="I154" s="669"/>
      <c r="J154" s="669"/>
      <c r="K154" s="669"/>
      <c r="L154" s="669"/>
      <c r="M154" s="669"/>
      <c r="N154" s="669"/>
      <c r="O154" s="669"/>
      <c r="P154" s="669"/>
      <c r="Q154" s="669"/>
      <c r="R154" s="669"/>
      <c r="S154" s="669"/>
      <c r="T154" s="669"/>
      <c r="U154" s="669"/>
      <c r="V154" s="669"/>
      <c r="W154" s="669"/>
      <c r="X154" s="669"/>
      <c r="Y154" s="669"/>
      <c r="Z154" s="669"/>
      <c r="AA154" s="65"/>
      <c r="AB154" s="65"/>
      <c r="AC154" s="79"/>
    </row>
    <row r="155" spans="1:68" ht="14.25" hidden="1" customHeight="1" x14ac:dyDescent="0.25">
      <c r="A155" s="670" t="s">
        <v>86</v>
      </c>
      <c r="B155" s="670"/>
      <c r="C155" s="670"/>
      <c r="D155" s="670"/>
      <c r="E155" s="670"/>
      <c r="F155" s="670"/>
      <c r="G155" s="670"/>
      <c r="H155" s="670"/>
      <c r="I155" s="670"/>
      <c r="J155" s="670"/>
      <c r="K155" s="670"/>
      <c r="L155" s="670"/>
      <c r="M155" s="670"/>
      <c r="N155" s="670"/>
      <c r="O155" s="670"/>
      <c r="P155" s="670"/>
      <c r="Q155" s="670"/>
      <c r="R155" s="670"/>
      <c r="S155" s="670"/>
      <c r="T155" s="670"/>
      <c r="U155" s="670"/>
      <c r="V155" s="670"/>
      <c r="W155" s="670"/>
      <c r="X155" s="670"/>
      <c r="Y155" s="670"/>
      <c r="Z155" s="670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1">
        <v>4680115888203</v>
      </c>
      <c r="E156" s="671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3"/>
      <c r="R156" s="673"/>
      <c r="S156" s="673"/>
      <c r="T156" s="674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1">
        <v>4680115888180</v>
      </c>
      <c r="E157" s="67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3"/>
      <c r="R157" s="673"/>
      <c r="S157" s="673"/>
      <c r="T157" s="674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1">
        <v>4680115888180</v>
      </c>
      <c r="E158" s="671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3"/>
      <c r="R158" s="673"/>
      <c r="S158" s="673"/>
      <c r="T158" s="674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1">
        <v>4680115888197</v>
      </c>
      <c r="E159" s="671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3"/>
      <c r="R159" s="673"/>
      <c r="S159" s="673"/>
      <c r="T159" s="674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1">
        <v>4680115888197</v>
      </c>
      <c r="E160" s="671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3"/>
      <c r="R160" s="673"/>
      <c r="S160" s="673"/>
      <c r="T160" s="674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1">
        <v>4680115888210</v>
      </c>
      <c r="E161" s="671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3"/>
      <c r="R161" s="673"/>
      <c r="S161" s="673"/>
      <c r="T161" s="674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1">
        <v>4680115888210</v>
      </c>
      <c r="E162" s="671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3"/>
      <c r="R162" s="673"/>
      <c r="S162" s="673"/>
      <c r="T162" s="674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7"/>
      <c r="B163" s="667"/>
      <c r="C163" s="667"/>
      <c r="D163" s="667"/>
      <c r="E163" s="667"/>
      <c r="F163" s="667"/>
      <c r="G163" s="667"/>
      <c r="H163" s="667"/>
      <c r="I163" s="667"/>
      <c r="J163" s="667"/>
      <c r="K163" s="667"/>
      <c r="L163" s="667"/>
      <c r="M163" s="667"/>
      <c r="N163" s="667"/>
      <c r="O163" s="668"/>
      <c r="P163" s="664" t="s">
        <v>40</v>
      </c>
      <c r="Q163" s="665"/>
      <c r="R163" s="665"/>
      <c r="S163" s="665"/>
      <c r="T163" s="665"/>
      <c r="U163" s="665"/>
      <c r="V163" s="666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7"/>
      <c r="B164" s="667"/>
      <c r="C164" s="667"/>
      <c r="D164" s="667"/>
      <c r="E164" s="667"/>
      <c r="F164" s="667"/>
      <c r="G164" s="667"/>
      <c r="H164" s="667"/>
      <c r="I164" s="667"/>
      <c r="J164" s="667"/>
      <c r="K164" s="667"/>
      <c r="L164" s="667"/>
      <c r="M164" s="667"/>
      <c r="N164" s="667"/>
      <c r="O164" s="668"/>
      <c r="P164" s="664" t="s">
        <v>40</v>
      </c>
      <c r="Q164" s="665"/>
      <c r="R164" s="665"/>
      <c r="S164" s="665"/>
      <c r="T164" s="665"/>
      <c r="U164" s="665"/>
      <c r="V164" s="666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0" t="s">
        <v>294</v>
      </c>
      <c r="B165" s="670"/>
      <c r="C165" s="670"/>
      <c r="D165" s="670"/>
      <c r="E165" s="670"/>
      <c r="F165" s="670"/>
      <c r="G165" s="670"/>
      <c r="H165" s="670"/>
      <c r="I165" s="670"/>
      <c r="J165" s="670"/>
      <c r="K165" s="670"/>
      <c r="L165" s="670"/>
      <c r="M165" s="670"/>
      <c r="N165" s="670"/>
      <c r="O165" s="670"/>
      <c r="P165" s="670"/>
      <c r="Q165" s="670"/>
      <c r="R165" s="670"/>
      <c r="S165" s="670"/>
      <c r="T165" s="670"/>
      <c r="U165" s="670"/>
      <c r="V165" s="670"/>
      <c r="W165" s="670"/>
      <c r="X165" s="670"/>
      <c r="Y165" s="670"/>
      <c r="Z165" s="670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1">
        <v>4680115889132</v>
      </c>
      <c r="E166" s="671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3"/>
      <c r="R166" s="673"/>
      <c r="S166" s="673"/>
      <c r="T166" s="67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7"/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8"/>
      <c r="P167" s="664" t="s">
        <v>40</v>
      </c>
      <c r="Q167" s="665"/>
      <c r="R167" s="665"/>
      <c r="S167" s="665"/>
      <c r="T167" s="665"/>
      <c r="U167" s="665"/>
      <c r="V167" s="666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7"/>
      <c r="B168" s="667"/>
      <c r="C168" s="667"/>
      <c r="D168" s="667"/>
      <c r="E168" s="667"/>
      <c r="F168" s="667"/>
      <c r="G168" s="667"/>
      <c r="H168" s="667"/>
      <c r="I168" s="667"/>
      <c r="J168" s="667"/>
      <c r="K168" s="667"/>
      <c r="L168" s="667"/>
      <c r="M168" s="667"/>
      <c r="N168" s="667"/>
      <c r="O168" s="668"/>
      <c r="P168" s="664" t="s">
        <v>40</v>
      </c>
      <c r="Q168" s="665"/>
      <c r="R168" s="665"/>
      <c r="S168" s="665"/>
      <c r="T168" s="665"/>
      <c r="U168" s="665"/>
      <c r="V168" s="666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69" t="s">
        <v>120</v>
      </c>
      <c r="B169" s="669"/>
      <c r="C169" s="669"/>
      <c r="D169" s="669"/>
      <c r="E169" s="669"/>
      <c r="F169" s="669"/>
      <c r="G169" s="669"/>
      <c r="H169" s="669"/>
      <c r="I169" s="669"/>
      <c r="J169" s="669"/>
      <c r="K169" s="669"/>
      <c r="L169" s="669"/>
      <c r="M169" s="669"/>
      <c r="N169" s="669"/>
      <c r="O169" s="669"/>
      <c r="P169" s="669"/>
      <c r="Q169" s="669"/>
      <c r="R169" s="669"/>
      <c r="S169" s="669"/>
      <c r="T169" s="669"/>
      <c r="U169" s="669"/>
      <c r="V169" s="669"/>
      <c r="W169" s="669"/>
      <c r="X169" s="669"/>
      <c r="Y169" s="669"/>
      <c r="Z169" s="669"/>
      <c r="AA169" s="65"/>
      <c r="AB169" s="65"/>
      <c r="AC169" s="79"/>
    </row>
    <row r="170" spans="1:68" ht="14.25" hidden="1" customHeight="1" x14ac:dyDescent="0.25">
      <c r="A170" s="670" t="s">
        <v>122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1">
        <v>4680115887374</v>
      </c>
      <c r="E171" s="671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3"/>
      <c r="R171" s="673"/>
      <c r="S171" s="673"/>
      <c r="T171" s="674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1">
        <v>4607091384604</v>
      </c>
      <c r="E172" s="671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3"/>
      <c r="R172" s="673"/>
      <c r="S172" s="673"/>
      <c r="T172" s="67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1">
        <v>4680115888876</v>
      </c>
      <c r="E173" s="671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3"/>
      <c r="R173" s="673"/>
      <c r="S173" s="673"/>
      <c r="T173" s="67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7"/>
      <c r="B174" s="667"/>
      <c r="C174" s="667"/>
      <c r="D174" s="667"/>
      <c r="E174" s="667"/>
      <c r="F174" s="667"/>
      <c r="G174" s="667"/>
      <c r="H174" s="667"/>
      <c r="I174" s="667"/>
      <c r="J174" s="667"/>
      <c r="K174" s="667"/>
      <c r="L174" s="667"/>
      <c r="M174" s="667"/>
      <c r="N174" s="667"/>
      <c r="O174" s="668"/>
      <c r="P174" s="664" t="s">
        <v>40</v>
      </c>
      <c r="Q174" s="665"/>
      <c r="R174" s="665"/>
      <c r="S174" s="665"/>
      <c r="T174" s="665"/>
      <c r="U174" s="665"/>
      <c r="V174" s="666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7"/>
      <c r="B175" s="667"/>
      <c r="C175" s="667"/>
      <c r="D175" s="667"/>
      <c r="E175" s="667"/>
      <c r="F175" s="667"/>
      <c r="G175" s="667"/>
      <c r="H175" s="667"/>
      <c r="I175" s="667"/>
      <c r="J175" s="667"/>
      <c r="K175" s="667"/>
      <c r="L175" s="667"/>
      <c r="M175" s="667"/>
      <c r="N175" s="667"/>
      <c r="O175" s="668"/>
      <c r="P175" s="664" t="s">
        <v>40</v>
      </c>
      <c r="Q175" s="665"/>
      <c r="R175" s="665"/>
      <c r="S175" s="665"/>
      <c r="T175" s="665"/>
      <c r="U175" s="665"/>
      <c r="V175" s="666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0" t="s">
        <v>155</v>
      </c>
      <c r="B176" s="670"/>
      <c r="C176" s="670"/>
      <c r="D176" s="670"/>
      <c r="E176" s="670"/>
      <c r="F176" s="670"/>
      <c r="G176" s="670"/>
      <c r="H176" s="670"/>
      <c r="I176" s="670"/>
      <c r="J176" s="670"/>
      <c r="K176" s="670"/>
      <c r="L176" s="670"/>
      <c r="M176" s="670"/>
      <c r="N176" s="670"/>
      <c r="O176" s="670"/>
      <c r="P176" s="670"/>
      <c r="Q176" s="670"/>
      <c r="R176" s="670"/>
      <c r="S176" s="670"/>
      <c r="T176" s="670"/>
      <c r="U176" s="670"/>
      <c r="V176" s="670"/>
      <c r="W176" s="670"/>
      <c r="X176" s="670"/>
      <c r="Y176" s="670"/>
      <c r="Z176" s="670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1">
        <v>4680115887695</v>
      </c>
      <c r="E177" s="671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3"/>
      <c r="R177" s="673"/>
      <c r="S177" s="673"/>
      <c r="T177" s="674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1">
        <v>4680115889491</v>
      </c>
      <c r="E178" s="671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3"/>
      <c r="R178" s="673"/>
      <c r="S178" s="673"/>
      <c r="T178" s="674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7"/>
      <c r="B179" s="667"/>
      <c r="C179" s="667"/>
      <c r="D179" s="667"/>
      <c r="E179" s="667"/>
      <c r="F179" s="667"/>
      <c r="G179" s="667"/>
      <c r="H179" s="667"/>
      <c r="I179" s="667"/>
      <c r="J179" s="667"/>
      <c r="K179" s="667"/>
      <c r="L179" s="667"/>
      <c r="M179" s="667"/>
      <c r="N179" s="667"/>
      <c r="O179" s="668"/>
      <c r="P179" s="664" t="s">
        <v>40</v>
      </c>
      <c r="Q179" s="665"/>
      <c r="R179" s="665"/>
      <c r="S179" s="665"/>
      <c r="T179" s="665"/>
      <c r="U179" s="665"/>
      <c r="V179" s="666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7"/>
      <c r="B180" s="667"/>
      <c r="C180" s="667"/>
      <c r="D180" s="667"/>
      <c r="E180" s="667"/>
      <c r="F180" s="667"/>
      <c r="G180" s="667"/>
      <c r="H180" s="667"/>
      <c r="I180" s="667"/>
      <c r="J180" s="667"/>
      <c r="K180" s="667"/>
      <c r="L180" s="667"/>
      <c r="M180" s="667"/>
      <c r="N180" s="667"/>
      <c r="O180" s="668"/>
      <c r="P180" s="664" t="s">
        <v>40</v>
      </c>
      <c r="Q180" s="665"/>
      <c r="R180" s="665"/>
      <c r="S180" s="665"/>
      <c r="T180" s="665"/>
      <c r="U180" s="665"/>
      <c r="V180" s="666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0" t="s">
        <v>77</v>
      </c>
      <c r="B181" s="670"/>
      <c r="C181" s="670"/>
      <c r="D181" s="670"/>
      <c r="E181" s="670"/>
      <c r="F181" s="670"/>
      <c r="G181" s="670"/>
      <c r="H181" s="670"/>
      <c r="I181" s="670"/>
      <c r="J181" s="670"/>
      <c r="K181" s="670"/>
      <c r="L181" s="670"/>
      <c r="M181" s="670"/>
      <c r="N181" s="670"/>
      <c r="O181" s="670"/>
      <c r="P181" s="670"/>
      <c r="Q181" s="670"/>
      <c r="R181" s="670"/>
      <c r="S181" s="670"/>
      <c r="T181" s="670"/>
      <c r="U181" s="670"/>
      <c r="V181" s="670"/>
      <c r="W181" s="670"/>
      <c r="X181" s="670"/>
      <c r="Y181" s="670"/>
      <c r="Z181" s="670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1">
        <v>4680115887428</v>
      </c>
      <c r="E182" s="671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3"/>
      <c r="R182" s="673"/>
      <c r="S182" s="673"/>
      <c r="T182" s="67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1">
        <v>4680115889170</v>
      </c>
      <c r="E183" s="671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6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3"/>
      <c r="R183" s="673"/>
      <c r="S183" s="673"/>
      <c r="T183" s="67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1">
        <v>4680115887398</v>
      </c>
      <c r="E184" s="671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3"/>
      <c r="R184" s="673"/>
      <c r="S184" s="673"/>
      <c r="T184" s="67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1">
        <v>4680115887398</v>
      </c>
      <c r="E185" s="671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1" t="s">
        <v>326</v>
      </c>
      <c r="Q185" s="673"/>
      <c r="R185" s="673"/>
      <c r="S185" s="673"/>
      <c r="T185" s="67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1">
        <v>4680115887336</v>
      </c>
      <c r="E186" s="671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3"/>
      <c r="R186" s="673"/>
      <c r="S186" s="673"/>
      <c r="T186" s="67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1">
        <v>4680115887336</v>
      </c>
      <c r="E187" s="671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3" t="s">
        <v>332</v>
      </c>
      <c r="Q187" s="673"/>
      <c r="R187" s="673"/>
      <c r="S187" s="673"/>
      <c r="T187" s="67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1">
        <v>4680115887787</v>
      </c>
      <c r="E188" s="671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3"/>
      <c r="R188" s="673"/>
      <c r="S188" s="673"/>
      <c r="T188" s="674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1">
        <v>4680115887787</v>
      </c>
      <c r="E189" s="671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5" t="s">
        <v>338</v>
      </c>
      <c r="Q189" s="673"/>
      <c r="R189" s="673"/>
      <c r="S189" s="673"/>
      <c r="T189" s="674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1">
        <v>4680115887503</v>
      </c>
      <c r="E190" s="671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3"/>
      <c r="R190" s="673"/>
      <c r="S190" s="673"/>
      <c r="T190" s="674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1">
        <v>4680115887763</v>
      </c>
      <c r="E191" s="671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7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3"/>
      <c r="R191" s="673"/>
      <c r="S191" s="673"/>
      <c r="T191" s="674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1">
        <v>4680115887480</v>
      </c>
      <c r="E192" s="671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3"/>
      <c r="R192" s="673"/>
      <c r="S192" s="673"/>
      <c r="T192" s="674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1">
        <v>4680115887480</v>
      </c>
      <c r="E193" s="671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3" t="s">
        <v>347</v>
      </c>
      <c r="Q193" s="673"/>
      <c r="R193" s="673"/>
      <c r="S193" s="673"/>
      <c r="T193" s="674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1">
        <v>4680115888067</v>
      </c>
      <c r="E194" s="671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3"/>
      <c r="R194" s="673"/>
      <c r="S194" s="673"/>
      <c r="T194" s="674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1">
        <v>4680115887435</v>
      </c>
      <c r="E195" s="671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3"/>
      <c r="R195" s="673"/>
      <c r="S195" s="673"/>
      <c r="T195" s="674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7"/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8"/>
      <c r="P196" s="664" t="s">
        <v>40</v>
      </c>
      <c r="Q196" s="665"/>
      <c r="R196" s="665"/>
      <c r="S196" s="665"/>
      <c r="T196" s="665"/>
      <c r="U196" s="665"/>
      <c r="V196" s="666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7"/>
      <c r="B197" s="667"/>
      <c r="C197" s="667"/>
      <c r="D197" s="667"/>
      <c r="E197" s="667"/>
      <c r="F197" s="667"/>
      <c r="G197" s="667"/>
      <c r="H197" s="667"/>
      <c r="I197" s="667"/>
      <c r="J197" s="667"/>
      <c r="K197" s="667"/>
      <c r="L197" s="667"/>
      <c r="M197" s="667"/>
      <c r="N197" s="667"/>
      <c r="O197" s="668"/>
      <c r="P197" s="664" t="s">
        <v>40</v>
      </c>
      <c r="Q197" s="665"/>
      <c r="R197" s="665"/>
      <c r="S197" s="665"/>
      <c r="T197" s="665"/>
      <c r="U197" s="665"/>
      <c r="V197" s="666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0" t="s">
        <v>86</v>
      </c>
      <c r="B198" s="670"/>
      <c r="C198" s="670"/>
      <c r="D198" s="670"/>
      <c r="E198" s="670"/>
      <c r="F198" s="670"/>
      <c r="G198" s="670"/>
      <c r="H198" s="670"/>
      <c r="I198" s="670"/>
      <c r="J198" s="670"/>
      <c r="K198" s="670"/>
      <c r="L198" s="670"/>
      <c r="M198" s="670"/>
      <c r="N198" s="670"/>
      <c r="O198" s="670"/>
      <c r="P198" s="670"/>
      <c r="Q198" s="670"/>
      <c r="R198" s="670"/>
      <c r="S198" s="670"/>
      <c r="T198" s="670"/>
      <c r="U198" s="670"/>
      <c r="V198" s="670"/>
      <c r="W198" s="670"/>
      <c r="X198" s="670"/>
      <c r="Y198" s="670"/>
      <c r="Z198" s="670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1">
        <v>4680115888395</v>
      </c>
      <c r="E199" s="671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3"/>
      <c r="R199" s="673"/>
      <c r="S199" s="673"/>
      <c r="T199" s="674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1">
        <v>4680115888371</v>
      </c>
      <c r="E200" s="671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6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3"/>
      <c r="R200" s="673"/>
      <c r="S200" s="673"/>
      <c r="T200" s="674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1">
        <v>4680115887459</v>
      </c>
      <c r="E201" s="671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6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3"/>
      <c r="R201" s="673"/>
      <c r="S201" s="673"/>
      <c r="T201" s="674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7"/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8"/>
      <c r="P202" s="664" t="s">
        <v>40</v>
      </c>
      <c r="Q202" s="665"/>
      <c r="R202" s="665"/>
      <c r="S202" s="665"/>
      <c r="T202" s="665"/>
      <c r="U202" s="665"/>
      <c r="V202" s="666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7"/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8"/>
      <c r="P203" s="664" t="s">
        <v>40</v>
      </c>
      <c r="Q203" s="665"/>
      <c r="R203" s="665"/>
      <c r="S203" s="665"/>
      <c r="T203" s="665"/>
      <c r="U203" s="665"/>
      <c r="V203" s="666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0" t="s">
        <v>294</v>
      </c>
      <c r="B204" s="670"/>
      <c r="C204" s="670"/>
      <c r="D204" s="670"/>
      <c r="E204" s="670"/>
      <c r="F204" s="670"/>
      <c r="G204" s="670"/>
      <c r="H204" s="670"/>
      <c r="I204" s="670"/>
      <c r="J204" s="670"/>
      <c r="K204" s="670"/>
      <c r="L204" s="670"/>
      <c r="M204" s="670"/>
      <c r="N204" s="670"/>
      <c r="O204" s="670"/>
      <c r="P204" s="670"/>
      <c r="Q204" s="670"/>
      <c r="R204" s="670"/>
      <c r="S204" s="670"/>
      <c r="T204" s="670"/>
      <c r="U204" s="670"/>
      <c r="V204" s="670"/>
      <c r="W204" s="670"/>
      <c r="X204" s="670"/>
      <c r="Y204" s="670"/>
      <c r="Z204" s="670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1">
        <v>4680115889026</v>
      </c>
      <c r="E205" s="671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3"/>
      <c r="R205" s="673"/>
      <c r="S205" s="673"/>
      <c r="T205" s="674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7"/>
      <c r="B206" s="667"/>
      <c r="C206" s="667"/>
      <c r="D206" s="667"/>
      <c r="E206" s="667"/>
      <c r="F206" s="667"/>
      <c r="G206" s="667"/>
      <c r="H206" s="667"/>
      <c r="I206" s="667"/>
      <c r="J206" s="667"/>
      <c r="K206" s="667"/>
      <c r="L206" s="667"/>
      <c r="M206" s="667"/>
      <c r="N206" s="667"/>
      <c r="O206" s="668"/>
      <c r="P206" s="664" t="s">
        <v>40</v>
      </c>
      <c r="Q206" s="665"/>
      <c r="R206" s="665"/>
      <c r="S206" s="665"/>
      <c r="T206" s="665"/>
      <c r="U206" s="665"/>
      <c r="V206" s="666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7"/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8"/>
      <c r="P207" s="664" t="s">
        <v>40</v>
      </c>
      <c r="Q207" s="665"/>
      <c r="R207" s="665"/>
      <c r="S207" s="665"/>
      <c r="T207" s="665"/>
      <c r="U207" s="665"/>
      <c r="V207" s="666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0" t="s">
        <v>366</v>
      </c>
      <c r="B208" s="670"/>
      <c r="C208" s="670"/>
      <c r="D208" s="670"/>
      <c r="E208" s="670"/>
      <c r="F208" s="670"/>
      <c r="G208" s="670"/>
      <c r="H208" s="670"/>
      <c r="I208" s="670"/>
      <c r="J208" s="670"/>
      <c r="K208" s="670"/>
      <c r="L208" s="670"/>
      <c r="M208" s="670"/>
      <c r="N208" s="670"/>
      <c r="O208" s="670"/>
      <c r="P208" s="670"/>
      <c r="Q208" s="670"/>
      <c r="R208" s="670"/>
      <c r="S208" s="670"/>
      <c r="T208" s="670"/>
      <c r="U208" s="670"/>
      <c r="V208" s="670"/>
      <c r="W208" s="670"/>
      <c r="X208" s="670"/>
      <c r="Y208" s="670"/>
      <c r="Z208" s="670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1">
        <v>4680115889033</v>
      </c>
      <c r="E209" s="671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3"/>
      <c r="R209" s="673"/>
      <c r="S209" s="673"/>
      <c r="T209" s="67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7"/>
      <c r="B210" s="667"/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8"/>
      <c r="P210" s="664" t="s">
        <v>40</v>
      </c>
      <c r="Q210" s="665"/>
      <c r="R210" s="665"/>
      <c r="S210" s="665"/>
      <c r="T210" s="665"/>
      <c r="U210" s="665"/>
      <c r="V210" s="666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7"/>
      <c r="B211" s="667"/>
      <c r="C211" s="667"/>
      <c r="D211" s="667"/>
      <c r="E211" s="667"/>
      <c r="F211" s="667"/>
      <c r="G211" s="667"/>
      <c r="H211" s="667"/>
      <c r="I211" s="667"/>
      <c r="J211" s="667"/>
      <c r="K211" s="667"/>
      <c r="L211" s="667"/>
      <c r="M211" s="667"/>
      <c r="N211" s="667"/>
      <c r="O211" s="668"/>
      <c r="P211" s="664" t="s">
        <v>40</v>
      </c>
      <c r="Q211" s="665"/>
      <c r="R211" s="665"/>
      <c r="S211" s="665"/>
      <c r="T211" s="665"/>
      <c r="U211" s="665"/>
      <c r="V211" s="666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4" t="s">
        <v>370</v>
      </c>
      <c r="B212" s="684"/>
      <c r="C212" s="684"/>
      <c r="D212" s="684"/>
      <c r="E212" s="684"/>
      <c r="F212" s="684"/>
      <c r="G212" s="684"/>
      <c r="H212" s="684"/>
      <c r="I212" s="684"/>
      <c r="J212" s="684"/>
      <c r="K212" s="684"/>
      <c r="L212" s="684"/>
      <c r="M212" s="684"/>
      <c r="N212" s="684"/>
      <c r="O212" s="684"/>
      <c r="P212" s="684"/>
      <c r="Q212" s="684"/>
      <c r="R212" s="684"/>
      <c r="S212" s="684"/>
      <c r="T212" s="684"/>
      <c r="U212" s="684"/>
      <c r="V212" s="684"/>
      <c r="W212" s="684"/>
      <c r="X212" s="684"/>
      <c r="Y212" s="684"/>
      <c r="Z212" s="684"/>
      <c r="AA212" s="54"/>
      <c r="AB212" s="54"/>
      <c r="AC212" s="54"/>
    </row>
    <row r="213" spans="1:68" ht="16.5" hidden="1" customHeight="1" x14ac:dyDescent="0.25">
      <c r="A213" s="669" t="s">
        <v>371</v>
      </c>
      <c r="B213" s="669"/>
      <c r="C213" s="669"/>
      <c r="D213" s="669"/>
      <c r="E213" s="669"/>
      <c r="F213" s="669"/>
      <c r="G213" s="669"/>
      <c r="H213" s="669"/>
      <c r="I213" s="669"/>
      <c r="J213" s="669"/>
      <c r="K213" s="669"/>
      <c r="L213" s="669"/>
      <c r="M213" s="669"/>
      <c r="N213" s="669"/>
      <c r="O213" s="669"/>
      <c r="P213" s="669"/>
      <c r="Q213" s="669"/>
      <c r="R213" s="669"/>
      <c r="S213" s="669"/>
      <c r="T213" s="669"/>
      <c r="U213" s="669"/>
      <c r="V213" s="669"/>
      <c r="W213" s="669"/>
      <c r="X213" s="669"/>
      <c r="Y213" s="669"/>
      <c r="Z213" s="669"/>
      <c r="AA213" s="65"/>
      <c r="AB213" s="65"/>
      <c r="AC213" s="79"/>
    </row>
    <row r="214" spans="1:68" ht="14.25" hidden="1" customHeight="1" x14ac:dyDescent="0.25">
      <c r="A214" s="670" t="s">
        <v>122</v>
      </c>
      <c r="B214" s="670"/>
      <c r="C214" s="670"/>
      <c r="D214" s="670"/>
      <c r="E214" s="670"/>
      <c r="F214" s="670"/>
      <c r="G214" s="670"/>
      <c r="H214" s="670"/>
      <c r="I214" s="670"/>
      <c r="J214" s="670"/>
      <c r="K214" s="670"/>
      <c r="L214" s="670"/>
      <c r="M214" s="670"/>
      <c r="N214" s="670"/>
      <c r="O214" s="670"/>
      <c r="P214" s="670"/>
      <c r="Q214" s="670"/>
      <c r="R214" s="670"/>
      <c r="S214" s="670"/>
      <c r="T214" s="670"/>
      <c r="U214" s="670"/>
      <c r="V214" s="670"/>
      <c r="W214" s="670"/>
      <c r="X214" s="670"/>
      <c r="Y214" s="670"/>
      <c r="Z214" s="67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1">
        <v>4607091383423</v>
      </c>
      <c r="E215" s="671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3"/>
      <c r="R215" s="673"/>
      <c r="S215" s="673"/>
      <c r="T215" s="67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1">
        <v>4680115888760</v>
      </c>
      <c r="E216" s="671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3"/>
      <c r="R216" s="673"/>
      <c r="S216" s="673"/>
      <c r="T216" s="67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1">
        <v>4680115888807</v>
      </c>
      <c r="E217" s="671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3"/>
      <c r="R217" s="673"/>
      <c r="S217" s="673"/>
      <c r="T217" s="67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1">
        <v>4680115888852</v>
      </c>
      <c r="E218" s="671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3"/>
      <c r="R218" s="673"/>
      <c r="S218" s="673"/>
      <c r="T218" s="67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1">
        <v>4680115886957</v>
      </c>
      <c r="E219" s="671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3"/>
      <c r="R219" s="673"/>
      <c r="S219" s="673"/>
      <c r="T219" s="67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1">
        <v>4680115885660</v>
      </c>
      <c r="E220" s="671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3"/>
      <c r="R220" s="673"/>
      <c r="S220" s="673"/>
      <c r="T220" s="67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1">
        <v>4680115886773</v>
      </c>
      <c r="E221" s="671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3"/>
      <c r="R221" s="673"/>
      <c r="S221" s="673"/>
      <c r="T221" s="67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7"/>
      <c r="B222" s="667"/>
      <c r="C222" s="667"/>
      <c r="D222" s="667"/>
      <c r="E222" s="667"/>
      <c r="F222" s="667"/>
      <c r="G222" s="667"/>
      <c r="H222" s="667"/>
      <c r="I222" s="667"/>
      <c r="J222" s="667"/>
      <c r="K222" s="667"/>
      <c r="L222" s="667"/>
      <c r="M222" s="667"/>
      <c r="N222" s="667"/>
      <c r="O222" s="668"/>
      <c r="P222" s="664" t="s">
        <v>40</v>
      </c>
      <c r="Q222" s="665"/>
      <c r="R222" s="665"/>
      <c r="S222" s="665"/>
      <c r="T222" s="665"/>
      <c r="U222" s="665"/>
      <c r="V222" s="666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7"/>
      <c r="B223" s="667"/>
      <c r="C223" s="667"/>
      <c r="D223" s="667"/>
      <c r="E223" s="667"/>
      <c r="F223" s="667"/>
      <c r="G223" s="667"/>
      <c r="H223" s="667"/>
      <c r="I223" s="667"/>
      <c r="J223" s="667"/>
      <c r="K223" s="667"/>
      <c r="L223" s="667"/>
      <c r="M223" s="667"/>
      <c r="N223" s="667"/>
      <c r="O223" s="668"/>
      <c r="P223" s="664" t="s">
        <v>40</v>
      </c>
      <c r="Q223" s="665"/>
      <c r="R223" s="665"/>
      <c r="S223" s="665"/>
      <c r="T223" s="665"/>
      <c r="U223" s="665"/>
      <c r="V223" s="666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69" t="s">
        <v>392</v>
      </c>
      <c r="B224" s="669"/>
      <c r="C224" s="669"/>
      <c r="D224" s="669"/>
      <c r="E224" s="669"/>
      <c r="F224" s="669"/>
      <c r="G224" s="669"/>
      <c r="H224" s="669"/>
      <c r="I224" s="669"/>
      <c r="J224" s="669"/>
      <c r="K224" s="669"/>
      <c r="L224" s="669"/>
      <c r="M224" s="669"/>
      <c r="N224" s="669"/>
      <c r="O224" s="669"/>
      <c r="P224" s="669"/>
      <c r="Q224" s="669"/>
      <c r="R224" s="669"/>
      <c r="S224" s="669"/>
      <c r="T224" s="669"/>
      <c r="U224" s="669"/>
      <c r="V224" s="669"/>
      <c r="W224" s="669"/>
      <c r="X224" s="669"/>
      <c r="Y224" s="669"/>
      <c r="Z224" s="669"/>
      <c r="AA224" s="65"/>
      <c r="AB224" s="65"/>
      <c r="AC224" s="79"/>
    </row>
    <row r="225" spans="1:68" ht="14.25" hidden="1" customHeight="1" x14ac:dyDescent="0.25">
      <c r="A225" s="670" t="s">
        <v>155</v>
      </c>
      <c r="B225" s="670"/>
      <c r="C225" s="670"/>
      <c r="D225" s="670"/>
      <c r="E225" s="670"/>
      <c r="F225" s="670"/>
      <c r="G225" s="670"/>
      <c r="H225" s="670"/>
      <c r="I225" s="670"/>
      <c r="J225" s="670"/>
      <c r="K225" s="670"/>
      <c r="L225" s="670"/>
      <c r="M225" s="670"/>
      <c r="N225" s="670"/>
      <c r="O225" s="670"/>
      <c r="P225" s="670"/>
      <c r="Q225" s="670"/>
      <c r="R225" s="670"/>
      <c r="S225" s="670"/>
      <c r="T225" s="670"/>
      <c r="U225" s="670"/>
      <c r="V225" s="670"/>
      <c r="W225" s="670"/>
      <c r="X225" s="670"/>
      <c r="Y225" s="670"/>
      <c r="Z225" s="670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1">
        <v>4680115886223</v>
      </c>
      <c r="E226" s="671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3"/>
      <c r="R226" s="673"/>
      <c r="S226" s="673"/>
      <c r="T226" s="674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7"/>
      <c r="B227" s="667"/>
      <c r="C227" s="667"/>
      <c r="D227" s="667"/>
      <c r="E227" s="667"/>
      <c r="F227" s="667"/>
      <c r="G227" s="667"/>
      <c r="H227" s="667"/>
      <c r="I227" s="667"/>
      <c r="J227" s="667"/>
      <c r="K227" s="667"/>
      <c r="L227" s="667"/>
      <c r="M227" s="667"/>
      <c r="N227" s="667"/>
      <c r="O227" s="668"/>
      <c r="P227" s="664" t="s">
        <v>40</v>
      </c>
      <c r="Q227" s="665"/>
      <c r="R227" s="665"/>
      <c r="S227" s="665"/>
      <c r="T227" s="665"/>
      <c r="U227" s="665"/>
      <c r="V227" s="666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7"/>
      <c r="B228" s="667"/>
      <c r="C228" s="667"/>
      <c r="D228" s="667"/>
      <c r="E228" s="667"/>
      <c r="F228" s="667"/>
      <c r="G228" s="667"/>
      <c r="H228" s="667"/>
      <c r="I228" s="667"/>
      <c r="J228" s="667"/>
      <c r="K228" s="667"/>
      <c r="L228" s="667"/>
      <c r="M228" s="667"/>
      <c r="N228" s="667"/>
      <c r="O228" s="668"/>
      <c r="P228" s="664" t="s">
        <v>40</v>
      </c>
      <c r="Q228" s="665"/>
      <c r="R228" s="665"/>
      <c r="S228" s="665"/>
      <c r="T228" s="665"/>
      <c r="U228" s="665"/>
      <c r="V228" s="666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0" t="s">
        <v>77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1">
        <v>4680115880993</v>
      </c>
      <c r="E230" s="671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4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3"/>
      <c r="R230" s="673"/>
      <c r="S230" s="673"/>
      <c r="T230" s="67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1">
        <v>4680115881761</v>
      </c>
      <c r="E231" s="671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3"/>
      <c r="R231" s="673"/>
      <c r="S231" s="673"/>
      <c r="T231" s="67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1">
        <v>4680115881563</v>
      </c>
      <c r="E232" s="671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3"/>
      <c r="R232" s="673"/>
      <c r="S232" s="673"/>
      <c r="T232" s="67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1">
        <v>4680115887565</v>
      </c>
      <c r="E233" s="671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3"/>
      <c r="R233" s="673"/>
      <c r="S233" s="673"/>
      <c r="T233" s="67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1">
        <v>4680115880986</v>
      </c>
      <c r="E234" s="671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3"/>
      <c r="R234" s="673"/>
      <c r="S234" s="673"/>
      <c r="T234" s="67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1">
        <v>4680115887213</v>
      </c>
      <c r="E235" s="671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3"/>
      <c r="R235" s="673"/>
      <c r="S235" s="673"/>
      <c r="T235" s="67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1">
        <v>4680115881785</v>
      </c>
      <c r="E236" s="671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3"/>
      <c r="R236" s="673"/>
      <c r="S236" s="673"/>
      <c r="T236" s="67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1">
        <v>4680115888432</v>
      </c>
      <c r="E237" s="671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3"/>
      <c r="R237" s="673"/>
      <c r="S237" s="673"/>
      <c r="T237" s="67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1">
        <v>4680115888104</v>
      </c>
      <c r="E238" s="671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3"/>
      <c r="R238" s="673"/>
      <c r="S238" s="673"/>
      <c r="T238" s="67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1">
        <v>4680115886537</v>
      </c>
      <c r="E239" s="671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3"/>
      <c r="R239" s="673"/>
      <c r="S239" s="673"/>
      <c r="T239" s="67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1">
        <v>4680115887596</v>
      </c>
      <c r="E240" s="671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3"/>
      <c r="R240" s="673"/>
      <c r="S240" s="673"/>
      <c r="T240" s="67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1">
        <v>4680115881679</v>
      </c>
      <c r="E241" s="671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3"/>
      <c r="R241" s="673"/>
      <c r="S241" s="673"/>
      <c r="T241" s="67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1">
        <v>4680115880191</v>
      </c>
      <c r="E242" s="671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3"/>
      <c r="R242" s="673"/>
      <c r="S242" s="673"/>
      <c r="T242" s="67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1">
        <v>4680115883963</v>
      </c>
      <c r="E243" s="671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3"/>
      <c r="R243" s="673"/>
      <c r="S243" s="673"/>
      <c r="T243" s="67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7"/>
      <c r="B244" s="667"/>
      <c r="C244" s="667"/>
      <c r="D244" s="667"/>
      <c r="E244" s="667"/>
      <c r="F244" s="667"/>
      <c r="G244" s="667"/>
      <c r="H244" s="667"/>
      <c r="I244" s="667"/>
      <c r="J244" s="667"/>
      <c r="K244" s="667"/>
      <c r="L244" s="667"/>
      <c r="M244" s="667"/>
      <c r="N244" s="667"/>
      <c r="O244" s="668"/>
      <c r="P244" s="664" t="s">
        <v>40</v>
      </c>
      <c r="Q244" s="665"/>
      <c r="R244" s="665"/>
      <c r="S244" s="665"/>
      <c r="T244" s="665"/>
      <c r="U244" s="665"/>
      <c r="V244" s="666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7"/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8"/>
      <c r="P245" s="664" t="s">
        <v>40</v>
      </c>
      <c r="Q245" s="665"/>
      <c r="R245" s="665"/>
      <c r="S245" s="665"/>
      <c r="T245" s="665"/>
      <c r="U245" s="665"/>
      <c r="V245" s="666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0" t="s">
        <v>86</v>
      </c>
      <c r="B246" s="670"/>
      <c r="C246" s="670"/>
      <c r="D246" s="670"/>
      <c r="E246" s="670"/>
      <c r="F246" s="670"/>
      <c r="G246" s="670"/>
      <c r="H246" s="670"/>
      <c r="I246" s="670"/>
      <c r="J246" s="670"/>
      <c r="K246" s="670"/>
      <c r="L246" s="670"/>
      <c r="M246" s="670"/>
      <c r="N246" s="670"/>
      <c r="O246" s="670"/>
      <c r="P246" s="670"/>
      <c r="Q246" s="670"/>
      <c r="R246" s="670"/>
      <c r="S246" s="670"/>
      <c r="T246" s="670"/>
      <c r="U246" s="670"/>
      <c r="V246" s="670"/>
      <c r="W246" s="670"/>
      <c r="X246" s="670"/>
      <c r="Y246" s="670"/>
      <c r="Z246" s="670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1">
        <v>4680115888692</v>
      </c>
      <c r="E247" s="671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3"/>
      <c r="R247" s="673"/>
      <c r="S247" s="673"/>
      <c r="T247" s="674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1">
        <v>4680115888722</v>
      </c>
      <c r="E248" s="671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3"/>
      <c r="R248" s="673"/>
      <c r="S248" s="673"/>
      <c r="T248" s="67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1">
        <v>4680115888951</v>
      </c>
      <c r="E249" s="671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3"/>
      <c r="R249" s="673"/>
      <c r="S249" s="673"/>
      <c r="T249" s="67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1">
        <v>4680115888975</v>
      </c>
      <c r="E250" s="671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3"/>
      <c r="R250" s="673"/>
      <c r="S250" s="673"/>
      <c r="T250" s="67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1">
        <v>4680115888982</v>
      </c>
      <c r="E251" s="671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3"/>
      <c r="R251" s="673"/>
      <c r="S251" s="673"/>
      <c r="T251" s="674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7"/>
      <c r="B252" s="667"/>
      <c r="C252" s="667"/>
      <c r="D252" s="667"/>
      <c r="E252" s="667"/>
      <c r="F252" s="667"/>
      <c r="G252" s="667"/>
      <c r="H252" s="667"/>
      <c r="I252" s="667"/>
      <c r="J252" s="667"/>
      <c r="K252" s="667"/>
      <c r="L252" s="667"/>
      <c r="M252" s="667"/>
      <c r="N252" s="667"/>
      <c r="O252" s="668"/>
      <c r="P252" s="664" t="s">
        <v>40</v>
      </c>
      <c r="Q252" s="665"/>
      <c r="R252" s="665"/>
      <c r="S252" s="665"/>
      <c r="T252" s="665"/>
      <c r="U252" s="665"/>
      <c r="V252" s="666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7"/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8"/>
      <c r="P253" s="664" t="s">
        <v>40</v>
      </c>
      <c r="Q253" s="665"/>
      <c r="R253" s="665"/>
      <c r="S253" s="665"/>
      <c r="T253" s="665"/>
      <c r="U253" s="665"/>
      <c r="V253" s="666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0" t="s">
        <v>294</v>
      </c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1">
        <v>4680115886780</v>
      </c>
      <c r="E255" s="671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3"/>
      <c r="R255" s="673"/>
      <c r="S255" s="673"/>
      <c r="T255" s="67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1">
        <v>4680115886742</v>
      </c>
      <c r="E256" s="671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3"/>
      <c r="R256" s="673"/>
      <c r="S256" s="673"/>
      <c r="T256" s="67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1">
        <v>4680115886766</v>
      </c>
      <c r="E257" s="671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3"/>
      <c r="R257" s="673"/>
      <c r="S257" s="673"/>
      <c r="T257" s="674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7"/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8"/>
      <c r="P258" s="664" t="s">
        <v>40</v>
      </c>
      <c r="Q258" s="665"/>
      <c r="R258" s="665"/>
      <c r="S258" s="665"/>
      <c r="T258" s="665"/>
      <c r="U258" s="665"/>
      <c r="V258" s="666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7"/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8"/>
      <c r="P259" s="664" t="s">
        <v>40</v>
      </c>
      <c r="Q259" s="665"/>
      <c r="R259" s="665"/>
      <c r="S259" s="665"/>
      <c r="T259" s="665"/>
      <c r="U259" s="665"/>
      <c r="V259" s="666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0" t="s">
        <v>456</v>
      </c>
      <c r="B260" s="670"/>
      <c r="C260" s="670"/>
      <c r="D260" s="670"/>
      <c r="E260" s="670"/>
      <c r="F260" s="670"/>
      <c r="G260" s="670"/>
      <c r="H260" s="670"/>
      <c r="I260" s="670"/>
      <c r="J260" s="670"/>
      <c r="K260" s="670"/>
      <c r="L260" s="670"/>
      <c r="M260" s="670"/>
      <c r="N260" s="670"/>
      <c r="O260" s="670"/>
      <c r="P260" s="670"/>
      <c r="Q260" s="670"/>
      <c r="R260" s="670"/>
      <c r="S260" s="670"/>
      <c r="T260" s="670"/>
      <c r="U260" s="670"/>
      <c r="V260" s="670"/>
      <c r="W260" s="670"/>
      <c r="X260" s="670"/>
      <c r="Y260" s="670"/>
      <c r="Z260" s="670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1">
        <v>4680115886797</v>
      </c>
      <c r="E261" s="671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3"/>
      <c r="R261" s="673"/>
      <c r="S261" s="673"/>
      <c r="T261" s="67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7"/>
      <c r="B262" s="667"/>
      <c r="C262" s="667"/>
      <c r="D262" s="667"/>
      <c r="E262" s="667"/>
      <c r="F262" s="667"/>
      <c r="G262" s="667"/>
      <c r="H262" s="667"/>
      <c r="I262" s="667"/>
      <c r="J262" s="667"/>
      <c r="K262" s="667"/>
      <c r="L262" s="667"/>
      <c r="M262" s="667"/>
      <c r="N262" s="667"/>
      <c r="O262" s="668"/>
      <c r="P262" s="664" t="s">
        <v>40</v>
      </c>
      <c r="Q262" s="665"/>
      <c r="R262" s="665"/>
      <c r="S262" s="665"/>
      <c r="T262" s="665"/>
      <c r="U262" s="665"/>
      <c r="V262" s="666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7"/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8"/>
      <c r="P263" s="664" t="s">
        <v>40</v>
      </c>
      <c r="Q263" s="665"/>
      <c r="R263" s="665"/>
      <c r="S263" s="665"/>
      <c r="T263" s="665"/>
      <c r="U263" s="665"/>
      <c r="V263" s="666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69" t="s">
        <v>459</v>
      </c>
      <c r="B264" s="669"/>
      <c r="C264" s="669"/>
      <c r="D264" s="669"/>
      <c r="E264" s="669"/>
      <c r="F264" s="669"/>
      <c r="G264" s="669"/>
      <c r="H264" s="669"/>
      <c r="I264" s="669"/>
      <c r="J264" s="669"/>
      <c r="K264" s="669"/>
      <c r="L264" s="669"/>
      <c r="M264" s="669"/>
      <c r="N264" s="669"/>
      <c r="O264" s="669"/>
      <c r="P264" s="669"/>
      <c r="Q264" s="669"/>
      <c r="R264" s="669"/>
      <c r="S264" s="669"/>
      <c r="T264" s="669"/>
      <c r="U264" s="669"/>
      <c r="V264" s="669"/>
      <c r="W264" s="669"/>
      <c r="X264" s="669"/>
      <c r="Y264" s="669"/>
      <c r="Z264" s="669"/>
      <c r="AA264" s="65"/>
      <c r="AB264" s="65"/>
      <c r="AC264" s="79"/>
    </row>
    <row r="265" spans="1:68" ht="14.25" hidden="1" customHeight="1" x14ac:dyDescent="0.25">
      <c r="A265" s="670" t="s">
        <v>122</v>
      </c>
      <c r="B265" s="670"/>
      <c r="C265" s="670"/>
      <c r="D265" s="670"/>
      <c r="E265" s="670"/>
      <c r="F265" s="670"/>
      <c r="G265" s="670"/>
      <c r="H265" s="670"/>
      <c r="I265" s="670"/>
      <c r="J265" s="670"/>
      <c r="K265" s="670"/>
      <c r="L265" s="670"/>
      <c r="M265" s="670"/>
      <c r="N265" s="670"/>
      <c r="O265" s="670"/>
      <c r="P265" s="670"/>
      <c r="Q265" s="670"/>
      <c r="R265" s="670"/>
      <c r="S265" s="670"/>
      <c r="T265" s="670"/>
      <c r="U265" s="670"/>
      <c r="V265" s="670"/>
      <c r="W265" s="670"/>
      <c r="X265" s="670"/>
      <c r="Y265" s="670"/>
      <c r="Z265" s="670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1">
        <v>4680115881402</v>
      </c>
      <c r="E266" s="671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3"/>
      <c r="R266" s="673"/>
      <c r="S266" s="673"/>
      <c r="T266" s="674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1">
        <v>4680115881396</v>
      </c>
      <c r="E267" s="671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3"/>
      <c r="R267" s="673"/>
      <c r="S267" s="673"/>
      <c r="T267" s="674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7"/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8"/>
      <c r="P268" s="664" t="s">
        <v>40</v>
      </c>
      <c r="Q268" s="665"/>
      <c r="R268" s="665"/>
      <c r="S268" s="665"/>
      <c r="T268" s="665"/>
      <c r="U268" s="665"/>
      <c r="V268" s="666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7"/>
      <c r="B269" s="667"/>
      <c r="C269" s="667"/>
      <c r="D269" s="667"/>
      <c r="E269" s="667"/>
      <c r="F269" s="667"/>
      <c r="G269" s="667"/>
      <c r="H269" s="667"/>
      <c r="I269" s="667"/>
      <c r="J269" s="667"/>
      <c r="K269" s="667"/>
      <c r="L269" s="667"/>
      <c r="M269" s="667"/>
      <c r="N269" s="667"/>
      <c r="O269" s="668"/>
      <c r="P269" s="664" t="s">
        <v>40</v>
      </c>
      <c r="Q269" s="665"/>
      <c r="R269" s="665"/>
      <c r="S269" s="665"/>
      <c r="T269" s="665"/>
      <c r="U269" s="665"/>
      <c r="V269" s="666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0" t="s">
        <v>155</v>
      </c>
      <c r="B270" s="670"/>
      <c r="C270" s="670"/>
      <c r="D270" s="670"/>
      <c r="E270" s="670"/>
      <c r="F270" s="670"/>
      <c r="G270" s="670"/>
      <c r="H270" s="670"/>
      <c r="I270" s="670"/>
      <c r="J270" s="670"/>
      <c r="K270" s="670"/>
      <c r="L270" s="670"/>
      <c r="M270" s="670"/>
      <c r="N270" s="670"/>
      <c r="O270" s="670"/>
      <c r="P270" s="670"/>
      <c r="Q270" s="670"/>
      <c r="R270" s="670"/>
      <c r="S270" s="670"/>
      <c r="T270" s="670"/>
      <c r="U270" s="670"/>
      <c r="V270" s="670"/>
      <c r="W270" s="670"/>
      <c r="X270" s="670"/>
      <c r="Y270" s="670"/>
      <c r="Z270" s="670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1">
        <v>4680115882935</v>
      </c>
      <c r="E271" s="671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3"/>
      <c r="R271" s="673"/>
      <c r="S271" s="673"/>
      <c r="T271" s="674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1">
        <v>4680115880764</v>
      </c>
      <c r="E272" s="671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3"/>
      <c r="R272" s="673"/>
      <c r="S272" s="673"/>
      <c r="T272" s="674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7"/>
      <c r="B273" s="667"/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8"/>
      <c r="P273" s="664" t="s">
        <v>40</v>
      </c>
      <c r="Q273" s="665"/>
      <c r="R273" s="665"/>
      <c r="S273" s="665"/>
      <c r="T273" s="665"/>
      <c r="U273" s="665"/>
      <c r="V273" s="666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7"/>
      <c r="B274" s="667"/>
      <c r="C274" s="667"/>
      <c r="D274" s="667"/>
      <c r="E274" s="667"/>
      <c r="F274" s="667"/>
      <c r="G274" s="667"/>
      <c r="H274" s="667"/>
      <c r="I274" s="667"/>
      <c r="J274" s="667"/>
      <c r="K274" s="667"/>
      <c r="L274" s="667"/>
      <c r="M274" s="667"/>
      <c r="N274" s="667"/>
      <c r="O274" s="668"/>
      <c r="P274" s="664" t="s">
        <v>40</v>
      </c>
      <c r="Q274" s="665"/>
      <c r="R274" s="665"/>
      <c r="S274" s="665"/>
      <c r="T274" s="665"/>
      <c r="U274" s="665"/>
      <c r="V274" s="666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0" t="s">
        <v>77</v>
      </c>
      <c r="B275" s="670"/>
      <c r="C275" s="670"/>
      <c r="D275" s="670"/>
      <c r="E275" s="670"/>
      <c r="F275" s="670"/>
      <c r="G275" s="670"/>
      <c r="H275" s="670"/>
      <c r="I275" s="670"/>
      <c r="J275" s="670"/>
      <c r="K275" s="670"/>
      <c r="L275" s="670"/>
      <c r="M275" s="670"/>
      <c r="N275" s="670"/>
      <c r="O275" s="670"/>
      <c r="P275" s="670"/>
      <c r="Q275" s="670"/>
      <c r="R275" s="670"/>
      <c r="S275" s="670"/>
      <c r="T275" s="670"/>
      <c r="U275" s="670"/>
      <c r="V275" s="670"/>
      <c r="W275" s="670"/>
      <c r="X275" s="670"/>
      <c r="Y275" s="670"/>
      <c r="Z275" s="670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1">
        <v>4680115882683</v>
      </c>
      <c r="E276" s="671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3"/>
      <c r="R276" s="673"/>
      <c r="S276" s="673"/>
      <c r="T276" s="67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1">
        <v>4680115882690</v>
      </c>
      <c r="E277" s="671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3"/>
      <c r="R277" s="673"/>
      <c r="S277" s="673"/>
      <c r="T277" s="67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1">
        <v>4680115882669</v>
      </c>
      <c r="E278" s="671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3"/>
      <c r="R278" s="673"/>
      <c r="S278" s="673"/>
      <c r="T278" s="67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1">
        <v>4680115882676</v>
      </c>
      <c r="E279" s="671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3"/>
      <c r="R279" s="673"/>
      <c r="S279" s="673"/>
      <c r="T279" s="67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1">
        <v>4680115884014</v>
      </c>
      <c r="E280" s="671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3"/>
      <c r="R280" s="673"/>
      <c r="S280" s="673"/>
      <c r="T280" s="67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1">
        <v>4680115884007</v>
      </c>
      <c r="E281" s="671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3"/>
      <c r="R281" s="673"/>
      <c r="S281" s="673"/>
      <c r="T281" s="67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1">
        <v>4680115884038</v>
      </c>
      <c r="E282" s="671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3"/>
      <c r="R282" s="673"/>
      <c r="S282" s="673"/>
      <c r="T282" s="67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1">
        <v>4680115884021</v>
      </c>
      <c r="E283" s="671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3"/>
      <c r="R283" s="673"/>
      <c r="S283" s="673"/>
      <c r="T283" s="67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7"/>
      <c r="B284" s="667"/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8"/>
      <c r="P284" s="664" t="s">
        <v>40</v>
      </c>
      <c r="Q284" s="665"/>
      <c r="R284" s="665"/>
      <c r="S284" s="665"/>
      <c r="T284" s="665"/>
      <c r="U284" s="665"/>
      <c r="V284" s="666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7"/>
      <c r="B285" s="667"/>
      <c r="C285" s="667"/>
      <c r="D285" s="667"/>
      <c r="E285" s="667"/>
      <c r="F285" s="667"/>
      <c r="G285" s="667"/>
      <c r="H285" s="667"/>
      <c r="I285" s="667"/>
      <c r="J285" s="667"/>
      <c r="K285" s="667"/>
      <c r="L285" s="667"/>
      <c r="M285" s="667"/>
      <c r="N285" s="667"/>
      <c r="O285" s="668"/>
      <c r="P285" s="664" t="s">
        <v>40</v>
      </c>
      <c r="Q285" s="665"/>
      <c r="R285" s="665"/>
      <c r="S285" s="665"/>
      <c r="T285" s="665"/>
      <c r="U285" s="665"/>
      <c r="V285" s="666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0" t="s">
        <v>86</v>
      </c>
      <c r="B286" s="670"/>
      <c r="C286" s="670"/>
      <c r="D286" s="670"/>
      <c r="E286" s="670"/>
      <c r="F286" s="670"/>
      <c r="G286" s="670"/>
      <c r="H286" s="670"/>
      <c r="I286" s="670"/>
      <c r="J286" s="670"/>
      <c r="K286" s="670"/>
      <c r="L286" s="670"/>
      <c r="M286" s="670"/>
      <c r="N286" s="670"/>
      <c r="O286" s="670"/>
      <c r="P286" s="670"/>
      <c r="Q286" s="670"/>
      <c r="R286" s="670"/>
      <c r="S286" s="670"/>
      <c r="T286" s="670"/>
      <c r="U286" s="670"/>
      <c r="V286" s="670"/>
      <c r="W286" s="670"/>
      <c r="X286" s="670"/>
      <c r="Y286" s="670"/>
      <c r="Z286" s="670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1">
        <v>4680115881594</v>
      </c>
      <c r="E287" s="671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3"/>
      <c r="R287" s="673"/>
      <c r="S287" s="673"/>
      <c r="T287" s="67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1">
        <v>4680115881617</v>
      </c>
      <c r="E288" s="671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3"/>
      <c r="R288" s="673"/>
      <c r="S288" s="673"/>
      <c r="T288" s="67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1">
        <v>4680115880573</v>
      </c>
      <c r="E289" s="671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3"/>
      <c r="R289" s="673"/>
      <c r="S289" s="673"/>
      <c r="T289" s="67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1">
        <v>4680115882195</v>
      </c>
      <c r="E290" s="671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3"/>
      <c r="R290" s="673"/>
      <c r="S290" s="673"/>
      <c r="T290" s="67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1">
        <v>4680115882607</v>
      </c>
      <c r="E291" s="671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3"/>
      <c r="R291" s="673"/>
      <c r="S291" s="673"/>
      <c r="T291" s="67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1">
        <v>4680115882607</v>
      </c>
      <c r="E292" s="671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3"/>
      <c r="R292" s="673"/>
      <c r="S292" s="673"/>
      <c r="T292" s="67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1">
        <v>4680115880092</v>
      </c>
      <c r="E293" s="671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3"/>
      <c r="R293" s="673"/>
      <c r="S293" s="673"/>
      <c r="T293" s="67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1">
        <v>4680115889064</v>
      </c>
      <c r="E294" s="671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3"/>
      <c r="R294" s="673"/>
      <c r="S294" s="673"/>
      <c r="T294" s="67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1">
        <v>4680115880221</v>
      </c>
      <c r="E295" s="67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3"/>
      <c r="R295" s="673"/>
      <c r="S295" s="673"/>
      <c r="T295" s="67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1">
        <v>4680115880504</v>
      </c>
      <c r="E296" s="67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3"/>
      <c r="R296" s="673"/>
      <c r="S296" s="673"/>
      <c r="T296" s="67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1">
        <v>4680115882164</v>
      </c>
      <c r="E297" s="671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3"/>
      <c r="R297" s="673"/>
      <c r="S297" s="673"/>
      <c r="T297" s="67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1">
        <v>4680115888340</v>
      </c>
      <c r="E298" s="671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3"/>
      <c r="R298" s="673"/>
      <c r="S298" s="673"/>
      <c r="T298" s="67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7"/>
      <c r="B299" s="667"/>
      <c r="C299" s="667"/>
      <c r="D299" s="667"/>
      <c r="E299" s="667"/>
      <c r="F299" s="667"/>
      <c r="G299" s="667"/>
      <c r="H299" s="667"/>
      <c r="I299" s="667"/>
      <c r="J299" s="667"/>
      <c r="K299" s="667"/>
      <c r="L299" s="667"/>
      <c r="M299" s="667"/>
      <c r="N299" s="667"/>
      <c r="O299" s="668"/>
      <c r="P299" s="664" t="s">
        <v>40</v>
      </c>
      <c r="Q299" s="665"/>
      <c r="R299" s="665"/>
      <c r="S299" s="665"/>
      <c r="T299" s="665"/>
      <c r="U299" s="665"/>
      <c r="V299" s="666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7"/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8"/>
      <c r="P300" s="664" t="s">
        <v>40</v>
      </c>
      <c r="Q300" s="665"/>
      <c r="R300" s="665"/>
      <c r="S300" s="665"/>
      <c r="T300" s="665"/>
      <c r="U300" s="665"/>
      <c r="V300" s="666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0" t="s">
        <v>173</v>
      </c>
      <c r="B301" s="670"/>
      <c r="C301" s="670"/>
      <c r="D301" s="670"/>
      <c r="E301" s="670"/>
      <c r="F301" s="670"/>
      <c r="G301" s="670"/>
      <c r="H301" s="670"/>
      <c r="I301" s="670"/>
      <c r="J301" s="670"/>
      <c r="K301" s="670"/>
      <c r="L301" s="670"/>
      <c r="M301" s="670"/>
      <c r="N301" s="670"/>
      <c r="O301" s="670"/>
      <c r="P301" s="670"/>
      <c r="Q301" s="670"/>
      <c r="R301" s="670"/>
      <c r="S301" s="670"/>
      <c r="T301" s="670"/>
      <c r="U301" s="670"/>
      <c r="V301" s="670"/>
      <c r="W301" s="670"/>
      <c r="X301" s="670"/>
      <c r="Y301" s="670"/>
      <c r="Z301" s="670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1">
        <v>4680115880818</v>
      </c>
      <c r="E302" s="671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0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3"/>
      <c r="R302" s="673"/>
      <c r="S302" s="673"/>
      <c r="T302" s="674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1">
        <v>4680115880801</v>
      </c>
      <c r="E303" s="671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0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3"/>
      <c r="R303" s="673"/>
      <c r="S303" s="673"/>
      <c r="T303" s="674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7"/>
      <c r="B304" s="667"/>
      <c r="C304" s="667"/>
      <c r="D304" s="667"/>
      <c r="E304" s="667"/>
      <c r="F304" s="667"/>
      <c r="G304" s="667"/>
      <c r="H304" s="667"/>
      <c r="I304" s="667"/>
      <c r="J304" s="667"/>
      <c r="K304" s="667"/>
      <c r="L304" s="667"/>
      <c r="M304" s="667"/>
      <c r="N304" s="667"/>
      <c r="O304" s="668"/>
      <c r="P304" s="664" t="s">
        <v>40</v>
      </c>
      <c r="Q304" s="665"/>
      <c r="R304" s="665"/>
      <c r="S304" s="665"/>
      <c r="T304" s="665"/>
      <c r="U304" s="665"/>
      <c r="V304" s="666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7"/>
      <c r="B305" s="667"/>
      <c r="C305" s="667"/>
      <c r="D305" s="667"/>
      <c r="E305" s="667"/>
      <c r="F305" s="667"/>
      <c r="G305" s="667"/>
      <c r="H305" s="667"/>
      <c r="I305" s="667"/>
      <c r="J305" s="667"/>
      <c r="K305" s="667"/>
      <c r="L305" s="667"/>
      <c r="M305" s="667"/>
      <c r="N305" s="667"/>
      <c r="O305" s="668"/>
      <c r="P305" s="664" t="s">
        <v>40</v>
      </c>
      <c r="Q305" s="665"/>
      <c r="R305" s="665"/>
      <c r="S305" s="665"/>
      <c r="T305" s="665"/>
      <c r="U305" s="665"/>
      <c r="V305" s="666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69" t="s">
        <v>527</v>
      </c>
      <c r="B306" s="669"/>
      <c r="C306" s="669"/>
      <c r="D306" s="669"/>
      <c r="E306" s="669"/>
      <c r="F306" s="669"/>
      <c r="G306" s="669"/>
      <c r="H306" s="669"/>
      <c r="I306" s="669"/>
      <c r="J306" s="669"/>
      <c r="K306" s="669"/>
      <c r="L306" s="669"/>
      <c r="M306" s="669"/>
      <c r="N306" s="669"/>
      <c r="O306" s="669"/>
      <c r="P306" s="669"/>
      <c r="Q306" s="669"/>
      <c r="R306" s="669"/>
      <c r="S306" s="669"/>
      <c r="T306" s="669"/>
      <c r="U306" s="669"/>
      <c r="V306" s="669"/>
      <c r="W306" s="669"/>
      <c r="X306" s="669"/>
      <c r="Y306" s="669"/>
      <c r="Z306" s="669"/>
      <c r="AA306" s="65"/>
      <c r="AB306" s="65"/>
      <c r="AC306" s="79"/>
    </row>
    <row r="307" spans="1:68" ht="14.25" hidden="1" customHeight="1" x14ac:dyDescent="0.25">
      <c r="A307" s="670" t="s">
        <v>122</v>
      </c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1">
        <v>4680115884137</v>
      </c>
      <c r="E308" s="671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3"/>
      <c r="R308" s="673"/>
      <c r="S308" s="673"/>
      <c r="T308" s="674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1">
        <v>4680115884236</v>
      </c>
      <c r="E309" s="671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3"/>
      <c r="R309" s="673"/>
      <c r="S309" s="673"/>
      <c r="T309" s="674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1">
        <v>4680115884175</v>
      </c>
      <c r="E310" s="671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3"/>
      <c r="R310" s="673"/>
      <c r="S310" s="673"/>
      <c r="T310" s="674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1">
        <v>4680115884144</v>
      </c>
      <c r="E311" s="671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3"/>
      <c r="R311" s="673"/>
      <c r="S311" s="673"/>
      <c r="T311" s="674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1">
        <v>4680115886551</v>
      </c>
      <c r="E312" s="671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3"/>
      <c r="R312" s="673"/>
      <c r="S312" s="673"/>
      <c r="T312" s="674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1">
        <v>4680115887282</v>
      </c>
      <c r="E313" s="671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3"/>
      <c r="R313" s="673"/>
      <c r="S313" s="673"/>
      <c r="T313" s="674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1">
        <v>4680115884205</v>
      </c>
      <c r="E314" s="671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3"/>
      <c r="R314" s="673"/>
      <c r="S314" s="673"/>
      <c r="T314" s="674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7"/>
      <c r="B315" s="667"/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8"/>
      <c r="P315" s="664" t="s">
        <v>40</v>
      </c>
      <c r="Q315" s="665"/>
      <c r="R315" s="665"/>
      <c r="S315" s="665"/>
      <c r="T315" s="665"/>
      <c r="U315" s="665"/>
      <c r="V315" s="666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7"/>
      <c r="B316" s="667"/>
      <c r="C316" s="667"/>
      <c r="D316" s="667"/>
      <c r="E316" s="667"/>
      <c r="F316" s="667"/>
      <c r="G316" s="667"/>
      <c r="H316" s="667"/>
      <c r="I316" s="667"/>
      <c r="J316" s="667"/>
      <c r="K316" s="667"/>
      <c r="L316" s="667"/>
      <c r="M316" s="667"/>
      <c r="N316" s="667"/>
      <c r="O316" s="668"/>
      <c r="P316" s="664" t="s">
        <v>40</v>
      </c>
      <c r="Q316" s="665"/>
      <c r="R316" s="665"/>
      <c r="S316" s="665"/>
      <c r="T316" s="665"/>
      <c r="U316" s="665"/>
      <c r="V316" s="666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0" t="s">
        <v>155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1">
        <v>4680115885981</v>
      </c>
      <c r="E318" s="671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3"/>
      <c r="R318" s="673"/>
      <c r="S318" s="673"/>
      <c r="T318" s="67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7"/>
      <c r="B319" s="667"/>
      <c r="C319" s="667"/>
      <c r="D319" s="667"/>
      <c r="E319" s="667"/>
      <c r="F319" s="667"/>
      <c r="G319" s="667"/>
      <c r="H319" s="667"/>
      <c r="I319" s="667"/>
      <c r="J319" s="667"/>
      <c r="K319" s="667"/>
      <c r="L319" s="667"/>
      <c r="M319" s="667"/>
      <c r="N319" s="667"/>
      <c r="O319" s="668"/>
      <c r="P319" s="664" t="s">
        <v>40</v>
      </c>
      <c r="Q319" s="665"/>
      <c r="R319" s="665"/>
      <c r="S319" s="665"/>
      <c r="T319" s="665"/>
      <c r="U319" s="665"/>
      <c r="V319" s="666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7"/>
      <c r="B320" s="667"/>
      <c r="C320" s="667"/>
      <c r="D320" s="667"/>
      <c r="E320" s="667"/>
      <c r="F320" s="667"/>
      <c r="G320" s="667"/>
      <c r="H320" s="667"/>
      <c r="I320" s="667"/>
      <c r="J320" s="667"/>
      <c r="K320" s="667"/>
      <c r="L320" s="667"/>
      <c r="M320" s="667"/>
      <c r="N320" s="667"/>
      <c r="O320" s="668"/>
      <c r="P320" s="664" t="s">
        <v>40</v>
      </c>
      <c r="Q320" s="665"/>
      <c r="R320" s="665"/>
      <c r="S320" s="665"/>
      <c r="T320" s="665"/>
      <c r="U320" s="665"/>
      <c r="V320" s="666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0" t="s">
        <v>549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1">
        <v>4680115886803</v>
      </c>
      <c r="E322" s="671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3"/>
      <c r="R322" s="673"/>
      <c r="S322" s="673"/>
      <c r="T322" s="67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7"/>
      <c r="B323" s="667"/>
      <c r="C323" s="667"/>
      <c r="D323" s="667"/>
      <c r="E323" s="667"/>
      <c r="F323" s="667"/>
      <c r="G323" s="667"/>
      <c r="H323" s="667"/>
      <c r="I323" s="667"/>
      <c r="J323" s="667"/>
      <c r="K323" s="667"/>
      <c r="L323" s="667"/>
      <c r="M323" s="667"/>
      <c r="N323" s="667"/>
      <c r="O323" s="668"/>
      <c r="P323" s="664" t="s">
        <v>40</v>
      </c>
      <c r="Q323" s="665"/>
      <c r="R323" s="665"/>
      <c r="S323" s="665"/>
      <c r="T323" s="665"/>
      <c r="U323" s="665"/>
      <c r="V323" s="666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7"/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8"/>
      <c r="P324" s="664" t="s">
        <v>40</v>
      </c>
      <c r="Q324" s="665"/>
      <c r="R324" s="665"/>
      <c r="S324" s="665"/>
      <c r="T324" s="665"/>
      <c r="U324" s="665"/>
      <c r="V324" s="666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0" t="s">
        <v>366</v>
      </c>
      <c r="B325" s="670"/>
      <c r="C325" s="670"/>
      <c r="D325" s="670"/>
      <c r="E325" s="670"/>
      <c r="F325" s="670"/>
      <c r="G325" s="670"/>
      <c r="H325" s="670"/>
      <c r="I325" s="670"/>
      <c r="J325" s="670"/>
      <c r="K325" s="670"/>
      <c r="L325" s="670"/>
      <c r="M325" s="670"/>
      <c r="N325" s="670"/>
      <c r="O325" s="670"/>
      <c r="P325" s="670"/>
      <c r="Q325" s="670"/>
      <c r="R325" s="670"/>
      <c r="S325" s="670"/>
      <c r="T325" s="670"/>
      <c r="U325" s="670"/>
      <c r="V325" s="670"/>
      <c r="W325" s="670"/>
      <c r="X325" s="670"/>
      <c r="Y325" s="670"/>
      <c r="Z325" s="670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1">
        <v>4680115886704</v>
      </c>
      <c r="E326" s="671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3"/>
      <c r="R326" s="673"/>
      <c r="S326" s="673"/>
      <c r="T326" s="67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1">
        <v>4680115886681</v>
      </c>
      <c r="E327" s="671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3"/>
      <c r="R327" s="673"/>
      <c r="S327" s="673"/>
      <c r="T327" s="67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1">
        <v>4680115886735</v>
      </c>
      <c r="E328" s="671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3"/>
      <c r="R328" s="673"/>
      <c r="S328" s="673"/>
      <c r="T328" s="67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7"/>
      <c r="B329" s="667"/>
      <c r="C329" s="667"/>
      <c r="D329" s="667"/>
      <c r="E329" s="667"/>
      <c r="F329" s="667"/>
      <c r="G329" s="667"/>
      <c r="H329" s="667"/>
      <c r="I329" s="667"/>
      <c r="J329" s="667"/>
      <c r="K329" s="667"/>
      <c r="L329" s="667"/>
      <c r="M329" s="667"/>
      <c r="N329" s="667"/>
      <c r="O329" s="668"/>
      <c r="P329" s="664" t="s">
        <v>40</v>
      </c>
      <c r="Q329" s="665"/>
      <c r="R329" s="665"/>
      <c r="S329" s="665"/>
      <c r="T329" s="665"/>
      <c r="U329" s="665"/>
      <c r="V329" s="666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7"/>
      <c r="B330" s="667"/>
      <c r="C330" s="667"/>
      <c r="D330" s="667"/>
      <c r="E330" s="667"/>
      <c r="F330" s="667"/>
      <c r="G330" s="667"/>
      <c r="H330" s="667"/>
      <c r="I330" s="667"/>
      <c r="J330" s="667"/>
      <c r="K330" s="667"/>
      <c r="L330" s="667"/>
      <c r="M330" s="667"/>
      <c r="N330" s="667"/>
      <c r="O330" s="668"/>
      <c r="P330" s="664" t="s">
        <v>40</v>
      </c>
      <c r="Q330" s="665"/>
      <c r="R330" s="665"/>
      <c r="S330" s="665"/>
      <c r="T330" s="665"/>
      <c r="U330" s="665"/>
      <c r="V330" s="666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9" t="s">
        <v>560</v>
      </c>
      <c r="B331" s="669"/>
      <c r="C331" s="669"/>
      <c r="D331" s="669"/>
      <c r="E331" s="669"/>
      <c r="F331" s="669"/>
      <c r="G331" s="669"/>
      <c r="H331" s="669"/>
      <c r="I331" s="669"/>
      <c r="J331" s="669"/>
      <c r="K331" s="669"/>
      <c r="L331" s="669"/>
      <c r="M331" s="669"/>
      <c r="N331" s="669"/>
      <c r="O331" s="669"/>
      <c r="P331" s="669"/>
      <c r="Q331" s="669"/>
      <c r="R331" s="669"/>
      <c r="S331" s="669"/>
      <c r="T331" s="669"/>
      <c r="U331" s="669"/>
      <c r="V331" s="669"/>
      <c r="W331" s="669"/>
      <c r="X331" s="669"/>
      <c r="Y331" s="669"/>
      <c r="Z331" s="669"/>
      <c r="AA331" s="65"/>
      <c r="AB331" s="65"/>
      <c r="AC331" s="79"/>
    </row>
    <row r="332" spans="1:68" ht="14.25" hidden="1" customHeight="1" x14ac:dyDescent="0.25">
      <c r="A332" s="670" t="s">
        <v>122</v>
      </c>
      <c r="B332" s="670"/>
      <c r="C332" s="670"/>
      <c r="D332" s="670"/>
      <c r="E332" s="670"/>
      <c r="F332" s="670"/>
      <c r="G332" s="670"/>
      <c r="H332" s="670"/>
      <c r="I332" s="670"/>
      <c r="J332" s="670"/>
      <c r="K332" s="670"/>
      <c r="L332" s="670"/>
      <c r="M332" s="670"/>
      <c r="N332" s="670"/>
      <c r="O332" s="670"/>
      <c r="P332" s="670"/>
      <c r="Q332" s="670"/>
      <c r="R332" s="670"/>
      <c r="S332" s="670"/>
      <c r="T332" s="670"/>
      <c r="U332" s="670"/>
      <c r="V332" s="670"/>
      <c r="W332" s="670"/>
      <c r="X332" s="670"/>
      <c r="Y332" s="670"/>
      <c r="Z332" s="670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1">
        <v>4680115885837</v>
      </c>
      <c r="E333" s="671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8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3"/>
      <c r="R333" s="673"/>
      <c r="S333" s="673"/>
      <c r="T333" s="67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1">
        <v>4680115887237</v>
      </c>
      <c r="E334" s="671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3"/>
      <c r="R334" s="673"/>
      <c r="S334" s="673"/>
      <c r="T334" s="67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1">
        <v>4680115885806</v>
      </c>
      <c r="E335" s="671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3"/>
      <c r="R335" s="673"/>
      <c r="S335" s="673"/>
      <c r="T335" s="67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1">
        <v>4680115885844</v>
      </c>
      <c r="E336" s="671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3"/>
      <c r="R336" s="673"/>
      <c r="S336" s="673"/>
      <c r="T336" s="67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1">
        <v>4680115885820</v>
      </c>
      <c r="E337" s="671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3"/>
      <c r="R337" s="673"/>
      <c r="S337" s="673"/>
      <c r="T337" s="67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7"/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8"/>
      <c r="P338" s="664" t="s">
        <v>40</v>
      </c>
      <c r="Q338" s="665"/>
      <c r="R338" s="665"/>
      <c r="S338" s="665"/>
      <c r="T338" s="665"/>
      <c r="U338" s="665"/>
      <c r="V338" s="666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7"/>
      <c r="B339" s="667"/>
      <c r="C339" s="667"/>
      <c r="D339" s="667"/>
      <c r="E339" s="667"/>
      <c r="F339" s="667"/>
      <c r="G339" s="667"/>
      <c r="H339" s="667"/>
      <c r="I339" s="667"/>
      <c r="J339" s="667"/>
      <c r="K339" s="667"/>
      <c r="L339" s="667"/>
      <c r="M339" s="667"/>
      <c r="N339" s="667"/>
      <c r="O339" s="668"/>
      <c r="P339" s="664" t="s">
        <v>40</v>
      </c>
      <c r="Q339" s="665"/>
      <c r="R339" s="665"/>
      <c r="S339" s="665"/>
      <c r="T339" s="665"/>
      <c r="U339" s="665"/>
      <c r="V339" s="666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69" t="s">
        <v>576</v>
      </c>
      <c r="B340" s="669"/>
      <c r="C340" s="669"/>
      <c r="D340" s="669"/>
      <c r="E340" s="669"/>
      <c r="F340" s="669"/>
      <c r="G340" s="669"/>
      <c r="H340" s="669"/>
      <c r="I340" s="669"/>
      <c r="J340" s="669"/>
      <c r="K340" s="669"/>
      <c r="L340" s="669"/>
      <c r="M340" s="669"/>
      <c r="N340" s="669"/>
      <c r="O340" s="669"/>
      <c r="P340" s="669"/>
      <c r="Q340" s="669"/>
      <c r="R340" s="669"/>
      <c r="S340" s="669"/>
      <c r="T340" s="669"/>
      <c r="U340" s="669"/>
      <c r="V340" s="669"/>
      <c r="W340" s="669"/>
      <c r="X340" s="669"/>
      <c r="Y340" s="669"/>
      <c r="Z340" s="669"/>
      <c r="AA340" s="65"/>
      <c r="AB340" s="65"/>
      <c r="AC340" s="79"/>
    </row>
    <row r="341" spans="1:68" ht="14.25" hidden="1" customHeight="1" x14ac:dyDescent="0.25">
      <c r="A341" s="670" t="s">
        <v>86</v>
      </c>
      <c r="B341" s="670"/>
      <c r="C341" s="670"/>
      <c r="D341" s="670"/>
      <c r="E341" s="670"/>
      <c r="F341" s="670"/>
      <c r="G341" s="670"/>
      <c r="H341" s="670"/>
      <c r="I341" s="670"/>
      <c r="J341" s="670"/>
      <c r="K341" s="670"/>
      <c r="L341" s="670"/>
      <c r="M341" s="670"/>
      <c r="N341" s="670"/>
      <c r="O341" s="670"/>
      <c r="P341" s="670"/>
      <c r="Q341" s="670"/>
      <c r="R341" s="670"/>
      <c r="S341" s="670"/>
      <c r="T341" s="670"/>
      <c r="U341" s="670"/>
      <c r="V341" s="670"/>
      <c r="W341" s="670"/>
      <c r="X341" s="670"/>
      <c r="Y341" s="670"/>
      <c r="Z341" s="670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1">
        <v>4680115886186</v>
      </c>
      <c r="E342" s="671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3"/>
      <c r="R342" s="673"/>
      <c r="S342" s="673"/>
      <c r="T342" s="67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1">
        <v>4680115881228</v>
      </c>
      <c r="E343" s="671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3"/>
      <c r="R343" s="673"/>
      <c r="S343" s="673"/>
      <c r="T343" s="67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1">
        <v>4680115881211</v>
      </c>
      <c r="E344" s="671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3"/>
      <c r="R344" s="673"/>
      <c r="S344" s="673"/>
      <c r="T344" s="67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7"/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8"/>
      <c r="P345" s="664" t="s">
        <v>40</v>
      </c>
      <c r="Q345" s="665"/>
      <c r="R345" s="665"/>
      <c r="S345" s="665"/>
      <c r="T345" s="665"/>
      <c r="U345" s="665"/>
      <c r="V345" s="666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7"/>
      <c r="B346" s="667"/>
      <c r="C346" s="667"/>
      <c r="D346" s="667"/>
      <c r="E346" s="667"/>
      <c r="F346" s="667"/>
      <c r="G346" s="667"/>
      <c r="H346" s="667"/>
      <c r="I346" s="667"/>
      <c r="J346" s="667"/>
      <c r="K346" s="667"/>
      <c r="L346" s="667"/>
      <c r="M346" s="667"/>
      <c r="N346" s="667"/>
      <c r="O346" s="668"/>
      <c r="P346" s="664" t="s">
        <v>40</v>
      </c>
      <c r="Q346" s="665"/>
      <c r="R346" s="665"/>
      <c r="S346" s="665"/>
      <c r="T346" s="665"/>
      <c r="U346" s="665"/>
      <c r="V346" s="666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69" t="s">
        <v>585</v>
      </c>
      <c r="B347" s="669"/>
      <c r="C347" s="669"/>
      <c r="D347" s="669"/>
      <c r="E347" s="669"/>
      <c r="F347" s="669"/>
      <c r="G347" s="669"/>
      <c r="H347" s="669"/>
      <c r="I347" s="669"/>
      <c r="J347" s="669"/>
      <c r="K347" s="669"/>
      <c r="L347" s="669"/>
      <c r="M347" s="669"/>
      <c r="N347" s="669"/>
      <c r="O347" s="669"/>
      <c r="P347" s="669"/>
      <c r="Q347" s="669"/>
      <c r="R347" s="669"/>
      <c r="S347" s="669"/>
      <c r="T347" s="669"/>
      <c r="U347" s="669"/>
      <c r="V347" s="669"/>
      <c r="W347" s="669"/>
      <c r="X347" s="669"/>
      <c r="Y347" s="669"/>
      <c r="Z347" s="669"/>
      <c r="AA347" s="65"/>
      <c r="AB347" s="65"/>
      <c r="AC347" s="79"/>
    </row>
    <row r="348" spans="1:68" ht="14.25" hidden="1" customHeight="1" x14ac:dyDescent="0.25">
      <c r="A348" s="670" t="s">
        <v>77</v>
      </c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1">
        <v>4680115888319</v>
      </c>
      <c r="E349" s="671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3"/>
      <c r="R349" s="673"/>
      <c r="S349" s="673"/>
      <c r="T349" s="674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1">
        <v>4680115884700</v>
      </c>
      <c r="E350" s="671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3"/>
      <c r="R350" s="673"/>
      <c r="S350" s="673"/>
      <c r="T350" s="67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1">
        <v>4680115880344</v>
      </c>
      <c r="E351" s="671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3"/>
      <c r="R351" s="673"/>
      <c r="S351" s="673"/>
      <c r="T351" s="67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1">
        <v>4680115886919</v>
      </c>
      <c r="E352" s="671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7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3"/>
      <c r="R352" s="673"/>
      <c r="S352" s="673"/>
      <c r="T352" s="67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1">
        <v>4680115883970</v>
      </c>
      <c r="E353" s="671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7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3"/>
      <c r="R353" s="673"/>
      <c r="S353" s="673"/>
      <c r="T353" s="67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7"/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8"/>
      <c r="P354" s="664" t="s">
        <v>40</v>
      </c>
      <c r="Q354" s="665"/>
      <c r="R354" s="665"/>
      <c r="S354" s="665"/>
      <c r="T354" s="665"/>
      <c r="U354" s="665"/>
      <c r="V354" s="666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7"/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8"/>
      <c r="P355" s="664" t="s">
        <v>40</v>
      </c>
      <c r="Q355" s="665"/>
      <c r="R355" s="665"/>
      <c r="S355" s="665"/>
      <c r="T355" s="665"/>
      <c r="U355" s="665"/>
      <c r="V355" s="666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0" t="s">
        <v>86</v>
      </c>
      <c r="B356" s="670"/>
      <c r="C356" s="670"/>
      <c r="D356" s="670"/>
      <c r="E356" s="670"/>
      <c r="F356" s="670"/>
      <c r="G356" s="670"/>
      <c r="H356" s="670"/>
      <c r="I356" s="670"/>
      <c r="J356" s="670"/>
      <c r="K356" s="670"/>
      <c r="L356" s="670"/>
      <c r="M356" s="670"/>
      <c r="N356" s="670"/>
      <c r="O356" s="670"/>
      <c r="P356" s="670"/>
      <c r="Q356" s="670"/>
      <c r="R356" s="670"/>
      <c r="S356" s="670"/>
      <c r="T356" s="670"/>
      <c r="U356" s="670"/>
      <c r="V356" s="670"/>
      <c r="W356" s="670"/>
      <c r="X356" s="670"/>
      <c r="Y356" s="670"/>
      <c r="Z356" s="670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1">
        <v>4680115884618</v>
      </c>
      <c r="E357" s="671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3"/>
      <c r="R357" s="673"/>
      <c r="S357" s="673"/>
      <c r="T357" s="67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1">
        <v>4680115887114</v>
      </c>
      <c r="E358" s="671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3"/>
      <c r="R358" s="673"/>
      <c r="S358" s="673"/>
      <c r="T358" s="67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7"/>
      <c r="B359" s="667"/>
      <c r="C359" s="667"/>
      <c r="D359" s="667"/>
      <c r="E359" s="667"/>
      <c r="F359" s="667"/>
      <c r="G359" s="667"/>
      <c r="H359" s="667"/>
      <c r="I359" s="667"/>
      <c r="J359" s="667"/>
      <c r="K359" s="667"/>
      <c r="L359" s="667"/>
      <c r="M359" s="667"/>
      <c r="N359" s="667"/>
      <c r="O359" s="668"/>
      <c r="P359" s="664" t="s">
        <v>40</v>
      </c>
      <c r="Q359" s="665"/>
      <c r="R359" s="665"/>
      <c r="S359" s="665"/>
      <c r="T359" s="665"/>
      <c r="U359" s="665"/>
      <c r="V359" s="666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7"/>
      <c r="B360" s="667"/>
      <c r="C360" s="667"/>
      <c r="D360" s="667"/>
      <c r="E360" s="667"/>
      <c r="F360" s="667"/>
      <c r="G360" s="667"/>
      <c r="H360" s="667"/>
      <c r="I360" s="667"/>
      <c r="J360" s="667"/>
      <c r="K360" s="667"/>
      <c r="L360" s="667"/>
      <c r="M360" s="667"/>
      <c r="N360" s="667"/>
      <c r="O360" s="668"/>
      <c r="P360" s="664" t="s">
        <v>40</v>
      </c>
      <c r="Q360" s="665"/>
      <c r="R360" s="665"/>
      <c r="S360" s="665"/>
      <c r="T360" s="665"/>
      <c r="U360" s="665"/>
      <c r="V360" s="666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69" t="s">
        <v>606</v>
      </c>
      <c r="B361" s="669"/>
      <c r="C361" s="669"/>
      <c r="D361" s="669"/>
      <c r="E361" s="669"/>
      <c r="F361" s="669"/>
      <c r="G361" s="669"/>
      <c r="H361" s="669"/>
      <c r="I361" s="669"/>
      <c r="J361" s="669"/>
      <c r="K361" s="669"/>
      <c r="L361" s="669"/>
      <c r="M361" s="669"/>
      <c r="N361" s="669"/>
      <c r="O361" s="669"/>
      <c r="P361" s="669"/>
      <c r="Q361" s="669"/>
      <c r="R361" s="669"/>
      <c r="S361" s="669"/>
      <c r="T361" s="669"/>
      <c r="U361" s="669"/>
      <c r="V361" s="669"/>
      <c r="W361" s="669"/>
      <c r="X361" s="669"/>
      <c r="Y361" s="669"/>
      <c r="Z361" s="669"/>
      <c r="AA361" s="65"/>
      <c r="AB361" s="65"/>
      <c r="AC361" s="79"/>
    </row>
    <row r="362" spans="1:68" ht="14.25" hidden="1" customHeight="1" x14ac:dyDescent="0.25">
      <c r="A362" s="670" t="s">
        <v>122</v>
      </c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1">
        <v>4680115887947</v>
      </c>
      <c r="E363" s="671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3"/>
      <c r="R363" s="673"/>
      <c r="S363" s="673"/>
      <c r="T363" s="674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1">
        <v>4680115887978</v>
      </c>
      <c r="E364" s="671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3"/>
      <c r="R364" s="673"/>
      <c r="S364" s="673"/>
      <c r="T364" s="674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1">
        <v>4680115887992</v>
      </c>
      <c r="E365" s="671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3"/>
      <c r="R365" s="673"/>
      <c r="S365" s="673"/>
      <c r="T365" s="674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7"/>
      <c r="B366" s="667"/>
      <c r="C366" s="667"/>
      <c r="D366" s="667"/>
      <c r="E366" s="667"/>
      <c r="F366" s="667"/>
      <c r="G366" s="667"/>
      <c r="H366" s="667"/>
      <c r="I366" s="667"/>
      <c r="J366" s="667"/>
      <c r="K366" s="667"/>
      <c r="L366" s="667"/>
      <c r="M366" s="667"/>
      <c r="N366" s="667"/>
      <c r="O366" s="668"/>
      <c r="P366" s="664" t="s">
        <v>40</v>
      </c>
      <c r="Q366" s="665"/>
      <c r="R366" s="665"/>
      <c r="S366" s="665"/>
      <c r="T366" s="665"/>
      <c r="U366" s="665"/>
      <c r="V366" s="666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7"/>
      <c r="B367" s="667"/>
      <c r="C367" s="667"/>
      <c r="D367" s="667"/>
      <c r="E367" s="667"/>
      <c r="F367" s="667"/>
      <c r="G367" s="667"/>
      <c r="H367" s="667"/>
      <c r="I367" s="667"/>
      <c r="J367" s="667"/>
      <c r="K367" s="667"/>
      <c r="L367" s="667"/>
      <c r="M367" s="667"/>
      <c r="N367" s="667"/>
      <c r="O367" s="668"/>
      <c r="P367" s="664" t="s">
        <v>40</v>
      </c>
      <c r="Q367" s="665"/>
      <c r="R367" s="665"/>
      <c r="S367" s="665"/>
      <c r="T367" s="665"/>
      <c r="U367" s="665"/>
      <c r="V367" s="666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69" t="s">
        <v>615</v>
      </c>
      <c r="B368" s="669"/>
      <c r="C368" s="669"/>
      <c r="D368" s="669"/>
      <c r="E368" s="669"/>
      <c r="F368" s="669"/>
      <c r="G368" s="669"/>
      <c r="H368" s="669"/>
      <c r="I368" s="669"/>
      <c r="J368" s="669"/>
      <c r="K368" s="669"/>
      <c r="L368" s="669"/>
      <c r="M368" s="669"/>
      <c r="N368" s="669"/>
      <c r="O368" s="669"/>
      <c r="P368" s="669"/>
      <c r="Q368" s="669"/>
      <c r="R368" s="669"/>
      <c r="S368" s="669"/>
      <c r="T368" s="669"/>
      <c r="U368" s="669"/>
      <c r="V368" s="669"/>
      <c r="W368" s="669"/>
      <c r="X368" s="669"/>
      <c r="Y368" s="669"/>
      <c r="Z368" s="669"/>
      <c r="AA368" s="65"/>
      <c r="AB368" s="65"/>
      <c r="AC368" s="79"/>
    </row>
    <row r="369" spans="1:68" ht="14.25" hidden="1" customHeight="1" x14ac:dyDescent="0.25">
      <c r="A369" s="670" t="s">
        <v>122</v>
      </c>
      <c r="B369" s="670"/>
      <c r="C369" s="670"/>
      <c r="D369" s="670"/>
      <c r="E369" s="670"/>
      <c r="F369" s="670"/>
      <c r="G369" s="670"/>
      <c r="H369" s="670"/>
      <c r="I369" s="670"/>
      <c r="J369" s="670"/>
      <c r="K369" s="670"/>
      <c r="L369" s="670"/>
      <c r="M369" s="670"/>
      <c r="N369" s="670"/>
      <c r="O369" s="670"/>
      <c r="P369" s="670"/>
      <c r="Q369" s="670"/>
      <c r="R369" s="670"/>
      <c r="S369" s="670"/>
      <c r="T369" s="670"/>
      <c r="U369" s="670"/>
      <c r="V369" s="670"/>
      <c r="W369" s="670"/>
      <c r="X369" s="670"/>
      <c r="Y369" s="670"/>
      <c r="Z369" s="670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4301012235</v>
      </c>
      <c r="D370" s="671">
        <v>4680115887190</v>
      </c>
      <c r="E370" s="671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73"/>
      <c r="R370" s="673"/>
      <c r="S370" s="673"/>
      <c r="T370" s="674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hidden="1" customHeight="1" x14ac:dyDescent="0.25">
      <c r="A371" s="63" t="s">
        <v>619</v>
      </c>
      <c r="B371" s="63" t="s">
        <v>620</v>
      </c>
      <c r="C371" s="36">
        <v>4301012233</v>
      </c>
      <c r="D371" s="671">
        <v>4680115887138</v>
      </c>
      <c r="E371" s="671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73"/>
      <c r="R371" s="673"/>
      <c r="S371" s="673"/>
      <c r="T371" s="674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4301012016</v>
      </c>
      <c r="D372" s="671">
        <v>4680115885554</v>
      </c>
      <c r="E372" s="671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90</v>
      </c>
      <c r="N372" s="38"/>
      <c r="O372" s="37">
        <v>55</v>
      </c>
      <c r="P372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73"/>
      <c r="R372" s="673"/>
      <c r="S372" s="673"/>
      <c r="T372" s="67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4301012236</v>
      </c>
      <c r="D373" s="671">
        <v>4680115887220</v>
      </c>
      <c r="E373" s="671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134</v>
      </c>
      <c r="L373" s="37" t="s">
        <v>46</v>
      </c>
      <c r="M373" s="38" t="s">
        <v>126</v>
      </c>
      <c r="N373" s="38"/>
      <c r="O373" s="37">
        <v>55</v>
      </c>
      <c r="P373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73"/>
      <c r="R373" s="673"/>
      <c r="S373" s="673"/>
      <c r="T373" s="67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8" t="s">
        <v>618</v>
      </c>
      <c r="AG373" s="78"/>
      <c r="AJ373" s="84" t="s">
        <v>46</v>
      </c>
      <c r="AK373" s="84">
        <v>0</v>
      </c>
      <c r="BB373" s="479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4301011859</v>
      </c>
      <c r="D374" s="671">
        <v>4680115885608</v>
      </c>
      <c r="E374" s="671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73"/>
      <c r="R374" s="673"/>
      <c r="S374" s="673"/>
      <c r="T374" s="67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629</v>
      </c>
      <c r="AG374" s="78"/>
      <c r="AJ374" s="84" t="s">
        <v>46</v>
      </c>
      <c r="AK374" s="84">
        <v>0</v>
      </c>
      <c r="BB374" s="481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667"/>
      <c r="B375" s="667"/>
      <c r="C375" s="667"/>
      <c r="D375" s="667"/>
      <c r="E375" s="667"/>
      <c r="F375" s="667"/>
      <c r="G375" s="667"/>
      <c r="H375" s="667"/>
      <c r="I375" s="667"/>
      <c r="J375" s="667"/>
      <c r="K375" s="667"/>
      <c r="L375" s="667"/>
      <c r="M375" s="667"/>
      <c r="N375" s="667"/>
      <c r="O375" s="668"/>
      <c r="P375" s="664" t="s">
        <v>40</v>
      </c>
      <c r="Q375" s="665"/>
      <c r="R375" s="665"/>
      <c r="S375" s="665"/>
      <c r="T375" s="665"/>
      <c r="U375" s="665"/>
      <c r="V375" s="666"/>
      <c r="W375" s="42" t="s">
        <v>39</v>
      </c>
      <c r="X375" s="43">
        <f>IFERROR(X370/H370,"0")+IFERROR(X371/H371,"0")+IFERROR(X372/H372,"0")+IFERROR(X373/H373,"0")+IFERROR(X374/H374,"0")</f>
        <v>0</v>
      </c>
      <c r="Y375" s="43">
        <f>IFERROR(Y370/H370,"0")+IFERROR(Y371/H371,"0")+IFERROR(Y372/H372,"0")+IFERROR(Y373/H373,"0")+IFERROR(Y374/H374,"0")</f>
        <v>0</v>
      </c>
      <c r="Z375" s="43">
        <f>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667"/>
      <c r="B376" s="667"/>
      <c r="C376" s="667"/>
      <c r="D376" s="667"/>
      <c r="E376" s="667"/>
      <c r="F376" s="667"/>
      <c r="G376" s="667"/>
      <c r="H376" s="667"/>
      <c r="I376" s="667"/>
      <c r="J376" s="667"/>
      <c r="K376" s="667"/>
      <c r="L376" s="667"/>
      <c r="M376" s="667"/>
      <c r="N376" s="667"/>
      <c r="O376" s="668"/>
      <c r="P376" s="664" t="s">
        <v>40</v>
      </c>
      <c r="Q376" s="665"/>
      <c r="R376" s="665"/>
      <c r="S376" s="665"/>
      <c r="T376" s="665"/>
      <c r="U376" s="665"/>
      <c r="V376" s="666"/>
      <c r="W376" s="42" t="s">
        <v>0</v>
      </c>
      <c r="X376" s="43">
        <f>IFERROR(SUM(X370:X374),"0")</f>
        <v>0</v>
      </c>
      <c r="Y376" s="43">
        <f>IFERROR(SUM(Y370:Y374),"0")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70" t="s">
        <v>77</v>
      </c>
      <c r="B377" s="670"/>
      <c r="C377" s="670"/>
      <c r="D377" s="670"/>
      <c r="E377" s="670"/>
      <c r="F377" s="670"/>
      <c r="G377" s="670"/>
      <c r="H377" s="670"/>
      <c r="I377" s="670"/>
      <c r="J377" s="670"/>
      <c r="K377" s="670"/>
      <c r="L377" s="670"/>
      <c r="M377" s="670"/>
      <c r="N377" s="670"/>
      <c r="O377" s="670"/>
      <c r="P377" s="670"/>
      <c r="Q377" s="670"/>
      <c r="R377" s="670"/>
      <c r="S377" s="670"/>
      <c r="T377" s="670"/>
      <c r="U377" s="670"/>
      <c r="V377" s="670"/>
      <c r="W377" s="670"/>
      <c r="X377" s="670"/>
      <c r="Y377" s="670"/>
      <c r="Z377" s="670"/>
      <c r="AA377" s="66"/>
      <c r="AB377" s="66"/>
      <c r="AC377" s="80"/>
    </row>
    <row r="378" spans="1:68" ht="27" hidden="1" customHeight="1" x14ac:dyDescent="0.25">
      <c r="A378" s="63" t="s">
        <v>630</v>
      </c>
      <c r="B378" s="63" t="s">
        <v>631</v>
      </c>
      <c r="C378" s="36">
        <v>4301030878</v>
      </c>
      <c r="D378" s="671">
        <v>4607091387193</v>
      </c>
      <c r="E378" s="671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35</v>
      </c>
      <c r="P378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73"/>
      <c r="R378" s="673"/>
      <c r="S378" s="673"/>
      <c r="T378" s="67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ref="Y378:Y384" si="60"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ref="BM378:BM384" si="61">IFERROR(X378*I378/H378,"0")</f>
        <v>0</v>
      </c>
      <c r="BN378" s="78">
        <f t="shared" ref="BN378:BN384" si="62">IFERROR(Y378*I378/H378,"0")</f>
        <v>0</v>
      </c>
      <c r="BO378" s="78">
        <f t="shared" ref="BO378:BO384" si="63">IFERROR(1/J378*(X378/H378),"0")</f>
        <v>0</v>
      </c>
      <c r="BP378" s="78">
        <f t="shared" ref="BP378:BP384" si="64">IFERROR(1/J378*(Y378/H378),"0")</f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4301031153</v>
      </c>
      <c r="D379" s="671">
        <v>4607091387230</v>
      </c>
      <c r="E379" s="671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40</v>
      </c>
      <c r="P379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73"/>
      <c r="R379" s="673"/>
      <c r="S379" s="673"/>
      <c r="T379" s="674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0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si="61"/>
        <v>0</v>
      </c>
      <c r="BN379" s="78">
        <f t="shared" si="62"/>
        <v>0</v>
      </c>
      <c r="BO379" s="78">
        <f t="shared" si="63"/>
        <v>0</v>
      </c>
      <c r="BP379" s="78">
        <f t="shared" si="64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4301031154</v>
      </c>
      <c r="D380" s="671">
        <v>4607091387292</v>
      </c>
      <c r="E380" s="671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73"/>
      <c r="R380" s="673"/>
      <c r="S380" s="673"/>
      <c r="T380" s="674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0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1"/>
        <v>0</v>
      </c>
      <c r="BN380" s="78">
        <f t="shared" si="62"/>
        <v>0</v>
      </c>
      <c r="BO380" s="78">
        <f t="shared" si="63"/>
        <v>0</v>
      </c>
      <c r="BP380" s="78">
        <f t="shared" si="64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4301031152</v>
      </c>
      <c r="D381" s="671">
        <v>4607091387285</v>
      </c>
      <c r="E381" s="671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82</v>
      </c>
      <c r="L381" s="37" t="s">
        <v>46</v>
      </c>
      <c r="M381" s="38" t="s">
        <v>81</v>
      </c>
      <c r="N381" s="38"/>
      <c r="O381" s="37">
        <v>40</v>
      </c>
      <c r="P381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73"/>
      <c r="R381" s="673"/>
      <c r="S381" s="673"/>
      <c r="T381" s="674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0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88" t="s">
        <v>635</v>
      </c>
      <c r="AG381" s="78"/>
      <c r="AJ381" s="84" t="s">
        <v>46</v>
      </c>
      <c r="AK381" s="84">
        <v>0</v>
      </c>
      <c r="BB381" s="489" t="s">
        <v>67</v>
      </c>
      <c r="BM381" s="78">
        <f t="shared" si="61"/>
        <v>0</v>
      </c>
      <c r="BN381" s="78">
        <f t="shared" si="62"/>
        <v>0</v>
      </c>
      <c r="BO381" s="78">
        <f t="shared" si="63"/>
        <v>0</v>
      </c>
      <c r="BP381" s="78">
        <f t="shared" si="64"/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4301031305</v>
      </c>
      <c r="D382" s="671">
        <v>4607091389845</v>
      </c>
      <c r="E382" s="671"/>
      <c r="F382" s="62">
        <v>0.35</v>
      </c>
      <c r="G382" s="37">
        <v>6</v>
      </c>
      <c r="H382" s="62">
        <v>2.1</v>
      </c>
      <c r="I382" s="62">
        <v>2.2000000000000002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73"/>
      <c r="R382" s="673"/>
      <c r="S382" s="673"/>
      <c r="T382" s="674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0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643</v>
      </c>
      <c r="AG382" s="78"/>
      <c r="AJ382" s="84" t="s">
        <v>46</v>
      </c>
      <c r="AK382" s="84">
        <v>0</v>
      </c>
      <c r="BB382" s="491" t="s">
        <v>67</v>
      </c>
      <c r="BM382" s="78">
        <f t="shared" si="61"/>
        <v>0</v>
      </c>
      <c r="BN382" s="78">
        <f t="shared" si="62"/>
        <v>0</v>
      </c>
      <c r="BO382" s="78">
        <f t="shared" si="63"/>
        <v>0</v>
      </c>
      <c r="BP382" s="78">
        <f t="shared" si="64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4301031460</v>
      </c>
      <c r="D383" s="671">
        <v>4680115887442</v>
      </c>
      <c r="E383" s="671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134</v>
      </c>
      <c r="L383" s="37" t="s">
        <v>46</v>
      </c>
      <c r="M383" s="38" t="s">
        <v>81</v>
      </c>
      <c r="N383" s="38"/>
      <c r="O383" s="37">
        <v>45</v>
      </c>
      <c r="P383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73"/>
      <c r="R383" s="673"/>
      <c r="S383" s="673"/>
      <c r="T383" s="674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0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92" t="s">
        <v>638</v>
      </c>
      <c r="AG383" s="78"/>
      <c r="AJ383" s="84" t="s">
        <v>46</v>
      </c>
      <c r="AK383" s="84">
        <v>0</v>
      </c>
      <c r="BB383" s="493" t="s">
        <v>67</v>
      </c>
      <c r="BM383" s="78">
        <f t="shared" si="61"/>
        <v>0</v>
      </c>
      <c r="BN383" s="78">
        <f t="shared" si="62"/>
        <v>0</v>
      </c>
      <c r="BO383" s="78">
        <f t="shared" si="63"/>
        <v>0</v>
      </c>
      <c r="BP383" s="78">
        <f t="shared" si="64"/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4301031066</v>
      </c>
      <c r="D384" s="671">
        <v>4607091383836</v>
      </c>
      <c r="E384" s="671"/>
      <c r="F384" s="62">
        <v>0.3</v>
      </c>
      <c r="G384" s="37">
        <v>6</v>
      </c>
      <c r="H384" s="62">
        <v>1.8</v>
      </c>
      <c r="I384" s="62">
        <v>2.028</v>
      </c>
      <c r="J384" s="37">
        <v>182</v>
      </c>
      <c r="K384" s="37" t="s">
        <v>91</v>
      </c>
      <c r="L384" s="37" t="s">
        <v>46</v>
      </c>
      <c r="M384" s="38" t="s">
        <v>81</v>
      </c>
      <c r="N384" s="38"/>
      <c r="O384" s="37">
        <v>40</v>
      </c>
      <c r="P384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73"/>
      <c r="R384" s="673"/>
      <c r="S384" s="673"/>
      <c r="T384" s="674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0"/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94" t="s">
        <v>648</v>
      </c>
      <c r="AG384" s="78"/>
      <c r="AJ384" s="84" t="s">
        <v>46</v>
      </c>
      <c r="AK384" s="84">
        <v>0</v>
      </c>
      <c r="BB384" s="495" t="s">
        <v>67</v>
      </c>
      <c r="BM384" s="78">
        <f t="shared" si="61"/>
        <v>0</v>
      </c>
      <c r="BN384" s="78">
        <f t="shared" si="62"/>
        <v>0</v>
      </c>
      <c r="BO384" s="78">
        <f t="shared" si="63"/>
        <v>0</v>
      </c>
      <c r="BP384" s="78">
        <f t="shared" si="64"/>
        <v>0</v>
      </c>
    </row>
    <row r="385" spans="1:68" hidden="1" x14ac:dyDescent="0.2">
      <c r="A385" s="667"/>
      <c r="B385" s="667"/>
      <c r="C385" s="667"/>
      <c r="D385" s="667"/>
      <c r="E385" s="667"/>
      <c r="F385" s="667"/>
      <c r="G385" s="667"/>
      <c r="H385" s="667"/>
      <c r="I385" s="667"/>
      <c r="J385" s="667"/>
      <c r="K385" s="667"/>
      <c r="L385" s="667"/>
      <c r="M385" s="667"/>
      <c r="N385" s="667"/>
      <c r="O385" s="668"/>
      <c r="P385" s="664" t="s">
        <v>40</v>
      </c>
      <c r="Q385" s="665"/>
      <c r="R385" s="665"/>
      <c r="S385" s="665"/>
      <c r="T385" s="665"/>
      <c r="U385" s="665"/>
      <c r="V385" s="666"/>
      <c r="W385" s="42" t="s">
        <v>39</v>
      </c>
      <c r="X385" s="43">
        <f>IFERROR(X378/H378,"0")+IFERROR(X379/H379,"0")+IFERROR(X380/H380,"0")+IFERROR(X381/H381,"0")+IFERROR(X382/H382,"0")+IFERROR(X383/H383,"0")+IFERROR(X384/H384,"0")</f>
        <v>0</v>
      </c>
      <c r="Y385" s="43">
        <f>IFERROR(Y378/H378,"0")+IFERROR(Y379/H379,"0")+IFERROR(Y380/H380,"0")+IFERROR(Y381/H381,"0")+IFERROR(Y382/H382,"0")+IFERROR(Y383/H383,"0")+IFERROR(Y384/H384,"0")</f>
        <v>0</v>
      </c>
      <c r="Z385" s="4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67"/>
      <c r="B386" s="667"/>
      <c r="C386" s="667"/>
      <c r="D386" s="667"/>
      <c r="E386" s="667"/>
      <c r="F386" s="667"/>
      <c r="G386" s="667"/>
      <c r="H386" s="667"/>
      <c r="I386" s="667"/>
      <c r="J386" s="667"/>
      <c r="K386" s="667"/>
      <c r="L386" s="667"/>
      <c r="M386" s="667"/>
      <c r="N386" s="667"/>
      <c r="O386" s="668"/>
      <c r="P386" s="664" t="s">
        <v>40</v>
      </c>
      <c r="Q386" s="665"/>
      <c r="R386" s="665"/>
      <c r="S386" s="665"/>
      <c r="T386" s="665"/>
      <c r="U386" s="665"/>
      <c r="V386" s="666"/>
      <c r="W386" s="42" t="s">
        <v>0</v>
      </c>
      <c r="X386" s="43">
        <f>IFERROR(SUM(X378:X384),"0")</f>
        <v>0</v>
      </c>
      <c r="Y386" s="43">
        <f>IFERROR(SUM(Y378:Y384),"0")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70" t="s">
        <v>86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6"/>
      <c r="AB387" s="66"/>
      <c r="AC387" s="80"/>
    </row>
    <row r="388" spans="1:68" ht="27" hidden="1" customHeight="1" x14ac:dyDescent="0.25">
      <c r="A388" s="63" t="s">
        <v>649</v>
      </c>
      <c r="B388" s="63" t="s">
        <v>650</v>
      </c>
      <c r="C388" s="36">
        <v>4301051100</v>
      </c>
      <c r="D388" s="671">
        <v>4607091387766</v>
      </c>
      <c r="E388" s="671"/>
      <c r="F388" s="62">
        <v>1.3</v>
      </c>
      <c r="G388" s="37">
        <v>6</v>
      </c>
      <c r="H388" s="62">
        <v>7.8</v>
      </c>
      <c r="I388" s="62">
        <v>8.2880000000000003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6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73"/>
      <c r="R388" s="673"/>
      <c r="S388" s="673"/>
      <c r="T388" s="67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651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4301051818</v>
      </c>
      <c r="D389" s="671">
        <v>4607091387957</v>
      </c>
      <c r="E389" s="671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73"/>
      <c r="R389" s="673"/>
      <c r="S389" s="673"/>
      <c r="T389" s="67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4301051819</v>
      </c>
      <c r="D390" s="671">
        <v>4607091387964</v>
      </c>
      <c r="E390" s="671"/>
      <c r="F390" s="62">
        <v>1.35</v>
      </c>
      <c r="G390" s="37">
        <v>6</v>
      </c>
      <c r="H390" s="62">
        <v>8.1</v>
      </c>
      <c r="I390" s="62">
        <v>8.5760000000000005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73"/>
      <c r="R390" s="673"/>
      <c r="S390" s="673"/>
      <c r="T390" s="67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4301051734</v>
      </c>
      <c r="D391" s="671">
        <v>4680115884588</v>
      </c>
      <c r="E391" s="671"/>
      <c r="F391" s="62">
        <v>0.5</v>
      </c>
      <c r="G391" s="37">
        <v>6</v>
      </c>
      <c r="H391" s="62">
        <v>3</v>
      </c>
      <c r="I391" s="62">
        <v>3.246</v>
      </c>
      <c r="J391" s="37">
        <v>182</v>
      </c>
      <c r="K391" s="37" t="s">
        <v>91</v>
      </c>
      <c r="L391" s="37" t="s">
        <v>46</v>
      </c>
      <c r="M391" s="38" t="s">
        <v>90</v>
      </c>
      <c r="N391" s="38"/>
      <c r="O391" s="37">
        <v>40</v>
      </c>
      <c r="P391" s="76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73"/>
      <c r="R391" s="673"/>
      <c r="S391" s="673"/>
      <c r="T391" s="67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IFERROR(IF(Y391=0,"",ROUNDUP(Y391/H391,0)*0.00651),"")</f>
        <v/>
      </c>
      <c r="AA391" s="68" t="s">
        <v>46</v>
      </c>
      <c r="AB391" s="69" t="s">
        <v>46</v>
      </c>
      <c r="AC391" s="502" t="s">
        <v>651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7"/>
      <c r="B392" s="667"/>
      <c r="C392" s="667"/>
      <c r="D392" s="667"/>
      <c r="E392" s="667"/>
      <c r="F392" s="667"/>
      <c r="G392" s="667"/>
      <c r="H392" s="667"/>
      <c r="I392" s="667"/>
      <c r="J392" s="667"/>
      <c r="K392" s="667"/>
      <c r="L392" s="667"/>
      <c r="M392" s="667"/>
      <c r="N392" s="667"/>
      <c r="O392" s="668"/>
      <c r="P392" s="664" t="s">
        <v>40</v>
      </c>
      <c r="Q392" s="665"/>
      <c r="R392" s="665"/>
      <c r="S392" s="665"/>
      <c r="T392" s="665"/>
      <c r="U392" s="665"/>
      <c r="V392" s="666"/>
      <c r="W392" s="42" t="s">
        <v>39</v>
      </c>
      <c r="X392" s="43">
        <f>IFERROR(X388/H388,"0")+IFERROR(X389/H389,"0")+IFERROR(X390/H390,"0")+IFERROR(X391/H391,"0")</f>
        <v>0</v>
      </c>
      <c r="Y392" s="43">
        <f>IFERROR(Y388/H388,"0")+IFERROR(Y389/H389,"0")+IFERROR(Y390/H390,"0")+IFERROR(Y391/H391,"0")</f>
        <v>0</v>
      </c>
      <c r="Z392" s="43">
        <f>IFERROR(IF(Z388="",0,Z388),"0")+IFERROR(IF(Z389="",0,Z389),"0")+IFERROR(IF(Z390="",0,Z390),"0")+IFERROR(IF(Z391="",0,Z391),"0")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7"/>
      <c r="B393" s="667"/>
      <c r="C393" s="667"/>
      <c r="D393" s="667"/>
      <c r="E393" s="667"/>
      <c r="F393" s="667"/>
      <c r="G393" s="667"/>
      <c r="H393" s="667"/>
      <c r="I393" s="667"/>
      <c r="J393" s="667"/>
      <c r="K393" s="667"/>
      <c r="L393" s="667"/>
      <c r="M393" s="667"/>
      <c r="N393" s="667"/>
      <c r="O393" s="668"/>
      <c r="P393" s="664" t="s">
        <v>40</v>
      </c>
      <c r="Q393" s="665"/>
      <c r="R393" s="665"/>
      <c r="S393" s="665"/>
      <c r="T393" s="665"/>
      <c r="U393" s="665"/>
      <c r="V393" s="666"/>
      <c r="W393" s="42" t="s">
        <v>0</v>
      </c>
      <c r="X393" s="43">
        <f>IFERROR(SUM(X388:X391),"0")</f>
        <v>0</v>
      </c>
      <c r="Y393" s="43">
        <f>IFERROR(SUM(Y388:Y391),"0")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70" t="s">
        <v>173</v>
      </c>
      <c r="B394" s="670"/>
      <c r="C394" s="670"/>
      <c r="D394" s="670"/>
      <c r="E394" s="670"/>
      <c r="F394" s="670"/>
      <c r="G394" s="670"/>
      <c r="H394" s="670"/>
      <c r="I394" s="670"/>
      <c r="J394" s="670"/>
      <c r="K394" s="670"/>
      <c r="L394" s="670"/>
      <c r="M394" s="670"/>
      <c r="N394" s="670"/>
      <c r="O394" s="670"/>
      <c r="P394" s="670"/>
      <c r="Q394" s="670"/>
      <c r="R394" s="670"/>
      <c r="S394" s="670"/>
      <c r="T394" s="670"/>
      <c r="U394" s="670"/>
      <c r="V394" s="670"/>
      <c r="W394" s="670"/>
      <c r="X394" s="670"/>
      <c r="Y394" s="670"/>
      <c r="Z394" s="670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4301060387</v>
      </c>
      <c r="D395" s="671">
        <v>4607091380880</v>
      </c>
      <c r="E395" s="671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90</v>
      </c>
      <c r="N395" s="38"/>
      <c r="O395" s="37">
        <v>30</v>
      </c>
      <c r="P395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73"/>
      <c r="R395" s="673"/>
      <c r="S395" s="673"/>
      <c r="T395" s="67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662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4301060406</v>
      </c>
      <c r="D396" s="671">
        <v>4607091384482</v>
      </c>
      <c r="E396" s="671"/>
      <c r="F396" s="62">
        <v>1.3</v>
      </c>
      <c r="G396" s="37">
        <v>6</v>
      </c>
      <c r="H396" s="62">
        <v>7.8</v>
      </c>
      <c r="I396" s="62">
        <v>8.2940000000000005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73"/>
      <c r="R396" s="673"/>
      <c r="S396" s="673"/>
      <c r="T396" s="67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4301060484</v>
      </c>
      <c r="D397" s="671">
        <v>4607091380897</v>
      </c>
      <c r="E397" s="671"/>
      <c r="F397" s="62">
        <v>1.4</v>
      </c>
      <c r="G397" s="37">
        <v>6</v>
      </c>
      <c r="H397" s="62">
        <v>8.4</v>
      </c>
      <c r="I397" s="62">
        <v>8.8940000000000001</v>
      </c>
      <c r="J397" s="37">
        <v>64</v>
      </c>
      <c r="K397" s="37" t="s">
        <v>127</v>
      </c>
      <c r="L397" s="37" t="s">
        <v>46</v>
      </c>
      <c r="M397" s="38" t="s">
        <v>97</v>
      </c>
      <c r="N397" s="38"/>
      <c r="O397" s="37">
        <v>30</v>
      </c>
      <c r="P397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73"/>
      <c r="R397" s="673"/>
      <c r="S397" s="673"/>
      <c r="T397" s="67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667"/>
      <c r="B398" s="667"/>
      <c r="C398" s="667"/>
      <c r="D398" s="667"/>
      <c r="E398" s="667"/>
      <c r="F398" s="667"/>
      <c r="G398" s="667"/>
      <c r="H398" s="667"/>
      <c r="I398" s="667"/>
      <c r="J398" s="667"/>
      <c r="K398" s="667"/>
      <c r="L398" s="667"/>
      <c r="M398" s="667"/>
      <c r="N398" s="667"/>
      <c r="O398" s="668"/>
      <c r="P398" s="664" t="s">
        <v>40</v>
      </c>
      <c r="Q398" s="665"/>
      <c r="R398" s="665"/>
      <c r="S398" s="665"/>
      <c r="T398" s="665"/>
      <c r="U398" s="665"/>
      <c r="V398" s="666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667"/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8"/>
      <c r="P399" s="664" t="s">
        <v>40</v>
      </c>
      <c r="Q399" s="665"/>
      <c r="R399" s="665"/>
      <c r="S399" s="665"/>
      <c r="T399" s="665"/>
      <c r="U399" s="665"/>
      <c r="V399" s="666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670" t="s">
        <v>294</v>
      </c>
      <c r="B400" s="670"/>
      <c r="C400" s="670"/>
      <c r="D400" s="670"/>
      <c r="E400" s="670"/>
      <c r="F400" s="670"/>
      <c r="G400" s="670"/>
      <c r="H400" s="670"/>
      <c r="I400" s="670"/>
      <c r="J400" s="670"/>
      <c r="K400" s="670"/>
      <c r="L400" s="670"/>
      <c r="M400" s="670"/>
      <c r="N400" s="670"/>
      <c r="O400" s="670"/>
      <c r="P400" s="670"/>
      <c r="Q400" s="670"/>
      <c r="R400" s="670"/>
      <c r="S400" s="670"/>
      <c r="T400" s="670"/>
      <c r="U400" s="670"/>
      <c r="V400" s="670"/>
      <c r="W400" s="670"/>
      <c r="X400" s="670"/>
      <c r="Y400" s="670"/>
      <c r="Z400" s="670"/>
      <c r="AA400" s="66"/>
      <c r="AB400" s="66"/>
      <c r="AC400" s="80"/>
    </row>
    <row r="401" spans="1:68" ht="27" hidden="1" customHeight="1" x14ac:dyDescent="0.25">
      <c r="A401" s="63" t="s">
        <v>669</v>
      </c>
      <c r="B401" s="63" t="s">
        <v>670</v>
      </c>
      <c r="C401" s="36">
        <v>4301030235</v>
      </c>
      <c r="D401" s="671">
        <v>4607091388381</v>
      </c>
      <c r="E401" s="671"/>
      <c r="F401" s="62">
        <v>0.38</v>
      </c>
      <c r="G401" s="37">
        <v>8</v>
      </c>
      <c r="H401" s="62">
        <v>3.04</v>
      </c>
      <c r="I401" s="62">
        <v>3.31</v>
      </c>
      <c r="J401" s="37">
        <v>132</v>
      </c>
      <c r="K401" s="37" t="s">
        <v>134</v>
      </c>
      <c r="L401" s="37" t="s">
        <v>46</v>
      </c>
      <c r="M401" s="38" t="s">
        <v>269</v>
      </c>
      <c r="N401" s="38"/>
      <c r="O401" s="37">
        <v>180</v>
      </c>
      <c r="P401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73"/>
      <c r="R401" s="673"/>
      <c r="S401" s="673"/>
      <c r="T401" s="674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510" t="s">
        <v>671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672</v>
      </c>
      <c r="B402" s="63" t="s">
        <v>673</v>
      </c>
      <c r="C402" s="36">
        <v>4301030232</v>
      </c>
      <c r="D402" s="671">
        <v>4607091388374</v>
      </c>
      <c r="E402" s="671"/>
      <c r="F402" s="62">
        <v>0.38</v>
      </c>
      <c r="G402" s="37">
        <v>8</v>
      </c>
      <c r="H402" s="62">
        <v>3.04</v>
      </c>
      <c r="I402" s="62">
        <v>3.27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73"/>
      <c r="R402" s="673"/>
      <c r="S402" s="673"/>
      <c r="T402" s="67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671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4301032015</v>
      </c>
      <c r="D403" s="671">
        <v>4607091383102</v>
      </c>
      <c r="E403" s="671"/>
      <c r="F403" s="62">
        <v>0.17</v>
      </c>
      <c r="G403" s="37">
        <v>15</v>
      </c>
      <c r="H403" s="62">
        <v>2.5499999999999998</v>
      </c>
      <c r="I403" s="62">
        <v>2.9550000000000001</v>
      </c>
      <c r="J403" s="37">
        <v>182</v>
      </c>
      <c r="K403" s="37" t="s">
        <v>91</v>
      </c>
      <c r="L403" s="37" t="s">
        <v>46</v>
      </c>
      <c r="M403" s="38" t="s">
        <v>269</v>
      </c>
      <c r="N403" s="38"/>
      <c r="O403" s="37">
        <v>180</v>
      </c>
      <c r="P403" s="7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73"/>
      <c r="R403" s="673"/>
      <c r="S403" s="673"/>
      <c r="T403" s="67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14" t="s">
        <v>671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4301030233</v>
      </c>
      <c r="D404" s="671">
        <v>4607091388404</v>
      </c>
      <c r="E404" s="671"/>
      <c r="F404" s="62">
        <v>0.17</v>
      </c>
      <c r="G404" s="37">
        <v>15</v>
      </c>
      <c r="H404" s="62">
        <v>2.5499999999999998</v>
      </c>
      <c r="I404" s="62">
        <v>2.88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73"/>
      <c r="R404" s="673"/>
      <c r="S404" s="673"/>
      <c r="T404" s="67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671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7"/>
      <c r="B405" s="667"/>
      <c r="C405" s="667"/>
      <c r="D405" s="667"/>
      <c r="E405" s="667"/>
      <c r="F405" s="667"/>
      <c r="G405" s="667"/>
      <c r="H405" s="667"/>
      <c r="I405" s="667"/>
      <c r="J405" s="667"/>
      <c r="K405" s="667"/>
      <c r="L405" s="667"/>
      <c r="M405" s="667"/>
      <c r="N405" s="667"/>
      <c r="O405" s="668"/>
      <c r="P405" s="664" t="s">
        <v>40</v>
      </c>
      <c r="Q405" s="665"/>
      <c r="R405" s="665"/>
      <c r="S405" s="665"/>
      <c r="T405" s="665"/>
      <c r="U405" s="665"/>
      <c r="V405" s="666"/>
      <c r="W405" s="42" t="s">
        <v>39</v>
      </c>
      <c r="X405" s="43">
        <f>IFERROR(X401/H401,"0")+IFERROR(X402/H402,"0")+IFERROR(X403/H403,"0")+IFERROR(X404/H404,"0")</f>
        <v>0</v>
      </c>
      <c r="Y405" s="43">
        <f>IFERROR(Y401/H401,"0")+IFERROR(Y402/H402,"0")+IFERROR(Y403/H403,"0")+IFERROR(Y404/H404,"0")</f>
        <v>0</v>
      </c>
      <c r="Z405" s="43">
        <f>IFERROR(IF(Z401="",0,Z401),"0")+IFERROR(IF(Z402="",0,Z402),"0")+IFERROR(IF(Z403="",0,Z403),"0")+IFERROR(IF(Z404="",0,Z404),"0")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7"/>
      <c r="B406" s="667"/>
      <c r="C406" s="667"/>
      <c r="D406" s="667"/>
      <c r="E406" s="667"/>
      <c r="F406" s="667"/>
      <c r="G406" s="667"/>
      <c r="H406" s="667"/>
      <c r="I406" s="667"/>
      <c r="J406" s="667"/>
      <c r="K406" s="667"/>
      <c r="L406" s="667"/>
      <c r="M406" s="667"/>
      <c r="N406" s="667"/>
      <c r="O406" s="668"/>
      <c r="P406" s="664" t="s">
        <v>40</v>
      </c>
      <c r="Q406" s="665"/>
      <c r="R406" s="665"/>
      <c r="S406" s="665"/>
      <c r="T406" s="665"/>
      <c r="U406" s="665"/>
      <c r="V406" s="666"/>
      <c r="W406" s="42" t="s">
        <v>0</v>
      </c>
      <c r="X406" s="43">
        <f>IFERROR(SUM(X401:X404),"0")</f>
        <v>0</v>
      </c>
      <c r="Y406" s="43">
        <f>IFERROR(SUM(Y401:Y404),"0")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70" t="s">
        <v>678</v>
      </c>
      <c r="B407" s="670"/>
      <c r="C407" s="670"/>
      <c r="D407" s="670"/>
      <c r="E407" s="670"/>
      <c r="F407" s="670"/>
      <c r="G407" s="670"/>
      <c r="H407" s="670"/>
      <c r="I407" s="670"/>
      <c r="J407" s="670"/>
      <c r="K407" s="670"/>
      <c r="L407" s="670"/>
      <c r="M407" s="670"/>
      <c r="N407" s="670"/>
      <c r="O407" s="670"/>
      <c r="P407" s="670"/>
      <c r="Q407" s="670"/>
      <c r="R407" s="670"/>
      <c r="S407" s="670"/>
      <c r="T407" s="670"/>
      <c r="U407" s="670"/>
      <c r="V407" s="670"/>
      <c r="W407" s="670"/>
      <c r="X407" s="670"/>
      <c r="Y407" s="670"/>
      <c r="Z407" s="670"/>
      <c r="AA407" s="66"/>
      <c r="AB407" s="66"/>
      <c r="AC407" s="80"/>
    </row>
    <row r="408" spans="1:68" ht="16.5" hidden="1" customHeight="1" x14ac:dyDescent="0.25">
      <c r="A408" s="63" t="s">
        <v>679</v>
      </c>
      <c r="B408" s="63" t="s">
        <v>680</v>
      </c>
      <c r="C408" s="36">
        <v>4301180007</v>
      </c>
      <c r="D408" s="671">
        <v>4680115881808</v>
      </c>
      <c r="E408" s="671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682</v>
      </c>
      <c r="N408" s="38"/>
      <c r="O408" s="37">
        <v>731</v>
      </c>
      <c r="P408" s="7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73"/>
      <c r="R408" s="673"/>
      <c r="S408" s="673"/>
      <c r="T408" s="67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681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683</v>
      </c>
      <c r="B409" s="63" t="s">
        <v>684</v>
      </c>
      <c r="C409" s="36">
        <v>4301180006</v>
      </c>
      <c r="D409" s="671">
        <v>4680115881822</v>
      </c>
      <c r="E409" s="671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682</v>
      </c>
      <c r="N409" s="38"/>
      <c r="O409" s="37">
        <v>731</v>
      </c>
      <c r="P409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73"/>
      <c r="R409" s="673"/>
      <c r="S409" s="673"/>
      <c r="T409" s="67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681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4301180001</v>
      </c>
      <c r="D410" s="671">
        <v>4680115880016</v>
      </c>
      <c r="E410" s="671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682</v>
      </c>
      <c r="N410" s="38"/>
      <c r="O410" s="37">
        <v>731</v>
      </c>
      <c r="P410" s="7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73"/>
      <c r="R410" s="673"/>
      <c r="S410" s="673"/>
      <c r="T410" s="67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681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7"/>
      <c r="B411" s="667"/>
      <c r="C411" s="667"/>
      <c r="D411" s="667"/>
      <c r="E411" s="667"/>
      <c r="F411" s="667"/>
      <c r="G411" s="667"/>
      <c r="H411" s="667"/>
      <c r="I411" s="667"/>
      <c r="J411" s="667"/>
      <c r="K411" s="667"/>
      <c r="L411" s="667"/>
      <c r="M411" s="667"/>
      <c r="N411" s="667"/>
      <c r="O411" s="668"/>
      <c r="P411" s="664" t="s">
        <v>40</v>
      </c>
      <c r="Q411" s="665"/>
      <c r="R411" s="665"/>
      <c r="S411" s="665"/>
      <c r="T411" s="665"/>
      <c r="U411" s="665"/>
      <c r="V411" s="66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7"/>
      <c r="B412" s="667"/>
      <c r="C412" s="667"/>
      <c r="D412" s="667"/>
      <c r="E412" s="667"/>
      <c r="F412" s="667"/>
      <c r="G412" s="667"/>
      <c r="H412" s="667"/>
      <c r="I412" s="667"/>
      <c r="J412" s="667"/>
      <c r="K412" s="667"/>
      <c r="L412" s="667"/>
      <c r="M412" s="667"/>
      <c r="N412" s="667"/>
      <c r="O412" s="668"/>
      <c r="P412" s="664" t="s">
        <v>40</v>
      </c>
      <c r="Q412" s="665"/>
      <c r="R412" s="665"/>
      <c r="S412" s="665"/>
      <c r="T412" s="665"/>
      <c r="U412" s="665"/>
      <c r="V412" s="66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670" t="s">
        <v>687</v>
      </c>
      <c r="B413" s="670"/>
      <c r="C413" s="670"/>
      <c r="D413" s="670"/>
      <c r="E413" s="670"/>
      <c r="F413" s="670"/>
      <c r="G413" s="670"/>
      <c r="H413" s="670"/>
      <c r="I413" s="670"/>
      <c r="J413" s="670"/>
      <c r="K413" s="670"/>
      <c r="L413" s="670"/>
      <c r="M413" s="670"/>
      <c r="N413" s="670"/>
      <c r="O413" s="670"/>
      <c r="P413" s="670"/>
      <c r="Q413" s="670"/>
      <c r="R413" s="670"/>
      <c r="S413" s="670"/>
      <c r="T413" s="670"/>
      <c r="U413" s="670"/>
      <c r="V413" s="670"/>
      <c r="W413" s="670"/>
      <c r="X413" s="670"/>
      <c r="Y413" s="670"/>
      <c r="Z413" s="670"/>
      <c r="AA413" s="66"/>
      <c r="AB413" s="66"/>
      <c r="AC413" s="80"/>
    </row>
    <row r="414" spans="1:68" ht="27" hidden="1" customHeight="1" x14ac:dyDescent="0.25">
      <c r="A414" s="63" t="s">
        <v>688</v>
      </c>
      <c r="B414" s="63" t="s">
        <v>689</v>
      </c>
      <c r="C414" s="36">
        <v>4301220003</v>
      </c>
      <c r="D414" s="671">
        <v>4680115888678</v>
      </c>
      <c r="E414" s="671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682</v>
      </c>
      <c r="N414" s="38"/>
      <c r="O414" s="37">
        <v>1096</v>
      </c>
      <c r="P414" s="7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73"/>
      <c r="R414" s="673"/>
      <c r="S414" s="673"/>
      <c r="T414" s="674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690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691</v>
      </c>
      <c r="B415" s="63" t="s">
        <v>692</v>
      </c>
      <c r="C415" s="36">
        <v>4301220001</v>
      </c>
      <c r="D415" s="671">
        <v>4680115888654</v>
      </c>
      <c r="E415" s="671"/>
      <c r="F415" s="62">
        <v>0.32500000000000001</v>
      </c>
      <c r="G415" s="37">
        <v>12</v>
      </c>
      <c r="H415" s="62">
        <v>3.9</v>
      </c>
      <c r="I415" s="62">
        <v>4.17</v>
      </c>
      <c r="J415" s="37">
        <v>144</v>
      </c>
      <c r="K415" s="37" t="s">
        <v>134</v>
      </c>
      <c r="L415" s="37" t="s">
        <v>46</v>
      </c>
      <c r="M415" s="38" t="s">
        <v>682</v>
      </c>
      <c r="N415" s="38"/>
      <c r="O415" s="37">
        <v>1096</v>
      </c>
      <c r="P415" s="7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73"/>
      <c r="R415" s="673"/>
      <c r="S415" s="673"/>
      <c r="T415" s="67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4301220002</v>
      </c>
      <c r="D416" s="671">
        <v>4680115888753</v>
      </c>
      <c r="E416" s="671"/>
      <c r="F416" s="62">
        <v>0.25</v>
      </c>
      <c r="G416" s="37">
        <v>12</v>
      </c>
      <c r="H416" s="62">
        <v>3</v>
      </c>
      <c r="I416" s="62">
        <v>3.22</v>
      </c>
      <c r="J416" s="37">
        <v>224</v>
      </c>
      <c r="K416" s="37" t="s">
        <v>91</v>
      </c>
      <c r="L416" s="37" t="s">
        <v>46</v>
      </c>
      <c r="M416" s="38" t="s">
        <v>682</v>
      </c>
      <c r="N416" s="38"/>
      <c r="O416" s="37">
        <v>1096</v>
      </c>
      <c r="P416" s="7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73"/>
      <c r="R416" s="673"/>
      <c r="S416" s="673"/>
      <c r="T416" s="67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IFERROR(IF(Y416=0,"",ROUNDUP(Y416/H416,0)*0.0045),"")</f>
        <v/>
      </c>
      <c r="AA416" s="68" t="s">
        <v>46</v>
      </c>
      <c r="AB416" s="69" t="s">
        <v>46</v>
      </c>
      <c r="AC416" s="528" t="s">
        <v>690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7"/>
      <c r="B417" s="667"/>
      <c r="C417" s="667"/>
      <c r="D417" s="667"/>
      <c r="E417" s="667"/>
      <c r="F417" s="667"/>
      <c r="G417" s="667"/>
      <c r="H417" s="667"/>
      <c r="I417" s="667"/>
      <c r="J417" s="667"/>
      <c r="K417" s="667"/>
      <c r="L417" s="667"/>
      <c r="M417" s="667"/>
      <c r="N417" s="667"/>
      <c r="O417" s="668"/>
      <c r="P417" s="664" t="s">
        <v>40</v>
      </c>
      <c r="Q417" s="665"/>
      <c r="R417" s="665"/>
      <c r="S417" s="665"/>
      <c r="T417" s="665"/>
      <c r="U417" s="665"/>
      <c r="V417" s="666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67"/>
      <c r="B418" s="667"/>
      <c r="C418" s="667"/>
      <c r="D418" s="667"/>
      <c r="E418" s="667"/>
      <c r="F418" s="667"/>
      <c r="G418" s="667"/>
      <c r="H418" s="667"/>
      <c r="I418" s="667"/>
      <c r="J418" s="667"/>
      <c r="K418" s="667"/>
      <c r="L418" s="667"/>
      <c r="M418" s="667"/>
      <c r="N418" s="667"/>
      <c r="O418" s="668"/>
      <c r="P418" s="664" t="s">
        <v>40</v>
      </c>
      <c r="Q418" s="665"/>
      <c r="R418" s="665"/>
      <c r="S418" s="665"/>
      <c r="T418" s="665"/>
      <c r="U418" s="665"/>
      <c r="V418" s="666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69" t="s">
        <v>696</v>
      </c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69"/>
      <c r="P419" s="669"/>
      <c r="Q419" s="669"/>
      <c r="R419" s="669"/>
      <c r="S419" s="669"/>
      <c r="T419" s="669"/>
      <c r="U419" s="669"/>
      <c r="V419" s="669"/>
      <c r="W419" s="669"/>
      <c r="X419" s="669"/>
      <c r="Y419" s="669"/>
      <c r="Z419" s="669"/>
      <c r="AA419" s="65"/>
      <c r="AB419" s="65"/>
      <c r="AC419" s="79"/>
    </row>
    <row r="420" spans="1:68" ht="14.25" hidden="1" customHeight="1" x14ac:dyDescent="0.25">
      <c r="A420" s="670" t="s">
        <v>86</v>
      </c>
      <c r="B420" s="670"/>
      <c r="C420" s="670"/>
      <c r="D420" s="670"/>
      <c r="E420" s="670"/>
      <c r="F420" s="670"/>
      <c r="G420" s="670"/>
      <c r="H420" s="670"/>
      <c r="I420" s="670"/>
      <c r="J420" s="670"/>
      <c r="K420" s="670"/>
      <c r="L420" s="670"/>
      <c r="M420" s="670"/>
      <c r="N420" s="670"/>
      <c r="O420" s="670"/>
      <c r="P420" s="670"/>
      <c r="Q420" s="670"/>
      <c r="R420" s="670"/>
      <c r="S420" s="670"/>
      <c r="T420" s="670"/>
      <c r="U420" s="670"/>
      <c r="V420" s="670"/>
      <c r="W420" s="670"/>
      <c r="X420" s="670"/>
      <c r="Y420" s="670"/>
      <c r="Z420" s="670"/>
      <c r="AA420" s="66"/>
      <c r="AB420" s="66"/>
      <c r="AC420" s="80"/>
    </row>
    <row r="421" spans="1:68" ht="16.5" hidden="1" customHeight="1" x14ac:dyDescent="0.25">
      <c r="A421" s="63" t="s">
        <v>697</v>
      </c>
      <c r="B421" s="63" t="s">
        <v>698</v>
      </c>
      <c r="C421" s="36">
        <v>4301052235</v>
      </c>
      <c r="D421" s="671">
        <v>4680115889415</v>
      </c>
      <c r="E421" s="671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127</v>
      </c>
      <c r="L421" s="37" t="s">
        <v>46</v>
      </c>
      <c r="M421" s="38" t="s">
        <v>90</v>
      </c>
      <c r="N421" s="38"/>
      <c r="O421" s="37">
        <v>40</v>
      </c>
      <c r="P421" s="7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73"/>
      <c r="R421" s="673"/>
      <c r="S421" s="673"/>
      <c r="T421" s="67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30" t="s">
        <v>699</v>
      </c>
      <c r="AG421" s="78"/>
      <c r="AJ421" s="84" t="s">
        <v>46</v>
      </c>
      <c r="AK421" s="84">
        <v>0</v>
      </c>
      <c r="BB421" s="53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700</v>
      </c>
      <c r="B422" s="63" t="s">
        <v>701</v>
      </c>
      <c r="C422" s="36">
        <v>4301052236</v>
      </c>
      <c r="D422" s="671">
        <v>4680115889422</v>
      </c>
      <c r="E422" s="671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73"/>
      <c r="R422" s="673"/>
      <c r="S422" s="673"/>
      <c r="T422" s="67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667"/>
      <c r="B423" s="667"/>
      <c r="C423" s="667"/>
      <c r="D423" s="667"/>
      <c r="E423" s="667"/>
      <c r="F423" s="667"/>
      <c r="G423" s="667"/>
      <c r="H423" s="667"/>
      <c r="I423" s="667"/>
      <c r="J423" s="667"/>
      <c r="K423" s="667"/>
      <c r="L423" s="667"/>
      <c r="M423" s="667"/>
      <c r="N423" s="667"/>
      <c r="O423" s="668"/>
      <c r="P423" s="664" t="s">
        <v>40</v>
      </c>
      <c r="Q423" s="665"/>
      <c r="R423" s="665"/>
      <c r="S423" s="665"/>
      <c r="T423" s="665"/>
      <c r="U423" s="665"/>
      <c r="V423" s="666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hidden="1" x14ac:dyDescent="0.2">
      <c r="A424" s="667"/>
      <c r="B424" s="667"/>
      <c r="C424" s="667"/>
      <c r="D424" s="667"/>
      <c r="E424" s="667"/>
      <c r="F424" s="667"/>
      <c r="G424" s="667"/>
      <c r="H424" s="667"/>
      <c r="I424" s="667"/>
      <c r="J424" s="667"/>
      <c r="K424" s="667"/>
      <c r="L424" s="667"/>
      <c r="M424" s="667"/>
      <c r="N424" s="667"/>
      <c r="O424" s="668"/>
      <c r="P424" s="664" t="s">
        <v>40</v>
      </c>
      <c r="Q424" s="665"/>
      <c r="R424" s="665"/>
      <c r="S424" s="665"/>
      <c r="T424" s="665"/>
      <c r="U424" s="665"/>
      <c r="V424" s="666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6.5" hidden="1" customHeight="1" x14ac:dyDescent="0.25">
      <c r="A425" s="669" t="s">
        <v>703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65"/>
      <c r="AB425" s="65"/>
      <c r="AC425" s="79"/>
    </row>
    <row r="426" spans="1:68" ht="14.25" hidden="1" customHeight="1" x14ac:dyDescent="0.25">
      <c r="A426" s="670" t="s">
        <v>86</v>
      </c>
      <c r="B426" s="670"/>
      <c r="C426" s="670"/>
      <c r="D426" s="670"/>
      <c r="E426" s="670"/>
      <c r="F426" s="670"/>
      <c r="G426" s="670"/>
      <c r="H426" s="670"/>
      <c r="I426" s="670"/>
      <c r="J426" s="670"/>
      <c r="K426" s="670"/>
      <c r="L426" s="670"/>
      <c r="M426" s="670"/>
      <c r="N426" s="670"/>
      <c r="O426" s="670"/>
      <c r="P426" s="670"/>
      <c r="Q426" s="670"/>
      <c r="R426" s="670"/>
      <c r="S426" s="670"/>
      <c r="T426" s="670"/>
      <c r="U426" s="670"/>
      <c r="V426" s="670"/>
      <c r="W426" s="670"/>
      <c r="X426" s="670"/>
      <c r="Y426" s="670"/>
      <c r="Z426" s="670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4301051489</v>
      </c>
      <c r="D427" s="671">
        <v>4607091387919</v>
      </c>
      <c r="E427" s="671"/>
      <c r="F427" s="62">
        <v>1.35</v>
      </c>
      <c r="G427" s="37">
        <v>6</v>
      </c>
      <c r="H427" s="62">
        <v>8.1</v>
      </c>
      <c r="I427" s="62">
        <v>8.5939999999999994</v>
      </c>
      <c r="J427" s="37">
        <v>64</v>
      </c>
      <c r="K427" s="37" t="s">
        <v>127</v>
      </c>
      <c r="L427" s="37" t="s">
        <v>46</v>
      </c>
      <c r="M427" s="38" t="s">
        <v>97</v>
      </c>
      <c r="N427" s="38"/>
      <c r="O427" s="37">
        <v>45</v>
      </c>
      <c r="P427" s="7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73"/>
      <c r="R427" s="673"/>
      <c r="S427" s="673"/>
      <c r="T427" s="674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34" t="s">
        <v>706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27" hidden="1" customHeight="1" x14ac:dyDescent="0.25">
      <c r="A428" s="63" t="s">
        <v>707</v>
      </c>
      <c r="B428" s="63" t="s">
        <v>708</v>
      </c>
      <c r="C428" s="36">
        <v>4301051461</v>
      </c>
      <c r="D428" s="671">
        <v>4680115883604</v>
      </c>
      <c r="E428" s="671"/>
      <c r="F428" s="62">
        <v>0.35</v>
      </c>
      <c r="G428" s="37">
        <v>6</v>
      </c>
      <c r="H428" s="62">
        <v>2.1</v>
      </c>
      <c r="I428" s="62">
        <v>2.3519999999999999</v>
      </c>
      <c r="J428" s="37">
        <v>182</v>
      </c>
      <c r="K428" s="37" t="s">
        <v>91</v>
      </c>
      <c r="L428" s="37" t="s">
        <v>46</v>
      </c>
      <c r="M428" s="38" t="s">
        <v>90</v>
      </c>
      <c r="N428" s="38"/>
      <c r="O428" s="37">
        <v>45</v>
      </c>
      <c r="P428" s="7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73"/>
      <c r="R428" s="673"/>
      <c r="S428" s="673"/>
      <c r="T428" s="674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4301051864</v>
      </c>
      <c r="D429" s="671">
        <v>4680115883567</v>
      </c>
      <c r="E429" s="671"/>
      <c r="F429" s="62">
        <v>0.35</v>
      </c>
      <c r="G429" s="37">
        <v>6</v>
      </c>
      <c r="H429" s="62">
        <v>2.1</v>
      </c>
      <c r="I429" s="62">
        <v>2.34</v>
      </c>
      <c r="J429" s="37">
        <v>182</v>
      </c>
      <c r="K429" s="37" t="s">
        <v>91</v>
      </c>
      <c r="L429" s="37" t="s">
        <v>46</v>
      </c>
      <c r="M429" s="38" t="s">
        <v>97</v>
      </c>
      <c r="N429" s="38"/>
      <c r="O429" s="37">
        <v>40</v>
      </c>
      <c r="P429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73"/>
      <c r="R429" s="673"/>
      <c r="S429" s="673"/>
      <c r="T429" s="67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67"/>
      <c r="B430" s="667"/>
      <c r="C430" s="667"/>
      <c r="D430" s="667"/>
      <c r="E430" s="667"/>
      <c r="F430" s="667"/>
      <c r="G430" s="667"/>
      <c r="H430" s="667"/>
      <c r="I430" s="667"/>
      <c r="J430" s="667"/>
      <c r="K430" s="667"/>
      <c r="L430" s="667"/>
      <c r="M430" s="667"/>
      <c r="N430" s="667"/>
      <c r="O430" s="668"/>
      <c r="P430" s="664" t="s">
        <v>40</v>
      </c>
      <c r="Q430" s="665"/>
      <c r="R430" s="665"/>
      <c r="S430" s="665"/>
      <c r="T430" s="665"/>
      <c r="U430" s="665"/>
      <c r="V430" s="666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hidden="1" x14ac:dyDescent="0.2">
      <c r="A431" s="667"/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8"/>
      <c r="P431" s="664" t="s">
        <v>40</v>
      </c>
      <c r="Q431" s="665"/>
      <c r="R431" s="665"/>
      <c r="S431" s="665"/>
      <c r="T431" s="665"/>
      <c r="U431" s="665"/>
      <c r="V431" s="666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27.75" hidden="1" customHeight="1" x14ac:dyDescent="0.2">
      <c r="A432" s="684" t="s">
        <v>713</v>
      </c>
      <c r="B432" s="684"/>
      <c r="C432" s="684"/>
      <c r="D432" s="684"/>
      <c r="E432" s="684"/>
      <c r="F432" s="684"/>
      <c r="G432" s="684"/>
      <c r="H432" s="684"/>
      <c r="I432" s="684"/>
      <c r="J432" s="684"/>
      <c r="K432" s="684"/>
      <c r="L432" s="684"/>
      <c r="M432" s="684"/>
      <c r="N432" s="684"/>
      <c r="O432" s="684"/>
      <c r="P432" s="684"/>
      <c r="Q432" s="684"/>
      <c r="R432" s="684"/>
      <c r="S432" s="684"/>
      <c r="T432" s="684"/>
      <c r="U432" s="684"/>
      <c r="V432" s="684"/>
      <c r="W432" s="684"/>
      <c r="X432" s="684"/>
      <c r="Y432" s="684"/>
      <c r="Z432" s="684"/>
      <c r="AA432" s="54"/>
      <c r="AB432" s="54"/>
      <c r="AC432" s="54"/>
    </row>
    <row r="433" spans="1:68" ht="16.5" hidden="1" customHeight="1" x14ac:dyDescent="0.25">
      <c r="A433" s="669" t="s">
        <v>714</v>
      </c>
      <c r="B433" s="669"/>
      <c r="C433" s="669"/>
      <c r="D433" s="669"/>
      <c r="E433" s="669"/>
      <c r="F433" s="669"/>
      <c r="G433" s="669"/>
      <c r="H433" s="669"/>
      <c r="I433" s="669"/>
      <c r="J433" s="669"/>
      <c r="K433" s="669"/>
      <c r="L433" s="669"/>
      <c r="M433" s="669"/>
      <c r="N433" s="669"/>
      <c r="O433" s="669"/>
      <c r="P433" s="669"/>
      <c r="Q433" s="669"/>
      <c r="R433" s="669"/>
      <c r="S433" s="669"/>
      <c r="T433" s="669"/>
      <c r="U433" s="669"/>
      <c r="V433" s="669"/>
      <c r="W433" s="669"/>
      <c r="X433" s="669"/>
      <c r="Y433" s="669"/>
      <c r="Z433" s="669"/>
      <c r="AA433" s="65"/>
      <c r="AB433" s="65"/>
      <c r="AC433" s="79"/>
    </row>
    <row r="434" spans="1:68" ht="14.25" hidden="1" customHeight="1" x14ac:dyDescent="0.25">
      <c r="A434" s="670" t="s">
        <v>122</v>
      </c>
      <c r="B434" s="670"/>
      <c r="C434" s="670"/>
      <c r="D434" s="670"/>
      <c r="E434" s="670"/>
      <c r="F434" s="670"/>
      <c r="G434" s="670"/>
      <c r="H434" s="670"/>
      <c r="I434" s="670"/>
      <c r="J434" s="670"/>
      <c r="K434" s="670"/>
      <c r="L434" s="670"/>
      <c r="M434" s="670"/>
      <c r="N434" s="670"/>
      <c r="O434" s="670"/>
      <c r="P434" s="670"/>
      <c r="Q434" s="670"/>
      <c r="R434" s="670"/>
      <c r="S434" s="670"/>
      <c r="T434" s="670"/>
      <c r="U434" s="670"/>
      <c r="V434" s="670"/>
      <c r="W434" s="670"/>
      <c r="X434" s="670"/>
      <c r="Y434" s="670"/>
      <c r="Z434" s="670"/>
      <c r="AA434" s="66"/>
      <c r="AB434" s="66"/>
      <c r="AC434" s="80"/>
    </row>
    <row r="435" spans="1:68" ht="27" hidden="1" customHeight="1" x14ac:dyDescent="0.25">
      <c r="A435" s="63" t="s">
        <v>715</v>
      </c>
      <c r="B435" s="63" t="s">
        <v>716</v>
      </c>
      <c r="C435" s="36">
        <v>4301012332</v>
      </c>
      <c r="D435" s="671">
        <v>4680115888401</v>
      </c>
      <c r="E435" s="67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4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73"/>
      <c r="R435" s="673"/>
      <c r="S435" s="673"/>
      <c r="T435" s="67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ref="Y435:Y442" si="65"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717</v>
      </c>
      <c r="AG435" s="78"/>
      <c r="AJ435" s="84" t="s">
        <v>46</v>
      </c>
      <c r="AK435" s="84">
        <v>0</v>
      </c>
      <c r="BB435" s="541" t="s">
        <v>67</v>
      </c>
      <c r="BM435" s="78">
        <f t="shared" ref="BM435:BM442" si="66">IFERROR(X435*I435/H435,"0")</f>
        <v>0</v>
      </c>
      <c r="BN435" s="78">
        <f t="shared" ref="BN435:BN442" si="67">IFERROR(Y435*I435/H435,"0")</f>
        <v>0</v>
      </c>
      <c r="BO435" s="78">
        <f t="shared" ref="BO435:BO442" si="68">IFERROR(1/J435*(X435/H435),"0")</f>
        <v>0</v>
      </c>
      <c r="BP435" s="78">
        <f t="shared" ref="BP435:BP442" si="69">IFERROR(1/J435*(Y435/H435),"0")</f>
        <v>0</v>
      </c>
    </row>
    <row r="436" spans="1:68" ht="37.5" hidden="1" customHeight="1" x14ac:dyDescent="0.25">
      <c r="A436" s="63" t="s">
        <v>718</v>
      </c>
      <c r="B436" s="63" t="s">
        <v>719</v>
      </c>
      <c r="C436" s="36">
        <v>4301011869</v>
      </c>
      <c r="D436" s="671">
        <v>4680115884847</v>
      </c>
      <c r="E436" s="67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73"/>
      <c r="R436" s="673"/>
      <c r="S436" s="673"/>
      <c r="T436" s="67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5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si="66"/>
        <v>0</v>
      </c>
      <c r="BN436" s="78">
        <f t="shared" si="67"/>
        <v>0</v>
      </c>
      <c r="BO436" s="78">
        <f t="shared" si="68"/>
        <v>0</v>
      </c>
      <c r="BP436" s="78">
        <f t="shared" si="69"/>
        <v>0</v>
      </c>
    </row>
    <row r="437" spans="1:68" ht="27" customHeight="1" x14ac:dyDescent="0.25">
      <c r="A437" s="63" t="s">
        <v>721</v>
      </c>
      <c r="B437" s="63" t="s">
        <v>722</v>
      </c>
      <c r="C437" s="36">
        <v>4301012083</v>
      </c>
      <c r="D437" s="671">
        <v>4680115884854</v>
      </c>
      <c r="E437" s="67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60</v>
      </c>
      <c r="P437" s="7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73"/>
      <c r="R437" s="673"/>
      <c r="S437" s="673"/>
      <c r="T437" s="674"/>
      <c r="U437" s="39" t="s">
        <v>46</v>
      </c>
      <c r="V437" s="39" t="s">
        <v>46</v>
      </c>
      <c r="W437" s="40" t="s">
        <v>0</v>
      </c>
      <c r="X437" s="58">
        <v>160</v>
      </c>
      <c r="Y437" s="55">
        <f t="shared" si="65"/>
        <v>165</v>
      </c>
      <c r="Z437" s="41">
        <f>IFERROR(IF(Y437=0,"",ROUNDUP(Y437/H437,0)*0.02175),"")</f>
        <v>0.23924999999999999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66"/>
        <v>165.01333333333335</v>
      </c>
      <c r="BN437" s="78">
        <f t="shared" si="67"/>
        <v>170.17000000000002</v>
      </c>
      <c r="BO437" s="78">
        <f t="shared" si="68"/>
        <v>0.22222222222222221</v>
      </c>
      <c r="BP437" s="78">
        <f t="shared" si="69"/>
        <v>0.22916666666666666</v>
      </c>
    </row>
    <row r="438" spans="1:68" ht="27" customHeight="1" x14ac:dyDescent="0.25">
      <c r="A438" s="63" t="s">
        <v>724</v>
      </c>
      <c r="B438" s="63" t="s">
        <v>725</v>
      </c>
      <c r="C438" s="36">
        <v>4301011867</v>
      </c>
      <c r="D438" s="671">
        <v>4680115884830</v>
      </c>
      <c r="E438" s="671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81</v>
      </c>
      <c r="N438" s="38"/>
      <c r="O438" s="37">
        <v>60</v>
      </c>
      <c r="P438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73"/>
      <c r="R438" s="673"/>
      <c r="S438" s="673"/>
      <c r="T438" s="674"/>
      <c r="U438" s="39" t="s">
        <v>46</v>
      </c>
      <c r="V438" s="39" t="s">
        <v>46</v>
      </c>
      <c r="W438" s="40" t="s">
        <v>0</v>
      </c>
      <c r="X438" s="58">
        <v>300</v>
      </c>
      <c r="Y438" s="55">
        <f t="shared" si="65"/>
        <v>300</v>
      </c>
      <c r="Z438" s="41">
        <f>IFERROR(IF(Y438=0,"",ROUNDUP(Y438/H438,0)*0.02175),"")</f>
        <v>0.43499999999999994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66"/>
        <v>309.39999999999998</v>
      </c>
      <c r="BN438" s="78">
        <f t="shared" si="67"/>
        <v>309.39999999999998</v>
      </c>
      <c r="BO438" s="78">
        <f t="shared" si="68"/>
        <v>0.41666666666666663</v>
      </c>
      <c r="BP438" s="78">
        <f t="shared" si="69"/>
        <v>0.41666666666666663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4301012356</v>
      </c>
      <c r="D439" s="671">
        <v>4680115889231</v>
      </c>
      <c r="E439" s="671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97</v>
      </c>
      <c r="N439" s="38"/>
      <c r="O439" s="37">
        <v>60</v>
      </c>
      <c r="P439" s="7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73"/>
      <c r="R439" s="673"/>
      <c r="S439" s="673"/>
      <c r="T439" s="674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5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66"/>
        <v>0</v>
      </c>
      <c r="BN439" s="78">
        <f t="shared" si="67"/>
        <v>0</v>
      </c>
      <c r="BO439" s="78">
        <f t="shared" si="68"/>
        <v>0</v>
      </c>
      <c r="BP439" s="78">
        <f t="shared" si="69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4301011433</v>
      </c>
      <c r="D440" s="671">
        <v>4680115882638</v>
      </c>
      <c r="E440" s="671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90</v>
      </c>
      <c r="P440" s="7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73"/>
      <c r="R440" s="673"/>
      <c r="S440" s="673"/>
      <c r="T440" s="674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5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66"/>
        <v>0</v>
      </c>
      <c r="BN440" s="78">
        <f t="shared" si="67"/>
        <v>0</v>
      </c>
      <c r="BO440" s="78">
        <f t="shared" si="68"/>
        <v>0</v>
      </c>
      <c r="BP440" s="78">
        <f t="shared" si="69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4301011952</v>
      </c>
      <c r="D441" s="671">
        <v>4680115884922</v>
      </c>
      <c r="E441" s="671"/>
      <c r="F441" s="62">
        <v>0.5</v>
      </c>
      <c r="G441" s="37">
        <v>10</v>
      </c>
      <c r="H441" s="62">
        <v>5</v>
      </c>
      <c r="I441" s="62">
        <v>5.19</v>
      </c>
      <c r="J441" s="37">
        <v>132</v>
      </c>
      <c r="K441" s="37" t="s">
        <v>134</v>
      </c>
      <c r="L441" s="37" t="s">
        <v>46</v>
      </c>
      <c r="M441" s="38" t="s">
        <v>81</v>
      </c>
      <c r="N441" s="38"/>
      <c r="O441" s="37">
        <v>60</v>
      </c>
      <c r="P441" s="7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73"/>
      <c r="R441" s="673"/>
      <c r="S441" s="673"/>
      <c r="T441" s="674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5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66"/>
        <v>0</v>
      </c>
      <c r="BN441" s="78">
        <f t="shared" si="67"/>
        <v>0</v>
      </c>
      <c r="BO441" s="78">
        <f t="shared" si="68"/>
        <v>0</v>
      </c>
      <c r="BP441" s="78">
        <f t="shared" si="69"/>
        <v>0</v>
      </c>
    </row>
    <row r="442" spans="1:68" ht="37.5" hidden="1" customHeight="1" x14ac:dyDescent="0.25">
      <c r="A442" s="63" t="s">
        <v>736</v>
      </c>
      <c r="B442" s="63" t="s">
        <v>737</v>
      </c>
      <c r="C442" s="36">
        <v>4301011868</v>
      </c>
      <c r="D442" s="671">
        <v>4680115884861</v>
      </c>
      <c r="E442" s="671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73"/>
      <c r="R442" s="673"/>
      <c r="S442" s="673"/>
      <c r="T442" s="674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5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66"/>
        <v>0</v>
      </c>
      <c r="BN442" s="78">
        <f t="shared" si="67"/>
        <v>0</v>
      </c>
      <c r="BO442" s="78">
        <f t="shared" si="68"/>
        <v>0</v>
      </c>
      <c r="BP442" s="78">
        <f t="shared" si="69"/>
        <v>0</v>
      </c>
    </row>
    <row r="443" spans="1:68" x14ac:dyDescent="0.2">
      <c r="A443" s="667"/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8"/>
      <c r="P443" s="664" t="s">
        <v>40</v>
      </c>
      <c r="Q443" s="665"/>
      <c r="R443" s="665"/>
      <c r="S443" s="665"/>
      <c r="T443" s="665"/>
      <c r="U443" s="665"/>
      <c r="V443" s="666"/>
      <c r="W443" s="42" t="s">
        <v>39</v>
      </c>
      <c r="X443" s="43">
        <f>IFERROR(X435/H435,"0")+IFERROR(X436/H436,"0")+IFERROR(X437/H437,"0")+IFERROR(X438/H438,"0")+IFERROR(X439/H439,"0")+IFERROR(X440/H440,"0")+IFERROR(X441/H441,"0")+IFERROR(X442/H442,"0")</f>
        <v>30.666666666666664</v>
      </c>
      <c r="Y443" s="43">
        <f>IFERROR(Y435/H435,"0")+IFERROR(Y436/H436,"0")+IFERROR(Y437/H437,"0")+IFERROR(Y438/H438,"0")+IFERROR(Y439/H439,"0")+IFERROR(Y440/H440,"0")+IFERROR(Y441/H441,"0")+IFERROR(Y442/H442,"0")</f>
        <v>31</v>
      </c>
      <c r="Z443" s="4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0.6742499999999999</v>
      </c>
      <c r="AA443" s="67"/>
      <c r="AB443" s="67"/>
      <c r="AC443" s="67"/>
    </row>
    <row r="444" spans="1:68" x14ac:dyDescent="0.2">
      <c r="A444" s="667"/>
      <c r="B444" s="667"/>
      <c r="C444" s="667"/>
      <c r="D444" s="667"/>
      <c r="E444" s="667"/>
      <c r="F444" s="667"/>
      <c r="G444" s="667"/>
      <c r="H444" s="667"/>
      <c r="I444" s="667"/>
      <c r="J444" s="667"/>
      <c r="K444" s="667"/>
      <c r="L444" s="667"/>
      <c r="M444" s="667"/>
      <c r="N444" s="667"/>
      <c r="O444" s="668"/>
      <c r="P444" s="664" t="s">
        <v>40</v>
      </c>
      <c r="Q444" s="665"/>
      <c r="R444" s="665"/>
      <c r="S444" s="665"/>
      <c r="T444" s="665"/>
      <c r="U444" s="665"/>
      <c r="V444" s="666"/>
      <c r="W444" s="42" t="s">
        <v>0</v>
      </c>
      <c r="X444" s="43">
        <f>IFERROR(SUM(X435:X442),"0")</f>
        <v>460</v>
      </c>
      <c r="Y444" s="43">
        <f>IFERROR(SUM(Y435:Y442),"0")</f>
        <v>465</v>
      </c>
      <c r="Z444" s="42"/>
      <c r="AA444" s="67"/>
      <c r="AB444" s="67"/>
      <c r="AC444" s="67"/>
    </row>
    <row r="445" spans="1:68" ht="14.25" hidden="1" customHeight="1" x14ac:dyDescent="0.25">
      <c r="A445" s="670" t="s">
        <v>155</v>
      </c>
      <c r="B445" s="670"/>
      <c r="C445" s="670"/>
      <c r="D445" s="670"/>
      <c r="E445" s="670"/>
      <c r="F445" s="670"/>
      <c r="G445" s="670"/>
      <c r="H445" s="670"/>
      <c r="I445" s="670"/>
      <c r="J445" s="670"/>
      <c r="K445" s="670"/>
      <c r="L445" s="670"/>
      <c r="M445" s="670"/>
      <c r="N445" s="670"/>
      <c r="O445" s="670"/>
      <c r="P445" s="670"/>
      <c r="Q445" s="670"/>
      <c r="R445" s="670"/>
      <c r="S445" s="670"/>
      <c r="T445" s="670"/>
      <c r="U445" s="670"/>
      <c r="V445" s="670"/>
      <c r="W445" s="670"/>
      <c r="X445" s="670"/>
      <c r="Y445" s="670"/>
      <c r="Z445" s="670"/>
      <c r="AA445" s="66"/>
      <c r="AB445" s="66"/>
      <c r="AC445" s="80"/>
    </row>
    <row r="446" spans="1:68" ht="27" customHeight="1" x14ac:dyDescent="0.25">
      <c r="A446" s="63" t="s">
        <v>739</v>
      </c>
      <c r="B446" s="63" t="s">
        <v>740</v>
      </c>
      <c r="C446" s="36">
        <v>4301020178</v>
      </c>
      <c r="D446" s="671">
        <v>4607091383980</v>
      </c>
      <c r="E446" s="671"/>
      <c r="F446" s="62">
        <v>2.5</v>
      </c>
      <c r="G446" s="37">
        <v>6</v>
      </c>
      <c r="H446" s="62">
        <v>15</v>
      </c>
      <c r="I446" s="62">
        <v>15.47</v>
      </c>
      <c r="J446" s="37">
        <v>48</v>
      </c>
      <c r="K446" s="37" t="s">
        <v>127</v>
      </c>
      <c r="L446" s="37" t="s">
        <v>46</v>
      </c>
      <c r="M446" s="38" t="s">
        <v>126</v>
      </c>
      <c r="N446" s="38"/>
      <c r="O446" s="37">
        <v>50</v>
      </c>
      <c r="P446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73"/>
      <c r="R446" s="673"/>
      <c r="S446" s="673"/>
      <c r="T446" s="674"/>
      <c r="U446" s="39" t="s">
        <v>46</v>
      </c>
      <c r="V446" s="39" t="s">
        <v>46</v>
      </c>
      <c r="W446" s="40" t="s">
        <v>0</v>
      </c>
      <c r="X446" s="58">
        <v>400</v>
      </c>
      <c r="Y446" s="55">
        <f>IFERROR(IF(X446="",0,CEILING((X446/$H446),1)*$H446),"")</f>
        <v>405</v>
      </c>
      <c r="Z446" s="41">
        <f>IFERROR(IF(Y446=0,"",ROUNDUP(Y446/H446,0)*0.02175),"")</f>
        <v>0.58724999999999994</v>
      </c>
      <c r="AA446" s="68" t="s">
        <v>46</v>
      </c>
      <c r="AB446" s="69" t="s">
        <v>46</v>
      </c>
      <c r="AC446" s="556" t="s">
        <v>741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412.53333333333336</v>
      </c>
      <c r="BN446" s="78">
        <f>IFERROR(Y446*I446/H446,"0")</f>
        <v>417.69</v>
      </c>
      <c r="BO446" s="78">
        <f>IFERROR(1/J446*(X446/H446),"0")</f>
        <v>0.55555555555555558</v>
      </c>
      <c r="BP446" s="78">
        <f>IFERROR(1/J446*(Y446/H446),"0")</f>
        <v>0.5625</v>
      </c>
    </row>
    <row r="447" spans="1:68" ht="27" hidden="1" customHeight="1" x14ac:dyDescent="0.25">
      <c r="A447" s="63" t="s">
        <v>742</v>
      </c>
      <c r="B447" s="63" t="s">
        <v>743</v>
      </c>
      <c r="C447" s="36">
        <v>4301020355</v>
      </c>
      <c r="D447" s="671">
        <v>4680115888425</v>
      </c>
      <c r="E447" s="671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2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73"/>
      <c r="R447" s="673"/>
      <c r="S447" s="673"/>
      <c r="T447" s="67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4301020179</v>
      </c>
      <c r="D448" s="671">
        <v>4607091384178</v>
      </c>
      <c r="E448" s="671"/>
      <c r="F448" s="62">
        <v>0.4</v>
      </c>
      <c r="G448" s="37">
        <v>10</v>
      </c>
      <c r="H448" s="62">
        <v>4</v>
      </c>
      <c r="I448" s="62">
        <v>4.1900000000000004</v>
      </c>
      <c r="J448" s="37">
        <v>132</v>
      </c>
      <c r="K448" s="37" t="s">
        <v>134</v>
      </c>
      <c r="L448" s="37" t="s">
        <v>46</v>
      </c>
      <c r="M448" s="38" t="s">
        <v>126</v>
      </c>
      <c r="N448" s="38"/>
      <c r="O448" s="37">
        <v>50</v>
      </c>
      <c r="P448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73"/>
      <c r="R448" s="673"/>
      <c r="S448" s="673"/>
      <c r="T448" s="67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667"/>
      <c r="B449" s="667"/>
      <c r="C449" s="667"/>
      <c r="D449" s="667"/>
      <c r="E449" s="667"/>
      <c r="F449" s="667"/>
      <c r="G449" s="667"/>
      <c r="H449" s="667"/>
      <c r="I449" s="667"/>
      <c r="J449" s="667"/>
      <c r="K449" s="667"/>
      <c r="L449" s="667"/>
      <c r="M449" s="667"/>
      <c r="N449" s="667"/>
      <c r="O449" s="668"/>
      <c r="P449" s="664" t="s">
        <v>40</v>
      </c>
      <c r="Q449" s="665"/>
      <c r="R449" s="665"/>
      <c r="S449" s="665"/>
      <c r="T449" s="665"/>
      <c r="U449" s="665"/>
      <c r="V449" s="666"/>
      <c r="W449" s="42" t="s">
        <v>39</v>
      </c>
      <c r="X449" s="43">
        <f>IFERROR(X446/H446,"0")+IFERROR(X447/H447,"0")+IFERROR(X448/H448,"0")</f>
        <v>26.666666666666668</v>
      </c>
      <c r="Y449" s="43">
        <f>IFERROR(Y446/H446,"0")+IFERROR(Y447/H447,"0")+IFERROR(Y448/H448,"0")</f>
        <v>27</v>
      </c>
      <c r="Z449" s="43">
        <f>IFERROR(IF(Z446="",0,Z446),"0")+IFERROR(IF(Z447="",0,Z447),"0")+IFERROR(IF(Z448="",0,Z448),"0")</f>
        <v>0.58724999999999994</v>
      </c>
      <c r="AA449" s="67"/>
      <c r="AB449" s="67"/>
      <c r="AC449" s="67"/>
    </row>
    <row r="450" spans="1:68" x14ac:dyDescent="0.2">
      <c r="A450" s="667"/>
      <c r="B450" s="667"/>
      <c r="C450" s="667"/>
      <c r="D450" s="667"/>
      <c r="E450" s="667"/>
      <c r="F450" s="667"/>
      <c r="G450" s="667"/>
      <c r="H450" s="667"/>
      <c r="I450" s="667"/>
      <c r="J450" s="667"/>
      <c r="K450" s="667"/>
      <c r="L450" s="667"/>
      <c r="M450" s="667"/>
      <c r="N450" s="667"/>
      <c r="O450" s="668"/>
      <c r="P450" s="664" t="s">
        <v>40</v>
      </c>
      <c r="Q450" s="665"/>
      <c r="R450" s="665"/>
      <c r="S450" s="665"/>
      <c r="T450" s="665"/>
      <c r="U450" s="665"/>
      <c r="V450" s="666"/>
      <c r="W450" s="42" t="s">
        <v>0</v>
      </c>
      <c r="X450" s="43">
        <f>IFERROR(SUM(X446:X448),"0")</f>
        <v>400</v>
      </c>
      <c r="Y450" s="43">
        <f>IFERROR(SUM(Y446:Y448),"0")</f>
        <v>405</v>
      </c>
      <c r="Z450" s="42"/>
      <c r="AA450" s="67"/>
      <c r="AB450" s="67"/>
      <c r="AC450" s="67"/>
    </row>
    <row r="451" spans="1:68" ht="14.25" hidden="1" customHeight="1" x14ac:dyDescent="0.25">
      <c r="A451" s="670" t="s">
        <v>86</v>
      </c>
      <c r="B451" s="670"/>
      <c r="C451" s="670"/>
      <c r="D451" s="670"/>
      <c r="E451" s="670"/>
      <c r="F451" s="670"/>
      <c r="G451" s="670"/>
      <c r="H451" s="670"/>
      <c r="I451" s="670"/>
      <c r="J451" s="670"/>
      <c r="K451" s="670"/>
      <c r="L451" s="670"/>
      <c r="M451" s="670"/>
      <c r="N451" s="670"/>
      <c r="O451" s="670"/>
      <c r="P451" s="670"/>
      <c r="Q451" s="670"/>
      <c r="R451" s="670"/>
      <c r="S451" s="670"/>
      <c r="T451" s="670"/>
      <c r="U451" s="670"/>
      <c r="V451" s="670"/>
      <c r="W451" s="670"/>
      <c r="X451" s="670"/>
      <c r="Y451" s="670"/>
      <c r="Z451" s="670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4301051903</v>
      </c>
      <c r="D452" s="671">
        <v>4607091383928</v>
      </c>
      <c r="E452" s="671"/>
      <c r="F452" s="62">
        <v>1.5</v>
      </c>
      <c r="G452" s="37">
        <v>6</v>
      </c>
      <c r="H452" s="62">
        <v>9</v>
      </c>
      <c r="I452" s="62">
        <v>9.5</v>
      </c>
      <c r="J452" s="37">
        <v>64</v>
      </c>
      <c r="K452" s="37" t="s">
        <v>127</v>
      </c>
      <c r="L452" s="37" t="s">
        <v>46</v>
      </c>
      <c r="M452" s="38" t="s">
        <v>90</v>
      </c>
      <c r="N452" s="38"/>
      <c r="O452" s="37">
        <v>40</v>
      </c>
      <c r="P452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73"/>
      <c r="R452" s="673"/>
      <c r="S452" s="673"/>
      <c r="T452" s="67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62" t="s">
        <v>750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751</v>
      </c>
      <c r="B453" s="63" t="s">
        <v>752</v>
      </c>
      <c r="C453" s="36">
        <v>4301051897</v>
      </c>
      <c r="D453" s="671">
        <v>4607091384260</v>
      </c>
      <c r="E453" s="67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73"/>
      <c r="R453" s="673"/>
      <c r="S453" s="673"/>
      <c r="T453" s="67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4301052220</v>
      </c>
      <c r="D454" s="671">
        <v>4680115889538</v>
      </c>
      <c r="E454" s="671"/>
      <c r="F454" s="62">
        <v>0.8</v>
      </c>
      <c r="G454" s="37">
        <v>6</v>
      </c>
      <c r="H454" s="62">
        <v>4.8</v>
      </c>
      <c r="I454" s="62">
        <v>5.2160000000000002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45</v>
      </c>
      <c r="P454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73"/>
      <c r="R454" s="673"/>
      <c r="S454" s="673"/>
      <c r="T454" s="67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67"/>
      <c r="B455" s="667"/>
      <c r="C455" s="667"/>
      <c r="D455" s="667"/>
      <c r="E455" s="667"/>
      <c r="F455" s="667"/>
      <c r="G455" s="667"/>
      <c r="H455" s="667"/>
      <c r="I455" s="667"/>
      <c r="J455" s="667"/>
      <c r="K455" s="667"/>
      <c r="L455" s="667"/>
      <c r="M455" s="667"/>
      <c r="N455" s="667"/>
      <c r="O455" s="668"/>
      <c r="P455" s="664" t="s">
        <v>40</v>
      </c>
      <c r="Q455" s="665"/>
      <c r="R455" s="665"/>
      <c r="S455" s="665"/>
      <c r="T455" s="665"/>
      <c r="U455" s="665"/>
      <c r="V455" s="666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667"/>
      <c r="B456" s="667"/>
      <c r="C456" s="667"/>
      <c r="D456" s="667"/>
      <c r="E456" s="667"/>
      <c r="F456" s="667"/>
      <c r="G456" s="667"/>
      <c r="H456" s="667"/>
      <c r="I456" s="667"/>
      <c r="J456" s="667"/>
      <c r="K456" s="667"/>
      <c r="L456" s="667"/>
      <c r="M456" s="667"/>
      <c r="N456" s="667"/>
      <c r="O456" s="668"/>
      <c r="P456" s="664" t="s">
        <v>40</v>
      </c>
      <c r="Q456" s="665"/>
      <c r="R456" s="665"/>
      <c r="S456" s="665"/>
      <c r="T456" s="665"/>
      <c r="U456" s="665"/>
      <c r="V456" s="666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70" t="s">
        <v>173</v>
      </c>
      <c r="B457" s="670"/>
      <c r="C457" s="670"/>
      <c r="D457" s="670"/>
      <c r="E457" s="670"/>
      <c r="F457" s="670"/>
      <c r="G457" s="670"/>
      <c r="H457" s="670"/>
      <c r="I457" s="670"/>
      <c r="J457" s="670"/>
      <c r="K457" s="670"/>
      <c r="L457" s="670"/>
      <c r="M457" s="670"/>
      <c r="N457" s="670"/>
      <c r="O457" s="670"/>
      <c r="P457" s="670"/>
      <c r="Q457" s="670"/>
      <c r="R457" s="670"/>
      <c r="S457" s="670"/>
      <c r="T457" s="670"/>
      <c r="U457" s="670"/>
      <c r="V457" s="670"/>
      <c r="W457" s="670"/>
      <c r="X457" s="670"/>
      <c r="Y457" s="670"/>
      <c r="Z457" s="670"/>
      <c r="AA457" s="66"/>
      <c r="AB457" s="66"/>
      <c r="AC457" s="80"/>
    </row>
    <row r="458" spans="1:68" ht="27" hidden="1" customHeight="1" x14ac:dyDescent="0.25">
      <c r="A458" s="63" t="s">
        <v>757</v>
      </c>
      <c r="B458" s="63" t="s">
        <v>758</v>
      </c>
      <c r="C458" s="36">
        <v>4301060537</v>
      </c>
      <c r="D458" s="671">
        <v>4680115889545</v>
      </c>
      <c r="E458" s="671"/>
      <c r="F458" s="62">
        <v>0.7</v>
      </c>
      <c r="G458" s="37">
        <v>6</v>
      </c>
      <c r="H458" s="62">
        <v>4.2</v>
      </c>
      <c r="I458" s="62">
        <v>4.6159999999999997</v>
      </c>
      <c r="J458" s="37">
        <v>104</v>
      </c>
      <c r="K458" s="37" t="s">
        <v>127</v>
      </c>
      <c r="L458" s="37" t="s">
        <v>46</v>
      </c>
      <c r="M458" s="38" t="s">
        <v>90</v>
      </c>
      <c r="N458" s="38"/>
      <c r="O458" s="37">
        <v>30</v>
      </c>
      <c r="P458" s="72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73"/>
      <c r="R458" s="673"/>
      <c r="S458" s="673"/>
      <c r="T458" s="674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68" t="s">
        <v>759</v>
      </c>
      <c r="AG458" s="78"/>
      <c r="AJ458" s="84" t="s">
        <v>46</v>
      </c>
      <c r="AK458" s="84">
        <v>0</v>
      </c>
      <c r="BB458" s="56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760</v>
      </c>
      <c r="B459" s="63" t="s">
        <v>761</v>
      </c>
      <c r="C459" s="36">
        <v>4301060524</v>
      </c>
      <c r="D459" s="671">
        <v>4607091384673</v>
      </c>
      <c r="E459" s="671"/>
      <c r="F459" s="62">
        <v>1.5</v>
      </c>
      <c r="G459" s="37">
        <v>6</v>
      </c>
      <c r="H459" s="62">
        <v>9</v>
      </c>
      <c r="I459" s="62">
        <v>9.4939999999999998</v>
      </c>
      <c r="J459" s="37">
        <v>64</v>
      </c>
      <c r="K459" s="37" t="s">
        <v>127</v>
      </c>
      <c r="L459" s="37" t="s">
        <v>46</v>
      </c>
      <c r="M459" s="38" t="s">
        <v>90</v>
      </c>
      <c r="N459" s="38"/>
      <c r="O459" s="37">
        <v>40</v>
      </c>
      <c r="P459" s="72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73"/>
      <c r="R459" s="673"/>
      <c r="S459" s="673"/>
      <c r="T459" s="67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7"/>
      <c r="B460" s="667"/>
      <c r="C460" s="667"/>
      <c r="D460" s="667"/>
      <c r="E460" s="667"/>
      <c r="F460" s="667"/>
      <c r="G460" s="667"/>
      <c r="H460" s="667"/>
      <c r="I460" s="667"/>
      <c r="J460" s="667"/>
      <c r="K460" s="667"/>
      <c r="L460" s="667"/>
      <c r="M460" s="667"/>
      <c r="N460" s="667"/>
      <c r="O460" s="668"/>
      <c r="P460" s="664" t="s">
        <v>40</v>
      </c>
      <c r="Q460" s="665"/>
      <c r="R460" s="665"/>
      <c r="S460" s="665"/>
      <c r="T460" s="665"/>
      <c r="U460" s="665"/>
      <c r="V460" s="666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7"/>
      <c r="B461" s="667"/>
      <c r="C461" s="667"/>
      <c r="D461" s="667"/>
      <c r="E461" s="667"/>
      <c r="F461" s="667"/>
      <c r="G461" s="667"/>
      <c r="H461" s="667"/>
      <c r="I461" s="667"/>
      <c r="J461" s="667"/>
      <c r="K461" s="667"/>
      <c r="L461" s="667"/>
      <c r="M461" s="667"/>
      <c r="N461" s="667"/>
      <c r="O461" s="668"/>
      <c r="P461" s="664" t="s">
        <v>40</v>
      </c>
      <c r="Q461" s="665"/>
      <c r="R461" s="665"/>
      <c r="S461" s="665"/>
      <c r="T461" s="665"/>
      <c r="U461" s="665"/>
      <c r="V461" s="666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6.5" hidden="1" customHeight="1" x14ac:dyDescent="0.25">
      <c r="A462" s="669" t="s">
        <v>763</v>
      </c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69"/>
      <c r="P462" s="669"/>
      <c r="Q462" s="669"/>
      <c r="R462" s="669"/>
      <c r="S462" s="669"/>
      <c r="T462" s="669"/>
      <c r="U462" s="669"/>
      <c r="V462" s="669"/>
      <c r="W462" s="669"/>
      <c r="X462" s="669"/>
      <c r="Y462" s="669"/>
      <c r="Z462" s="669"/>
      <c r="AA462" s="65"/>
      <c r="AB462" s="65"/>
      <c r="AC462" s="79"/>
    </row>
    <row r="463" spans="1:68" ht="14.25" hidden="1" customHeight="1" x14ac:dyDescent="0.25">
      <c r="A463" s="670" t="s">
        <v>122</v>
      </c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  <c r="AA463" s="66"/>
      <c r="AB463" s="66"/>
      <c r="AC463" s="80"/>
    </row>
    <row r="464" spans="1:68" ht="27" hidden="1" customHeight="1" x14ac:dyDescent="0.25">
      <c r="A464" s="63" t="s">
        <v>764</v>
      </c>
      <c r="B464" s="63" t="s">
        <v>765</v>
      </c>
      <c r="C464" s="36">
        <v>4301011875</v>
      </c>
      <c r="D464" s="671">
        <v>4680115884885</v>
      </c>
      <c r="E464" s="671"/>
      <c r="F464" s="62">
        <v>0.8</v>
      </c>
      <c r="G464" s="37">
        <v>15</v>
      </c>
      <c r="H464" s="62">
        <v>12</v>
      </c>
      <c r="I464" s="62">
        <v>12.41</v>
      </c>
      <c r="J464" s="37">
        <v>64</v>
      </c>
      <c r="K464" s="37" t="s">
        <v>127</v>
      </c>
      <c r="L464" s="37" t="s">
        <v>46</v>
      </c>
      <c r="M464" s="38" t="s">
        <v>81</v>
      </c>
      <c r="N464" s="38"/>
      <c r="O464" s="37">
        <v>60</v>
      </c>
      <c r="P464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73"/>
      <c r="R464" s="673"/>
      <c r="S464" s="673"/>
      <c r="T464" s="67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72" t="s">
        <v>766</v>
      </c>
      <c r="AG464" s="78"/>
      <c r="AJ464" s="84" t="s">
        <v>46</v>
      </c>
      <c r="AK464" s="84">
        <v>0</v>
      </c>
      <c r="BB464" s="573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37.5" hidden="1" customHeight="1" x14ac:dyDescent="0.25">
      <c r="A465" s="63" t="s">
        <v>767</v>
      </c>
      <c r="B465" s="63" t="s">
        <v>768</v>
      </c>
      <c r="C465" s="36">
        <v>4301011871</v>
      </c>
      <c r="D465" s="671">
        <v>4680115884908</v>
      </c>
      <c r="E465" s="671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60</v>
      </c>
      <c r="P465" s="7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73"/>
      <c r="R465" s="673"/>
      <c r="S465" s="673"/>
      <c r="T465" s="67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74" t="s">
        <v>766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67"/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8"/>
      <c r="P466" s="664" t="s">
        <v>40</v>
      </c>
      <c r="Q466" s="665"/>
      <c r="R466" s="665"/>
      <c r="S466" s="665"/>
      <c r="T466" s="665"/>
      <c r="U466" s="665"/>
      <c r="V466" s="666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hidden="1" x14ac:dyDescent="0.2">
      <c r="A467" s="667"/>
      <c r="B467" s="667"/>
      <c r="C467" s="667"/>
      <c r="D467" s="667"/>
      <c r="E467" s="667"/>
      <c r="F467" s="667"/>
      <c r="G467" s="667"/>
      <c r="H467" s="667"/>
      <c r="I467" s="667"/>
      <c r="J467" s="667"/>
      <c r="K467" s="667"/>
      <c r="L467" s="667"/>
      <c r="M467" s="667"/>
      <c r="N467" s="667"/>
      <c r="O467" s="668"/>
      <c r="P467" s="664" t="s">
        <v>40</v>
      </c>
      <c r="Q467" s="665"/>
      <c r="R467" s="665"/>
      <c r="S467" s="665"/>
      <c r="T467" s="665"/>
      <c r="U467" s="665"/>
      <c r="V467" s="666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70" t="s">
        <v>77</v>
      </c>
      <c r="B468" s="670"/>
      <c r="C468" s="670"/>
      <c r="D468" s="670"/>
      <c r="E468" s="670"/>
      <c r="F468" s="670"/>
      <c r="G468" s="670"/>
      <c r="H468" s="670"/>
      <c r="I468" s="670"/>
      <c r="J468" s="670"/>
      <c r="K468" s="670"/>
      <c r="L468" s="670"/>
      <c r="M468" s="670"/>
      <c r="N468" s="670"/>
      <c r="O468" s="670"/>
      <c r="P468" s="670"/>
      <c r="Q468" s="670"/>
      <c r="R468" s="670"/>
      <c r="S468" s="670"/>
      <c r="T468" s="670"/>
      <c r="U468" s="670"/>
      <c r="V468" s="670"/>
      <c r="W468" s="670"/>
      <c r="X468" s="670"/>
      <c r="Y468" s="670"/>
      <c r="Z468" s="670"/>
      <c r="AA468" s="66"/>
      <c r="AB468" s="66"/>
      <c r="AC468" s="80"/>
    </row>
    <row r="469" spans="1:68" ht="27" hidden="1" customHeight="1" x14ac:dyDescent="0.25">
      <c r="A469" s="63" t="s">
        <v>769</v>
      </c>
      <c r="B469" s="63" t="s">
        <v>770</v>
      </c>
      <c r="C469" s="36">
        <v>4301031457</v>
      </c>
      <c r="D469" s="671">
        <v>4607091384802</v>
      </c>
      <c r="E469" s="671"/>
      <c r="F469" s="62">
        <v>0.7</v>
      </c>
      <c r="G469" s="37">
        <v>6</v>
      </c>
      <c r="H469" s="62">
        <v>4.2</v>
      </c>
      <c r="I469" s="62">
        <v>4.45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50</v>
      </c>
      <c r="P469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73"/>
      <c r="R469" s="673"/>
      <c r="S469" s="673"/>
      <c r="T469" s="67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76" t="s">
        <v>771</v>
      </c>
      <c r="AG469" s="78"/>
      <c r="AJ469" s="84" t="s">
        <v>46</v>
      </c>
      <c r="AK469" s="84">
        <v>0</v>
      </c>
      <c r="BB469" s="577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7"/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8"/>
      <c r="P470" s="664" t="s">
        <v>40</v>
      </c>
      <c r="Q470" s="665"/>
      <c r="R470" s="665"/>
      <c r="S470" s="665"/>
      <c r="T470" s="665"/>
      <c r="U470" s="665"/>
      <c r="V470" s="666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hidden="1" x14ac:dyDescent="0.2">
      <c r="A471" s="667"/>
      <c r="B471" s="667"/>
      <c r="C471" s="667"/>
      <c r="D471" s="667"/>
      <c r="E471" s="667"/>
      <c r="F471" s="667"/>
      <c r="G471" s="667"/>
      <c r="H471" s="667"/>
      <c r="I471" s="667"/>
      <c r="J471" s="667"/>
      <c r="K471" s="667"/>
      <c r="L471" s="667"/>
      <c r="M471" s="667"/>
      <c r="N471" s="667"/>
      <c r="O471" s="668"/>
      <c r="P471" s="664" t="s">
        <v>40</v>
      </c>
      <c r="Q471" s="665"/>
      <c r="R471" s="665"/>
      <c r="S471" s="665"/>
      <c r="T471" s="665"/>
      <c r="U471" s="665"/>
      <c r="V471" s="666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70" t="s">
        <v>86</v>
      </c>
      <c r="B472" s="670"/>
      <c r="C472" s="670"/>
      <c r="D472" s="670"/>
      <c r="E472" s="670"/>
      <c r="F472" s="670"/>
      <c r="G472" s="670"/>
      <c r="H472" s="670"/>
      <c r="I472" s="670"/>
      <c r="J472" s="670"/>
      <c r="K472" s="670"/>
      <c r="L472" s="670"/>
      <c r="M472" s="670"/>
      <c r="N472" s="670"/>
      <c r="O472" s="670"/>
      <c r="P472" s="670"/>
      <c r="Q472" s="670"/>
      <c r="R472" s="670"/>
      <c r="S472" s="670"/>
      <c r="T472" s="670"/>
      <c r="U472" s="670"/>
      <c r="V472" s="670"/>
      <c r="W472" s="670"/>
      <c r="X472" s="670"/>
      <c r="Y472" s="670"/>
      <c r="Z472" s="670"/>
      <c r="AA472" s="66"/>
      <c r="AB472" s="66"/>
      <c r="AC472" s="80"/>
    </row>
    <row r="473" spans="1:68" ht="27" hidden="1" customHeight="1" x14ac:dyDescent="0.25">
      <c r="A473" s="63" t="s">
        <v>772</v>
      </c>
      <c r="B473" s="63" t="s">
        <v>773</v>
      </c>
      <c r="C473" s="36">
        <v>4301051899</v>
      </c>
      <c r="D473" s="671">
        <v>4607091384246</v>
      </c>
      <c r="E473" s="671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127</v>
      </c>
      <c r="L473" s="37" t="s">
        <v>46</v>
      </c>
      <c r="M473" s="38" t="s">
        <v>90</v>
      </c>
      <c r="N473" s="38"/>
      <c r="O473" s="37">
        <v>40</v>
      </c>
      <c r="P473" s="7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73"/>
      <c r="R473" s="673"/>
      <c r="S473" s="673"/>
      <c r="T473" s="674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46</v>
      </c>
      <c r="AB473" s="69" t="s">
        <v>46</v>
      </c>
      <c r="AC473" s="578" t="s">
        <v>774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4301051660</v>
      </c>
      <c r="D474" s="671">
        <v>4607091384253</v>
      </c>
      <c r="E474" s="671"/>
      <c r="F474" s="62">
        <v>0.4</v>
      </c>
      <c r="G474" s="37">
        <v>6</v>
      </c>
      <c r="H474" s="62">
        <v>2.4</v>
      </c>
      <c r="I474" s="62">
        <v>2.6640000000000001</v>
      </c>
      <c r="J474" s="37">
        <v>182</v>
      </c>
      <c r="K474" s="37" t="s">
        <v>91</v>
      </c>
      <c r="L474" s="37" t="s">
        <v>46</v>
      </c>
      <c r="M474" s="38" t="s">
        <v>90</v>
      </c>
      <c r="N474" s="38"/>
      <c r="O474" s="37">
        <v>40</v>
      </c>
      <c r="P474" s="7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73"/>
      <c r="R474" s="673"/>
      <c r="S474" s="673"/>
      <c r="T474" s="67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80" t="s">
        <v>774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775</v>
      </c>
      <c r="B475" s="63" t="s">
        <v>777</v>
      </c>
      <c r="C475" s="36">
        <v>4301052069</v>
      </c>
      <c r="D475" s="671">
        <v>4607091384253</v>
      </c>
      <c r="E475" s="671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73"/>
      <c r="R475" s="673"/>
      <c r="S475" s="673"/>
      <c r="T475" s="674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778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67"/>
      <c r="B476" s="667"/>
      <c r="C476" s="667"/>
      <c r="D476" s="667"/>
      <c r="E476" s="667"/>
      <c r="F476" s="667"/>
      <c r="G476" s="667"/>
      <c r="H476" s="667"/>
      <c r="I476" s="667"/>
      <c r="J476" s="667"/>
      <c r="K476" s="667"/>
      <c r="L476" s="667"/>
      <c r="M476" s="667"/>
      <c r="N476" s="667"/>
      <c r="O476" s="668"/>
      <c r="P476" s="664" t="s">
        <v>40</v>
      </c>
      <c r="Q476" s="665"/>
      <c r="R476" s="665"/>
      <c r="S476" s="665"/>
      <c r="T476" s="665"/>
      <c r="U476" s="665"/>
      <c r="V476" s="666"/>
      <c r="W476" s="42" t="s">
        <v>39</v>
      </c>
      <c r="X476" s="43">
        <f>IFERROR(X473/H473,"0")+IFERROR(X474/H474,"0")+IFERROR(X475/H475,"0")</f>
        <v>0</v>
      </c>
      <c r="Y476" s="43">
        <f>IFERROR(Y473/H473,"0")+IFERROR(Y474/H474,"0")+IFERROR(Y475/H475,"0")</f>
        <v>0</v>
      </c>
      <c r="Z476" s="43">
        <f>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667"/>
      <c r="B477" s="667"/>
      <c r="C477" s="667"/>
      <c r="D477" s="667"/>
      <c r="E477" s="667"/>
      <c r="F477" s="667"/>
      <c r="G477" s="667"/>
      <c r="H477" s="667"/>
      <c r="I477" s="667"/>
      <c r="J477" s="667"/>
      <c r="K477" s="667"/>
      <c r="L477" s="667"/>
      <c r="M477" s="667"/>
      <c r="N477" s="667"/>
      <c r="O477" s="668"/>
      <c r="P477" s="664" t="s">
        <v>40</v>
      </c>
      <c r="Q477" s="665"/>
      <c r="R477" s="665"/>
      <c r="S477" s="665"/>
      <c r="T477" s="665"/>
      <c r="U477" s="665"/>
      <c r="V477" s="666"/>
      <c r="W477" s="42" t="s">
        <v>0</v>
      </c>
      <c r="X477" s="43">
        <f>IFERROR(SUM(X473:X475),"0")</f>
        <v>0</v>
      </c>
      <c r="Y477" s="43">
        <f>IFERROR(SUM(Y473:Y475),"0")</f>
        <v>0</v>
      </c>
      <c r="Z477" s="42"/>
      <c r="AA477" s="67"/>
      <c r="AB477" s="67"/>
      <c r="AC477" s="67"/>
    </row>
    <row r="478" spans="1:68" ht="27.75" hidden="1" customHeight="1" x14ac:dyDescent="0.2">
      <c r="A478" s="684" t="s">
        <v>779</v>
      </c>
      <c r="B478" s="684"/>
      <c r="C478" s="684"/>
      <c r="D478" s="684"/>
      <c r="E478" s="684"/>
      <c r="F478" s="684"/>
      <c r="G478" s="684"/>
      <c r="H478" s="684"/>
      <c r="I478" s="684"/>
      <c r="J478" s="684"/>
      <c r="K478" s="684"/>
      <c r="L478" s="684"/>
      <c r="M478" s="684"/>
      <c r="N478" s="684"/>
      <c r="O478" s="684"/>
      <c r="P478" s="684"/>
      <c r="Q478" s="684"/>
      <c r="R478" s="684"/>
      <c r="S478" s="684"/>
      <c r="T478" s="684"/>
      <c r="U478" s="684"/>
      <c r="V478" s="684"/>
      <c r="W478" s="684"/>
      <c r="X478" s="684"/>
      <c r="Y478" s="684"/>
      <c r="Z478" s="684"/>
      <c r="AA478" s="54"/>
      <c r="AB478" s="54"/>
      <c r="AC478" s="54"/>
    </row>
    <row r="479" spans="1:68" ht="16.5" hidden="1" customHeight="1" x14ac:dyDescent="0.25">
      <c r="A479" s="669" t="s">
        <v>780</v>
      </c>
      <c r="B479" s="669"/>
      <c r="C479" s="669"/>
      <c r="D479" s="669"/>
      <c r="E479" s="669"/>
      <c r="F479" s="669"/>
      <c r="G479" s="669"/>
      <c r="H479" s="669"/>
      <c r="I479" s="669"/>
      <c r="J479" s="669"/>
      <c r="K479" s="669"/>
      <c r="L479" s="669"/>
      <c r="M479" s="669"/>
      <c r="N479" s="669"/>
      <c r="O479" s="669"/>
      <c r="P479" s="669"/>
      <c r="Q479" s="669"/>
      <c r="R479" s="669"/>
      <c r="S479" s="669"/>
      <c r="T479" s="669"/>
      <c r="U479" s="669"/>
      <c r="V479" s="669"/>
      <c r="W479" s="669"/>
      <c r="X479" s="669"/>
      <c r="Y479" s="669"/>
      <c r="Z479" s="669"/>
      <c r="AA479" s="65"/>
      <c r="AB479" s="65"/>
      <c r="AC479" s="79"/>
    </row>
    <row r="480" spans="1:68" ht="14.25" hidden="1" customHeight="1" x14ac:dyDescent="0.25">
      <c r="A480" s="670" t="s">
        <v>77</v>
      </c>
      <c r="B480" s="670"/>
      <c r="C480" s="670"/>
      <c r="D480" s="670"/>
      <c r="E480" s="670"/>
      <c r="F480" s="670"/>
      <c r="G480" s="670"/>
      <c r="H480" s="670"/>
      <c r="I480" s="670"/>
      <c r="J480" s="670"/>
      <c r="K480" s="670"/>
      <c r="L480" s="670"/>
      <c r="M480" s="670"/>
      <c r="N480" s="670"/>
      <c r="O480" s="670"/>
      <c r="P480" s="670"/>
      <c r="Q480" s="670"/>
      <c r="R480" s="670"/>
      <c r="S480" s="670"/>
      <c r="T480" s="670"/>
      <c r="U480" s="670"/>
      <c r="V480" s="670"/>
      <c r="W480" s="670"/>
      <c r="X480" s="670"/>
      <c r="Y480" s="670"/>
      <c r="Z480" s="670"/>
      <c r="AA480" s="66"/>
      <c r="AB480" s="66"/>
      <c r="AC480" s="80"/>
    </row>
    <row r="481" spans="1:68" ht="27" hidden="1" customHeight="1" x14ac:dyDescent="0.25">
      <c r="A481" s="63" t="s">
        <v>781</v>
      </c>
      <c r="B481" s="63" t="s">
        <v>782</v>
      </c>
      <c r="C481" s="36">
        <v>4301031405</v>
      </c>
      <c r="D481" s="671">
        <v>4680115886100</v>
      </c>
      <c r="E481" s="671"/>
      <c r="F481" s="62">
        <v>0.9</v>
      </c>
      <c r="G481" s="37">
        <v>6</v>
      </c>
      <c r="H481" s="62">
        <v>5.4</v>
      </c>
      <c r="I481" s="62">
        <v>5.59</v>
      </c>
      <c r="J481" s="37">
        <v>132</v>
      </c>
      <c r="K481" s="37" t="s">
        <v>134</v>
      </c>
      <c r="L481" s="37" t="s">
        <v>46</v>
      </c>
      <c r="M481" s="38" t="s">
        <v>81</v>
      </c>
      <c r="N481" s="38"/>
      <c r="O481" s="37">
        <v>50</v>
      </c>
      <c r="P481" s="7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73"/>
      <c r="R481" s="673"/>
      <c r="S481" s="673"/>
      <c r="T481" s="67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ref="Y481:Y486" si="70"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67</v>
      </c>
      <c r="BM481" s="78">
        <f t="shared" ref="BM481:BM486" si="71">IFERROR(X481*I481/H481,"0")</f>
        <v>0</v>
      </c>
      <c r="BN481" s="78">
        <f t="shared" ref="BN481:BN486" si="72">IFERROR(Y481*I481/H481,"0")</f>
        <v>0</v>
      </c>
      <c r="BO481" s="78">
        <f t="shared" ref="BO481:BO486" si="73">IFERROR(1/J481*(X481/H481),"0")</f>
        <v>0</v>
      </c>
      <c r="BP481" s="78">
        <f t="shared" ref="BP481:BP486" si="74">IFERROR(1/J481*(Y481/H481),"0")</f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4301031402</v>
      </c>
      <c r="D482" s="671">
        <v>4680115886124</v>
      </c>
      <c r="E482" s="671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73"/>
      <c r="R482" s="673"/>
      <c r="S482" s="673"/>
      <c r="T482" s="67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0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4301031362</v>
      </c>
      <c r="D483" s="671">
        <v>4607091384338</v>
      </c>
      <c r="E483" s="671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73"/>
      <c r="R483" s="673"/>
      <c r="S483" s="673"/>
      <c r="T483" s="67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0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67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hidden="1" customHeight="1" x14ac:dyDescent="0.25">
      <c r="A484" s="63" t="s">
        <v>789</v>
      </c>
      <c r="B484" s="63" t="s">
        <v>790</v>
      </c>
      <c r="C484" s="36">
        <v>4301031364</v>
      </c>
      <c r="D484" s="671">
        <v>4680115883161</v>
      </c>
      <c r="E484" s="671"/>
      <c r="F484" s="62">
        <v>0.28000000000000003</v>
      </c>
      <c r="G484" s="37">
        <v>6</v>
      </c>
      <c r="H484" s="62">
        <v>1.68</v>
      </c>
      <c r="I484" s="62">
        <v>1.81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73"/>
      <c r="R484" s="673"/>
      <c r="S484" s="673"/>
      <c r="T484" s="67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0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791</v>
      </c>
      <c r="AG484" s="78"/>
      <c r="AJ484" s="84" t="s">
        <v>46</v>
      </c>
      <c r="AK484" s="84">
        <v>0</v>
      </c>
      <c r="BB484" s="591" t="s">
        <v>67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4301031358</v>
      </c>
      <c r="D485" s="671">
        <v>4607091389531</v>
      </c>
      <c r="E485" s="671"/>
      <c r="F485" s="62">
        <v>0.35</v>
      </c>
      <c r="G485" s="37">
        <v>6</v>
      </c>
      <c r="H485" s="62">
        <v>2.1</v>
      </c>
      <c r="I485" s="62">
        <v>2.23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73"/>
      <c r="R485" s="673"/>
      <c r="S485" s="673"/>
      <c r="T485" s="67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0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37.5" hidden="1" customHeight="1" x14ac:dyDescent="0.25">
      <c r="A486" s="63" t="s">
        <v>795</v>
      </c>
      <c r="B486" s="63" t="s">
        <v>796</v>
      </c>
      <c r="C486" s="36">
        <v>4301031360</v>
      </c>
      <c r="D486" s="671">
        <v>4607091384345</v>
      </c>
      <c r="E486" s="671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73"/>
      <c r="R486" s="673"/>
      <c r="S486" s="673"/>
      <c r="T486" s="67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0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791</v>
      </c>
      <c r="AG486" s="78"/>
      <c r="AJ486" s="84" t="s">
        <v>46</v>
      </c>
      <c r="AK486" s="84">
        <v>0</v>
      </c>
      <c r="BB486" s="595" t="s">
        <v>67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hidden="1" x14ac:dyDescent="0.2">
      <c r="A487" s="667"/>
      <c r="B487" s="667"/>
      <c r="C487" s="667"/>
      <c r="D487" s="667"/>
      <c r="E487" s="667"/>
      <c r="F487" s="667"/>
      <c r="G487" s="667"/>
      <c r="H487" s="667"/>
      <c r="I487" s="667"/>
      <c r="J487" s="667"/>
      <c r="K487" s="667"/>
      <c r="L487" s="667"/>
      <c r="M487" s="667"/>
      <c r="N487" s="667"/>
      <c r="O487" s="668"/>
      <c r="P487" s="664" t="s">
        <v>40</v>
      </c>
      <c r="Q487" s="665"/>
      <c r="R487" s="665"/>
      <c r="S487" s="665"/>
      <c r="T487" s="665"/>
      <c r="U487" s="665"/>
      <c r="V487" s="666"/>
      <c r="W487" s="42" t="s">
        <v>39</v>
      </c>
      <c r="X487" s="43">
        <f>IFERROR(X481/H481,"0")+IFERROR(X482/H482,"0")+IFERROR(X483/H483,"0")+IFERROR(X484/H484,"0")+IFERROR(X485/H485,"0")+IFERROR(X486/H486,"0")</f>
        <v>0</v>
      </c>
      <c r="Y487" s="43">
        <f>IFERROR(Y481/H481,"0")+IFERROR(Y482/H482,"0")+IFERROR(Y483/H483,"0")+IFERROR(Y484/H484,"0")+IFERROR(Y485/H485,"0")+IFERROR(Y486/H486,"0")</f>
        <v>0</v>
      </c>
      <c r="Z487" s="43">
        <f>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67"/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8"/>
      <c r="P488" s="664" t="s">
        <v>40</v>
      </c>
      <c r="Q488" s="665"/>
      <c r="R488" s="665"/>
      <c r="S488" s="665"/>
      <c r="T488" s="665"/>
      <c r="U488" s="665"/>
      <c r="V488" s="666"/>
      <c r="W488" s="42" t="s">
        <v>0</v>
      </c>
      <c r="X488" s="43">
        <f>IFERROR(SUM(X481:X486),"0")</f>
        <v>0</v>
      </c>
      <c r="Y488" s="43">
        <f>IFERROR(SUM(Y481:Y486),"0")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70" t="s">
        <v>86</v>
      </c>
      <c r="B489" s="670"/>
      <c r="C489" s="670"/>
      <c r="D489" s="670"/>
      <c r="E489" s="670"/>
      <c r="F489" s="670"/>
      <c r="G489" s="670"/>
      <c r="H489" s="670"/>
      <c r="I489" s="670"/>
      <c r="J489" s="670"/>
      <c r="K489" s="670"/>
      <c r="L489" s="670"/>
      <c r="M489" s="670"/>
      <c r="N489" s="670"/>
      <c r="O489" s="670"/>
      <c r="P489" s="670"/>
      <c r="Q489" s="670"/>
      <c r="R489" s="670"/>
      <c r="S489" s="670"/>
      <c r="T489" s="670"/>
      <c r="U489" s="670"/>
      <c r="V489" s="670"/>
      <c r="W489" s="670"/>
      <c r="X489" s="670"/>
      <c r="Y489" s="670"/>
      <c r="Z489" s="670"/>
      <c r="AA489" s="66"/>
      <c r="AB489" s="66"/>
      <c r="AC489" s="80"/>
    </row>
    <row r="490" spans="1:68" ht="27" hidden="1" customHeight="1" x14ac:dyDescent="0.25">
      <c r="A490" s="63" t="s">
        <v>797</v>
      </c>
      <c r="B490" s="63" t="s">
        <v>798</v>
      </c>
      <c r="C490" s="36">
        <v>4301051284</v>
      </c>
      <c r="D490" s="671">
        <v>4607091384352</v>
      </c>
      <c r="E490" s="671"/>
      <c r="F490" s="62">
        <v>0.6</v>
      </c>
      <c r="G490" s="37">
        <v>4</v>
      </c>
      <c r="H490" s="62">
        <v>2.4</v>
      </c>
      <c r="I490" s="62">
        <v>2.6259999999999999</v>
      </c>
      <c r="J490" s="37">
        <v>132</v>
      </c>
      <c r="K490" s="37" t="s">
        <v>134</v>
      </c>
      <c r="L490" s="37" t="s">
        <v>46</v>
      </c>
      <c r="M490" s="38" t="s">
        <v>90</v>
      </c>
      <c r="N490" s="38"/>
      <c r="O490" s="37">
        <v>45</v>
      </c>
      <c r="P490" s="70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73"/>
      <c r="R490" s="673"/>
      <c r="S490" s="673"/>
      <c r="T490" s="67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96" t="s">
        <v>799</v>
      </c>
      <c r="AG490" s="78"/>
      <c r="AJ490" s="84" t="s">
        <v>46</v>
      </c>
      <c r="AK490" s="84">
        <v>0</v>
      </c>
      <c r="BB490" s="597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800</v>
      </c>
      <c r="B491" s="63" t="s">
        <v>801</v>
      </c>
      <c r="C491" s="36">
        <v>4301051431</v>
      </c>
      <c r="D491" s="671">
        <v>4607091389654</v>
      </c>
      <c r="E491" s="671"/>
      <c r="F491" s="62">
        <v>0.33</v>
      </c>
      <c r="G491" s="37">
        <v>6</v>
      </c>
      <c r="H491" s="62">
        <v>1.98</v>
      </c>
      <c r="I491" s="62">
        <v>2.238</v>
      </c>
      <c r="J491" s="37">
        <v>182</v>
      </c>
      <c r="K491" s="37" t="s">
        <v>91</v>
      </c>
      <c r="L491" s="37" t="s">
        <v>46</v>
      </c>
      <c r="M491" s="38" t="s">
        <v>90</v>
      </c>
      <c r="N491" s="38"/>
      <c r="O491" s="37">
        <v>45</v>
      </c>
      <c r="P491" s="70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73"/>
      <c r="R491" s="673"/>
      <c r="S491" s="673"/>
      <c r="T491" s="67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67"/>
      <c r="B492" s="667"/>
      <c r="C492" s="667"/>
      <c r="D492" s="667"/>
      <c r="E492" s="667"/>
      <c r="F492" s="667"/>
      <c r="G492" s="667"/>
      <c r="H492" s="667"/>
      <c r="I492" s="667"/>
      <c r="J492" s="667"/>
      <c r="K492" s="667"/>
      <c r="L492" s="667"/>
      <c r="M492" s="667"/>
      <c r="N492" s="667"/>
      <c r="O492" s="668"/>
      <c r="P492" s="664" t="s">
        <v>40</v>
      </c>
      <c r="Q492" s="665"/>
      <c r="R492" s="665"/>
      <c r="S492" s="665"/>
      <c r="T492" s="665"/>
      <c r="U492" s="665"/>
      <c r="V492" s="666"/>
      <c r="W492" s="42" t="s">
        <v>39</v>
      </c>
      <c r="X492" s="43">
        <f>IFERROR(X490/H490,"0")+IFERROR(X491/H491,"0")</f>
        <v>0</v>
      </c>
      <c r="Y492" s="43">
        <f>IFERROR(Y490/H490,"0")+IFERROR(Y491/H491,"0")</f>
        <v>0</v>
      </c>
      <c r="Z492" s="43">
        <f>IFERROR(IF(Z490="",0,Z490),"0")+IFERROR(IF(Z491="",0,Z491),"0")</f>
        <v>0</v>
      </c>
      <c r="AA492" s="67"/>
      <c r="AB492" s="67"/>
      <c r="AC492" s="67"/>
    </row>
    <row r="493" spans="1:68" hidden="1" x14ac:dyDescent="0.2">
      <c r="A493" s="667"/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8"/>
      <c r="P493" s="664" t="s">
        <v>40</v>
      </c>
      <c r="Q493" s="665"/>
      <c r="R493" s="665"/>
      <c r="S493" s="665"/>
      <c r="T493" s="665"/>
      <c r="U493" s="665"/>
      <c r="V493" s="666"/>
      <c r="W493" s="42" t="s">
        <v>0</v>
      </c>
      <c r="X493" s="43">
        <f>IFERROR(SUM(X490:X491),"0")</f>
        <v>0</v>
      </c>
      <c r="Y493" s="43">
        <f>IFERROR(SUM(Y490:Y491),"0")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69" t="s">
        <v>803</v>
      </c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69"/>
      <c r="P494" s="669"/>
      <c r="Q494" s="669"/>
      <c r="R494" s="669"/>
      <c r="S494" s="669"/>
      <c r="T494" s="669"/>
      <c r="U494" s="669"/>
      <c r="V494" s="669"/>
      <c r="W494" s="669"/>
      <c r="X494" s="669"/>
      <c r="Y494" s="669"/>
      <c r="Z494" s="669"/>
      <c r="AA494" s="65"/>
      <c r="AB494" s="65"/>
      <c r="AC494" s="79"/>
    </row>
    <row r="495" spans="1:68" ht="14.25" hidden="1" customHeight="1" x14ac:dyDescent="0.25">
      <c r="A495" s="670" t="s">
        <v>155</v>
      </c>
      <c r="B495" s="670"/>
      <c r="C495" s="670"/>
      <c r="D495" s="670"/>
      <c r="E495" s="670"/>
      <c r="F495" s="670"/>
      <c r="G495" s="670"/>
      <c r="H495" s="670"/>
      <c r="I495" s="670"/>
      <c r="J495" s="670"/>
      <c r="K495" s="670"/>
      <c r="L495" s="670"/>
      <c r="M495" s="670"/>
      <c r="N495" s="670"/>
      <c r="O495" s="670"/>
      <c r="P495" s="670"/>
      <c r="Q495" s="670"/>
      <c r="R495" s="670"/>
      <c r="S495" s="670"/>
      <c r="T495" s="670"/>
      <c r="U495" s="670"/>
      <c r="V495" s="670"/>
      <c r="W495" s="670"/>
      <c r="X495" s="670"/>
      <c r="Y495" s="670"/>
      <c r="Z495" s="670"/>
      <c r="AA495" s="66"/>
      <c r="AB495" s="66"/>
      <c r="AC495" s="80"/>
    </row>
    <row r="496" spans="1:68" ht="27" hidden="1" customHeight="1" x14ac:dyDescent="0.25">
      <c r="A496" s="63" t="s">
        <v>804</v>
      </c>
      <c r="B496" s="63" t="s">
        <v>805</v>
      </c>
      <c r="C496" s="36">
        <v>4301020416</v>
      </c>
      <c r="D496" s="671">
        <v>4680115885240</v>
      </c>
      <c r="E496" s="671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91</v>
      </c>
      <c r="L496" s="37" t="s">
        <v>46</v>
      </c>
      <c r="M496" s="38" t="s">
        <v>81</v>
      </c>
      <c r="N496" s="38"/>
      <c r="O496" s="37">
        <v>40</v>
      </c>
      <c r="P496" s="7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73"/>
      <c r="R496" s="673"/>
      <c r="S496" s="673"/>
      <c r="T496" s="67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600" t="s">
        <v>806</v>
      </c>
      <c r="AG496" s="78"/>
      <c r="AJ496" s="84" t="s">
        <v>46</v>
      </c>
      <c r="AK496" s="84">
        <v>0</v>
      </c>
      <c r="BB496" s="601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7"/>
      <c r="B497" s="667"/>
      <c r="C497" s="667"/>
      <c r="D497" s="667"/>
      <c r="E497" s="667"/>
      <c r="F497" s="667"/>
      <c r="G497" s="667"/>
      <c r="H497" s="667"/>
      <c r="I497" s="667"/>
      <c r="J497" s="667"/>
      <c r="K497" s="667"/>
      <c r="L497" s="667"/>
      <c r="M497" s="667"/>
      <c r="N497" s="667"/>
      <c r="O497" s="668"/>
      <c r="P497" s="664" t="s">
        <v>40</v>
      </c>
      <c r="Q497" s="665"/>
      <c r="R497" s="665"/>
      <c r="S497" s="665"/>
      <c r="T497" s="665"/>
      <c r="U497" s="665"/>
      <c r="V497" s="666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67"/>
      <c r="B498" s="667"/>
      <c r="C498" s="667"/>
      <c r="D498" s="667"/>
      <c r="E498" s="667"/>
      <c r="F498" s="667"/>
      <c r="G498" s="667"/>
      <c r="H498" s="667"/>
      <c r="I498" s="667"/>
      <c r="J498" s="667"/>
      <c r="K498" s="667"/>
      <c r="L498" s="667"/>
      <c r="M498" s="667"/>
      <c r="N498" s="667"/>
      <c r="O498" s="668"/>
      <c r="P498" s="664" t="s">
        <v>40</v>
      </c>
      <c r="Q498" s="665"/>
      <c r="R498" s="665"/>
      <c r="S498" s="665"/>
      <c r="T498" s="665"/>
      <c r="U498" s="665"/>
      <c r="V498" s="666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70" t="s">
        <v>77</v>
      </c>
      <c r="B499" s="670"/>
      <c r="C499" s="670"/>
      <c r="D499" s="670"/>
      <c r="E499" s="670"/>
      <c r="F499" s="670"/>
      <c r="G499" s="670"/>
      <c r="H499" s="670"/>
      <c r="I499" s="670"/>
      <c r="J499" s="670"/>
      <c r="K499" s="670"/>
      <c r="L499" s="670"/>
      <c r="M499" s="670"/>
      <c r="N499" s="670"/>
      <c r="O499" s="670"/>
      <c r="P499" s="670"/>
      <c r="Q499" s="670"/>
      <c r="R499" s="670"/>
      <c r="S499" s="670"/>
      <c r="T499" s="670"/>
      <c r="U499" s="670"/>
      <c r="V499" s="670"/>
      <c r="W499" s="670"/>
      <c r="X499" s="670"/>
      <c r="Y499" s="670"/>
      <c r="Z499" s="670"/>
      <c r="AA499" s="66"/>
      <c r="AB499" s="66"/>
      <c r="AC499" s="80"/>
    </row>
    <row r="500" spans="1:68" ht="27" hidden="1" customHeight="1" x14ac:dyDescent="0.25">
      <c r="A500" s="63" t="s">
        <v>807</v>
      </c>
      <c r="B500" s="63" t="s">
        <v>808</v>
      </c>
      <c r="C500" s="36">
        <v>4301031407</v>
      </c>
      <c r="D500" s="671">
        <v>4680115886094</v>
      </c>
      <c r="E500" s="671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134</v>
      </c>
      <c r="L500" s="37" t="s">
        <v>46</v>
      </c>
      <c r="M500" s="38" t="s">
        <v>81</v>
      </c>
      <c r="N500" s="38"/>
      <c r="O500" s="37">
        <v>50</v>
      </c>
      <c r="P500" s="7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73"/>
      <c r="R500" s="673"/>
      <c r="S500" s="673"/>
      <c r="T500" s="67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602" t="s">
        <v>809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810</v>
      </c>
      <c r="B501" s="63" t="s">
        <v>811</v>
      </c>
      <c r="C501" s="36">
        <v>4301031373</v>
      </c>
      <c r="D501" s="671">
        <v>4680115880771</v>
      </c>
      <c r="E501" s="671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82</v>
      </c>
      <c r="L501" s="37" t="s">
        <v>46</v>
      </c>
      <c r="M501" s="38" t="s">
        <v>81</v>
      </c>
      <c r="N501" s="38"/>
      <c r="O501" s="37">
        <v>50</v>
      </c>
      <c r="P501" s="7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73"/>
      <c r="R501" s="673"/>
      <c r="S501" s="673"/>
      <c r="T501" s="674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4301031359</v>
      </c>
      <c r="D502" s="671">
        <v>4607091389500</v>
      </c>
      <c r="E502" s="671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73"/>
      <c r="R502" s="673"/>
      <c r="S502" s="673"/>
      <c r="T502" s="674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812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67"/>
      <c r="B503" s="667"/>
      <c r="C503" s="667"/>
      <c r="D503" s="667"/>
      <c r="E503" s="667"/>
      <c r="F503" s="667"/>
      <c r="G503" s="667"/>
      <c r="H503" s="667"/>
      <c r="I503" s="667"/>
      <c r="J503" s="667"/>
      <c r="K503" s="667"/>
      <c r="L503" s="667"/>
      <c r="M503" s="667"/>
      <c r="N503" s="667"/>
      <c r="O503" s="668"/>
      <c r="P503" s="664" t="s">
        <v>40</v>
      </c>
      <c r="Q503" s="665"/>
      <c r="R503" s="665"/>
      <c r="S503" s="665"/>
      <c r="T503" s="665"/>
      <c r="U503" s="665"/>
      <c r="V503" s="666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67"/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8"/>
      <c r="P504" s="664" t="s">
        <v>40</v>
      </c>
      <c r="Q504" s="665"/>
      <c r="R504" s="665"/>
      <c r="S504" s="665"/>
      <c r="T504" s="665"/>
      <c r="U504" s="665"/>
      <c r="V504" s="666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84" t="s">
        <v>815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69" t="s">
        <v>815</v>
      </c>
      <c r="B506" s="669"/>
      <c r="C506" s="669"/>
      <c r="D506" s="669"/>
      <c r="E506" s="669"/>
      <c r="F506" s="669"/>
      <c r="G506" s="669"/>
      <c r="H506" s="669"/>
      <c r="I506" s="669"/>
      <c r="J506" s="669"/>
      <c r="K506" s="669"/>
      <c r="L506" s="669"/>
      <c r="M506" s="669"/>
      <c r="N506" s="669"/>
      <c r="O506" s="669"/>
      <c r="P506" s="669"/>
      <c r="Q506" s="669"/>
      <c r="R506" s="669"/>
      <c r="S506" s="669"/>
      <c r="T506" s="669"/>
      <c r="U506" s="669"/>
      <c r="V506" s="669"/>
      <c r="W506" s="669"/>
      <c r="X506" s="669"/>
      <c r="Y506" s="669"/>
      <c r="Z506" s="669"/>
      <c r="AA506" s="65"/>
      <c r="AB506" s="65"/>
      <c r="AC506" s="79"/>
    </row>
    <row r="507" spans="1:68" ht="14.25" hidden="1" customHeight="1" x14ac:dyDescent="0.25">
      <c r="A507" s="670" t="s">
        <v>122</v>
      </c>
      <c r="B507" s="670"/>
      <c r="C507" s="670"/>
      <c r="D507" s="670"/>
      <c r="E507" s="670"/>
      <c r="F507" s="670"/>
      <c r="G507" s="670"/>
      <c r="H507" s="670"/>
      <c r="I507" s="670"/>
      <c r="J507" s="670"/>
      <c r="K507" s="670"/>
      <c r="L507" s="670"/>
      <c r="M507" s="670"/>
      <c r="N507" s="670"/>
      <c r="O507" s="670"/>
      <c r="P507" s="670"/>
      <c r="Q507" s="670"/>
      <c r="R507" s="670"/>
      <c r="S507" s="670"/>
      <c r="T507" s="670"/>
      <c r="U507" s="670"/>
      <c r="V507" s="670"/>
      <c r="W507" s="670"/>
      <c r="X507" s="670"/>
      <c r="Y507" s="670"/>
      <c r="Z507" s="670"/>
      <c r="AA507" s="66"/>
      <c r="AB507" s="66"/>
      <c r="AC507" s="80"/>
    </row>
    <row r="508" spans="1:68" ht="27" hidden="1" customHeight="1" x14ac:dyDescent="0.25">
      <c r="A508" s="63" t="s">
        <v>816</v>
      </c>
      <c r="B508" s="63" t="s">
        <v>817</v>
      </c>
      <c r="C508" s="36">
        <v>4301011769</v>
      </c>
      <c r="D508" s="671">
        <v>4607091389067</v>
      </c>
      <c r="E508" s="67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73"/>
      <c r="R508" s="673"/>
      <c r="S508" s="673"/>
      <c r="T508" s="67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6" si="75">IFERROR(IF(X508="",0,CEILING((X508/$H508),1)*$H508),"")</f>
        <v>0</v>
      </c>
      <c r="Z508" s="41" t="str">
        <f t="shared" ref="Z508:Z513" si="76">IFERROR(IF(Y508=0,"",ROUNDUP(Y508/H508,0)*0.01196),"")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ref="BM508:BM516" si="77">IFERROR(X508*I508/H508,"0")</f>
        <v>0</v>
      </c>
      <c r="BN508" s="78">
        <f t="shared" ref="BN508:BN516" si="78">IFERROR(Y508*I508/H508,"0")</f>
        <v>0</v>
      </c>
      <c r="BO508" s="78">
        <f t="shared" ref="BO508:BO516" si="79">IFERROR(1/J508*(X508/H508),"0")</f>
        <v>0</v>
      </c>
      <c r="BP508" s="78">
        <f t="shared" ref="BP508:BP516" si="80">IFERROR(1/J508*(Y508/H508),"0")</f>
        <v>0</v>
      </c>
    </row>
    <row r="509" spans="1:68" ht="16.5" hidden="1" customHeight="1" x14ac:dyDescent="0.25">
      <c r="A509" s="63" t="s">
        <v>818</v>
      </c>
      <c r="B509" s="63" t="s">
        <v>819</v>
      </c>
      <c r="C509" s="36">
        <v>4301012380</v>
      </c>
      <c r="D509" s="671">
        <v>4680115889576</v>
      </c>
      <c r="E509" s="671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73"/>
      <c r="R509" s="673"/>
      <c r="S509" s="673"/>
      <c r="T509" s="67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5"/>
        <v>0</v>
      </c>
      <c r="Z509" s="41" t="str">
        <f t="shared" si="76"/>
        <v/>
      </c>
      <c r="AA509" s="68" t="s">
        <v>46</v>
      </c>
      <c r="AB509" s="69" t="s">
        <v>46</v>
      </c>
      <c r="AC509" s="610" t="s">
        <v>820</v>
      </c>
      <c r="AG509" s="78"/>
      <c r="AJ509" s="84" t="s">
        <v>46</v>
      </c>
      <c r="AK509" s="84">
        <v>0</v>
      </c>
      <c r="BB509" s="611" t="s">
        <v>67</v>
      </c>
      <c r="BM509" s="78">
        <f t="shared" si="77"/>
        <v>0</v>
      </c>
      <c r="BN509" s="78">
        <f t="shared" si="78"/>
        <v>0</v>
      </c>
      <c r="BO509" s="78">
        <f t="shared" si="79"/>
        <v>0</v>
      </c>
      <c r="BP509" s="78">
        <f t="shared" si="80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4301011961</v>
      </c>
      <c r="D510" s="671">
        <v>4680115885271</v>
      </c>
      <c r="E510" s="67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73"/>
      <c r="R510" s="673"/>
      <c r="S510" s="673"/>
      <c r="T510" s="67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5"/>
        <v>0</v>
      </c>
      <c r="Z510" s="41" t="str">
        <f t="shared" si="76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4301011369</v>
      </c>
      <c r="D511" s="671">
        <v>4680115885226</v>
      </c>
      <c r="E511" s="671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73"/>
      <c r="R511" s="673"/>
      <c r="S511" s="673"/>
      <c r="T511" s="674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5"/>
        <v>0</v>
      </c>
      <c r="Z511" s="41" t="str">
        <f t="shared" si="76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16.5" hidden="1" customHeight="1" x14ac:dyDescent="0.25">
      <c r="A512" s="63" t="s">
        <v>827</v>
      </c>
      <c r="B512" s="63" t="s">
        <v>828</v>
      </c>
      <c r="C512" s="36">
        <v>4301011797</v>
      </c>
      <c r="D512" s="671">
        <v>4680115884502</v>
      </c>
      <c r="E512" s="671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60</v>
      </c>
      <c r="P512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73"/>
      <c r="R512" s="673"/>
      <c r="S512" s="673"/>
      <c r="T512" s="674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5"/>
        <v>0</v>
      </c>
      <c r="Z512" s="41" t="str">
        <f t="shared" si="76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4301011771</v>
      </c>
      <c r="D513" s="671">
        <v>4607091389104</v>
      </c>
      <c r="E513" s="671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126</v>
      </c>
      <c r="N513" s="38"/>
      <c r="O513" s="37">
        <v>60</v>
      </c>
      <c r="P513" s="6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73"/>
      <c r="R513" s="673"/>
      <c r="S513" s="673"/>
      <c r="T513" s="674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5"/>
        <v>0</v>
      </c>
      <c r="Z513" s="41" t="str">
        <f t="shared" si="76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4301012125</v>
      </c>
      <c r="D514" s="671">
        <v>4680115886391</v>
      </c>
      <c r="E514" s="671"/>
      <c r="F514" s="62">
        <v>0.4</v>
      </c>
      <c r="G514" s="37">
        <v>6</v>
      </c>
      <c r="H514" s="62">
        <v>2.4</v>
      </c>
      <c r="I514" s="62">
        <v>2.58</v>
      </c>
      <c r="J514" s="37">
        <v>182</v>
      </c>
      <c r="K514" s="37" t="s">
        <v>91</v>
      </c>
      <c r="L514" s="37" t="s">
        <v>46</v>
      </c>
      <c r="M514" s="38" t="s">
        <v>90</v>
      </c>
      <c r="N514" s="38"/>
      <c r="O514" s="37">
        <v>60</v>
      </c>
      <c r="P514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73"/>
      <c r="R514" s="673"/>
      <c r="S514" s="673"/>
      <c r="T514" s="67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IFERROR(IF(Y514=0,"",ROUNDUP(Y514/H514,0)*0.00651),"")</f>
        <v/>
      </c>
      <c r="AA514" s="68" t="s">
        <v>46</v>
      </c>
      <c r="AB514" s="69" t="s">
        <v>46</v>
      </c>
      <c r="AC514" s="620" t="s">
        <v>125</v>
      </c>
      <c r="AG514" s="78"/>
      <c r="AJ514" s="84" t="s">
        <v>46</v>
      </c>
      <c r="AK514" s="84">
        <v>0</v>
      </c>
      <c r="BB514" s="621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835</v>
      </c>
      <c r="B515" s="63" t="s">
        <v>836</v>
      </c>
      <c r="C515" s="36">
        <v>4301012048</v>
      </c>
      <c r="D515" s="671">
        <v>4680115880603</v>
      </c>
      <c r="E515" s="671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134</v>
      </c>
      <c r="L515" s="37" t="s">
        <v>46</v>
      </c>
      <c r="M515" s="38" t="s">
        <v>90</v>
      </c>
      <c r="N515" s="38"/>
      <c r="O515" s="37">
        <v>60</v>
      </c>
      <c r="P515" s="6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73"/>
      <c r="R515" s="673"/>
      <c r="S515" s="673"/>
      <c r="T515" s="67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t="27" hidden="1" customHeight="1" x14ac:dyDescent="0.25">
      <c r="A516" s="63" t="s">
        <v>837</v>
      </c>
      <c r="B516" s="63" t="s">
        <v>838</v>
      </c>
      <c r="C516" s="36">
        <v>4301012034</v>
      </c>
      <c r="D516" s="671">
        <v>4607091389982</v>
      </c>
      <c r="E516" s="67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60</v>
      </c>
      <c r="P516" s="69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73"/>
      <c r="R516" s="673"/>
      <c r="S516" s="673"/>
      <c r="T516" s="67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832</v>
      </c>
      <c r="AG516" s="78"/>
      <c r="AJ516" s="84" t="s">
        <v>46</v>
      </c>
      <c r="AK516" s="84">
        <v>0</v>
      </c>
      <c r="BB516" s="625" t="s">
        <v>67</v>
      </c>
      <c r="BM516" s="78">
        <f t="shared" si="77"/>
        <v>0</v>
      </c>
      <c r="BN516" s="78">
        <f t="shared" si="78"/>
        <v>0</v>
      </c>
      <c r="BO516" s="78">
        <f t="shared" si="79"/>
        <v>0</v>
      </c>
      <c r="BP516" s="78">
        <f t="shared" si="80"/>
        <v>0</v>
      </c>
    </row>
    <row r="517" spans="1:68" hidden="1" x14ac:dyDescent="0.2">
      <c r="A517" s="667"/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8"/>
      <c r="P517" s="664" t="s">
        <v>40</v>
      </c>
      <c r="Q517" s="665"/>
      <c r="R517" s="665"/>
      <c r="S517" s="665"/>
      <c r="T517" s="665"/>
      <c r="U517" s="665"/>
      <c r="V517" s="666"/>
      <c r="W517" s="42" t="s">
        <v>39</v>
      </c>
      <c r="X517" s="43">
        <f>IFERROR(X508/H508,"0")+IFERROR(X509/H509,"0")+IFERROR(X510/H510,"0")+IFERROR(X511/H511,"0")+IFERROR(X512/H512,"0")+IFERROR(X513/H513,"0")+IFERROR(X514/H514,"0")+IFERROR(X515/H515,"0")+IFERROR(X516/H516,"0")</f>
        <v>0</v>
      </c>
      <c r="Y517" s="43">
        <f>IFERROR(Y508/H508,"0")+IFERROR(Y509/H509,"0")+IFERROR(Y510/H510,"0")+IFERROR(Y511/H511,"0")+IFERROR(Y512/H512,"0")+IFERROR(Y513/H513,"0")+IFERROR(Y514/H514,"0")+IFERROR(Y515/H515,"0")+IFERROR(Y516/H516,"0")</f>
        <v>0</v>
      </c>
      <c r="Z517" s="4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hidden="1" x14ac:dyDescent="0.2">
      <c r="A518" s="667"/>
      <c r="B518" s="667"/>
      <c r="C518" s="667"/>
      <c r="D518" s="667"/>
      <c r="E518" s="667"/>
      <c r="F518" s="667"/>
      <c r="G518" s="667"/>
      <c r="H518" s="667"/>
      <c r="I518" s="667"/>
      <c r="J518" s="667"/>
      <c r="K518" s="667"/>
      <c r="L518" s="667"/>
      <c r="M518" s="667"/>
      <c r="N518" s="667"/>
      <c r="O518" s="668"/>
      <c r="P518" s="664" t="s">
        <v>40</v>
      </c>
      <c r="Q518" s="665"/>
      <c r="R518" s="665"/>
      <c r="S518" s="665"/>
      <c r="T518" s="665"/>
      <c r="U518" s="665"/>
      <c r="V518" s="666"/>
      <c r="W518" s="42" t="s">
        <v>0</v>
      </c>
      <c r="X518" s="43">
        <f>IFERROR(SUM(X508:X516),"0")</f>
        <v>0</v>
      </c>
      <c r="Y518" s="43">
        <f>IFERROR(SUM(Y508:Y516),"0")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70" t="s">
        <v>155</v>
      </c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  <c r="AA519" s="66"/>
      <c r="AB519" s="66"/>
      <c r="AC519" s="80"/>
    </row>
    <row r="520" spans="1:68" ht="16.5" hidden="1" customHeight="1" x14ac:dyDescent="0.25">
      <c r="A520" s="63" t="s">
        <v>839</v>
      </c>
      <c r="B520" s="63" t="s">
        <v>840</v>
      </c>
      <c r="C520" s="36">
        <v>4301020334</v>
      </c>
      <c r="D520" s="671">
        <v>4607091388930</v>
      </c>
      <c r="E520" s="67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90</v>
      </c>
      <c r="N520" s="38"/>
      <c r="O520" s="37">
        <v>70</v>
      </c>
      <c r="P520" s="69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73"/>
      <c r="R520" s="673"/>
      <c r="S520" s="673"/>
      <c r="T520" s="67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6" t="s">
        <v>841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842</v>
      </c>
      <c r="B521" s="63" t="s">
        <v>843</v>
      </c>
      <c r="C521" s="36">
        <v>4301020374</v>
      </c>
      <c r="D521" s="671">
        <v>4680115886407</v>
      </c>
      <c r="E521" s="671"/>
      <c r="F521" s="62">
        <v>0.4</v>
      </c>
      <c r="G521" s="37">
        <v>6</v>
      </c>
      <c r="H521" s="62">
        <v>2.4</v>
      </c>
      <c r="I521" s="62">
        <v>2.58</v>
      </c>
      <c r="J521" s="37">
        <v>182</v>
      </c>
      <c r="K521" s="37" t="s">
        <v>91</v>
      </c>
      <c r="L521" s="37" t="s">
        <v>46</v>
      </c>
      <c r="M521" s="38" t="s">
        <v>126</v>
      </c>
      <c r="N521" s="38"/>
      <c r="O521" s="37">
        <v>70</v>
      </c>
      <c r="P521" s="70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73"/>
      <c r="R521" s="673"/>
      <c r="S521" s="673"/>
      <c r="T521" s="67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IFERROR(IF(Y521=0,"",ROUNDUP(Y521/H521,0)*0.00651),"")</f>
        <v/>
      </c>
      <c r="AA521" s="68" t="s">
        <v>46</v>
      </c>
      <c r="AB521" s="69" t="s">
        <v>46</v>
      </c>
      <c r="AC521" s="628" t="s">
        <v>841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844</v>
      </c>
      <c r="B522" s="63" t="s">
        <v>845</v>
      </c>
      <c r="C522" s="36">
        <v>4301020385</v>
      </c>
      <c r="D522" s="671">
        <v>4680115880054</v>
      </c>
      <c r="E522" s="671"/>
      <c r="F522" s="62">
        <v>0.6</v>
      </c>
      <c r="G522" s="37">
        <v>8</v>
      </c>
      <c r="H522" s="62">
        <v>4.8</v>
      </c>
      <c r="I522" s="62">
        <v>6.91</v>
      </c>
      <c r="J522" s="37">
        <v>132</v>
      </c>
      <c r="K522" s="37" t="s">
        <v>134</v>
      </c>
      <c r="L522" s="37" t="s">
        <v>46</v>
      </c>
      <c r="M522" s="38" t="s">
        <v>126</v>
      </c>
      <c r="N522" s="38"/>
      <c r="O522" s="37">
        <v>70</v>
      </c>
      <c r="P522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73"/>
      <c r="R522" s="673"/>
      <c r="S522" s="673"/>
      <c r="T522" s="674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841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idden="1" x14ac:dyDescent="0.2">
      <c r="A523" s="667"/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8"/>
      <c r="P523" s="664" t="s">
        <v>40</v>
      </c>
      <c r="Q523" s="665"/>
      <c r="R523" s="665"/>
      <c r="S523" s="665"/>
      <c r="T523" s="665"/>
      <c r="U523" s="665"/>
      <c r="V523" s="666"/>
      <c r="W523" s="42" t="s">
        <v>39</v>
      </c>
      <c r="X523" s="43">
        <f>IFERROR(X520/H520,"0")+IFERROR(X521/H521,"0")+IFERROR(X522/H522,"0")</f>
        <v>0</v>
      </c>
      <c r="Y523" s="43">
        <f>IFERROR(Y520/H520,"0")+IFERROR(Y521/H521,"0")+IFERROR(Y522/H522,"0")</f>
        <v>0</v>
      </c>
      <c r="Z523" s="43">
        <f>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667"/>
      <c r="B524" s="667"/>
      <c r="C524" s="667"/>
      <c r="D524" s="667"/>
      <c r="E524" s="667"/>
      <c r="F524" s="667"/>
      <c r="G524" s="667"/>
      <c r="H524" s="667"/>
      <c r="I524" s="667"/>
      <c r="J524" s="667"/>
      <c r="K524" s="667"/>
      <c r="L524" s="667"/>
      <c r="M524" s="667"/>
      <c r="N524" s="667"/>
      <c r="O524" s="668"/>
      <c r="P524" s="664" t="s">
        <v>40</v>
      </c>
      <c r="Q524" s="665"/>
      <c r="R524" s="665"/>
      <c r="S524" s="665"/>
      <c r="T524" s="665"/>
      <c r="U524" s="665"/>
      <c r="V524" s="666"/>
      <c r="W524" s="42" t="s">
        <v>0</v>
      </c>
      <c r="X524" s="43">
        <f>IFERROR(SUM(X520:X522),"0")</f>
        <v>0</v>
      </c>
      <c r="Y524" s="43">
        <f>IFERROR(SUM(Y520:Y522),"0")</f>
        <v>0</v>
      </c>
      <c r="Z524" s="42"/>
      <c r="AA524" s="67"/>
      <c r="AB524" s="67"/>
      <c r="AC524" s="67"/>
    </row>
    <row r="525" spans="1:68" ht="14.25" hidden="1" customHeight="1" x14ac:dyDescent="0.25">
      <c r="A525" s="670" t="s">
        <v>77</v>
      </c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4301031349</v>
      </c>
      <c r="D526" s="671">
        <v>4680115883116</v>
      </c>
      <c r="E526" s="671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126</v>
      </c>
      <c r="N526" s="38"/>
      <c r="O526" s="37">
        <v>70</v>
      </c>
      <c r="P526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73"/>
      <c r="R526" s="673"/>
      <c r="S526" s="673"/>
      <c r="T526" s="674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ref="Y526:Y532" si="81">IFERROR(IF(X526="",0,CEILING((X526/$H526),1)*$H526),"")</f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848</v>
      </c>
      <c r="AG526" s="78"/>
      <c r="AJ526" s="84" t="s">
        <v>46</v>
      </c>
      <c r="AK526" s="84">
        <v>0</v>
      </c>
      <c r="BB526" s="633" t="s">
        <v>67</v>
      </c>
      <c r="BM526" s="78">
        <f t="shared" ref="BM526:BM532" si="82">IFERROR(X526*I526/H526,"0")</f>
        <v>0</v>
      </c>
      <c r="BN526" s="78">
        <f t="shared" ref="BN526:BN532" si="83">IFERROR(Y526*I526/H526,"0")</f>
        <v>0</v>
      </c>
      <c r="BO526" s="78">
        <f t="shared" ref="BO526:BO532" si="84">IFERROR(1/J526*(X526/H526),"0")</f>
        <v>0</v>
      </c>
      <c r="BP526" s="78">
        <f t="shared" ref="BP526:BP532" si="85">IFERROR(1/J526*(Y526/H526),"0")</f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4301031350</v>
      </c>
      <c r="D527" s="671">
        <v>4680115883093</v>
      </c>
      <c r="E527" s="671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81</v>
      </c>
      <c r="N527" s="38"/>
      <c r="O527" s="37">
        <v>70</v>
      </c>
      <c r="P527" s="6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73"/>
      <c r="R527" s="673"/>
      <c r="S527" s="673"/>
      <c r="T527" s="674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1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si="82"/>
        <v>0</v>
      </c>
      <c r="BN527" s="78">
        <f t="shared" si="83"/>
        <v>0</v>
      </c>
      <c r="BO527" s="78">
        <f t="shared" si="84"/>
        <v>0</v>
      </c>
      <c r="BP527" s="78">
        <f t="shared" si="85"/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4301031353</v>
      </c>
      <c r="D528" s="671">
        <v>4680115883109</v>
      </c>
      <c r="E528" s="671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73"/>
      <c r="R528" s="673"/>
      <c r="S528" s="673"/>
      <c r="T528" s="674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1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2"/>
        <v>0</v>
      </c>
      <c r="BN528" s="78">
        <f t="shared" si="83"/>
        <v>0</v>
      </c>
      <c r="BO528" s="78">
        <f t="shared" si="84"/>
        <v>0</v>
      </c>
      <c r="BP528" s="78">
        <f t="shared" si="85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4301031419</v>
      </c>
      <c r="D529" s="671">
        <v>4680115882072</v>
      </c>
      <c r="E529" s="671"/>
      <c r="F529" s="62">
        <v>0.6</v>
      </c>
      <c r="G529" s="37">
        <v>8</v>
      </c>
      <c r="H529" s="62">
        <v>4.8</v>
      </c>
      <c r="I529" s="62">
        <v>6.91</v>
      </c>
      <c r="J529" s="37">
        <v>132</v>
      </c>
      <c r="K529" s="37" t="s">
        <v>134</v>
      </c>
      <c r="L529" s="37" t="s">
        <v>46</v>
      </c>
      <c r="M529" s="38" t="s">
        <v>126</v>
      </c>
      <c r="N529" s="38"/>
      <c r="O529" s="37">
        <v>70</v>
      </c>
      <c r="P529" s="6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73"/>
      <c r="R529" s="673"/>
      <c r="S529" s="673"/>
      <c r="T529" s="674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1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848</v>
      </c>
      <c r="AG529" s="78"/>
      <c r="AJ529" s="84" t="s">
        <v>46</v>
      </c>
      <c r="AK529" s="84">
        <v>0</v>
      </c>
      <c r="BB529" s="639" t="s">
        <v>67</v>
      </c>
      <c r="BM529" s="78">
        <f t="shared" si="82"/>
        <v>0</v>
      </c>
      <c r="BN529" s="78">
        <f t="shared" si="83"/>
        <v>0</v>
      </c>
      <c r="BO529" s="78">
        <f t="shared" si="84"/>
        <v>0</v>
      </c>
      <c r="BP529" s="78">
        <f t="shared" si="85"/>
        <v>0</v>
      </c>
    </row>
    <row r="530" spans="1:68" ht="27" hidden="1" customHeight="1" x14ac:dyDescent="0.25">
      <c r="A530" s="63" t="s">
        <v>857</v>
      </c>
      <c r="B530" s="63" t="s">
        <v>858</v>
      </c>
      <c r="C530" s="36">
        <v>4301031352</v>
      </c>
      <c r="D530" s="671">
        <v>4680115882102</v>
      </c>
      <c r="E530" s="671"/>
      <c r="F530" s="62">
        <v>0.6</v>
      </c>
      <c r="G530" s="37">
        <v>6</v>
      </c>
      <c r="H530" s="62">
        <v>3.6</v>
      </c>
      <c r="I530" s="62">
        <v>3.79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73"/>
      <c r="R530" s="673"/>
      <c r="S530" s="673"/>
      <c r="T530" s="674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1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2"/>
        <v>0</v>
      </c>
      <c r="BN530" s="78">
        <f t="shared" si="83"/>
        <v>0</v>
      </c>
      <c r="BO530" s="78">
        <f t="shared" si="84"/>
        <v>0</v>
      </c>
      <c r="BP530" s="78">
        <f t="shared" si="85"/>
        <v>0</v>
      </c>
    </row>
    <row r="531" spans="1:68" ht="27" hidden="1" customHeight="1" x14ac:dyDescent="0.25">
      <c r="A531" s="63" t="s">
        <v>857</v>
      </c>
      <c r="B531" s="63" t="s">
        <v>859</v>
      </c>
      <c r="C531" s="36">
        <v>4301031418</v>
      </c>
      <c r="D531" s="671">
        <v>4680115882102</v>
      </c>
      <c r="E531" s="671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73"/>
      <c r="R531" s="673"/>
      <c r="S531" s="673"/>
      <c r="T531" s="674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1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851</v>
      </c>
      <c r="AG531" s="78"/>
      <c r="AJ531" s="84" t="s">
        <v>46</v>
      </c>
      <c r="AK531" s="84">
        <v>0</v>
      </c>
      <c r="BB531" s="643" t="s">
        <v>67</v>
      </c>
      <c r="BM531" s="78">
        <f t="shared" si="82"/>
        <v>0</v>
      </c>
      <c r="BN531" s="78">
        <f t="shared" si="83"/>
        <v>0</v>
      </c>
      <c r="BO531" s="78">
        <f t="shared" si="84"/>
        <v>0</v>
      </c>
      <c r="BP531" s="78">
        <f t="shared" si="85"/>
        <v>0</v>
      </c>
    </row>
    <row r="532" spans="1:68" ht="27" hidden="1" customHeight="1" x14ac:dyDescent="0.25">
      <c r="A532" s="63" t="s">
        <v>860</v>
      </c>
      <c r="B532" s="63" t="s">
        <v>861</v>
      </c>
      <c r="C532" s="36">
        <v>4301031417</v>
      </c>
      <c r="D532" s="671">
        <v>4680115882096</v>
      </c>
      <c r="E532" s="671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73"/>
      <c r="R532" s="673"/>
      <c r="S532" s="673"/>
      <c r="T532" s="674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1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2"/>
        <v>0</v>
      </c>
      <c r="BN532" s="78">
        <f t="shared" si="83"/>
        <v>0</v>
      </c>
      <c r="BO532" s="78">
        <f t="shared" si="84"/>
        <v>0</v>
      </c>
      <c r="BP532" s="78">
        <f t="shared" si="85"/>
        <v>0</v>
      </c>
    </row>
    <row r="533" spans="1:68" hidden="1" x14ac:dyDescent="0.2">
      <c r="A533" s="667"/>
      <c r="B533" s="667"/>
      <c r="C533" s="667"/>
      <c r="D533" s="667"/>
      <c r="E533" s="667"/>
      <c r="F533" s="667"/>
      <c r="G533" s="667"/>
      <c r="H533" s="667"/>
      <c r="I533" s="667"/>
      <c r="J533" s="667"/>
      <c r="K533" s="667"/>
      <c r="L533" s="667"/>
      <c r="M533" s="667"/>
      <c r="N533" s="667"/>
      <c r="O533" s="668"/>
      <c r="P533" s="664" t="s">
        <v>40</v>
      </c>
      <c r="Q533" s="665"/>
      <c r="R533" s="665"/>
      <c r="S533" s="665"/>
      <c r="T533" s="665"/>
      <c r="U533" s="665"/>
      <c r="V533" s="666"/>
      <c r="W533" s="42" t="s">
        <v>39</v>
      </c>
      <c r="X533" s="43">
        <f>IFERROR(X526/H526,"0")+IFERROR(X527/H527,"0")+IFERROR(X528/H528,"0")+IFERROR(X529/H529,"0")+IFERROR(X530/H530,"0")+IFERROR(X531/H531,"0")+IFERROR(X532/H532,"0")</f>
        <v>0</v>
      </c>
      <c r="Y533" s="43">
        <f>IFERROR(Y526/H526,"0")+IFERROR(Y527/H527,"0")+IFERROR(Y528/H528,"0")+IFERROR(Y529/H529,"0")+IFERROR(Y530/H530,"0")+IFERROR(Y531/H531,"0")+IFERROR(Y532/H532,"0")</f>
        <v>0</v>
      </c>
      <c r="Z533" s="43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7"/>
      <c r="AB533" s="67"/>
      <c r="AC533" s="67"/>
    </row>
    <row r="534" spans="1:68" hidden="1" x14ac:dyDescent="0.2">
      <c r="A534" s="667"/>
      <c r="B534" s="667"/>
      <c r="C534" s="667"/>
      <c r="D534" s="667"/>
      <c r="E534" s="667"/>
      <c r="F534" s="667"/>
      <c r="G534" s="667"/>
      <c r="H534" s="667"/>
      <c r="I534" s="667"/>
      <c r="J534" s="667"/>
      <c r="K534" s="667"/>
      <c r="L534" s="667"/>
      <c r="M534" s="667"/>
      <c r="N534" s="667"/>
      <c r="O534" s="668"/>
      <c r="P534" s="664" t="s">
        <v>40</v>
      </c>
      <c r="Q534" s="665"/>
      <c r="R534" s="665"/>
      <c r="S534" s="665"/>
      <c r="T534" s="665"/>
      <c r="U534" s="665"/>
      <c r="V534" s="666"/>
      <c r="W534" s="42" t="s">
        <v>0</v>
      </c>
      <c r="X534" s="43">
        <f>IFERROR(SUM(X526:X532),"0")</f>
        <v>0</v>
      </c>
      <c r="Y534" s="43">
        <f>IFERROR(SUM(Y526:Y532),"0")</f>
        <v>0</v>
      </c>
      <c r="Z534" s="42"/>
      <c r="AA534" s="67"/>
      <c r="AB534" s="67"/>
      <c r="AC534" s="67"/>
    </row>
    <row r="535" spans="1:68" ht="27.75" hidden="1" customHeight="1" x14ac:dyDescent="0.2">
      <c r="A535" s="684" t="s">
        <v>862</v>
      </c>
      <c r="B535" s="684"/>
      <c r="C535" s="684"/>
      <c r="D535" s="684"/>
      <c r="E535" s="684"/>
      <c r="F535" s="684"/>
      <c r="G535" s="684"/>
      <c r="H535" s="684"/>
      <c r="I535" s="684"/>
      <c r="J535" s="684"/>
      <c r="K535" s="684"/>
      <c r="L535" s="684"/>
      <c r="M535" s="684"/>
      <c r="N535" s="684"/>
      <c r="O535" s="684"/>
      <c r="P535" s="684"/>
      <c r="Q535" s="684"/>
      <c r="R535" s="684"/>
      <c r="S535" s="684"/>
      <c r="T535" s="684"/>
      <c r="U535" s="684"/>
      <c r="V535" s="684"/>
      <c r="W535" s="684"/>
      <c r="X535" s="684"/>
      <c r="Y535" s="684"/>
      <c r="Z535" s="684"/>
      <c r="AA535" s="54"/>
      <c r="AB535" s="54"/>
      <c r="AC535" s="54"/>
    </row>
    <row r="536" spans="1:68" ht="16.5" hidden="1" customHeight="1" x14ac:dyDescent="0.25">
      <c r="A536" s="669" t="s">
        <v>862</v>
      </c>
      <c r="B536" s="669"/>
      <c r="C536" s="669"/>
      <c r="D536" s="669"/>
      <c r="E536" s="669"/>
      <c r="F536" s="669"/>
      <c r="G536" s="669"/>
      <c r="H536" s="669"/>
      <c r="I536" s="669"/>
      <c r="J536" s="669"/>
      <c r="K536" s="669"/>
      <c r="L536" s="669"/>
      <c r="M536" s="669"/>
      <c r="N536" s="669"/>
      <c r="O536" s="669"/>
      <c r="P536" s="669"/>
      <c r="Q536" s="669"/>
      <c r="R536" s="669"/>
      <c r="S536" s="669"/>
      <c r="T536" s="669"/>
      <c r="U536" s="669"/>
      <c r="V536" s="669"/>
      <c r="W536" s="669"/>
      <c r="X536" s="669"/>
      <c r="Y536" s="669"/>
      <c r="Z536" s="669"/>
      <c r="AA536" s="65"/>
      <c r="AB536" s="65"/>
      <c r="AC536" s="79"/>
    </row>
    <row r="537" spans="1:68" ht="14.25" hidden="1" customHeight="1" x14ac:dyDescent="0.25">
      <c r="A537" s="670" t="s">
        <v>122</v>
      </c>
      <c r="B537" s="670"/>
      <c r="C537" s="670"/>
      <c r="D537" s="670"/>
      <c r="E537" s="670"/>
      <c r="F537" s="670"/>
      <c r="G537" s="670"/>
      <c r="H537" s="670"/>
      <c r="I537" s="670"/>
      <c r="J537" s="670"/>
      <c r="K537" s="670"/>
      <c r="L537" s="670"/>
      <c r="M537" s="670"/>
      <c r="N537" s="670"/>
      <c r="O537" s="670"/>
      <c r="P537" s="670"/>
      <c r="Q537" s="670"/>
      <c r="R537" s="670"/>
      <c r="S537" s="670"/>
      <c r="T537" s="670"/>
      <c r="U537" s="670"/>
      <c r="V537" s="670"/>
      <c r="W537" s="670"/>
      <c r="X537" s="670"/>
      <c r="Y537" s="670"/>
      <c r="Z537" s="670"/>
      <c r="AA537" s="66"/>
      <c r="AB537" s="66"/>
      <c r="AC537" s="80"/>
    </row>
    <row r="538" spans="1:68" ht="27" hidden="1" customHeight="1" x14ac:dyDescent="0.25">
      <c r="A538" s="63" t="s">
        <v>863</v>
      </c>
      <c r="B538" s="63" t="s">
        <v>864</v>
      </c>
      <c r="C538" s="36">
        <v>4301011584</v>
      </c>
      <c r="D538" s="671">
        <v>4640242180564</v>
      </c>
      <c r="E538" s="671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126</v>
      </c>
      <c r="N538" s="38"/>
      <c r="O538" s="37">
        <v>50</v>
      </c>
      <c r="P538" s="6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73"/>
      <c r="R538" s="673"/>
      <c r="S538" s="673"/>
      <c r="T538" s="67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6" t="s">
        <v>865</v>
      </c>
      <c r="AG538" s="78"/>
      <c r="AJ538" s="84" t="s">
        <v>46</v>
      </c>
      <c r="AK538" s="84">
        <v>0</v>
      </c>
      <c r="BB538" s="647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67"/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8"/>
      <c r="P539" s="664" t="s">
        <v>40</v>
      </c>
      <c r="Q539" s="665"/>
      <c r="R539" s="665"/>
      <c r="S539" s="665"/>
      <c r="T539" s="665"/>
      <c r="U539" s="665"/>
      <c r="V539" s="66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67"/>
      <c r="B540" s="667"/>
      <c r="C540" s="667"/>
      <c r="D540" s="667"/>
      <c r="E540" s="667"/>
      <c r="F540" s="667"/>
      <c r="G540" s="667"/>
      <c r="H540" s="667"/>
      <c r="I540" s="667"/>
      <c r="J540" s="667"/>
      <c r="K540" s="667"/>
      <c r="L540" s="667"/>
      <c r="M540" s="667"/>
      <c r="N540" s="667"/>
      <c r="O540" s="668"/>
      <c r="P540" s="664" t="s">
        <v>40</v>
      </c>
      <c r="Q540" s="665"/>
      <c r="R540" s="665"/>
      <c r="S540" s="665"/>
      <c r="T540" s="665"/>
      <c r="U540" s="665"/>
      <c r="V540" s="66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70" t="s">
        <v>155</v>
      </c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0"/>
      <c r="S541" s="670"/>
      <c r="T541" s="670"/>
      <c r="U541" s="670"/>
      <c r="V541" s="670"/>
      <c r="W541" s="670"/>
      <c r="X541" s="670"/>
      <c r="Y541" s="670"/>
      <c r="Z541" s="670"/>
      <c r="AA541" s="66"/>
      <c r="AB541" s="66"/>
      <c r="AC541" s="80"/>
    </row>
    <row r="542" spans="1:68" ht="27" hidden="1" customHeight="1" x14ac:dyDescent="0.25">
      <c r="A542" s="63" t="s">
        <v>866</v>
      </c>
      <c r="B542" s="63" t="s">
        <v>867</v>
      </c>
      <c r="C542" s="36">
        <v>4301020400</v>
      </c>
      <c r="D542" s="671">
        <v>4640242180519</v>
      </c>
      <c r="E542" s="671"/>
      <c r="F542" s="62">
        <v>1.5</v>
      </c>
      <c r="G542" s="37">
        <v>8</v>
      </c>
      <c r="H542" s="62">
        <v>12</v>
      </c>
      <c r="I542" s="62">
        <v>12.41</v>
      </c>
      <c r="J542" s="37">
        <v>64</v>
      </c>
      <c r="K542" s="37" t="s">
        <v>127</v>
      </c>
      <c r="L542" s="37" t="s">
        <v>46</v>
      </c>
      <c r="M542" s="38" t="s">
        <v>126</v>
      </c>
      <c r="N542" s="38"/>
      <c r="O542" s="37">
        <v>50</v>
      </c>
      <c r="P542" s="68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73"/>
      <c r="R542" s="673"/>
      <c r="S542" s="673"/>
      <c r="T542" s="67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48" t="s">
        <v>868</v>
      </c>
      <c r="AG542" s="78"/>
      <c r="AJ542" s="84" t="s">
        <v>46</v>
      </c>
      <c r="AK542" s="84">
        <v>0</v>
      </c>
      <c r="BB542" s="649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67"/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8"/>
      <c r="P543" s="664" t="s">
        <v>40</v>
      </c>
      <c r="Q543" s="665"/>
      <c r="R543" s="665"/>
      <c r="S543" s="665"/>
      <c r="T543" s="665"/>
      <c r="U543" s="665"/>
      <c r="V543" s="666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67"/>
      <c r="B544" s="667"/>
      <c r="C544" s="667"/>
      <c r="D544" s="667"/>
      <c r="E544" s="667"/>
      <c r="F544" s="667"/>
      <c r="G544" s="667"/>
      <c r="H544" s="667"/>
      <c r="I544" s="667"/>
      <c r="J544" s="667"/>
      <c r="K544" s="667"/>
      <c r="L544" s="667"/>
      <c r="M544" s="667"/>
      <c r="N544" s="667"/>
      <c r="O544" s="668"/>
      <c r="P544" s="664" t="s">
        <v>40</v>
      </c>
      <c r="Q544" s="665"/>
      <c r="R544" s="665"/>
      <c r="S544" s="665"/>
      <c r="T544" s="665"/>
      <c r="U544" s="665"/>
      <c r="V544" s="666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70" t="s">
        <v>77</v>
      </c>
      <c r="B545" s="670"/>
      <c r="C545" s="670"/>
      <c r="D545" s="670"/>
      <c r="E545" s="670"/>
      <c r="F545" s="670"/>
      <c r="G545" s="670"/>
      <c r="H545" s="670"/>
      <c r="I545" s="670"/>
      <c r="J545" s="670"/>
      <c r="K545" s="670"/>
      <c r="L545" s="670"/>
      <c r="M545" s="670"/>
      <c r="N545" s="670"/>
      <c r="O545" s="670"/>
      <c r="P545" s="670"/>
      <c r="Q545" s="670"/>
      <c r="R545" s="670"/>
      <c r="S545" s="670"/>
      <c r="T545" s="670"/>
      <c r="U545" s="670"/>
      <c r="V545" s="670"/>
      <c r="W545" s="670"/>
      <c r="X545" s="670"/>
      <c r="Y545" s="670"/>
      <c r="Z545" s="670"/>
      <c r="AA545" s="66"/>
      <c r="AB545" s="66"/>
      <c r="AC545" s="80"/>
    </row>
    <row r="546" spans="1:68" ht="27" hidden="1" customHeight="1" x14ac:dyDescent="0.25">
      <c r="A546" s="63" t="s">
        <v>869</v>
      </c>
      <c r="B546" s="63" t="s">
        <v>870</v>
      </c>
      <c r="C546" s="36">
        <v>4301031500</v>
      </c>
      <c r="D546" s="671">
        <v>4640242180595</v>
      </c>
      <c r="E546" s="671"/>
      <c r="F546" s="62">
        <v>0.7</v>
      </c>
      <c r="G546" s="37">
        <v>6</v>
      </c>
      <c r="H546" s="62">
        <v>4.2</v>
      </c>
      <c r="I546" s="62">
        <v>4.45</v>
      </c>
      <c r="J546" s="37">
        <v>132</v>
      </c>
      <c r="K546" s="37" t="s">
        <v>134</v>
      </c>
      <c r="L546" s="37" t="s">
        <v>46</v>
      </c>
      <c r="M546" s="38" t="s">
        <v>81</v>
      </c>
      <c r="N546" s="38"/>
      <c r="O546" s="37">
        <v>40</v>
      </c>
      <c r="P546" s="67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73"/>
      <c r="R546" s="673"/>
      <c r="S546" s="673"/>
      <c r="T546" s="674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IFERROR(IF(Y546=0,"",ROUNDUP(Y546/H546,0)*0.00902),"")</f>
        <v/>
      </c>
      <c r="AA546" s="68" t="s">
        <v>46</v>
      </c>
      <c r="AB546" s="69" t="s">
        <v>46</v>
      </c>
      <c r="AC546" s="650" t="s">
        <v>871</v>
      </c>
      <c r="AG546" s="78"/>
      <c r="AJ546" s="84" t="s">
        <v>46</v>
      </c>
      <c r="AK546" s="84">
        <v>0</v>
      </c>
      <c r="BB546" s="651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7"/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8"/>
      <c r="P547" s="664" t="s">
        <v>40</v>
      </c>
      <c r="Q547" s="665"/>
      <c r="R547" s="665"/>
      <c r="S547" s="665"/>
      <c r="T547" s="665"/>
      <c r="U547" s="665"/>
      <c r="V547" s="666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67"/>
      <c r="B548" s="667"/>
      <c r="C548" s="667"/>
      <c r="D548" s="667"/>
      <c r="E548" s="667"/>
      <c r="F548" s="667"/>
      <c r="G548" s="667"/>
      <c r="H548" s="667"/>
      <c r="I548" s="667"/>
      <c r="J548" s="667"/>
      <c r="K548" s="667"/>
      <c r="L548" s="667"/>
      <c r="M548" s="667"/>
      <c r="N548" s="667"/>
      <c r="O548" s="668"/>
      <c r="P548" s="664" t="s">
        <v>40</v>
      </c>
      <c r="Q548" s="665"/>
      <c r="R548" s="665"/>
      <c r="S548" s="665"/>
      <c r="T548" s="665"/>
      <c r="U548" s="665"/>
      <c r="V548" s="666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70" t="s">
        <v>86</v>
      </c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0"/>
      <c r="S549" s="670"/>
      <c r="T549" s="670"/>
      <c r="U549" s="670"/>
      <c r="V549" s="670"/>
      <c r="W549" s="670"/>
      <c r="X549" s="670"/>
      <c r="Y549" s="670"/>
      <c r="Z549" s="670"/>
      <c r="AA549" s="66"/>
      <c r="AB549" s="66"/>
      <c r="AC549" s="80"/>
    </row>
    <row r="550" spans="1:68" ht="27" hidden="1" customHeight="1" x14ac:dyDescent="0.25">
      <c r="A550" s="63" t="s">
        <v>872</v>
      </c>
      <c r="B550" s="63" t="s">
        <v>873</v>
      </c>
      <c r="C550" s="36">
        <v>4301052043</v>
      </c>
      <c r="D550" s="671">
        <v>4640242180533</v>
      </c>
      <c r="E550" s="671"/>
      <c r="F550" s="62">
        <v>1.5</v>
      </c>
      <c r="G550" s="37">
        <v>6</v>
      </c>
      <c r="H550" s="62">
        <v>9</v>
      </c>
      <c r="I550" s="62">
        <v>9.4939999999999998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45</v>
      </c>
      <c r="P55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73"/>
      <c r="R550" s="673"/>
      <c r="S550" s="673"/>
      <c r="T550" s="67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52" t="s">
        <v>874</v>
      </c>
      <c r="AG550" s="78"/>
      <c r="AJ550" s="84" t="s">
        <v>46</v>
      </c>
      <c r="AK550" s="84">
        <v>0</v>
      </c>
      <c r="BB550" s="653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67"/>
      <c r="B551" s="667"/>
      <c r="C551" s="667"/>
      <c r="D551" s="667"/>
      <c r="E551" s="667"/>
      <c r="F551" s="667"/>
      <c r="G551" s="667"/>
      <c r="H551" s="667"/>
      <c r="I551" s="667"/>
      <c r="J551" s="667"/>
      <c r="K551" s="667"/>
      <c r="L551" s="667"/>
      <c r="M551" s="667"/>
      <c r="N551" s="667"/>
      <c r="O551" s="668"/>
      <c r="P551" s="664" t="s">
        <v>40</v>
      </c>
      <c r="Q551" s="665"/>
      <c r="R551" s="665"/>
      <c r="S551" s="665"/>
      <c r="T551" s="665"/>
      <c r="U551" s="665"/>
      <c r="V551" s="66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67"/>
      <c r="B552" s="667"/>
      <c r="C552" s="667"/>
      <c r="D552" s="667"/>
      <c r="E552" s="667"/>
      <c r="F552" s="667"/>
      <c r="G552" s="667"/>
      <c r="H552" s="667"/>
      <c r="I552" s="667"/>
      <c r="J552" s="667"/>
      <c r="K552" s="667"/>
      <c r="L552" s="667"/>
      <c r="M552" s="667"/>
      <c r="N552" s="667"/>
      <c r="O552" s="668"/>
      <c r="P552" s="664" t="s">
        <v>40</v>
      </c>
      <c r="Q552" s="665"/>
      <c r="R552" s="665"/>
      <c r="S552" s="665"/>
      <c r="T552" s="665"/>
      <c r="U552" s="665"/>
      <c r="V552" s="66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4.25" hidden="1" customHeight="1" x14ac:dyDescent="0.25">
      <c r="A553" s="670" t="s">
        <v>173</v>
      </c>
      <c r="B553" s="670"/>
      <c r="C553" s="670"/>
      <c r="D553" s="670"/>
      <c r="E553" s="670"/>
      <c r="F553" s="670"/>
      <c r="G553" s="670"/>
      <c r="H553" s="670"/>
      <c r="I553" s="670"/>
      <c r="J553" s="670"/>
      <c r="K553" s="670"/>
      <c r="L553" s="670"/>
      <c r="M553" s="670"/>
      <c r="N553" s="670"/>
      <c r="O553" s="670"/>
      <c r="P553" s="670"/>
      <c r="Q553" s="670"/>
      <c r="R553" s="670"/>
      <c r="S553" s="670"/>
      <c r="T553" s="670"/>
      <c r="U553" s="670"/>
      <c r="V553" s="670"/>
      <c r="W553" s="670"/>
      <c r="X553" s="670"/>
      <c r="Y553" s="670"/>
      <c r="Z553" s="670"/>
      <c r="AA553" s="66"/>
      <c r="AB553" s="66"/>
      <c r="AC553" s="80"/>
    </row>
    <row r="554" spans="1:68" ht="27" hidden="1" customHeight="1" x14ac:dyDescent="0.25">
      <c r="A554" s="63" t="s">
        <v>875</v>
      </c>
      <c r="B554" s="63" t="s">
        <v>876</v>
      </c>
      <c r="C554" s="36">
        <v>4301060535</v>
      </c>
      <c r="D554" s="671">
        <v>4640242180120</v>
      </c>
      <c r="E554" s="671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127</v>
      </c>
      <c r="L554" s="37" t="s">
        <v>46</v>
      </c>
      <c r="M554" s="38" t="s">
        <v>90</v>
      </c>
      <c r="N554" s="38"/>
      <c r="O554" s="37">
        <v>40</v>
      </c>
      <c r="P554" s="6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73"/>
      <c r="R554" s="673"/>
      <c r="S554" s="673"/>
      <c r="T554" s="67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54" t="s">
        <v>877</v>
      </c>
      <c r="AG554" s="78"/>
      <c r="AJ554" s="84" t="s">
        <v>46</v>
      </c>
      <c r="AK554" s="84">
        <v>0</v>
      </c>
      <c r="BB554" s="655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878</v>
      </c>
      <c r="B555" s="63" t="s">
        <v>879</v>
      </c>
      <c r="C555" s="36">
        <v>4301060536</v>
      </c>
      <c r="D555" s="671">
        <v>4640242180137</v>
      </c>
      <c r="E555" s="671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73"/>
      <c r="R555" s="673"/>
      <c r="S555" s="673"/>
      <c r="T555" s="67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7"/>
      <c r="B556" s="667"/>
      <c r="C556" s="667"/>
      <c r="D556" s="667"/>
      <c r="E556" s="667"/>
      <c r="F556" s="667"/>
      <c r="G556" s="667"/>
      <c r="H556" s="667"/>
      <c r="I556" s="667"/>
      <c r="J556" s="667"/>
      <c r="K556" s="667"/>
      <c r="L556" s="667"/>
      <c r="M556" s="667"/>
      <c r="N556" s="667"/>
      <c r="O556" s="668"/>
      <c r="P556" s="664" t="s">
        <v>40</v>
      </c>
      <c r="Q556" s="665"/>
      <c r="R556" s="665"/>
      <c r="S556" s="665"/>
      <c r="T556" s="665"/>
      <c r="U556" s="665"/>
      <c r="V556" s="666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7"/>
      <c r="B557" s="667"/>
      <c r="C557" s="667"/>
      <c r="D557" s="667"/>
      <c r="E557" s="667"/>
      <c r="F557" s="667"/>
      <c r="G557" s="667"/>
      <c r="H557" s="667"/>
      <c r="I557" s="667"/>
      <c r="J557" s="667"/>
      <c r="K557" s="667"/>
      <c r="L557" s="667"/>
      <c r="M557" s="667"/>
      <c r="N557" s="667"/>
      <c r="O557" s="668"/>
      <c r="P557" s="664" t="s">
        <v>40</v>
      </c>
      <c r="Q557" s="665"/>
      <c r="R557" s="665"/>
      <c r="S557" s="665"/>
      <c r="T557" s="665"/>
      <c r="U557" s="665"/>
      <c r="V557" s="666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6.5" hidden="1" customHeight="1" x14ac:dyDescent="0.25">
      <c r="A558" s="669" t="s">
        <v>881</v>
      </c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69"/>
      <c r="P558" s="669"/>
      <c r="Q558" s="669"/>
      <c r="R558" s="669"/>
      <c r="S558" s="669"/>
      <c r="T558" s="669"/>
      <c r="U558" s="669"/>
      <c r="V558" s="669"/>
      <c r="W558" s="669"/>
      <c r="X558" s="669"/>
      <c r="Y558" s="669"/>
      <c r="Z558" s="669"/>
      <c r="AA558" s="65"/>
      <c r="AB558" s="65"/>
      <c r="AC558" s="79"/>
    </row>
    <row r="559" spans="1:68" ht="14.25" hidden="1" customHeight="1" x14ac:dyDescent="0.25">
      <c r="A559" s="670" t="s">
        <v>155</v>
      </c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0"/>
      <c r="S559" s="670"/>
      <c r="T559" s="670"/>
      <c r="U559" s="670"/>
      <c r="V559" s="670"/>
      <c r="W559" s="670"/>
      <c r="X559" s="670"/>
      <c r="Y559" s="670"/>
      <c r="Z559" s="670"/>
      <c r="AA559" s="66"/>
      <c r="AB559" s="66"/>
      <c r="AC559" s="80"/>
    </row>
    <row r="560" spans="1:68" ht="27" hidden="1" customHeight="1" x14ac:dyDescent="0.25">
      <c r="A560" s="63" t="s">
        <v>882</v>
      </c>
      <c r="B560" s="63" t="s">
        <v>883</v>
      </c>
      <c r="C560" s="36">
        <v>4301020428</v>
      </c>
      <c r="D560" s="671">
        <v>4640242180090</v>
      </c>
      <c r="E560" s="671"/>
      <c r="F560" s="62">
        <v>1.5</v>
      </c>
      <c r="G560" s="37">
        <v>8</v>
      </c>
      <c r="H560" s="62">
        <v>12</v>
      </c>
      <c r="I560" s="62">
        <v>12.41</v>
      </c>
      <c r="J560" s="37">
        <v>64</v>
      </c>
      <c r="K560" s="37" t="s">
        <v>127</v>
      </c>
      <c r="L560" s="37" t="s">
        <v>46</v>
      </c>
      <c r="M560" s="38" t="s">
        <v>126</v>
      </c>
      <c r="N560" s="38"/>
      <c r="O560" s="37">
        <v>50</v>
      </c>
      <c r="P560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73"/>
      <c r="R560" s="673"/>
      <c r="S560" s="673"/>
      <c r="T560" s="674"/>
      <c r="U560" s="39" t="s">
        <v>46</v>
      </c>
      <c r="V560" s="39" t="s">
        <v>46</v>
      </c>
      <c r="W560" s="40" t="s">
        <v>0</v>
      </c>
      <c r="X560" s="58">
        <v>0</v>
      </c>
      <c r="Y560" s="55">
        <f>IFERROR(IF(X560="",0,CEILING((X560/$H560),1)*$H560),"")</f>
        <v>0</v>
      </c>
      <c r="Z560" s="41" t="str">
        <f>IFERROR(IF(Y560=0,"",ROUNDUP(Y560/H560,0)*0.01898),"")</f>
        <v/>
      </c>
      <c r="AA560" s="68" t="s">
        <v>46</v>
      </c>
      <c r="AB560" s="69" t="s">
        <v>46</v>
      </c>
      <c r="AC560" s="658" t="s">
        <v>884</v>
      </c>
      <c r="AG560" s="78"/>
      <c r="AJ560" s="84" t="s">
        <v>46</v>
      </c>
      <c r="AK560" s="84">
        <v>0</v>
      </c>
      <c r="BB560" s="659" t="s">
        <v>67</v>
      </c>
      <c r="BM560" s="78">
        <f>IFERROR(X560*I560/H560,"0")</f>
        <v>0</v>
      </c>
      <c r="BN560" s="78">
        <f>IFERROR(Y560*I560/H560,"0")</f>
        <v>0</v>
      </c>
      <c r="BO560" s="78">
        <f>IFERROR(1/J560*(X560/H560),"0")</f>
        <v>0</v>
      </c>
      <c r="BP560" s="78">
        <f>IFERROR(1/J560*(Y560/H560),"0")</f>
        <v>0</v>
      </c>
    </row>
    <row r="561" spans="1:32" hidden="1" x14ac:dyDescent="0.2">
      <c r="A561" s="667"/>
      <c r="B561" s="667"/>
      <c r="C561" s="667"/>
      <c r="D561" s="667"/>
      <c r="E561" s="667"/>
      <c r="F561" s="667"/>
      <c r="G561" s="667"/>
      <c r="H561" s="667"/>
      <c r="I561" s="667"/>
      <c r="J561" s="667"/>
      <c r="K561" s="667"/>
      <c r="L561" s="667"/>
      <c r="M561" s="667"/>
      <c r="N561" s="667"/>
      <c r="O561" s="668"/>
      <c r="P561" s="664" t="s">
        <v>40</v>
      </c>
      <c r="Q561" s="665"/>
      <c r="R561" s="665"/>
      <c r="S561" s="665"/>
      <c r="T561" s="665"/>
      <c r="U561" s="665"/>
      <c r="V561" s="666"/>
      <c r="W561" s="42" t="s">
        <v>39</v>
      </c>
      <c r="X561" s="43">
        <f>IFERROR(X560/H560,"0")</f>
        <v>0</v>
      </c>
      <c r="Y561" s="43">
        <f>IFERROR(Y560/H560,"0")</f>
        <v>0</v>
      </c>
      <c r="Z561" s="43">
        <f>IFERROR(IF(Z560="",0,Z560),"0")</f>
        <v>0</v>
      </c>
      <c r="AA561" s="67"/>
      <c r="AB561" s="67"/>
      <c r="AC561" s="67"/>
    </row>
    <row r="562" spans="1:32" hidden="1" x14ac:dyDescent="0.2">
      <c r="A562" s="667"/>
      <c r="B562" s="667"/>
      <c r="C562" s="667"/>
      <c r="D562" s="667"/>
      <c r="E562" s="667"/>
      <c r="F562" s="667"/>
      <c r="G562" s="667"/>
      <c r="H562" s="667"/>
      <c r="I562" s="667"/>
      <c r="J562" s="667"/>
      <c r="K562" s="667"/>
      <c r="L562" s="667"/>
      <c r="M562" s="667"/>
      <c r="N562" s="667"/>
      <c r="O562" s="668"/>
      <c r="P562" s="664" t="s">
        <v>40</v>
      </c>
      <c r="Q562" s="665"/>
      <c r="R562" s="665"/>
      <c r="S562" s="665"/>
      <c r="T562" s="665"/>
      <c r="U562" s="665"/>
      <c r="V562" s="666"/>
      <c r="W562" s="42" t="s">
        <v>0</v>
      </c>
      <c r="X562" s="43">
        <f>IFERROR(SUM(X560:X560),"0")</f>
        <v>0</v>
      </c>
      <c r="Y562" s="43">
        <f>IFERROR(SUM(Y560:Y560),"0")</f>
        <v>0</v>
      </c>
      <c r="Z562" s="42"/>
      <c r="AA562" s="67"/>
      <c r="AB562" s="67"/>
      <c r="AC562" s="67"/>
    </row>
    <row r="563" spans="1:32" ht="15" customHeight="1" x14ac:dyDescent="0.2">
      <c r="A563" s="667"/>
      <c r="B563" s="667"/>
      <c r="C563" s="667"/>
      <c r="D563" s="667"/>
      <c r="E563" s="667"/>
      <c r="F563" s="667"/>
      <c r="G563" s="667"/>
      <c r="H563" s="667"/>
      <c r="I563" s="667"/>
      <c r="J563" s="667"/>
      <c r="K563" s="667"/>
      <c r="L563" s="667"/>
      <c r="M563" s="667"/>
      <c r="N563" s="667"/>
      <c r="O563" s="678"/>
      <c r="P563" s="675" t="s">
        <v>33</v>
      </c>
      <c r="Q563" s="676"/>
      <c r="R563" s="676"/>
      <c r="S563" s="676"/>
      <c r="T563" s="676"/>
      <c r="U563" s="676"/>
      <c r="V563" s="677"/>
      <c r="W563" s="42" t="s">
        <v>0</v>
      </c>
      <c r="X563" s="4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860</v>
      </c>
      <c r="Y563" s="4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870</v>
      </c>
      <c r="Z563" s="42"/>
      <c r="AA563" s="67"/>
      <c r="AB563" s="67"/>
      <c r="AC563" s="67"/>
    </row>
    <row r="564" spans="1:32" x14ac:dyDescent="0.2">
      <c r="A564" s="667"/>
      <c r="B564" s="667"/>
      <c r="C564" s="667"/>
      <c r="D564" s="667"/>
      <c r="E564" s="667"/>
      <c r="F564" s="667"/>
      <c r="G564" s="667"/>
      <c r="H564" s="667"/>
      <c r="I564" s="667"/>
      <c r="J564" s="667"/>
      <c r="K564" s="667"/>
      <c r="L564" s="667"/>
      <c r="M564" s="667"/>
      <c r="N564" s="667"/>
      <c r="O564" s="678"/>
      <c r="P564" s="675" t="s">
        <v>34</v>
      </c>
      <c r="Q564" s="676"/>
      <c r="R564" s="676"/>
      <c r="S564" s="676"/>
      <c r="T564" s="676"/>
      <c r="U564" s="676"/>
      <c r="V564" s="677"/>
      <c r="W564" s="42" t="s">
        <v>0</v>
      </c>
      <c r="X564" s="43">
        <f>IFERROR(SUM(BM22:BM560),"0")</f>
        <v>886.94666666666672</v>
      </c>
      <c r="Y564" s="43">
        <f>IFERROR(SUM(BN22:BN560),"0")</f>
        <v>897.26</v>
      </c>
      <c r="Z564" s="42"/>
      <c r="AA564" s="67"/>
      <c r="AB564" s="67"/>
      <c r="AC564" s="67"/>
    </row>
    <row r="565" spans="1:32" x14ac:dyDescent="0.2">
      <c r="A565" s="667"/>
      <c r="B565" s="667"/>
      <c r="C565" s="667"/>
      <c r="D565" s="667"/>
      <c r="E565" s="667"/>
      <c r="F565" s="667"/>
      <c r="G565" s="667"/>
      <c r="H565" s="667"/>
      <c r="I565" s="667"/>
      <c r="J565" s="667"/>
      <c r="K565" s="667"/>
      <c r="L565" s="667"/>
      <c r="M565" s="667"/>
      <c r="N565" s="667"/>
      <c r="O565" s="678"/>
      <c r="P565" s="675" t="s">
        <v>35</v>
      </c>
      <c r="Q565" s="676"/>
      <c r="R565" s="676"/>
      <c r="S565" s="676"/>
      <c r="T565" s="676"/>
      <c r="U565" s="676"/>
      <c r="V565" s="677"/>
      <c r="W565" s="42" t="s">
        <v>20</v>
      </c>
      <c r="X565" s="44">
        <f>ROUNDUP(SUM(BO22:BO560),0)</f>
        <v>2</v>
      </c>
      <c r="Y565" s="44">
        <f>ROUNDUP(SUM(BP22:BP560),0)</f>
        <v>2</v>
      </c>
      <c r="Z565" s="42"/>
      <c r="AA565" s="67"/>
      <c r="AB565" s="67"/>
      <c r="AC565" s="67"/>
    </row>
    <row r="566" spans="1:32" x14ac:dyDescent="0.2">
      <c r="A566" s="667"/>
      <c r="B566" s="667"/>
      <c r="C566" s="667"/>
      <c r="D566" s="667"/>
      <c r="E566" s="667"/>
      <c r="F566" s="667"/>
      <c r="G566" s="667"/>
      <c r="H566" s="667"/>
      <c r="I566" s="667"/>
      <c r="J566" s="667"/>
      <c r="K566" s="667"/>
      <c r="L566" s="667"/>
      <c r="M566" s="667"/>
      <c r="N566" s="667"/>
      <c r="O566" s="678"/>
      <c r="P566" s="675" t="s">
        <v>36</v>
      </c>
      <c r="Q566" s="676"/>
      <c r="R566" s="676"/>
      <c r="S566" s="676"/>
      <c r="T566" s="676"/>
      <c r="U566" s="676"/>
      <c r="V566" s="677"/>
      <c r="W566" s="42" t="s">
        <v>0</v>
      </c>
      <c r="X566" s="43">
        <f>GrossWeightTotal+PalletQtyTotal*25</f>
        <v>936.94666666666672</v>
      </c>
      <c r="Y566" s="43">
        <f>GrossWeightTotalR+PalletQtyTotalR*25</f>
        <v>947.26</v>
      </c>
      <c r="Z566" s="42"/>
      <c r="AA566" s="67"/>
      <c r="AB566" s="67"/>
      <c r="AC566" s="67"/>
    </row>
    <row r="567" spans="1:32" x14ac:dyDescent="0.2">
      <c r="A567" s="667"/>
      <c r="B567" s="667"/>
      <c r="C567" s="667"/>
      <c r="D567" s="667"/>
      <c r="E567" s="667"/>
      <c r="F567" s="667"/>
      <c r="G567" s="667"/>
      <c r="H567" s="667"/>
      <c r="I567" s="667"/>
      <c r="J567" s="667"/>
      <c r="K567" s="667"/>
      <c r="L567" s="667"/>
      <c r="M567" s="667"/>
      <c r="N567" s="667"/>
      <c r="O567" s="678"/>
      <c r="P567" s="675" t="s">
        <v>37</v>
      </c>
      <c r="Q567" s="676"/>
      <c r="R567" s="676"/>
      <c r="S567" s="676"/>
      <c r="T567" s="676"/>
      <c r="U567" s="676"/>
      <c r="V567" s="677"/>
      <c r="W567" s="42" t="s">
        <v>20</v>
      </c>
      <c r="X567" s="4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57.333333333333329</v>
      </c>
      <c r="Y567" s="4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58</v>
      </c>
      <c r="Z567" s="42"/>
      <c r="AA567" s="67"/>
      <c r="AB567" s="67"/>
      <c r="AC567" s="67"/>
    </row>
    <row r="568" spans="1:32" ht="14.25" hidden="1" x14ac:dyDescent="0.2">
      <c r="A568" s="667"/>
      <c r="B568" s="667"/>
      <c r="C568" s="667"/>
      <c r="D568" s="667"/>
      <c r="E568" s="667"/>
      <c r="F568" s="667"/>
      <c r="G568" s="667"/>
      <c r="H568" s="667"/>
      <c r="I568" s="667"/>
      <c r="J568" s="667"/>
      <c r="K568" s="667"/>
      <c r="L568" s="667"/>
      <c r="M568" s="667"/>
      <c r="N568" s="667"/>
      <c r="O568" s="678"/>
      <c r="P568" s="675" t="s">
        <v>38</v>
      </c>
      <c r="Q568" s="676"/>
      <c r="R568" s="676"/>
      <c r="S568" s="676"/>
      <c r="T568" s="676"/>
      <c r="U568" s="676"/>
      <c r="V568" s="677"/>
      <c r="W568" s="45" t="s">
        <v>52</v>
      </c>
      <c r="X568" s="42"/>
      <c r="Y568" s="42"/>
      <c r="Z568" s="42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1.2614999999999998</v>
      </c>
      <c r="AA568" s="67"/>
      <c r="AB568" s="67"/>
      <c r="AC568" s="67"/>
    </row>
    <row r="569" spans="1:32" ht="13.5" thickBot="1" x14ac:dyDescent="0.25"/>
    <row r="570" spans="1:32" ht="27" thickTop="1" thickBot="1" x14ac:dyDescent="0.25">
      <c r="A570" s="46" t="s">
        <v>9</v>
      </c>
      <c r="B570" s="85" t="s">
        <v>76</v>
      </c>
      <c r="C570" s="85" t="s">
        <v>45</v>
      </c>
      <c r="D570" s="660" t="s">
        <v>120</v>
      </c>
      <c r="E570" s="660" t="s">
        <v>120</v>
      </c>
      <c r="F570" s="660" t="s">
        <v>120</v>
      </c>
      <c r="G570" s="660" t="s">
        <v>120</v>
      </c>
      <c r="H570" s="660" t="s">
        <v>120</v>
      </c>
      <c r="I570" s="660" t="s">
        <v>120</v>
      </c>
      <c r="J570" s="660" t="s">
        <v>120</v>
      </c>
      <c r="K570" s="660" t="s">
        <v>370</v>
      </c>
      <c r="L570" s="660" t="s">
        <v>370</v>
      </c>
      <c r="M570" s="660" t="s">
        <v>370</v>
      </c>
      <c r="N570" s="661"/>
      <c r="O570" s="660" t="s">
        <v>370</v>
      </c>
      <c r="P570" s="660" t="s">
        <v>370</v>
      </c>
      <c r="Q570" s="660" t="s">
        <v>370</v>
      </c>
      <c r="R570" s="660" t="s">
        <v>370</v>
      </c>
      <c r="S570" s="660" t="s">
        <v>370</v>
      </c>
      <c r="T570" s="660" t="s">
        <v>370</v>
      </c>
      <c r="U570" s="660" t="s">
        <v>370</v>
      </c>
      <c r="V570" s="660" t="s">
        <v>370</v>
      </c>
      <c r="W570" s="660" t="s">
        <v>713</v>
      </c>
      <c r="X570" s="660" t="s">
        <v>713</v>
      </c>
      <c r="Y570" s="660" t="s">
        <v>779</v>
      </c>
      <c r="Z570" s="660" t="s">
        <v>779</v>
      </c>
      <c r="AA570" s="85" t="s">
        <v>815</v>
      </c>
      <c r="AB570" s="660" t="s">
        <v>862</v>
      </c>
      <c r="AC570" s="660" t="s">
        <v>862</v>
      </c>
      <c r="AF570" s="1"/>
    </row>
    <row r="571" spans="1:32" ht="14.25" customHeight="1" thickTop="1" x14ac:dyDescent="0.2">
      <c r="A571" s="662" t="s">
        <v>10</v>
      </c>
      <c r="B571" s="660" t="s">
        <v>76</v>
      </c>
      <c r="C571" s="660" t="s">
        <v>104</v>
      </c>
      <c r="D571" s="660" t="s">
        <v>121</v>
      </c>
      <c r="E571" s="660" t="s">
        <v>137</v>
      </c>
      <c r="F571" s="660" t="s">
        <v>182</v>
      </c>
      <c r="G571" s="660" t="s">
        <v>212</v>
      </c>
      <c r="H571" s="660" t="s">
        <v>265</v>
      </c>
      <c r="I571" s="660" t="s">
        <v>278</v>
      </c>
      <c r="J571" s="660" t="s">
        <v>120</v>
      </c>
      <c r="K571" s="660" t="s">
        <v>371</v>
      </c>
      <c r="L571" s="660" t="s">
        <v>392</v>
      </c>
      <c r="M571" s="660" t="s">
        <v>459</v>
      </c>
      <c r="N571" s="1"/>
      <c r="O571" s="660" t="s">
        <v>527</v>
      </c>
      <c r="P571" s="660" t="s">
        <v>560</v>
      </c>
      <c r="Q571" s="660" t="s">
        <v>576</v>
      </c>
      <c r="R571" s="660" t="s">
        <v>585</v>
      </c>
      <c r="S571" s="660" t="s">
        <v>606</v>
      </c>
      <c r="T571" s="660" t="s">
        <v>615</v>
      </c>
      <c r="U571" s="660" t="s">
        <v>696</v>
      </c>
      <c r="V571" s="660" t="s">
        <v>703</v>
      </c>
      <c r="W571" s="660" t="s">
        <v>714</v>
      </c>
      <c r="X571" s="660" t="s">
        <v>763</v>
      </c>
      <c r="Y571" s="660" t="s">
        <v>780</v>
      </c>
      <c r="Z571" s="660" t="s">
        <v>803</v>
      </c>
      <c r="AA571" s="660" t="s">
        <v>815</v>
      </c>
      <c r="AB571" s="660" t="s">
        <v>862</v>
      </c>
      <c r="AC571" s="660" t="s">
        <v>881</v>
      </c>
      <c r="AF571" s="1"/>
    </row>
    <row r="572" spans="1:32" ht="13.5" thickBot="1" x14ac:dyDescent="0.25">
      <c r="A572" s="663"/>
      <c r="B572" s="660"/>
      <c r="C572" s="660"/>
      <c r="D572" s="660"/>
      <c r="E572" s="660"/>
      <c r="F572" s="660"/>
      <c r="G572" s="660"/>
      <c r="H572" s="660"/>
      <c r="I572" s="660"/>
      <c r="J572" s="660"/>
      <c r="K572" s="660"/>
      <c r="L572" s="660"/>
      <c r="M572" s="660"/>
      <c r="N572" s="1"/>
      <c r="O572" s="660"/>
      <c r="P572" s="660"/>
      <c r="Q572" s="660"/>
      <c r="R572" s="660"/>
      <c r="S572" s="660"/>
      <c r="T572" s="660"/>
      <c r="U572" s="660"/>
      <c r="V572" s="660"/>
      <c r="W572" s="660"/>
      <c r="X572" s="660"/>
      <c r="Y572" s="660"/>
      <c r="Z572" s="660"/>
      <c r="AA572" s="660"/>
      <c r="AB572" s="660"/>
      <c r="AC572" s="660"/>
      <c r="AF572" s="1"/>
    </row>
    <row r="573" spans="1:32" ht="18" thickTop="1" thickBot="1" x14ac:dyDescent="0.25">
      <c r="A573" s="46" t="s">
        <v>13</v>
      </c>
      <c r="B573" s="52">
        <f>IFERROR(Y22*1,"0")+IFERROR(Y23*1,"0")+IFERROR(Y27*1,"0")+IFERROR(Y28*1,"0")+IFERROR(Y29*1,"0")+IFERROR(Y30*1,"0")+IFERROR(Y31*1,"0")</f>
        <v>0</v>
      </c>
      <c r="C573" s="52">
        <f>IFERROR(Y37*1,"0")+IFERROR(Y38*1,"0")+IFERROR(Y39*1,"0")+IFERROR(Y40*1,"0")+IFERROR(Y41*1,"0")</f>
        <v>0</v>
      </c>
      <c r="D573" s="52">
        <f>IFERROR(Y47*1,"0")+IFERROR(Y48*1,"0")+IFERROR(Y49*1,"0")+IFERROR(Y50*1,"0")</f>
        <v>0</v>
      </c>
      <c r="E573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2">
        <f>IFERROR(Y140*1,"0")+IFERROR(Y141*1,"0")+IFERROR(Y145*1,"0")+IFERROR(Y146*1,"0")+IFERROR(Y150*1,"0")+IFERROR(Y151*1,"0")</f>
        <v>0</v>
      </c>
      <c r="I573" s="52">
        <f>IFERROR(Y156*1,"0")+IFERROR(Y157*1,"0")+IFERROR(Y158*1,"0")+IFERROR(Y159*1,"0")+IFERROR(Y160*1,"0")+IFERROR(Y161*1,"0")+IFERROR(Y162*1,"0")+IFERROR(Y166*1,"0")</f>
        <v>0</v>
      </c>
      <c r="J573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2">
        <f>IFERROR(Y215*1,"0")+IFERROR(Y216*1,"0")+IFERROR(Y217*1,"0")+IFERROR(Y218*1,"0")+IFERROR(Y219*1,"0")+IFERROR(Y220*1,"0")+IFERROR(Y221*1,"0")</f>
        <v>0</v>
      </c>
      <c r="L573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2">
        <f>IFERROR(Y333*1,"0")+IFERROR(Y334*1,"0")+IFERROR(Y335*1,"0")+IFERROR(Y336*1,"0")+IFERROR(Y337*1,"0")</f>
        <v>0</v>
      </c>
      <c r="Q573" s="52">
        <f>IFERROR(Y342*1,"0")+IFERROR(Y343*1,"0")+IFERROR(Y344*1,"0")</f>
        <v>0</v>
      </c>
      <c r="R573" s="52">
        <f>IFERROR(Y349*1,"0")+IFERROR(Y350*1,"0")+IFERROR(Y351*1,"0")+IFERROR(Y352*1,"0")+IFERROR(Y353*1,"0")+IFERROR(Y357*1,"0")+IFERROR(Y358*1,"0")</f>
        <v>0</v>
      </c>
      <c r="S573" s="52">
        <f>IFERROR(Y363*1,"0")+IFERROR(Y364*1,"0")+IFERROR(Y365*1,"0")</f>
        <v>0</v>
      </c>
      <c r="T573" s="52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2">
        <f>IFERROR(Y421*1,"0")+IFERROR(Y422*1,"0")</f>
        <v>0</v>
      </c>
      <c r="V573" s="52">
        <f>IFERROR(Y427*1,"0")+IFERROR(Y428*1,"0")+IFERROR(Y429*1,"0")</f>
        <v>0</v>
      </c>
      <c r="W573" s="52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870</v>
      </c>
      <c r="X573" s="52">
        <f>IFERROR(Y464*1,"0")+IFERROR(Y465*1,"0")+IFERROR(Y469*1,"0")+IFERROR(Y473*1,"0")+IFERROR(Y474*1,"0")+IFERROR(Y475*1,"0")</f>
        <v>0</v>
      </c>
      <c r="Y573" s="52">
        <f>IFERROR(Y481*1,"0")+IFERROR(Y482*1,"0")+IFERROR(Y483*1,"0")+IFERROR(Y484*1,"0")+IFERROR(Y485*1,"0")+IFERROR(Y486*1,"0")+IFERROR(Y490*1,"0")+IFERROR(Y491*1,"0")</f>
        <v>0</v>
      </c>
      <c r="Z573" s="52">
        <f>IFERROR(Y496*1,"0")+IFERROR(Y500*1,"0")+IFERROR(Y501*1,"0")+IFERROR(Y502*1,"0")</f>
        <v>0</v>
      </c>
      <c r="AA573" s="52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0</v>
      </c>
      <c r="AB573" s="52">
        <f>IFERROR(Y538*1,"0")+IFERROR(Y542*1,"0")+IFERROR(Y546*1,"0")+IFERROR(Y550*1,"0")+IFERROR(Y554*1,"0")+IFERROR(Y555*1,"0")</f>
        <v>0</v>
      </c>
      <c r="AC573" s="52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60,00"/>
        <filter val="2"/>
        <filter val="26,67"/>
        <filter val="30,67"/>
        <filter val="300,00"/>
        <filter val="400,00"/>
        <filter val="460,00"/>
        <filter val="57,33"/>
        <filter val="860,00"/>
        <filter val="886,95"/>
        <filter val="936,95"/>
      </filters>
    </filterColumn>
    <filterColumn colId="29" showButton="0"/>
    <filterColumn colId="30" showButton="0"/>
  </autoFilter>
  <dataConsolidate/>
  <mergeCells count="10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9"/>
    </row>
    <row r="3" spans="2:8" x14ac:dyDescent="0.2">
      <c r="B3" s="53" t="s">
        <v>886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888</v>
      </c>
      <c r="C6" s="53" t="s">
        <v>889</v>
      </c>
      <c r="D6" s="53" t="s">
        <v>890</v>
      </c>
      <c r="E6" s="53" t="s">
        <v>46</v>
      </c>
    </row>
    <row r="7" spans="2:8" x14ac:dyDescent="0.2">
      <c r="B7" s="53" t="s">
        <v>891</v>
      </c>
      <c r="C7" s="53" t="s">
        <v>892</v>
      </c>
      <c r="D7" s="53" t="s">
        <v>893</v>
      </c>
      <c r="E7" s="53" t="s">
        <v>46</v>
      </c>
    </row>
    <row r="8" spans="2:8" x14ac:dyDescent="0.2">
      <c r="B8" s="53" t="s">
        <v>894</v>
      </c>
      <c r="C8" s="53" t="s">
        <v>895</v>
      </c>
      <c r="D8" s="53" t="s">
        <v>896</v>
      </c>
      <c r="E8" s="53" t="s">
        <v>46</v>
      </c>
    </row>
    <row r="9" spans="2:8" x14ac:dyDescent="0.2">
      <c r="B9" s="53" t="s">
        <v>897</v>
      </c>
      <c r="C9" s="53" t="s">
        <v>898</v>
      </c>
      <c r="D9" s="53" t="s">
        <v>899</v>
      </c>
      <c r="E9" s="53" t="s">
        <v>46</v>
      </c>
    </row>
    <row r="10" spans="2:8" x14ac:dyDescent="0.2">
      <c r="B10" s="53" t="s">
        <v>900</v>
      </c>
      <c r="C10" s="53" t="s">
        <v>901</v>
      </c>
      <c r="D10" s="53" t="s">
        <v>902</v>
      </c>
      <c r="E10" s="53" t="s">
        <v>46</v>
      </c>
    </row>
    <row r="11" spans="2:8" x14ac:dyDescent="0.2">
      <c r="B11" s="53" t="s">
        <v>903</v>
      </c>
      <c r="C11" s="53" t="s">
        <v>904</v>
      </c>
      <c r="D11" s="53" t="s">
        <v>905</v>
      </c>
      <c r="E11" s="53" t="s">
        <v>46</v>
      </c>
    </row>
    <row r="12" spans="2:8" x14ac:dyDescent="0.2">
      <c r="B12" s="53" t="s">
        <v>906</v>
      </c>
      <c r="C12" s="53" t="s">
        <v>907</v>
      </c>
      <c r="D12" s="53" t="s">
        <v>908</v>
      </c>
      <c r="E12" s="53" t="s">
        <v>46</v>
      </c>
    </row>
    <row r="14" spans="2:8" x14ac:dyDescent="0.2">
      <c r="B14" s="53" t="s">
        <v>909</v>
      </c>
      <c r="C14" s="53" t="s">
        <v>889</v>
      </c>
      <c r="D14" s="53" t="s">
        <v>46</v>
      </c>
      <c r="E14" s="53" t="s">
        <v>46</v>
      </c>
    </row>
    <row r="16" spans="2:8" x14ac:dyDescent="0.2">
      <c r="B16" s="53" t="s">
        <v>910</v>
      </c>
      <c r="C16" s="53" t="s">
        <v>892</v>
      </c>
      <c r="D16" s="53" t="s">
        <v>46</v>
      </c>
      <c r="E16" s="53" t="s">
        <v>46</v>
      </c>
    </row>
    <row r="18" spans="2:5" x14ac:dyDescent="0.2">
      <c r="B18" s="53" t="s">
        <v>911</v>
      </c>
      <c r="C18" s="53" t="s">
        <v>895</v>
      </c>
      <c r="D18" s="53" t="s">
        <v>46</v>
      </c>
      <c r="E18" s="53" t="s">
        <v>46</v>
      </c>
    </row>
    <row r="20" spans="2:5" x14ac:dyDescent="0.2">
      <c r="B20" s="53" t="s">
        <v>912</v>
      </c>
      <c r="C20" s="53" t="s">
        <v>898</v>
      </c>
      <c r="D20" s="53" t="s">
        <v>46</v>
      </c>
      <c r="E20" s="53" t="s">
        <v>46</v>
      </c>
    </row>
    <row r="22" spans="2:5" x14ac:dyDescent="0.2">
      <c r="B22" s="53" t="s">
        <v>913</v>
      </c>
      <c r="C22" s="53" t="s">
        <v>901</v>
      </c>
      <c r="D22" s="53" t="s">
        <v>46</v>
      </c>
      <c r="E22" s="53" t="s">
        <v>46</v>
      </c>
    </row>
    <row r="24" spans="2:5" x14ac:dyDescent="0.2">
      <c r="B24" s="53" t="s">
        <v>914</v>
      </c>
      <c r="C24" s="53" t="s">
        <v>904</v>
      </c>
      <c r="D24" s="53" t="s">
        <v>46</v>
      </c>
      <c r="E24" s="53" t="s">
        <v>46</v>
      </c>
    </row>
    <row r="26" spans="2:5" x14ac:dyDescent="0.2">
      <c r="B26" s="53" t="s">
        <v>915</v>
      </c>
      <c r="C26" s="53" t="s">
        <v>907</v>
      </c>
      <c r="D26" s="53" t="s">
        <v>46</v>
      </c>
      <c r="E26" s="53" t="s">
        <v>46</v>
      </c>
    </row>
    <row r="28" spans="2:5" x14ac:dyDescent="0.2">
      <c r="B28" s="53" t="s">
        <v>916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917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918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920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921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922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923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924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925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926</v>
      </c>
      <c r="C38" s="53" t="s">
        <v>46</v>
      </c>
      <c r="D38" s="53" t="s">
        <v>46</v>
      </c>
      <c r="E38" s="53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2026-09-07T12:24:06Z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