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3389F2F-6082-440A-ABD5-57D3596D74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P573" i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4" i="1"/>
  <c r="Y423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Y399" i="1" s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Y329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Y304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X285" i="1"/>
  <c r="X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Y258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59" i="1" s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Y253" i="1" s="1"/>
  <c r="P247" i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BO193" i="1"/>
  <c r="BM193" i="1"/>
  <c r="Y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BP188" i="1"/>
  <c r="BO188" i="1"/>
  <c r="BN188" i="1"/>
  <c r="BM188" i="1"/>
  <c r="Z188" i="1"/>
  <c r="Y188" i="1"/>
  <c r="P188" i="1"/>
  <c r="BO187" i="1"/>
  <c r="BM187" i="1"/>
  <c r="Y187" i="1"/>
  <c r="BO186" i="1"/>
  <c r="BM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X180" i="1"/>
  <c r="Y179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Y136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1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7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X567" i="1" s="1"/>
  <c r="BP23" i="1"/>
  <c r="BO23" i="1"/>
  <c r="BN23" i="1"/>
  <c r="BM23" i="1"/>
  <c r="Z23" i="1"/>
  <c r="Y23" i="1"/>
  <c r="P23" i="1"/>
  <c r="BO22" i="1"/>
  <c r="X565" i="1" s="1"/>
  <c r="BM22" i="1"/>
  <c r="X564" i="1" s="1"/>
  <c r="X566" i="1" s="1"/>
  <c r="Y22" i="1"/>
  <c r="B573" i="1" s="1"/>
  <c r="P22" i="1"/>
  <c r="H10" i="1"/>
  <c r="A9" i="1"/>
  <c r="F10" i="1" s="1"/>
  <c r="D7" i="1"/>
  <c r="Q6" i="1"/>
  <c r="P2" i="1"/>
  <c r="Z51" i="1" l="1"/>
  <c r="Z120" i="1"/>
  <c r="Z131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BP183" i="1"/>
  <c r="BN183" i="1"/>
  <c r="Z183" i="1"/>
  <c r="BP187" i="1"/>
  <c r="BN187" i="1"/>
  <c r="Z187" i="1"/>
  <c r="BP192" i="1"/>
  <c r="BN192" i="1"/>
  <c r="Z192" i="1"/>
  <c r="BP195" i="1"/>
  <c r="BN195" i="1"/>
  <c r="Z195" i="1"/>
  <c r="Y197" i="1"/>
  <c r="Y202" i="1"/>
  <c r="BP199" i="1"/>
  <c r="BN199" i="1"/>
  <c r="Z199" i="1"/>
  <c r="BP217" i="1"/>
  <c r="BN217" i="1"/>
  <c r="Z217" i="1"/>
  <c r="BP221" i="1"/>
  <c r="BN221" i="1"/>
  <c r="Z221" i="1"/>
  <c r="Y223" i="1"/>
  <c r="L573" i="1"/>
  <c r="Y227" i="1"/>
  <c r="BP226" i="1"/>
  <c r="BN226" i="1"/>
  <c r="Z226" i="1"/>
  <c r="Z227" i="1" s="1"/>
  <c r="Y228" i="1"/>
  <c r="Y245" i="1"/>
  <c r="BP230" i="1"/>
  <c r="BN230" i="1"/>
  <c r="Z230" i="1"/>
  <c r="BP234" i="1"/>
  <c r="BN234" i="1"/>
  <c r="Z234" i="1"/>
  <c r="BP238" i="1"/>
  <c r="BN238" i="1"/>
  <c r="Z238" i="1"/>
  <c r="BP242" i="1"/>
  <c r="BN242" i="1"/>
  <c r="Z242" i="1"/>
  <c r="BP250" i="1"/>
  <c r="BN250" i="1"/>
  <c r="Z250" i="1"/>
  <c r="BP267" i="1"/>
  <c r="BN267" i="1"/>
  <c r="Z267" i="1"/>
  <c r="Z268" i="1" s="1"/>
  <c r="Y269" i="1"/>
  <c r="Y274" i="1"/>
  <c r="BP271" i="1"/>
  <c r="BN271" i="1"/>
  <c r="Z271" i="1"/>
  <c r="Z273" i="1" s="1"/>
  <c r="BP279" i="1"/>
  <c r="BN279" i="1"/>
  <c r="Z279" i="1"/>
  <c r="BP283" i="1"/>
  <c r="BN283" i="1"/>
  <c r="Z283" i="1"/>
  <c r="BP288" i="1"/>
  <c r="BN288" i="1"/>
  <c r="Z288" i="1"/>
  <c r="Z299" i="1" s="1"/>
  <c r="Y300" i="1"/>
  <c r="BP292" i="1"/>
  <c r="BN292" i="1"/>
  <c r="Z292" i="1"/>
  <c r="BP296" i="1"/>
  <c r="BN296" i="1"/>
  <c r="Z296" i="1"/>
  <c r="Z315" i="1"/>
  <c r="BP309" i="1"/>
  <c r="BN309" i="1"/>
  <c r="Z309" i="1"/>
  <c r="Y315" i="1"/>
  <c r="BP313" i="1"/>
  <c r="BN313" i="1"/>
  <c r="Z313" i="1"/>
  <c r="BP352" i="1"/>
  <c r="BN352" i="1"/>
  <c r="Z352" i="1"/>
  <c r="Z405" i="1"/>
  <c r="BP402" i="1"/>
  <c r="BN402" i="1"/>
  <c r="Z402" i="1"/>
  <c r="Y406" i="1"/>
  <c r="BP410" i="1"/>
  <c r="BN410" i="1"/>
  <c r="Z410" i="1"/>
  <c r="Y412" i="1"/>
  <c r="Y417" i="1"/>
  <c r="BP414" i="1"/>
  <c r="BN414" i="1"/>
  <c r="Z414" i="1"/>
  <c r="Y418" i="1"/>
  <c r="Z430" i="1"/>
  <c r="BP428" i="1"/>
  <c r="BN428" i="1"/>
  <c r="Z428" i="1"/>
  <c r="Y430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73" i="1"/>
  <c r="Z38" i="1"/>
  <c r="Z42" i="1" s="1"/>
  <c r="BN38" i="1"/>
  <c r="Z40" i="1"/>
  <c r="BN40" i="1"/>
  <c r="Y43" i="1"/>
  <c r="D573" i="1"/>
  <c r="Z48" i="1"/>
  <c r="BN48" i="1"/>
  <c r="Z50" i="1"/>
  <c r="BN50" i="1"/>
  <c r="Y51" i="1"/>
  <c r="Z55" i="1"/>
  <c r="Z61" i="1" s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Z74" i="1" s="1"/>
  <c r="BN71" i="1"/>
  <c r="BP71" i="1"/>
  <c r="Z73" i="1"/>
  <c r="BN73" i="1"/>
  <c r="Z77" i="1"/>
  <c r="BN77" i="1"/>
  <c r="BP77" i="1"/>
  <c r="Z79" i="1"/>
  <c r="BN79" i="1"/>
  <c r="F573" i="1"/>
  <c r="Z86" i="1"/>
  <c r="Z90" i="1" s="1"/>
  <c r="BN86" i="1"/>
  <c r="Z87" i="1"/>
  <c r="BN87" i="1"/>
  <c r="Z89" i="1"/>
  <c r="BN89" i="1"/>
  <c r="Y90" i="1"/>
  <c r="Z93" i="1"/>
  <c r="Z100" i="1" s="1"/>
  <c r="BN93" i="1"/>
  <c r="BP93" i="1"/>
  <c r="Z94" i="1"/>
  <c r="BN94" i="1"/>
  <c r="Z97" i="1"/>
  <c r="BN97" i="1"/>
  <c r="Z98" i="1"/>
  <c r="BN98" i="1"/>
  <c r="G573" i="1"/>
  <c r="Z105" i="1"/>
  <c r="Z112" i="1" s="1"/>
  <c r="BN105" i="1"/>
  <c r="Z107" i="1"/>
  <c r="BN107" i="1"/>
  <c r="Z109" i="1"/>
  <c r="BN109" i="1"/>
  <c r="Z110" i="1"/>
  <c r="BN110" i="1"/>
  <c r="Y113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Z134" i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Z163" i="1" s="1"/>
  <c r="BN157" i="1"/>
  <c r="Z159" i="1"/>
  <c r="BN159" i="1"/>
  <c r="Z161" i="1"/>
  <c r="BN161" i="1"/>
  <c r="Y164" i="1"/>
  <c r="J573" i="1"/>
  <c r="Z172" i="1"/>
  <c r="Z174" i="1" s="1"/>
  <c r="BN172" i="1"/>
  <c r="Y175" i="1"/>
  <c r="Y180" i="1"/>
  <c r="BP177" i="1"/>
  <c r="BN177" i="1"/>
  <c r="Z177" i="1"/>
  <c r="Z179" i="1" s="1"/>
  <c r="Y196" i="1"/>
  <c r="BP186" i="1"/>
  <c r="BN186" i="1"/>
  <c r="Z186" i="1"/>
  <c r="Z196" i="1" s="1"/>
  <c r="BP190" i="1"/>
  <c r="BN190" i="1"/>
  <c r="Z190" i="1"/>
  <c r="BP193" i="1"/>
  <c r="BN193" i="1"/>
  <c r="Z193" i="1"/>
  <c r="BP201" i="1"/>
  <c r="BN201" i="1"/>
  <c r="Z201" i="1"/>
  <c r="Y203" i="1"/>
  <c r="Y206" i="1"/>
  <c r="BP205" i="1"/>
  <c r="BN205" i="1"/>
  <c r="Z205" i="1"/>
  <c r="Z206" i="1" s="1"/>
  <c r="Y207" i="1"/>
  <c r="Y210" i="1"/>
  <c r="BP209" i="1"/>
  <c r="BN209" i="1"/>
  <c r="Z209" i="1"/>
  <c r="Z210" i="1" s="1"/>
  <c r="Y211" i="1"/>
  <c r="K573" i="1"/>
  <c r="Y222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BP240" i="1"/>
  <c r="BN240" i="1"/>
  <c r="Z240" i="1"/>
  <c r="Y244" i="1"/>
  <c r="BP248" i="1"/>
  <c r="BN248" i="1"/>
  <c r="Z248" i="1"/>
  <c r="Z252" i="1" s="1"/>
  <c r="Y252" i="1"/>
  <c r="Z258" i="1"/>
  <c r="BP256" i="1"/>
  <c r="BN256" i="1"/>
  <c r="Z256" i="1"/>
  <c r="Y273" i="1"/>
  <c r="BP277" i="1"/>
  <c r="BN277" i="1"/>
  <c r="Z277" i="1"/>
  <c r="BP281" i="1"/>
  <c r="BN281" i="1"/>
  <c r="Z281" i="1"/>
  <c r="BP334" i="1"/>
  <c r="BN334" i="1"/>
  <c r="Z334" i="1"/>
  <c r="Z338" i="1" s="1"/>
  <c r="Y338" i="1"/>
  <c r="Z345" i="1"/>
  <c r="BP343" i="1"/>
  <c r="BN343" i="1"/>
  <c r="Z343" i="1"/>
  <c r="Y345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Y386" i="1"/>
  <c r="BP382" i="1"/>
  <c r="BN382" i="1"/>
  <c r="Z382" i="1"/>
  <c r="BP390" i="1"/>
  <c r="BN390" i="1"/>
  <c r="Z390" i="1"/>
  <c r="BP438" i="1"/>
  <c r="BN438" i="1"/>
  <c r="Z438" i="1"/>
  <c r="M573" i="1"/>
  <c r="Y268" i="1"/>
  <c r="Y285" i="1"/>
  <c r="Y284" i="1"/>
  <c r="Y299" i="1"/>
  <c r="BP290" i="1"/>
  <c r="BN290" i="1"/>
  <c r="Z290" i="1"/>
  <c r="BP294" i="1"/>
  <c r="BN294" i="1"/>
  <c r="Z294" i="1"/>
  <c r="BP298" i="1"/>
  <c r="BN298" i="1"/>
  <c r="Z298" i="1"/>
  <c r="Y305" i="1"/>
  <c r="BP302" i="1"/>
  <c r="BN302" i="1"/>
  <c r="Z302" i="1"/>
  <c r="Z304" i="1" s="1"/>
  <c r="BP311" i="1"/>
  <c r="BN311" i="1"/>
  <c r="Z311" i="1"/>
  <c r="Z329" i="1"/>
  <c r="BP327" i="1"/>
  <c r="BN327" i="1"/>
  <c r="Z327" i="1"/>
  <c r="Y339" i="1"/>
  <c r="BP336" i="1"/>
  <c r="BN336" i="1"/>
  <c r="Z336" i="1"/>
  <c r="Z354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Z366" i="1" s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Z392" i="1" s="1"/>
  <c r="Y392" i="1"/>
  <c r="Z398" i="1"/>
  <c r="BP396" i="1"/>
  <c r="BN396" i="1"/>
  <c r="Z396" i="1"/>
  <c r="Y405" i="1"/>
  <c r="BP404" i="1"/>
  <c r="BN404" i="1"/>
  <c r="Z404" i="1"/>
  <c r="Y411" i="1"/>
  <c r="BP408" i="1"/>
  <c r="BN408" i="1"/>
  <c r="Z408" i="1"/>
  <c r="Z411" i="1" s="1"/>
  <c r="BP416" i="1"/>
  <c r="BN416" i="1"/>
  <c r="Z416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Z443" i="1" s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X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476" i="1" l="1"/>
  <c r="Z533" i="1"/>
  <c r="Z455" i="1"/>
  <c r="Y565" i="1"/>
  <c r="Z417" i="1"/>
  <c r="Z244" i="1"/>
  <c r="Y567" i="1"/>
  <c r="Z517" i="1"/>
  <c r="Z487" i="1"/>
  <c r="Z503" i="1"/>
  <c r="Z385" i="1"/>
  <c r="Z375" i="1"/>
  <c r="Z284" i="1"/>
  <c r="Z222" i="1"/>
  <c r="Z136" i="1"/>
  <c r="Z81" i="1"/>
  <c r="Z568" i="1" s="1"/>
  <c r="Y563" i="1"/>
  <c r="Y564" i="1"/>
  <c r="Y566" i="1" s="1"/>
  <c r="Z202" i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<sst xmlns="http://schemas.openxmlformats.org/spreadsheetml/2006/main" count="2588" uniqueCount="926">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</sst>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topLeftCell="A543" zoomScaleNormal="100" zoomScaleSheetLayoutView="100" workbookViewId="0">
      <selection activeCell="AA569" sqref="AA56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0</v>
      </c>
      <c r="Y51" s="653">
        <f>IFERROR(Y47/H47,"0")+IFERROR(Y48/H48,"0")+IFERROR(Y49/H49,"0")+IFERROR(Y50/H50,"0")</f>
        <v>0</v>
      </c>
      <c r="Z51" s="653">
        <f>IFERROR(IF(Z47="",0,Z47),"0")+IFERROR(IF(Z48="",0,Z48),"0")+IFERROR(IF(Z49="",0,Z49),"0")+IFERROR(IF(Z50="",0,Z50),"0")</f>
        <v>0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0</v>
      </c>
      <c r="Y52" s="653">
        <f>IFERROR(SUM(Y47:Y50),"0")</f>
        <v>0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0</v>
      </c>
      <c r="Y61" s="653">
        <f>IFERROR(Y55/H55,"0")+IFERROR(Y56/H56,"0")+IFERROR(Y57/H57,"0")+IFERROR(Y58/H58,"0")+IFERROR(Y59/H59,"0")+IFERROR(Y60/H60,"0")</f>
        <v>0</v>
      </c>
      <c r="Z61" s="653">
        <f>IFERROR(IF(Z55="",0,Z55),"0")+IFERROR(IF(Z56="",0,Z56),"0")+IFERROR(IF(Z57="",0,Z57),"0")+IFERROR(IF(Z58="",0,Z58),"0")+IFERROR(IF(Z59="",0,Z59),"0")+IFERROR(IF(Z60="",0,Z60),"0")</f>
        <v>0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0</v>
      </c>
      <c r="Y62" s="653">
        <f>IFERROR(SUM(Y55:Y60),"0")</f>
        <v>0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73</v>
      </c>
      <c r="Y64" s="652">
        <f>IFERROR(IF(X64="",0,CEILING((X64/$H64),1)*$H64),"")</f>
        <v>75.600000000000009</v>
      </c>
      <c r="Z64" s="36">
        <f>IFERROR(IF(Y64=0,"",ROUNDUP(Y64/H64,0)*0.01898),"")</f>
        <v>0.13286000000000001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75.771296296296299</v>
      </c>
      <c r="BN64" s="64">
        <f>IFERROR(Y64*I64/H64,"0")</f>
        <v>78.47</v>
      </c>
      <c r="BO64" s="64">
        <f>IFERROR(1/J64*(X64/H64),"0")</f>
        <v>0.10561342592592592</v>
      </c>
      <c r="BP64" s="64">
        <f>IFERROR(1/J64*(Y64/H64),"0")</f>
        <v>0.109375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6.7592592592592586</v>
      </c>
      <c r="Y68" s="653">
        <f>IFERROR(Y64/H64,"0")+IFERROR(Y65/H65,"0")+IFERROR(Y66/H66,"0")+IFERROR(Y67/H67,"0")</f>
        <v>7</v>
      </c>
      <c r="Z68" s="653">
        <f>IFERROR(IF(Z64="",0,Z64),"0")+IFERROR(IF(Z65="",0,Z65),"0")+IFERROR(IF(Z66="",0,Z66),"0")+IFERROR(IF(Z67="",0,Z67),"0")</f>
        <v>0.13286000000000001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73</v>
      </c>
      <c r="Y69" s="653">
        <f>IFERROR(SUM(Y64:Y67),"0")</f>
        <v>75.600000000000009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182</v>
      </c>
      <c r="Y89" s="652">
        <f>IFERROR(IF(X89="",0,CEILING((X89/$H89),1)*$H89),"")</f>
        <v>184.5</v>
      </c>
      <c r="Z89" s="36">
        <f>IFERROR(IF(Y89=0,"",ROUNDUP(Y89/H89,0)*0.00902),"")</f>
        <v>0.36982000000000004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189.68444444444447</v>
      </c>
      <c r="BN89" s="64">
        <f>IFERROR(Y89*I89/H89,"0")</f>
        <v>192.29000000000002</v>
      </c>
      <c r="BO89" s="64">
        <f>IFERROR(1/J89*(X89/H89),"0")</f>
        <v>0.30639730639730639</v>
      </c>
      <c r="BP89" s="64">
        <f>IFERROR(1/J89*(Y89/H89),"0")</f>
        <v>0.31060606060606061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40.444444444444443</v>
      </c>
      <c r="Y90" s="653">
        <f>IFERROR(Y85/H85,"0")+IFERROR(Y86/H86,"0")+IFERROR(Y87/H87,"0")+IFERROR(Y88/H88,"0")+IFERROR(Y89/H89,"0")</f>
        <v>41</v>
      </c>
      <c r="Z90" s="653">
        <f>IFERROR(IF(Z85="",0,Z85),"0")+IFERROR(IF(Z86="",0,Z86),"0")+IFERROR(IF(Z87="",0,Z87),"0")+IFERROR(IF(Z88="",0,Z88),"0")+IFERROR(IF(Z89="",0,Z89),"0")</f>
        <v>0.36982000000000004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182</v>
      </c>
      <c r="Y91" s="653">
        <f>IFERROR(SUM(Y85:Y89),"0")</f>
        <v>184.5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0</v>
      </c>
      <c r="Y93" s="652">
        <f t="shared" ref="Y93:Y99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0</v>
      </c>
      <c r="BN93" s="64">
        <f t="shared" ref="BN93:BN99" si="7">IFERROR(Y93*I93/H93,"0")</f>
        <v>0</v>
      </c>
      <c r="BO93" s="64">
        <f t="shared" ref="BO93:BO99" si="8">IFERROR(1/J93*(X93/H93),"0")</f>
        <v>0</v>
      </c>
      <c r="BP93" s="64">
        <f t="shared" ref="BP93:BP99" si="9">IFERROR(1/J93*(Y93/H93),"0")</f>
        <v>0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0</v>
      </c>
      <c r="Y100" s="653">
        <f>IFERROR(Y93/H93,"0")+IFERROR(Y94/H94,"0")+IFERROR(Y95/H95,"0")+IFERROR(Y96/H96,"0")+IFERROR(Y97/H97,"0")+IFERROR(Y98/H98,"0")+IFERROR(Y99/H99,"0")</f>
        <v>0</v>
      </c>
      <c r="Z100" s="65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0</v>
      </c>
      <c r="Y101" s="653">
        <f>IFERROR(SUM(Y93:Y99),"0")</f>
        <v>0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80</v>
      </c>
      <c r="Y104" s="652">
        <f t="shared" ref="Y104:Y111" si="10">IFERROR(IF(X104="",0,CEILING((X104/$H104),1)*$H104),"")</f>
        <v>86.4</v>
      </c>
      <c r="Z104" s="36">
        <f>IFERROR(IF(Y104=0,"",ROUNDUP(Y104/H104,0)*0.01898),"")</f>
        <v>0.15184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83.037037037037038</v>
      </c>
      <c r="BN104" s="64">
        <f t="shared" ref="BN104:BN111" si="12">IFERROR(Y104*I104/H104,"0")</f>
        <v>89.68</v>
      </c>
      <c r="BO104" s="64">
        <f t="shared" ref="BO104:BO111" si="13">IFERROR(1/J104*(X104/H104),"0")</f>
        <v>0.11574074074074073</v>
      </c>
      <c r="BP104" s="64">
        <f t="shared" ref="BP104:BP111" si="14">IFERROR(1/J104*(Y104/H104),"0")</f>
        <v>0.125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122</v>
      </c>
      <c r="Y109" s="652">
        <f t="shared" si="10"/>
        <v>126</v>
      </c>
      <c r="Z109" s="36">
        <f>IFERROR(IF(Y109=0,"",ROUNDUP(Y109/H109,0)*0.00902),"")</f>
        <v>0.25256000000000001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127.15111111111112</v>
      </c>
      <c r="BN109" s="64">
        <f t="shared" si="12"/>
        <v>131.32000000000002</v>
      </c>
      <c r="BO109" s="64">
        <f t="shared" si="13"/>
        <v>0.2053872053872054</v>
      </c>
      <c r="BP109" s="64">
        <f t="shared" si="14"/>
        <v>0.21212121212121213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34.518518518518519</v>
      </c>
      <c r="Y112" s="653">
        <f>IFERROR(Y104/H104,"0")+IFERROR(Y105/H105,"0")+IFERROR(Y106/H106,"0")+IFERROR(Y107/H107,"0")+IFERROR(Y108/H108,"0")+IFERROR(Y109/H109,"0")+IFERROR(Y110/H110,"0")+IFERROR(Y111/H111,"0")</f>
        <v>36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0.40439999999999998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202</v>
      </c>
      <c r="Y113" s="653">
        <f>IFERROR(SUM(Y104:Y111),"0")</f>
        <v>212.4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38</v>
      </c>
      <c r="Y115" s="652">
        <f>IFERROR(IF(X115="",0,CEILING((X115/$H115),1)*$H115),"")</f>
        <v>43.2</v>
      </c>
      <c r="Z115" s="36">
        <f>IFERROR(IF(Y115=0,"",ROUNDUP(Y115/H115,0)*0.01898),"")</f>
        <v>7.5920000000000001E-2</v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39.44259259259259</v>
      </c>
      <c r="BN115" s="64">
        <f>IFERROR(Y115*I115/H115,"0")</f>
        <v>44.84</v>
      </c>
      <c r="BO115" s="64">
        <f>IFERROR(1/J115*(X115/H115),"0")</f>
        <v>5.4976851851851846E-2</v>
      </c>
      <c r="BP115" s="64">
        <f>IFERROR(1/J115*(Y115/H115),"0")</f>
        <v>6.25E-2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3.5185185185185182</v>
      </c>
      <c r="Y120" s="653">
        <f>IFERROR(Y115/H115,"0")+IFERROR(Y116/H116,"0")+IFERROR(Y117/H117,"0")+IFERROR(Y118/H118,"0")+IFERROR(Y119/H119,"0")</f>
        <v>4</v>
      </c>
      <c r="Z120" s="653">
        <f>IFERROR(IF(Z115="",0,Z115),"0")+IFERROR(IF(Z116="",0,Z116),"0")+IFERROR(IF(Z117="",0,Z117),"0")+IFERROR(IF(Z118="",0,Z118),"0")+IFERROR(IF(Z119="",0,Z119),"0")</f>
        <v>7.5920000000000001E-2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38</v>
      </c>
      <c r="Y121" s="653">
        <f>IFERROR(SUM(Y115:Y119),"0")</f>
        <v>43.2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615</v>
      </c>
      <c r="Y123" s="652">
        <f t="shared" ref="Y123:Y130" si="15">IFERROR(IF(X123="",0,CEILING((X123/$H123),1)*$H123),"")</f>
        <v>615.6</v>
      </c>
      <c r="Z123" s="36">
        <f>IFERROR(IF(Y123=0,"",ROUNDUP(Y123/H123,0)*0.01898),"")</f>
        <v>1.44248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652.05185185185189</v>
      </c>
      <c r="BN123" s="64">
        <f t="shared" ref="BN123:BN130" si="17">IFERROR(Y123*I123/H123,"0")</f>
        <v>652.68799999999999</v>
      </c>
      <c r="BO123" s="64">
        <f t="shared" ref="BO123:BO130" si="18">IFERROR(1/J123*(X123/H123),"0")</f>
        <v>1.1863425925925926</v>
      </c>
      <c r="BP123" s="64">
        <f t="shared" ref="BP123:BP130" si="19">IFERROR(1/J123*(Y123/H123),"0")</f>
        <v>1.1875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791</v>
      </c>
      <c r="Y127" s="652">
        <f t="shared" si="15"/>
        <v>791.1</v>
      </c>
      <c r="Z127" s="36">
        <f t="shared" si="20"/>
        <v>1.90743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864.82666666666671</v>
      </c>
      <c r="BN127" s="64">
        <f t="shared" si="17"/>
        <v>864.93600000000004</v>
      </c>
      <c r="BO127" s="64">
        <f t="shared" si="18"/>
        <v>1.6096866096866096</v>
      </c>
      <c r="BP127" s="64">
        <f t="shared" si="19"/>
        <v>1.6098901098901099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368.88888888888886</v>
      </c>
      <c r="Y131" s="653">
        <f>IFERROR(Y123/H123,"0")+IFERROR(Y124/H124,"0")+IFERROR(Y125/H125,"0")+IFERROR(Y126/H126,"0")+IFERROR(Y127/H127,"0")+IFERROR(Y128/H128,"0")+IFERROR(Y129/H129,"0")+IFERROR(Y130/H130,"0")</f>
        <v>369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3.3499099999999999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1406</v>
      </c>
      <c r="Y132" s="653">
        <f>IFERROR(SUM(Y123:Y130),"0")</f>
        <v>1406.7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55</v>
      </c>
      <c r="Y145" s="652">
        <f>IFERROR(IF(X145="",0,CEILING((X145/$H145),1)*$H145),"")</f>
        <v>56</v>
      </c>
      <c r="Z145" s="36">
        <f>IFERROR(IF(Y145=0,"",ROUNDUP(Y145/H145,0)*0.00651),"")</f>
        <v>0.13020000000000001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60.26428571428572</v>
      </c>
      <c r="BN145" s="64">
        <f>IFERROR(Y145*I145/H145,"0")</f>
        <v>61.36</v>
      </c>
      <c r="BO145" s="64">
        <f>IFERROR(1/J145*(X145/H145),"0")</f>
        <v>0.10792778649921507</v>
      </c>
      <c r="BP145" s="64">
        <f>IFERROR(1/J145*(Y145/H145),"0")</f>
        <v>0.1098901098901099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19.642857142857142</v>
      </c>
      <c r="Y147" s="653">
        <f>IFERROR(Y145/H145,"0")+IFERROR(Y146/H146,"0")</f>
        <v>20</v>
      </c>
      <c r="Z147" s="653">
        <f>IFERROR(IF(Z145="",0,Z145),"0")+IFERROR(IF(Z146="",0,Z146),"0")</f>
        <v>0.13020000000000001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55</v>
      </c>
      <c r="Y148" s="653">
        <f>IFERROR(SUM(Y145:Y146),"0")</f>
        <v>56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33</v>
      </c>
      <c r="Y150" s="652">
        <f>IFERROR(IF(X150="",0,CEILING((X150/$H150),1)*$H150),"")</f>
        <v>34.32</v>
      </c>
      <c r="Z150" s="36">
        <f>IFERROR(IF(Y150=0,"",ROUNDUP(Y150/H150,0)*0.00651),"")</f>
        <v>8.4629999999999997E-2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36.349999999999994</v>
      </c>
      <c r="BN150" s="64">
        <f>IFERROR(Y150*I150/H150,"0")</f>
        <v>37.803999999999995</v>
      </c>
      <c r="BO150" s="64">
        <f>IFERROR(1/J150*(X150/H150),"0")</f>
        <v>6.8681318681318687E-2</v>
      </c>
      <c r="BP150" s="64">
        <f>IFERROR(1/J150*(Y150/H150),"0")</f>
        <v>7.1428571428571438E-2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12.5</v>
      </c>
      <c r="Y152" s="653">
        <f>IFERROR(Y150/H150,"0")+IFERROR(Y151/H151,"0")</f>
        <v>13</v>
      </c>
      <c r="Z152" s="653">
        <f>IFERROR(IF(Z150="",0,Z150),"0")+IFERROR(IF(Z151="",0,Z151),"0")</f>
        <v>8.4629999999999997E-2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33</v>
      </c>
      <c r="Y153" s="653">
        <f>IFERROR(SUM(Y150:Y151),"0")</f>
        <v>34.32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100</v>
      </c>
      <c r="Y184" s="652">
        <f t="shared" si="27"/>
        <v>101.5</v>
      </c>
      <c r="Z184" s="36">
        <f t="shared" si="28"/>
        <v>0.26158000000000003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105.42857142857143</v>
      </c>
      <c r="BN184" s="64">
        <f t="shared" si="30"/>
        <v>107.00999999999999</v>
      </c>
      <c r="BO184" s="64">
        <f t="shared" si="31"/>
        <v>0.21645021645021648</v>
      </c>
      <c r="BP184" s="64">
        <f t="shared" si="32"/>
        <v>0.2196969696969697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100</v>
      </c>
      <c r="Y186" s="652">
        <f t="shared" si="27"/>
        <v>101.5</v>
      </c>
      <c r="Z186" s="36">
        <f t="shared" si="28"/>
        <v>0.26158000000000003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105.42857142857143</v>
      </c>
      <c r="BN186" s="64">
        <f t="shared" si="30"/>
        <v>107.00999999999999</v>
      </c>
      <c r="BO186" s="64">
        <f t="shared" si="31"/>
        <v>0.21645021645021648</v>
      </c>
      <c r="BP186" s="64">
        <f t="shared" si="32"/>
        <v>0.2196969696969697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10</v>
      </c>
      <c r="Y188" s="652">
        <f t="shared" si="27"/>
        <v>10.8</v>
      </c>
      <c r="Z188" s="36">
        <f>IFERROR(IF(Y188=0,"",ROUNDUP(Y188/H188,0)*0.00417),"")</f>
        <v>5.0040000000000001E-2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12.333333333333334</v>
      </c>
      <c r="BN188" s="64">
        <f t="shared" si="30"/>
        <v>13.32</v>
      </c>
      <c r="BO188" s="64">
        <f t="shared" si="31"/>
        <v>3.3068783068783067E-2</v>
      </c>
      <c r="BP188" s="64">
        <f t="shared" si="32"/>
        <v>3.5714285714285712E-2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42</v>
      </c>
      <c r="Y190" s="652">
        <f t="shared" si="27"/>
        <v>42</v>
      </c>
      <c r="Z190" s="36">
        <f>IFERROR(IF(Y190=0,"",ROUNDUP(Y190/H190,0)*0.00502),"")</f>
        <v>0.1255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44.500000000000007</v>
      </c>
      <c r="BN190" s="64">
        <f t="shared" si="30"/>
        <v>44.500000000000007</v>
      </c>
      <c r="BO190" s="64">
        <f t="shared" si="31"/>
        <v>0.10683760683760685</v>
      </c>
      <c r="BP190" s="64">
        <f t="shared" si="32"/>
        <v>0.10683760683760685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9</v>
      </c>
      <c r="Y191" s="652">
        <f t="shared" si="27"/>
        <v>9</v>
      </c>
      <c r="Z191" s="36">
        <f>IFERROR(IF(Y191=0,"",ROUNDUP(Y191/H191,0)*0.00417),"")</f>
        <v>4.1700000000000001E-2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11.1</v>
      </c>
      <c r="BN191" s="64">
        <f t="shared" si="30"/>
        <v>11.1</v>
      </c>
      <c r="BO191" s="64">
        <f t="shared" si="31"/>
        <v>2.976190476190476E-2</v>
      </c>
      <c r="BP191" s="64">
        <f t="shared" si="32"/>
        <v>2.976190476190476E-2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9</v>
      </c>
      <c r="Y194" s="652">
        <f t="shared" si="27"/>
        <v>9</v>
      </c>
      <c r="Z194" s="36">
        <f>IFERROR(IF(Y194=0,"",ROUNDUP(Y194/H194,0)*0.00417),"")</f>
        <v>4.1700000000000001E-2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10</v>
      </c>
      <c r="BN194" s="64">
        <f t="shared" si="30"/>
        <v>10</v>
      </c>
      <c r="BO194" s="64">
        <f t="shared" si="31"/>
        <v>2.976190476190476E-2</v>
      </c>
      <c r="BP194" s="64">
        <f t="shared" si="32"/>
        <v>2.976190476190476E-2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50</v>
      </c>
      <c r="Y195" s="652">
        <f t="shared" si="27"/>
        <v>50.4</v>
      </c>
      <c r="Z195" s="36">
        <f>IFERROR(IF(Y195=0,"",ROUNDUP(Y195/H195,0)*0.00502),"")</f>
        <v>0.15060000000000001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52.976190476190482</v>
      </c>
      <c r="BN195" s="64">
        <f t="shared" si="30"/>
        <v>53.400000000000006</v>
      </c>
      <c r="BO195" s="64">
        <f t="shared" si="31"/>
        <v>0.12718762718762722</v>
      </c>
      <c r="BP195" s="64">
        <f t="shared" si="32"/>
        <v>0.12820512820512822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204.92063492063494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208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1.3649600000000002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476</v>
      </c>
      <c r="Y197" s="653">
        <f>IFERROR(SUM(Y182:Y195),"0")</f>
        <v>482.82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100</v>
      </c>
      <c r="Y230" s="652">
        <f t="shared" ref="Y230:Y243" si="39">IFERROR(IF(X230="",0,CEILING((X230/$H230),1)*$H230),"")</f>
        <v>100.80000000000001</v>
      </c>
      <c r="Z230" s="36">
        <f>IFERROR(IF(Y230=0,"",ROUNDUP(Y230/H230,0)*0.00902),"")</f>
        <v>0.21648000000000001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105.95238095238095</v>
      </c>
      <c r="BN230" s="64">
        <f t="shared" ref="BN230:BN243" si="41">IFERROR(Y230*I230/H230,"0")</f>
        <v>106.80000000000001</v>
      </c>
      <c r="BO230" s="64">
        <f t="shared" ref="BO230:BO243" si="42">IFERROR(1/J230*(X230/H230),"0")</f>
        <v>0.18037518037518038</v>
      </c>
      <c r="BP230" s="64">
        <f t="shared" ref="BP230:BP243" si="43">IFERROR(1/J230*(Y230/H230),"0")</f>
        <v>0.18181818181818182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40</v>
      </c>
      <c r="Y232" s="652">
        <f t="shared" si="39"/>
        <v>42</v>
      </c>
      <c r="Z232" s="36">
        <f>IFERROR(IF(Y232=0,"",ROUNDUP(Y232/H232,0)*0.00902),"")</f>
        <v>9.0200000000000002E-2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41.809523809523803</v>
      </c>
      <c r="BN232" s="64">
        <f t="shared" si="41"/>
        <v>43.9</v>
      </c>
      <c r="BO232" s="64">
        <f t="shared" si="42"/>
        <v>7.2150072150072145E-2</v>
      </c>
      <c r="BP232" s="64">
        <f t="shared" si="43"/>
        <v>7.575757575757576E-2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8</v>
      </c>
      <c r="Y233" s="652">
        <f t="shared" si="39"/>
        <v>8</v>
      </c>
      <c r="Z233" s="36">
        <f>IFERROR(IF(Y233=0,"",ROUNDUP(Y233/H233,0)*0.00556),"")</f>
        <v>5.5599999999999997E-2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9.3000000000000007</v>
      </c>
      <c r="BN233" s="64">
        <f t="shared" si="41"/>
        <v>9.3000000000000007</v>
      </c>
      <c r="BO233" s="64">
        <f t="shared" si="42"/>
        <v>3.968253968253968E-2</v>
      </c>
      <c r="BP233" s="64">
        <f t="shared" si="43"/>
        <v>3.968253968253968E-2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35</v>
      </c>
      <c r="Y234" s="652">
        <f t="shared" si="39"/>
        <v>35.700000000000003</v>
      </c>
      <c r="Z234" s="36">
        <f t="shared" ref="Z234:Z239" si="44">IFERROR(IF(Y234=0,"",ROUNDUP(Y234/H234,0)*0.00502),"")</f>
        <v>8.5339999999999999E-2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37.166666666666664</v>
      </c>
      <c r="BN234" s="64">
        <f t="shared" si="41"/>
        <v>37.910000000000004</v>
      </c>
      <c r="BO234" s="64">
        <f t="shared" si="42"/>
        <v>7.1225071225071226E-2</v>
      </c>
      <c r="BP234" s="64">
        <f t="shared" si="43"/>
        <v>7.2649572649572655E-2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12</v>
      </c>
      <c r="Y239" s="652">
        <f t="shared" si="39"/>
        <v>12.6</v>
      </c>
      <c r="Z239" s="36">
        <f t="shared" si="44"/>
        <v>3.5140000000000005E-2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12.866666666666667</v>
      </c>
      <c r="BN239" s="64">
        <f t="shared" si="41"/>
        <v>13.509999999999998</v>
      </c>
      <c r="BO239" s="64">
        <f t="shared" si="42"/>
        <v>2.8490028490028491E-2</v>
      </c>
      <c r="BP239" s="64">
        <f t="shared" si="43"/>
        <v>2.9914529914529919E-2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8</v>
      </c>
      <c r="Y240" s="652">
        <f t="shared" si="39"/>
        <v>8</v>
      </c>
      <c r="Z240" s="36">
        <f>IFERROR(IF(Y240=0,"",ROUNDUP(Y240/H240,0)*0.00417),"")</f>
        <v>4.1700000000000001E-2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10.1</v>
      </c>
      <c r="BN240" s="64">
        <f t="shared" si="41"/>
        <v>10.1</v>
      </c>
      <c r="BO240" s="64">
        <f t="shared" si="42"/>
        <v>2.976190476190476E-2</v>
      </c>
      <c r="BP240" s="64">
        <f t="shared" si="43"/>
        <v>2.976190476190476E-2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28</v>
      </c>
      <c r="Y241" s="652">
        <f t="shared" si="39"/>
        <v>29.400000000000002</v>
      </c>
      <c r="Z241" s="36">
        <f>IFERROR(IF(Y241=0,"",ROUNDUP(Y241/H241,0)*0.00502),"")</f>
        <v>7.0280000000000009E-2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29.333333333333336</v>
      </c>
      <c r="BN241" s="64">
        <f t="shared" si="41"/>
        <v>30.8</v>
      </c>
      <c r="BO241" s="64">
        <f t="shared" si="42"/>
        <v>5.6980056980056981E-2</v>
      </c>
      <c r="BP241" s="64">
        <f t="shared" si="43"/>
        <v>5.9829059829059839E-2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90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92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0.59474000000000005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231</v>
      </c>
      <c r="Y245" s="653">
        <f>IFERROR(SUM(Y230:Y243),"0")</f>
        <v>236.5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4</v>
      </c>
      <c r="Y256" s="652">
        <f>IFERROR(IF(X256="",0,CEILING((X256/$H256),1)*$H256),"")</f>
        <v>5.04</v>
      </c>
      <c r="Z256" s="36">
        <f>IFERROR(IF(Y256=0,"",ROUNDUP(Y256/H256,0)*0.0059),"")</f>
        <v>2.3599999999999999E-2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4.6031746031746028</v>
      </c>
      <c r="BN256" s="64">
        <f>IFERROR(Y256*I256/H256,"0")</f>
        <v>5.8</v>
      </c>
      <c r="BO256" s="64">
        <f>IFERROR(1/J256*(X256/H256),"0")</f>
        <v>1.469723691945914E-2</v>
      </c>
      <c r="BP256" s="64">
        <f>IFERROR(1/J256*(Y256/H256),"0")</f>
        <v>1.8518518518518517E-2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2</v>
      </c>
      <c r="Y257" s="652">
        <f>IFERROR(IF(X257="",0,CEILING((X257/$H257),1)*$H257),"")</f>
        <v>2.52</v>
      </c>
      <c r="Z257" s="36">
        <f>IFERROR(IF(Y257=0,"",ROUNDUP(Y257/H257,0)*0.0059),"")</f>
        <v>1.18E-2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2.3015873015873014</v>
      </c>
      <c r="BN257" s="64">
        <f>IFERROR(Y257*I257/H257,"0")</f>
        <v>2.9</v>
      </c>
      <c r="BO257" s="64">
        <f>IFERROR(1/J257*(X257/H257),"0")</f>
        <v>7.3486184597295699E-3</v>
      </c>
      <c r="BP257" s="64">
        <f>IFERROR(1/J257*(Y257/H257),"0")</f>
        <v>9.2592592592592587E-3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4.7619047619047619</v>
      </c>
      <c r="Y258" s="653">
        <f>IFERROR(Y255/H255,"0")+IFERROR(Y256/H256,"0")+IFERROR(Y257/H257,"0")</f>
        <v>6</v>
      </c>
      <c r="Z258" s="653">
        <f>IFERROR(IF(Z255="",0,Z255),"0")+IFERROR(IF(Z256="",0,Z256),"0")+IFERROR(IF(Z257="",0,Z257),"0")</f>
        <v>3.5400000000000001E-2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6</v>
      </c>
      <c r="Y259" s="653">
        <f>IFERROR(SUM(Y255:Y257),"0")</f>
        <v>7.5600000000000005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2</v>
      </c>
      <c r="Y261" s="652">
        <f>IFERROR(IF(X261="",0,CEILING((X261/$H261),1)*$H261),"")</f>
        <v>2.52</v>
      </c>
      <c r="Z261" s="36">
        <f>IFERROR(IF(Y261=0,"",ROUNDUP(Y261/H261,0)*0.0059),"")</f>
        <v>1.18E-2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2.3015873015873014</v>
      </c>
      <c r="BN261" s="64">
        <f>IFERROR(Y261*I261/H261,"0")</f>
        <v>2.9</v>
      </c>
      <c r="BO261" s="64">
        <f>IFERROR(1/J261*(X261/H261),"0")</f>
        <v>7.3486184597295699E-3</v>
      </c>
      <c r="BP261" s="64">
        <f>IFERROR(1/J261*(Y261/H261),"0")</f>
        <v>9.2592592592592587E-3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1.5873015873015872</v>
      </c>
      <c r="Y262" s="653">
        <f>IFERROR(Y261/H261,"0")</f>
        <v>2</v>
      </c>
      <c r="Z262" s="653">
        <f>IFERROR(IF(Z261="",0,Z261),"0")</f>
        <v>1.18E-2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2</v>
      </c>
      <c r="Y263" s="653">
        <f>IFERROR(SUM(Y261:Y261),"0")</f>
        <v>2.52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70</v>
      </c>
      <c r="Y276" s="652">
        <f t="shared" ref="Y276:Y283" si="45">IFERROR(IF(X276="",0,CEILING((X276/$H276),1)*$H276),"")</f>
        <v>70.2</v>
      </c>
      <c r="Z276" s="36">
        <f>IFERROR(IF(Y276=0,"",ROUNDUP(Y276/H276,0)*0.00902),"")</f>
        <v>0.11726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72.462962962962962</v>
      </c>
      <c r="BN276" s="64">
        <f t="shared" ref="BN276:BN283" si="47">IFERROR(Y276*I276/H276,"0")</f>
        <v>72.67</v>
      </c>
      <c r="BO276" s="64">
        <f t="shared" ref="BO276:BO283" si="48">IFERROR(1/J276*(X276/H276),"0")</f>
        <v>9.8204264870931535E-2</v>
      </c>
      <c r="BP276" s="64">
        <f t="shared" ref="BP276:BP283" si="49">IFERROR(1/J276*(Y276/H276),"0")</f>
        <v>9.8484848484848481E-2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50</v>
      </c>
      <c r="Y277" s="652">
        <f t="shared" si="45"/>
        <v>54</v>
      </c>
      <c r="Z277" s="36">
        <f>IFERROR(IF(Y277=0,"",ROUNDUP(Y277/H277,0)*0.00902),"")</f>
        <v>9.0200000000000002E-2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51.759259259259252</v>
      </c>
      <c r="BN277" s="64">
        <f t="shared" si="47"/>
        <v>55.9</v>
      </c>
      <c r="BO277" s="64">
        <f t="shared" si="48"/>
        <v>7.0145903479236812E-2</v>
      </c>
      <c r="BP277" s="64">
        <f t="shared" si="49"/>
        <v>7.575757575757576E-2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300</v>
      </c>
      <c r="Y278" s="652">
        <f t="shared" si="45"/>
        <v>302.40000000000003</v>
      </c>
      <c r="Z278" s="36">
        <f>IFERROR(IF(Y278=0,"",ROUNDUP(Y278/H278,0)*0.00902),"")</f>
        <v>0.50512000000000001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310.55555555555554</v>
      </c>
      <c r="BN278" s="64">
        <f t="shared" si="47"/>
        <v>313.04000000000002</v>
      </c>
      <c r="BO278" s="64">
        <f t="shared" si="48"/>
        <v>0.42087542087542085</v>
      </c>
      <c r="BP278" s="64">
        <f t="shared" si="49"/>
        <v>0.42424242424242425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90</v>
      </c>
      <c r="Y279" s="652">
        <f t="shared" si="45"/>
        <v>91.800000000000011</v>
      </c>
      <c r="Z279" s="36">
        <f>IFERROR(IF(Y279=0,"",ROUNDUP(Y279/H279,0)*0.00902),"")</f>
        <v>0.15334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93.166666666666657</v>
      </c>
      <c r="BN279" s="64">
        <f t="shared" si="47"/>
        <v>95.03</v>
      </c>
      <c r="BO279" s="64">
        <f t="shared" si="48"/>
        <v>0.12626262626262624</v>
      </c>
      <c r="BP279" s="64">
        <f t="shared" si="49"/>
        <v>0.12878787878787878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18</v>
      </c>
      <c r="Y280" s="652">
        <f t="shared" si="45"/>
        <v>18</v>
      </c>
      <c r="Z280" s="36">
        <f>IFERROR(IF(Y280=0,"",ROUNDUP(Y280/H280,0)*0.00502),"")</f>
        <v>5.0200000000000002E-2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19.3</v>
      </c>
      <c r="BN280" s="64">
        <f t="shared" si="47"/>
        <v>19.3</v>
      </c>
      <c r="BO280" s="64">
        <f t="shared" si="48"/>
        <v>4.2735042735042736E-2</v>
      </c>
      <c r="BP280" s="64">
        <f t="shared" si="49"/>
        <v>4.2735042735042736E-2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18</v>
      </c>
      <c r="Y281" s="652">
        <f t="shared" si="45"/>
        <v>18</v>
      </c>
      <c r="Z281" s="36">
        <f>IFERROR(IF(Y281=0,"",ROUNDUP(Y281/H281,0)*0.00502),"")</f>
        <v>5.0200000000000002E-2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18.999999999999996</v>
      </c>
      <c r="BN281" s="64">
        <f t="shared" si="47"/>
        <v>18.999999999999996</v>
      </c>
      <c r="BO281" s="64">
        <f t="shared" si="48"/>
        <v>4.2735042735042736E-2</v>
      </c>
      <c r="BP281" s="64">
        <f t="shared" si="49"/>
        <v>4.2735042735042736E-2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12</v>
      </c>
      <c r="Y283" s="652">
        <f t="shared" si="45"/>
        <v>12.6</v>
      </c>
      <c r="Z283" s="36">
        <f>IFERROR(IF(Y283=0,"",ROUNDUP(Y283/H283,0)*0.00502),"")</f>
        <v>3.5140000000000005E-2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12.666666666666664</v>
      </c>
      <c r="BN283" s="64">
        <f t="shared" si="47"/>
        <v>13.299999999999999</v>
      </c>
      <c r="BO283" s="64">
        <f t="shared" si="48"/>
        <v>2.8490028490028491E-2</v>
      </c>
      <c r="BP283" s="64">
        <f t="shared" si="49"/>
        <v>2.9914529914529919E-2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121.1111111111111</v>
      </c>
      <c r="Y284" s="653">
        <f>IFERROR(Y276/H276,"0")+IFERROR(Y277/H277,"0")+IFERROR(Y278/H278,"0")+IFERROR(Y279/H279,"0")+IFERROR(Y280/H280,"0")+IFERROR(Y281/H281,"0")+IFERROR(Y282/H282,"0")+IFERROR(Y283/H283,"0")</f>
        <v>123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1.00146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558</v>
      </c>
      <c r="Y285" s="653">
        <f>IFERROR(SUM(Y276:Y283),"0")</f>
        <v>567.00000000000011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60</v>
      </c>
      <c r="Y287" s="652">
        <f t="shared" ref="Y287:Y298" si="50">IFERROR(IF(X287="",0,CEILING((X287/$H287),1)*$H287),"")</f>
        <v>64.8</v>
      </c>
      <c r="Z287" s="36">
        <f>IFERROR(IF(Y287=0,"",ROUNDUP(Y287/H287,0)*0.01898),"")</f>
        <v>0.15184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63.659259259259258</v>
      </c>
      <c r="BN287" s="64">
        <f t="shared" ref="BN287:BN298" si="52">IFERROR(Y287*I287/H287,"0")</f>
        <v>68.751999999999995</v>
      </c>
      <c r="BO287" s="64">
        <f t="shared" ref="BO287:BO298" si="53">IFERROR(1/J287*(X287/H287),"0")</f>
        <v>0.11574074074074074</v>
      </c>
      <c r="BP287" s="64">
        <f t="shared" ref="BP287:BP298" si="54">IFERROR(1/J287*(Y287/H287),"0")</f>
        <v>0.125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80</v>
      </c>
      <c r="Y290" s="652">
        <f t="shared" si="50"/>
        <v>81.599999999999994</v>
      </c>
      <c r="Z290" s="36">
        <f>IFERROR(IF(Y290=0,"",ROUNDUP(Y290/H290,0)*0.00651),"")</f>
        <v>0.22134000000000001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89</v>
      </c>
      <c r="BN290" s="64">
        <f t="shared" si="52"/>
        <v>90.78</v>
      </c>
      <c r="BO290" s="64">
        <f t="shared" si="53"/>
        <v>0.18315018315018317</v>
      </c>
      <c r="BP290" s="64">
        <f t="shared" si="54"/>
        <v>0.18681318681318682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240</v>
      </c>
      <c r="Y293" s="652">
        <f t="shared" si="50"/>
        <v>240</v>
      </c>
      <c r="Z293" s="36">
        <f>IFERROR(IF(Y293=0,"",ROUNDUP(Y293/H293,0)*0.00651),"")</f>
        <v>0.65100000000000002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265.20000000000005</v>
      </c>
      <c r="BN293" s="64">
        <f t="shared" si="52"/>
        <v>265.20000000000005</v>
      </c>
      <c r="BO293" s="64">
        <f t="shared" si="53"/>
        <v>0.5494505494505495</v>
      </c>
      <c r="BP293" s="64">
        <f t="shared" si="54"/>
        <v>0.5494505494505495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80</v>
      </c>
      <c r="Y295" s="652">
        <f t="shared" si="50"/>
        <v>81.599999999999994</v>
      </c>
      <c r="Z295" s="36">
        <f>IFERROR(IF(Y295=0,"",ROUNDUP(Y295/H295,0)*0.00651),"")</f>
        <v>0.22134000000000001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88.40000000000002</v>
      </c>
      <c r="BN295" s="64">
        <f t="shared" si="52"/>
        <v>90.168000000000006</v>
      </c>
      <c r="BO295" s="64">
        <f t="shared" si="53"/>
        <v>0.18315018315018317</v>
      </c>
      <c r="BP295" s="64">
        <f t="shared" si="54"/>
        <v>0.18681318681318682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4</v>
      </c>
      <c r="Y296" s="652">
        <f t="shared" si="50"/>
        <v>4.8</v>
      </c>
      <c r="Z296" s="36">
        <f>IFERROR(IF(Y296=0,"",ROUNDUP(Y296/H296,0)*0.00651),"")</f>
        <v>1.302E-2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4.4200000000000008</v>
      </c>
      <c r="BN296" s="64">
        <f t="shared" si="52"/>
        <v>5.3040000000000003</v>
      </c>
      <c r="BO296" s="64">
        <f t="shared" si="53"/>
        <v>9.1575091575091579E-3</v>
      </c>
      <c r="BP296" s="64">
        <f t="shared" si="54"/>
        <v>1.098901098901099E-2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80</v>
      </c>
      <c r="Y297" s="652">
        <f t="shared" si="50"/>
        <v>81.599999999999994</v>
      </c>
      <c r="Z297" s="36">
        <f>IFERROR(IF(Y297=0,"",ROUNDUP(Y297/H297,0)*0.00651),"")</f>
        <v>0.22134000000000001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88.6</v>
      </c>
      <c r="BN297" s="64">
        <f t="shared" si="52"/>
        <v>90.371999999999986</v>
      </c>
      <c r="BO297" s="64">
        <f t="shared" si="53"/>
        <v>0.18315018315018317</v>
      </c>
      <c r="BP297" s="64">
        <f t="shared" si="54"/>
        <v>0.18681318681318682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209.07407407407408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212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1.4798800000000003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544</v>
      </c>
      <c r="Y300" s="653">
        <f>IFERROR(SUM(Y287:Y298),"0")</f>
        <v>554.4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8</v>
      </c>
      <c r="Y302" s="652">
        <f>IFERROR(IF(X302="",0,CEILING((X302/$H302),1)*$H302),"")</f>
        <v>9.6</v>
      </c>
      <c r="Z302" s="36">
        <f>IFERROR(IF(Y302=0,"",ROUNDUP(Y302/H302,0)*0.00651),"")</f>
        <v>2.6040000000000001E-2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8.8400000000000016</v>
      </c>
      <c r="BN302" s="64">
        <f>IFERROR(Y302*I302/H302,"0")</f>
        <v>10.608000000000001</v>
      </c>
      <c r="BO302" s="64">
        <f>IFERROR(1/J302*(X302/H302),"0")</f>
        <v>1.8315018315018316E-2</v>
      </c>
      <c r="BP302" s="64">
        <f>IFERROR(1/J302*(Y302/H302),"0")</f>
        <v>2.197802197802198E-2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12</v>
      </c>
      <c r="Y303" s="652">
        <f>IFERROR(IF(X303="",0,CEILING((X303/$H303),1)*$H303),"")</f>
        <v>12</v>
      </c>
      <c r="Z303" s="36">
        <f>IFERROR(IF(Y303=0,"",ROUNDUP(Y303/H303,0)*0.00651),"")</f>
        <v>3.2550000000000003E-2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13.260000000000002</v>
      </c>
      <c r="BN303" s="64">
        <f>IFERROR(Y303*I303/H303,"0")</f>
        <v>13.260000000000002</v>
      </c>
      <c r="BO303" s="64">
        <f>IFERROR(1/J303*(X303/H303),"0")</f>
        <v>2.7472527472527476E-2</v>
      </c>
      <c r="BP303" s="64">
        <f>IFERROR(1/J303*(Y303/H303),"0")</f>
        <v>2.7472527472527476E-2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8.3333333333333339</v>
      </c>
      <c r="Y304" s="653">
        <f>IFERROR(Y302/H302,"0")+IFERROR(Y303/H303,"0")</f>
        <v>9</v>
      </c>
      <c r="Z304" s="653">
        <f>IFERROR(IF(Z302="",0,Z302),"0")+IFERROR(IF(Z303="",0,Z303),"0")</f>
        <v>5.8590000000000003E-2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20</v>
      </c>
      <c r="Y305" s="653">
        <f>IFERROR(SUM(Y302:Y303),"0")</f>
        <v>21.6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2</v>
      </c>
      <c r="Y322" s="652">
        <f>IFERROR(IF(X322="",0,CEILING((X322/$H322),1)*$H322),"")</f>
        <v>3.6</v>
      </c>
      <c r="Z322" s="36">
        <f>IFERROR(IF(Y322=0,"",ROUNDUP(Y322/H322,0)*0.0059),"")</f>
        <v>1.18E-2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2.1944444444444446</v>
      </c>
      <c r="BN322" s="64">
        <f>IFERROR(Y322*I322/H322,"0")</f>
        <v>3.95</v>
      </c>
      <c r="BO322" s="64">
        <f>IFERROR(1/J322*(X322/H322),"0")</f>
        <v>5.1440329218106996E-3</v>
      </c>
      <c r="BP322" s="64">
        <f>IFERROR(1/J322*(Y322/H322),"0")</f>
        <v>9.2592592592592587E-3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1.1111111111111112</v>
      </c>
      <c r="Y323" s="653">
        <f>IFERROR(Y322/H322,"0")</f>
        <v>2</v>
      </c>
      <c r="Z323" s="653">
        <f>IFERROR(IF(Z322="",0,Z322),"0")</f>
        <v>1.18E-2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2</v>
      </c>
      <c r="Y324" s="653">
        <f>IFERROR(SUM(Y322:Y322),"0")</f>
        <v>3.6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20</v>
      </c>
      <c r="Y343" s="652">
        <f>IFERROR(IF(X343="",0,CEILING((X343/$H343),1)*$H343),"")</f>
        <v>21.599999999999998</v>
      </c>
      <c r="Z343" s="36">
        <f>IFERROR(IF(Y343=0,"",ROUNDUP(Y343/H343,0)*0.00651),"")</f>
        <v>5.8590000000000003E-2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22.100000000000005</v>
      </c>
      <c r="BN343" s="64">
        <f>IFERROR(Y343*I343/H343,"0")</f>
        <v>23.868000000000002</v>
      </c>
      <c r="BO343" s="64">
        <f>IFERROR(1/J343*(X343/H343),"0")</f>
        <v>4.5787545787545791E-2</v>
      </c>
      <c r="BP343" s="64">
        <f>IFERROR(1/J343*(Y343/H343),"0")</f>
        <v>4.9450549450549455E-2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32</v>
      </c>
      <c r="Y344" s="652">
        <f>IFERROR(IF(X344="",0,CEILING((X344/$H344),1)*$H344),"")</f>
        <v>33.6</v>
      </c>
      <c r="Z344" s="36">
        <f>IFERROR(IF(Y344=0,"",ROUNDUP(Y344/H344,0)*0.00651),"")</f>
        <v>9.1139999999999999E-2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34.400000000000006</v>
      </c>
      <c r="BN344" s="64">
        <f>IFERROR(Y344*I344/H344,"0")</f>
        <v>36.120000000000005</v>
      </c>
      <c r="BO344" s="64">
        <f>IFERROR(1/J344*(X344/H344),"0")</f>
        <v>7.3260073260073263E-2</v>
      </c>
      <c r="BP344" s="64">
        <f>IFERROR(1/J344*(Y344/H344),"0")</f>
        <v>7.6923076923076941E-2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21.666666666666668</v>
      </c>
      <c r="Y345" s="653">
        <f>IFERROR(Y342/H342,"0")+IFERROR(Y343/H343,"0")+IFERROR(Y344/H344,"0")</f>
        <v>23</v>
      </c>
      <c r="Z345" s="653">
        <f>IFERROR(IF(Z342="",0,Z342),"0")+IFERROR(IF(Z343="",0,Z343),"0")+IFERROR(IF(Z344="",0,Z344),"0")</f>
        <v>0.14973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52</v>
      </c>
      <c r="Y346" s="653">
        <f>IFERROR(SUM(Y342:Y344),"0")</f>
        <v>55.2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99</v>
      </c>
      <c r="Y363" s="652">
        <f>IFERROR(IF(X363="",0,CEILING((X363/$H363),1)*$H363),"")</f>
        <v>101.39999999999999</v>
      </c>
      <c r="Z363" s="36">
        <f>IFERROR(IF(Y363=0,"",ROUNDUP(Y363/H363,0)*0.01898),"")</f>
        <v>0.24674000000000001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104.20384615384617</v>
      </c>
      <c r="BN363" s="64">
        <f>IFERROR(Y363*I363/H363,"0")</f>
        <v>106.73</v>
      </c>
      <c r="BO363" s="64">
        <f>IFERROR(1/J363*(X363/H363),"0")</f>
        <v>0.19831730769230771</v>
      </c>
      <c r="BP363" s="64">
        <f>IFERROR(1/J363*(Y363/H363),"0")</f>
        <v>0.203125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100</v>
      </c>
      <c r="Y364" s="652">
        <f>IFERROR(IF(X364="",0,CEILING((X364/$H364),1)*$H364),"")</f>
        <v>101.39999999999999</v>
      </c>
      <c r="Z364" s="36">
        <f>IFERROR(IF(Y364=0,"",ROUNDUP(Y364/H364,0)*0.01898),"")</f>
        <v>0.24674000000000001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105.25641025641028</v>
      </c>
      <c r="BN364" s="64">
        <f>IFERROR(Y364*I364/H364,"0")</f>
        <v>106.73</v>
      </c>
      <c r="BO364" s="64">
        <f>IFERROR(1/J364*(X364/H364),"0")</f>
        <v>0.20032051282051283</v>
      </c>
      <c r="BP364" s="64">
        <f>IFERROR(1/J364*(Y364/H364),"0")</f>
        <v>0.203125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25.512820512820515</v>
      </c>
      <c r="Y366" s="653">
        <f>IFERROR(Y363/H363,"0")+IFERROR(Y364/H364,"0")+IFERROR(Y365/H365,"0")</f>
        <v>26</v>
      </c>
      <c r="Z366" s="653">
        <f>IFERROR(IF(Z363="",0,Z363),"0")+IFERROR(IF(Z364="",0,Z364),"0")+IFERROR(IF(Z365="",0,Z365),"0")</f>
        <v>0.49348000000000003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199</v>
      </c>
      <c r="Y367" s="653">
        <f>IFERROR(SUM(Y363:Y365),"0")</f>
        <v>202.79999999999998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9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10.139999999999999</v>
      </c>
      <c r="BN384" s="64">
        <f t="shared" si="62"/>
        <v>10.139999999999999</v>
      </c>
      <c r="BO384" s="64">
        <f t="shared" si="63"/>
        <v>2.7472527472527476E-2</v>
      </c>
      <c r="BP384" s="64">
        <f t="shared" si="64"/>
        <v>2.7472527472527476E-2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5</v>
      </c>
      <c r="Y385" s="653">
        <f>IFERROR(Y378/H378,"0")+IFERROR(Y379/H379,"0")+IFERROR(Y380/H380,"0")+IFERROR(Y381/H381,"0")+IFERROR(Y382/H382,"0")+IFERROR(Y383/H383,"0")+IFERROR(Y384/H384,"0")</f>
        <v>5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3.2550000000000003E-2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9</v>
      </c>
      <c r="Y386" s="653">
        <f>IFERROR(SUM(Y378:Y384),"0")</f>
        <v>9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150</v>
      </c>
      <c r="Y395" s="652">
        <f>IFERROR(IF(X395="",0,CEILING((X395/$H395),1)*$H395),"")</f>
        <v>151.20000000000002</v>
      </c>
      <c r="Z395" s="36">
        <f>IFERROR(IF(Y395=0,"",ROUNDUP(Y395/H395,0)*0.01898),"")</f>
        <v>0.34164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158.82142857142856</v>
      </c>
      <c r="BN395" s="64">
        <f>IFERROR(Y395*I395/H395,"0")</f>
        <v>160.09200000000001</v>
      </c>
      <c r="BO395" s="64">
        <f>IFERROR(1/J395*(X395/H395),"0")</f>
        <v>0.27901785714285715</v>
      </c>
      <c r="BP395" s="64">
        <f>IFERROR(1/J395*(Y395/H395),"0")</f>
        <v>0.28125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68</v>
      </c>
      <c r="Y396" s="652">
        <f>IFERROR(IF(X396="",0,CEILING((X396/$H396),1)*$H396),"")</f>
        <v>70.2</v>
      </c>
      <c r="Z396" s="36">
        <f>IFERROR(IF(Y396=0,"",ROUNDUP(Y396/H396,0)*0.01898),"")</f>
        <v>0.17082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72.306666666666672</v>
      </c>
      <c r="BN396" s="64">
        <f>IFERROR(Y396*I396/H396,"0")</f>
        <v>74.646000000000015</v>
      </c>
      <c r="BO396" s="64">
        <f>IFERROR(1/J396*(X396/H396),"0")</f>
        <v>0.13621794871794873</v>
      </c>
      <c r="BP396" s="64">
        <f>IFERROR(1/J396*(Y396/H396),"0")</f>
        <v>0.140625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26.575091575091577</v>
      </c>
      <c r="Y398" s="653">
        <f>IFERROR(Y395/H395,"0")+IFERROR(Y396/H396,"0")+IFERROR(Y397/H397,"0")</f>
        <v>27</v>
      </c>
      <c r="Z398" s="653">
        <f>IFERROR(IF(Z395="",0,Z395),"0")+IFERROR(IF(Z396="",0,Z396),"0")+IFERROR(IF(Z397="",0,Z397),"0")</f>
        <v>0.51246000000000003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218</v>
      </c>
      <c r="Y399" s="653">
        <f>IFERROR(SUM(Y395:Y397),"0")</f>
        <v>221.40000000000003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50</v>
      </c>
      <c r="Y401" s="652">
        <f>IFERROR(IF(X401="",0,CEILING((X401/$H401),1)*$H401),"")</f>
        <v>51.68</v>
      </c>
      <c r="Z401" s="36">
        <f>IFERROR(IF(Y401=0,"",ROUNDUP(Y401/H401,0)*0.00902),"")</f>
        <v>0.15334</v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54.440789473684212</v>
      </c>
      <c r="BN401" s="64">
        <f>IFERROR(Y401*I401/H401,"0")</f>
        <v>56.269999999999996</v>
      </c>
      <c r="BO401" s="64">
        <f>IFERROR(1/J401*(X401/H401),"0")</f>
        <v>0.12460127591706538</v>
      </c>
      <c r="BP401" s="64">
        <f>IFERROR(1/J401*(Y401/H401),"0")</f>
        <v>0.12878787878787878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50</v>
      </c>
      <c r="Y402" s="652">
        <f>IFERROR(IF(X402="",0,CEILING((X402/$H402),1)*$H402),"")</f>
        <v>51.68</v>
      </c>
      <c r="Z402" s="36">
        <f>IFERROR(IF(Y402=0,"",ROUNDUP(Y402/H402,0)*0.00902),"")</f>
        <v>0.15334</v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53.782894736842103</v>
      </c>
      <c r="BN402" s="64">
        <f>IFERROR(Y402*I402/H402,"0")</f>
        <v>55.589999999999996</v>
      </c>
      <c r="BO402" s="64">
        <f>IFERROR(1/J402*(X402/H402),"0")</f>
        <v>0.12460127591706538</v>
      </c>
      <c r="BP402" s="64">
        <f>IFERROR(1/J402*(Y402/H402),"0")</f>
        <v>0.12878787878787878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32</v>
      </c>
      <c r="Y403" s="652">
        <f>IFERROR(IF(X403="",0,CEILING((X403/$H403),1)*$H403),"")</f>
        <v>33.15</v>
      </c>
      <c r="Z403" s="36">
        <f>IFERROR(IF(Y403=0,"",ROUNDUP(Y403/H403,0)*0.00651),"")</f>
        <v>8.4629999999999997E-2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37.082352941176474</v>
      </c>
      <c r="BN403" s="64">
        <f>IFERROR(Y403*I403/H403,"0")</f>
        <v>38.414999999999999</v>
      </c>
      <c r="BO403" s="64">
        <f>IFERROR(1/J403*(X403/H403),"0")</f>
        <v>6.8950657185951322E-2</v>
      </c>
      <c r="BP403" s="64">
        <f>IFERROR(1/J403*(Y403/H403),"0")</f>
        <v>7.1428571428571438E-2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68</v>
      </c>
      <c r="Y404" s="652">
        <f>IFERROR(IF(X404="",0,CEILING((X404/$H404),1)*$H404),"")</f>
        <v>68.849999999999994</v>
      </c>
      <c r="Z404" s="36">
        <f>IFERROR(IF(Y404=0,"",ROUNDUP(Y404/H404,0)*0.00651),"")</f>
        <v>0.17577000000000001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76.800000000000011</v>
      </c>
      <c r="BN404" s="64">
        <f>IFERROR(Y404*I404/H404,"0")</f>
        <v>77.760000000000005</v>
      </c>
      <c r="BO404" s="64">
        <f>IFERROR(1/J404*(X404/H404),"0")</f>
        <v>0.14652014652014653</v>
      </c>
      <c r="BP404" s="64">
        <f>IFERROR(1/J404*(Y404/H404),"0")</f>
        <v>0.14835164835164835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72.110423116615067</v>
      </c>
      <c r="Y405" s="653">
        <f>IFERROR(Y401/H401,"0")+IFERROR(Y402/H402,"0")+IFERROR(Y403/H403,"0")+IFERROR(Y404/H404,"0")</f>
        <v>74</v>
      </c>
      <c r="Z405" s="653">
        <f>IFERROR(IF(Z401="",0,Z401),"0")+IFERROR(IF(Z402="",0,Z402),"0")+IFERROR(IF(Z403="",0,Z403),"0")+IFERROR(IF(Z404="",0,Z404),"0")</f>
        <v>0.56708000000000003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200</v>
      </c>
      <c r="Y406" s="653">
        <f>IFERROR(SUM(Y401:Y404),"0")</f>
        <v>205.35999999999999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20</v>
      </c>
      <c r="Y408" s="652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22.400000000000002</v>
      </c>
      <c r="BN408" s="64">
        <f>IFERROR(Y408*I408/H408,"0")</f>
        <v>22.400000000000002</v>
      </c>
      <c r="BO408" s="64">
        <f>IFERROR(1/J408*(X408/H408),"0")</f>
        <v>4.2016806722689072E-2</v>
      </c>
      <c r="BP408" s="64">
        <f>IFERROR(1/J408*(Y408/H408),"0")</f>
        <v>4.2016806722689072E-2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30</v>
      </c>
      <c r="Y409" s="652">
        <f>IFERROR(IF(X409="",0,CEILING((X409/$H409),1)*$H409),"")</f>
        <v>30</v>
      </c>
      <c r="Z409" s="36">
        <f>IFERROR(IF(Y409=0,"",ROUNDUP(Y409/H409,0)*0.00474),"")</f>
        <v>7.110000000000001E-2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33.6</v>
      </c>
      <c r="BN409" s="64">
        <f>IFERROR(Y409*I409/H409,"0")</f>
        <v>33.6</v>
      </c>
      <c r="BO409" s="64">
        <f>IFERROR(1/J409*(X409/H409),"0")</f>
        <v>6.3025210084033612E-2</v>
      </c>
      <c r="BP409" s="64">
        <f>IFERROR(1/J409*(Y409/H409),"0")</f>
        <v>6.3025210084033612E-2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30</v>
      </c>
      <c r="Y410" s="652">
        <f>IFERROR(IF(X410="",0,CEILING((X410/$H410),1)*$H410),"")</f>
        <v>30</v>
      </c>
      <c r="Z410" s="36">
        <f>IFERROR(IF(Y410=0,"",ROUNDUP(Y410/H410,0)*0.00474),"")</f>
        <v>7.110000000000001E-2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33.6</v>
      </c>
      <c r="BN410" s="64">
        <f>IFERROR(Y410*I410/H410,"0")</f>
        <v>33.6</v>
      </c>
      <c r="BO410" s="64">
        <f>IFERROR(1/J410*(X410/H410),"0")</f>
        <v>6.3025210084033612E-2</v>
      </c>
      <c r="BP410" s="64">
        <f>IFERROR(1/J410*(Y410/H410),"0")</f>
        <v>6.3025210084033612E-2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40</v>
      </c>
      <c r="Y411" s="653">
        <f>IFERROR(Y408/H408,"0")+IFERROR(Y409/H409,"0")+IFERROR(Y410/H410,"0")</f>
        <v>40</v>
      </c>
      <c r="Z411" s="653">
        <f>IFERROR(IF(Z408="",0,Z408),"0")+IFERROR(IF(Z409="",0,Z409),"0")+IFERROR(IF(Z410="",0,Z410),"0")</f>
        <v>0.18960000000000005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80</v>
      </c>
      <c r="Y412" s="653">
        <f>IFERROR(SUM(Y408:Y410),"0")</f>
        <v>80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15</v>
      </c>
      <c r="Y414" s="652">
        <f>IFERROR(IF(X414="",0,CEILING((X414/$H414),1)*$H414),"")</f>
        <v>15</v>
      </c>
      <c r="Z414" s="36">
        <f>IFERROR(IF(Y414=0,"",ROUNDUP(Y414/H414,0)*0.0045),"")</f>
        <v>2.2499999999999999E-2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16.100000000000001</v>
      </c>
      <c r="BN414" s="64">
        <f>IFERROR(Y414*I414/H414,"0")</f>
        <v>16.100000000000001</v>
      </c>
      <c r="BO414" s="64">
        <f>IFERROR(1/J414*(X414/H414),"0")</f>
        <v>2.2321428571428568E-2</v>
      </c>
      <c r="BP414" s="64">
        <f>IFERROR(1/J414*(Y414/H414),"0")</f>
        <v>2.2321428571428568E-2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98</v>
      </c>
      <c r="Y415" s="652">
        <f>IFERROR(IF(X415="",0,CEILING((X415/$H415),1)*$H415),"")</f>
        <v>101.39999999999999</v>
      </c>
      <c r="Z415" s="36">
        <f>IFERROR(IF(Y415=0,"",ROUNDUP(Y415/H415,0)*0.006),"")</f>
        <v>0.156</v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104.78461538461538</v>
      </c>
      <c r="BN415" s="64">
        <f>IFERROR(Y415*I415/H415,"0")</f>
        <v>108.41999999999999</v>
      </c>
      <c r="BO415" s="64">
        <f>IFERROR(1/J415*(X415/H415),"0")</f>
        <v>0.1745014245014245</v>
      </c>
      <c r="BP415" s="64">
        <f>IFERROR(1/J415*(Y415/H415),"0")</f>
        <v>0.18055555555555555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30.128205128205128</v>
      </c>
      <c r="Y417" s="653">
        <f>IFERROR(Y414/H414,"0")+IFERROR(Y415/H415,"0")+IFERROR(Y416/H416,"0")</f>
        <v>31</v>
      </c>
      <c r="Z417" s="653">
        <f>IFERROR(IF(Z414="",0,Z414),"0")+IFERROR(IF(Z415="",0,Z415),"0")+IFERROR(IF(Z416="",0,Z416),"0")</f>
        <v>0.17849999999999999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113</v>
      </c>
      <c r="Y418" s="653">
        <f>IFERROR(SUM(Y414:Y416),"0")</f>
        <v>116.39999999999999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8</v>
      </c>
      <c r="Y428" s="652">
        <f>IFERROR(IF(X428="",0,CEILING((X428/$H428),1)*$H428),"")</f>
        <v>8.4</v>
      </c>
      <c r="Z428" s="36">
        <f>IFERROR(IF(Y428=0,"",ROUNDUP(Y428/H428,0)*0.00651),"")</f>
        <v>2.6040000000000001E-2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8.9599999999999991</v>
      </c>
      <c r="BN428" s="64">
        <f>IFERROR(Y428*I428/H428,"0")</f>
        <v>9.4079999999999995</v>
      </c>
      <c r="BO428" s="64">
        <f>IFERROR(1/J428*(X428/H428),"0")</f>
        <v>2.0931449502878074E-2</v>
      </c>
      <c r="BP428" s="64">
        <f>IFERROR(1/J428*(Y428/H428),"0")</f>
        <v>2.197802197802198E-2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15</v>
      </c>
      <c r="Y429" s="652">
        <f>IFERROR(IF(X429="",0,CEILING((X429/$H429),1)*$H429),"")</f>
        <v>16.8</v>
      </c>
      <c r="Z429" s="36">
        <f>IFERROR(IF(Y429=0,"",ROUNDUP(Y429/H429,0)*0.00651),"")</f>
        <v>5.2080000000000001E-2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16.714285714285712</v>
      </c>
      <c r="BN429" s="64">
        <f>IFERROR(Y429*I429/H429,"0")</f>
        <v>18.72</v>
      </c>
      <c r="BO429" s="64">
        <f>IFERROR(1/J429*(X429/H429),"0")</f>
        <v>3.924646781789639E-2</v>
      </c>
      <c r="BP429" s="64">
        <f>IFERROR(1/J429*(Y429/H429),"0")</f>
        <v>4.3956043956043959E-2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10.952380952380953</v>
      </c>
      <c r="Y430" s="653">
        <f>IFERROR(Y427/H427,"0")+IFERROR(Y428/H428,"0")+IFERROR(Y429/H429,"0")</f>
        <v>12</v>
      </c>
      <c r="Z430" s="653">
        <f>IFERROR(IF(Z427="",0,Z427),"0")+IFERROR(IF(Z428="",0,Z428),"0")+IFERROR(IF(Z429="",0,Z429),"0")</f>
        <v>7.8119999999999995E-2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23</v>
      </c>
      <c r="Y431" s="653">
        <f>IFERROR(SUM(Y427:Y429),"0")</f>
        <v>25.200000000000003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700</v>
      </c>
      <c r="Y438" s="652">
        <f t="shared" si="65"/>
        <v>705</v>
      </c>
      <c r="Z438" s="36">
        <f>IFERROR(IF(Y438=0,"",ROUNDUP(Y438/H438,0)*0.02175),"")</f>
        <v>1.0222499999999999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721.93333333333328</v>
      </c>
      <c r="BN438" s="64">
        <f t="shared" si="67"/>
        <v>727.09</v>
      </c>
      <c r="BO438" s="64">
        <f t="shared" si="68"/>
        <v>0.9722222222222221</v>
      </c>
      <c r="BP438" s="64">
        <f t="shared" si="69"/>
        <v>0.97916666666666663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46.666666666666664</v>
      </c>
      <c r="Y443" s="653">
        <f>IFERROR(Y435/H435,"0")+IFERROR(Y436/H436,"0")+IFERROR(Y437/H437,"0")+IFERROR(Y438/H438,"0")+IFERROR(Y439/H439,"0")+IFERROR(Y440/H440,"0")+IFERROR(Y441/H441,"0")+IFERROR(Y442/H442,"0")</f>
        <v>47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1.0222499999999999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700</v>
      </c>
      <c r="Y444" s="653">
        <f>IFERROR(SUM(Y435:Y442),"0")</f>
        <v>705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600</v>
      </c>
      <c r="Y446" s="652">
        <f>IFERROR(IF(X446="",0,CEILING((X446/$H446),1)*$H446),"")</f>
        <v>600</v>
      </c>
      <c r="Z446" s="36">
        <f>IFERROR(IF(Y446=0,"",ROUNDUP(Y446/H446,0)*0.02175),"")</f>
        <v>0.86999999999999988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618.79999999999995</v>
      </c>
      <c r="BN446" s="64">
        <f>IFERROR(Y446*I446/H446,"0")</f>
        <v>618.79999999999995</v>
      </c>
      <c r="BO446" s="64">
        <f>IFERROR(1/J446*(X446/H446),"0")</f>
        <v>0.83333333333333326</v>
      </c>
      <c r="BP446" s="64">
        <f>IFERROR(1/J446*(Y446/H446),"0")</f>
        <v>0.83333333333333326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15</v>
      </c>
      <c r="Y447" s="652">
        <f>IFERROR(IF(X447="",0,CEILING((X447/$H447),1)*$H447),"")</f>
        <v>15</v>
      </c>
      <c r="Z447" s="36">
        <f>IFERROR(IF(Y447=0,"",ROUNDUP(Y447/H447,0)*0.02175),"")</f>
        <v>2.1749999999999999E-2</v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15.47</v>
      </c>
      <c r="BN447" s="64">
        <f>IFERROR(Y447*I447/H447,"0")</f>
        <v>15.47</v>
      </c>
      <c r="BO447" s="64">
        <f>IFERROR(1/J447*(X447/H447),"0")</f>
        <v>2.0833333333333332E-2</v>
      </c>
      <c r="BP447" s="64">
        <f>IFERROR(1/J447*(Y447/H447),"0")</f>
        <v>2.0833333333333332E-2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41</v>
      </c>
      <c r="Y449" s="653">
        <f>IFERROR(Y446/H446,"0")+IFERROR(Y447/H447,"0")+IFERROR(Y448/H448,"0")</f>
        <v>41</v>
      </c>
      <c r="Z449" s="653">
        <f>IFERROR(IF(Z446="",0,Z446),"0")+IFERROR(IF(Z447="",0,Z447),"0")+IFERROR(IF(Z448="",0,Z448),"0")</f>
        <v>0.89174999999999993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615</v>
      </c>
      <c r="Y450" s="653">
        <f>IFERROR(SUM(Y446:Y448),"0")</f>
        <v>615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15</v>
      </c>
      <c r="Y453" s="652">
        <f>IFERROR(IF(X453="",0,CEILING((X453/$H453),1)*$H453),"")</f>
        <v>18</v>
      </c>
      <c r="Z453" s="36">
        <f>IFERROR(IF(Y453=0,"",ROUNDUP(Y453/H453,0)*0.01898),"")</f>
        <v>3.7960000000000001E-2</v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15.823333333333332</v>
      </c>
      <c r="BN453" s="64">
        <f>IFERROR(Y453*I453/H453,"0")</f>
        <v>18.988</v>
      </c>
      <c r="BO453" s="64">
        <f>IFERROR(1/J453*(X453/H453),"0")</f>
        <v>2.6041666666666668E-2</v>
      </c>
      <c r="BP453" s="64">
        <f>IFERROR(1/J453*(Y453/H453),"0")</f>
        <v>3.125E-2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1.6666666666666667</v>
      </c>
      <c r="Y455" s="653">
        <f>IFERROR(Y452/H452,"0")+IFERROR(Y453/H453,"0")+IFERROR(Y454/H454,"0")</f>
        <v>2</v>
      </c>
      <c r="Z455" s="653">
        <f>IFERROR(IF(Z452="",0,Z452),"0")+IFERROR(IF(Z453="",0,Z453),"0")+IFERROR(IF(Z454="",0,Z454),"0")</f>
        <v>3.7960000000000001E-2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15</v>
      </c>
      <c r="Y456" s="653">
        <f>IFERROR(SUM(Y452:Y454),"0")</f>
        <v>18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90</v>
      </c>
      <c r="Y459" s="652">
        <f>IFERROR(IF(X459="",0,CEILING((X459/$H459),1)*$H459),"")</f>
        <v>90</v>
      </c>
      <c r="Z459" s="36">
        <f>IFERROR(IF(Y459=0,"",ROUNDUP(Y459/H459,0)*0.01898),"")</f>
        <v>0.1898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94.94</v>
      </c>
      <c r="BN459" s="64">
        <f>IFERROR(Y459*I459/H459,"0")</f>
        <v>94.94</v>
      </c>
      <c r="BO459" s="64">
        <f>IFERROR(1/J459*(X459/H459),"0")</f>
        <v>0.15625</v>
      </c>
      <c r="BP459" s="64">
        <f>IFERROR(1/J459*(Y459/H459),"0")</f>
        <v>0.15625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10</v>
      </c>
      <c r="Y460" s="653">
        <f>IFERROR(Y458/H458,"0")+IFERROR(Y459/H459,"0")</f>
        <v>10</v>
      </c>
      <c r="Z460" s="653">
        <f>IFERROR(IF(Z458="",0,Z458),"0")+IFERROR(IF(Z459="",0,Z459),"0")</f>
        <v>0.1898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90</v>
      </c>
      <c r="Y461" s="653">
        <f>IFERROR(SUM(Y458:Y459),"0")</f>
        <v>90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200</v>
      </c>
      <c r="Y473" s="652">
        <f>IFERROR(IF(X473="",0,CEILING((X473/$H473),1)*$H473),"")</f>
        <v>207</v>
      </c>
      <c r="Z473" s="36">
        <f>IFERROR(IF(Y473=0,"",ROUNDUP(Y473/H473,0)*0.01898),"")</f>
        <v>0.43653999999999998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210.97777777777776</v>
      </c>
      <c r="BN473" s="64">
        <f>IFERROR(Y473*I473/H473,"0")</f>
        <v>218.36199999999999</v>
      </c>
      <c r="BO473" s="64">
        <f>IFERROR(1/J473*(X473/H473),"0")</f>
        <v>0.34722222222222221</v>
      </c>
      <c r="BP473" s="64">
        <f>IFERROR(1/J473*(Y473/H473),"0")</f>
        <v>0.359375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16</v>
      </c>
      <c r="Y474" s="652">
        <f>IFERROR(IF(X474="",0,CEILING((X474/$H474),1)*$H474),"")</f>
        <v>16.8</v>
      </c>
      <c r="Z474" s="36">
        <f>IFERROR(IF(Y474=0,"",ROUNDUP(Y474/H474,0)*0.00651),"")</f>
        <v>4.5569999999999999E-2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17.760000000000002</v>
      </c>
      <c r="BN474" s="64">
        <f>IFERROR(Y474*I474/H474,"0")</f>
        <v>18.648000000000003</v>
      </c>
      <c r="BO474" s="64">
        <f>IFERROR(1/J474*(X474/H474),"0")</f>
        <v>3.6630036630036632E-2</v>
      </c>
      <c r="BP474" s="64">
        <f>IFERROR(1/J474*(Y474/H474),"0")</f>
        <v>3.8461538461538471E-2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28.888888888888889</v>
      </c>
      <c r="Y476" s="653">
        <f>IFERROR(Y473/H473,"0")+IFERROR(Y474/H474,"0")+IFERROR(Y475/H475,"0")</f>
        <v>30</v>
      </c>
      <c r="Z476" s="653">
        <f>IFERROR(IF(Z473="",0,Z473),"0")+IFERROR(IF(Z474="",0,Z474),"0")+IFERROR(IF(Z475="",0,Z475),"0")</f>
        <v>0.48210999999999998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216</v>
      </c>
      <c r="Y477" s="653">
        <f>IFERROR(SUM(Y473:Y475),"0")</f>
        <v>223.8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170</v>
      </c>
      <c r="Y481" s="652">
        <f t="shared" ref="Y481:Y486" si="70">IFERROR(IF(X481="",0,CEILING((X481/$H481),1)*$H481),"")</f>
        <v>172.8</v>
      </c>
      <c r="Z481" s="36">
        <f>IFERROR(IF(Y481=0,"",ROUNDUP(Y481/H481,0)*0.00902),"")</f>
        <v>0.28864000000000001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175.98148148148147</v>
      </c>
      <c r="BN481" s="64">
        <f t="shared" ref="BN481:BN486" si="72">IFERROR(Y481*I481/H481,"0")</f>
        <v>178.88</v>
      </c>
      <c r="BO481" s="64">
        <f t="shared" ref="BO481:BO486" si="73">IFERROR(1/J481*(X481/H481),"0")</f>
        <v>0.23849607182940516</v>
      </c>
      <c r="BP481" s="64">
        <f t="shared" ref="BP481:BP486" si="74">IFERROR(1/J481*(Y481/H481),"0")</f>
        <v>0.24242424242424243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31.481481481481481</v>
      </c>
      <c r="Y487" s="653">
        <f>IFERROR(Y481/H481,"0")+IFERROR(Y482/H482,"0")+IFERROR(Y483/H483,"0")+IFERROR(Y484/H484,"0")+IFERROR(Y485/H485,"0")+IFERROR(Y486/H486,"0")</f>
        <v>32</v>
      </c>
      <c r="Z487" s="653">
        <f>IFERROR(IF(Z481="",0,Z481),"0")+IFERROR(IF(Z482="",0,Z482),"0")+IFERROR(IF(Z483="",0,Z483),"0")+IFERROR(IF(Z484="",0,Z484),"0")+IFERROR(IF(Z485="",0,Z485),"0")+IFERROR(IF(Z486="",0,Z486),"0")</f>
        <v>0.28864000000000001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170</v>
      </c>
      <c r="Y488" s="653">
        <f>IFERROR(SUM(Y481:Y486),"0")</f>
        <v>172.8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20</v>
      </c>
      <c r="Y500" s="652">
        <f>IFERROR(IF(X500="",0,CEILING((X500/$H500),1)*$H500),"")</f>
        <v>21.6</v>
      </c>
      <c r="Z500" s="36">
        <f>IFERROR(IF(Y500=0,"",ROUNDUP(Y500/H500,0)*0.00902),"")</f>
        <v>3.6080000000000001E-2</v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20.703703703703702</v>
      </c>
      <c r="BN500" s="64">
        <f>IFERROR(Y500*I500/H500,"0")</f>
        <v>22.36</v>
      </c>
      <c r="BO500" s="64">
        <f>IFERROR(1/J500*(X500/H500),"0")</f>
        <v>2.8058361391694722E-2</v>
      </c>
      <c r="BP500" s="64">
        <f>IFERROR(1/J500*(Y500/H500),"0")</f>
        <v>3.0303030303030304E-2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3.7037037037037033</v>
      </c>
      <c r="Y503" s="653">
        <f>IFERROR(Y500/H500,"0")+IFERROR(Y501/H501,"0")+IFERROR(Y502/H502,"0")</f>
        <v>4</v>
      </c>
      <c r="Z503" s="653">
        <f>IFERROR(IF(Z500="",0,Z500),"0")+IFERROR(IF(Z501="",0,Z501),"0")+IFERROR(IF(Z502="",0,Z502),"0")</f>
        <v>3.6080000000000001E-2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20</v>
      </c>
      <c r="Y504" s="653">
        <f>IFERROR(SUM(Y500:Y502),"0")</f>
        <v>21.6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25</v>
      </c>
      <c r="Y508" s="652">
        <f t="shared" ref="Y508:Y516" si="75">IFERROR(IF(X508="",0,CEILING((X508/$H508),1)*$H508),"")</f>
        <v>26.400000000000002</v>
      </c>
      <c r="Z508" s="36">
        <f t="shared" ref="Z508:Z513" si="76">IFERROR(IF(Y508=0,"",ROUNDUP(Y508/H508,0)*0.01196),"")</f>
        <v>5.9799999999999999E-2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26.657196969696969</v>
      </c>
      <c r="BN508" s="64">
        <f t="shared" ref="BN508:BN516" si="78">IFERROR(Y508*I508/H508,"0")</f>
        <v>28.15</v>
      </c>
      <c r="BO508" s="64">
        <f t="shared" ref="BO508:BO516" si="79">IFERROR(1/J508*(X508/H508),"0")</f>
        <v>4.5527389277389273E-2</v>
      </c>
      <c r="BP508" s="64">
        <f t="shared" ref="BP508:BP516" si="80">IFERROR(1/J508*(Y508/H508),"0")</f>
        <v>4.807692307692308E-2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15</v>
      </c>
      <c r="Y510" s="652">
        <f t="shared" si="75"/>
        <v>15.84</v>
      </c>
      <c r="Z510" s="36">
        <f t="shared" si="76"/>
        <v>3.5880000000000002E-2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15.994318181818182</v>
      </c>
      <c r="BN510" s="64">
        <f t="shared" si="78"/>
        <v>16.889999999999997</v>
      </c>
      <c r="BO510" s="64">
        <f t="shared" si="79"/>
        <v>2.7316433566433568E-2</v>
      </c>
      <c r="BP510" s="64">
        <f t="shared" si="80"/>
        <v>2.8846153846153848E-2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175</v>
      </c>
      <c r="Y511" s="652">
        <f t="shared" si="75"/>
        <v>179.52</v>
      </c>
      <c r="Z511" s="36">
        <f t="shared" si="76"/>
        <v>0.40664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186.60037878787878</v>
      </c>
      <c r="BN511" s="64">
        <f t="shared" si="78"/>
        <v>191.42000000000002</v>
      </c>
      <c r="BO511" s="64">
        <f t="shared" si="79"/>
        <v>0.31869172494172493</v>
      </c>
      <c r="BP511" s="64">
        <f t="shared" si="80"/>
        <v>0.32692307692307693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431</v>
      </c>
      <c r="Y513" s="652">
        <f t="shared" si="75"/>
        <v>432.96000000000004</v>
      </c>
      <c r="Z513" s="36">
        <f t="shared" si="76"/>
        <v>0.98072000000000004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459.57007575757569</v>
      </c>
      <c r="BN513" s="64">
        <f t="shared" si="78"/>
        <v>461.66</v>
      </c>
      <c r="BO513" s="64">
        <f t="shared" si="79"/>
        <v>0.78489219114219111</v>
      </c>
      <c r="BP513" s="64">
        <f t="shared" si="80"/>
        <v>0.78846153846153855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247</v>
      </c>
      <c r="Y515" s="652">
        <f t="shared" si="75"/>
        <v>249.6</v>
      </c>
      <c r="Z515" s="36">
        <f>IFERROR(IF(Y515=0,"",ROUNDUP(Y515/H515,0)*0.00902),"")</f>
        <v>0.46904000000000001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355.57708333333335</v>
      </c>
      <c r="BN515" s="64">
        <f t="shared" si="78"/>
        <v>359.32000000000005</v>
      </c>
      <c r="BO515" s="64">
        <f t="shared" si="79"/>
        <v>0.38983585858585862</v>
      </c>
      <c r="BP515" s="64">
        <f t="shared" si="80"/>
        <v>0.39393939393939392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280</v>
      </c>
      <c r="Y516" s="652">
        <f t="shared" si="75"/>
        <v>283.2</v>
      </c>
      <c r="Z516" s="36">
        <f>IFERROR(IF(Y516=0,"",ROUNDUP(Y516/H516,0)*0.00902),"")</f>
        <v>0.53217999999999999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403.08333333333331</v>
      </c>
      <c r="BN516" s="64">
        <f t="shared" si="78"/>
        <v>407.69</v>
      </c>
      <c r="BO516" s="64">
        <f t="shared" si="79"/>
        <v>0.44191919191919193</v>
      </c>
      <c r="BP516" s="64">
        <f t="shared" si="80"/>
        <v>0.44696969696969696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232.14015151515153</v>
      </c>
      <c r="Y517" s="653">
        <f>IFERROR(Y508/H508,"0")+IFERROR(Y509/H509,"0")+IFERROR(Y510/H510,"0")+IFERROR(Y511/H511,"0")+IFERROR(Y512/H512,"0")+IFERROR(Y513/H513,"0")+IFERROR(Y514/H514,"0")+IFERROR(Y515/H515,"0")+IFERROR(Y516/H516,"0")</f>
        <v>235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2.4842599999999999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1173</v>
      </c>
      <c r="Y518" s="653">
        <f>IFERROR(SUM(Y508:Y516),"0")</f>
        <v>1187.52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414</v>
      </c>
      <c r="Y520" s="652">
        <f>IFERROR(IF(X520="",0,CEILING((X520/$H520),1)*$H520),"")</f>
        <v>417.12</v>
      </c>
      <c r="Z520" s="36">
        <f>IFERROR(IF(Y520=0,"",ROUNDUP(Y520/H520,0)*0.01196),"")</f>
        <v>0.94484000000000001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441.44318181818181</v>
      </c>
      <c r="BN520" s="64">
        <f>IFERROR(Y520*I520/H520,"0")</f>
        <v>444.77</v>
      </c>
      <c r="BO520" s="64">
        <f>IFERROR(1/J520*(X520/H520),"0")</f>
        <v>0.75393356643356646</v>
      </c>
      <c r="BP520" s="64">
        <f>IFERROR(1/J520*(Y520/H520),"0")</f>
        <v>0.75961538461538469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116</v>
      </c>
      <c r="Y522" s="652">
        <f>IFERROR(IF(X522="",0,CEILING((X522/$H522),1)*$H522),"")</f>
        <v>120</v>
      </c>
      <c r="Z522" s="36">
        <f>IFERROR(IF(Y522=0,"",ROUNDUP(Y522/H522,0)*0.00902),"")</f>
        <v>0.22550000000000001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166.99166666666667</v>
      </c>
      <c r="BN522" s="64">
        <f>IFERROR(Y522*I522/H522,"0")</f>
        <v>172.75000000000003</v>
      </c>
      <c r="BO522" s="64">
        <f>IFERROR(1/J522*(X522/H522),"0")</f>
        <v>0.18308080808080809</v>
      </c>
      <c r="BP522" s="64">
        <f>IFERROR(1/J522*(Y522/H522),"0")</f>
        <v>0.18939393939393939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102.57575757575758</v>
      </c>
      <c r="Y523" s="653">
        <f>IFERROR(Y520/H520,"0")+IFERROR(Y521/H521,"0")+IFERROR(Y522/H522,"0")</f>
        <v>104</v>
      </c>
      <c r="Z523" s="653">
        <f>IFERROR(IF(Z520="",0,Z520),"0")+IFERROR(IF(Z521="",0,Z521),"0")+IFERROR(IF(Z522="",0,Z522),"0")</f>
        <v>1.1703399999999999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530</v>
      </c>
      <c r="Y524" s="653">
        <f>IFERROR(SUM(Y520:Y522),"0")</f>
        <v>537.12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120</v>
      </c>
      <c r="Y527" s="652">
        <f t="shared" si="81"/>
        <v>121.44000000000001</v>
      </c>
      <c r="Z527" s="36">
        <f>IFERROR(IF(Y527=0,"",ROUNDUP(Y527/H527,0)*0.01196),"")</f>
        <v>0.27507999999999999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127.95454545454545</v>
      </c>
      <c r="BN527" s="64">
        <f t="shared" si="83"/>
        <v>129.49</v>
      </c>
      <c r="BO527" s="64">
        <f t="shared" si="84"/>
        <v>0.21853146853146854</v>
      </c>
      <c r="BP527" s="64">
        <f t="shared" si="85"/>
        <v>0.22115384615384617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150</v>
      </c>
      <c r="Y528" s="652">
        <f t="shared" si="81"/>
        <v>153.12</v>
      </c>
      <c r="Z528" s="36">
        <f>IFERROR(IF(Y528=0,"",ROUNDUP(Y528/H528,0)*0.01196),"")</f>
        <v>0.34683999999999998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159.94318181818181</v>
      </c>
      <c r="BN528" s="64">
        <f t="shared" si="83"/>
        <v>163.26999999999998</v>
      </c>
      <c r="BO528" s="64">
        <f t="shared" si="84"/>
        <v>0.27316433566433568</v>
      </c>
      <c r="BP528" s="64">
        <f t="shared" si="85"/>
        <v>0.27884615384615385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51.136363636363633</v>
      </c>
      <c r="Y533" s="653">
        <f>IFERROR(Y526/H526,"0")+IFERROR(Y527/H527,"0")+IFERROR(Y528/H528,"0")+IFERROR(Y529/H529,"0")+IFERROR(Y530/H530,"0")+IFERROR(Y531/H531,"0")+IFERROR(Y532/H532,"0")</f>
        <v>52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0.62192000000000003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270</v>
      </c>
      <c r="Y534" s="653">
        <f>IFERROR(SUM(Y526:Y532),"0")</f>
        <v>274.56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80</v>
      </c>
      <c r="Y550" s="652">
        <f>IFERROR(IF(X550="",0,CEILING((X550/$H550),1)*$H550),"")</f>
        <v>81</v>
      </c>
      <c r="Z550" s="36">
        <f>IFERROR(IF(Y550=0,"",ROUNDUP(Y550/H550,0)*0.01898),"")</f>
        <v>0.17082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84.391111111111115</v>
      </c>
      <c r="BN550" s="64">
        <f>IFERROR(Y550*I550/H550,"0")</f>
        <v>85.445999999999998</v>
      </c>
      <c r="BO550" s="64">
        <f>IFERROR(1/J550*(X550/H550),"0")</f>
        <v>0.1388888888888889</v>
      </c>
      <c r="BP550" s="64">
        <f>IFERROR(1/J550*(Y550/H550),"0")</f>
        <v>0.140625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8.8888888888888893</v>
      </c>
      <c r="Y551" s="653">
        <f>IFERROR(Y550/H550,"0")</f>
        <v>9</v>
      </c>
      <c r="Z551" s="653">
        <f>IFERROR(IF(Z550="",0,Z550),"0")</f>
        <v>0.17082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80</v>
      </c>
      <c r="Y552" s="653">
        <f>IFERROR(SUM(Y550:Y550),"0")</f>
        <v>81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8601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8730.48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9379.4165853535069</v>
      </c>
      <c r="Y564" s="653">
        <f>IFERROR(SUM(BN22:BN560),"0")</f>
        <v>9520.8150000000041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16</v>
      </c>
      <c r="Y565" s="38">
        <f>ROUNDUP(SUM(BP22:BP560),0)</f>
        <v>16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9779.4165853535069</v>
      </c>
      <c r="Y566" s="653">
        <f>GrossWeightTotalR+PalletQtyTotalR*25</f>
        <v>9920.8150000000041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1917.2661146473069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1948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18.70382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0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75.600000000000009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184.5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1662.3000000000002</v>
      </c>
      <c r="H573" s="46">
        <f>IFERROR(Y140*1,"0")+IFERROR(Y141*1,"0")+IFERROR(Y145*1,"0")+IFERROR(Y146*1,"0")+IFERROR(Y150*1,"0")+IFERROR(Y151*1,"0")</f>
        <v>90.32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482.82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246.58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1142.9999999999998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3.6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55.2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202.79999999999998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632.16</v>
      </c>
      <c r="U573" s="46">
        <f>IFERROR(Y421*1,"0")+IFERROR(Y422*1,"0")</f>
        <v>0</v>
      </c>
      <c r="V573" s="46">
        <f>IFERROR(Y427*1,"0")+IFERROR(Y428*1,"0")+IFERROR(Y429*1,"0")</f>
        <v>25.200000000000003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1428</v>
      </c>
      <c r="X573" s="46">
        <f>IFERROR(Y464*1,"0")+IFERROR(Y465*1,"0")+IFERROR(Y469*1,"0")+IFERROR(Y473*1,"0")+IFERROR(Y474*1,"0")+IFERROR(Y475*1,"0")</f>
        <v>223.8</v>
      </c>
      <c r="Y573" s="46">
        <f>IFERROR(Y481*1,"0")+IFERROR(Y482*1,"0")+IFERROR(Y483*1,"0")+IFERROR(Y484*1,"0")+IFERROR(Y485*1,"0")+IFERROR(Y486*1,"0")+IFERROR(Y490*1,"0")+IFERROR(Y491*1,"0")</f>
        <v>172.8</v>
      </c>
      <c r="Z573" s="46">
        <f>IFERROR(Y496*1,"0")+IFERROR(Y500*1,"0")+IFERROR(Y501*1,"0")+IFERROR(Y502*1,"0")</f>
        <v>21.6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1999.1999999999998</v>
      </c>
      <c r="AB573" s="46">
        <f>IFERROR(Y538*1,"0")+IFERROR(Y542*1,"0")+IFERROR(Y546*1,"0")+IFERROR(Y550*1,"0")+IFERROR(Y554*1,"0")+IFERROR(Y555*1,"0")</f>
        <v>81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