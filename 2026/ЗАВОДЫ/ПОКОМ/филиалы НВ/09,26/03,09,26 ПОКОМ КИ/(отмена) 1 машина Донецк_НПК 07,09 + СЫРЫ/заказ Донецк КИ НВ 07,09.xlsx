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B20D050-16B4-4C98-9EDE-1AE788950D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2" i="1" l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X498" i="1"/>
  <c r="Y497" i="1"/>
  <c r="X497" i="1"/>
  <c r="BP496" i="1"/>
  <c r="BO496" i="1"/>
  <c r="BN496" i="1"/>
  <c r="BM496" i="1"/>
  <c r="Z496" i="1"/>
  <c r="Z497" i="1" s="1"/>
  <c r="Y496" i="1"/>
  <c r="P496" i="1"/>
  <c r="X493" i="1"/>
  <c r="X492" i="1"/>
  <c r="BO491" i="1"/>
  <c r="BM491" i="1"/>
  <c r="Y491" i="1"/>
  <c r="P491" i="1"/>
  <c r="BO490" i="1"/>
  <c r="BM490" i="1"/>
  <c r="Y490" i="1"/>
  <c r="P490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X476" i="1"/>
  <c r="BO475" i="1"/>
  <c r="BM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Y470" i="1"/>
  <c r="X470" i="1"/>
  <c r="BP469" i="1"/>
  <c r="BO469" i="1"/>
  <c r="BN469" i="1"/>
  <c r="BM469" i="1"/>
  <c r="Z469" i="1"/>
  <c r="Z470" i="1" s="1"/>
  <c r="Y469" i="1"/>
  <c r="Y471" i="1" s="1"/>
  <c r="P469" i="1"/>
  <c r="X467" i="1"/>
  <c r="Y466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1" i="1"/>
  <c r="X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4" i="1"/>
  <c r="X423" i="1"/>
  <c r="BO422" i="1"/>
  <c r="BM422" i="1"/>
  <c r="Y422" i="1"/>
  <c r="P422" i="1"/>
  <c r="BP421" i="1"/>
  <c r="BO421" i="1"/>
  <c r="BN421" i="1"/>
  <c r="BM421" i="1"/>
  <c r="Z421" i="1"/>
  <c r="Y421" i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O370" i="1"/>
  <c r="BM370" i="1"/>
  <c r="Y370" i="1"/>
  <c r="P370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5" i="1"/>
  <c r="X304" i="1"/>
  <c r="BO303" i="1"/>
  <c r="BM303" i="1"/>
  <c r="Y303" i="1"/>
  <c r="P303" i="1"/>
  <c r="BO302" i="1"/>
  <c r="BM302" i="1"/>
  <c r="Y302" i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X285" i="1"/>
  <c r="X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X269" i="1"/>
  <c r="X268" i="1"/>
  <c r="BO267" i="1"/>
  <c r="BM267" i="1"/>
  <c r="Y267" i="1"/>
  <c r="P267" i="1"/>
  <c r="BO266" i="1"/>
  <c r="BM266" i="1"/>
  <c r="Y266" i="1"/>
  <c r="P266" i="1"/>
  <c r="X263" i="1"/>
  <c r="X262" i="1"/>
  <c r="BO261" i="1"/>
  <c r="BM261" i="1"/>
  <c r="Y261" i="1"/>
  <c r="P261" i="1"/>
  <c r="X259" i="1"/>
  <c r="X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3" i="1"/>
  <c r="X252" i="1"/>
  <c r="BO251" i="1"/>
  <c r="BM251" i="1"/>
  <c r="Y251" i="1"/>
  <c r="P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BO193" i="1"/>
  <c r="BM193" i="1"/>
  <c r="Y193" i="1"/>
  <c r="BO192" i="1"/>
  <c r="BM192" i="1"/>
  <c r="Y192" i="1"/>
  <c r="P192" i="1"/>
  <c r="BO191" i="1"/>
  <c r="BM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BP188" i="1"/>
  <c r="BO188" i="1"/>
  <c r="BN188" i="1"/>
  <c r="BM188" i="1"/>
  <c r="Z188" i="1"/>
  <c r="Y188" i="1"/>
  <c r="P188" i="1"/>
  <c r="BO187" i="1"/>
  <c r="BM187" i="1"/>
  <c r="Y187" i="1"/>
  <c r="BO186" i="1"/>
  <c r="BM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Y179" i="1" s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8" i="1"/>
  <c r="X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P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O157" i="1"/>
  <c r="BM157" i="1"/>
  <c r="Y157" i="1"/>
  <c r="P157" i="1"/>
  <c r="BO156" i="1"/>
  <c r="BM156" i="1"/>
  <c r="Y156" i="1"/>
  <c r="P156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X148" i="1"/>
  <c r="X147" i="1"/>
  <c r="BO146" i="1"/>
  <c r="BM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BP134" i="1"/>
  <c r="BO134" i="1"/>
  <c r="BN134" i="1"/>
  <c r="BM134" i="1"/>
  <c r="Z134" i="1"/>
  <c r="Z136" i="1" s="1"/>
  <c r="Y134" i="1"/>
  <c r="Y137" i="1" s="1"/>
  <c r="P134" i="1"/>
  <c r="X132" i="1"/>
  <c r="X131" i="1"/>
  <c r="BO130" i="1"/>
  <c r="BM130" i="1"/>
  <c r="Y130" i="1"/>
  <c r="BO129" i="1"/>
  <c r="BM129" i="1"/>
  <c r="Y129" i="1"/>
  <c r="P129" i="1"/>
  <c r="BO128" i="1"/>
  <c r="BM128" i="1"/>
  <c r="Y128" i="1"/>
  <c r="BO127" i="1"/>
  <c r="BM127" i="1"/>
  <c r="Y127" i="1"/>
  <c r="P127" i="1"/>
  <c r="BO126" i="1"/>
  <c r="BM126" i="1"/>
  <c r="Y126" i="1"/>
  <c r="BO125" i="1"/>
  <c r="BM125" i="1"/>
  <c r="Y125" i="1"/>
  <c r="P125" i="1"/>
  <c r="BO124" i="1"/>
  <c r="BM124" i="1"/>
  <c r="Y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O109" i="1"/>
  <c r="BM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O105" i="1"/>
  <c r="BM105" i="1"/>
  <c r="Y105" i="1"/>
  <c r="P105" i="1"/>
  <c r="BO104" i="1"/>
  <c r="BM104" i="1"/>
  <c r="Y104" i="1"/>
  <c r="P104" i="1"/>
  <c r="X101" i="1"/>
  <c r="X100" i="1"/>
  <c r="BO99" i="1"/>
  <c r="BM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BO78" i="1"/>
  <c r="BM78" i="1"/>
  <c r="Y78" i="1"/>
  <c r="Y82" i="1" s="1"/>
  <c r="P78" i="1"/>
  <c r="BP77" i="1"/>
  <c r="BO77" i="1"/>
  <c r="BN77" i="1"/>
  <c r="BM77" i="1"/>
  <c r="Z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P65" i="1"/>
  <c r="BO64" i="1"/>
  <c r="BM64" i="1"/>
  <c r="Y64" i="1"/>
  <c r="P64" i="1"/>
  <c r="X62" i="1"/>
  <c r="X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O57" i="1"/>
  <c r="BM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P50" i="1"/>
  <c r="BO49" i="1"/>
  <c r="BM49" i="1"/>
  <c r="Y49" i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P41" i="1"/>
  <c r="BO40" i="1"/>
  <c r="BM40" i="1"/>
  <c r="Y40" i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2" i="1" l="1"/>
  <c r="BN22" i="1"/>
  <c r="Z22" i="1"/>
  <c r="BP40" i="1"/>
  <c r="BN40" i="1"/>
  <c r="Z40" i="1"/>
  <c r="BP57" i="1"/>
  <c r="BN57" i="1"/>
  <c r="Z57" i="1"/>
  <c r="Y75" i="1"/>
  <c r="BP71" i="1"/>
  <c r="BN71" i="1"/>
  <c r="Z71" i="1"/>
  <c r="BP89" i="1"/>
  <c r="BN89" i="1"/>
  <c r="Z89" i="1"/>
  <c r="BP109" i="1"/>
  <c r="BN109" i="1"/>
  <c r="Z109" i="1"/>
  <c r="BP118" i="1"/>
  <c r="BN118" i="1"/>
  <c r="Z118" i="1"/>
  <c r="BP126" i="1"/>
  <c r="BN126" i="1"/>
  <c r="Z126" i="1"/>
  <c r="BP130" i="1"/>
  <c r="BN130" i="1"/>
  <c r="Z130" i="1"/>
  <c r="BP157" i="1"/>
  <c r="BN157" i="1"/>
  <c r="Z157" i="1"/>
  <c r="BP178" i="1"/>
  <c r="BN178" i="1"/>
  <c r="Z178" i="1"/>
  <c r="BP182" i="1"/>
  <c r="BN182" i="1"/>
  <c r="Z182" i="1"/>
  <c r="BP194" i="1"/>
  <c r="BN194" i="1"/>
  <c r="Z194" i="1"/>
  <c r="BP220" i="1"/>
  <c r="BN220" i="1"/>
  <c r="Z220" i="1"/>
  <c r="BP237" i="1"/>
  <c r="BN237" i="1"/>
  <c r="Z237" i="1"/>
  <c r="Y253" i="1"/>
  <c r="BP247" i="1"/>
  <c r="BN247" i="1"/>
  <c r="Z247" i="1"/>
  <c r="BP257" i="1"/>
  <c r="BN257" i="1"/>
  <c r="Z257" i="1"/>
  <c r="Y263" i="1"/>
  <c r="Y262" i="1"/>
  <c r="BP261" i="1"/>
  <c r="BN261" i="1"/>
  <c r="Z261" i="1"/>
  <c r="Z262" i="1" s="1"/>
  <c r="BP266" i="1"/>
  <c r="BN266" i="1"/>
  <c r="Z266" i="1"/>
  <c r="BP280" i="1"/>
  <c r="BN280" i="1"/>
  <c r="Z280" i="1"/>
  <c r="BP292" i="1"/>
  <c r="BN292" i="1"/>
  <c r="Z292" i="1"/>
  <c r="BP302" i="1"/>
  <c r="BN302" i="1"/>
  <c r="Z302" i="1"/>
  <c r="BP327" i="1"/>
  <c r="BN327" i="1"/>
  <c r="Z327" i="1"/>
  <c r="BP350" i="1"/>
  <c r="BN350" i="1"/>
  <c r="Z350" i="1"/>
  <c r="BP370" i="1"/>
  <c r="BN370" i="1"/>
  <c r="Z370" i="1"/>
  <c r="BP380" i="1"/>
  <c r="BN380" i="1"/>
  <c r="Z380" i="1"/>
  <c r="BP390" i="1"/>
  <c r="BN390" i="1"/>
  <c r="Z390" i="1"/>
  <c r="BP408" i="1"/>
  <c r="BN408" i="1"/>
  <c r="Z408" i="1"/>
  <c r="BP428" i="1"/>
  <c r="BN428" i="1"/>
  <c r="Z428" i="1"/>
  <c r="BP442" i="1"/>
  <c r="BN442" i="1"/>
  <c r="Z442" i="1"/>
  <c r="Y460" i="1"/>
  <c r="BP458" i="1"/>
  <c r="BN458" i="1"/>
  <c r="Z458" i="1"/>
  <c r="BP483" i="1"/>
  <c r="BN483" i="1"/>
  <c r="Z483" i="1"/>
  <c r="BP502" i="1"/>
  <c r="BN502" i="1"/>
  <c r="Z502" i="1"/>
  <c r="BP508" i="1"/>
  <c r="BN508" i="1"/>
  <c r="Z508" i="1"/>
  <c r="BP516" i="1"/>
  <c r="BN516" i="1"/>
  <c r="Z516" i="1"/>
  <c r="BP530" i="1"/>
  <c r="BN530" i="1"/>
  <c r="Z530" i="1"/>
  <c r="X567" i="1"/>
  <c r="BP30" i="1"/>
  <c r="BN30" i="1"/>
  <c r="Z30" i="1"/>
  <c r="BP50" i="1"/>
  <c r="BN50" i="1"/>
  <c r="Z50" i="1"/>
  <c r="BP65" i="1"/>
  <c r="BN65" i="1"/>
  <c r="Z65" i="1"/>
  <c r="Y74" i="1"/>
  <c r="BP79" i="1"/>
  <c r="BN79" i="1"/>
  <c r="Z79" i="1"/>
  <c r="BP105" i="1"/>
  <c r="BN105" i="1"/>
  <c r="Z105" i="1"/>
  <c r="BP110" i="1"/>
  <c r="BN110" i="1"/>
  <c r="Z110" i="1"/>
  <c r="BP125" i="1"/>
  <c r="BN125" i="1"/>
  <c r="Z125" i="1"/>
  <c r="BP129" i="1"/>
  <c r="BN129" i="1"/>
  <c r="Z129" i="1"/>
  <c r="BP146" i="1"/>
  <c r="BN146" i="1"/>
  <c r="Z146" i="1"/>
  <c r="BP161" i="1"/>
  <c r="BN161" i="1"/>
  <c r="Z161" i="1"/>
  <c r="BP191" i="1"/>
  <c r="BN191" i="1"/>
  <c r="Z191" i="1"/>
  <c r="BP216" i="1"/>
  <c r="BN216" i="1"/>
  <c r="Z216" i="1"/>
  <c r="BP233" i="1"/>
  <c r="BN233" i="1"/>
  <c r="Z233" i="1"/>
  <c r="BP241" i="1"/>
  <c r="BN241" i="1"/>
  <c r="Z241" i="1"/>
  <c r="BP251" i="1"/>
  <c r="BN251" i="1"/>
  <c r="Z251" i="1"/>
  <c r="Y284" i="1"/>
  <c r="BP276" i="1"/>
  <c r="BN276" i="1"/>
  <c r="Z276" i="1"/>
  <c r="BP288" i="1"/>
  <c r="BN288" i="1"/>
  <c r="Z288" i="1"/>
  <c r="BP296" i="1"/>
  <c r="BN296" i="1"/>
  <c r="Z296" i="1"/>
  <c r="BP311" i="1"/>
  <c r="BN311" i="1"/>
  <c r="Z311" i="1"/>
  <c r="BP336" i="1"/>
  <c r="BN336" i="1"/>
  <c r="Z336" i="1"/>
  <c r="BP358" i="1"/>
  <c r="BN358" i="1"/>
  <c r="Z358" i="1"/>
  <c r="BP363" i="1"/>
  <c r="BN363" i="1"/>
  <c r="Z363" i="1"/>
  <c r="BP374" i="1"/>
  <c r="BN374" i="1"/>
  <c r="Z374" i="1"/>
  <c r="BP384" i="1"/>
  <c r="BN384" i="1"/>
  <c r="Z384" i="1"/>
  <c r="Y25" i="1"/>
  <c r="Y32" i="1"/>
  <c r="Y100" i="1"/>
  <c r="Y152" i="1"/>
  <c r="Y175" i="1"/>
  <c r="Y203" i="1"/>
  <c r="Y244" i="1"/>
  <c r="Y259" i="1"/>
  <c r="Y258" i="1"/>
  <c r="Y386" i="1"/>
  <c r="BP402" i="1"/>
  <c r="BN402" i="1"/>
  <c r="Z402" i="1"/>
  <c r="Y418" i="1"/>
  <c r="BP414" i="1"/>
  <c r="BN414" i="1"/>
  <c r="Z414" i="1"/>
  <c r="BP438" i="1"/>
  <c r="BN438" i="1"/>
  <c r="Z438" i="1"/>
  <c r="BP448" i="1"/>
  <c r="BN448" i="1"/>
  <c r="Z448" i="1"/>
  <c r="BP452" i="1"/>
  <c r="BN452" i="1"/>
  <c r="Z452" i="1"/>
  <c r="BP475" i="1"/>
  <c r="BN475" i="1"/>
  <c r="Z475" i="1"/>
  <c r="BP491" i="1"/>
  <c r="BN491" i="1"/>
  <c r="Z491" i="1"/>
  <c r="BP512" i="1"/>
  <c r="BN512" i="1"/>
  <c r="Z512" i="1"/>
  <c r="BP522" i="1"/>
  <c r="BN522" i="1"/>
  <c r="Z522" i="1"/>
  <c r="BP526" i="1"/>
  <c r="BN526" i="1"/>
  <c r="Z526" i="1"/>
  <c r="AB573" i="1"/>
  <c r="Y539" i="1"/>
  <c r="BP538" i="1"/>
  <c r="BN538" i="1"/>
  <c r="Z538" i="1"/>
  <c r="Z539" i="1" s="1"/>
  <c r="Y544" i="1"/>
  <c r="Y543" i="1"/>
  <c r="BP542" i="1"/>
  <c r="BN542" i="1"/>
  <c r="Z542" i="1"/>
  <c r="Z543" i="1" s="1"/>
  <c r="Y548" i="1"/>
  <c r="Y547" i="1"/>
  <c r="BP546" i="1"/>
  <c r="BN546" i="1"/>
  <c r="Z546" i="1"/>
  <c r="Z547" i="1" s="1"/>
  <c r="Y552" i="1"/>
  <c r="Y551" i="1"/>
  <c r="BP550" i="1"/>
  <c r="BN550" i="1"/>
  <c r="Z550" i="1"/>
  <c r="Z551" i="1" s="1"/>
  <c r="Y556" i="1"/>
  <c r="BP554" i="1"/>
  <c r="BN554" i="1"/>
  <c r="Z554" i="1"/>
  <c r="Y450" i="1"/>
  <c r="Y449" i="1"/>
  <c r="Z573" i="1"/>
  <c r="Y504" i="1"/>
  <c r="Y503" i="1"/>
  <c r="Y524" i="1"/>
  <c r="Y523" i="1"/>
  <c r="Y557" i="1"/>
  <c r="H9" i="1"/>
  <c r="A10" i="1"/>
  <c r="B573" i="1"/>
  <c r="X564" i="1"/>
  <c r="X565" i="1"/>
  <c r="Z23" i="1"/>
  <c r="Z24" i="1" s="1"/>
  <c r="BN23" i="1"/>
  <c r="BP23" i="1"/>
  <c r="Y24" i="1"/>
  <c r="X563" i="1"/>
  <c r="Z27" i="1"/>
  <c r="BN27" i="1"/>
  <c r="BP27" i="1"/>
  <c r="Z29" i="1"/>
  <c r="BN29" i="1"/>
  <c r="BP31" i="1"/>
  <c r="BN31" i="1"/>
  <c r="Z31" i="1"/>
  <c r="Y33" i="1"/>
  <c r="C573" i="1"/>
  <c r="Y42" i="1"/>
  <c r="BP37" i="1"/>
  <c r="BN37" i="1"/>
  <c r="Z37" i="1"/>
  <c r="BP41" i="1"/>
  <c r="BN41" i="1"/>
  <c r="Z41" i="1"/>
  <c r="Y43" i="1"/>
  <c r="D573" i="1"/>
  <c r="Y52" i="1"/>
  <c r="BP47" i="1"/>
  <c r="BN47" i="1"/>
  <c r="Z47" i="1"/>
  <c r="Y51" i="1"/>
  <c r="BP56" i="1"/>
  <c r="BN56" i="1"/>
  <c r="Z56" i="1"/>
  <c r="Z61" i="1" s="1"/>
  <c r="BP60" i="1"/>
  <c r="BN60" i="1"/>
  <c r="Z60" i="1"/>
  <c r="Y62" i="1"/>
  <c r="Y69" i="1"/>
  <c r="BP64" i="1"/>
  <c r="BN64" i="1"/>
  <c r="Z64" i="1"/>
  <c r="Y68" i="1"/>
  <c r="BP72" i="1"/>
  <c r="BN72" i="1"/>
  <c r="Z72" i="1"/>
  <c r="Z74" i="1" s="1"/>
  <c r="Y81" i="1"/>
  <c r="BP80" i="1"/>
  <c r="BN80" i="1"/>
  <c r="Z80" i="1"/>
  <c r="F573" i="1"/>
  <c r="Y91" i="1"/>
  <c r="BP85" i="1"/>
  <c r="BN85" i="1"/>
  <c r="Z85" i="1"/>
  <c r="Y90" i="1"/>
  <c r="BP95" i="1"/>
  <c r="BN95" i="1"/>
  <c r="Z95" i="1"/>
  <c r="BP99" i="1"/>
  <c r="BN99" i="1"/>
  <c r="Z99" i="1"/>
  <c r="Y101" i="1"/>
  <c r="G573" i="1"/>
  <c r="Y112" i="1"/>
  <c r="BP104" i="1"/>
  <c r="BN104" i="1"/>
  <c r="Z104" i="1"/>
  <c r="BP108" i="1"/>
  <c r="BN108" i="1"/>
  <c r="Z108" i="1"/>
  <c r="BP117" i="1"/>
  <c r="BN117" i="1"/>
  <c r="Z117" i="1"/>
  <c r="BP124" i="1"/>
  <c r="BN124" i="1"/>
  <c r="Z124" i="1"/>
  <c r="BP128" i="1"/>
  <c r="BN128" i="1"/>
  <c r="Z128" i="1"/>
  <c r="BP151" i="1"/>
  <c r="BN151" i="1"/>
  <c r="Z151" i="1"/>
  <c r="Z152" i="1" s="1"/>
  <c r="Y153" i="1"/>
  <c r="I573" i="1"/>
  <c r="Y163" i="1"/>
  <c r="BP156" i="1"/>
  <c r="BN156" i="1"/>
  <c r="Z156" i="1"/>
  <c r="BP160" i="1"/>
  <c r="BN160" i="1"/>
  <c r="Z160" i="1"/>
  <c r="BP173" i="1"/>
  <c r="BN173" i="1"/>
  <c r="Z173" i="1"/>
  <c r="Y180" i="1"/>
  <c r="BP177" i="1"/>
  <c r="BN177" i="1"/>
  <c r="Z177" i="1"/>
  <c r="Y196" i="1"/>
  <c r="BP186" i="1"/>
  <c r="BN186" i="1"/>
  <c r="Z186" i="1"/>
  <c r="BP190" i="1"/>
  <c r="BN190" i="1"/>
  <c r="Z190" i="1"/>
  <c r="BP193" i="1"/>
  <c r="BN193" i="1"/>
  <c r="Z193" i="1"/>
  <c r="BP201" i="1"/>
  <c r="BN201" i="1"/>
  <c r="Z201" i="1"/>
  <c r="Y206" i="1"/>
  <c r="BP205" i="1"/>
  <c r="BN205" i="1"/>
  <c r="Z205" i="1"/>
  <c r="Z206" i="1" s="1"/>
  <c r="Y207" i="1"/>
  <c r="Y210" i="1"/>
  <c r="BP209" i="1"/>
  <c r="BN209" i="1"/>
  <c r="Z209" i="1"/>
  <c r="Z210" i="1" s="1"/>
  <c r="Y211" i="1"/>
  <c r="K573" i="1"/>
  <c r="Y222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BP240" i="1"/>
  <c r="BN240" i="1"/>
  <c r="Z240" i="1"/>
  <c r="BP248" i="1"/>
  <c r="BN248" i="1"/>
  <c r="Z248" i="1"/>
  <c r="Y252" i="1"/>
  <c r="BP256" i="1"/>
  <c r="BN256" i="1"/>
  <c r="Z256" i="1"/>
  <c r="Z258" i="1" s="1"/>
  <c r="BP277" i="1"/>
  <c r="BN277" i="1"/>
  <c r="Z277" i="1"/>
  <c r="BP281" i="1"/>
  <c r="BN281" i="1"/>
  <c r="Z281" i="1"/>
  <c r="BP289" i="1"/>
  <c r="BN289" i="1"/>
  <c r="Z289" i="1"/>
  <c r="BP293" i="1"/>
  <c r="BN293" i="1"/>
  <c r="Z293" i="1"/>
  <c r="BP297" i="1"/>
  <c r="BN297" i="1"/>
  <c r="Z297" i="1"/>
  <c r="Y304" i="1"/>
  <c r="BP310" i="1"/>
  <c r="BN310" i="1"/>
  <c r="Z310" i="1"/>
  <c r="BP373" i="1"/>
  <c r="BN373" i="1"/>
  <c r="Z373" i="1"/>
  <c r="BP422" i="1"/>
  <c r="BN422" i="1"/>
  <c r="Z422" i="1"/>
  <c r="Z423" i="1" s="1"/>
  <c r="Y424" i="1"/>
  <c r="V573" i="1"/>
  <c r="Y430" i="1"/>
  <c r="BP427" i="1"/>
  <c r="BN427" i="1"/>
  <c r="Z427" i="1"/>
  <c r="Y431" i="1"/>
  <c r="BP437" i="1"/>
  <c r="BN437" i="1"/>
  <c r="Z437" i="1"/>
  <c r="BP441" i="1"/>
  <c r="BN441" i="1"/>
  <c r="Z441" i="1"/>
  <c r="BP474" i="1"/>
  <c r="BN474" i="1"/>
  <c r="Z474" i="1"/>
  <c r="Z476" i="1" s="1"/>
  <c r="Y476" i="1"/>
  <c r="F9" i="1"/>
  <c r="J9" i="1"/>
  <c r="BP39" i="1"/>
  <c r="BN39" i="1"/>
  <c r="Z39" i="1"/>
  <c r="BP49" i="1"/>
  <c r="BN49" i="1"/>
  <c r="Z49" i="1"/>
  <c r="BP58" i="1"/>
  <c r="BN58" i="1"/>
  <c r="Z58" i="1"/>
  <c r="BP66" i="1"/>
  <c r="BN66" i="1"/>
  <c r="Z66" i="1"/>
  <c r="BP78" i="1"/>
  <c r="BN78" i="1"/>
  <c r="Z78" i="1"/>
  <c r="BP88" i="1"/>
  <c r="BN88" i="1"/>
  <c r="Z88" i="1"/>
  <c r="BP96" i="1"/>
  <c r="BN96" i="1"/>
  <c r="Z96" i="1"/>
  <c r="BP106" i="1"/>
  <c r="BN106" i="1"/>
  <c r="Z106" i="1"/>
  <c r="BP111" i="1"/>
  <c r="BN111" i="1"/>
  <c r="Z111" i="1"/>
  <c r="Y113" i="1"/>
  <c r="Y120" i="1"/>
  <c r="BP115" i="1"/>
  <c r="BN115" i="1"/>
  <c r="Z115" i="1"/>
  <c r="BP119" i="1"/>
  <c r="BN119" i="1"/>
  <c r="Z119" i="1"/>
  <c r="Y121" i="1"/>
  <c r="Y132" i="1"/>
  <c r="BP123" i="1"/>
  <c r="BN123" i="1"/>
  <c r="Z123" i="1"/>
  <c r="BP127" i="1"/>
  <c r="BN127" i="1"/>
  <c r="Z127" i="1"/>
  <c r="Y131" i="1"/>
  <c r="BP141" i="1"/>
  <c r="BN141" i="1"/>
  <c r="Z141" i="1"/>
  <c r="Z142" i="1" s="1"/>
  <c r="Y143" i="1"/>
  <c r="Y148" i="1"/>
  <c r="BP145" i="1"/>
  <c r="BN145" i="1"/>
  <c r="Z145" i="1"/>
  <c r="Z147" i="1" s="1"/>
  <c r="BP158" i="1"/>
  <c r="BN158" i="1"/>
  <c r="Z158" i="1"/>
  <c r="BP162" i="1"/>
  <c r="BN162" i="1"/>
  <c r="Z162" i="1"/>
  <c r="Y164" i="1"/>
  <c r="Y167" i="1"/>
  <c r="BP166" i="1"/>
  <c r="BN166" i="1"/>
  <c r="Z166" i="1"/>
  <c r="Z167" i="1" s="1"/>
  <c r="Y168" i="1"/>
  <c r="J573" i="1"/>
  <c r="Y174" i="1"/>
  <c r="BP171" i="1"/>
  <c r="BN171" i="1"/>
  <c r="Z171" i="1"/>
  <c r="Z174" i="1" s="1"/>
  <c r="BP183" i="1"/>
  <c r="BN183" i="1"/>
  <c r="Z183" i="1"/>
  <c r="BP187" i="1"/>
  <c r="BN187" i="1"/>
  <c r="Z187" i="1"/>
  <c r="BP192" i="1"/>
  <c r="BN192" i="1"/>
  <c r="Z192" i="1"/>
  <c r="BP195" i="1"/>
  <c r="BN195" i="1"/>
  <c r="Z195" i="1"/>
  <c r="Y197" i="1"/>
  <c r="Y202" i="1"/>
  <c r="BP199" i="1"/>
  <c r="BN199" i="1"/>
  <c r="Z199" i="1"/>
  <c r="Z202" i="1" s="1"/>
  <c r="BP217" i="1"/>
  <c r="BN217" i="1"/>
  <c r="Z217" i="1"/>
  <c r="BP221" i="1"/>
  <c r="BN221" i="1"/>
  <c r="Z221" i="1"/>
  <c r="Y223" i="1"/>
  <c r="L573" i="1"/>
  <c r="Y227" i="1"/>
  <c r="BP226" i="1"/>
  <c r="BN226" i="1"/>
  <c r="Z226" i="1"/>
  <c r="Z227" i="1" s="1"/>
  <c r="Y228" i="1"/>
  <c r="Y245" i="1"/>
  <c r="BP230" i="1"/>
  <c r="BN230" i="1"/>
  <c r="Z230" i="1"/>
  <c r="BP234" i="1"/>
  <c r="BN234" i="1"/>
  <c r="Z234" i="1"/>
  <c r="BP238" i="1"/>
  <c r="BN238" i="1"/>
  <c r="Z238" i="1"/>
  <c r="BP242" i="1"/>
  <c r="BN242" i="1"/>
  <c r="Z242" i="1"/>
  <c r="BP250" i="1"/>
  <c r="BN250" i="1"/>
  <c r="Z250" i="1"/>
  <c r="BP267" i="1"/>
  <c r="BN267" i="1"/>
  <c r="Z267" i="1"/>
  <c r="Z268" i="1" s="1"/>
  <c r="Y269" i="1"/>
  <c r="Y274" i="1"/>
  <c r="BP271" i="1"/>
  <c r="BN271" i="1"/>
  <c r="Z271" i="1"/>
  <c r="Z273" i="1" s="1"/>
  <c r="BP279" i="1"/>
  <c r="BN279" i="1"/>
  <c r="Z279" i="1"/>
  <c r="BP283" i="1"/>
  <c r="BN283" i="1"/>
  <c r="Z283" i="1"/>
  <c r="Y285" i="1"/>
  <c r="Y300" i="1"/>
  <c r="BP287" i="1"/>
  <c r="BN287" i="1"/>
  <c r="Z287" i="1"/>
  <c r="BP291" i="1"/>
  <c r="BN291" i="1"/>
  <c r="Z291" i="1"/>
  <c r="BP295" i="1"/>
  <c r="BN295" i="1"/>
  <c r="Z295" i="1"/>
  <c r="Y299" i="1"/>
  <c r="BP303" i="1"/>
  <c r="BN303" i="1"/>
  <c r="Z303" i="1"/>
  <c r="Z304" i="1" s="1"/>
  <c r="Y305" i="1"/>
  <c r="O573" i="1"/>
  <c r="Y315" i="1"/>
  <c r="Y316" i="1"/>
  <c r="BP308" i="1"/>
  <c r="BN308" i="1"/>
  <c r="Z308" i="1"/>
  <c r="BP312" i="1"/>
  <c r="BN312" i="1"/>
  <c r="Z312" i="1"/>
  <c r="BP328" i="1"/>
  <c r="BN328" i="1"/>
  <c r="Z328" i="1"/>
  <c r="Y330" i="1"/>
  <c r="P573" i="1"/>
  <c r="Y338" i="1"/>
  <c r="BP333" i="1"/>
  <c r="BN333" i="1"/>
  <c r="Z333" i="1"/>
  <c r="BP337" i="1"/>
  <c r="BN337" i="1"/>
  <c r="Z337" i="1"/>
  <c r="Y339" i="1"/>
  <c r="Q573" i="1"/>
  <c r="Y345" i="1"/>
  <c r="BP342" i="1"/>
  <c r="BN342" i="1"/>
  <c r="Z342" i="1"/>
  <c r="Y346" i="1"/>
  <c r="BP351" i="1"/>
  <c r="BN351" i="1"/>
  <c r="Z351" i="1"/>
  <c r="BP364" i="1"/>
  <c r="BN364" i="1"/>
  <c r="Z364" i="1"/>
  <c r="Y366" i="1"/>
  <c r="BP381" i="1"/>
  <c r="BN381" i="1"/>
  <c r="Z381" i="1"/>
  <c r="Y385" i="1"/>
  <c r="BP389" i="1"/>
  <c r="BN389" i="1"/>
  <c r="Z389" i="1"/>
  <c r="Y393" i="1"/>
  <c r="BP397" i="1"/>
  <c r="BN397" i="1"/>
  <c r="Z397" i="1"/>
  <c r="Y399" i="1"/>
  <c r="Y406" i="1"/>
  <c r="BP401" i="1"/>
  <c r="BN401" i="1"/>
  <c r="Z401" i="1"/>
  <c r="Y405" i="1"/>
  <c r="BP409" i="1"/>
  <c r="BN409" i="1"/>
  <c r="Z409" i="1"/>
  <c r="Z411" i="1" s="1"/>
  <c r="Y411" i="1"/>
  <c r="BP453" i="1"/>
  <c r="BN453" i="1"/>
  <c r="Z453" i="1"/>
  <c r="Z455" i="1" s="1"/>
  <c r="Y455" i="1"/>
  <c r="BP509" i="1"/>
  <c r="BN509" i="1"/>
  <c r="Z509" i="1"/>
  <c r="Y517" i="1"/>
  <c r="BP513" i="1"/>
  <c r="BN513" i="1"/>
  <c r="Z513" i="1"/>
  <c r="E573" i="1"/>
  <c r="Y61" i="1"/>
  <c r="H573" i="1"/>
  <c r="Y142" i="1"/>
  <c r="M573" i="1"/>
  <c r="Y268" i="1"/>
  <c r="BP314" i="1"/>
  <c r="BN314" i="1"/>
  <c r="Z314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29" i="1"/>
  <c r="BP326" i="1"/>
  <c r="BN326" i="1"/>
  <c r="Z326" i="1"/>
  <c r="Z329" i="1" s="1"/>
  <c r="BP335" i="1"/>
  <c r="BN335" i="1"/>
  <c r="Z335" i="1"/>
  <c r="BP344" i="1"/>
  <c r="BN344" i="1"/>
  <c r="Z344" i="1"/>
  <c r="R573" i="1"/>
  <c r="Y354" i="1"/>
  <c r="BP349" i="1"/>
  <c r="BN349" i="1"/>
  <c r="Z349" i="1"/>
  <c r="BP353" i="1"/>
  <c r="BN353" i="1"/>
  <c r="Z353" i="1"/>
  <c r="Y355" i="1"/>
  <c r="Y360" i="1"/>
  <c r="BP357" i="1"/>
  <c r="BN357" i="1"/>
  <c r="Z357" i="1"/>
  <c r="Z359" i="1" s="1"/>
  <c r="BP371" i="1"/>
  <c r="BN371" i="1"/>
  <c r="Z371" i="1"/>
  <c r="Z375" i="1" s="1"/>
  <c r="Y375" i="1"/>
  <c r="BP379" i="1"/>
  <c r="BN379" i="1"/>
  <c r="Z379" i="1"/>
  <c r="Z385" i="1" s="1"/>
  <c r="BP383" i="1"/>
  <c r="BN383" i="1"/>
  <c r="Z383" i="1"/>
  <c r="Y392" i="1"/>
  <c r="BP391" i="1"/>
  <c r="BN391" i="1"/>
  <c r="Z391" i="1"/>
  <c r="Y398" i="1"/>
  <c r="BP395" i="1"/>
  <c r="BN395" i="1"/>
  <c r="Z395" i="1"/>
  <c r="Z398" i="1" s="1"/>
  <c r="BP403" i="1"/>
  <c r="BN403" i="1"/>
  <c r="Z403" i="1"/>
  <c r="Y412" i="1"/>
  <c r="Z417" i="1"/>
  <c r="BP415" i="1"/>
  <c r="BN415" i="1"/>
  <c r="Z415" i="1"/>
  <c r="BP429" i="1"/>
  <c r="BN429" i="1"/>
  <c r="Z429" i="1"/>
  <c r="W573" i="1"/>
  <c r="Y444" i="1"/>
  <c r="BP435" i="1"/>
  <c r="BN435" i="1"/>
  <c r="Z435" i="1"/>
  <c r="BP439" i="1"/>
  <c r="BN439" i="1"/>
  <c r="Z439" i="1"/>
  <c r="Y443" i="1"/>
  <c r="BP447" i="1"/>
  <c r="BN447" i="1"/>
  <c r="Z447" i="1"/>
  <c r="Z449" i="1" s="1"/>
  <c r="Y456" i="1"/>
  <c r="BP459" i="1"/>
  <c r="BN459" i="1"/>
  <c r="Z459" i="1"/>
  <c r="Z460" i="1" s="1"/>
  <c r="Y461" i="1"/>
  <c r="X573" i="1"/>
  <c r="Y467" i="1"/>
  <c r="BP464" i="1"/>
  <c r="BN464" i="1"/>
  <c r="Z464" i="1"/>
  <c r="Z466" i="1" s="1"/>
  <c r="Y477" i="1"/>
  <c r="BP482" i="1"/>
  <c r="BN482" i="1"/>
  <c r="Z482" i="1"/>
  <c r="BP486" i="1"/>
  <c r="BN486" i="1"/>
  <c r="Z486" i="1"/>
  <c r="Y488" i="1"/>
  <c r="Y493" i="1"/>
  <c r="BP490" i="1"/>
  <c r="BN490" i="1"/>
  <c r="Z490" i="1"/>
  <c r="Z492" i="1" s="1"/>
  <c r="Y492" i="1"/>
  <c r="S573" i="1"/>
  <c r="Y367" i="1"/>
  <c r="T573" i="1"/>
  <c r="Y376" i="1"/>
  <c r="U573" i="1"/>
  <c r="Y423" i="1"/>
  <c r="Y573" i="1"/>
  <c r="Y487" i="1"/>
  <c r="BP484" i="1"/>
  <c r="BN484" i="1"/>
  <c r="Z484" i="1"/>
  <c r="BP501" i="1"/>
  <c r="BN501" i="1"/>
  <c r="Z501" i="1"/>
  <c r="AA573" i="1"/>
  <c r="BP511" i="1"/>
  <c r="BN511" i="1"/>
  <c r="Z511" i="1"/>
  <c r="BP515" i="1"/>
  <c r="BN515" i="1"/>
  <c r="Z515" i="1"/>
  <c r="BP527" i="1"/>
  <c r="BN527" i="1"/>
  <c r="Z527" i="1"/>
  <c r="BP531" i="1"/>
  <c r="BN531" i="1"/>
  <c r="Z531" i="1"/>
  <c r="BP521" i="1"/>
  <c r="BN521" i="1"/>
  <c r="Z521" i="1"/>
  <c r="Y534" i="1"/>
  <c r="BP529" i="1"/>
  <c r="BN529" i="1"/>
  <c r="Z529" i="1"/>
  <c r="Y533" i="1"/>
  <c r="Y498" i="1"/>
  <c r="Y518" i="1"/>
  <c r="Y540" i="1"/>
  <c r="Z555" i="1"/>
  <c r="Z556" i="1" s="1"/>
  <c r="BN555" i="1"/>
  <c r="BP555" i="1"/>
  <c r="Z560" i="1"/>
  <c r="Z561" i="1" s="1"/>
  <c r="BN560" i="1"/>
  <c r="BP560" i="1"/>
  <c r="Y561" i="1"/>
  <c r="Y562" i="1"/>
  <c r="Z487" i="1" l="1"/>
  <c r="Z517" i="1"/>
  <c r="Z196" i="1"/>
  <c r="Y564" i="1"/>
  <c r="Y566" i="1" s="1"/>
  <c r="Y563" i="1"/>
  <c r="Z533" i="1"/>
  <c r="Z523" i="1"/>
  <c r="Z503" i="1"/>
  <c r="Z392" i="1"/>
  <c r="Z366" i="1"/>
  <c r="Z252" i="1"/>
  <c r="Z81" i="1"/>
  <c r="Y565" i="1"/>
  <c r="Z179" i="1"/>
  <c r="Z100" i="1"/>
  <c r="Z338" i="1"/>
  <c r="Z315" i="1"/>
  <c r="Z244" i="1"/>
  <c r="Z430" i="1"/>
  <c r="Z284" i="1"/>
  <c r="Z222" i="1"/>
  <c r="Z163" i="1"/>
  <c r="Z90" i="1"/>
  <c r="Z68" i="1"/>
  <c r="Z51" i="1"/>
  <c r="Z32" i="1"/>
  <c r="Y567" i="1"/>
  <c r="Z443" i="1"/>
  <c r="Z354" i="1"/>
  <c r="Z405" i="1"/>
  <c r="Z345" i="1"/>
  <c r="Z299" i="1"/>
  <c r="Z131" i="1"/>
  <c r="Z120" i="1"/>
  <c r="Z112" i="1"/>
  <c r="Z42" i="1"/>
  <c r="X566" i="1"/>
  <c r="Z568" i="1" l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<sst xmlns="http://schemas.openxmlformats.org/spreadsheetml/2006/main" count="2588" uniqueCount="926">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</sst>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5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8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6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4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1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topLeftCell="A416" zoomScaleNormal="100" zoomScaleSheetLayoutView="100" workbookViewId="0">
      <selection activeCell="AA569" sqref="AA569"/>
    </sheetView>
  </sheetViews>
  <sheetFormatPr defaultColWidth="9.140625" defaultRowHeight="12.75" x14ac:dyDescent="0.2"/>
  <cols>
    <col min="1" max="1" width="9.140625" style="64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4" customWidth="1"/>
    <col min="19" max="19" width="6.140625" style="64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4" customWidth="1"/>
    <col min="25" max="25" width="11" style="644" customWidth="1"/>
    <col min="26" max="26" width="10" style="644" customWidth="1"/>
    <col min="27" max="27" width="11.5703125" style="644" customWidth="1"/>
    <col min="28" max="28" width="10.42578125" style="644" customWidth="1"/>
    <col min="29" max="29" width="30" style="64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4" customWidth="1"/>
    <col min="34" max="34" width="9.140625" style="644" customWidth="1"/>
    <col min="35" max="16384" width="9.140625" style="644"/>
  </cols>
  <sheetData>
    <row r="1" spans="1:32" s="648" customFormat="1" ht="45" customHeight="1" x14ac:dyDescent="0.2">
      <c r="A1" s="41"/>
      <c r="B1" s="41"/>
      <c r="C1" s="41"/>
      <c r="D1" s="741" t="s">
        <v>0</v>
      </c>
      <c r="E1" s="689"/>
      <c r="F1" s="689"/>
      <c r="G1" s="12" t="s">
        <v>1</v>
      </c>
      <c r="H1" s="741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88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7"/>
      <c r="R2" s="667"/>
      <c r="S2" s="667"/>
      <c r="T2" s="667"/>
      <c r="U2" s="667"/>
      <c r="V2" s="667"/>
      <c r="W2" s="667"/>
      <c r="X2" s="16"/>
      <c r="Y2" s="16"/>
      <c r="Z2" s="16"/>
      <c r="AA2" s="16"/>
      <c r="AB2" s="51"/>
      <c r="AC2" s="51"/>
      <c r="AD2" s="51"/>
      <c r="AE2" s="51"/>
    </row>
    <row r="3" spans="1:32" s="6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7"/>
      <c r="Q3" s="667"/>
      <c r="R3" s="667"/>
      <c r="S3" s="667"/>
      <c r="T3" s="667"/>
      <c r="U3" s="667"/>
      <c r="V3" s="667"/>
      <c r="W3" s="667"/>
      <c r="X3" s="16"/>
      <c r="Y3" s="16"/>
      <c r="Z3" s="16"/>
      <c r="AA3" s="16"/>
      <c r="AB3" s="51"/>
      <c r="AC3" s="51"/>
      <c r="AD3" s="51"/>
      <c r="AE3" s="51"/>
    </row>
    <row r="4" spans="1:32" s="6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8" customFormat="1" ht="23.45" customHeight="1" x14ac:dyDescent="0.2">
      <c r="A5" s="795" t="s">
        <v>8</v>
      </c>
      <c r="B5" s="710"/>
      <c r="C5" s="711"/>
      <c r="D5" s="747"/>
      <c r="E5" s="748"/>
      <c r="F5" s="980" t="s">
        <v>9</v>
      </c>
      <c r="G5" s="711"/>
      <c r="H5" s="747"/>
      <c r="I5" s="922"/>
      <c r="J5" s="922"/>
      <c r="K5" s="922"/>
      <c r="L5" s="922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1" t="s">
        <v>12</v>
      </c>
      <c r="W5" s="793"/>
      <c r="AB5" s="51"/>
      <c r="AC5" s="51"/>
      <c r="AD5" s="51"/>
      <c r="AE5" s="51"/>
    </row>
    <row r="6" spans="1:32" s="648" customFormat="1" ht="24" customHeight="1" x14ac:dyDescent="0.2">
      <c r="A6" s="795" t="s">
        <v>13</v>
      </c>
      <c r="B6" s="710"/>
      <c r="C6" s="711"/>
      <c r="D6" s="925"/>
      <c r="E6" s="926"/>
      <c r="F6" s="926"/>
      <c r="G6" s="926"/>
      <c r="H6" s="926"/>
      <c r="I6" s="926"/>
      <c r="J6" s="926"/>
      <c r="K6" s="926"/>
      <c r="L6" s="926"/>
      <c r="M6" s="793"/>
      <c r="N6" s="59"/>
      <c r="P6" s="24" t="s">
        <v>14</v>
      </c>
      <c r="Q6" s="1007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03" t="s">
        <v>16</v>
      </c>
      <c r="W6" s="706"/>
      <c r="AB6" s="51"/>
      <c r="AC6" s="51"/>
      <c r="AD6" s="51"/>
      <c r="AE6" s="51"/>
    </row>
    <row r="7" spans="1:32" s="648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7"/>
      <c r="U7" s="824"/>
      <c r="V7" s="904"/>
      <c r="W7" s="905"/>
      <c r="AB7" s="51"/>
      <c r="AC7" s="51"/>
      <c r="AD7" s="51"/>
      <c r="AE7" s="51"/>
    </row>
    <row r="8" spans="1:32" s="648" customFormat="1" ht="25.5" customHeight="1" x14ac:dyDescent="0.2">
      <c r="A8" s="1023" t="s">
        <v>17</v>
      </c>
      <c r="B8" s="669"/>
      <c r="C8" s="670"/>
      <c r="D8" s="727"/>
      <c r="E8" s="728"/>
      <c r="F8" s="728"/>
      <c r="G8" s="728"/>
      <c r="H8" s="728"/>
      <c r="I8" s="728"/>
      <c r="J8" s="728"/>
      <c r="K8" s="728"/>
      <c r="L8" s="728"/>
      <c r="M8" s="729"/>
      <c r="N8" s="61"/>
      <c r="P8" s="24" t="s">
        <v>18</v>
      </c>
      <c r="Q8" s="803">
        <v>0.41666666666666669</v>
      </c>
      <c r="R8" s="719"/>
      <c r="T8" s="667"/>
      <c r="U8" s="824"/>
      <c r="V8" s="904"/>
      <c r="W8" s="905"/>
      <c r="AB8" s="51"/>
      <c r="AC8" s="51"/>
      <c r="AD8" s="51"/>
      <c r="AE8" s="51"/>
    </row>
    <row r="9" spans="1:32" s="648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7"/>
      <c r="C9" s="667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7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9"/>
      <c r="P9" s="26" t="s">
        <v>19</v>
      </c>
      <c r="Q9" s="788"/>
      <c r="R9" s="789"/>
      <c r="T9" s="667"/>
      <c r="U9" s="824"/>
      <c r="V9" s="906"/>
      <c r="W9" s="907"/>
      <c r="X9" s="43"/>
      <c r="Y9" s="43"/>
      <c r="Z9" s="43"/>
      <c r="AA9" s="43"/>
      <c r="AB9" s="51"/>
      <c r="AC9" s="51"/>
      <c r="AD9" s="51"/>
      <c r="AE9" s="51"/>
    </row>
    <row r="10" spans="1:32" s="648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7"/>
      <c r="C10" s="667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7"/>
      <c r="H10" s="892" t="str">
        <f>IFERROR(VLOOKUP($D$10,Proxy,2,FALSE),"")</f>
        <v/>
      </c>
      <c r="I10" s="667"/>
      <c r="J10" s="667"/>
      <c r="K10" s="667"/>
      <c r="L10" s="667"/>
      <c r="M10" s="667"/>
      <c r="N10" s="647"/>
      <c r="P10" s="26" t="s">
        <v>20</v>
      </c>
      <c r="Q10" s="849"/>
      <c r="R10" s="850"/>
      <c r="U10" s="24" t="s">
        <v>21</v>
      </c>
      <c r="V10" s="705" t="s">
        <v>22</v>
      </c>
      <c r="W10" s="706"/>
      <c r="X10" s="44"/>
      <c r="Y10" s="44"/>
      <c r="Z10" s="44"/>
      <c r="AA10" s="44"/>
      <c r="AB10" s="51"/>
      <c r="AC10" s="51"/>
      <c r="AD10" s="51"/>
      <c r="AE10" s="51"/>
    </row>
    <row r="11" spans="1:32" s="64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7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8" customFormat="1" ht="18.600000000000001" customHeight="1" x14ac:dyDescent="0.2">
      <c r="A12" s="835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3"/>
      <c r="R12" s="719"/>
      <c r="S12" s="23"/>
      <c r="U12" s="24"/>
      <c r="V12" s="689"/>
      <c r="W12" s="667"/>
      <c r="AB12" s="51"/>
      <c r="AC12" s="51"/>
      <c r="AD12" s="51"/>
      <c r="AE12" s="51"/>
    </row>
    <row r="13" spans="1:32" s="648" customFormat="1" ht="23.25" customHeight="1" x14ac:dyDescent="0.2">
      <c r="A13" s="835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7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8" customFormat="1" ht="18.600000000000001" customHeight="1" x14ac:dyDescent="0.2">
      <c r="A14" s="835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8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09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19" t="s">
        <v>49</v>
      </c>
      <c r="V17" s="711"/>
      <c r="W17" s="701" t="s">
        <v>50</v>
      </c>
      <c r="X17" s="701" t="s">
        <v>51</v>
      </c>
      <c r="Y17" s="1020" t="s">
        <v>52</v>
      </c>
      <c r="Z17" s="920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75"/>
      <c r="AF17" s="976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21"/>
      <c r="AA18" s="894"/>
      <c r="AB18" s="894"/>
      <c r="AC18" s="894"/>
      <c r="AD18" s="977"/>
      <c r="AE18" s="978"/>
      <c r="AF18" s="979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45"/>
      <c r="AB20" s="645"/>
      <c r="AC20" s="645"/>
    </row>
    <row r="21" spans="1:68" ht="14.25" hidden="1" customHeight="1" x14ac:dyDescent="0.25">
      <c r="A21" s="671" t="s">
        <v>62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46"/>
      <c r="AB21" s="646"/>
      <c r="AC21" s="646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84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85"/>
      <c r="P24" s="668" t="s">
        <v>72</v>
      </c>
      <c r="Q24" s="669"/>
      <c r="R24" s="669"/>
      <c r="S24" s="669"/>
      <c r="T24" s="669"/>
      <c r="U24" s="669"/>
      <c r="V24" s="670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85"/>
      <c r="P25" s="668" t="s">
        <v>72</v>
      </c>
      <c r="Q25" s="669"/>
      <c r="R25" s="669"/>
      <c r="S25" s="669"/>
      <c r="T25" s="669"/>
      <c r="U25" s="669"/>
      <c r="V25" s="670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71" t="s">
        <v>74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46"/>
      <c r="AB26" s="646"/>
      <c r="AC26" s="646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12</v>
      </c>
      <c r="Y29" s="652">
        <f>IFERROR(IF(X29="",0,CEILING((X29/$H29),1)*$H29),"")</f>
        <v>12.6</v>
      </c>
      <c r="Z29" s="36">
        <f>IFERROR(IF(Y29=0,"",ROUNDUP(Y29/H29,0)*0.00651),"")</f>
        <v>4.5569999999999999E-2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21.200000000000003</v>
      </c>
      <c r="BN29" s="64">
        <f>IFERROR(Y29*I29/H29,"0")</f>
        <v>22.259999999999998</v>
      </c>
      <c r="BO29" s="64">
        <f>IFERROR(1/J29*(X29/H29),"0")</f>
        <v>3.6630036630036632E-2</v>
      </c>
      <c r="BP29" s="64">
        <f>IFERROR(1/J29*(Y29/H29),"0")</f>
        <v>3.8461538461538464E-2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85"/>
      <c r="P32" s="668" t="s">
        <v>72</v>
      </c>
      <c r="Q32" s="669"/>
      <c r="R32" s="669"/>
      <c r="S32" s="669"/>
      <c r="T32" s="669"/>
      <c r="U32" s="669"/>
      <c r="V32" s="670"/>
      <c r="W32" s="37" t="s">
        <v>73</v>
      </c>
      <c r="X32" s="653">
        <f>IFERROR(X27/H27,"0")+IFERROR(X28/H28,"0")+IFERROR(X29/H29,"0")+IFERROR(X30/H30,"0")+IFERROR(X31/H31,"0")</f>
        <v>6.6666666666666661</v>
      </c>
      <c r="Y32" s="653">
        <f>IFERROR(Y27/H27,"0")+IFERROR(Y28/H28,"0")+IFERROR(Y29/H29,"0")+IFERROR(Y30/H30,"0")+IFERROR(Y31/H31,"0")</f>
        <v>7</v>
      </c>
      <c r="Z32" s="653">
        <f>IFERROR(IF(Z27="",0,Z27),"0")+IFERROR(IF(Z28="",0,Z28),"0")+IFERROR(IF(Z29="",0,Z29),"0")+IFERROR(IF(Z30="",0,Z30),"0")+IFERROR(IF(Z31="",0,Z31),"0")</f>
        <v>4.5569999999999999E-2</v>
      </c>
      <c r="AA32" s="654"/>
      <c r="AB32" s="654"/>
      <c r="AC32" s="654"/>
    </row>
    <row r="33" spans="1:68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85"/>
      <c r="P33" s="668" t="s">
        <v>72</v>
      </c>
      <c r="Q33" s="669"/>
      <c r="R33" s="669"/>
      <c r="S33" s="669"/>
      <c r="T33" s="669"/>
      <c r="U33" s="669"/>
      <c r="V33" s="670"/>
      <c r="W33" s="37" t="s">
        <v>67</v>
      </c>
      <c r="X33" s="653">
        <f>IFERROR(SUM(X27:X31),"0")</f>
        <v>12</v>
      </c>
      <c r="Y33" s="653">
        <f>IFERROR(SUM(Y27:Y31),"0")</f>
        <v>12.6</v>
      </c>
      <c r="Z33" s="37"/>
      <c r="AA33" s="654"/>
      <c r="AB33" s="654"/>
      <c r="AC33" s="65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45"/>
      <c r="AB35" s="645"/>
      <c r="AC35" s="645"/>
    </row>
    <row r="36" spans="1:68" ht="14.25" hidden="1" customHeight="1" x14ac:dyDescent="0.25">
      <c r="A36" s="671" t="s">
        <v>74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46"/>
      <c r="AB36" s="646"/>
      <c r="AC36" s="646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84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85"/>
      <c r="P42" s="668" t="s">
        <v>72</v>
      </c>
      <c r="Q42" s="669"/>
      <c r="R42" s="669"/>
      <c r="S42" s="669"/>
      <c r="T42" s="669"/>
      <c r="U42" s="669"/>
      <c r="V42" s="670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85"/>
      <c r="P43" s="668" t="s">
        <v>72</v>
      </c>
      <c r="Q43" s="669"/>
      <c r="R43" s="669"/>
      <c r="S43" s="669"/>
      <c r="T43" s="669"/>
      <c r="U43" s="669"/>
      <c r="V43" s="670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45"/>
      <c r="AB45" s="645"/>
      <c r="AC45" s="645"/>
    </row>
    <row r="46" spans="1:68" ht="14.25" hidden="1" customHeight="1" x14ac:dyDescent="0.25">
      <c r="A46" s="671" t="s">
        <v>111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46"/>
      <c r="AB46" s="646"/>
      <c r="AC46" s="646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15</v>
      </c>
      <c r="Y50" s="652">
        <f>IFERROR(IF(X50="",0,CEILING((X50/$H50),1)*$H50),"")</f>
        <v>18.5</v>
      </c>
      <c r="Z50" s="36">
        <f>IFERROR(IF(Y50=0,"",ROUNDUP(Y50/H50,0)*0.00902),"")</f>
        <v>4.5100000000000001E-2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15.77027027027027</v>
      </c>
      <c r="BN50" s="64">
        <f>IFERROR(Y50*I50/H50,"0")</f>
        <v>19.45</v>
      </c>
      <c r="BO50" s="64">
        <f>IFERROR(1/J50*(X50/H50),"0")</f>
        <v>3.071253071253071E-2</v>
      </c>
      <c r="BP50" s="64">
        <f>IFERROR(1/J50*(Y50/H50),"0")</f>
        <v>3.787878787878788E-2</v>
      </c>
    </row>
    <row r="51" spans="1:68" x14ac:dyDescent="0.2">
      <c r="A51" s="684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85"/>
      <c r="P51" s="668" t="s">
        <v>72</v>
      </c>
      <c r="Q51" s="669"/>
      <c r="R51" s="669"/>
      <c r="S51" s="669"/>
      <c r="T51" s="669"/>
      <c r="U51" s="669"/>
      <c r="V51" s="670"/>
      <c r="W51" s="37" t="s">
        <v>73</v>
      </c>
      <c r="X51" s="653">
        <f>IFERROR(X47/H47,"0")+IFERROR(X48/H48,"0")+IFERROR(X49/H49,"0")+IFERROR(X50/H50,"0")</f>
        <v>4.0540540540540535</v>
      </c>
      <c r="Y51" s="653">
        <f>IFERROR(Y47/H47,"0")+IFERROR(Y48/H48,"0")+IFERROR(Y49/H49,"0")+IFERROR(Y50/H50,"0")</f>
        <v>5</v>
      </c>
      <c r="Z51" s="653">
        <f>IFERROR(IF(Z47="",0,Z47),"0")+IFERROR(IF(Z48="",0,Z48),"0")+IFERROR(IF(Z49="",0,Z49),"0")+IFERROR(IF(Z50="",0,Z50),"0")</f>
        <v>4.5100000000000001E-2</v>
      </c>
      <c r="AA51" s="654"/>
      <c r="AB51" s="654"/>
      <c r="AC51" s="654"/>
    </row>
    <row r="52" spans="1:68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85"/>
      <c r="P52" s="668" t="s">
        <v>72</v>
      </c>
      <c r="Q52" s="669"/>
      <c r="R52" s="669"/>
      <c r="S52" s="669"/>
      <c r="T52" s="669"/>
      <c r="U52" s="669"/>
      <c r="V52" s="670"/>
      <c r="W52" s="37" t="s">
        <v>67</v>
      </c>
      <c r="X52" s="653">
        <f>IFERROR(SUM(X47:X50),"0")</f>
        <v>15</v>
      </c>
      <c r="Y52" s="653">
        <f>IFERROR(SUM(Y47:Y50),"0")</f>
        <v>18.5</v>
      </c>
      <c r="Z52" s="37"/>
      <c r="AA52" s="654"/>
      <c r="AB52" s="654"/>
      <c r="AC52" s="654"/>
    </row>
    <row r="53" spans="1:68" ht="16.5" hidden="1" customHeight="1" x14ac:dyDescent="0.25">
      <c r="A53" s="666" t="s">
        <v>126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45"/>
      <c r="AB53" s="645"/>
      <c r="AC53" s="645"/>
    </row>
    <row r="54" spans="1:68" ht="14.25" hidden="1" customHeight="1" x14ac:dyDescent="0.25">
      <c r="A54" s="671" t="s">
        <v>111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46"/>
      <c r="AB54" s="646"/>
      <c r="AC54" s="646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idden="1" x14ac:dyDescent="0.2">
      <c r="A61" s="684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85"/>
      <c r="P61" s="668" t="s">
        <v>72</v>
      </c>
      <c r="Q61" s="669"/>
      <c r="R61" s="669"/>
      <c r="S61" s="669"/>
      <c r="T61" s="669"/>
      <c r="U61" s="669"/>
      <c r="V61" s="670"/>
      <c r="W61" s="37" t="s">
        <v>73</v>
      </c>
      <c r="X61" s="653">
        <f>IFERROR(X55/H55,"0")+IFERROR(X56/H56,"0")+IFERROR(X57/H57,"0")+IFERROR(X58/H58,"0")+IFERROR(X59/H59,"0")+IFERROR(X60/H60,"0")</f>
        <v>0</v>
      </c>
      <c r="Y61" s="653">
        <f>IFERROR(Y55/H55,"0")+IFERROR(Y56/H56,"0")+IFERROR(Y57/H57,"0")+IFERROR(Y58/H58,"0")+IFERROR(Y59/H59,"0")+IFERROR(Y60/H60,"0")</f>
        <v>0</v>
      </c>
      <c r="Z61" s="653">
        <f>IFERROR(IF(Z55="",0,Z55),"0")+IFERROR(IF(Z56="",0,Z56),"0")+IFERROR(IF(Z57="",0,Z57),"0")+IFERROR(IF(Z58="",0,Z58),"0")+IFERROR(IF(Z59="",0,Z59),"0")+IFERROR(IF(Z60="",0,Z60),"0")</f>
        <v>0</v>
      </c>
      <c r="AA61" s="654"/>
      <c r="AB61" s="654"/>
      <c r="AC61" s="654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85"/>
      <c r="P62" s="668" t="s">
        <v>72</v>
      </c>
      <c r="Q62" s="669"/>
      <c r="R62" s="669"/>
      <c r="S62" s="669"/>
      <c r="T62" s="669"/>
      <c r="U62" s="669"/>
      <c r="V62" s="670"/>
      <c r="W62" s="37" t="s">
        <v>67</v>
      </c>
      <c r="X62" s="653">
        <f>IFERROR(SUM(X55:X60),"0")</f>
        <v>0</v>
      </c>
      <c r="Y62" s="653">
        <f>IFERROR(SUM(Y55:Y60),"0")</f>
        <v>0</v>
      </c>
      <c r="Z62" s="37"/>
      <c r="AA62" s="654"/>
      <c r="AB62" s="654"/>
      <c r="AC62" s="654"/>
    </row>
    <row r="63" spans="1:68" ht="14.25" hidden="1" customHeight="1" x14ac:dyDescent="0.25">
      <c r="A63" s="671" t="s">
        <v>144</v>
      </c>
      <c r="B63" s="667"/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46"/>
      <c r="AB63" s="646"/>
      <c r="AC63" s="646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4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85"/>
      <c r="P68" s="668" t="s">
        <v>72</v>
      </c>
      <c r="Q68" s="669"/>
      <c r="R68" s="669"/>
      <c r="S68" s="669"/>
      <c r="T68" s="669"/>
      <c r="U68" s="669"/>
      <c r="V68" s="670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85"/>
      <c r="P69" s="668" t="s">
        <v>72</v>
      </c>
      <c r="Q69" s="669"/>
      <c r="R69" s="669"/>
      <c r="S69" s="669"/>
      <c r="T69" s="669"/>
      <c r="U69" s="669"/>
      <c r="V69" s="670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71" t="s">
        <v>74</v>
      </c>
      <c r="B70" s="667"/>
      <c r="C70" s="667"/>
      <c r="D70" s="667"/>
      <c r="E70" s="667"/>
      <c r="F70" s="667"/>
      <c r="G70" s="667"/>
      <c r="H70" s="667"/>
      <c r="I70" s="667"/>
      <c r="J70" s="667"/>
      <c r="K70" s="667"/>
      <c r="L70" s="667"/>
      <c r="M70" s="667"/>
      <c r="N70" s="667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  <c r="Z70" s="667"/>
      <c r="AA70" s="646"/>
      <c r="AB70" s="646"/>
      <c r="AC70" s="646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3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84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85"/>
      <c r="P74" s="668" t="s">
        <v>72</v>
      </c>
      <c r="Q74" s="669"/>
      <c r="R74" s="669"/>
      <c r="S74" s="669"/>
      <c r="T74" s="669"/>
      <c r="U74" s="669"/>
      <c r="V74" s="670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85"/>
      <c r="P75" s="668" t="s">
        <v>72</v>
      </c>
      <c r="Q75" s="669"/>
      <c r="R75" s="669"/>
      <c r="S75" s="669"/>
      <c r="T75" s="669"/>
      <c r="U75" s="669"/>
      <c r="V75" s="670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71" t="s">
        <v>162</v>
      </c>
      <c r="B76" s="667"/>
      <c r="C76" s="667"/>
      <c r="D76" s="667"/>
      <c r="E76" s="667"/>
      <c r="F76" s="667"/>
      <c r="G76" s="667"/>
      <c r="H76" s="667"/>
      <c r="I76" s="667"/>
      <c r="J76" s="667"/>
      <c r="K76" s="667"/>
      <c r="L76" s="667"/>
      <c r="M76" s="667"/>
      <c r="N76" s="667"/>
      <c r="O76" s="667"/>
      <c r="P76" s="667"/>
      <c r="Q76" s="667"/>
      <c r="R76" s="667"/>
      <c r="S76" s="667"/>
      <c r="T76" s="667"/>
      <c r="U76" s="667"/>
      <c r="V76" s="667"/>
      <c r="W76" s="667"/>
      <c r="X76" s="667"/>
      <c r="Y76" s="667"/>
      <c r="Z76" s="667"/>
      <c r="AA76" s="646"/>
      <c r="AB76" s="646"/>
      <c r="AC76" s="646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84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85"/>
      <c r="P81" s="668" t="s">
        <v>72</v>
      </c>
      <c r="Q81" s="669"/>
      <c r="R81" s="669"/>
      <c r="S81" s="669"/>
      <c r="T81" s="669"/>
      <c r="U81" s="669"/>
      <c r="V81" s="670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85"/>
      <c r="P82" s="668" t="s">
        <v>72</v>
      </c>
      <c r="Q82" s="669"/>
      <c r="R82" s="669"/>
      <c r="S82" s="669"/>
      <c r="T82" s="669"/>
      <c r="U82" s="669"/>
      <c r="V82" s="670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6" t="s">
        <v>171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45"/>
      <c r="AB83" s="645"/>
      <c r="AC83" s="645"/>
    </row>
    <row r="84" spans="1:68" ht="14.25" hidden="1" customHeight="1" x14ac:dyDescent="0.25">
      <c r="A84" s="671" t="s">
        <v>111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46"/>
      <c r="AB84" s="646"/>
      <c r="AC84" s="646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26</v>
      </c>
      <c r="Y86" s="652">
        <f>IFERROR(IF(X86="",0,CEILING((X86/$H86),1)*$H86),"")</f>
        <v>27.2</v>
      </c>
      <c r="Z86" s="36">
        <f>IFERROR(IF(Y86=0,"",ROUNDUP(Y86/H86,0)*0.00726),"")</f>
        <v>0.11616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27.529411764705884</v>
      </c>
      <c r="BN86" s="64">
        <f>IFERROR(Y86*I86/H86,"0")</f>
        <v>28.8</v>
      </c>
      <c r="BO86" s="64">
        <f>IFERROR(1/J86*(X86/H86),"0")</f>
        <v>7.9656862745098034E-2</v>
      </c>
      <c r="BP86" s="64">
        <f>IFERROR(1/J86*(Y86/H86),"0")</f>
        <v>8.3333333333333329E-2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4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85"/>
      <c r="P90" s="668" t="s">
        <v>72</v>
      </c>
      <c r="Q90" s="669"/>
      <c r="R90" s="669"/>
      <c r="S90" s="669"/>
      <c r="T90" s="669"/>
      <c r="U90" s="669"/>
      <c r="V90" s="670"/>
      <c r="W90" s="37" t="s">
        <v>73</v>
      </c>
      <c r="X90" s="653">
        <f>IFERROR(X85/H85,"0")+IFERROR(X86/H86,"0")+IFERROR(X87/H87,"0")+IFERROR(X88/H88,"0")+IFERROR(X89/H89,"0")</f>
        <v>15.294117647058824</v>
      </c>
      <c r="Y90" s="653">
        <f>IFERROR(Y85/H85,"0")+IFERROR(Y86/H86,"0")+IFERROR(Y87/H87,"0")+IFERROR(Y88/H88,"0")+IFERROR(Y89/H89,"0")</f>
        <v>16</v>
      </c>
      <c r="Z90" s="653">
        <f>IFERROR(IF(Z85="",0,Z85),"0")+IFERROR(IF(Z86="",0,Z86),"0")+IFERROR(IF(Z87="",0,Z87),"0")+IFERROR(IF(Z88="",0,Z88),"0")+IFERROR(IF(Z89="",0,Z89),"0")</f>
        <v>0.11616</v>
      </c>
      <c r="AA90" s="654"/>
      <c r="AB90" s="654"/>
      <c r="AC90" s="654"/>
    </row>
    <row r="91" spans="1:68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85"/>
      <c r="P91" s="668" t="s">
        <v>72</v>
      </c>
      <c r="Q91" s="669"/>
      <c r="R91" s="669"/>
      <c r="S91" s="669"/>
      <c r="T91" s="669"/>
      <c r="U91" s="669"/>
      <c r="V91" s="670"/>
      <c r="W91" s="37" t="s">
        <v>67</v>
      </c>
      <c r="X91" s="653">
        <f>IFERROR(SUM(X85:X89),"0")</f>
        <v>26</v>
      </c>
      <c r="Y91" s="653">
        <f>IFERROR(SUM(Y85:Y89),"0")</f>
        <v>27.2</v>
      </c>
      <c r="Z91" s="37"/>
      <c r="AA91" s="654"/>
      <c r="AB91" s="654"/>
      <c r="AC91" s="654"/>
    </row>
    <row r="92" spans="1:68" ht="14.25" hidden="1" customHeight="1" x14ac:dyDescent="0.25">
      <c r="A92" s="671" t="s">
        <v>74</v>
      </c>
      <c r="B92" s="667"/>
      <c r="C92" s="667"/>
      <c r="D92" s="667"/>
      <c r="E92" s="667"/>
      <c r="F92" s="667"/>
      <c r="G92" s="667"/>
      <c r="H92" s="667"/>
      <c r="I92" s="667"/>
      <c r="J92" s="667"/>
      <c r="K92" s="667"/>
      <c r="L92" s="667"/>
      <c r="M92" s="667"/>
      <c r="N92" s="667"/>
      <c r="O92" s="667"/>
      <c r="P92" s="667"/>
      <c r="Q92" s="667"/>
      <c r="R92" s="667"/>
      <c r="S92" s="667"/>
      <c r="T92" s="667"/>
      <c r="U92" s="667"/>
      <c r="V92" s="667"/>
      <c r="W92" s="667"/>
      <c r="X92" s="667"/>
      <c r="Y92" s="667"/>
      <c r="Z92" s="667"/>
      <c r="AA92" s="646"/>
      <c r="AB92" s="646"/>
      <c r="AC92" s="646"/>
    </row>
    <row r="93" spans="1:68" ht="27" hidden="1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3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0</v>
      </c>
      <c r="Y93" s="652">
        <f t="shared" ref="Y93:Y99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0</v>
      </c>
      <c r="BN93" s="64">
        <f t="shared" ref="BN93:BN99" si="7">IFERROR(Y93*I93/H93,"0")</f>
        <v>0</v>
      </c>
      <c r="BO93" s="64">
        <f t="shared" ref="BO93:BO99" si="8">IFERROR(1/J93*(X93/H93),"0")</f>
        <v>0</v>
      </c>
      <c r="BP93" s="64">
        <f t="shared" ref="BP93:BP99" si="9">IFERROR(1/J93*(Y93/H93),"0")</f>
        <v>0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450</v>
      </c>
      <c r="Y97" s="652">
        <f t="shared" si="5"/>
        <v>450.90000000000003</v>
      </c>
      <c r="Z97" s="36">
        <f>IFERROR(IF(Y97=0,"",ROUNDUP(Y97/H97,0)*0.00651),"")</f>
        <v>1.08717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492</v>
      </c>
      <c r="BN97" s="64">
        <f t="shared" si="7"/>
        <v>492.98399999999998</v>
      </c>
      <c r="BO97" s="64">
        <f t="shared" si="8"/>
        <v>0.91575091575091572</v>
      </c>
      <c r="BP97" s="64">
        <f t="shared" si="9"/>
        <v>0.91758241758241765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23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85"/>
      <c r="P100" s="668" t="s">
        <v>72</v>
      </c>
      <c r="Q100" s="669"/>
      <c r="R100" s="669"/>
      <c r="S100" s="669"/>
      <c r="T100" s="669"/>
      <c r="U100" s="669"/>
      <c r="V100" s="670"/>
      <c r="W100" s="37" t="s">
        <v>73</v>
      </c>
      <c r="X100" s="653">
        <f>IFERROR(X93/H93,"0")+IFERROR(X94/H94,"0")+IFERROR(X95/H95,"0")+IFERROR(X96/H96,"0")+IFERROR(X97/H97,"0")+IFERROR(X98/H98,"0")+IFERROR(X99/H99,"0")</f>
        <v>166.66666666666666</v>
      </c>
      <c r="Y100" s="653">
        <f>IFERROR(Y93/H93,"0")+IFERROR(Y94/H94,"0")+IFERROR(Y95/H95,"0")+IFERROR(Y96/H96,"0")+IFERROR(Y97/H97,"0")+IFERROR(Y98/H98,"0")+IFERROR(Y99/H99,"0")</f>
        <v>167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1.08717</v>
      </c>
      <c r="AA100" s="654"/>
      <c r="AB100" s="654"/>
      <c r="AC100" s="654"/>
    </row>
    <row r="101" spans="1:68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85"/>
      <c r="P101" s="668" t="s">
        <v>72</v>
      </c>
      <c r="Q101" s="669"/>
      <c r="R101" s="669"/>
      <c r="S101" s="669"/>
      <c r="T101" s="669"/>
      <c r="U101" s="669"/>
      <c r="V101" s="670"/>
      <c r="W101" s="37" t="s">
        <v>67</v>
      </c>
      <c r="X101" s="653">
        <f>IFERROR(SUM(X93:X99),"0")</f>
        <v>450</v>
      </c>
      <c r="Y101" s="653">
        <f>IFERROR(SUM(Y93:Y99),"0")</f>
        <v>450.90000000000003</v>
      </c>
      <c r="Z101" s="37"/>
      <c r="AA101" s="654"/>
      <c r="AB101" s="654"/>
      <c r="AC101" s="654"/>
    </row>
    <row r="102" spans="1:68" ht="16.5" hidden="1" customHeight="1" x14ac:dyDescent="0.25">
      <c r="A102" s="666" t="s">
        <v>201</v>
      </c>
      <c r="B102" s="667"/>
      <c r="C102" s="667"/>
      <c r="D102" s="667"/>
      <c r="E102" s="667"/>
      <c r="F102" s="667"/>
      <c r="G102" s="667"/>
      <c r="H102" s="667"/>
      <c r="I102" s="667"/>
      <c r="J102" s="667"/>
      <c r="K102" s="667"/>
      <c r="L102" s="667"/>
      <c r="M102" s="667"/>
      <c r="N102" s="667"/>
      <c r="O102" s="667"/>
      <c r="P102" s="667"/>
      <c r="Q102" s="667"/>
      <c r="R102" s="667"/>
      <c r="S102" s="667"/>
      <c r="T102" s="667"/>
      <c r="U102" s="667"/>
      <c r="V102" s="667"/>
      <c r="W102" s="667"/>
      <c r="X102" s="667"/>
      <c r="Y102" s="667"/>
      <c r="Z102" s="667"/>
      <c r="AA102" s="645"/>
      <c r="AB102" s="645"/>
      <c r="AC102" s="645"/>
    </row>
    <row r="103" spans="1:68" ht="14.25" hidden="1" customHeight="1" x14ac:dyDescent="0.25">
      <c r="A103" s="671" t="s">
        <v>111</v>
      </c>
      <c r="B103" s="667"/>
      <c r="C103" s="667"/>
      <c r="D103" s="667"/>
      <c r="E103" s="667"/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  <c r="P103" s="667"/>
      <c r="Q103" s="667"/>
      <c r="R103" s="667"/>
      <c r="S103" s="667"/>
      <c r="T103" s="667"/>
      <c r="U103" s="667"/>
      <c r="V103" s="667"/>
      <c r="W103" s="667"/>
      <c r="X103" s="667"/>
      <c r="Y103" s="667"/>
      <c r="Z103" s="667"/>
      <c r="AA103" s="646"/>
      <c r="AB103" s="646"/>
      <c r="AC103" s="646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225</v>
      </c>
      <c r="Y109" s="652">
        <f t="shared" si="10"/>
        <v>225</v>
      </c>
      <c r="Z109" s="36">
        <f>IFERROR(IF(Y109=0,"",ROUNDUP(Y109/H109,0)*0.00902),"")</f>
        <v>0.45100000000000001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234.5</v>
      </c>
      <c r="BN109" s="64">
        <f t="shared" si="12"/>
        <v>234.5</v>
      </c>
      <c r="BO109" s="64">
        <f t="shared" si="13"/>
        <v>0.37878787878787878</v>
      </c>
      <c r="BP109" s="64">
        <f t="shared" si="14"/>
        <v>0.37878787878787878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3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85"/>
      <c r="P112" s="668" t="s">
        <v>72</v>
      </c>
      <c r="Q112" s="669"/>
      <c r="R112" s="669"/>
      <c r="S112" s="669"/>
      <c r="T112" s="669"/>
      <c r="U112" s="669"/>
      <c r="V112" s="670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50</v>
      </c>
      <c r="Y112" s="653">
        <f>IFERROR(Y104/H104,"0")+IFERROR(Y105/H105,"0")+IFERROR(Y106/H106,"0")+IFERROR(Y107/H107,"0")+IFERROR(Y108/H108,"0")+IFERROR(Y109/H109,"0")+IFERROR(Y110/H110,"0")+IFERROR(Y111/H111,"0")</f>
        <v>50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0.45100000000000001</v>
      </c>
      <c r="AA112" s="654"/>
      <c r="AB112" s="654"/>
      <c r="AC112" s="654"/>
    </row>
    <row r="113" spans="1:68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85"/>
      <c r="P113" s="668" t="s">
        <v>72</v>
      </c>
      <c r="Q113" s="669"/>
      <c r="R113" s="669"/>
      <c r="S113" s="669"/>
      <c r="T113" s="669"/>
      <c r="U113" s="669"/>
      <c r="V113" s="670"/>
      <c r="W113" s="37" t="s">
        <v>67</v>
      </c>
      <c r="X113" s="653">
        <f>IFERROR(SUM(X104:X111),"0")</f>
        <v>225</v>
      </c>
      <c r="Y113" s="653">
        <f>IFERROR(SUM(Y104:Y111),"0")</f>
        <v>225</v>
      </c>
      <c r="Z113" s="37"/>
      <c r="AA113" s="654"/>
      <c r="AB113" s="654"/>
      <c r="AC113" s="654"/>
    </row>
    <row r="114" spans="1:68" ht="14.25" hidden="1" customHeight="1" x14ac:dyDescent="0.25">
      <c r="A114" s="671" t="s">
        <v>144</v>
      </c>
      <c r="B114" s="667"/>
      <c r="C114" s="667"/>
      <c r="D114" s="667"/>
      <c r="E114" s="667"/>
      <c r="F114" s="667"/>
      <c r="G114" s="667"/>
      <c r="H114" s="667"/>
      <c r="I114" s="667"/>
      <c r="J114" s="667"/>
      <c r="K114" s="667"/>
      <c r="L114" s="667"/>
      <c r="M114" s="667"/>
      <c r="N114" s="667"/>
      <c r="O114" s="667"/>
      <c r="P114" s="667"/>
      <c r="Q114" s="667"/>
      <c r="R114" s="667"/>
      <c r="S114" s="667"/>
      <c r="T114" s="667"/>
      <c r="U114" s="667"/>
      <c r="V114" s="667"/>
      <c r="W114" s="667"/>
      <c r="X114" s="667"/>
      <c r="Y114" s="667"/>
      <c r="Z114" s="667"/>
      <c r="AA114" s="646"/>
      <c r="AB114" s="646"/>
      <c r="AC114" s="646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3</v>
      </c>
      <c r="Y119" s="652">
        <f>IFERROR(IF(X119="",0,CEILING((X119/$H119),1)*$H119),"")</f>
        <v>4.8</v>
      </c>
      <c r="Z119" s="36">
        <f>IFERROR(IF(Y119=0,"",ROUNDUP(Y119/H119,0)*0.00651),"")</f>
        <v>1.302E-2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3.2250000000000001</v>
      </c>
      <c r="BN119" s="64">
        <f>IFERROR(Y119*I119/H119,"0")</f>
        <v>5.16</v>
      </c>
      <c r="BO119" s="64">
        <f>IFERROR(1/J119*(X119/H119),"0")</f>
        <v>6.8681318681318689E-3</v>
      </c>
      <c r="BP119" s="64">
        <f>IFERROR(1/J119*(Y119/H119),"0")</f>
        <v>1.098901098901099E-2</v>
      </c>
    </row>
    <row r="120" spans="1:68" x14ac:dyDescent="0.2">
      <c r="A120" s="684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85"/>
      <c r="P120" s="668" t="s">
        <v>72</v>
      </c>
      <c r="Q120" s="669"/>
      <c r="R120" s="669"/>
      <c r="S120" s="669"/>
      <c r="T120" s="669"/>
      <c r="U120" s="669"/>
      <c r="V120" s="670"/>
      <c r="W120" s="37" t="s">
        <v>73</v>
      </c>
      <c r="X120" s="653">
        <f>IFERROR(X115/H115,"0")+IFERROR(X116/H116,"0")+IFERROR(X117/H117,"0")+IFERROR(X118/H118,"0")+IFERROR(X119/H119,"0")</f>
        <v>1.25</v>
      </c>
      <c r="Y120" s="653">
        <f>IFERROR(Y115/H115,"0")+IFERROR(Y116/H116,"0")+IFERROR(Y117/H117,"0")+IFERROR(Y118/H118,"0")+IFERROR(Y119/H119,"0")</f>
        <v>2</v>
      </c>
      <c r="Z120" s="653">
        <f>IFERROR(IF(Z115="",0,Z115),"0")+IFERROR(IF(Z116="",0,Z116),"0")+IFERROR(IF(Z117="",0,Z117),"0")+IFERROR(IF(Z118="",0,Z118),"0")+IFERROR(IF(Z119="",0,Z119),"0")</f>
        <v>1.302E-2</v>
      </c>
      <c r="AA120" s="654"/>
      <c r="AB120" s="654"/>
      <c r="AC120" s="654"/>
    </row>
    <row r="121" spans="1:68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85"/>
      <c r="P121" s="668" t="s">
        <v>72</v>
      </c>
      <c r="Q121" s="669"/>
      <c r="R121" s="669"/>
      <c r="S121" s="669"/>
      <c r="T121" s="669"/>
      <c r="U121" s="669"/>
      <c r="V121" s="670"/>
      <c r="W121" s="37" t="s">
        <v>67</v>
      </c>
      <c r="X121" s="653">
        <f>IFERROR(SUM(X115:X119),"0")</f>
        <v>3</v>
      </c>
      <c r="Y121" s="653">
        <f>IFERROR(SUM(Y115:Y119),"0")</f>
        <v>4.8</v>
      </c>
      <c r="Z121" s="37"/>
      <c r="AA121" s="654"/>
      <c r="AB121" s="654"/>
      <c r="AC121" s="654"/>
    </row>
    <row r="122" spans="1:68" ht="14.25" hidden="1" customHeight="1" x14ac:dyDescent="0.25">
      <c r="A122" s="671" t="s">
        <v>74</v>
      </c>
      <c r="B122" s="667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67"/>
      <c r="R122" s="667"/>
      <c r="S122" s="667"/>
      <c r="T122" s="667"/>
      <c r="U122" s="667"/>
      <c r="V122" s="667"/>
      <c r="W122" s="667"/>
      <c r="X122" s="667"/>
      <c r="Y122" s="667"/>
      <c r="Z122" s="667"/>
      <c r="AA122" s="646"/>
      <c r="AB122" s="646"/>
      <c r="AC122" s="646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360</v>
      </c>
      <c r="Y123" s="652">
        <f t="shared" ref="Y123:Y130" si="15">IFERROR(IF(X123="",0,CEILING((X123/$H123),1)*$H123),"")</f>
        <v>364.5</v>
      </c>
      <c r="Z123" s="36">
        <f>IFERROR(IF(Y123=0,"",ROUNDUP(Y123/H123,0)*0.01898),"")</f>
        <v>0.85409999999999997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381.68888888888887</v>
      </c>
      <c r="BN123" s="64">
        <f t="shared" ref="BN123:BN130" si="17">IFERROR(Y123*I123/H123,"0")</f>
        <v>386.46</v>
      </c>
      <c r="BO123" s="64">
        <f t="shared" ref="BO123:BO130" si="18">IFERROR(1/J123*(X123/H123),"0")</f>
        <v>0.69444444444444442</v>
      </c>
      <c r="BP123" s="64">
        <f t="shared" ref="BP123:BP130" si="19">IFERROR(1/J123*(Y123/H123),"0")</f>
        <v>0.703125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4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7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450</v>
      </c>
      <c r="Y127" s="652">
        <f t="shared" si="15"/>
        <v>450.90000000000003</v>
      </c>
      <c r="Z127" s="36">
        <f t="shared" si="20"/>
        <v>1.08717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492</v>
      </c>
      <c r="BN127" s="64">
        <f t="shared" si="17"/>
        <v>492.98399999999998</v>
      </c>
      <c r="BO127" s="64">
        <f t="shared" si="18"/>
        <v>0.91575091575091572</v>
      </c>
      <c r="BP127" s="64">
        <f t="shared" si="19"/>
        <v>0.91758241758241765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3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8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85"/>
      <c r="P131" s="668" t="s">
        <v>72</v>
      </c>
      <c r="Q131" s="669"/>
      <c r="R131" s="669"/>
      <c r="S131" s="669"/>
      <c r="T131" s="669"/>
      <c r="U131" s="669"/>
      <c r="V131" s="670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211.11111111111109</v>
      </c>
      <c r="Y131" s="653">
        <f>IFERROR(Y123/H123,"0")+IFERROR(Y124/H124,"0")+IFERROR(Y125/H125,"0")+IFERROR(Y126/H126,"0")+IFERROR(Y127/H127,"0")+IFERROR(Y128/H128,"0")+IFERROR(Y129/H129,"0")+IFERROR(Y130/H130,"0")</f>
        <v>212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1.9412699999999998</v>
      </c>
      <c r="AA131" s="654"/>
      <c r="AB131" s="654"/>
      <c r="AC131" s="654"/>
    </row>
    <row r="132" spans="1:68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85"/>
      <c r="P132" s="668" t="s">
        <v>72</v>
      </c>
      <c r="Q132" s="669"/>
      <c r="R132" s="669"/>
      <c r="S132" s="669"/>
      <c r="T132" s="669"/>
      <c r="U132" s="669"/>
      <c r="V132" s="670"/>
      <c r="W132" s="37" t="s">
        <v>67</v>
      </c>
      <c r="X132" s="653">
        <f>IFERROR(SUM(X123:X130),"0")</f>
        <v>810</v>
      </c>
      <c r="Y132" s="653">
        <f>IFERROR(SUM(Y123:Y130),"0")</f>
        <v>815.40000000000009</v>
      </c>
      <c r="Z132" s="37"/>
      <c r="AA132" s="654"/>
      <c r="AB132" s="654"/>
      <c r="AC132" s="654"/>
    </row>
    <row r="133" spans="1:68" ht="14.25" hidden="1" customHeight="1" x14ac:dyDescent="0.25">
      <c r="A133" s="671" t="s">
        <v>162</v>
      </c>
      <c r="B133" s="667"/>
      <c r="C133" s="667"/>
      <c r="D133" s="667"/>
      <c r="E133" s="667"/>
      <c r="F133" s="667"/>
      <c r="G133" s="667"/>
      <c r="H133" s="667"/>
      <c r="I133" s="667"/>
      <c r="J133" s="667"/>
      <c r="K133" s="667"/>
      <c r="L133" s="667"/>
      <c r="M133" s="667"/>
      <c r="N133" s="667"/>
      <c r="O133" s="667"/>
      <c r="P133" s="667"/>
      <c r="Q133" s="667"/>
      <c r="R133" s="667"/>
      <c r="S133" s="667"/>
      <c r="T133" s="667"/>
      <c r="U133" s="667"/>
      <c r="V133" s="667"/>
      <c r="W133" s="667"/>
      <c r="X133" s="667"/>
      <c r="Y133" s="667"/>
      <c r="Z133" s="667"/>
      <c r="AA133" s="646"/>
      <c r="AB133" s="646"/>
      <c r="AC133" s="646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0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84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85"/>
      <c r="P136" s="668" t="s">
        <v>72</v>
      </c>
      <c r="Q136" s="669"/>
      <c r="R136" s="669"/>
      <c r="S136" s="669"/>
      <c r="T136" s="669"/>
      <c r="U136" s="669"/>
      <c r="V136" s="670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85"/>
      <c r="P137" s="668" t="s">
        <v>72</v>
      </c>
      <c r="Q137" s="669"/>
      <c r="R137" s="669"/>
      <c r="S137" s="669"/>
      <c r="T137" s="669"/>
      <c r="U137" s="669"/>
      <c r="V137" s="670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6" t="s">
        <v>254</v>
      </c>
      <c r="B138" s="667"/>
      <c r="C138" s="667"/>
      <c r="D138" s="667"/>
      <c r="E138" s="667"/>
      <c r="F138" s="667"/>
      <c r="G138" s="667"/>
      <c r="H138" s="667"/>
      <c r="I138" s="667"/>
      <c r="J138" s="667"/>
      <c r="K138" s="667"/>
      <c r="L138" s="667"/>
      <c r="M138" s="667"/>
      <c r="N138" s="667"/>
      <c r="O138" s="667"/>
      <c r="P138" s="667"/>
      <c r="Q138" s="667"/>
      <c r="R138" s="667"/>
      <c r="S138" s="667"/>
      <c r="T138" s="667"/>
      <c r="U138" s="667"/>
      <c r="V138" s="667"/>
      <c r="W138" s="667"/>
      <c r="X138" s="667"/>
      <c r="Y138" s="667"/>
      <c r="Z138" s="667"/>
      <c r="AA138" s="645"/>
      <c r="AB138" s="645"/>
      <c r="AC138" s="645"/>
    </row>
    <row r="139" spans="1:68" ht="14.25" hidden="1" customHeight="1" x14ac:dyDescent="0.25">
      <c r="A139" s="671" t="s">
        <v>111</v>
      </c>
      <c r="B139" s="667"/>
      <c r="C139" s="667"/>
      <c r="D139" s="667"/>
      <c r="E139" s="667"/>
      <c r="F139" s="667"/>
      <c r="G139" s="667"/>
      <c r="H139" s="667"/>
      <c r="I139" s="667"/>
      <c r="J139" s="667"/>
      <c r="K139" s="667"/>
      <c r="L139" s="667"/>
      <c r="M139" s="667"/>
      <c r="N139" s="667"/>
      <c r="O139" s="667"/>
      <c r="P139" s="667"/>
      <c r="Q139" s="667"/>
      <c r="R139" s="667"/>
      <c r="S139" s="667"/>
      <c r="T139" s="667"/>
      <c r="U139" s="667"/>
      <c r="V139" s="667"/>
      <c r="W139" s="667"/>
      <c r="X139" s="667"/>
      <c r="Y139" s="667"/>
      <c r="Z139" s="667"/>
      <c r="AA139" s="646"/>
      <c r="AB139" s="646"/>
      <c r="AC139" s="646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17</v>
      </c>
      <c r="Y140" s="652">
        <f>IFERROR(IF(X140="",0,CEILING((X140/$H140),1)*$H140),"")</f>
        <v>19.200000000000003</v>
      </c>
      <c r="Z140" s="36">
        <f>IFERROR(IF(Y140=0,"",ROUNDUP(Y140/H140,0)*0.00651),"")</f>
        <v>3.9059999999999997E-2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17.956250000000001</v>
      </c>
      <c r="BN140" s="64">
        <f>IFERROR(Y140*I140/H140,"0")</f>
        <v>20.279999999999998</v>
      </c>
      <c r="BO140" s="64">
        <f>IFERROR(1/J140*(X140/H140),"0")</f>
        <v>2.9189560439560443E-2</v>
      </c>
      <c r="BP140" s="64">
        <f>IFERROR(1/J140*(Y140/H140),"0")</f>
        <v>3.2967032967032975E-2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85"/>
      <c r="P142" s="668" t="s">
        <v>72</v>
      </c>
      <c r="Q142" s="669"/>
      <c r="R142" s="669"/>
      <c r="S142" s="669"/>
      <c r="T142" s="669"/>
      <c r="U142" s="669"/>
      <c r="V142" s="670"/>
      <c r="W142" s="37" t="s">
        <v>73</v>
      </c>
      <c r="X142" s="653">
        <f>IFERROR(X140/H140,"0")+IFERROR(X141/H141,"0")</f>
        <v>5.3125</v>
      </c>
      <c r="Y142" s="653">
        <f>IFERROR(Y140/H140,"0")+IFERROR(Y141/H141,"0")</f>
        <v>6.0000000000000009</v>
      </c>
      <c r="Z142" s="653">
        <f>IFERROR(IF(Z140="",0,Z140),"0")+IFERROR(IF(Z141="",0,Z141),"0")</f>
        <v>3.9059999999999997E-2</v>
      </c>
      <c r="AA142" s="654"/>
      <c r="AB142" s="654"/>
      <c r="AC142" s="654"/>
    </row>
    <row r="143" spans="1:68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85"/>
      <c r="P143" s="668" t="s">
        <v>72</v>
      </c>
      <c r="Q143" s="669"/>
      <c r="R143" s="669"/>
      <c r="S143" s="669"/>
      <c r="T143" s="669"/>
      <c r="U143" s="669"/>
      <c r="V143" s="670"/>
      <c r="W143" s="37" t="s">
        <v>67</v>
      </c>
      <c r="X143" s="653">
        <f>IFERROR(SUM(X140:X141),"0")</f>
        <v>17</v>
      </c>
      <c r="Y143" s="653">
        <f>IFERROR(SUM(Y140:Y141),"0")</f>
        <v>19.200000000000003</v>
      </c>
      <c r="Z143" s="37"/>
      <c r="AA143" s="654"/>
      <c r="AB143" s="654"/>
      <c r="AC143" s="654"/>
    </row>
    <row r="144" spans="1:68" ht="14.25" hidden="1" customHeight="1" x14ac:dyDescent="0.25">
      <c r="A144" s="671" t="s">
        <v>62</v>
      </c>
      <c r="B144" s="667"/>
      <c r="C144" s="667"/>
      <c r="D144" s="667"/>
      <c r="E144" s="667"/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  <c r="Z144" s="667"/>
      <c r="AA144" s="646"/>
      <c r="AB144" s="646"/>
      <c r="AC144" s="646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4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85"/>
      <c r="P147" s="668" t="s">
        <v>72</v>
      </c>
      <c r="Q147" s="669"/>
      <c r="R147" s="669"/>
      <c r="S147" s="669"/>
      <c r="T147" s="669"/>
      <c r="U147" s="669"/>
      <c r="V147" s="670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85"/>
      <c r="P148" s="668" t="s">
        <v>72</v>
      </c>
      <c r="Q148" s="669"/>
      <c r="R148" s="669"/>
      <c r="S148" s="669"/>
      <c r="T148" s="669"/>
      <c r="U148" s="669"/>
      <c r="V148" s="670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71" t="s">
        <v>74</v>
      </c>
      <c r="B149" s="667"/>
      <c r="C149" s="667"/>
      <c r="D149" s="667"/>
      <c r="E149" s="667"/>
      <c r="F149" s="667"/>
      <c r="G149" s="667"/>
      <c r="H149" s="667"/>
      <c r="I149" s="667"/>
      <c r="J149" s="667"/>
      <c r="K149" s="667"/>
      <c r="L149" s="667"/>
      <c r="M149" s="667"/>
      <c r="N149" s="667"/>
      <c r="O149" s="667"/>
      <c r="P149" s="667"/>
      <c r="Q149" s="667"/>
      <c r="R149" s="667"/>
      <c r="S149" s="667"/>
      <c r="T149" s="667"/>
      <c r="U149" s="667"/>
      <c r="V149" s="667"/>
      <c r="W149" s="667"/>
      <c r="X149" s="667"/>
      <c r="Y149" s="667"/>
      <c r="Z149" s="667"/>
      <c r="AA149" s="646"/>
      <c r="AB149" s="646"/>
      <c r="AC149" s="646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4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85"/>
      <c r="P152" s="668" t="s">
        <v>72</v>
      </c>
      <c r="Q152" s="669"/>
      <c r="R152" s="669"/>
      <c r="S152" s="669"/>
      <c r="T152" s="669"/>
      <c r="U152" s="669"/>
      <c r="V152" s="670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85"/>
      <c r="P153" s="668" t="s">
        <v>72</v>
      </c>
      <c r="Q153" s="669"/>
      <c r="R153" s="669"/>
      <c r="S153" s="669"/>
      <c r="T153" s="669"/>
      <c r="U153" s="669"/>
      <c r="V153" s="670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6" t="s">
        <v>267</v>
      </c>
      <c r="B154" s="667"/>
      <c r="C154" s="667"/>
      <c r="D154" s="667"/>
      <c r="E154" s="667"/>
      <c r="F154" s="667"/>
      <c r="G154" s="667"/>
      <c r="H154" s="667"/>
      <c r="I154" s="667"/>
      <c r="J154" s="667"/>
      <c r="K154" s="667"/>
      <c r="L154" s="667"/>
      <c r="M154" s="667"/>
      <c r="N154" s="667"/>
      <c r="O154" s="667"/>
      <c r="P154" s="667"/>
      <c r="Q154" s="667"/>
      <c r="R154" s="667"/>
      <c r="S154" s="667"/>
      <c r="T154" s="667"/>
      <c r="U154" s="667"/>
      <c r="V154" s="667"/>
      <c r="W154" s="667"/>
      <c r="X154" s="667"/>
      <c r="Y154" s="667"/>
      <c r="Z154" s="667"/>
      <c r="AA154" s="645"/>
      <c r="AB154" s="645"/>
      <c r="AC154" s="645"/>
    </row>
    <row r="155" spans="1:68" ht="14.25" hidden="1" customHeight="1" x14ac:dyDescent="0.25">
      <c r="A155" s="671" t="s">
        <v>74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46"/>
      <c r="AB155" s="646"/>
      <c r="AC155" s="646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84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85"/>
      <c r="P163" s="668" t="s">
        <v>72</v>
      </c>
      <c r="Q163" s="669"/>
      <c r="R163" s="669"/>
      <c r="S163" s="669"/>
      <c r="T163" s="669"/>
      <c r="U163" s="669"/>
      <c r="V163" s="670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85"/>
      <c r="P164" s="668" t="s">
        <v>72</v>
      </c>
      <c r="Q164" s="669"/>
      <c r="R164" s="669"/>
      <c r="S164" s="669"/>
      <c r="T164" s="669"/>
      <c r="U164" s="669"/>
      <c r="V164" s="670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71" t="s">
        <v>283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46"/>
      <c r="AB165" s="646"/>
      <c r="AC165" s="646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84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85"/>
      <c r="P167" s="668" t="s">
        <v>72</v>
      </c>
      <c r="Q167" s="669"/>
      <c r="R167" s="669"/>
      <c r="S167" s="669"/>
      <c r="T167" s="669"/>
      <c r="U167" s="669"/>
      <c r="V167" s="670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85"/>
      <c r="P168" s="668" t="s">
        <v>72</v>
      </c>
      <c r="Q168" s="669"/>
      <c r="R168" s="669"/>
      <c r="S168" s="669"/>
      <c r="T168" s="669"/>
      <c r="U168" s="669"/>
      <c r="V168" s="670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6" t="s">
        <v>109</v>
      </c>
      <c r="B169" s="667"/>
      <c r="C169" s="667"/>
      <c r="D169" s="667"/>
      <c r="E169" s="667"/>
      <c r="F169" s="667"/>
      <c r="G169" s="667"/>
      <c r="H169" s="667"/>
      <c r="I169" s="667"/>
      <c r="J169" s="667"/>
      <c r="K169" s="667"/>
      <c r="L169" s="667"/>
      <c r="M169" s="667"/>
      <c r="N169" s="667"/>
      <c r="O169" s="667"/>
      <c r="P169" s="667"/>
      <c r="Q169" s="667"/>
      <c r="R169" s="667"/>
      <c r="S169" s="667"/>
      <c r="T169" s="667"/>
      <c r="U169" s="667"/>
      <c r="V169" s="667"/>
      <c r="W169" s="667"/>
      <c r="X169" s="667"/>
      <c r="Y169" s="667"/>
      <c r="Z169" s="667"/>
      <c r="AA169" s="645"/>
      <c r="AB169" s="645"/>
      <c r="AC169" s="645"/>
    </row>
    <row r="170" spans="1:68" ht="14.25" hidden="1" customHeight="1" x14ac:dyDescent="0.25">
      <c r="A170" s="671" t="s">
        <v>111</v>
      </c>
      <c r="B170" s="667"/>
      <c r="C170" s="667"/>
      <c r="D170" s="667"/>
      <c r="E170" s="667"/>
      <c r="F170" s="667"/>
      <c r="G170" s="667"/>
      <c r="H170" s="667"/>
      <c r="I170" s="667"/>
      <c r="J170" s="667"/>
      <c r="K170" s="667"/>
      <c r="L170" s="667"/>
      <c r="M170" s="667"/>
      <c r="N170" s="667"/>
      <c r="O170" s="667"/>
      <c r="P170" s="667"/>
      <c r="Q170" s="667"/>
      <c r="R170" s="667"/>
      <c r="S170" s="667"/>
      <c r="T170" s="667"/>
      <c r="U170" s="667"/>
      <c r="V170" s="667"/>
      <c r="W170" s="667"/>
      <c r="X170" s="667"/>
      <c r="Y170" s="667"/>
      <c r="Z170" s="667"/>
      <c r="AA170" s="646"/>
      <c r="AB170" s="646"/>
      <c r="AC170" s="646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84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85"/>
      <c r="P174" s="668" t="s">
        <v>72</v>
      </c>
      <c r="Q174" s="669"/>
      <c r="R174" s="669"/>
      <c r="S174" s="669"/>
      <c r="T174" s="669"/>
      <c r="U174" s="669"/>
      <c r="V174" s="670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85"/>
      <c r="P175" s="668" t="s">
        <v>72</v>
      </c>
      <c r="Q175" s="669"/>
      <c r="R175" s="669"/>
      <c r="S175" s="669"/>
      <c r="T175" s="669"/>
      <c r="U175" s="669"/>
      <c r="V175" s="670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71" t="s">
        <v>144</v>
      </c>
      <c r="B176" s="667"/>
      <c r="C176" s="667"/>
      <c r="D176" s="667"/>
      <c r="E176" s="667"/>
      <c r="F176" s="667"/>
      <c r="G176" s="667"/>
      <c r="H176" s="667"/>
      <c r="I176" s="667"/>
      <c r="J176" s="667"/>
      <c r="K176" s="667"/>
      <c r="L176" s="667"/>
      <c r="M176" s="667"/>
      <c r="N176" s="667"/>
      <c r="O176" s="667"/>
      <c r="P176" s="667"/>
      <c r="Q176" s="667"/>
      <c r="R176" s="667"/>
      <c r="S176" s="667"/>
      <c r="T176" s="667"/>
      <c r="U176" s="667"/>
      <c r="V176" s="667"/>
      <c r="W176" s="667"/>
      <c r="X176" s="667"/>
      <c r="Y176" s="667"/>
      <c r="Z176" s="667"/>
      <c r="AA176" s="646"/>
      <c r="AB176" s="646"/>
      <c r="AC176" s="646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84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85"/>
      <c r="P179" s="668" t="s">
        <v>72</v>
      </c>
      <c r="Q179" s="669"/>
      <c r="R179" s="669"/>
      <c r="S179" s="669"/>
      <c r="T179" s="669"/>
      <c r="U179" s="669"/>
      <c r="V179" s="670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85"/>
      <c r="P180" s="668" t="s">
        <v>72</v>
      </c>
      <c r="Q180" s="669"/>
      <c r="R180" s="669"/>
      <c r="S180" s="669"/>
      <c r="T180" s="669"/>
      <c r="U180" s="669"/>
      <c r="V180" s="670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71" t="s">
        <v>62</v>
      </c>
      <c r="B181" s="667"/>
      <c r="C181" s="667"/>
      <c r="D181" s="667"/>
      <c r="E181" s="667"/>
      <c r="F181" s="667"/>
      <c r="G181" s="667"/>
      <c r="H181" s="667"/>
      <c r="I181" s="667"/>
      <c r="J181" s="667"/>
      <c r="K181" s="667"/>
      <c r="L181" s="667"/>
      <c r="M181" s="667"/>
      <c r="N181" s="667"/>
      <c r="O181" s="667"/>
      <c r="P181" s="667"/>
      <c r="Q181" s="667"/>
      <c r="R181" s="667"/>
      <c r="S181" s="667"/>
      <c r="T181" s="667"/>
      <c r="U181" s="667"/>
      <c r="V181" s="667"/>
      <c r="W181" s="667"/>
      <c r="X181" s="667"/>
      <c r="Y181" s="667"/>
      <c r="Z181" s="667"/>
      <c r="AA181" s="646"/>
      <c r="AB181" s="646"/>
      <c r="AC181" s="646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0</v>
      </c>
      <c r="Y184" s="652">
        <f t="shared" si="27"/>
        <v>0</v>
      </c>
      <c r="Z184" s="36" t="str">
        <f t="shared" si="28"/>
        <v/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0</v>
      </c>
      <c r="BN184" s="64">
        <f t="shared" si="30"/>
        <v>0</v>
      </c>
      <c r="BO184" s="64">
        <f t="shared" si="31"/>
        <v>0</v>
      </c>
      <c r="BP184" s="64">
        <f t="shared" si="32"/>
        <v>0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50</v>
      </c>
      <c r="Y186" s="652">
        <f t="shared" si="27"/>
        <v>52.5</v>
      </c>
      <c r="Z186" s="36">
        <f t="shared" si="28"/>
        <v>0.1353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52.714285714285715</v>
      </c>
      <c r="BN186" s="64">
        <f t="shared" si="30"/>
        <v>55.35</v>
      </c>
      <c r="BO186" s="64">
        <f t="shared" si="31"/>
        <v>0.10822510822510824</v>
      </c>
      <c r="BP186" s="64">
        <f t="shared" si="32"/>
        <v>0.11363636363636365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25</v>
      </c>
      <c r="Y188" s="652">
        <f t="shared" si="27"/>
        <v>25.2</v>
      </c>
      <c r="Z188" s="36">
        <f>IFERROR(IF(Y188=0,"",ROUNDUP(Y188/H188,0)*0.00417),"")</f>
        <v>0.11676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30.833333333333336</v>
      </c>
      <c r="BN188" s="64">
        <f t="shared" si="30"/>
        <v>31.080000000000002</v>
      </c>
      <c r="BO188" s="64">
        <f t="shared" si="31"/>
        <v>8.2671957671957674E-2</v>
      </c>
      <c r="BP188" s="64">
        <f t="shared" si="32"/>
        <v>8.3333333333333329E-2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42</v>
      </c>
      <c r="Y190" s="652">
        <f t="shared" si="27"/>
        <v>42</v>
      </c>
      <c r="Z190" s="36">
        <f>IFERROR(IF(Y190=0,"",ROUNDUP(Y190/H190,0)*0.00502),"")</f>
        <v>0.1255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44.500000000000007</v>
      </c>
      <c r="BN190" s="64">
        <f t="shared" si="30"/>
        <v>44.500000000000007</v>
      </c>
      <c r="BO190" s="64">
        <f t="shared" si="31"/>
        <v>0.10683760683760685</v>
      </c>
      <c r="BP190" s="64">
        <f t="shared" si="32"/>
        <v>0.10683760683760685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5</v>
      </c>
      <c r="Y191" s="652">
        <f t="shared" si="27"/>
        <v>5.4</v>
      </c>
      <c r="Z191" s="36">
        <f>IFERROR(IF(Y191=0,"",ROUNDUP(Y191/H191,0)*0.00417),"")</f>
        <v>2.5020000000000001E-2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6.166666666666667</v>
      </c>
      <c r="BN191" s="64">
        <f t="shared" si="30"/>
        <v>6.66</v>
      </c>
      <c r="BO191" s="64">
        <f t="shared" si="31"/>
        <v>1.6534391534391533E-2</v>
      </c>
      <c r="BP191" s="64">
        <f t="shared" si="32"/>
        <v>1.7857142857142856E-2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13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21</v>
      </c>
      <c r="Y194" s="652">
        <f t="shared" si="27"/>
        <v>21.6</v>
      </c>
      <c r="Z194" s="36">
        <f>IFERROR(IF(Y194=0,"",ROUNDUP(Y194/H194,0)*0.00417),"")</f>
        <v>0.10008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23.333333333333332</v>
      </c>
      <c r="BN194" s="64">
        <f t="shared" si="30"/>
        <v>24</v>
      </c>
      <c r="BO194" s="64">
        <f t="shared" si="31"/>
        <v>6.9444444444444434E-2</v>
      </c>
      <c r="BP194" s="64">
        <f t="shared" si="32"/>
        <v>7.1428571428571425E-2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56</v>
      </c>
      <c r="Y195" s="652">
        <f t="shared" si="27"/>
        <v>57.12</v>
      </c>
      <c r="Z195" s="36">
        <f>IFERROR(IF(Y195=0,"",ROUNDUP(Y195/H195,0)*0.00502),"")</f>
        <v>0.17068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59.333333333333343</v>
      </c>
      <c r="BN195" s="64">
        <f t="shared" si="30"/>
        <v>60.519999999999996</v>
      </c>
      <c r="BO195" s="64">
        <f t="shared" si="31"/>
        <v>0.14245014245014248</v>
      </c>
      <c r="BP195" s="64">
        <f t="shared" si="32"/>
        <v>0.14529914529914531</v>
      </c>
    </row>
    <row r="196" spans="1:68" x14ac:dyDescent="0.2">
      <c r="A196" s="684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85"/>
      <c r="P196" s="668" t="s">
        <v>72</v>
      </c>
      <c r="Q196" s="669"/>
      <c r="R196" s="669"/>
      <c r="S196" s="669"/>
      <c r="T196" s="669"/>
      <c r="U196" s="669"/>
      <c r="V196" s="670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191.1904761904762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195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1.1055999999999999</v>
      </c>
      <c r="AA196" s="654"/>
      <c r="AB196" s="654"/>
      <c r="AC196" s="654"/>
    </row>
    <row r="197" spans="1:68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85"/>
      <c r="P197" s="668" t="s">
        <v>72</v>
      </c>
      <c r="Q197" s="669"/>
      <c r="R197" s="669"/>
      <c r="S197" s="669"/>
      <c r="T197" s="669"/>
      <c r="U197" s="669"/>
      <c r="V197" s="670"/>
      <c r="W197" s="37" t="s">
        <v>67</v>
      </c>
      <c r="X197" s="653">
        <f>IFERROR(SUM(X182:X195),"0")</f>
        <v>355</v>
      </c>
      <c r="Y197" s="653">
        <f>IFERROR(SUM(Y182:Y195),"0")</f>
        <v>362.44</v>
      </c>
      <c r="Z197" s="37"/>
      <c r="AA197" s="654"/>
      <c r="AB197" s="654"/>
      <c r="AC197" s="654"/>
    </row>
    <row r="198" spans="1:68" ht="14.25" hidden="1" customHeight="1" x14ac:dyDescent="0.25">
      <c r="A198" s="671" t="s">
        <v>74</v>
      </c>
      <c r="B198" s="667"/>
      <c r="C198" s="667"/>
      <c r="D198" s="667"/>
      <c r="E198" s="667"/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  <c r="P198" s="667"/>
      <c r="Q198" s="667"/>
      <c r="R198" s="667"/>
      <c r="S198" s="667"/>
      <c r="T198" s="667"/>
      <c r="U198" s="667"/>
      <c r="V198" s="667"/>
      <c r="W198" s="667"/>
      <c r="X198" s="667"/>
      <c r="Y198" s="667"/>
      <c r="Z198" s="667"/>
      <c r="AA198" s="646"/>
      <c r="AB198" s="646"/>
      <c r="AC198" s="646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16</v>
      </c>
      <c r="Y201" s="652">
        <f>IFERROR(IF(X201="",0,CEILING((X201/$H201),1)*$H201),"")</f>
        <v>16.2</v>
      </c>
      <c r="Z201" s="36">
        <f>IFERROR(IF(Y201=0,"",ROUNDUP(Y201/H201,0)*0.00651),"")</f>
        <v>5.8590000000000003E-2</v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18.293333333333333</v>
      </c>
      <c r="BN201" s="64">
        <f>IFERROR(Y201*I201/H201,"0")</f>
        <v>18.521999999999998</v>
      </c>
      <c r="BO201" s="64">
        <f>IFERROR(1/J201*(X201/H201),"0")</f>
        <v>4.8840048840048847E-2</v>
      </c>
      <c r="BP201" s="64">
        <f>IFERROR(1/J201*(Y201/H201),"0")</f>
        <v>4.9450549450549455E-2</v>
      </c>
    </row>
    <row r="202" spans="1:68" x14ac:dyDescent="0.2">
      <c r="A202" s="684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85"/>
      <c r="P202" s="668" t="s">
        <v>72</v>
      </c>
      <c r="Q202" s="669"/>
      <c r="R202" s="669"/>
      <c r="S202" s="669"/>
      <c r="T202" s="669"/>
      <c r="U202" s="669"/>
      <c r="V202" s="670"/>
      <c r="W202" s="37" t="s">
        <v>73</v>
      </c>
      <c r="X202" s="653">
        <f>IFERROR(X199/H199,"0")+IFERROR(X200/H200,"0")+IFERROR(X201/H201,"0")</f>
        <v>8.8888888888888893</v>
      </c>
      <c r="Y202" s="653">
        <f>IFERROR(Y199/H199,"0")+IFERROR(Y200/H200,"0")+IFERROR(Y201/H201,"0")</f>
        <v>9</v>
      </c>
      <c r="Z202" s="653">
        <f>IFERROR(IF(Z199="",0,Z199),"0")+IFERROR(IF(Z200="",0,Z200),"0")+IFERROR(IF(Z201="",0,Z201),"0")</f>
        <v>5.8590000000000003E-2</v>
      </c>
      <c r="AA202" s="654"/>
      <c r="AB202" s="654"/>
      <c r="AC202" s="654"/>
    </row>
    <row r="203" spans="1:68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85"/>
      <c r="P203" s="668" t="s">
        <v>72</v>
      </c>
      <c r="Q203" s="669"/>
      <c r="R203" s="669"/>
      <c r="S203" s="669"/>
      <c r="T203" s="669"/>
      <c r="U203" s="669"/>
      <c r="V203" s="670"/>
      <c r="W203" s="37" t="s">
        <v>67</v>
      </c>
      <c r="X203" s="653">
        <f>IFERROR(SUM(X199:X201),"0")</f>
        <v>16</v>
      </c>
      <c r="Y203" s="653">
        <f>IFERROR(SUM(Y199:Y201),"0")</f>
        <v>16.2</v>
      </c>
      <c r="Z203" s="37"/>
      <c r="AA203" s="654"/>
      <c r="AB203" s="654"/>
      <c r="AC203" s="654"/>
    </row>
    <row r="204" spans="1:68" ht="14.25" hidden="1" customHeight="1" x14ac:dyDescent="0.25">
      <c r="A204" s="671" t="s">
        <v>283</v>
      </c>
      <c r="B204" s="667"/>
      <c r="C204" s="667"/>
      <c r="D204" s="667"/>
      <c r="E204" s="667"/>
      <c r="F204" s="667"/>
      <c r="G204" s="667"/>
      <c r="H204" s="667"/>
      <c r="I204" s="667"/>
      <c r="J204" s="667"/>
      <c r="K204" s="667"/>
      <c r="L204" s="667"/>
      <c r="M204" s="667"/>
      <c r="N204" s="667"/>
      <c r="O204" s="667"/>
      <c r="P204" s="667"/>
      <c r="Q204" s="667"/>
      <c r="R204" s="667"/>
      <c r="S204" s="667"/>
      <c r="T204" s="667"/>
      <c r="U204" s="667"/>
      <c r="V204" s="667"/>
      <c r="W204" s="667"/>
      <c r="X204" s="667"/>
      <c r="Y204" s="667"/>
      <c r="Z204" s="667"/>
      <c r="AA204" s="646"/>
      <c r="AB204" s="646"/>
      <c r="AC204" s="646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84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85"/>
      <c r="P206" s="668" t="s">
        <v>72</v>
      </c>
      <c r="Q206" s="669"/>
      <c r="R206" s="669"/>
      <c r="S206" s="669"/>
      <c r="T206" s="669"/>
      <c r="U206" s="669"/>
      <c r="V206" s="670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85"/>
      <c r="P207" s="668" t="s">
        <v>72</v>
      </c>
      <c r="Q207" s="669"/>
      <c r="R207" s="669"/>
      <c r="S207" s="669"/>
      <c r="T207" s="669"/>
      <c r="U207" s="669"/>
      <c r="V207" s="670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71" t="s">
        <v>355</v>
      </c>
      <c r="B208" s="667"/>
      <c r="C208" s="667"/>
      <c r="D208" s="667"/>
      <c r="E208" s="667"/>
      <c r="F208" s="667"/>
      <c r="G208" s="667"/>
      <c r="H208" s="667"/>
      <c r="I208" s="667"/>
      <c r="J208" s="667"/>
      <c r="K208" s="667"/>
      <c r="L208" s="667"/>
      <c r="M208" s="667"/>
      <c r="N208" s="667"/>
      <c r="O208" s="667"/>
      <c r="P208" s="667"/>
      <c r="Q208" s="667"/>
      <c r="R208" s="667"/>
      <c r="S208" s="667"/>
      <c r="T208" s="667"/>
      <c r="U208" s="667"/>
      <c r="V208" s="667"/>
      <c r="W208" s="667"/>
      <c r="X208" s="667"/>
      <c r="Y208" s="667"/>
      <c r="Z208" s="667"/>
      <c r="AA208" s="646"/>
      <c r="AB208" s="646"/>
      <c r="AC208" s="646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84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85"/>
      <c r="P210" s="668" t="s">
        <v>72</v>
      </c>
      <c r="Q210" s="669"/>
      <c r="R210" s="669"/>
      <c r="S210" s="669"/>
      <c r="T210" s="669"/>
      <c r="U210" s="669"/>
      <c r="V210" s="670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85"/>
      <c r="P211" s="668" t="s">
        <v>72</v>
      </c>
      <c r="Q211" s="669"/>
      <c r="R211" s="669"/>
      <c r="S211" s="669"/>
      <c r="T211" s="669"/>
      <c r="U211" s="669"/>
      <c r="V211" s="670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64" t="s">
        <v>359</v>
      </c>
      <c r="B212" s="665"/>
      <c r="C212" s="665"/>
      <c r="D212" s="665"/>
      <c r="E212" s="665"/>
      <c r="F212" s="665"/>
      <c r="G212" s="665"/>
      <c r="H212" s="665"/>
      <c r="I212" s="665"/>
      <c r="J212" s="665"/>
      <c r="K212" s="665"/>
      <c r="L212" s="665"/>
      <c r="M212" s="665"/>
      <c r="N212" s="665"/>
      <c r="O212" s="665"/>
      <c r="P212" s="665"/>
      <c r="Q212" s="665"/>
      <c r="R212" s="665"/>
      <c r="S212" s="665"/>
      <c r="T212" s="665"/>
      <c r="U212" s="665"/>
      <c r="V212" s="665"/>
      <c r="W212" s="665"/>
      <c r="X212" s="665"/>
      <c r="Y212" s="665"/>
      <c r="Z212" s="665"/>
      <c r="AA212" s="48"/>
      <c r="AB212" s="48"/>
      <c r="AC212" s="48"/>
    </row>
    <row r="213" spans="1:68" ht="16.5" hidden="1" customHeight="1" x14ac:dyDescent="0.25">
      <c r="A213" s="666" t="s">
        <v>360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45"/>
      <c r="AB213" s="645"/>
      <c r="AC213" s="645"/>
    </row>
    <row r="214" spans="1:68" ht="14.25" hidden="1" customHeight="1" x14ac:dyDescent="0.25">
      <c r="A214" s="671" t="s">
        <v>111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46"/>
      <c r="AB214" s="646"/>
      <c r="AC214" s="646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84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85"/>
      <c r="P222" s="668" t="s">
        <v>72</v>
      </c>
      <c r="Q222" s="669"/>
      <c r="R222" s="669"/>
      <c r="S222" s="669"/>
      <c r="T222" s="669"/>
      <c r="U222" s="669"/>
      <c r="V222" s="670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85"/>
      <c r="P223" s="668" t="s">
        <v>72</v>
      </c>
      <c r="Q223" s="669"/>
      <c r="R223" s="669"/>
      <c r="S223" s="669"/>
      <c r="T223" s="669"/>
      <c r="U223" s="669"/>
      <c r="V223" s="670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6" t="s">
        <v>381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45"/>
      <c r="AB224" s="645"/>
      <c r="AC224" s="645"/>
    </row>
    <row r="225" spans="1:68" ht="14.25" hidden="1" customHeight="1" x14ac:dyDescent="0.25">
      <c r="A225" s="671" t="s">
        <v>144</v>
      </c>
      <c r="B225" s="667"/>
      <c r="C225" s="667"/>
      <c r="D225" s="667"/>
      <c r="E225" s="667"/>
      <c r="F225" s="667"/>
      <c r="G225" s="667"/>
      <c r="H225" s="667"/>
      <c r="I225" s="667"/>
      <c r="J225" s="667"/>
      <c r="K225" s="667"/>
      <c r="L225" s="667"/>
      <c r="M225" s="667"/>
      <c r="N225" s="667"/>
      <c r="O225" s="667"/>
      <c r="P225" s="667"/>
      <c r="Q225" s="667"/>
      <c r="R225" s="667"/>
      <c r="S225" s="667"/>
      <c r="T225" s="667"/>
      <c r="U225" s="667"/>
      <c r="V225" s="667"/>
      <c r="W225" s="667"/>
      <c r="X225" s="667"/>
      <c r="Y225" s="667"/>
      <c r="Z225" s="667"/>
      <c r="AA225" s="646"/>
      <c r="AB225" s="646"/>
      <c r="AC225" s="646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3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84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85"/>
      <c r="P227" s="668" t="s">
        <v>72</v>
      </c>
      <c r="Q227" s="669"/>
      <c r="R227" s="669"/>
      <c r="S227" s="669"/>
      <c r="T227" s="669"/>
      <c r="U227" s="669"/>
      <c r="V227" s="670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85"/>
      <c r="P228" s="668" t="s">
        <v>72</v>
      </c>
      <c r="Q228" s="669"/>
      <c r="R228" s="669"/>
      <c r="S228" s="669"/>
      <c r="T228" s="669"/>
      <c r="U228" s="669"/>
      <c r="V228" s="670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71" t="s">
        <v>62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46"/>
      <c r="AB229" s="646"/>
      <c r="AC229" s="646"/>
    </row>
    <row r="230" spans="1:68" ht="27" hidden="1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10</v>
      </c>
      <c r="Y232" s="652">
        <f t="shared" si="39"/>
        <v>12.600000000000001</v>
      </c>
      <c r="Z232" s="36">
        <f>IFERROR(IF(Y232=0,"",ROUNDUP(Y232/H232,0)*0.00902),"")</f>
        <v>2.7060000000000001E-2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10.452380952380951</v>
      </c>
      <c r="BN232" s="64">
        <f t="shared" si="41"/>
        <v>13.17</v>
      </c>
      <c r="BO232" s="64">
        <f t="shared" si="42"/>
        <v>1.8037518037518036E-2</v>
      </c>
      <c r="BP232" s="64">
        <f t="shared" si="43"/>
        <v>2.2727272727272728E-2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40</v>
      </c>
      <c r="Y233" s="652">
        <f t="shared" si="39"/>
        <v>40</v>
      </c>
      <c r="Z233" s="36">
        <f>IFERROR(IF(Y233=0,"",ROUNDUP(Y233/H233,0)*0.00556),"")</f>
        <v>0.27799999999999997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46.5</v>
      </c>
      <c r="BN233" s="64">
        <f t="shared" si="41"/>
        <v>46.5</v>
      </c>
      <c r="BO233" s="64">
        <f t="shared" si="42"/>
        <v>0.1984126984126984</v>
      </c>
      <c r="BP233" s="64">
        <f t="shared" si="43"/>
        <v>0.1984126984126984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14</v>
      </c>
      <c r="Y234" s="652">
        <f t="shared" si="39"/>
        <v>14.700000000000001</v>
      </c>
      <c r="Z234" s="36">
        <f t="shared" ref="Z234:Z239" si="44">IFERROR(IF(Y234=0,"",ROUNDUP(Y234/H234,0)*0.00502),"")</f>
        <v>3.5140000000000005E-2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14.866666666666665</v>
      </c>
      <c r="BN234" s="64">
        <f t="shared" si="41"/>
        <v>15.61</v>
      </c>
      <c r="BO234" s="64">
        <f t="shared" si="42"/>
        <v>2.8490028490028491E-2</v>
      </c>
      <c r="BP234" s="64">
        <f t="shared" si="43"/>
        <v>2.9914529914529919E-2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6</v>
      </c>
      <c r="Y239" s="652">
        <f t="shared" si="39"/>
        <v>7.2</v>
      </c>
      <c r="Z239" s="36">
        <f t="shared" si="44"/>
        <v>2.0080000000000001E-2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6.4333333333333336</v>
      </c>
      <c r="BN239" s="64">
        <f t="shared" si="41"/>
        <v>7.7199999999999989</v>
      </c>
      <c r="BO239" s="64">
        <f t="shared" si="42"/>
        <v>1.4245014245014245E-2</v>
      </c>
      <c r="BP239" s="64">
        <f t="shared" si="43"/>
        <v>1.7094017094017096E-2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24</v>
      </c>
      <c r="Y240" s="652">
        <f t="shared" si="39"/>
        <v>24</v>
      </c>
      <c r="Z240" s="36">
        <f>IFERROR(IF(Y240=0,"",ROUNDUP(Y240/H240,0)*0.00417),"")</f>
        <v>0.12509999999999999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30.3</v>
      </c>
      <c r="BN240" s="64">
        <f t="shared" si="41"/>
        <v>30.3</v>
      </c>
      <c r="BO240" s="64">
        <f t="shared" si="42"/>
        <v>8.9285714285714274E-2</v>
      </c>
      <c r="BP240" s="64">
        <f t="shared" si="43"/>
        <v>8.9285714285714274E-2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5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53</v>
      </c>
      <c r="Y241" s="652">
        <f t="shared" si="39"/>
        <v>54.6</v>
      </c>
      <c r="Z241" s="36">
        <f>IFERROR(IF(Y241=0,"",ROUNDUP(Y241/H241,0)*0.00502),"")</f>
        <v>0.13052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55.523809523809526</v>
      </c>
      <c r="BN241" s="64">
        <f t="shared" si="41"/>
        <v>57.20000000000001</v>
      </c>
      <c r="BO241" s="64">
        <f t="shared" si="42"/>
        <v>0.10785510785510787</v>
      </c>
      <c r="BP241" s="64">
        <f t="shared" si="43"/>
        <v>0.11111111111111112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85"/>
      <c r="P244" s="668" t="s">
        <v>72</v>
      </c>
      <c r="Q244" s="669"/>
      <c r="R244" s="669"/>
      <c r="S244" s="669"/>
      <c r="T244" s="669"/>
      <c r="U244" s="669"/>
      <c r="V244" s="670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117.61904761904762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120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0.6159</v>
      </c>
      <c r="AA244" s="654"/>
      <c r="AB244" s="654"/>
      <c r="AC244" s="654"/>
    </row>
    <row r="245" spans="1:68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85"/>
      <c r="P245" s="668" t="s">
        <v>72</v>
      </c>
      <c r="Q245" s="669"/>
      <c r="R245" s="669"/>
      <c r="S245" s="669"/>
      <c r="T245" s="669"/>
      <c r="U245" s="669"/>
      <c r="V245" s="670"/>
      <c r="W245" s="37" t="s">
        <v>67</v>
      </c>
      <c r="X245" s="653">
        <f>IFERROR(SUM(X230:X243),"0")</f>
        <v>147</v>
      </c>
      <c r="Y245" s="653">
        <f>IFERROR(SUM(Y230:Y243),"0")</f>
        <v>153.1</v>
      </c>
      <c r="Z245" s="37"/>
      <c r="AA245" s="654"/>
      <c r="AB245" s="654"/>
      <c r="AC245" s="654"/>
    </row>
    <row r="246" spans="1:68" ht="14.25" hidden="1" customHeight="1" x14ac:dyDescent="0.25">
      <c r="A246" s="671" t="s">
        <v>74</v>
      </c>
      <c r="B246" s="667"/>
      <c r="C246" s="667"/>
      <c r="D246" s="667"/>
      <c r="E246" s="667"/>
      <c r="F246" s="667"/>
      <c r="G246" s="667"/>
      <c r="H246" s="667"/>
      <c r="I246" s="667"/>
      <c r="J246" s="667"/>
      <c r="K246" s="667"/>
      <c r="L246" s="667"/>
      <c r="M246" s="667"/>
      <c r="N246" s="667"/>
      <c r="O246" s="667"/>
      <c r="P246" s="667"/>
      <c r="Q246" s="667"/>
      <c r="R246" s="667"/>
      <c r="S246" s="667"/>
      <c r="T246" s="667"/>
      <c r="U246" s="667"/>
      <c r="V246" s="667"/>
      <c r="W246" s="667"/>
      <c r="X246" s="667"/>
      <c r="Y246" s="667"/>
      <c r="Z246" s="667"/>
      <c r="AA246" s="646"/>
      <c r="AB246" s="646"/>
      <c r="AC246" s="646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84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85"/>
      <c r="P252" s="668" t="s">
        <v>72</v>
      </c>
      <c r="Q252" s="669"/>
      <c r="R252" s="669"/>
      <c r="S252" s="669"/>
      <c r="T252" s="669"/>
      <c r="U252" s="669"/>
      <c r="V252" s="670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85"/>
      <c r="P253" s="668" t="s">
        <v>72</v>
      </c>
      <c r="Q253" s="669"/>
      <c r="R253" s="669"/>
      <c r="S253" s="669"/>
      <c r="T253" s="669"/>
      <c r="U253" s="669"/>
      <c r="V253" s="670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71" t="s">
        <v>283</v>
      </c>
      <c r="B254" s="667"/>
      <c r="C254" s="667"/>
      <c r="D254" s="667"/>
      <c r="E254" s="667"/>
      <c r="F254" s="667"/>
      <c r="G254" s="667"/>
      <c r="H254" s="667"/>
      <c r="I254" s="667"/>
      <c r="J254" s="667"/>
      <c r="K254" s="667"/>
      <c r="L254" s="667"/>
      <c r="M254" s="667"/>
      <c r="N254" s="667"/>
      <c r="O254" s="667"/>
      <c r="P254" s="667"/>
      <c r="Q254" s="667"/>
      <c r="R254" s="667"/>
      <c r="S254" s="667"/>
      <c r="T254" s="667"/>
      <c r="U254" s="667"/>
      <c r="V254" s="667"/>
      <c r="W254" s="667"/>
      <c r="X254" s="667"/>
      <c r="Y254" s="667"/>
      <c r="Z254" s="667"/>
      <c r="AA254" s="646"/>
      <c r="AB254" s="646"/>
      <c r="AC254" s="646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0</v>
      </c>
      <c r="Y257" s="6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4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85"/>
      <c r="P258" s="668" t="s">
        <v>72</v>
      </c>
      <c r="Q258" s="669"/>
      <c r="R258" s="669"/>
      <c r="S258" s="669"/>
      <c r="T258" s="669"/>
      <c r="U258" s="669"/>
      <c r="V258" s="670"/>
      <c r="W258" s="37" t="s">
        <v>73</v>
      </c>
      <c r="X258" s="653">
        <f>IFERROR(X255/H255,"0")+IFERROR(X256/H256,"0")+IFERROR(X257/H257,"0")</f>
        <v>0</v>
      </c>
      <c r="Y258" s="653">
        <f>IFERROR(Y255/H255,"0")+IFERROR(Y256/H256,"0")+IFERROR(Y257/H257,"0")</f>
        <v>0</v>
      </c>
      <c r="Z258" s="653">
        <f>IFERROR(IF(Z255="",0,Z255),"0")+IFERROR(IF(Z256="",0,Z256),"0")+IFERROR(IF(Z257="",0,Z257),"0")</f>
        <v>0</v>
      </c>
      <c r="AA258" s="654"/>
      <c r="AB258" s="654"/>
      <c r="AC258" s="654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85"/>
      <c r="P259" s="668" t="s">
        <v>72</v>
      </c>
      <c r="Q259" s="669"/>
      <c r="R259" s="669"/>
      <c r="S259" s="669"/>
      <c r="T259" s="669"/>
      <c r="U259" s="669"/>
      <c r="V259" s="670"/>
      <c r="W259" s="37" t="s">
        <v>67</v>
      </c>
      <c r="X259" s="653">
        <f>IFERROR(SUM(X255:X257),"0")</f>
        <v>0</v>
      </c>
      <c r="Y259" s="653">
        <f>IFERROR(SUM(Y255:Y257),"0")</f>
        <v>0</v>
      </c>
      <c r="Z259" s="37"/>
      <c r="AA259" s="654"/>
      <c r="AB259" s="654"/>
      <c r="AC259" s="654"/>
    </row>
    <row r="260" spans="1:68" ht="14.25" hidden="1" customHeight="1" x14ac:dyDescent="0.25">
      <c r="A260" s="671" t="s">
        <v>445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46"/>
      <c r="AB260" s="646"/>
      <c r="AC260" s="646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7</v>
      </c>
      <c r="Y261" s="652">
        <f>IFERROR(IF(X261="",0,CEILING((X261/$H261),1)*$H261),"")</f>
        <v>7.5600000000000005</v>
      </c>
      <c r="Z261" s="36">
        <f>IFERROR(IF(Y261=0,"",ROUNDUP(Y261/H261,0)*0.0059),"")</f>
        <v>3.5400000000000001E-2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8.0555555555555554</v>
      </c>
      <c r="BN261" s="64">
        <f>IFERROR(Y261*I261/H261,"0")</f>
        <v>8.6999999999999993</v>
      </c>
      <c r="BO261" s="64">
        <f>IFERROR(1/J261*(X261/H261),"0")</f>
        <v>2.5720164609053495E-2</v>
      </c>
      <c r="BP261" s="64">
        <f>IFERROR(1/J261*(Y261/H261),"0")</f>
        <v>2.7777777777777776E-2</v>
      </c>
    </row>
    <row r="262" spans="1:68" x14ac:dyDescent="0.2">
      <c r="A262" s="684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85"/>
      <c r="P262" s="668" t="s">
        <v>72</v>
      </c>
      <c r="Q262" s="669"/>
      <c r="R262" s="669"/>
      <c r="S262" s="669"/>
      <c r="T262" s="669"/>
      <c r="U262" s="669"/>
      <c r="V262" s="670"/>
      <c r="W262" s="37" t="s">
        <v>73</v>
      </c>
      <c r="X262" s="653">
        <f>IFERROR(X261/H261,"0")</f>
        <v>5.5555555555555554</v>
      </c>
      <c r="Y262" s="653">
        <f>IFERROR(Y261/H261,"0")</f>
        <v>6</v>
      </c>
      <c r="Z262" s="653">
        <f>IFERROR(IF(Z261="",0,Z261),"0")</f>
        <v>3.5400000000000001E-2</v>
      </c>
      <c r="AA262" s="654"/>
      <c r="AB262" s="654"/>
      <c r="AC262" s="654"/>
    </row>
    <row r="263" spans="1:68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85"/>
      <c r="P263" s="668" t="s">
        <v>72</v>
      </c>
      <c r="Q263" s="669"/>
      <c r="R263" s="669"/>
      <c r="S263" s="669"/>
      <c r="T263" s="669"/>
      <c r="U263" s="669"/>
      <c r="V263" s="670"/>
      <c r="W263" s="37" t="s">
        <v>67</v>
      </c>
      <c r="X263" s="653">
        <f>IFERROR(SUM(X261:X261),"0")</f>
        <v>7</v>
      </c>
      <c r="Y263" s="653">
        <f>IFERROR(SUM(Y261:Y261),"0")</f>
        <v>7.5600000000000005</v>
      </c>
      <c r="Z263" s="37"/>
      <c r="AA263" s="654"/>
      <c r="AB263" s="654"/>
      <c r="AC263" s="654"/>
    </row>
    <row r="264" spans="1:68" ht="16.5" hidden="1" customHeight="1" x14ac:dyDescent="0.25">
      <c r="A264" s="666" t="s">
        <v>448</v>
      </c>
      <c r="B264" s="667"/>
      <c r="C264" s="667"/>
      <c r="D264" s="667"/>
      <c r="E264" s="667"/>
      <c r="F264" s="667"/>
      <c r="G264" s="667"/>
      <c r="H264" s="667"/>
      <c r="I264" s="667"/>
      <c r="J264" s="667"/>
      <c r="K264" s="667"/>
      <c r="L264" s="667"/>
      <c r="M264" s="667"/>
      <c r="N264" s="667"/>
      <c r="O264" s="667"/>
      <c r="P264" s="667"/>
      <c r="Q264" s="667"/>
      <c r="R264" s="667"/>
      <c r="S264" s="667"/>
      <c r="T264" s="667"/>
      <c r="U264" s="667"/>
      <c r="V264" s="667"/>
      <c r="W264" s="667"/>
      <c r="X264" s="667"/>
      <c r="Y264" s="667"/>
      <c r="Z264" s="667"/>
      <c r="AA264" s="645"/>
      <c r="AB264" s="645"/>
      <c r="AC264" s="645"/>
    </row>
    <row r="265" spans="1:68" ht="14.25" hidden="1" customHeight="1" x14ac:dyDescent="0.25">
      <c r="A265" s="671" t="s">
        <v>111</v>
      </c>
      <c r="B265" s="667"/>
      <c r="C265" s="667"/>
      <c r="D265" s="667"/>
      <c r="E265" s="667"/>
      <c r="F265" s="667"/>
      <c r="G265" s="667"/>
      <c r="H265" s="667"/>
      <c r="I265" s="667"/>
      <c r="J265" s="667"/>
      <c r="K265" s="667"/>
      <c r="L265" s="667"/>
      <c r="M265" s="667"/>
      <c r="N265" s="667"/>
      <c r="O265" s="667"/>
      <c r="P265" s="667"/>
      <c r="Q265" s="667"/>
      <c r="R265" s="667"/>
      <c r="S265" s="667"/>
      <c r="T265" s="667"/>
      <c r="U265" s="667"/>
      <c r="V265" s="667"/>
      <c r="W265" s="667"/>
      <c r="X265" s="667"/>
      <c r="Y265" s="667"/>
      <c r="Z265" s="667"/>
      <c r="AA265" s="646"/>
      <c r="AB265" s="646"/>
      <c r="AC265" s="646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84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85"/>
      <c r="P268" s="668" t="s">
        <v>72</v>
      </c>
      <c r="Q268" s="669"/>
      <c r="R268" s="669"/>
      <c r="S268" s="669"/>
      <c r="T268" s="669"/>
      <c r="U268" s="669"/>
      <c r="V268" s="670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85"/>
      <c r="P269" s="668" t="s">
        <v>72</v>
      </c>
      <c r="Q269" s="669"/>
      <c r="R269" s="669"/>
      <c r="S269" s="669"/>
      <c r="T269" s="669"/>
      <c r="U269" s="669"/>
      <c r="V269" s="670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71" t="s">
        <v>144</v>
      </c>
      <c r="B270" s="667"/>
      <c r="C270" s="667"/>
      <c r="D270" s="667"/>
      <c r="E270" s="667"/>
      <c r="F270" s="667"/>
      <c r="G270" s="667"/>
      <c r="H270" s="667"/>
      <c r="I270" s="667"/>
      <c r="J270" s="667"/>
      <c r="K270" s="667"/>
      <c r="L270" s="667"/>
      <c r="M270" s="667"/>
      <c r="N270" s="667"/>
      <c r="O270" s="667"/>
      <c r="P270" s="667"/>
      <c r="Q270" s="667"/>
      <c r="R270" s="667"/>
      <c r="S270" s="667"/>
      <c r="T270" s="667"/>
      <c r="U270" s="667"/>
      <c r="V270" s="667"/>
      <c r="W270" s="667"/>
      <c r="X270" s="667"/>
      <c r="Y270" s="667"/>
      <c r="Z270" s="667"/>
      <c r="AA270" s="646"/>
      <c r="AB270" s="646"/>
      <c r="AC270" s="646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4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85"/>
      <c r="P273" s="668" t="s">
        <v>72</v>
      </c>
      <c r="Q273" s="669"/>
      <c r="R273" s="669"/>
      <c r="S273" s="669"/>
      <c r="T273" s="669"/>
      <c r="U273" s="669"/>
      <c r="V273" s="670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85"/>
      <c r="P274" s="668" t="s">
        <v>72</v>
      </c>
      <c r="Q274" s="669"/>
      <c r="R274" s="669"/>
      <c r="S274" s="669"/>
      <c r="T274" s="669"/>
      <c r="U274" s="669"/>
      <c r="V274" s="670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71" t="s">
        <v>62</v>
      </c>
      <c r="B275" s="667"/>
      <c r="C275" s="667"/>
      <c r="D275" s="667"/>
      <c r="E275" s="667"/>
      <c r="F275" s="667"/>
      <c r="G275" s="667"/>
      <c r="H275" s="667"/>
      <c r="I275" s="667"/>
      <c r="J275" s="667"/>
      <c r="K275" s="667"/>
      <c r="L275" s="667"/>
      <c r="M275" s="667"/>
      <c r="N275" s="667"/>
      <c r="O275" s="667"/>
      <c r="P275" s="667"/>
      <c r="Q275" s="667"/>
      <c r="R275" s="667"/>
      <c r="S275" s="667"/>
      <c r="T275" s="667"/>
      <c r="U275" s="667"/>
      <c r="V275" s="667"/>
      <c r="W275" s="667"/>
      <c r="X275" s="667"/>
      <c r="Y275" s="667"/>
      <c r="Z275" s="667"/>
      <c r="AA275" s="646"/>
      <c r="AB275" s="646"/>
      <c r="AC275" s="646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40</v>
      </c>
      <c r="Y276" s="652">
        <f t="shared" ref="Y276:Y283" si="45">IFERROR(IF(X276="",0,CEILING((X276/$H276),1)*$H276),"")</f>
        <v>43.2</v>
      </c>
      <c r="Z276" s="36">
        <f>IFERROR(IF(Y276=0,"",ROUNDUP(Y276/H276,0)*0.00902),"")</f>
        <v>7.2160000000000002E-2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41.407407407407405</v>
      </c>
      <c r="BN276" s="64">
        <f t="shared" ref="BN276:BN283" si="47">IFERROR(Y276*I276/H276,"0")</f>
        <v>44.72</v>
      </c>
      <c r="BO276" s="64">
        <f t="shared" ref="BO276:BO283" si="48">IFERROR(1/J276*(X276/H276),"0")</f>
        <v>5.6116722783389444E-2</v>
      </c>
      <c r="BP276" s="64">
        <f t="shared" ref="BP276:BP283" si="49">IFERROR(1/J276*(Y276/H276),"0")</f>
        <v>6.0606060606060608E-2</v>
      </c>
    </row>
    <row r="277" spans="1:68" ht="27" hidden="1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0</v>
      </c>
      <c r="Y277" s="652">
        <f t="shared" si="45"/>
        <v>0</v>
      </c>
      <c r="Z277" s="36" t="str">
        <f>IFERROR(IF(Y277=0,"",ROUNDUP(Y277/H277,0)*0.00902),"")</f>
        <v/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0</v>
      </c>
      <c r="BN277" s="64">
        <f t="shared" si="47"/>
        <v>0</v>
      </c>
      <c r="BO277" s="64">
        <f t="shared" si="48"/>
        <v>0</v>
      </c>
      <c r="BP277" s="64">
        <f t="shared" si="49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150</v>
      </c>
      <c r="Y278" s="652">
        <f t="shared" si="45"/>
        <v>151.20000000000002</v>
      </c>
      <c r="Z278" s="36">
        <f>IFERROR(IF(Y278=0,"",ROUNDUP(Y278/H278,0)*0.00902),"")</f>
        <v>0.25256000000000001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155.27777777777777</v>
      </c>
      <c r="BN278" s="64">
        <f t="shared" si="47"/>
        <v>156.52000000000001</v>
      </c>
      <c r="BO278" s="64">
        <f t="shared" si="48"/>
        <v>0.21043771043771042</v>
      </c>
      <c r="BP278" s="64">
        <f t="shared" si="49"/>
        <v>0.21212121212121213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0</v>
      </c>
      <c r="Y279" s="652">
        <f t="shared" si="45"/>
        <v>0</v>
      </c>
      <c r="Z279" s="36" t="str">
        <f>IFERROR(IF(Y279=0,"",ROUNDUP(Y279/H279,0)*0.00902),"")</f>
        <v/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0</v>
      </c>
      <c r="BN279" s="64">
        <f t="shared" si="47"/>
        <v>0</v>
      </c>
      <c r="BO279" s="64">
        <f t="shared" si="48"/>
        <v>0</v>
      </c>
      <c r="BP279" s="64">
        <f t="shared" si="49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0</v>
      </c>
      <c r="Y280" s="652">
        <f t="shared" si="45"/>
        <v>0</v>
      </c>
      <c r="Z280" s="36" t="str">
        <f>IFERROR(IF(Y280=0,"",ROUNDUP(Y280/H280,0)*0.00502),"")</f>
        <v/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0</v>
      </c>
      <c r="BN280" s="64">
        <f t="shared" si="47"/>
        <v>0</v>
      </c>
      <c r="BO280" s="64">
        <f t="shared" si="48"/>
        <v>0</v>
      </c>
      <c r="BP280" s="64">
        <f t="shared" si="49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6</v>
      </c>
      <c r="Y281" s="652">
        <f t="shared" si="45"/>
        <v>7.2</v>
      </c>
      <c r="Z281" s="36">
        <f>IFERROR(IF(Y281=0,"",ROUNDUP(Y281/H281,0)*0.00502),"")</f>
        <v>2.0080000000000001E-2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6.3333333333333321</v>
      </c>
      <c r="BN281" s="64">
        <f t="shared" si="47"/>
        <v>7.6</v>
      </c>
      <c r="BO281" s="64">
        <f t="shared" si="48"/>
        <v>1.4245014245014245E-2</v>
      </c>
      <c r="BP281" s="64">
        <f t="shared" si="49"/>
        <v>1.7094017094017096E-2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9</v>
      </c>
      <c r="Y283" s="652">
        <f t="shared" si="45"/>
        <v>9</v>
      </c>
      <c r="Z283" s="36">
        <f>IFERROR(IF(Y283=0,"",ROUNDUP(Y283/H283,0)*0.00502),"")</f>
        <v>2.5100000000000001E-2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9.4999999999999982</v>
      </c>
      <c r="BN283" s="64">
        <f t="shared" si="47"/>
        <v>9.4999999999999982</v>
      </c>
      <c r="BO283" s="64">
        <f t="shared" si="48"/>
        <v>2.1367521367521368E-2</v>
      </c>
      <c r="BP283" s="64">
        <f t="shared" si="49"/>
        <v>2.1367521367521368E-2</v>
      </c>
    </row>
    <row r="284" spans="1:68" x14ac:dyDescent="0.2">
      <c r="A284" s="684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85"/>
      <c r="P284" s="668" t="s">
        <v>72</v>
      </c>
      <c r="Q284" s="669"/>
      <c r="R284" s="669"/>
      <c r="S284" s="669"/>
      <c r="T284" s="669"/>
      <c r="U284" s="669"/>
      <c r="V284" s="670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43.518518518518519</v>
      </c>
      <c r="Y284" s="653">
        <f>IFERROR(Y276/H276,"0")+IFERROR(Y277/H277,"0")+IFERROR(Y278/H278,"0")+IFERROR(Y279/H279,"0")+IFERROR(Y280/H280,"0")+IFERROR(Y281/H281,"0")+IFERROR(Y282/H282,"0")+IFERROR(Y283/H283,"0")</f>
        <v>45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0.36990000000000001</v>
      </c>
      <c r="AA284" s="654"/>
      <c r="AB284" s="654"/>
      <c r="AC284" s="654"/>
    </row>
    <row r="285" spans="1:68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85"/>
      <c r="P285" s="668" t="s">
        <v>72</v>
      </c>
      <c r="Q285" s="669"/>
      <c r="R285" s="669"/>
      <c r="S285" s="669"/>
      <c r="T285" s="669"/>
      <c r="U285" s="669"/>
      <c r="V285" s="670"/>
      <c r="W285" s="37" t="s">
        <v>67</v>
      </c>
      <c r="X285" s="653">
        <f>IFERROR(SUM(X276:X283),"0")</f>
        <v>205</v>
      </c>
      <c r="Y285" s="653">
        <f>IFERROR(SUM(Y276:Y283),"0")</f>
        <v>210.60000000000002</v>
      </c>
      <c r="Z285" s="37"/>
      <c r="AA285" s="654"/>
      <c r="AB285" s="654"/>
      <c r="AC285" s="654"/>
    </row>
    <row r="286" spans="1:68" ht="14.25" hidden="1" customHeight="1" x14ac:dyDescent="0.25">
      <c r="A286" s="671" t="s">
        <v>74</v>
      </c>
      <c r="B286" s="667"/>
      <c r="C286" s="667"/>
      <c r="D286" s="667"/>
      <c r="E286" s="667"/>
      <c r="F286" s="667"/>
      <c r="G286" s="667"/>
      <c r="H286" s="667"/>
      <c r="I286" s="667"/>
      <c r="J286" s="667"/>
      <c r="K286" s="667"/>
      <c r="L286" s="667"/>
      <c r="M286" s="667"/>
      <c r="N286" s="667"/>
      <c r="O286" s="667"/>
      <c r="P286" s="667"/>
      <c r="Q286" s="667"/>
      <c r="R286" s="667"/>
      <c r="S286" s="667"/>
      <c r="T286" s="667"/>
      <c r="U286" s="667"/>
      <c r="V286" s="667"/>
      <c r="W286" s="667"/>
      <c r="X286" s="667"/>
      <c r="Y286" s="667"/>
      <c r="Z286" s="667"/>
      <c r="AA286" s="646"/>
      <c r="AB286" s="646"/>
      <c r="AC286" s="646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70</v>
      </c>
      <c r="Y287" s="652">
        <f t="shared" ref="Y287:Y298" si="50">IFERROR(IF(X287="",0,CEILING((X287/$H287),1)*$H287),"")</f>
        <v>72.899999999999991</v>
      </c>
      <c r="Z287" s="36">
        <f>IFERROR(IF(Y287=0,"",ROUNDUP(Y287/H287,0)*0.01898),"")</f>
        <v>0.17082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74.269135802469137</v>
      </c>
      <c r="BN287" s="64">
        <f t="shared" ref="BN287:BN298" si="52">IFERROR(Y287*I287/H287,"0")</f>
        <v>77.345999999999989</v>
      </c>
      <c r="BO287" s="64">
        <f t="shared" ref="BO287:BO298" si="53">IFERROR(1/J287*(X287/H287),"0")</f>
        <v>0.13503086419753088</v>
      </c>
      <c r="BP287" s="64">
        <f t="shared" ref="BP287:BP298" si="54">IFERROR(1/J287*(Y287/H287),"0")</f>
        <v>0.140625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80</v>
      </c>
      <c r="Y290" s="652">
        <f t="shared" si="50"/>
        <v>81.599999999999994</v>
      </c>
      <c r="Z290" s="36">
        <f>IFERROR(IF(Y290=0,"",ROUNDUP(Y290/H290,0)*0.00651),"")</f>
        <v>0.22134000000000001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89</v>
      </c>
      <c r="BN290" s="64">
        <f t="shared" si="52"/>
        <v>90.78</v>
      </c>
      <c r="BO290" s="64">
        <f t="shared" si="53"/>
        <v>0.18315018315018317</v>
      </c>
      <c r="BP290" s="64">
        <f t="shared" si="54"/>
        <v>0.18681318681318682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600</v>
      </c>
      <c r="Y293" s="652">
        <f t="shared" si="50"/>
        <v>600</v>
      </c>
      <c r="Z293" s="36">
        <f>IFERROR(IF(Y293=0,"",ROUNDUP(Y293/H293,0)*0.00651),"")</f>
        <v>1.6274999999999999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663</v>
      </c>
      <c r="BN293" s="64">
        <f t="shared" si="52"/>
        <v>663</v>
      </c>
      <c r="BO293" s="64">
        <f t="shared" si="53"/>
        <v>1.3736263736263736</v>
      </c>
      <c r="BP293" s="64">
        <f t="shared" si="54"/>
        <v>1.3736263736263736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100</v>
      </c>
      <c r="Y295" s="652">
        <f t="shared" si="50"/>
        <v>100.8</v>
      </c>
      <c r="Z295" s="36">
        <f>IFERROR(IF(Y295=0,"",ROUNDUP(Y295/H295,0)*0.00651),"")</f>
        <v>0.27342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110.5</v>
      </c>
      <c r="BN295" s="64">
        <f t="shared" si="52"/>
        <v>111.384</v>
      </c>
      <c r="BO295" s="64">
        <f t="shared" si="53"/>
        <v>0.22893772893772898</v>
      </c>
      <c r="BP295" s="64">
        <f t="shared" si="54"/>
        <v>0.23076923076923078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48</v>
      </c>
      <c r="Y296" s="652">
        <f t="shared" si="50"/>
        <v>48</v>
      </c>
      <c r="Z296" s="36">
        <f>IFERROR(IF(Y296=0,"",ROUNDUP(Y296/H296,0)*0.00651),"")</f>
        <v>0.13020000000000001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53.040000000000006</v>
      </c>
      <c r="BN296" s="64">
        <f t="shared" si="52"/>
        <v>53.040000000000006</v>
      </c>
      <c r="BO296" s="64">
        <f t="shared" si="53"/>
        <v>0.1098901098901099</v>
      </c>
      <c r="BP296" s="64">
        <f t="shared" si="54"/>
        <v>0.1098901098901099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40</v>
      </c>
      <c r="Y297" s="652">
        <f t="shared" si="50"/>
        <v>40.799999999999997</v>
      </c>
      <c r="Z297" s="36">
        <f>IFERROR(IF(Y297=0,"",ROUNDUP(Y297/H297,0)*0.00651),"")</f>
        <v>0.11067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44.3</v>
      </c>
      <c r="BN297" s="64">
        <f t="shared" si="52"/>
        <v>45.185999999999993</v>
      </c>
      <c r="BO297" s="64">
        <f t="shared" si="53"/>
        <v>9.1575091575091583E-2</v>
      </c>
      <c r="BP297" s="64">
        <f t="shared" si="54"/>
        <v>9.3406593406593408E-2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85"/>
      <c r="P299" s="668" t="s">
        <v>72</v>
      </c>
      <c r="Q299" s="669"/>
      <c r="R299" s="669"/>
      <c r="S299" s="669"/>
      <c r="T299" s="669"/>
      <c r="U299" s="669"/>
      <c r="V299" s="670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370.30864197530866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372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2.5339499999999995</v>
      </c>
      <c r="AA299" s="654"/>
      <c r="AB299" s="654"/>
      <c r="AC299" s="654"/>
    </row>
    <row r="300" spans="1:68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85"/>
      <c r="P300" s="668" t="s">
        <v>72</v>
      </c>
      <c r="Q300" s="669"/>
      <c r="R300" s="669"/>
      <c r="S300" s="669"/>
      <c r="T300" s="669"/>
      <c r="U300" s="669"/>
      <c r="V300" s="670"/>
      <c r="W300" s="37" t="s">
        <v>67</v>
      </c>
      <c r="X300" s="653">
        <f>IFERROR(SUM(X287:X298),"0")</f>
        <v>938</v>
      </c>
      <c r="Y300" s="653">
        <f>IFERROR(SUM(Y287:Y298),"0")</f>
        <v>944.09999999999991</v>
      </c>
      <c r="Z300" s="37"/>
      <c r="AA300" s="654"/>
      <c r="AB300" s="654"/>
      <c r="AC300" s="654"/>
    </row>
    <row r="301" spans="1:68" ht="14.25" hidden="1" customHeight="1" x14ac:dyDescent="0.25">
      <c r="A301" s="671" t="s">
        <v>162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46"/>
      <c r="AB301" s="646"/>
      <c r="AC301" s="646"/>
    </row>
    <row r="302" spans="1:68" ht="27" hidden="1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idden="1" x14ac:dyDescent="0.2">
      <c r="A304" s="684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85"/>
      <c r="P304" s="668" t="s">
        <v>72</v>
      </c>
      <c r="Q304" s="669"/>
      <c r="R304" s="669"/>
      <c r="S304" s="669"/>
      <c r="T304" s="669"/>
      <c r="U304" s="669"/>
      <c r="V304" s="670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85"/>
      <c r="P305" s="668" t="s">
        <v>72</v>
      </c>
      <c r="Q305" s="669"/>
      <c r="R305" s="669"/>
      <c r="S305" s="669"/>
      <c r="T305" s="669"/>
      <c r="U305" s="669"/>
      <c r="V305" s="670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hidden="1" customHeight="1" x14ac:dyDescent="0.25">
      <c r="A306" s="666" t="s">
        <v>516</v>
      </c>
      <c r="B306" s="667"/>
      <c r="C306" s="667"/>
      <c r="D306" s="667"/>
      <c r="E306" s="667"/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  <c r="Z306" s="667"/>
      <c r="AA306" s="645"/>
      <c r="AB306" s="645"/>
      <c r="AC306" s="645"/>
    </row>
    <row r="307" spans="1:68" ht="14.25" hidden="1" customHeight="1" x14ac:dyDescent="0.25">
      <c r="A307" s="671" t="s">
        <v>111</v>
      </c>
      <c r="B307" s="667"/>
      <c r="C307" s="667"/>
      <c r="D307" s="667"/>
      <c r="E307" s="667"/>
      <c r="F307" s="667"/>
      <c r="G307" s="667"/>
      <c r="H307" s="667"/>
      <c r="I307" s="667"/>
      <c r="J307" s="667"/>
      <c r="K307" s="667"/>
      <c r="L307" s="667"/>
      <c r="M307" s="667"/>
      <c r="N307" s="667"/>
      <c r="O307" s="667"/>
      <c r="P307" s="667"/>
      <c r="Q307" s="667"/>
      <c r="R307" s="667"/>
      <c r="S307" s="667"/>
      <c r="T307" s="667"/>
      <c r="U307" s="667"/>
      <c r="V307" s="667"/>
      <c r="W307" s="667"/>
      <c r="X307" s="667"/>
      <c r="Y307" s="667"/>
      <c r="Z307" s="667"/>
      <c r="AA307" s="646"/>
      <c r="AB307" s="646"/>
      <c r="AC307" s="646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84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85"/>
      <c r="P315" s="668" t="s">
        <v>72</v>
      </c>
      <c r="Q315" s="669"/>
      <c r="R315" s="669"/>
      <c r="S315" s="669"/>
      <c r="T315" s="669"/>
      <c r="U315" s="669"/>
      <c r="V315" s="670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85"/>
      <c r="P316" s="668" t="s">
        <v>72</v>
      </c>
      <c r="Q316" s="669"/>
      <c r="R316" s="669"/>
      <c r="S316" s="669"/>
      <c r="T316" s="669"/>
      <c r="U316" s="669"/>
      <c r="V316" s="670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71" t="s">
        <v>144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46"/>
      <c r="AB317" s="646"/>
      <c r="AC317" s="646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84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85"/>
      <c r="P319" s="668" t="s">
        <v>72</v>
      </c>
      <c r="Q319" s="669"/>
      <c r="R319" s="669"/>
      <c r="S319" s="669"/>
      <c r="T319" s="669"/>
      <c r="U319" s="669"/>
      <c r="V319" s="670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85"/>
      <c r="P320" s="668" t="s">
        <v>72</v>
      </c>
      <c r="Q320" s="669"/>
      <c r="R320" s="669"/>
      <c r="S320" s="669"/>
      <c r="T320" s="669"/>
      <c r="U320" s="669"/>
      <c r="V320" s="670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71" t="s">
        <v>538</v>
      </c>
      <c r="B321" s="667"/>
      <c r="C321" s="667"/>
      <c r="D321" s="667"/>
      <c r="E321" s="667"/>
      <c r="F321" s="667"/>
      <c r="G321" s="667"/>
      <c r="H321" s="667"/>
      <c r="I321" s="667"/>
      <c r="J321" s="667"/>
      <c r="K321" s="667"/>
      <c r="L321" s="667"/>
      <c r="M321" s="667"/>
      <c r="N321" s="667"/>
      <c r="O321" s="667"/>
      <c r="P321" s="667"/>
      <c r="Q321" s="667"/>
      <c r="R321" s="667"/>
      <c r="S321" s="667"/>
      <c r="T321" s="667"/>
      <c r="U321" s="667"/>
      <c r="V321" s="667"/>
      <c r="W321" s="667"/>
      <c r="X321" s="667"/>
      <c r="Y321" s="667"/>
      <c r="Z321" s="667"/>
      <c r="AA321" s="646"/>
      <c r="AB321" s="646"/>
      <c r="AC321" s="646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4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4.3888888888888893</v>
      </c>
      <c r="BN322" s="64">
        <f>IFERROR(Y322*I322/H322,"0")</f>
        <v>5.9250000000000007</v>
      </c>
      <c r="BO322" s="64">
        <f>IFERROR(1/J322*(X322/H322),"0")</f>
        <v>1.0288065843621399E-2</v>
      </c>
      <c r="BP322" s="64">
        <f>IFERROR(1/J322*(Y322/H322),"0")</f>
        <v>1.3888888888888888E-2</v>
      </c>
    </row>
    <row r="323" spans="1:68" x14ac:dyDescent="0.2">
      <c r="A323" s="684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85"/>
      <c r="P323" s="668" t="s">
        <v>72</v>
      </c>
      <c r="Q323" s="669"/>
      <c r="R323" s="669"/>
      <c r="S323" s="669"/>
      <c r="T323" s="669"/>
      <c r="U323" s="669"/>
      <c r="V323" s="670"/>
      <c r="W323" s="37" t="s">
        <v>73</v>
      </c>
      <c r="X323" s="653">
        <f>IFERROR(X322/H322,"0")</f>
        <v>2.2222222222222223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85"/>
      <c r="P324" s="668" t="s">
        <v>72</v>
      </c>
      <c r="Q324" s="669"/>
      <c r="R324" s="669"/>
      <c r="S324" s="669"/>
      <c r="T324" s="669"/>
      <c r="U324" s="669"/>
      <c r="V324" s="670"/>
      <c r="W324" s="37" t="s">
        <v>67</v>
      </c>
      <c r="X324" s="653">
        <f>IFERROR(SUM(X322:X322),"0")</f>
        <v>4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hidden="1" customHeight="1" x14ac:dyDescent="0.25">
      <c r="A325" s="671" t="s">
        <v>355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46"/>
      <c r="AB325" s="646"/>
      <c r="AC325" s="646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84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85"/>
      <c r="P329" s="668" t="s">
        <v>72</v>
      </c>
      <c r="Q329" s="669"/>
      <c r="R329" s="669"/>
      <c r="S329" s="669"/>
      <c r="T329" s="669"/>
      <c r="U329" s="669"/>
      <c r="V329" s="670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85"/>
      <c r="P330" s="668" t="s">
        <v>72</v>
      </c>
      <c r="Q330" s="669"/>
      <c r="R330" s="669"/>
      <c r="S330" s="669"/>
      <c r="T330" s="669"/>
      <c r="U330" s="669"/>
      <c r="V330" s="670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6" t="s">
        <v>549</v>
      </c>
      <c r="B331" s="667"/>
      <c r="C331" s="667"/>
      <c r="D331" s="667"/>
      <c r="E331" s="667"/>
      <c r="F331" s="667"/>
      <c r="G331" s="667"/>
      <c r="H331" s="667"/>
      <c r="I331" s="667"/>
      <c r="J331" s="667"/>
      <c r="K331" s="667"/>
      <c r="L331" s="667"/>
      <c r="M331" s="667"/>
      <c r="N331" s="667"/>
      <c r="O331" s="667"/>
      <c r="P331" s="667"/>
      <c r="Q331" s="667"/>
      <c r="R331" s="667"/>
      <c r="S331" s="667"/>
      <c r="T331" s="667"/>
      <c r="U331" s="667"/>
      <c r="V331" s="667"/>
      <c r="W331" s="667"/>
      <c r="X331" s="667"/>
      <c r="Y331" s="667"/>
      <c r="Z331" s="667"/>
      <c r="AA331" s="645"/>
      <c r="AB331" s="645"/>
      <c r="AC331" s="645"/>
    </row>
    <row r="332" spans="1:68" ht="14.25" hidden="1" customHeight="1" x14ac:dyDescent="0.25">
      <c r="A332" s="671" t="s">
        <v>111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46"/>
      <c r="AB332" s="646"/>
      <c r="AC332" s="646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3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84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85"/>
      <c r="P338" s="668" t="s">
        <v>72</v>
      </c>
      <c r="Q338" s="669"/>
      <c r="R338" s="669"/>
      <c r="S338" s="669"/>
      <c r="T338" s="669"/>
      <c r="U338" s="669"/>
      <c r="V338" s="670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85"/>
      <c r="P339" s="668" t="s">
        <v>72</v>
      </c>
      <c r="Q339" s="669"/>
      <c r="R339" s="669"/>
      <c r="S339" s="669"/>
      <c r="T339" s="669"/>
      <c r="U339" s="669"/>
      <c r="V339" s="670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6" t="s">
        <v>565</v>
      </c>
      <c r="B340" s="667"/>
      <c r="C340" s="667"/>
      <c r="D340" s="667"/>
      <c r="E340" s="667"/>
      <c r="F340" s="667"/>
      <c r="G340" s="667"/>
      <c r="H340" s="667"/>
      <c r="I340" s="667"/>
      <c r="J340" s="667"/>
      <c r="K340" s="667"/>
      <c r="L340" s="667"/>
      <c r="M340" s="667"/>
      <c r="N340" s="667"/>
      <c r="O340" s="667"/>
      <c r="P340" s="667"/>
      <c r="Q340" s="667"/>
      <c r="R340" s="667"/>
      <c r="S340" s="667"/>
      <c r="T340" s="667"/>
      <c r="U340" s="667"/>
      <c r="V340" s="667"/>
      <c r="W340" s="667"/>
      <c r="X340" s="667"/>
      <c r="Y340" s="667"/>
      <c r="Z340" s="667"/>
      <c r="AA340" s="645"/>
      <c r="AB340" s="645"/>
      <c r="AC340" s="645"/>
    </row>
    <row r="341" spans="1:68" ht="14.25" hidden="1" customHeight="1" x14ac:dyDescent="0.25">
      <c r="A341" s="671" t="s">
        <v>74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46"/>
      <c r="AB341" s="646"/>
      <c r="AC341" s="646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32</v>
      </c>
      <c r="Y343" s="652">
        <f>IFERROR(IF(X343="",0,CEILING((X343/$H343),1)*$H343),"")</f>
        <v>33.6</v>
      </c>
      <c r="Z343" s="36">
        <f>IFERROR(IF(Y343=0,"",ROUNDUP(Y343/H343,0)*0.00651),"")</f>
        <v>9.1139999999999999E-2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35.360000000000007</v>
      </c>
      <c r="BN343" s="64">
        <f>IFERROR(Y343*I343/H343,"0")</f>
        <v>37.128000000000007</v>
      </c>
      <c r="BO343" s="64">
        <f>IFERROR(1/J343*(X343/H343),"0")</f>
        <v>7.3260073260073263E-2</v>
      </c>
      <c r="BP343" s="64">
        <f>IFERROR(1/J343*(Y343/H343),"0")</f>
        <v>7.6923076923076941E-2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40</v>
      </c>
      <c r="Y344" s="652">
        <f>IFERROR(IF(X344="",0,CEILING((X344/$H344),1)*$H344),"")</f>
        <v>40.799999999999997</v>
      </c>
      <c r="Z344" s="36">
        <f>IFERROR(IF(Y344=0,"",ROUNDUP(Y344/H344,0)*0.00651),"")</f>
        <v>0.11067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43</v>
      </c>
      <c r="BN344" s="64">
        <f>IFERROR(Y344*I344/H344,"0")</f>
        <v>43.86</v>
      </c>
      <c r="BO344" s="64">
        <f>IFERROR(1/J344*(X344/H344),"0")</f>
        <v>9.1575091575091583E-2</v>
      </c>
      <c r="BP344" s="64">
        <f>IFERROR(1/J344*(Y344/H344),"0")</f>
        <v>9.3406593406593408E-2</v>
      </c>
    </row>
    <row r="345" spans="1:68" x14ac:dyDescent="0.2">
      <c r="A345" s="684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85"/>
      <c r="P345" s="668" t="s">
        <v>72</v>
      </c>
      <c r="Q345" s="669"/>
      <c r="R345" s="669"/>
      <c r="S345" s="669"/>
      <c r="T345" s="669"/>
      <c r="U345" s="669"/>
      <c r="V345" s="670"/>
      <c r="W345" s="37" t="s">
        <v>73</v>
      </c>
      <c r="X345" s="653">
        <f>IFERROR(X342/H342,"0")+IFERROR(X343/H343,"0")+IFERROR(X344/H344,"0")</f>
        <v>30</v>
      </c>
      <c r="Y345" s="653">
        <f>IFERROR(Y342/H342,"0")+IFERROR(Y343/H343,"0")+IFERROR(Y344/H344,"0")</f>
        <v>31</v>
      </c>
      <c r="Z345" s="653">
        <f>IFERROR(IF(Z342="",0,Z342),"0")+IFERROR(IF(Z343="",0,Z343),"0")+IFERROR(IF(Z344="",0,Z344),"0")</f>
        <v>0.20180999999999999</v>
      </c>
      <c r="AA345" s="654"/>
      <c r="AB345" s="654"/>
      <c r="AC345" s="654"/>
    </row>
    <row r="346" spans="1:68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85"/>
      <c r="P346" s="668" t="s">
        <v>72</v>
      </c>
      <c r="Q346" s="669"/>
      <c r="R346" s="669"/>
      <c r="S346" s="669"/>
      <c r="T346" s="669"/>
      <c r="U346" s="669"/>
      <c r="V346" s="670"/>
      <c r="W346" s="37" t="s">
        <v>67</v>
      </c>
      <c r="X346" s="653">
        <f>IFERROR(SUM(X342:X344),"0")</f>
        <v>72</v>
      </c>
      <c r="Y346" s="653">
        <f>IFERROR(SUM(Y342:Y344),"0")</f>
        <v>74.400000000000006</v>
      </c>
      <c r="Z346" s="37"/>
      <c r="AA346" s="654"/>
      <c r="AB346" s="654"/>
      <c r="AC346" s="654"/>
    </row>
    <row r="347" spans="1:68" ht="16.5" hidden="1" customHeight="1" x14ac:dyDescent="0.25">
      <c r="A347" s="666" t="s">
        <v>574</v>
      </c>
      <c r="B347" s="667"/>
      <c r="C347" s="667"/>
      <c r="D347" s="667"/>
      <c r="E347" s="667"/>
      <c r="F347" s="667"/>
      <c r="G347" s="667"/>
      <c r="H347" s="667"/>
      <c r="I347" s="667"/>
      <c r="J347" s="667"/>
      <c r="K347" s="667"/>
      <c r="L347" s="667"/>
      <c r="M347" s="667"/>
      <c r="N347" s="667"/>
      <c r="O347" s="667"/>
      <c r="P347" s="667"/>
      <c r="Q347" s="667"/>
      <c r="R347" s="667"/>
      <c r="S347" s="667"/>
      <c r="T347" s="667"/>
      <c r="U347" s="667"/>
      <c r="V347" s="667"/>
      <c r="W347" s="667"/>
      <c r="X347" s="667"/>
      <c r="Y347" s="667"/>
      <c r="Z347" s="667"/>
      <c r="AA347" s="645"/>
      <c r="AB347" s="645"/>
      <c r="AC347" s="645"/>
    </row>
    <row r="348" spans="1:68" ht="14.25" hidden="1" customHeight="1" x14ac:dyDescent="0.25">
      <c r="A348" s="671" t="s">
        <v>62</v>
      </c>
      <c r="B348" s="667"/>
      <c r="C348" s="667"/>
      <c r="D348" s="667"/>
      <c r="E348" s="667"/>
      <c r="F348" s="667"/>
      <c r="G348" s="667"/>
      <c r="H348" s="667"/>
      <c r="I348" s="667"/>
      <c r="J348" s="667"/>
      <c r="K348" s="667"/>
      <c r="L348" s="667"/>
      <c r="M348" s="667"/>
      <c r="N348" s="667"/>
      <c r="O348" s="667"/>
      <c r="P348" s="667"/>
      <c r="Q348" s="667"/>
      <c r="R348" s="667"/>
      <c r="S348" s="667"/>
      <c r="T348" s="667"/>
      <c r="U348" s="667"/>
      <c r="V348" s="667"/>
      <c r="W348" s="667"/>
      <c r="X348" s="667"/>
      <c r="Y348" s="667"/>
      <c r="Z348" s="667"/>
      <c r="AA348" s="646"/>
      <c r="AB348" s="646"/>
      <c r="AC348" s="646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4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85"/>
      <c r="P354" s="668" t="s">
        <v>72</v>
      </c>
      <c r="Q354" s="669"/>
      <c r="R354" s="669"/>
      <c r="S354" s="669"/>
      <c r="T354" s="669"/>
      <c r="U354" s="669"/>
      <c r="V354" s="670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85"/>
      <c r="P355" s="668" t="s">
        <v>72</v>
      </c>
      <c r="Q355" s="669"/>
      <c r="R355" s="669"/>
      <c r="S355" s="669"/>
      <c r="T355" s="669"/>
      <c r="U355" s="669"/>
      <c r="V355" s="670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71" t="s">
        <v>74</v>
      </c>
      <c r="B356" s="667"/>
      <c r="C356" s="667"/>
      <c r="D356" s="667"/>
      <c r="E356" s="667"/>
      <c r="F356" s="667"/>
      <c r="G356" s="667"/>
      <c r="H356" s="667"/>
      <c r="I356" s="667"/>
      <c r="J356" s="667"/>
      <c r="K356" s="667"/>
      <c r="L356" s="667"/>
      <c r="M356" s="667"/>
      <c r="N356" s="667"/>
      <c r="O356" s="667"/>
      <c r="P356" s="667"/>
      <c r="Q356" s="667"/>
      <c r="R356" s="667"/>
      <c r="S356" s="667"/>
      <c r="T356" s="667"/>
      <c r="U356" s="667"/>
      <c r="V356" s="667"/>
      <c r="W356" s="667"/>
      <c r="X356" s="667"/>
      <c r="Y356" s="667"/>
      <c r="Z356" s="667"/>
      <c r="AA356" s="646"/>
      <c r="AB356" s="646"/>
      <c r="AC356" s="646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4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85"/>
      <c r="P359" s="668" t="s">
        <v>72</v>
      </c>
      <c r="Q359" s="669"/>
      <c r="R359" s="669"/>
      <c r="S359" s="669"/>
      <c r="T359" s="669"/>
      <c r="U359" s="669"/>
      <c r="V359" s="670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85"/>
      <c r="P360" s="668" t="s">
        <v>72</v>
      </c>
      <c r="Q360" s="669"/>
      <c r="R360" s="669"/>
      <c r="S360" s="669"/>
      <c r="T360" s="669"/>
      <c r="U360" s="669"/>
      <c r="V360" s="670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6" t="s">
        <v>595</v>
      </c>
      <c r="B361" s="667"/>
      <c r="C361" s="667"/>
      <c r="D361" s="667"/>
      <c r="E361" s="667"/>
      <c r="F361" s="667"/>
      <c r="G361" s="667"/>
      <c r="H361" s="667"/>
      <c r="I361" s="667"/>
      <c r="J361" s="667"/>
      <c r="K361" s="667"/>
      <c r="L361" s="667"/>
      <c r="M361" s="667"/>
      <c r="N361" s="667"/>
      <c r="O361" s="667"/>
      <c r="P361" s="667"/>
      <c r="Q361" s="667"/>
      <c r="R361" s="667"/>
      <c r="S361" s="667"/>
      <c r="T361" s="667"/>
      <c r="U361" s="667"/>
      <c r="V361" s="667"/>
      <c r="W361" s="667"/>
      <c r="X361" s="667"/>
      <c r="Y361" s="667"/>
      <c r="Z361" s="667"/>
      <c r="AA361" s="645"/>
      <c r="AB361" s="645"/>
      <c r="AC361" s="645"/>
    </row>
    <row r="362" spans="1:68" ht="14.25" hidden="1" customHeight="1" x14ac:dyDescent="0.25">
      <c r="A362" s="671" t="s">
        <v>111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46"/>
      <c r="AB362" s="646"/>
      <c r="AC362" s="646"/>
    </row>
    <row r="363" spans="1:68" ht="27" hidden="1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0</v>
      </c>
      <c r="Y363" s="65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9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84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85"/>
      <c r="P366" s="668" t="s">
        <v>72</v>
      </c>
      <c r="Q366" s="669"/>
      <c r="R366" s="669"/>
      <c r="S366" s="669"/>
      <c r="T366" s="669"/>
      <c r="U366" s="669"/>
      <c r="V366" s="670"/>
      <c r="W366" s="37" t="s">
        <v>73</v>
      </c>
      <c r="X366" s="653">
        <f>IFERROR(X363/H363,"0")+IFERROR(X364/H364,"0")+IFERROR(X365/H365,"0")</f>
        <v>0</v>
      </c>
      <c r="Y366" s="653">
        <f>IFERROR(Y363/H363,"0")+IFERROR(Y364/H364,"0")+IFERROR(Y365/H365,"0")</f>
        <v>0</v>
      </c>
      <c r="Z366" s="653">
        <f>IFERROR(IF(Z363="",0,Z363),"0")+IFERROR(IF(Z364="",0,Z364),"0")+IFERROR(IF(Z365="",0,Z365),"0")</f>
        <v>0</v>
      </c>
      <c r="AA366" s="654"/>
      <c r="AB366" s="654"/>
      <c r="AC366" s="654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85"/>
      <c r="P367" s="668" t="s">
        <v>72</v>
      </c>
      <c r="Q367" s="669"/>
      <c r="R367" s="669"/>
      <c r="S367" s="669"/>
      <c r="T367" s="669"/>
      <c r="U367" s="669"/>
      <c r="V367" s="670"/>
      <c r="W367" s="37" t="s">
        <v>67</v>
      </c>
      <c r="X367" s="653">
        <f>IFERROR(SUM(X363:X365),"0")</f>
        <v>0</v>
      </c>
      <c r="Y367" s="653">
        <f>IFERROR(SUM(Y363:Y365),"0")</f>
        <v>0</v>
      </c>
      <c r="Z367" s="37"/>
      <c r="AA367" s="654"/>
      <c r="AB367" s="654"/>
      <c r="AC367" s="654"/>
    </row>
    <row r="368" spans="1:68" ht="16.5" hidden="1" customHeight="1" x14ac:dyDescent="0.25">
      <c r="A368" s="666" t="s">
        <v>604</v>
      </c>
      <c r="B368" s="667"/>
      <c r="C368" s="667"/>
      <c r="D368" s="667"/>
      <c r="E368" s="667"/>
      <c r="F368" s="667"/>
      <c r="G368" s="667"/>
      <c r="H368" s="667"/>
      <c r="I368" s="667"/>
      <c r="J368" s="667"/>
      <c r="K368" s="667"/>
      <c r="L368" s="667"/>
      <c r="M368" s="667"/>
      <c r="N368" s="667"/>
      <c r="O368" s="667"/>
      <c r="P368" s="667"/>
      <c r="Q368" s="667"/>
      <c r="R368" s="667"/>
      <c r="S368" s="667"/>
      <c r="T368" s="667"/>
      <c r="U368" s="667"/>
      <c r="V368" s="667"/>
      <c r="W368" s="667"/>
      <c r="X368" s="667"/>
      <c r="Y368" s="667"/>
      <c r="Z368" s="667"/>
      <c r="AA368" s="645"/>
      <c r="AB368" s="645"/>
      <c r="AC368" s="645"/>
    </row>
    <row r="369" spans="1:68" ht="14.25" hidden="1" customHeight="1" x14ac:dyDescent="0.25">
      <c r="A369" s="671" t="s">
        <v>111</v>
      </c>
      <c r="B369" s="667"/>
      <c r="C369" s="667"/>
      <c r="D369" s="667"/>
      <c r="E369" s="667"/>
      <c r="F369" s="667"/>
      <c r="G369" s="667"/>
      <c r="H369" s="667"/>
      <c r="I369" s="667"/>
      <c r="J369" s="667"/>
      <c r="K369" s="667"/>
      <c r="L369" s="667"/>
      <c r="M369" s="667"/>
      <c r="N369" s="667"/>
      <c r="O369" s="667"/>
      <c r="P369" s="667"/>
      <c r="Q369" s="667"/>
      <c r="R369" s="667"/>
      <c r="S369" s="667"/>
      <c r="T369" s="667"/>
      <c r="U369" s="667"/>
      <c r="V369" s="667"/>
      <c r="W369" s="667"/>
      <c r="X369" s="667"/>
      <c r="Y369" s="667"/>
      <c r="Z369" s="667"/>
      <c r="AA369" s="646"/>
      <c r="AB369" s="646"/>
      <c r="AC369" s="646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100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4</v>
      </c>
      <c r="Y371" s="652">
        <f>IFERROR(IF(X371="",0,CEILING((X371/$H371),1)*$H371),"")</f>
        <v>10.8</v>
      </c>
      <c r="Z371" s="36">
        <f>IFERROR(IF(Y371=0,"",ROUNDUP(Y371/H371,0)*0.01898),"")</f>
        <v>1.898E-2</v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4.1518518518518519</v>
      </c>
      <c r="BN371" s="64">
        <f>IFERROR(Y371*I371/H371,"0")</f>
        <v>11.21</v>
      </c>
      <c r="BO371" s="64">
        <f>IFERROR(1/J371*(X371/H371),"0")</f>
        <v>5.7870370370370367E-3</v>
      </c>
      <c r="BP371" s="64">
        <f>IFERROR(1/J371*(Y371/H371),"0")</f>
        <v>1.5625E-2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85"/>
      <c r="P375" s="668" t="s">
        <v>72</v>
      </c>
      <c r="Q375" s="669"/>
      <c r="R375" s="669"/>
      <c r="S375" s="669"/>
      <c r="T375" s="669"/>
      <c r="U375" s="669"/>
      <c r="V375" s="670"/>
      <c r="W375" s="37" t="s">
        <v>73</v>
      </c>
      <c r="X375" s="653">
        <f>IFERROR(X370/H370,"0")+IFERROR(X371/H371,"0")+IFERROR(X372/H372,"0")+IFERROR(X373/H373,"0")+IFERROR(X374/H374,"0")</f>
        <v>0.37037037037037035</v>
      </c>
      <c r="Y375" s="653">
        <f>IFERROR(Y370/H370,"0")+IFERROR(Y371/H371,"0")+IFERROR(Y372/H372,"0")+IFERROR(Y373/H373,"0")+IFERROR(Y374/H374,"0")</f>
        <v>1</v>
      </c>
      <c r="Z375" s="653">
        <f>IFERROR(IF(Z370="",0,Z370),"0")+IFERROR(IF(Z371="",0,Z371),"0")+IFERROR(IF(Z372="",0,Z372),"0")+IFERROR(IF(Z373="",0,Z373),"0")+IFERROR(IF(Z374="",0,Z374),"0")</f>
        <v>1.898E-2</v>
      </c>
      <c r="AA375" s="654"/>
      <c r="AB375" s="654"/>
      <c r="AC375" s="654"/>
    </row>
    <row r="376" spans="1:68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85"/>
      <c r="P376" s="668" t="s">
        <v>72</v>
      </c>
      <c r="Q376" s="669"/>
      <c r="R376" s="669"/>
      <c r="S376" s="669"/>
      <c r="T376" s="669"/>
      <c r="U376" s="669"/>
      <c r="V376" s="670"/>
      <c r="W376" s="37" t="s">
        <v>67</v>
      </c>
      <c r="X376" s="653">
        <f>IFERROR(SUM(X370:X374),"0")</f>
        <v>4</v>
      </c>
      <c r="Y376" s="653">
        <f>IFERROR(SUM(Y370:Y374),"0")</f>
        <v>10.8</v>
      </c>
      <c r="Z376" s="37"/>
      <c r="AA376" s="654"/>
      <c r="AB376" s="654"/>
      <c r="AC376" s="654"/>
    </row>
    <row r="377" spans="1:68" ht="14.25" hidden="1" customHeight="1" x14ac:dyDescent="0.25">
      <c r="A377" s="671" t="s">
        <v>62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46"/>
      <c r="AB377" s="646"/>
      <c r="AC377" s="646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6</v>
      </c>
      <c r="Y384" s="652">
        <f t="shared" si="60"/>
        <v>7.2</v>
      </c>
      <c r="Z384" s="36">
        <f>IFERROR(IF(Y384=0,"",ROUNDUP(Y384/H384,0)*0.00651),"")</f>
        <v>2.6040000000000001E-2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6.76</v>
      </c>
      <c r="BN384" s="64">
        <f t="shared" si="62"/>
        <v>8.1120000000000001</v>
      </c>
      <c r="BO384" s="64">
        <f t="shared" si="63"/>
        <v>1.8315018315018316E-2</v>
      </c>
      <c r="BP384" s="64">
        <f t="shared" si="64"/>
        <v>2.197802197802198E-2</v>
      </c>
    </row>
    <row r="385" spans="1:68" x14ac:dyDescent="0.2">
      <c r="A385" s="684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85"/>
      <c r="P385" s="668" t="s">
        <v>72</v>
      </c>
      <c r="Q385" s="669"/>
      <c r="R385" s="669"/>
      <c r="S385" s="669"/>
      <c r="T385" s="669"/>
      <c r="U385" s="669"/>
      <c r="V385" s="670"/>
      <c r="W385" s="37" t="s">
        <v>73</v>
      </c>
      <c r="X385" s="653">
        <f>IFERROR(X378/H378,"0")+IFERROR(X379/H379,"0")+IFERROR(X380/H380,"0")+IFERROR(X381/H381,"0")+IFERROR(X382/H382,"0")+IFERROR(X383/H383,"0")+IFERROR(X384/H384,"0")</f>
        <v>3.333333333333333</v>
      </c>
      <c r="Y385" s="653">
        <f>IFERROR(Y378/H378,"0")+IFERROR(Y379/H379,"0")+IFERROR(Y380/H380,"0")+IFERROR(Y381/H381,"0")+IFERROR(Y382/H382,"0")+IFERROR(Y383/H383,"0")+IFERROR(Y384/H384,"0")</f>
        <v>4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2.6040000000000001E-2</v>
      </c>
      <c r="AA385" s="654"/>
      <c r="AB385" s="654"/>
      <c r="AC385" s="654"/>
    </row>
    <row r="386" spans="1:68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85"/>
      <c r="P386" s="668" t="s">
        <v>72</v>
      </c>
      <c r="Q386" s="669"/>
      <c r="R386" s="669"/>
      <c r="S386" s="669"/>
      <c r="T386" s="669"/>
      <c r="U386" s="669"/>
      <c r="V386" s="670"/>
      <c r="W386" s="37" t="s">
        <v>67</v>
      </c>
      <c r="X386" s="653">
        <f>IFERROR(SUM(X378:X384),"0")</f>
        <v>6</v>
      </c>
      <c r="Y386" s="653">
        <f>IFERROR(SUM(Y378:Y384),"0")</f>
        <v>7.2</v>
      </c>
      <c r="Z386" s="37"/>
      <c r="AA386" s="654"/>
      <c r="AB386" s="654"/>
      <c r="AC386" s="654"/>
    </row>
    <row r="387" spans="1:68" ht="14.25" hidden="1" customHeight="1" x14ac:dyDescent="0.25">
      <c r="A387" s="671" t="s">
        <v>74</v>
      </c>
      <c r="B387" s="667"/>
      <c r="C387" s="667"/>
      <c r="D387" s="667"/>
      <c r="E387" s="667"/>
      <c r="F387" s="667"/>
      <c r="G387" s="667"/>
      <c r="H387" s="667"/>
      <c r="I387" s="667"/>
      <c r="J387" s="667"/>
      <c r="K387" s="667"/>
      <c r="L387" s="667"/>
      <c r="M387" s="667"/>
      <c r="N387" s="667"/>
      <c r="O387" s="667"/>
      <c r="P387" s="667"/>
      <c r="Q387" s="667"/>
      <c r="R387" s="667"/>
      <c r="S387" s="667"/>
      <c r="T387" s="667"/>
      <c r="U387" s="667"/>
      <c r="V387" s="667"/>
      <c r="W387" s="667"/>
      <c r="X387" s="667"/>
      <c r="Y387" s="667"/>
      <c r="Z387" s="667"/>
      <c r="AA387" s="646"/>
      <c r="AB387" s="646"/>
      <c r="AC387" s="646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84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85"/>
      <c r="P392" s="668" t="s">
        <v>72</v>
      </c>
      <c r="Q392" s="669"/>
      <c r="R392" s="669"/>
      <c r="S392" s="669"/>
      <c r="T392" s="669"/>
      <c r="U392" s="669"/>
      <c r="V392" s="670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85"/>
      <c r="P393" s="668" t="s">
        <v>72</v>
      </c>
      <c r="Q393" s="669"/>
      <c r="R393" s="669"/>
      <c r="S393" s="669"/>
      <c r="T393" s="669"/>
      <c r="U393" s="669"/>
      <c r="V393" s="670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71" t="s">
        <v>162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46"/>
      <c r="AB394" s="646"/>
      <c r="AC394" s="646"/>
    </row>
    <row r="395" spans="1:68" ht="27" hidden="1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0</v>
      </c>
      <c r="Y396" s="652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4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85"/>
      <c r="P398" s="668" t="s">
        <v>72</v>
      </c>
      <c r="Q398" s="669"/>
      <c r="R398" s="669"/>
      <c r="S398" s="669"/>
      <c r="T398" s="669"/>
      <c r="U398" s="669"/>
      <c r="V398" s="670"/>
      <c r="W398" s="37" t="s">
        <v>73</v>
      </c>
      <c r="X398" s="653">
        <f>IFERROR(X395/H395,"0")+IFERROR(X396/H396,"0")+IFERROR(X397/H397,"0")</f>
        <v>0</v>
      </c>
      <c r="Y398" s="653">
        <f>IFERROR(Y395/H395,"0")+IFERROR(Y396/H396,"0")+IFERROR(Y397/H397,"0")</f>
        <v>0</v>
      </c>
      <c r="Z398" s="653">
        <f>IFERROR(IF(Z395="",0,Z395),"0")+IFERROR(IF(Z396="",0,Z396),"0")+IFERROR(IF(Z397="",0,Z397),"0")</f>
        <v>0</v>
      </c>
      <c r="AA398" s="654"/>
      <c r="AB398" s="654"/>
      <c r="AC398" s="654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85"/>
      <c r="P399" s="668" t="s">
        <v>72</v>
      </c>
      <c r="Q399" s="669"/>
      <c r="R399" s="669"/>
      <c r="S399" s="669"/>
      <c r="T399" s="669"/>
      <c r="U399" s="669"/>
      <c r="V399" s="670"/>
      <c r="W399" s="37" t="s">
        <v>67</v>
      </c>
      <c r="X399" s="653">
        <f>IFERROR(SUM(X395:X397),"0")</f>
        <v>0</v>
      </c>
      <c r="Y399" s="653">
        <f>IFERROR(SUM(Y395:Y397),"0")</f>
        <v>0</v>
      </c>
      <c r="Z399" s="37"/>
      <c r="AA399" s="654"/>
      <c r="AB399" s="654"/>
      <c r="AC399" s="654"/>
    </row>
    <row r="400" spans="1:68" ht="14.25" hidden="1" customHeight="1" x14ac:dyDescent="0.25">
      <c r="A400" s="671" t="s">
        <v>283</v>
      </c>
      <c r="B400" s="667"/>
      <c r="C400" s="667"/>
      <c r="D400" s="667"/>
      <c r="E400" s="667"/>
      <c r="F400" s="667"/>
      <c r="G400" s="667"/>
      <c r="H400" s="667"/>
      <c r="I400" s="667"/>
      <c r="J400" s="667"/>
      <c r="K400" s="667"/>
      <c r="L400" s="667"/>
      <c r="M400" s="667"/>
      <c r="N400" s="667"/>
      <c r="O400" s="667"/>
      <c r="P400" s="667"/>
      <c r="Q400" s="667"/>
      <c r="R400" s="667"/>
      <c r="S400" s="667"/>
      <c r="T400" s="667"/>
      <c r="U400" s="667"/>
      <c r="V400" s="667"/>
      <c r="W400" s="667"/>
      <c r="X400" s="667"/>
      <c r="Y400" s="667"/>
      <c r="Z400" s="667"/>
      <c r="AA400" s="646"/>
      <c r="AB400" s="646"/>
      <c r="AC400" s="646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3</v>
      </c>
      <c r="Y403" s="652">
        <f>IFERROR(IF(X403="",0,CEILING((X403/$H403),1)*$H403),"")</f>
        <v>5.0999999999999996</v>
      </c>
      <c r="Z403" s="36">
        <f>IFERROR(IF(Y403=0,"",ROUNDUP(Y403/H403,0)*0.00651),"")</f>
        <v>1.302E-2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3.4764705882352946</v>
      </c>
      <c r="BN403" s="64">
        <f>IFERROR(Y403*I403/H403,"0")</f>
        <v>5.91</v>
      </c>
      <c r="BO403" s="64">
        <f>IFERROR(1/J403*(X403/H403),"0")</f>
        <v>6.4641241111829352E-3</v>
      </c>
      <c r="BP403" s="64">
        <f>IFERROR(1/J403*(Y403/H403),"0")</f>
        <v>1.098901098901099E-2</v>
      </c>
    </row>
    <row r="404" spans="1:68" ht="27" hidden="1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84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85"/>
      <c r="P405" s="668" t="s">
        <v>72</v>
      </c>
      <c r="Q405" s="669"/>
      <c r="R405" s="669"/>
      <c r="S405" s="669"/>
      <c r="T405" s="669"/>
      <c r="U405" s="669"/>
      <c r="V405" s="670"/>
      <c r="W405" s="37" t="s">
        <v>73</v>
      </c>
      <c r="X405" s="653">
        <f>IFERROR(X401/H401,"0")+IFERROR(X402/H402,"0")+IFERROR(X403/H403,"0")+IFERROR(X404/H404,"0")</f>
        <v>1.1764705882352942</v>
      </c>
      <c r="Y405" s="653">
        <f>IFERROR(Y401/H401,"0")+IFERROR(Y402/H402,"0")+IFERROR(Y403/H403,"0")+IFERROR(Y404/H404,"0")</f>
        <v>2</v>
      </c>
      <c r="Z405" s="653">
        <f>IFERROR(IF(Z401="",0,Z401),"0")+IFERROR(IF(Z402="",0,Z402),"0")+IFERROR(IF(Z403="",0,Z403),"0")+IFERROR(IF(Z404="",0,Z404),"0")</f>
        <v>1.302E-2</v>
      </c>
      <c r="AA405" s="654"/>
      <c r="AB405" s="654"/>
      <c r="AC405" s="654"/>
    </row>
    <row r="406" spans="1:68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85"/>
      <c r="P406" s="668" t="s">
        <v>72</v>
      </c>
      <c r="Q406" s="669"/>
      <c r="R406" s="669"/>
      <c r="S406" s="669"/>
      <c r="T406" s="669"/>
      <c r="U406" s="669"/>
      <c r="V406" s="670"/>
      <c r="W406" s="37" t="s">
        <v>67</v>
      </c>
      <c r="X406" s="653">
        <f>IFERROR(SUM(X401:X404),"0")</f>
        <v>3</v>
      </c>
      <c r="Y406" s="653">
        <f>IFERROR(SUM(Y401:Y404),"0")</f>
        <v>5.0999999999999996</v>
      </c>
      <c r="Z406" s="37"/>
      <c r="AA406" s="654"/>
      <c r="AB406" s="654"/>
      <c r="AC406" s="654"/>
    </row>
    <row r="407" spans="1:68" ht="14.25" hidden="1" customHeight="1" x14ac:dyDescent="0.25">
      <c r="A407" s="671" t="s">
        <v>667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46"/>
      <c r="AB407" s="646"/>
      <c r="AC407" s="646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20</v>
      </c>
      <c r="Y408" s="652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22.400000000000002</v>
      </c>
      <c r="BN408" s="64">
        <f>IFERROR(Y408*I408/H408,"0")</f>
        <v>22.400000000000002</v>
      </c>
      <c r="BO408" s="64">
        <f>IFERROR(1/J408*(X408/H408),"0")</f>
        <v>4.2016806722689072E-2</v>
      </c>
      <c r="BP408" s="64">
        <f>IFERROR(1/J408*(Y408/H408),"0")</f>
        <v>4.2016806722689072E-2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20</v>
      </c>
      <c r="Y409" s="652">
        <f>IFERROR(IF(X409="",0,CEILING((X409/$H409),1)*$H409),"")</f>
        <v>20</v>
      </c>
      <c r="Z409" s="36">
        <f>IFERROR(IF(Y409=0,"",ROUNDUP(Y409/H409,0)*0.00474),"")</f>
        <v>4.7400000000000005E-2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22.400000000000002</v>
      </c>
      <c r="BN409" s="64">
        <f>IFERROR(Y409*I409/H409,"0")</f>
        <v>22.400000000000002</v>
      </c>
      <c r="BO409" s="64">
        <f>IFERROR(1/J409*(X409/H409),"0")</f>
        <v>4.2016806722689072E-2</v>
      </c>
      <c r="BP409" s="64">
        <f>IFERROR(1/J409*(Y409/H409),"0")</f>
        <v>4.2016806722689072E-2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19</v>
      </c>
      <c r="Y410" s="652">
        <f>IFERROR(IF(X410="",0,CEILING((X410/$H410),1)*$H410),"")</f>
        <v>20</v>
      </c>
      <c r="Z410" s="36">
        <f>IFERROR(IF(Y410=0,"",ROUNDUP(Y410/H410,0)*0.00474),"")</f>
        <v>4.7400000000000005E-2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21.28</v>
      </c>
      <c r="BN410" s="64">
        <f>IFERROR(Y410*I410/H410,"0")</f>
        <v>22.400000000000002</v>
      </c>
      <c r="BO410" s="64">
        <f>IFERROR(1/J410*(X410/H410),"0")</f>
        <v>3.9915966386554619E-2</v>
      </c>
      <c r="BP410" s="64">
        <f>IFERROR(1/J410*(Y410/H410),"0")</f>
        <v>4.2016806722689072E-2</v>
      </c>
    </row>
    <row r="411" spans="1:68" x14ac:dyDescent="0.2">
      <c r="A411" s="684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85"/>
      <c r="P411" s="668" t="s">
        <v>72</v>
      </c>
      <c r="Q411" s="669"/>
      <c r="R411" s="669"/>
      <c r="S411" s="669"/>
      <c r="T411" s="669"/>
      <c r="U411" s="669"/>
      <c r="V411" s="670"/>
      <c r="W411" s="37" t="s">
        <v>73</v>
      </c>
      <c r="X411" s="653">
        <f>IFERROR(X408/H408,"0")+IFERROR(X409/H409,"0")+IFERROR(X410/H410,"0")</f>
        <v>29.5</v>
      </c>
      <c r="Y411" s="653">
        <f>IFERROR(Y408/H408,"0")+IFERROR(Y409/H409,"0")+IFERROR(Y410/H410,"0")</f>
        <v>30</v>
      </c>
      <c r="Z411" s="653">
        <f>IFERROR(IF(Z408="",0,Z408),"0")+IFERROR(IF(Z409="",0,Z409),"0")+IFERROR(IF(Z410="",0,Z410),"0")</f>
        <v>0.14220000000000002</v>
      </c>
      <c r="AA411" s="654"/>
      <c r="AB411" s="654"/>
      <c r="AC411" s="654"/>
    </row>
    <row r="412" spans="1:68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85"/>
      <c r="P412" s="668" t="s">
        <v>72</v>
      </c>
      <c r="Q412" s="669"/>
      <c r="R412" s="669"/>
      <c r="S412" s="669"/>
      <c r="T412" s="669"/>
      <c r="U412" s="669"/>
      <c r="V412" s="670"/>
      <c r="W412" s="37" t="s">
        <v>67</v>
      </c>
      <c r="X412" s="653">
        <f>IFERROR(SUM(X408:X410),"0")</f>
        <v>59</v>
      </c>
      <c r="Y412" s="653">
        <f>IFERROR(SUM(Y408:Y410),"0")</f>
        <v>60</v>
      </c>
      <c r="Z412" s="37"/>
      <c r="AA412" s="654"/>
      <c r="AB412" s="654"/>
      <c r="AC412" s="654"/>
    </row>
    <row r="413" spans="1:68" ht="14.25" hidden="1" customHeight="1" x14ac:dyDescent="0.25">
      <c r="A413" s="671" t="s">
        <v>676</v>
      </c>
      <c r="B413" s="667"/>
      <c r="C413" s="667"/>
      <c r="D413" s="667"/>
      <c r="E413" s="667"/>
      <c r="F413" s="667"/>
      <c r="G413" s="667"/>
      <c r="H413" s="667"/>
      <c r="I413" s="667"/>
      <c r="J413" s="667"/>
      <c r="K413" s="667"/>
      <c r="L413" s="667"/>
      <c r="M413" s="667"/>
      <c r="N413" s="667"/>
      <c r="O413" s="667"/>
      <c r="P413" s="667"/>
      <c r="Q413" s="667"/>
      <c r="R413" s="667"/>
      <c r="S413" s="667"/>
      <c r="T413" s="667"/>
      <c r="U413" s="667"/>
      <c r="V413" s="667"/>
      <c r="W413" s="667"/>
      <c r="X413" s="667"/>
      <c r="Y413" s="667"/>
      <c r="Z413" s="667"/>
      <c r="AA413" s="646"/>
      <c r="AB413" s="646"/>
      <c r="AC413" s="646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8</v>
      </c>
      <c r="Y416" s="652">
        <f>IFERROR(IF(X416="",0,CEILING((X416/$H416),1)*$H416),"")</f>
        <v>9</v>
      </c>
      <c r="Z416" s="36">
        <f>IFERROR(IF(Y416=0,"",ROUNDUP(Y416/H416,0)*0.0045),"")</f>
        <v>1.3499999999999998E-2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8.5866666666666678</v>
      </c>
      <c r="BN416" s="64">
        <f>IFERROR(Y416*I416/H416,"0")</f>
        <v>9.66</v>
      </c>
      <c r="BO416" s="64">
        <f>IFERROR(1/J416*(X416/H416),"0")</f>
        <v>1.1904761904761904E-2</v>
      </c>
      <c r="BP416" s="64">
        <f>IFERROR(1/J416*(Y416/H416),"0")</f>
        <v>1.3392857142857142E-2</v>
      </c>
    </row>
    <row r="417" spans="1:68" x14ac:dyDescent="0.2">
      <c r="A417" s="684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85"/>
      <c r="P417" s="668" t="s">
        <v>72</v>
      </c>
      <c r="Q417" s="669"/>
      <c r="R417" s="669"/>
      <c r="S417" s="669"/>
      <c r="T417" s="669"/>
      <c r="U417" s="669"/>
      <c r="V417" s="670"/>
      <c r="W417" s="37" t="s">
        <v>73</v>
      </c>
      <c r="X417" s="653">
        <f>IFERROR(X414/H414,"0")+IFERROR(X415/H415,"0")+IFERROR(X416/H416,"0")</f>
        <v>2.6666666666666665</v>
      </c>
      <c r="Y417" s="653">
        <f>IFERROR(Y414/H414,"0")+IFERROR(Y415/H415,"0")+IFERROR(Y416/H416,"0")</f>
        <v>3</v>
      </c>
      <c r="Z417" s="653">
        <f>IFERROR(IF(Z414="",0,Z414),"0")+IFERROR(IF(Z415="",0,Z415),"0")+IFERROR(IF(Z416="",0,Z416),"0")</f>
        <v>1.3499999999999998E-2</v>
      </c>
      <c r="AA417" s="654"/>
      <c r="AB417" s="654"/>
      <c r="AC417" s="654"/>
    </row>
    <row r="418" spans="1:68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85"/>
      <c r="P418" s="668" t="s">
        <v>72</v>
      </c>
      <c r="Q418" s="669"/>
      <c r="R418" s="669"/>
      <c r="S418" s="669"/>
      <c r="T418" s="669"/>
      <c r="U418" s="669"/>
      <c r="V418" s="670"/>
      <c r="W418" s="37" t="s">
        <v>67</v>
      </c>
      <c r="X418" s="653">
        <f>IFERROR(SUM(X414:X416),"0")</f>
        <v>8</v>
      </c>
      <c r="Y418" s="653">
        <f>IFERROR(SUM(Y414:Y416),"0")</f>
        <v>9</v>
      </c>
      <c r="Z418" s="37"/>
      <c r="AA418" s="654"/>
      <c r="AB418" s="654"/>
      <c r="AC418" s="654"/>
    </row>
    <row r="419" spans="1:68" ht="16.5" hidden="1" customHeight="1" x14ac:dyDescent="0.25">
      <c r="A419" s="666" t="s">
        <v>685</v>
      </c>
      <c r="B419" s="667"/>
      <c r="C419" s="667"/>
      <c r="D419" s="667"/>
      <c r="E419" s="667"/>
      <c r="F419" s="667"/>
      <c r="G419" s="667"/>
      <c r="H419" s="667"/>
      <c r="I419" s="667"/>
      <c r="J419" s="667"/>
      <c r="K419" s="667"/>
      <c r="L419" s="667"/>
      <c r="M419" s="667"/>
      <c r="N419" s="667"/>
      <c r="O419" s="667"/>
      <c r="P419" s="667"/>
      <c r="Q419" s="667"/>
      <c r="R419" s="667"/>
      <c r="S419" s="667"/>
      <c r="T419" s="667"/>
      <c r="U419" s="667"/>
      <c r="V419" s="667"/>
      <c r="W419" s="667"/>
      <c r="X419" s="667"/>
      <c r="Y419" s="667"/>
      <c r="Z419" s="667"/>
      <c r="AA419" s="645"/>
      <c r="AB419" s="645"/>
      <c r="AC419" s="645"/>
    </row>
    <row r="420" spans="1:68" ht="14.25" hidden="1" customHeight="1" x14ac:dyDescent="0.25">
      <c r="A420" s="671" t="s">
        <v>74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46"/>
      <c r="AB420" s="646"/>
      <c r="AC420" s="646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84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85"/>
      <c r="P423" s="668" t="s">
        <v>72</v>
      </c>
      <c r="Q423" s="669"/>
      <c r="R423" s="669"/>
      <c r="S423" s="669"/>
      <c r="T423" s="669"/>
      <c r="U423" s="669"/>
      <c r="V423" s="670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85"/>
      <c r="P424" s="668" t="s">
        <v>72</v>
      </c>
      <c r="Q424" s="669"/>
      <c r="R424" s="669"/>
      <c r="S424" s="669"/>
      <c r="T424" s="669"/>
      <c r="U424" s="669"/>
      <c r="V424" s="670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6" t="s">
        <v>692</v>
      </c>
      <c r="B425" s="667"/>
      <c r="C425" s="667"/>
      <c r="D425" s="667"/>
      <c r="E425" s="667"/>
      <c r="F425" s="667"/>
      <c r="G425" s="667"/>
      <c r="H425" s="667"/>
      <c r="I425" s="667"/>
      <c r="J425" s="667"/>
      <c r="K425" s="667"/>
      <c r="L425" s="667"/>
      <c r="M425" s="667"/>
      <c r="N425" s="667"/>
      <c r="O425" s="667"/>
      <c r="P425" s="667"/>
      <c r="Q425" s="667"/>
      <c r="R425" s="667"/>
      <c r="S425" s="667"/>
      <c r="T425" s="667"/>
      <c r="U425" s="667"/>
      <c r="V425" s="667"/>
      <c r="W425" s="667"/>
      <c r="X425" s="667"/>
      <c r="Y425" s="667"/>
      <c r="Z425" s="667"/>
      <c r="AA425" s="645"/>
      <c r="AB425" s="645"/>
      <c r="AC425" s="645"/>
    </row>
    <row r="426" spans="1:68" ht="14.25" hidden="1" customHeight="1" x14ac:dyDescent="0.25">
      <c r="A426" s="671" t="s">
        <v>74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46"/>
      <c r="AB426" s="646"/>
      <c r="AC426" s="646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42</v>
      </c>
      <c r="Y428" s="652">
        <f>IFERROR(IF(X428="",0,CEILING((X428/$H428),1)*$H428),"")</f>
        <v>42</v>
      </c>
      <c r="Z428" s="36">
        <f>IFERROR(IF(Y428=0,"",ROUNDUP(Y428/H428,0)*0.00651),"")</f>
        <v>0.13020000000000001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47.039999999999992</v>
      </c>
      <c r="BN428" s="64">
        <f>IFERROR(Y428*I428/H428,"0")</f>
        <v>47.039999999999992</v>
      </c>
      <c r="BO428" s="64">
        <f>IFERROR(1/J428*(X428/H428),"0")</f>
        <v>0.1098901098901099</v>
      </c>
      <c r="BP428" s="64">
        <f>IFERROR(1/J428*(Y428/H428),"0")</f>
        <v>0.1098901098901099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35</v>
      </c>
      <c r="Y429" s="652">
        <f>IFERROR(IF(X429="",0,CEILING((X429/$H429),1)*$H429),"")</f>
        <v>35.700000000000003</v>
      </c>
      <c r="Z429" s="36">
        <f>IFERROR(IF(Y429=0,"",ROUNDUP(Y429/H429,0)*0.00651),"")</f>
        <v>0.11067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38.999999999999993</v>
      </c>
      <c r="BN429" s="64">
        <f>IFERROR(Y429*I429/H429,"0")</f>
        <v>39.779999999999994</v>
      </c>
      <c r="BO429" s="64">
        <f>IFERROR(1/J429*(X429/H429),"0")</f>
        <v>9.1575091575091569E-2</v>
      </c>
      <c r="BP429" s="64">
        <f>IFERROR(1/J429*(Y429/H429),"0")</f>
        <v>9.3406593406593408E-2</v>
      </c>
    </row>
    <row r="430" spans="1:68" x14ac:dyDescent="0.2">
      <c r="A430" s="684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85"/>
      <c r="P430" s="668" t="s">
        <v>72</v>
      </c>
      <c r="Q430" s="669"/>
      <c r="R430" s="669"/>
      <c r="S430" s="669"/>
      <c r="T430" s="669"/>
      <c r="U430" s="669"/>
      <c r="V430" s="670"/>
      <c r="W430" s="37" t="s">
        <v>73</v>
      </c>
      <c r="X430" s="653">
        <f>IFERROR(X427/H427,"0")+IFERROR(X428/H428,"0")+IFERROR(X429/H429,"0")</f>
        <v>36.666666666666664</v>
      </c>
      <c r="Y430" s="653">
        <f>IFERROR(Y427/H427,"0")+IFERROR(Y428/H428,"0")+IFERROR(Y429/H429,"0")</f>
        <v>37</v>
      </c>
      <c r="Z430" s="653">
        <f>IFERROR(IF(Z427="",0,Z427),"0")+IFERROR(IF(Z428="",0,Z428),"0")+IFERROR(IF(Z429="",0,Z429),"0")</f>
        <v>0.24087000000000003</v>
      </c>
      <c r="AA430" s="654"/>
      <c r="AB430" s="654"/>
      <c r="AC430" s="654"/>
    </row>
    <row r="431" spans="1:68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85"/>
      <c r="P431" s="668" t="s">
        <v>72</v>
      </c>
      <c r="Q431" s="669"/>
      <c r="R431" s="669"/>
      <c r="S431" s="669"/>
      <c r="T431" s="669"/>
      <c r="U431" s="669"/>
      <c r="V431" s="670"/>
      <c r="W431" s="37" t="s">
        <v>67</v>
      </c>
      <c r="X431" s="653">
        <f>IFERROR(SUM(X427:X429),"0")</f>
        <v>77</v>
      </c>
      <c r="Y431" s="653">
        <f>IFERROR(SUM(Y427:Y429),"0")</f>
        <v>77.7</v>
      </c>
      <c r="Z431" s="37"/>
      <c r="AA431" s="654"/>
      <c r="AB431" s="654"/>
      <c r="AC431" s="654"/>
    </row>
    <row r="432" spans="1:68" ht="27.75" hidden="1" customHeight="1" x14ac:dyDescent="0.2">
      <c r="A432" s="664" t="s">
        <v>702</v>
      </c>
      <c r="B432" s="665"/>
      <c r="C432" s="665"/>
      <c r="D432" s="665"/>
      <c r="E432" s="665"/>
      <c r="F432" s="665"/>
      <c r="G432" s="665"/>
      <c r="H432" s="665"/>
      <c r="I432" s="665"/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48"/>
      <c r="AB432" s="48"/>
      <c r="AC432" s="48"/>
    </row>
    <row r="433" spans="1:68" ht="16.5" hidden="1" customHeight="1" x14ac:dyDescent="0.25">
      <c r="A433" s="666" t="s">
        <v>703</v>
      </c>
      <c r="B433" s="667"/>
      <c r="C433" s="667"/>
      <c r="D433" s="667"/>
      <c r="E433" s="667"/>
      <c r="F433" s="667"/>
      <c r="G433" s="667"/>
      <c r="H433" s="667"/>
      <c r="I433" s="667"/>
      <c r="J433" s="667"/>
      <c r="K433" s="667"/>
      <c r="L433" s="667"/>
      <c r="M433" s="667"/>
      <c r="N433" s="667"/>
      <c r="O433" s="667"/>
      <c r="P433" s="667"/>
      <c r="Q433" s="667"/>
      <c r="R433" s="667"/>
      <c r="S433" s="667"/>
      <c r="T433" s="667"/>
      <c r="U433" s="667"/>
      <c r="V433" s="667"/>
      <c r="W433" s="667"/>
      <c r="X433" s="667"/>
      <c r="Y433" s="667"/>
      <c r="Z433" s="667"/>
      <c r="AA433" s="645"/>
      <c r="AB433" s="645"/>
      <c r="AC433" s="645"/>
    </row>
    <row r="434" spans="1:68" ht="14.25" hidden="1" customHeight="1" x14ac:dyDescent="0.25">
      <c r="A434" s="671" t="s">
        <v>111</v>
      </c>
      <c r="B434" s="667"/>
      <c r="C434" s="667"/>
      <c r="D434" s="667"/>
      <c r="E434" s="667"/>
      <c r="F434" s="667"/>
      <c r="G434" s="667"/>
      <c r="H434" s="667"/>
      <c r="I434" s="667"/>
      <c r="J434" s="667"/>
      <c r="K434" s="667"/>
      <c r="L434" s="667"/>
      <c r="M434" s="667"/>
      <c r="N434" s="667"/>
      <c r="O434" s="667"/>
      <c r="P434" s="667"/>
      <c r="Q434" s="667"/>
      <c r="R434" s="667"/>
      <c r="S434" s="667"/>
      <c r="T434" s="667"/>
      <c r="U434" s="667"/>
      <c r="V434" s="667"/>
      <c r="W434" s="667"/>
      <c r="X434" s="667"/>
      <c r="Y434" s="667"/>
      <c r="Z434" s="667"/>
      <c r="AA434" s="646"/>
      <c r="AB434" s="646"/>
      <c r="AC434" s="646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hidden="1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hidden="1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hidden="1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hidden="1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hidden="1" x14ac:dyDescent="0.2">
      <c r="A443" s="684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85"/>
      <c r="P443" s="668" t="s">
        <v>72</v>
      </c>
      <c r="Q443" s="669"/>
      <c r="R443" s="669"/>
      <c r="S443" s="669"/>
      <c r="T443" s="669"/>
      <c r="U443" s="669"/>
      <c r="V443" s="670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0</v>
      </c>
      <c r="Y443" s="653">
        <f>IFERROR(Y435/H435,"0")+IFERROR(Y436/H436,"0")+IFERROR(Y437/H437,"0")+IFERROR(Y438/H438,"0")+IFERROR(Y439/H439,"0")+IFERROR(Y440/H440,"0")+IFERROR(Y441/H441,"0")+IFERROR(Y442/H442,"0")</f>
        <v>0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54"/>
      <c r="AB443" s="654"/>
      <c r="AC443" s="654"/>
    </row>
    <row r="444" spans="1:68" hidden="1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85"/>
      <c r="P444" s="668" t="s">
        <v>72</v>
      </c>
      <c r="Q444" s="669"/>
      <c r="R444" s="669"/>
      <c r="S444" s="669"/>
      <c r="T444" s="669"/>
      <c r="U444" s="669"/>
      <c r="V444" s="670"/>
      <c r="W444" s="37" t="s">
        <v>67</v>
      </c>
      <c r="X444" s="653">
        <f>IFERROR(SUM(X435:X442),"0")</f>
        <v>0</v>
      </c>
      <c r="Y444" s="653">
        <f>IFERROR(SUM(Y435:Y442),"0")</f>
        <v>0</v>
      </c>
      <c r="Z444" s="37"/>
      <c r="AA444" s="654"/>
      <c r="AB444" s="654"/>
      <c r="AC444" s="654"/>
    </row>
    <row r="445" spans="1:68" ht="14.25" hidden="1" customHeight="1" x14ac:dyDescent="0.25">
      <c r="A445" s="671" t="s">
        <v>144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46"/>
      <c r="AB445" s="646"/>
      <c r="AC445" s="646"/>
    </row>
    <row r="446" spans="1:68" ht="27" hidden="1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0</v>
      </c>
      <c r="Y446" s="652">
        <f>IFERROR(IF(X446="",0,CEILING((X446/$H446),1)*$H446),"")</f>
        <v>0</v>
      </c>
      <c r="Z446" s="36" t="str">
        <f>IFERROR(IF(Y446=0,"",ROUNDUP(Y446/H446,0)*0.02175),"")</f>
        <v/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84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85"/>
      <c r="P449" s="668" t="s">
        <v>72</v>
      </c>
      <c r="Q449" s="669"/>
      <c r="R449" s="669"/>
      <c r="S449" s="669"/>
      <c r="T449" s="669"/>
      <c r="U449" s="669"/>
      <c r="V449" s="670"/>
      <c r="W449" s="37" t="s">
        <v>73</v>
      </c>
      <c r="X449" s="653">
        <f>IFERROR(X446/H446,"0")+IFERROR(X447/H447,"0")+IFERROR(X448/H448,"0")</f>
        <v>0</v>
      </c>
      <c r="Y449" s="653">
        <f>IFERROR(Y446/H446,"0")+IFERROR(Y447/H447,"0")+IFERROR(Y448/H448,"0")</f>
        <v>0</v>
      </c>
      <c r="Z449" s="653">
        <f>IFERROR(IF(Z446="",0,Z446),"0")+IFERROR(IF(Z447="",0,Z447),"0")+IFERROR(IF(Z448="",0,Z448),"0")</f>
        <v>0</v>
      </c>
      <c r="AA449" s="654"/>
      <c r="AB449" s="654"/>
      <c r="AC449" s="654"/>
    </row>
    <row r="450" spans="1:68" hidden="1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85"/>
      <c r="P450" s="668" t="s">
        <v>72</v>
      </c>
      <c r="Q450" s="669"/>
      <c r="R450" s="669"/>
      <c r="S450" s="669"/>
      <c r="T450" s="669"/>
      <c r="U450" s="669"/>
      <c r="V450" s="670"/>
      <c r="W450" s="37" t="s">
        <v>67</v>
      </c>
      <c r="X450" s="653">
        <f>IFERROR(SUM(X446:X448),"0")</f>
        <v>0</v>
      </c>
      <c r="Y450" s="653">
        <f>IFERROR(SUM(Y446:Y448),"0")</f>
        <v>0</v>
      </c>
      <c r="Z450" s="37"/>
      <c r="AA450" s="654"/>
      <c r="AB450" s="654"/>
      <c r="AC450" s="654"/>
    </row>
    <row r="451" spans="1:68" ht="14.25" hidden="1" customHeight="1" x14ac:dyDescent="0.25">
      <c r="A451" s="671" t="s">
        <v>74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46"/>
      <c r="AB451" s="646"/>
      <c r="AC451" s="646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84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85"/>
      <c r="P455" s="668" t="s">
        <v>72</v>
      </c>
      <c r="Q455" s="669"/>
      <c r="R455" s="669"/>
      <c r="S455" s="669"/>
      <c r="T455" s="669"/>
      <c r="U455" s="669"/>
      <c r="V455" s="670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85"/>
      <c r="P456" s="668" t="s">
        <v>72</v>
      </c>
      <c r="Q456" s="669"/>
      <c r="R456" s="669"/>
      <c r="S456" s="669"/>
      <c r="T456" s="669"/>
      <c r="U456" s="669"/>
      <c r="V456" s="670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71" t="s">
        <v>162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46"/>
      <c r="AB457" s="646"/>
      <c r="AC457" s="646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hidden="1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84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85"/>
      <c r="P460" s="668" t="s">
        <v>72</v>
      </c>
      <c r="Q460" s="669"/>
      <c r="R460" s="669"/>
      <c r="S460" s="669"/>
      <c r="T460" s="669"/>
      <c r="U460" s="669"/>
      <c r="V460" s="670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85"/>
      <c r="P461" s="668" t="s">
        <v>72</v>
      </c>
      <c r="Q461" s="669"/>
      <c r="R461" s="669"/>
      <c r="S461" s="669"/>
      <c r="T461" s="669"/>
      <c r="U461" s="669"/>
      <c r="V461" s="670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hidden="1" customHeight="1" x14ac:dyDescent="0.25">
      <c r="A462" s="666" t="s">
        <v>752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45"/>
      <c r="AB462" s="645"/>
      <c r="AC462" s="645"/>
    </row>
    <row r="463" spans="1:68" ht="14.25" hidden="1" customHeight="1" x14ac:dyDescent="0.25">
      <c r="A463" s="671" t="s">
        <v>111</v>
      </c>
      <c r="B463" s="667"/>
      <c r="C463" s="667"/>
      <c r="D463" s="667"/>
      <c r="E463" s="667"/>
      <c r="F463" s="667"/>
      <c r="G463" s="667"/>
      <c r="H463" s="667"/>
      <c r="I463" s="667"/>
      <c r="J463" s="667"/>
      <c r="K463" s="667"/>
      <c r="L463" s="667"/>
      <c r="M463" s="667"/>
      <c r="N463" s="667"/>
      <c r="O463" s="667"/>
      <c r="P463" s="667"/>
      <c r="Q463" s="667"/>
      <c r="R463" s="667"/>
      <c r="S463" s="667"/>
      <c r="T463" s="667"/>
      <c r="U463" s="667"/>
      <c r="V463" s="667"/>
      <c r="W463" s="667"/>
      <c r="X463" s="667"/>
      <c r="Y463" s="667"/>
      <c r="Z463" s="667"/>
      <c r="AA463" s="646"/>
      <c r="AB463" s="646"/>
      <c r="AC463" s="646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4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85"/>
      <c r="P466" s="668" t="s">
        <v>72</v>
      </c>
      <c r="Q466" s="669"/>
      <c r="R466" s="669"/>
      <c r="S466" s="669"/>
      <c r="T466" s="669"/>
      <c r="U466" s="669"/>
      <c r="V466" s="670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85"/>
      <c r="P467" s="668" t="s">
        <v>72</v>
      </c>
      <c r="Q467" s="669"/>
      <c r="R467" s="669"/>
      <c r="S467" s="669"/>
      <c r="T467" s="669"/>
      <c r="U467" s="669"/>
      <c r="V467" s="670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71" t="s">
        <v>62</v>
      </c>
      <c r="B468" s="667"/>
      <c r="C468" s="667"/>
      <c r="D468" s="667"/>
      <c r="E468" s="667"/>
      <c r="F468" s="667"/>
      <c r="G468" s="667"/>
      <c r="H468" s="667"/>
      <c r="I468" s="667"/>
      <c r="J468" s="667"/>
      <c r="K468" s="667"/>
      <c r="L468" s="667"/>
      <c r="M468" s="667"/>
      <c r="N468" s="667"/>
      <c r="O468" s="667"/>
      <c r="P468" s="667"/>
      <c r="Q468" s="667"/>
      <c r="R468" s="667"/>
      <c r="S468" s="667"/>
      <c r="T468" s="667"/>
      <c r="U468" s="667"/>
      <c r="V468" s="667"/>
      <c r="W468" s="667"/>
      <c r="X468" s="667"/>
      <c r="Y468" s="667"/>
      <c r="Z468" s="667"/>
      <c r="AA468" s="646"/>
      <c r="AB468" s="646"/>
      <c r="AC468" s="646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84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85"/>
      <c r="P470" s="668" t="s">
        <v>72</v>
      </c>
      <c r="Q470" s="669"/>
      <c r="R470" s="669"/>
      <c r="S470" s="669"/>
      <c r="T470" s="669"/>
      <c r="U470" s="669"/>
      <c r="V470" s="670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85"/>
      <c r="P471" s="668" t="s">
        <v>72</v>
      </c>
      <c r="Q471" s="669"/>
      <c r="R471" s="669"/>
      <c r="S471" s="669"/>
      <c r="T471" s="669"/>
      <c r="U471" s="669"/>
      <c r="V471" s="670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71" t="s">
        <v>74</v>
      </c>
      <c r="B472" s="667"/>
      <c r="C472" s="667"/>
      <c r="D472" s="667"/>
      <c r="E472" s="667"/>
      <c r="F472" s="667"/>
      <c r="G472" s="667"/>
      <c r="H472" s="667"/>
      <c r="I472" s="667"/>
      <c r="J472" s="667"/>
      <c r="K472" s="667"/>
      <c r="L472" s="667"/>
      <c r="M472" s="667"/>
      <c r="N472" s="667"/>
      <c r="O472" s="667"/>
      <c r="P472" s="667"/>
      <c r="Q472" s="667"/>
      <c r="R472" s="667"/>
      <c r="S472" s="667"/>
      <c r="T472" s="667"/>
      <c r="U472" s="667"/>
      <c r="V472" s="667"/>
      <c r="W472" s="667"/>
      <c r="X472" s="667"/>
      <c r="Y472" s="667"/>
      <c r="Z472" s="667"/>
      <c r="AA472" s="646"/>
      <c r="AB472" s="646"/>
      <c r="AC472" s="646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800</v>
      </c>
      <c r="Y473" s="652">
        <f>IFERROR(IF(X473="",0,CEILING((X473/$H473),1)*$H473),"")</f>
        <v>801</v>
      </c>
      <c r="Z473" s="36">
        <f>IFERROR(IF(Y473=0,"",ROUNDUP(Y473/H473,0)*0.01898),"")</f>
        <v>1.6892199999999999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843.91111111111104</v>
      </c>
      <c r="BN473" s="64">
        <f>IFERROR(Y473*I473/H473,"0")</f>
        <v>844.96599999999989</v>
      </c>
      <c r="BO473" s="64">
        <f>IFERROR(1/J473*(X473/H473),"0")</f>
        <v>1.3888888888888888</v>
      </c>
      <c r="BP473" s="64">
        <f>IFERROR(1/J473*(Y473/H473),"0")</f>
        <v>1.390625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72</v>
      </c>
      <c r="Y474" s="652">
        <f>IFERROR(IF(X474="",0,CEILING((X474/$H474),1)*$H474),"")</f>
        <v>72</v>
      </c>
      <c r="Z474" s="36">
        <f>IFERROR(IF(Y474=0,"",ROUNDUP(Y474/H474,0)*0.00651),"")</f>
        <v>0.1953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79.920000000000016</v>
      </c>
      <c r="BN474" s="64">
        <f>IFERROR(Y474*I474/H474,"0")</f>
        <v>79.920000000000016</v>
      </c>
      <c r="BO474" s="64">
        <f>IFERROR(1/J474*(X474/H474),"0")</f>
        <v>0.16483516483516486</v>
      </c>
      <c r="BP474" s="64">
        <f>IFERROR(1/J474*(Y474/H474),"0")</f>
        <v>0.16483516483516486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85"/>
      <c r="P476" s="668" t="s">
        <v>72</v>
      </c>
      <c r="Q476" s="669"/>
      <c r="R476" s="669"/>
      <c r="S476" s="669"/>
      <c r="T476" s="669"/>
      <c r="U476" s="669"/>
      <c r="V476" s="670"/>
      <c r="W476" s="37" t="s">
        <v>73</v>
      </c>
      <c r="X476" s="653">
        <f>IFERROR(X473/H473,"0")+IFERROR(X474/H474,"0")+IFERROR(X475/H475,"0")</f>
        <v>118.88888888888889</v>
      </c>
      <c r="Y476" s="653">
        <f>IFERROR(Y473/H473,"0")+IFERROR(Y474/H474,"0")+IFERROR(Y475/H475,"0")</f>
        <v>119</v>
      </c>
      <c r="Z476" s="653">
        <f>IFERROR(IF(Z473="",0,Z473),"0")+IFERROR(IF(Z474="",0,Z474),"0")+IFERROR(IF(Z475="",0,Z475),"0")</f>
        <v>1.88452</v>
      </c>
      <c r="AA476" s="654"/>
      <c r="AB476" s="654"/>
      <c r="AC476" s="654"/>
    </row>
    <row r="477" spans="1:68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85"/>
      <c r="P477" s="668" t="s">
        <v>72</v>
      </c>
      <c r="Q477" s="669"/>
      <c r="R477" s="669"/>
      <c r="S477" s="669"/>
      <c r="T477" s="669"/>
      <c r="U477" s="669"/>
      <c r="V477" s="670"/>
      <c r="W477" s="37" t="s">
        <v>67</v>
      </c>
      <c r="X477" s="653">
        <f>IFERROR(SUM(X473:X475),"0")</f>
        <v>872</v>
      </c>
      <c r="Y477" s="653">
        <f>IFERROR(SUM(Y473:Y475),"0")</f>
        <v>873</v>
      </c>
      <c r="Z477" s="37"/>
      <c r="AA477" s="654"/>
      <c r="AB477" s="654"/>
      <c r="AC477" s="654"/>
    </row>
    <row r="478" spans="1:68" ht="27.75" hidden="1" customHeight="1" x14ac:dyDescent="0.2">
      <c r="A478" s="664" t="s">
        <v>768</v>
      </c>
      <c r="B478" s="665"/>
      <c r="C478" s="665"/>
      <c r="D478" s="665"/>
      <c r="E478" s="665"/>
      <c r="F478" s="665"/>
      <c r="G478" s="665"/>
      <c r="H478" s="665"/>
      <c r="I478" s="665"/>
      <c r="J478" s="665"/>
      <c r="K478" s="665"/>
      <c r="L478" s="665"/>
      <c r="M478" s="665"/>
      <c r="N478" s="665"/>
      <c r="O478" s="665"/>
      <c r="P478" s="665"/>
      <c r="Q478" s="665"/>
      <c r="R478" s="665"/>
      <c r="S478" s="665"/>
      <c r="T478" s="665"/>
      <c r="U478" s="665"/>
      <c r="V478" s="665"/>
      <c r="W478" s="665"/>
      <c r="X478" s="665"/>
      <c r="Y478" s="665"/>
      <c r="Z478" s="665"/>
      <c r="AA478" s="48"/>
      <c r="AB478" s="48"/>
      <c r="AC478" s="48"/>
    </row>
    <row r="479" spans="1:68" ht="16.5" hidden="1" customHeight="1" x14ac:dyDescent="0.25">
      <c r="A479" s="666" t="s">
        <v>769</v>
      </c>
      <c r="B479" s="667"/>
      <c r="C479" s="667"/>
      <c r="D479" s="667"/>
      <c r="E479" s="667"/>
      <c r="F479" s="667"/>
      <c r="G479" s="667"/>
      <c r="H479" s="667"/>
      <c r="I479" s="667"/>
      <c r="J479" s="667"/>
      <c r="K479" s="667"/>
      <c r="L479" s="667"/>
      <c r="M479" s="667"/>
      <c r="N479" s="667"/>
      <c r="O479" s="667"/>
      <c r="P479" s="667"/>
      <c r="Q479" s="667"/>
      <c r="R479" s="667"/>
      <c r="S479" s="667"/>
      <c r="T479" s="667"/>
      <c r="U479" s="667"/>
      <c r="V479" s="667"/>
      <c r="W479" s="667"/>
      <c r="X479" s="667"/>
      <c r="Y479" s="667"/>
      <c r="Z479" s="667"/>
      <c r="AA479" s="645"/>
      <c r="AB479" s="645"/>
      <c r="AC479" s="645"/>
    </row>
    <row r="480" spans="1:68" ht="14.25" hidden="1" customHeight="1" x14ac:dyDescent="0.25">
      <c r="A480" s="671" t="s">
        <v>62</v>
      </c>
      <c r="B480" s="667"/>
      <c r="C480" s="667"/>
      <c r="D480" s="667"/>
      <c r="E480" s="667"/>
      <c r="F480" s="667"/>
      <c r="G480" s="667"/>
      <c r="H480" s="667"/>
      <c r="I480" s="667"/>
      <c r="J480" s="667"/>
      <c r="K480" s="667"/>
      <c r="L480" s="667"/>
      <c r="M480" s="667"/>
      <c r="N480" s="667"/>
      <c r="O480" s="667"/>
      <c r="P480" s="667"/>
      <c r="Q480" s="667"/>
      <c r="R480" s="667"/>
      <c r="S480" s="667"/>
      <c r="T480" s="667"/>
      <c r="U480" s="667"/>
      <c r="V480" s="667"/>
      <c r="W480" s="667"/>
      <c r="X480" s="667"/>
      <c r="Y480" s="667"/>
      <c r="Z480" s="667"/>
      <c r="AA480" s="646"/>
      <c r="AB480" s="646"/>
      <c r="AC480" s="646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84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85"/>
      <c r="P487" s="668" t="s">
        <v>72</v>
      </c>
      <c r="Q487" s="669"/>
      <c r="R487" s="669"/>
      <c r="S487" s="669"/>
      <c r="T487" s="669"/>
      <c r="U487" s="669"/>
      <c r="V487" s="670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85"/>
      <c r="P488" s="668" t="s">
        <v>72</v>
      </c>
      <c r="Q488" s="669"/>
      <c r="R488" s="669"/>
      <c r="S488" s="669"/>
      <c r="T488" s="669"/>
      <c r="U488" s="669"/>
      <c r="V488" s="670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71" t="s">
        <v>74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46"/>
      <c r="AB489" s="646"/>
      <c r="AC489" s="646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84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85"/>
      <c r="P492" s="668" t="s">
        <v>72</v>
      </c>
      <c r="Q492" s="669"/>
      <c r="R492" s="669"/>
      <c r="S492" s="669"/>
      <c r="T492" s="669"/>
      <c r="U492" s="669"/>
      <c r="V492" s="670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85"/>
      <c r="P493" s="668" t="s">
        <v>72</v>
      </c>
      <c r="Q493" s="669"/>
      <c r="R493" s="669"/>
      <c r="S493" s="669"/>
      <c r="T493" s="669"/>
      <c r="U493" s="669"/>
      <c r="V493" s="670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6" t="s">
        <v>792</v>
      </c>
      <c r="B494" s="667"/>
      <c r="C494" s="667"/>
      <c r="D494" s="667"/>
      <c r="E494" s="667"/>
      <c r="F494" s="667"/>
      <c r="G494" s="667"/>
      <c r="H494" s="667"/>
      <c r="I494" s="667"/>
      <c r="J494" s="667"/>
      <c r="K494" s="667"/>
      <c r="L494" s="667"/>
      <c r="M494" s="667"/>
      <c r="N494" s="667"/>
      <c r="O494" s="667"/>
      <c r="P494" s="667"/>
      <c r="Q494" s="667"/>
      <c r="R494" s="667"/>
      <c r="S494" s="667"/>
      <c r="T494" s="667"/>
      <c r="U494" s="667"/>
      <c r="V494" s="667"/>
      <c r="W494" s="667"/>
      <c r="X494" s="667"/>
      <c r="Y494" s="667"/>
      <c r="Z494" s="667"/>
      <c r="AA494" s="645"/>
      <c r="AB494" s="645"/>
      <c r="AC494" s="645"/>
    </row>
    <row r="495" spans="1:68" ht="14.25" hidden="1" customHeight="1" x14ac:dyDescent="0.25">
      <c r="A495" s="671" t="s">
        <v>144</v>
      </c>
      <c r="B495" s="667"/>
      <c r="C495" s="667"/>
      <c r="D495" s="667"/>
      <c r="E495" s="667"/>
      <c r="F495" s="667"/>
      <c r="G495" s="667"/>
      <c r="H495" s="667"/>
      <c r="I495" s="667"/>
      <c r="J495" s="667"/>
      <c r="K495" s="667"/>
      <c r="L495" s="667"/>
      <c r="M495" s="667"/>
      <c r="N495" s="667"/>
      <c r="O495" s="667"/>
      <c r="P495" s="667"/>
      <c r="Q495" s="667"/>
      <c r="R495" s="667"/>
      <c r="S495" s="667"/>
      <c r="T495" s="667"/>
      <c r="U495" s="667"/>
      <c r="V495" s="667"/>
      <c r="W495" s="667"/>
      <c r="X495" s="667"/>
      <c r="Y495" s="667"/>
      <c r="Z495" s="667"/>
      <c r="AA495" s="646"/>
      <c r="AB495" s="646"/>
      <c r="AC495" s="646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84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85"/>
      <c r="P497" s="668" t="s">
        <v>72</v>
      </c>
      <c r="Q497" s="669"/>
      <c r="R497" s="669"/>
      <c r="S497" s="669"/>
      <c r="T497" s="669"/>
      <c r="U497" s="669"/>
      <c r="V497" s="670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85"/>
      <c r="P498" s="668" t="s">
        <v>72</v>
      </c>
      <c r="Q498" s="669"/>
      <c r="R498" s="669"/>
      <c r="S498" s="669"/>
      <c r="T498" s="669"/>
      <c r="U498" s="669"/>
      <c r="V498" s="670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71" t="s">
        <v>62</v>
      </c>
      <c r="B499" s="667"/>
      <c r="C499" s="667"/>
      <c r="D499" s="667"/>
      <c r="E499" s="667"/>
      <c r="F499" s="667"/>
      <c r="G499" s="667"/>
      <c r="H499" s="667"/>
      <c r="I499" s="667"/>
      <c r="J499" s="667"/>
      <c r="K499" s="667"/>
      <c r="L499" s="667"/>
      <c r="M499" s="667"/>
      <c r="N499" s="667"/>
      <c r="O499" s="667"/>
      <c r="P499" s="667"/>
      <c r="Q499" s="667"/>
      <c r="R499" s="667"/>
      <c r="S499" s="667"/>
      <c r="T499" s="667"/>
      <c r="U499" s="667"/>
      <c r="V499" s="667"/>
      <c r="W499" s="667"/>
      <c r="X499" s="667"/>
      <c r="Y499" s="667"/>
      <c r="Z499" s="667"/>
      <c r="AA499" s="646"/>
      <c r="AB499" s="646"/>
      <c r="AC499" s="646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84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85"/>
      <c r="P503" s="668" t="s">
        <v>72</v>
      </c>
      <c r="Q503" s="669"/>
      <c r="R503" s="669"/>
      <c r="S503" s="669"/>
      <c r="T503" s="669"/>
      <c r="U503" s="669"/>
      <c r="V503" s="670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85"/>
      <c r="P504" s="668" t="s">
        <v>72</v>
      </c>
      <c r="Q504" s="669"/>
      <c r="R504" s="669"/>
      <c r="S504" s="669"/>
      <c r="T504" s="669"/>
      <c r="U504" s="669"/>
      <c r="V504" s="670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64" t="s">
        <v>804</v>
      </c>
      <c r="B505" s="665"/>
      <c r="C505" s="665"/>
      <c r="D505" s="665"/>
      <c r="E505" s="665"/>
      <c r="F505" s="665"/>
      <c r="G505" s="665"/>
      <c r="H505" s="665"/>
      <c r="I505" s="665"/>
      <c r="J505" s="665"/>
      <c r="K505" s="665"/>
      <c r="L505" s="665"/>
      <c r="M505" s="665"/>
      <c r="N505" s="665"/>
      <c r="O505" s="665"/>
      <c r="P505" s="665"/>
      <c r="Q505" s="665"/>
      <c r="R505" s="665"/>
      <c r="S505" s="665"/>
      <c r="T505" s="665"/>
      <c r="U505" s="665"/>
      <c r="V505" s="665"/>
      <c r="W505" s="665"/>
      <c r="X505" s="665"/>
      <c r="Y505" s="665"/>
      <c r="Z505" s="665"/>
      <c r="AA505" s="48"/>
      <c r="AB505" s="48"/>
      <c r="AC505" s="48"/>
    </row>
    <row r="506" spans="1:68" ht="16.5" hidden="1" customHeight="1" x14ac:dyDescent="0.25">
      <c r="A506" s="666" t="s">
        <v>804</v>
      </c>
      <c r="B506" s="667"/>
      <c r="C506" s="667"/>
      <c r="D506" s="667"/>
      <c r="E506" s="667"/>
      <c r="F506" s="667"/>
      <c r="G506" s="667"/>
      <c r="H506" s="667"/>
      <c r="I506" s="667"/>
      <c r="J506" s="667"/>
      <c r="K506" s="667"/>
      <c r="L506" s="667"/>
      <c r="M506" s="667"/>
      <c r="N506" s="667"/>
      <c r="O506" s="667"/>
      <c r="P506" s="667"/>
      <c r="Q506" s="667"/>
      <c r="R506" s="667"/>
      <c r="S506" s="667"/>
      <c r="T506" s="667"/>
      <c r="U506" s="667"/>
      <c r="V506" s="667"/>
      <c r="W506" s="667"/>
      <c r="X506" s="667"/>
      <c r="Y506" s="667"/>
      <c r="Z506" s="667"/>
      <c r="AA506" s="645"/>
      <c r="AB506" s="645"/>
      <c r="AC506" s="645"/>
    </row>
    <row r="507" spans="1:68" ht="14.25" hidden="1" customHeight="1" x14ac:dyDescent="0.25">
      <c r="A507" s="671" t="s">
        <v>111</v>
      </c>
      <c r="B507" s="667"/>
      <c r="C507" s="667"/>
      <c r="D507" s="667"/>
      <c r="E507" s="667"/>
      <c r="F507" s="667"/>
      <c r="G507" s="667"/>
      <c r="H507" s="667"/>
      <c r="I507" s="667"/>
      <c r="J507" s="667"/>
      <c r="K507" s="667"/>
      <c r="L507" s="667"/>
      <c r="M507" s="667"/>
      <c r="N507" s="667"/>
      <c r="O507" s="667"/>
      <c r="P507" s="667"/>
      <c r="Q507" s="667"/>
      <c r="R507" s="667"/>
      <c r="S507" s="667"/>
      <c r="T507" s="667"/>
      <c r="U507" s="667"/>
      <c r="V507" s="667"/>
      <c r="W507" s="667"/>
      <c r="X507" s="667"/>
      <c r="Y507" s="667"/>
      <c r="Z507" s="667"/>
      <c r="AA507" s="646"/>
      <c r="AB507" s="646"/>
      <c r="AC507" s="646"/>
    </row>
    <row r="508" spans="1:68" ht="27" hidden="1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hidden="1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0</v>
      </c>
      <c r="Y511" s="652">
        <f t="shared" si="75"/>
        <v>0</v>
      </c>
      <c r="Z511" s="36" t="str">
        <f t="shared" si="76"/>
        <v/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0</v>
      </c>
      <c r="BN511" s="64">
        <f t="shared" si="78"/>
        <v>0</v>
      </c>
      <c r="BO511" s="64">
        <f t="shared" si="79"/>
        <v>0</v>
      </c>
      <c r="BP511" s="64">
        <f t="shared" si="80"/>
        <v>0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0</v>
      </c>
      <c r="Y513" s="652">
        <f t="shared" si="75"/>
        <v>0</v>
      </c>
      <c r="Z513" s="36" t="str">
        <f t="shared" si="76"/>
        <v/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90</v>
      </c>
      <c r="Y516" s="652">
        <f t="shared" si="75"/>
        <v>91.2</v>
      </c>
      <c r="Z516" s="36">
        <f>IFERROR(IF(Y516=0,"",ROUNDUP(Y516/H516,0)*0.00902),"")</f>
        <v>0.17138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129.5625</v>
      </c>
      <c r="BN516" s="64">
        <f t="shared" si="78"/>
        <v>131.29000000000002</v>
      </c>
      <c r="BO516" s="64">
        <f t="shared" si="79"/>
        <v>0.14204545454545456</v>
      </c>
      <c r="BP516" s="64">
        <f t="shared" si="80"/>
        <v>0.14393939393939395</v>
      </c>
    </row>
    <row r="517" spans="1:68" x14ac:dyDescent="0.2">
      <c r="A517" s="684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85"/>
      <c r="P517" s="668" t="s">
        <v>72</v>
      </c>
      <c r="Q517" s="669"/>
      <c r="R517" s="669"/>
      <c r="S517" s="669"/>
      <c r="T517" s="669"/>
      <c r="U517" s="669"/>
      <c r="V517" s="670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18.75</v>
      </c>
      <c r="Y517" s="653">
        <f>IFERROR(Y508/H508,"0")+IFERROR(Y509/H509,"0")+IFERROR(Y510/H510,"0")+IFERROR(Y511/H511,"0")+IFERROR(Y512/H512,"0")+IFERROR(Y513/H513,"0")+IFERROR(Y514/H514,"0")+IFERROR(Y515/H515,"0")+IFERROR(Y516/H516,"0")</f>
        <v>19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0.17138</v>
      </c>
      <c r="AA517" s="654"/>
      <c r="AB517" s="654"/>
      <c r="AC517" s="654"/>
    </row>
    <row r="518" spans="1:68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85"/>
      <c r="P518" s="668" t="s">
        <v>72</v>
      </c>
      <c r="Q518" s="669"/>
      <c r="R518" s="669"/>
      <c r="S518" s="669"/>
      <c r="T518" s="669"/>
      <c r="U518" s="669"/>
      <c r="V518" s="670"/>
      <c r="W518" s="37" t="s">
        <v>67</v>
      </c>
      <c r="X518" s="653">
        <f>IFERROR(SUM(X508:X516),"0")</f>
        <v>90</v>
      </c>
      <c r="Y518" s="653">
        <f>IFERROR(SUM(Y508:Y516),"0")</f>
        <v>91.2</v>
      </c>
      <c r="Z518" s="37"/>
      <c r="AA518" s="654"/>
      <c r="AB518" s="654"/>
      <c r="AC518" s="654"/>
    </row>
    <row r="519" spans="1:68" ht="14.25" hidden="1" customHeight="1" x14ac:dyDescent="0.25">
      <c r="A519" s="671" t="s">
        <v>144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46"/>
      <c r="AB519" s="646"/>
      <c r="AC519" s="646"/>
    </row>
    <row r="520" spans="1:68" ht="16.5" hidden="1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0</v>
      </c>
      <c r="Y520" s="652">
        <f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90</v>
      </c>
      <c r="Y522" s="652">
        <f>IFERROR(IF(X522="",0,CEILING((X522/$H522),1)*$H522),"")</f>
        <v>91.2</v>
      </c>
      <c r="Z522" s="36">
        <f>IFERROR(IF(Y522=0,"",ROUNDUP(Y522/H522,0)*0.00902),"")</f>
        <v>0.17138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129.5625</v>
      </c>
      <c r="BN522" s="64">
        <f>IFERROR(Y522*I522/H522,"0")</f>
        <v>131.29000000000002</v>
      </c>
      <c r="BO522" s="64">
        <f>IFERROR(1/J522*(X522/H522),"0")</f>
        <v>0.14204545454545456</v>
      </c>
      <c r="BP522" s="64">
        <f>IFERROR(1/J522*(Y522/H522),"0")</f>
        <v>0.14393939393939395</v>
      </c>
    </row>
    <row r="523" spans="1:68" x14ac:dyDescent="0.2">
      <c r="A523" s="684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85"/>
      <c r="P523" s="668" t="s">
        <v>72</v>
      </c>
      <c r="Q523" s="669"/>
      <c r="R523" s="669"/>
      <c r="S523" s="669"/>
      <c r="T523" s="669"/>
      <c r="U523" s="669"/>
      <c r="V523" s="670"/>
      <c r="W523" s="37" t="s">
        <v>73</v>
      </c>
      <c r="X523" s="653">
        <f>IFERROR(X520/H520,"0")+IFERROR(X521/H521,"0")+IFERROR(X522/H522,"0")</f>
        <v>18.75</v>
      </c>
      <c r="Y523" s="653">
        <f>IFERROR(Y520/H520,"0")+IFERROR(Y521/H521,"0")+IFERROR(Y522/H522,"0")</f>
        <v>19</v>
      </c>
      <c r="Z523" s="653">
        <f>IFERROR(IF(Z520="",0,Z520),"0")+IFERROR(IF(Z521="",0,Z521),"0")+IFERROR(IF(Z522="",0,Z522),"0")</f>
        <v>0.17138</v>
      </c>
      <c r="AA523" s="654"/>
      <c r="AB523" s="654"/>
      <c r="AC523" s="654"/>
    </row>
    <row r="524" spans="1:68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85"/>
      <c r="P524" s="668" t="s">
        <v>72</v>
      </c>
      <c r="Q524" s="669"/>
      <c r="R524" s="669"/>
      <c r="S524" s="669"/>
      <c r="T524" s="669"/>
      <c r="U524" s="669"/>
      <c r="V524" s="670"/>
      <c r="W524" s="37" t="s">
        <v>67</v>
      </c>
      <c r="X524" s="653">
        <f>IFERROR(SUM(X520:X522),"0")</f>
        <v>90</v>
      </c>
      <c r="Y524" s="653">
        <f>IFERROR(SUM(Y520:Y522),"0")</f>
        <v>91.2</v>
      </c>
      <c r="Z524" s="37"/>
      <c r="AA524" s="654"/>
      <c r="AB524" s="654"/>
      <c r="AC524" s="654"/>
    </row>
    <row r="525" spans="1:68" ht="14.25" hidden="1" customHeight="1" x14ac:dyDescent="0.25">
      <c r="A525" s="671" t="s">
        <v>62</v>
      </c>
      <c r="B525" s="667"/>
      <c r="C525" s="667"/>
      <c r="D525" s="667"/>
      <c r="E525" s="667"/>
      <c r="F525" s="667"/>
      <c r="G525" s="667"/>
      <c r="H525" s="667"/>
      <c r="I525" s="667"/>
      <c r="J525" s="667"/>
      <c r="K525" s="667"/>
      <c r="L525" s="667"/>
      <c r="M525" s="667"/>
      <c r="N525" s="667"/>
      <c r="O525" s="667"/>
      <c r="P525" s="667"/>
      <c r="Q525" s="667"/>
      <c r="R525" s="667"/>
      <c r="S525" s="667"/>
      <c r="T525" s="667"/>
      <c r="U525" s="667"/>
      <c r="V525" s="667"/>
      <c r="W525" s="667"/>
      <c r="X525" s="667"/>
      <c r="Y525" s="667"/>
      <c r="Z525" s="667"/>
      <c r="AA525" s="646"/>
      <c r="AB525" s="646"/>
      <c r="AC525" s="646"/>
    </row>
    <row r="526" spans="1:68" ht="27" hidden="1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hidden="1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0</v>
      </c>
      <c r="Y527" s="652">
        <f t="shared" si="81"/>
        <v>0</v>
      </c>
      <c r="Z527" s="36" t="str">
        <f>IFERROR(IF(Y527=0,"",ROUNDUP(Y527/H527,0)*0.01196),"")</f>
        <v/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0</v>
      </c>
      <c r="BN527" s="64">
        <f t="shared" si="83"/>
        <v>0</v>
      </c>
      <c r="BO527" s="64">
        <f t="shared" si="84"/>
        <v>0</v>
      </c>
      <c r="BP527" s="64">
        <f t="shared" si="85"/>
        <v>0</v>
      </c>
    </row>
    <row r="528" spans="1:68" ht="27" hidden="1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0</v>
      </c>
      <c r="Y528" s="652">
        <f t="shared" si="81"/>
        <v>0</v>
      </c>
      <c r="Z528" s="36" t="str">
        <f>IFERROR(IF(Y528=0,"",ROUNDUP(Y528/H528,0)*0.01196),"")</f>
        <v/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0</v>
      </c>
      <c r="BN528" s="64">
        <f t="shared" si="83"/>
        <v>0</v>
      </c>
      <c r="BO528" s="64">
        <f t="shared" si="84"/>
        <v>0</v>
      </c>
      <c r="BP528" s="64">
        <f t="shared" si="85"/>
        <v>0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hidden="1" x14ac:dyDescent="0.2">
      <c r="A533" s="684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85"/>
      <c r="P533" s="668" t="s">
        <v>72</v>
      </c>
      <c r="Q533" s="669"/>
      <c r="R533" s="669"/>
      <c r="S533" s="669"/>
      <c r="T533" s="669"/>
      <c r="U533" s="669"/>
      <c r="V533" s="670"/>
      <c r="W533" s="37" t="s">
        <v>73</v>
      </c>
      <c r="X533" s="653">
        <f>IFERROR(X526/H526,"0")+IFERROR(X527/H527,"0")+IFERROR(X528/H528,"0")+IFERROR(X529/H529,"0")+IFERROR(X530/H530,"0")+IFERROR(X531/H531,"0")+IFERROR(X532/H532,"0")</f>
        <v>0</v>
      </c>
      <c r="Y533" s="653">
        <f>IFERROR(Y526/H526,"0")+IFERROR(Y527/H527,"0")+IFERROR(Y528/H528,"0")+IFERROR(Y529/H529,"0")+IFERROR(Y530/H530,"0")+IFERROR(Y531/H531,"0")+IFERROR(Y532/H532,"0")</f>
        <v>0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54"/>
      <c r="AB533" s="654"/>
      <c r="AC533" s="654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85"/>
      <c r="P534" s="668" t="s">
        <v>72</v>
      </c>
      <c r="Q534" s="669"/>
      <c r="R534" s="669"/>
      <c r="S534" s="669"/>
      <c r="T534" s="669"/>
      <c r="U534" s="669"/>
      <c r="V534" s="670"/>
      <c r="W534" s="37" t="s">
        <v>67</v>
      </c>
      <c r="X534" s="653">
        <f>IFERROR(SUM(X526:X532),"0")</f>
        <v>0</v>
      </c>
      <c r="Y534" s="653">
        <f>IFERROR(SUM(Y526:Y532),"0")</f>
        <v>0</v>
      </c>
      <c r="Z534" s="37"/>
      <c r="AA534" s="654"/>
      <c r="AB534" s="654"/>
      <c r="AC534" s="654"/>
    </row>
    <row r="535" spans="1:68" ht="27.75" hidden="1" customHeight="1" x14ac:dyDescent="0.2">
      <c r="A535" s="664" t="s">
        <v>851</v>
      </c>
      <c r="B535" s="665"/>
      <c r="C535" s="665"/>
      <c r="D535" s="665"/>
      <c r="E535" s="665"/>
      <c r="F535" s="665"/>
      <c r="G535" s="665"/>
      <c r="H535" s="665"/>
      <c r="I535" s="665"/>
      <c r="J535" s="665"/>
      <c r="K535" s="665"/>
      <c r="L535" s="665"/>
      <c r="M535" s="665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48"/>
      <c r="AB535" s="48"/>
      <c r="AC535" s="48"/>
    </row>
    <row r="536" spans="1:68" ht="16.5" hidden="1" customHeight="1" x14ac:dyDescent="0.25">
      <c r="A536" s="666" t="s">
        <v>851</v>
      </c>
      <c r="B536" s="667"/>
      <c r="C536" s="667"/>
      <c r="D536" s="667"/>
      <c r="E536" s="667"/>
      <c r="F536" s="667"/>
      <c r="G536" s="667"/>
      <c r="H536" s="667"/>
      <c r="I536" s="667"/>
      <c r="J536" s="667"/>
      <c r="K536" s="667"/>
      <c r="L536" s="667"/>
      <c r="M536" s="667"/>
      <c r="N536" s="667"/>
      <c r="O536" s="667"/>
      <c r="P536" s="667"/>
      <c r="Q536" s="667"/>
      <c r="R536" s="667"/>
      <c r="S536" s="667"/>
      <c r="T536" s="667"/>
      <c r="U536" s="667"/>
      <c r="V536" s="667"/>
      <c r="W536" s="667"/>
      <c r="X536" s="667"/>
      <c r="Y536" s="667"/>
      <c r="Z536" s="667"/>
      <c r="AA536" s="645"/>
      <c r="AB536" s="645"/>
      <c r="AC536" s="645"/>
    </row>
    <row r="537" spans="1:68" ht="14.25" hidden="1" customHeight="1" x14ac:dyDescent="0.25">
      <c r="A537" s="671" t="s">
        <v>111</v>
      </c>
      <c r="B537" s="667"/>
      <c r="C537" s="667"/>
      <c r="D537" s="667"/>
      <c r="E537" s="667"/>
      <c r="F537" s="667"/>
      <c r="G537" s="667"/>
      <c r="H537" s="667"/>
      <c r="I537" s="667"/>
      <c r="J537" s="667"/>
      <c r="K537" s="667"/>
      <c r="L537" s="667"/>
      <c r="M537" s="667"/>
      <c r="N537" s="667"/>
      <c r="O537" s="667"/>
      <c r="P537" s="667"/>
      <c r="Q537" s="667"/>
      <c r="R537" s="667"/>
      <c r="S537" s="667"/>
      <c r="T537" s="667"/>
      <c r="U537" s="667"/>
      <c r="V537" s="667"/>
      <c r="W537" s="667"/>
      <c r="X537" s="667"/>
      <c r="Y537" s="667"/>
      <c r="Z537" s="667"/>
      <c r="AA537" s="646"/>
      <c r="AB537" s="646"/>
      <c r="AC537" s="646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84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85"/>
      <c r="P539" s="668" t="s">
        <v>72</v>
      </c>
      <c r="Q539" s="669"/>
      <c r="R539" s="669"/>
      <c r="S539" s="669"/>
      <c r="T539" s="669"/>
      <c r="U539" s="669"/>
      <c r="V539" s="670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85"/>
      <c r="P540" s="668" t="s">
        <v>72</v>
      </c>
      <c r="Q540" s="669"/>
      <c r="R540" s="669"/>
      <c r="S540" s="669"/>
      <c r="T540" s="669"/>
      <c r="U540" s="669"/>
      <c r="V540" s="670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71" t="s">
        <v>144</v>
      </c>
      <c r="B541" s="667"/>
      <c r="C541" s="667"/>
      <c r="D541" s="667"/>
      <c r="E541" s="667"/>
      <c r="F541" s="667"/>
      <c r="G541" s="667"/>
      <c r="H541" s="667"/>
      <c r="I541" s="667"/>
      <c r="J541" s="667"/>
      <c r="K541" s="667"/>
      <c r="L541" s="667"/>
      <c r="M541" s="667"/>
      <c r="N541" s="667"/>
      <c r="O541" s="667"/>
      <c r="P541" s="667"/>
      <c r="Q541" s="667"/>
      <c r="R541" s="667"/>
      <c r="S541" s="667"/>
      <c r="T541" s="667"/>
      <c r="U541" s="667"/>
      <c r="V541" s="667"/>
      <c r="W541" s="667"/>
      <c r="X541" s="667"/>
      <c r="Y541" s="667"/>
      <c r="Z541" s="667"/>
      <c r="AA541" s="646"/>
      <c r="AB541" s="646"/>
      <c r="AC541" s="646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84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85"/>
      <c r="P543" s="668" t="s">
        <v>72</v>
      </c>
      <c r="Q543" s="669"/>
      <c r="R543" s="669"/>
      <c r="S543" s="669"/>
      <c r="T543" s="669"/>
      <c r="U543" s="669"/>
      <c r="V543" s="670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85"/>
      <c r="P544" s="668" t="s">
        <v>72</v>
      </c>
      <c r="Q544" s="669"/>
      <c r="R544" s="669"/>
      <c r="S544" s="669"/>
      <c r="T544" s="669"/>
      <c r="U544" s="669"/>
      <c r="V544" s="670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71" t="s">
        <v>62</v>
      </c>
      <c r="B545" s="667"/>
      <c r="C545" s="667"/>
      <c r="D545" s="667"/>
      <c r="E545" s="667"/>
      <c r="F545" s="667"/>
      <c r="G545" s="667"/>
      <c r="H545" s="667"/>
      <c r="I545" s="667"/>
      <c r="J545" s="667"/>
      <c r="K545" s="667"/>
      <c r="L545" s="667"/>
      <c r="M545" s="667"/>
      <c r="N545" s="667"/>
      <c r="O545" s="667"/>
      <c r="P545" s="667"/>
      <c r="Q545" s="667"/>
      <c r="R545" s="667"/>
      <c r="S545" s="667"/>
      <c r="T545" s="667"/>
      <c r="U545" s="667"/>
      <c r="V545" s="667"/>
      <c r="W545" s="667"/>
      <c r="X545" s="667"/>
      <c r="Y545" s="667"/>
      <c r="Z545" s="667"/>
      <c r="AA545" s="646"/>
      <c r="AB545" s="646"/>
      <c r="AC545" s="646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84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85"/>
      <c r="P547" s="668" t="s">
        <v>72</v>
      </c>
      <c r="Q547" s="669"/>
      <c r="R547" s="669"/>
      <c r="S547" s="669"/>
      <c r="T547" s="669"/>
      <c r="U547" s="669"/>
      <c r="V547" s="670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85"/>
      <c r="P548" s="668" t="s">
        <v>72</v>
      </c>
      <c r="Q548" s="669"/>
      <c r="R548" s="669"/>
      <c r="S548" s="669"/>
      <c r="T548" s="669"/>
      <c r="U548" s="669"/>
      <c r="V548" s="670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71" t="s">
        <v>74</v>
      </c>
      <c r="B549" s="667"/>
      <c r="C549" s="667"/>
      <c r="D549" s="667"/>
      <c r="E549" s="667"/>
      <c r="F549" s="667"/>
      <c r="G549" s="667"/>
      <c r="H549" s="667"/>
      <c r="I549" s="667"/>
      <c r="J549" s="667"/>
      <c r="K549" s="667"/>
      <c r="L549" s="667"/>
      <c r="M549" s="667"/>
      <c r="N549" s="667"/>
      <c r="O549" s="667"/>
      <c r="P549" s="667"/>
      <c r="Q549" s="667"/>
      <c r="R549" s="667"/>
      <c r="S549" s="667"/>
      <c r="T549" s="667"/>
      <c r="U549" s="667"/>
      <c r="V549" s="667"/>
      <c r="W549" s="667"/>
      <c r="X549" s="667"/>
      <c r="Y549" s="667"/>
      <c r="Z549" s="667"/>
      <c r="AA549" s="646"/>
      <c r="AB549" s="646"/>
      <c r="AC549" s="646"/>
    </row>
    <row r="550" spans="1:68" ht="27" hidden="1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84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85"/>
      <c r="P551" s="668" t="s">
        <v>72</v>
      </c>
      <c r="Q551" s="669"/>
      <c r="R551" s="669"/>
      <c r="S551" s="669"/>
      <c r="T551" s="669"/>
      <c r="U551" s="669"/>
      <c r="V551" s="670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85"/>
      <c r="P552" s="668" t="s">
        <v>72</v>
      </c>
      <c r="Q552" s="669"/>
      <c r="R552" s="669"/>
      <c r="S552" s="669"/>
      <c r="T552" s="669"/>
      <c r="U552" s="669"/>
      <c r="V552" s="670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hidden="1" customHeight="1" x14ac:dyDescent="0.25">
      <c r="A553" s="671" t="s">
        <v>162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46"/>
      <c r="AB553" s="646"/>
      <c r="AC553" s="646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84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85"/>
      <c r="P556" s="668" t="s">
        <v>72</v>
      </c>
      <c r="Q556" s="669"/>
      <c r="R556" s="669"/>
      <c r="S556" s="669"/>
      <c r="T556" s="669"/>
      <c r="U556" s="669"/>
      <c r="V556" s="670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85"/>
      <c r="P557" s="668" t="s">
        <v>72</v>
      </c>
      <c r="Q557" s="669"/>
      <c r="R557" s="669"/>
      <c r="S557" s="669"/>
      <c r="T557" s="669"/>
      <c r="U557" s="669"/>
      <c r="V557" s="670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6" t="s">
        <v>870</v>
      </c>
      <c r="B558" s="667"/>
      <c r="C558" s="667"/>
      <c r="D558" s="667"/>
      <c r="E558" s="667"/>
      <c r="F558" s="667"/>
      <c r="G558" s="667"/>
      <c r="H558" s="667"/>
      <c r="I558" s="667"/>
      <c r="J558" s="667"/>
      <c r="K558" s="667"/>
      <c r="L558" s="667"/>
      <c r="M558" s="667"/>
      <c r="N558" s="667"/>
      <c r="O558" s="667"/>
      <c r="P558" s="667"/>
      <c r="Q558" s="667"/>
      <c r="R558" s="667"/>
      <c r="S558" s="667"/>
      <c r="T558" s="667"/>
      <c r="U558" s="667"/>
      <c r="V558" s="667"/>
      <c r="W558" s="667"/>
      <c r="X558" s="667"/>
      <c r="Y558" s="667"/>
      <c r="Z558" s="667"/>
      <c r="AA558" s="645"/>
      <c r="AB558" s="645"/>
      <c r="AC558" s="645"/>
    </row>
    <row r="559" spans="1:68" ht="14.25" hidden="1" customHeight="1" x14ac:dyDescent="0.25">
      <c r="A559" s="671" t="s">
        <v>144</v>
      </c>
      <c r="B559" s="667"/>
      <c r="C559" s="667"/>
      <c r="D559" s="667"/>
      <c r="E559" s="667"/>
      <c r="F559" s="667"/>
      <c r="G559" s="667"/>
      <c r="H559" s="667"/>
      <c r="I559" s="667"/>
      <c r="J559" s="667"/>
      <c r="K559" s="667"/>
      <c r="L559" s="667"/>
      <c r="M559" s="667"/>
      <c r="N559" s="667"/>
      <c r="O559" s="667"/>
      <c r="P559" s="667"/>
      <c r="Q559" s="667"/>
      <c r="R559" s="667"/>
      <c r="S559" s="667"/>
      <c r="T559" s="667"/>
      <c r="U559" s="667"/>
      <c r="V559" s="667"/>
      <c r="W559" s="667"/>
      <c r="X559" s="667"/>
      <c r="Y559" s="667"/>
      <c r="Z559" s="667"/>
      <c r="AA559" s="646"/>
      <c r="AB559" s="646"/>
      <c r="AC559" s="646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84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85"/>
      <c r="P561" s="668" t="s">
        <v>72</v>
      </c>
      <c r="Q561" s="669"/>
      <c r="R561" s="669"/>
      <c r="S561" s="669"/>
      <c r="T561" s="669"/>
      <c r="U561" s="669"/>
      <c r="V561" s="670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85"/>
      <c r="P562" s="668" t="s">
        <v>72</v>
      </c>
      <c r="Q562" s="669"/>
      <c r="R562" s="669"/>
      <c r="S562" s="669"/>
      <c r="T562" s="669"/>
      <c r="U562" s="669"/>
      <c r="V562" s="670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4511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4572.5999999999995</v>
      </c>
      <c r="Z563" s="37"/>
      <c r="AA563" s="654"/>
      <c r="AB563" s="654"/>
      <c r="AC563" s="654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4945.365400859544</v>
      </c>
      <c r="Y564" s="653">
        <f>IFERROR(SUM(BN22:BN560),"0")</f>
        <v>5012.607</v>
      </c>
      <c r="Z564" s="37"/>
      <c r="AA564" s="654"/>
      <c r="AB564" s="654"/>
      <c r="AC564" s="654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10</v>
      </c>
      <c r="Y565" s="38">
        <f>ROUNDUP(SUM(BP22:BP560),0)</f>
        <v>10</v>
      </c>
      <c r="Z565" s="37"/>
      <c r="AA565" s="654"/>
      <c r="AB565" s="654"/>
      <c r="AC565" s="654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5195.365400859544</v>
      </c>
      <c r="Y566" s="653">
        <f>GrossWeightTotalR+PalletQtyTotalR*25</f>
        <v>5262.607</v>
      </c>
      <c r="Z566" s="37"/>
      <c r="AA566" s="654"/>
      <c r="AB566" s="654"/>
      <c r="AC566" s="654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1459.7608636297361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1480</v>
      </c>
      <c r="Z567" s="37"/>
      <c r="AA567" s="654"/>
      <c r="AB567" s="654"/>
      <c r="AC567" s="654"/>
    </row>
    <row r="568" spans="1:32" ht="14.25" hidden="1" customHeight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11.359089999999998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3" t="s">
        <v>61</v>
      </c>
      <c r="C570" s="643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3" t="s">
        <v>804</v>
      </c>
      <c r="AB570" s="674" t="s">
        <v>851</v>
      </c>
      <c r="AC570" s="743"/>
      <c r="AF570" s="644"/>
    </row>
    <row r="571" spans="1:32" ht="14.25" customHeight="1" thickTop="1" x14ac:dyDescent="0.2">
      <c r="A571" s="916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4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4"/>
    </row>
    <row r="572" spans="1:32" ht="13.5" customHeight="1" thickBot="1" x14ac:dyDescent="0.25">
      <c r="A572" s="917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4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4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12.6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18.5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478.1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1045.2</v>
      </c>
      <c r="H573" s="46">
        <f>IFERROR(Y140*1,"0")+IFERROR(Y141*1,"0")+IFERROR(Y145*1,"0")+IFERROR(Y146*1,"0")+IFERROR(Y150*1,"0")+IFERROR(Y151*1,"0")</f>
        <v>19.200000000000003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378.64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160.66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1154.7</v>
      </c>
      <c r="N573" s="644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74.400000000000006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0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92.1</v>
      </c>
      <c r="U573" s="46">
        <f>IFERROR(Y421*1,"0")+IFERROR(Y422*1,"0")</f>
        <v>0</v>
      </c>
      <c r="V573" s="46">
        <f>IFERROR(Y427*1,"0")+IFERROR(Y428*1,"0")+IFERROR(Y429*1,"0")</f>
        <v>77.7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0</v>
      </c>
      <c r="X573" s="46">
        <f>IFERROR(Y464*1,"0")+IFERROR(Y465*1,"0")+IFERROR(Y469*1,"0")+IFERROR(Y473*1,"0")+IFERROR(Y474*1,"0")+IFERROR(Y475*1,"0")</f>
        <v>873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182.4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4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459,76"/>
        <filter val="1,18"/>
        <filter val="1,25"/>
        <filter val="10"/>
        <filter val="10,00"/>
        <filter val="100,00"/>
        <filter val="117,62"/>
        <filter val="118,89"/>
        <filter val="12,00"/>
        <filter val="14,00"/>
        <filter val="147,00"/>
        <filter val="15,00"/>
        <filter val="15,29"/>
        <filter val="150,00"/>
        <filter val="16,00"/>
        <filter val="166,67"/>
        <filter val="17,00"/>
        <filter val="18,75"/>
        <filter val="19,00"/>
        <filter val="191,19"/>
        <filter val="2,22"/>
        <filter val="2,67"/>
        <filter val="20,00"/>
        <filter val="205,00"/>
        <filter val="21,00"/>
        <filter val="211,11"/>
        <filter val="225,00"/>
        <filter val="24,00"/>
        <filter val="25,00"/>
        <filter val="26,00"/>
        <filter val="29,50"/>
        <filter val="3,00"/>
        <filter val="3,33"/>
        <filter val="30,00"/>
        <filter val="32,00"/>
        <filter val="35,00"/>
        <filter val="355,00"/>
        <filter val="36,67"/>
        <filter val="360,00"/>
        <filter val="370,31"/>
        <filter val="4 511,00"/>
        <filter val="4 945,37"/>
        <filter val="4,00"/>
        <filter val="4,05"/>
        <filter val="40,00"/>
        <filter val="42,00"/>
        <filter val="43,52"/>
        <filter val="450,00"/>
        <filter val="48,00"/>
        <filter val="5 195,37"/>
        <filter val="5,00"/>
        <filter val="5,31"/>
        <filter val="5,56"/>
        <filter val="50,00"/>
        <filter val="53,00"/>
        <filter val="56,00"/>
        <filter val="59,00"/>
        <filter val="6,00"/>
        <filter val="6,67"/>
        <filter val="600,00"/>
        <filter val="7,00"/>
        <filter val="70,00"/>
        <filter val="72,00"/>
        <filter val="77,00"/>
        <filter val="8,00"/>
        <filter val="8,89"/>
        <filter val="80,00"/>
        <filter val="800,00"/>
        <filter val="810,00"/>
        <filter val="872,00"/>
        <filter val="9,00"/>
        <filter val="90,00"/>
        <filter val="938,00"/>
      </filters>
    </filterColumn>
    <filterColumn colId="29" showButton="0"/>
    <filterColumn colId="30" showButton="0"/>
  </autoFilter>
  <mergeCells count="1011">
    <mergeCell ref="A8:C8"/>
    <mergeCell ref="P124:T124"/>
    <mergeCell ref="P447:T447"/>
    <mergeCell ref="K571:K572"/>
    <mergeCell ref="P163:V163"/>
    <mergeCell ref="D293:E29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363:T363"/>
    <mergeCell ref="D17:E18"/>
    <mergeCell ref="D173:E173"/>
    <mergeCell ref="D344:E344"/>
    <mergeCell ref="A479:Z479"/>
    <mergeCell ref="D515:E515"/>
    <mergeCell ref="P71:T71"/>
    <mergeCell ref="D542:E542"/>
    <mergeCell ref="P313:T313"/>
    <mergeCell ref="V12:W12"/>
    <mergeCell ref="D191:E191"/>
    <mergeCell ref="D458:E458"/>
    <mergeCell ref="A506:Z506"/>
    <mergeCell ref="A362:Z362"/>
    <mergeCell ref="P43:V43"/>
    <mergeCell ref="D237:E237"/>
    <mergeCell ref="P285:V285"/>
    <mergeCell ref="P85:T85"/>
    <mergeCell ref="A142:O143"/>
    <mergeCell ref="P383:T383"/>
    <mergeCell ref="A202:O203"/>
    <mergeCell ref="D522:E522"/>
    <mergeCell ref="P60:T60"/>
    <mergeCell ref="D291:E291"/>
    <mergeCell ref="A329:O330"/>
    <mergeCell ref="A103:Z103"/>
    <mergeCell ref="D239:E239"/>
    <mergeCell ref="D95:E95"/>
    <mergeCell ref="D266:E266"/>
    <mergeCell ref="P74:V74"/>
    <mergeCell ref="U17:V17"/>
    <mergeCell ref="Y17:Y18"/>
    <mergeCell ref="P410:T410"/>
    <mergeCell ref="D57:E57"/>
    <mergeCell ref="A449:O450"/>
    <mergeCell ref="X17:X18"/>
    <mergeCell ref="D123:E123"/>
    <mergeCell ref="P58:T58"/>
    <mergeCell ref="D421:E421"/>
    <mergeCell ref="A163:O164"/>
    <mergeCell ref="A494:Z494"/>
    <mergeCell ref="A425:Z425"/>
    <mergeCell ref="P292:T292"/>
    <mergeCell ref="P81:V81"/>
    <mergeCell ref="A487:O488"/>
    <mergeCell ref="P528:T528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P373:T373"/>
    <mergeCell ref="D408:E408"/>
    <mergeCell ref="W570:X570"/>
    <mergeCell ref="A536:Z536"/>
    <mergeCell ref="P132:V132"/>
    <mergeCell ref="N17:N18"/>
    <mergeCell ref="D49:E49"/>
    <mergeCell ref="Q5:R5"/>
    <mergeCell ref="F17:F18"/>
    <mergeCell ref="P72:T72"/>
    <mergeCell ref="P199:T199"/>
    <mergeCell ref="D242:E242"/>
    <mergeCell ref="P297:T297"/>
    <mergeCell ref="P370:T370"/>
    <mergeCell ref="D107:E107"/>
    <mergeCell ref="D278:E278"/>
    <mergeCell ref="P291:T291"/>
    <mergeCell ref="D234:E234"/>
    <mergeCell ref="P288:T288"/>
    <mergeCell ref="P435:T435"/>
    <mergeCell ref="A24:O25"/>
    <mergeCell ref="P65:T65"/>
    <mergeCell ref="A478:Z478"/>
    <mergeCell ref="P484:T484"/>
    <mergeCell ref="P305:V305"/>
    <mergeCell ref="D171:E171"/>
    <mergeCell ref="D342:E342"/>
    <mergeCell ref="P293:T293"/>
    <mergeCell ref="D336:E336"/>
    <mergeCell ref="Q6:R6"/>
    <mergeCell ref="P200:T200"/>
    <mergeCell ref="P134:T134"/>
    <mergeCell ref="A385:O386"/>
    <mergeCell ref="P243:T243"/>
    <mergeCell ref="D216:E216"/>
    <mergeCell ref="P344:T344"/>
    <mergeCell ref="P515:T515"/>
    <mergeCell ref="A20:Z20"/>
    <mergeCell ref="P300:V300"/>
    <mergeCell ref="D452:E452"/>
    <mergeCell ref="P493:V493"/>
    <mergeCell ref="P431:V431"/>
    <mergeCell ref="P123:T123"/>
    <mergeCell ref="D550:E550"/>
    <mergeCell ref="P421:T421"/>
    <mergeCell ref="A411:O412"/>
    <mergeCell ref="P110:T110"/>
    <mergeCell ref="A348:Z348"/>
    <mergeCell ref="A541:Z541"/>
    <mergeCell ref="P408:T408"/>
    <mergeCell ref="P137:V137"/>
    <mergeCell ref="D218:E218"/>
    <mergeCell ref="P197:V197"/>
    <mergeCell ref="A258:O259"/>
    <mergeCell ref="D247:E247"/>
    <mergeCell ref="A176:Z176"/>
    <mergeCell ref="A347:Z347"/>
    <mergeCell ref="A114:Z114"/>
    <mergeCell ref="P68:V68"/>
    <mergeCell ref="P439:T439"/>
    <mergeCell ref="D249:E249"/>
    <mergeCell ref="D105:E105"/>
    <mergeCell ref="D276:E276"/>
    <mergeCell ref="P524:V524"/>
    <mergeCell ref="A549:Z549"/>
    <mergeCell ref="P436:T436"/>
    <mergeCell ref="M571:M572"/>
    <mergeCell ref="D10:E10"/>
    <mergeCell ref="P64:T64"/>
    <mergeCell ref="F10:G10"/>
    <mergeCell ref="P135:T135"/>
    <mergeCell ref="P191:T191"/>
    <mergeCell ref="D243:E243"/>
    <mergeCell ref="D99:E99"/>
    <mergeCell ref="P349:T349"/>
    <mergeCell ref="D397:E397"/>
    <mergeCell ref="P376:V376"/>
    <mergeCell ref="D528:E528"/>
    <mergeCell ref="P128:T128"/>
    <mergeCell ref="D310:E310"/>
    <mergeCell ref="P364:T364"/>
    <mergeCell ref="AD17:AF18"/>
    <mergeCell ref="P167:V167"/>
    <mergeCell ref="P142:V142"/>
    <mergeCell ref="P411:V411"/>
    <mergeCell ref="P467:V467"/>
    <mergeCell ref="A463:Z463"/>
    <mergeCell ref="P67:T67"/>
    <mergeCell ref="P509:T509"/>
    <mergeCell ref="P186:T186"/>
    <mergeCell ref="J571:J572"/>
    <mergeCell ref="D221:E221"/>
    <mergeCell ref="V11:W11"/>
    <mergeCell ref="A394:Z394"/>
    <mergeCell ref="P57:T57"/>
    <mergeCell ref="A497:O498"/>
    <mergeCell ref="D475:E475"/>
    <mergeCell ref="P486:T486"/>
    <mergeCell ref="P556:V556"/>
    <mergeCell ref="A547:O548"/>
    <mergeCell ref="D531:E531"/>
    <mergeCell ref="P456:V456"/>
    <mergeCell ref="D177:E177"/>
    <mergeCell ref="P183:T183"/>
    <mergeCell ref="D226:E226"/>
    <mergeCell ref="P523:V523"/>
    <mergeCell ref="P365:T365"/>
    <mergeCell ref="P2:W3"/>
    <mergeCell ref="P498:V498"/>
    <mergeCell ref="D560:E560"/>
    <mergeCell ref="P127:T127"/>
    <mergeCell ref="P298:T298"/>
    <mergeCell ref="D241:E241"/>
    <mergeCell ref="D437:E437"/>
    <mergeCell ref="D508:E508"/>
    <mergeCell ref="A244:O245"/>
    <mergeCell ref="A170:Z170"/>
    <mergeCell ref="D333:E333"/>
    <mergeCell ref="D404:E404"/>
    <mergeCell ref="D526:E526"/>
    <mergeCell ref="F5:G5"/>
    <mergeCell ref="P342:T342"/>
    <mergeCell ref="P146:T146"/>
    <mergeCell ref="P406:V406"/>
    <mergeCell ref="A136:O137"/>
    <mergeCell ref="D279:E279"/>
    <mergeCell ref="D521:E521"/>
    <mergeCell ref="A254:Z254"/>
    <mergeCell ref="P357:T357"/>
    <mergeCell ref="D29:E29"/>
    <mergeCell ref="B571:B572"/>
    <mergeCell ref="D571:D572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105:T105"/>
    <mergeCell ref="P276:T276"/>
    <mergeCell ref="D86:E86"/>
    <mergeCell ref="D257:E257"/>
    <mergeCell ref="D384:E384"/>
    <mergeCell ref="D151:E151"/>
    <mergeCell ref="A457:Z457"/>
    <mergeCell ref="P49:T49"/>
    <mergeCell ref="P284:V284"/>
    <mergeCell ref="P107:T107"/>
    <mergeCell ref="D150:E150"/>
    <mergeCell ref="P278:T278"/>
    <mergeCell ref="D215:E215"/>
    <mergeCell ref="P465:T465"/>
    <mergeCell ref="D513:E513"/>
    <mergeCell ref="A246:Z246"/>
    <mergeCell ref="P492:V492"/>
    <mergeCell ref="A317:Z317"/>
    <mergeCell ref="P415:T415"/>
    <mergeCell ref="W571:W572"/>
    <mergeCell ref="P336:T336"/>
    <mergeCell ref="Y570:Z570"/>
    <mergeCell ref="D200:E200"/>
    <mergeCell ref="A51:O52"/>
    <mergeCell ref="P555:T555"/>
    <mergeCell ref="P48:T48"/>
    <mergeCell ref="D436:E436"/>
    <mergeCell ref="D292:E292"/>
    <mergeCell ref="A476:O477"/>
    <mergeCell ref="P490:T490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358:E358"/>
    <mergeCell ref="D529:E529"/>
    <mergeCell ref="P32:V32"/>
    <mergeCell ref="Q13:R13"/>
    <mergeCell ref="A155:Z155"/>
    <mergeCell ref="P268:V268"/>
    <mergeCell ref="D318:E318"/>
    <mergeCell ref="P201:T201"/>
    <mergeCell ref="P339:V339"/>
    <mergeCell ref="D389:E389"/>
    <mergeCell ref="M17:M18"/>
    <mergeCell ref="O17:O18"/>
    <mergeCell ref="P131:V131"/>
    <mergeCell ref="V571:V572"/>
    <mergeCell ref="X571:X572"/>
    <mergeCell ref="P106:T106"/>
    <mergeCell ref="P177:T177"/>
    <mergeCell ref="P475:T475"/>
    <mergeCell ref="P93:T93"/>
    <mergeCell ref="P226:T226"/>
    <mergeCell ref="D85:E85"/>
    <mergeCell ref="D256:E256"/>
    <mergeCell ref="P335:T335"/>
    <mergeCell ref="P120:V120"/>
    <mergeCell ref="D383:E383"/>
    <mergeCell ref="D481:E481"/>
    <mergeCell ref="P539:V539"/>
    <mergeCell ref="D370:E370"/>
    <mergeCell ref="A100:O101"/>
    <mergeCell ref="P405:V405"/>
    <mergeCell ref="P476:V476"/>
    <mergeCell ref="P333:T333"/>
    <mergeCell ref="A152:O153"/>
    <mergeCell ref="D314:E314"/>
    <mergeCell ref="A323:O324"/>
    <mergeCell ref="P526:T526"/>
    <mergeCell ref="D159:E159"/>
    <mergeCell ref="P121:V121"/>
    <mergeCell ref="P188:T188"/>
    <mergeCell ref="A505:Z505"/>
    <mergeCell ref="A169:Z169"/>
    <mergeCell ref="A225:Z225"/>
    <mergeCell ref="P471:V471"/>
    <mergeCell ref="D288:E288"/>
    <mergeCell ref="P148:V148"/>
    <mergeCell ref="A571:A572"/>
    <mergeCell ref="C571:C572"/>
    <mergeCell ref="D415:E415"/>
    <mergeCell ref="A455:O456"/>
    <mergeCell ref="P257:T257"/>
    <mergeCell ref="P80:T80"/>
    <mergeCell ref="D194:E194"/>
    <mergeCell ref="Z17:Z18"/>
    <mergeCell ref="AB17:AB18"/>
    <mergeCell ref="A54:Z54"/>
    <mergeCell ref="P100:V100"/>
    <mergeCell ref="A212:Z212"/>
    <mergeCell ref="P563:V563"/>
    <mergeCell ref="D446:E446"/>
    <mergeCell ref="A519:Z519"/>
    <mergeCell ref="A551:O552"/>
    <mergeCell ref="H5:M5"/>
    <mergeCell ref="P329:V329"/>
    <mergeCell ref="P98:T98"/>
    <mergeCell ref="A154:Z154"/>
    <mergeCell ref="A214:Z214"/>
    <mergeCell ref="D146:E146"/>
    <mergeCell ref="P396:T396"/>
    <mergeCell ref="A341:Z341"/>
    <mergeCell ref="D6:M6"/>
    <mergeCell ref="D439:E439"/>
    <mergeCell ref="D510:E510"/>
    <mergeCell ref="A306:Z306"/>
    <mergeCell ref="P565:V565"/>
    <mergeCell ref="P162:T162"/>
    <mergeCell ref="D441:E441"/>
    <mergeCell ref="D512:E512"/>
    <mergeCell ref="V6:W9"/>
    <mergeCell ref="A112:O113"/>
    <mergeCell ref="D128:E128"/>
    <mergeCell ref="P554:T554"/>
    <mergeCell ref="P38:T38"/>
    <mergeCell ref="D199:E199"/>
    <mergeCell ref="P109:T109"/>
    <mergeCell ref="P256:T256"/>
    <mergeCell ref="A299:O300"/>
    <mergeCell ref="D186:E186"/>
    <mergeCell ref="D364:E364"/>
    <mergeCell ref="D217:E217"/>
    <mergeCell ref="D435:E435"/>
    <mergeCell ref="D484:E484"/>
    <mergeCell ref="P22:T22"/>
    <mergeCell ref="D65:E65"/>
    <mergeCell ref="P193:T193"/>
    <mergeCell ref="P314:T314"/>
    <mergeCell ref="P40:T40"/>
    <mergeCell ref="D428:E428"/>
    <mergeCell ref="G17:G18"/>
    <mergeCell ref="A81:O82"/>
    <mergeCell ref="D80:E80"/>
    <mergeCell ref="P42:V42"/>
    <mergeCell ref="P59:T59"/>
    <mergeCell ref="D459:E459"/>
    <mergeCell ref="P130:T130"/>
    <mergeCell ref="P190:T190"/>
    <mergeCell ref="A507:Z507"/>
    <mergeCell ref="P111:T111"/>
    <mergeCell ref="P282:T282"/>
    <mergeCell ref="A539:O540"/>
    <mergeCell ref="A489:Z489"/>
    <mergeCell ref="P316:V316"/>
    <mergeCell ref="H10:M10"/>
    <mergeCell ref="P552:V552"/>
    <mergeCell ref="AA17:AA18"/>
    <mergeCell ref="A377:Z377"/>
    <mergeCell ref="AC17:AC18"/>
    <mergeCell ref="A433:Z433"/>
    <mergeCell ref="P485:T485"/>
    <mergeCell ref="P101:V101"/>
    <mergeCell ref="A122:Z122"/>
    <mergeCell ref="P108:T108"/>
    <mergeCell ref="P279:T279"/>
    <mergeCell ref="D89:E89"/>
    <mergeCell ref="A224:Z224"/>
    <mergeCell ref="A420:Z420"/>
    <mergeCell ref="P147:V147"/>
    <mergeCell ref="P251:T251"/>
    <mergeCell ref="P512:T512"/>
    <mergeCell ref="P343:T343"/>
    <mergeCell ref="A533:O534"/>
    <mergeCell ref="A460:O461"/>
    <mergeCell ref="P530:T530"/>
    <mergeCell ref="P430:V430"/>
    <mergeCell ref="P318:T318"/>
    <mergeCell ref="P409:T409"/>
    <mergeCell ref="P258:V258"/>
    <mergeCell ref="P423:V423"/>
    <mergeCell ref="P52:V52"/>
    <mergeCell ref="P174:V174"/>
    <mergeCell ref="P223:V223"/>
    <mergeCell ref="D23:E23"/>
    <mergeCell ref="Y571:Y572"/>
    <mergeCell ref="P232:T232"/>
    <mergeCell ref="P152:V152"/>
    <mergeCell ref="P159:T159"/>
    <mergeCell ref="D140:E140"/>
    <mergeCell ref="A275:Z275"/>
    <mergeCell ref="D267:E267"/>
    <mergeCell ref="P395:T395"/>
    <mergeCell ref="A340:Z340"/>
    <mergeCell ref="D438:E438"/>
    <mergeCell ref="D509:E509"/>
    <mergeCell ref="P96:T96"/>
    <mergeCell ref="H17:H18"/>
    <mergeCell ref="P261:T261"/>
    <mergeCell ref="P532:T532"/>
    <mergeCell ref="P161:T161"/>
    <mergeCell ref="P217:T217"/>
    <mergeCell ref="P388:T388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156:T156"/>
    <mergeCell ref="P252:V252"/>
    <mergeCell ref="P327:T327"/>
    <mergeCell ref="P500:T500"/>
    <mergeCell ref="J9:M9"/>
    <mergeCell ref="D283:E283"/>
    <mergeCell ref="P440:T440"/>
    <mergeCell ref="A356:Z356"/>
    <mergeCell ref="P538:T538"/>
    <mergeCell ref="A90:O91"/>
    <mergeCell ref="D554:E554"/>
    <mergeCell ref="P141:T141"/>
    <mergeCell ref="D56:E56"/>
    <mergeCell ref="D193:E193"/>
    <mergeCell ref="D127:E127"/>
    <mergeCell ref="P233:T233"/>
    <mergeCell ref="P37:T37"/>
    <mergeCell ref="P448:T448"/>
    <mergeCell ref="D491:E491"/>
    <mergeCell ref="P562:V562"/>
    <mergeCell ref="A273:O274"/>
    <mergeCell ref="D64:E64"/>
    <mergeCell ref="P248:T248"/>
    <mergeCell ref="P518:V518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P571:P572"/>
    <mergeCell ref="D555:E555"/>
    <mergeCell ref="A92:Z92"/>
    <mergeCell ref="P338:V338"/>
    <mergeCell ref="P534:V534"/>
    <mergeCell ref="P227:V227"/>
    <mergeCell ref="A559:Z559"/>
    <mergeCell ref="AB570:AC570"/>
    <mergeCell ref="A138:Z138"/>
    <mergeCell ref="P202:V202"/>
    <mergeCell ref="P380:T380"/>
    <mergeCell ref="A13:M13"/>
    <mergeCell ref="A325:Z325"/>
    <mergeCell ref="P444:V444"/>
    <mergeCell ref="P244:V244"/>
    <mergeCell ref="P315:V315"/>
    <mergeCell ref="P115:T115"/>
    <mergeCell ref="A15:M15"/>
    <mergeCell ref="P238:T238"/>
    <mergeCell ref="D48:E48"/>
    <mergeCell ref="A61:O62"/>
    <mergeCell ref="D490:E490"/>
    <mergeCell ref="A359:O360"/>
    <mergeCell ref="A419:Z419"/>
    <mergeCell ref="P77:T77"/>
    <mergeCell ref="A133:Z133"/>
    <mergeCell ref="A517:O518"/>
    <mergeCell ref="D125:E125"/>
    <mergeCell ref="A264:Z264"/>
    <mergeCell ref="A198:Z198"/>
    <mergeCell ref="A369:Z369"/>
    <mergeCell ref="P446:T446"/>
    <mergeCell ref="O571:O572"/>
    <mergeCell ref="D371:E371"/>
    <mergeCell ref="Q571:Q572"/>
    <mergeCell ref="A252:O253"/>
    <mergeCell ref="D485:E485"/>
    <mergeCell ref="D570:J570"/>
    <mergeCell ref="P320:V320"/>
    <mergeCell ref="A139:Z139"/>
    <mergeCell ref="P216:T216"/>
    <mergeCell ref="P385:V385"/>
    <mergeCell ref="P514:T514"/>
    <mergeCell ref="P360:V360"/>
    <mergeCell ref="D422:E422"/>
    <mergeCell ref="P87:T87"/>
    <mergeCell ref="D130:E130"/>
    <mergeCell ref="D201:E201"/>
    <mergeCell ref="D335:E335"/>
    <mergeCell ref="D372:E372"/>
    <mergeCell ref="A375:O376"/>
    <mergeCell ref="P449:V449"/>
    <mergeCell ref="P516:T516"/>
    <mergeCell ref="D188:E188"/>
    <mergeCell ref="P491:T491"/>
    <mergeCell ref="P322:T322"/>
    <mergeCell ref="P89:T89"/>
    <mergeCell ref="A206:O207"/>
    <mergeCell ref="P309:T309"/>
    <mergeCell ref="D295:E295"/>
    <mergeCell ref="D178:E178"/>
    <mergeCell ref="P88:T88"/>
    <mergeCell ref="D172:E172"/>
    <mergeCell ref="P461:V461"/>
    <mergeCell ref="T5:U5"/>
    <mergeCell ref="D119:E119"/>
    <mergeCell ref="V5:W5"/>
    <mergeCell ref="D190:E190"/>
    <mergeCell ref="P374:T374"/>
    <mergeCell ref="P496:T496"/>
    <mergeCell ref="D40:E40"/>
    <mergeCell ref="D111:E111"/>
    <mergeCell ref="D233:E233"/>
    <mergeCell ref="D282:E282"/>
    <mergeCell ref="D409:E409"/>
    <mergeCell ref="A466:O467"/>
    <mergeCell ref="D469:E469"/>
    <mergeCell ref="Q8:R8"/>
    <mergeCell ref="P140:T140"/>
    <mergeCell ref="D183:E183"/>
    <mergeCell ref="P311:T311"/>
    <mergeCell ref="P267:T267"/>
    <mergeCell ref="P438:T438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P25:V25"/>
    <mergeCell ref="D277:E277"/>
    <mergeCell ref="A208:Z208"/>
    <mergeCell ref="D220:E220"/>
    <mergeCell ref="D391:E391"/>
    <mergeCell ref="P497:V497"/>
    <mergeCell ref="A553:Z553"/>
    <mergeCell ref="A558:Z558"/>
    <mergeCell ref="D157:E157"/>
    <mergeCell ref="D328:E328"/>
    <mergeCell ref="P136:V136"/>
    <mergeCell ref="A545:Z545"/>
    <mergeCell ref="P263:V263"/>
    <mergeCell ref="P228:V228"/>
    <mergeCell ref="A12:M12"/>
    <mergeCell ref="A53:Z53"/>
    <mergeCell ref="D251:E251"/>
    <mergeCell ref="P355:V355"/>
    <mergeCell ref="A495:Z495"/>
    <mergeCell ref="P501:T501"/>
    <mergeCell ref="D343:E343"/>
    <mergeCell ref="P397:T397"/>
    <mergeCell ref="A19:Z19"/>
    <mergeCell ref="P372:T372"/>
    <mergeCell ref="D182:E182"/>
    <mergeCell ref="P310:T310"/>
    <mergeCell ref="A14:M14"/>
    <mergeCell ref="D109:E109"/>
    <mergeCell ref="D280:E280"/>
    <mergeCell ref="A480:Z480"/>
    <mergeCell ref="D538:E538"/>
    <mergeCell ref="D59:E59"/>
    <mergeCell ref="A63:Z63"/>
    <mergeCell ref="P511:T511"/>
    <mergeCell ref="D39:E39"/>
    <mergeCell ref="P75:V75"/>
    <mergeCell ref="P304:V304"/>
    <mergeCell ref="P540:V540"/>
    <mergeCell ref="D96:E96"/>
    <mergeCell ref="P513:T513"/>
    <mergeCell ref="D350:E350"/>
    <mergeCell ref="A563:O568"/>
    <mergeCell ref="D27:E27"/>
    <mergeCell ref="A338:O339"/>
    <mergeCell ref="P15:T16"/>
    <mergeCell ref="D396:E396"/>
    <mergeCell ref="D116:E116"/>
    <mergeCell ref="A430:O431"/>
    <mergeCell ref="D414:E414"/>
    <mergeCell ref="A561:O562"/>
    <mergeCell ref="D352:E352"/>
    <mergeCell ref="P219:T219"/>
    <mergeCell ref="P23:T23"/>
    <mergeCell ref="D162:E162"/>
    <mergeCell ref="P272:T272"/>
    <mergeCell ref="D156:E156"/>
    <mergeCell ref="D327:E327"/>
    <mergeCell ref="A196:O197"/>
    <mergeCell ref="D454:E454"/>
    <mergeCell ref="P308:T308"/>
    <mergeCell ref="D106:E106"/>
    <mergeCell ref="P185:T185"/>
    <mergeCell ref="D416:E416"/>
    <mergeCell ref="P427:T427"/>
    <mergeCell ref="P283:T283"/>
    <mergeCell ref="D93:E93"/>
    <mergeCell ref="P277:T277"/>
    <mergeCell ref="A5:C5"/>
    <mergeCell ref="P418:V418"/>
    <mergeCell ref="P412:V412"/>
    <mergeCell ref="A535:Z535"/>
    <mergeCell ref="P51:V51"/>
    <mergeCell ref="D166:E166"/>
    <mergeCell ref="D337:E337"/>
    <mergeCell ref="A472:Z472"/>
    <mergeCell ref="D464:E464"/>
    <mergeCell ref="D402:E402"/>
    <mergeCell ref="A537:Z537"/>
    <mergeCell ref="A17:A18"/>
    <mergeCell ref="K17:K18"/>
    <mergeCell ref="P195:T195"/>
    <mergeCell ref="C17:C18"/>
    <mergeCell ref="P371:T371"/>
    <mergeCell ref="D37:E37"/>
    <mergeCell ref="D230:E230"/>
    <mergeCell ref="P358:T358"/>
    <mergeCell ref="D401:E401"/>
    <mergeCell ref="P529:T529"/>
    <mergeCell ref="P66:T66"/>
    <mergeCell ref="D9:E9"/>
    <mergeCell ref="D118:E118"/>
    <mergeCell ref="F9:G9"/>
    <mergeCell ref="A354:O355"/>
    <mergeCell ref="P351:T351"/>
    <mergeCell ref="D161:E161"/>
    <mergeCell ref="P289:T289"/>
    <mergeCell ref="D232:E232"/>
    <mergeCell ref="D403:E403"/>
    <mergeCell ref="P422:T422"/>
    <mergeCell ref="A6:C6"/>
    <mergeCell ref="D309:E309"/>
    <mergeCell ref="I571:I572"/>
    <mergeCell ref="P118:T118"/>
    <mergeCell ref="P416:T416"/>
    <mergeCell ref="D88:E88"/>
    <mergeCell ref="A332:Z332"/>
    <mergeCell ref="P403:T403"/>
    <mergeCell ref="P378:T378"/>
    <mergeCell ref="P117:T117"/>
    <mergeCell ref="P55:T55"/>
    <mergeCell ref="D115:E115"/>
    <mergeCell ref="D311:E311"/>
    <mergeCell ref="P182:T182"/>
    <mergeCell ref="P417:V417"/>
    <mergeCell ref="Q12:R12"/>
    <mergeCell ref="P280:T280"/>
    <mergeCell ref="D261:E261"/>
    <mergeCell ref="A470:O471"/>
    <mergeCell ref="D388:E388"/>
    <mergeCell ref="A68:O69"/>
    <mergeCell ref="P196:V196"/>
    <mergeCell ref="P442:T442"/>
    <mergeCell ref="D448:E448"/>
    <mergeCell ref="P119:T119"/>
    <mergeCell ref="D546:E546"/>
    <mergeCell ref="P354:V354"/>
    <mergeCell ref="P62:V62"/>
    <mergeCell ref="D390:E390"/>
    <mergeCell ref="P469:T469"/>
    <mergeCell ref="D530:E530"/>
    <mergeCell ref="A210:O211"/>
    <mergeCell ref="P281:T281"/>
    <mergeCell ref="P414:T414"/>
    <mergeCell ref="P352:T352"/>
    <mergeCell ref="P203:V203"/>
    <mergeCell ref="P470:V470"/>
    <mergeCell ref="D72:E72"/>
    <mergeCell ref="D235:E235"/>
    <mergeCell ref="A301:Z301"/>
    <mergeCell ref="P547:V547"/>
    <mergeCell ref="Q9:R9"/>
    <mergeCell ref="P312:T312"/>
    <mergeCell ref="A331:Z331"/>
    <mergeCell ref="D255:E255"/>
    <mergeCell ref="A556:O557"/>
    <mergeCell ref="P78:T78"/>
    <mergeCell ref="E571:E572"/>
    <mergeCell ref="Q11:R11"/>
    <mergeCell ref="P205:T205"/>
    <mergeCell ref="D322:E322"/>
    <mergeCell ref="G571:G572"/>
    <mergeCell ref="D453:E453"/>
    <mergeCell ref="P239:T239"/>
    <mergeCell ref="D38:E38"/>
    <mergeCell ref="P353:T353"/>
    <mergeCell ref="P82:V82"/>
    <mergeCell ref="P253:V253"/>
    <mergeCell ref="D532:E532"/>
    <mergeCell ref="A262:O263"/>
    <mergeCell ref="A265:Z265"/>
    <mergeCell ref="P303:T303"/>
    <mergeCell ref="P367:V367"/>
    <mergeCell ref="A44:Z44"/>
    <mergeCell ref="A102:Z102"/>
    <mergeCell ref="P17:T18"/>
    <mergeCell ref="A229:Z229"/>
    <mergeCell ref="A400:Z400"/>
    <mergeCell ref="P129:T129"/>
    <mergeCell ref="P323:V323"/>
    <mergeCell ref="P194:T194"/>
    <mergeCell ref="P250:T250"/>
    <mergeCell ref="P50:T50"/>
    <mergeCell ref="D50:E50"/>
    <mergeCell ref="D31:E31"/>
    <mergeCell ref="D158:E158"/>
    <mergeCell ref="A167:O168"/>
    <mergeCell ref="F571:F572"/>
    <mergeCell ref="H571:H572"/>
    <mergeCell ref="D77:E77"/>
    <mergeCell ref="D108:E108"/>
    <mergeCell ref="P187:T187"/>
    <mergeCell ref="P429:T429"/>
    <mergeCell ref="A304:O305"/>
    <mergeCell ref="P546:T546"/>
    <mergeCell ref="P350:T350"/>
    <mergeCell ref="D160:E160"/>
    <mergeCell ref="P481:T481"/>
    <mergeCell ref="I17:I18"/>
    <mergeCell ref="D141:E141"/>
    <mergeCell ref="D135:E135"/>
    <mergeCell ref="P189:T189"/>
    <mergeCell ref="A319:O320"/>
    <mergeCell ref="P424:V424"/>
    <mergeCell ref="A417:O418"/>
    <mergeCell ref="P287:T287"/>
    <mergeCell ref="P551:V551"/>
    <mergeCell ref="AC571:AC572"/>
    <mergeCell ref="AA571:AA572"/>
    <mergeCell ref="P474:T474"/>
    <mergeCell ref="A26:Z26"/>
    <mergeCell ref="D250:E250"/>
    <mergeCell ref="A227:O228"/>
    <mergeCell ref="P97:T97"/>
    <mergeCell ref="P230:T230"/>
    <mergeCell ref="D382:E382"/>
    <mergeCell ref="A398:O399"/>
    <mergeCell ref="D1:F1"/>
    <mergeCell ref="P401:T401"/>
    <mergeCell ref="A468:Z468"/>
    <mergeCell ref="P488:V488"/>
    <mergeCell ref="P47:T47"/>
    <mergeCell ref="A307:Z307"/>
    <mergeCell ref="J17:J18"/>
    <mergeCell ref="L17:L18"/>
    <mergeCell ref="P61:V61"/>
    <mergeCell ref="P359:V359"/>
    <mergeCell ref="D240:E240"/>
    <mergeCell ref="D511:E511"/>
    <mergeCell ref="P255:T255"/>
    <mergeCell ref="P346:V346"/>
    <mergeCell ref="D334:E334"/>
    <mergeCell ref="A165:Z165"/>
    <mergeCell ref="A407:Z407"/>
    <mergeCell ref="P192:T192"/>
    <mergeCell ref="P557:V557"/>
    <mergeCell ref="P112:V112"/>
    <mergeCell ref="P428:T428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269:V269"/>
    <mergeCell ref="A45:Z45"/>
    <mergeCell ref="A387:Z387"/>
    <mergeCell ref="P542:T542"/>
    <mergeCell ref="P399:V399"/>
    <mergeCell ref="D145:E145"/>
    <mergeCell ref="D272:E272"/>
    <mergeCell ref="D381:E381"/>
    <mergeCell ref="D514:E514"/>
    <mergeCell ref="D308:E308"/>
    <mergeCell ref="A492:O493"/>
    <mergeCell ref="P39:T39"/>
    <mergeCell ref="A46:Z46"/>
    <mergeCell ref="D87:E87"/>
    <mergeCell ref="P166:T166"/>
    <mergeCell ref="D209:E209"/>
    <mergeCell ref="P337:T337"/>
    <mergeCell ref="D380:E380"/>
    <mergeCell ref="P402:T402"/>
    <mergeCell ref="P464:T464"/>
    <mergeCell ref="P508:T508"/>
    <mergeCell ref="D516:E516"/>
    <mergeCell ref="P116:T116"/>
    <mergeCell ref="H1:Q1"/>
    <mergeCell ref="P274:V274"/>
    <mergeCell ref="P345:V345"/>
    <mergeCell ref="K570:V570"/>
    <mergeCell ref="P222:V222"/>
    <mergeCell ref="A286:Z286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D117:E117"/>
    <mergeCell ref="P171:T171"/>
    <mergeCell ref="D55:E55"/>
    <mergeCell ref="D30:E30"/>
    <mergeCell ref="A179:O180"/>
    <mergeCell ref="P242:T242"/>
    <mergeCell ref="D353:E353"/>
    <mergeCell ref="A361:Z361"/>
    <mergeCell ref="A543:O544"/>
    <mergeCell ref="D67:E67"/>
    <mergeCell ref="D5:E5"/>
    <mergeCell ref="D303:E303"/>
    <mergeCell ref="P382:T382"/>
    <mergeCell ref="P453:T453"/>
    <mergeCell ref="D496:E496"/>
    <mergeCell ref="A32:O33"/>
    <mergeCell ref="D290:E290"/>
    <mergeCell ref="D7:M7"/>
    <mergeCell ref="D129:E129"/>
    <mergeCell ref="P548:V548"/>
    <mergeCell ref="P91:V91"/>
    <mergeCell ref="D365:E365"/>
    <mergeCell ref="A405:O406"/>
    <mergeCell ref="P236:T236"/>
    <mergeCell ref="D79:E79"/>
    <mergeCell ref="P334:T334"/>
    <mergeCell ref="D442:E442"/>
    <mergeCell ref="P521:T521"/>
    <mergeCell ref="D502:E502"/>
    <mergeCell ref="D302:E302"/>
    <mergeCell ref="S571:S572"/>
    <mergeCell ref="U571:U572"/>
    <mergeCell ref="P173:T173"/>
    <mergeCell ref="D429:E429"/>
    <mergeCell ref="P29:T29"/>
    <mergeCell ref="P271:T271"/>
    <mergeCell ref="P94:T94"/>
    <mergeCell ref="D379:E379"/>
    <mergeCell ref="D8:M8"/>
    <mergeCell ref="P458:T458"/>
    <mergeCell ref="P550:T550"/>
    <mergeCell ref="P237:T237"/>
    <mergeCell ref="P31:T31"/>
    <mergeCell ref="P473:T473"/>
    <mergeCell ref="A462:Z462"/>
    <mergeCell ref="P158:T158"/>
    <mergeCell ref="P180:V180"/>
    <mergeCell ref="P522:T522"/>
    <mergeCell ref="A70:Z70"/>
    <mergeCell ref="P564:V564"/>
    <mergeCell ref="D66:E66"/>
    <mergeCell ref="P113:V113"/>
    <mergeCell ref="D126:E126"/>
    <mergeCell ref="P145:T145"/>
    <mergeCell ref="P381:T381"/>
    <mergeCell ref="D47:E47"/>
    <mergeCell ref="A84:Z84"/>
    <mergeCell ref="D289:E289"/>
    <mergeCell ref="P330:V330"/>
    <mergeCell ref="D351:E351"/>
    <mergeCell ref="P160:T160"/>
    <mergeCell ref="A149:Z149"/>
    <mergeCell ref="D482:E482"/>
    <mergeCell ref="P517:V517"/>
    <mergeCell ref="P209:T209"/>
    <mergeCell ref="P566:V566"/>
    <mergeCell ref="A434:Z434"/>
    <mergeCell ref="P90:V90"/>
    <mergeCell ref="P503:V503"/>
    <mergeCell ref="A213:Z213"/>
    <mergeCell ref="D110:E110"/>
    <mergeCell ref="P234:T234"/>
    <mergeCell ref="A321:Z321"/>
    <mergeCell ref="A144:Z144"/>
    <mergeCell ref="P561:V561"/>
    <mergeCell ref="A120:O121"/>
    <mergeCell ref="D378:E378"/>
    <mergeCell ref="P487:V487"/>
    <mergeCell ref="P95:T95"/>
    <mergeCell ref="P266:T266"/>
    <mergeCell ref="P527:T527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A345:O346"/>
    <mergeCell ref="A443:O444"/>
    <mergeCell ref="A503:O504"/>
    <mergeCell ref="D98:E98"/>
    <mergeCell ref="P30:T30"/>
    <mergeCell ref="D73:E73"/>
    <mergeCell ref="P375:V375"/>
    <mergeCell ref="A147:O148"/>
    <mergeCell ref="P179:V179"/>
    <mergeCell ref="P290:T290"/>
    <mergeCell ref="P452:T452"/>
    <mergeCell ref="P206:V206"/>
    <mergeCell ref="P504:V504"/>
    <mergeCell ref="P104:T104"/>
    <mergeCell ref="P168:V168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Z571:Z572"/>
    <mergeCell ref="P211:V211"/>
    <mergeCell ref="A36:Z36"/>
    <mergeCell ref="P389:T389"/>
    <mergeCell ref="AB571:AB572"/>
    <mergeCell ref="T571:T572"/>
    <mergeCell ref="P454:T454"/>
    <mergeCell ref="D297:E297"/>
    <mergeCell ref="P259:V259"/>
    <mergeCell ref="P153:V153"/>
    <mergeCell ref="P324:V324"/>
    <mergeCell ref="P220:T220"/>
    <mergeCell ref="D312:E312"/>
    <mergeCell ref="P391:T391"/>
    <mergeCell ref="D238:E238"/>
    <mergeCell ref="D486:E486"/>
    <mergeCell ref="P86:T86"/>
    <mergeCell ref="D78:E78"/>
    <mergeCell ref="D134:E134"/>
    <mergeCell ref="P157:T157"/>
    <mergeCell ref="D205:E205"/>
    <mergeCell ref="P328:T328"/>
    <mergeCell ref="P384:T384"/>
    <mergeCell ref="A523:O524"/>
    <mergeCell ref="P249:T249"/>
    <mergeCell ref="P520:T520"/>
    <mergeCell ref="D363:E363"/>
    <mergeCell ref="D357:E357"/>
    <mergeCell ref="P531:T531"/>
    <mergeCell ref="A525:Z525"/>
    <mergeCell ref="P533:V533"/>
    <mergeCell ref="D124:E124"/>
    <mergeCell ref="P79:T79"/>
    <mergeCell ref="D473:E473"/>
    <mergeCell ref="D60:E60"/>
    <mergeCell ref="P73:T73"/>
    <mergeCell ref="D187:E187"/>
    <mergeCell ref="P437:T437"/>
    <mergeCell ref="P231:T231"/>
    <mergeCell ref="P302:T302"/>
    <mergeCell ref="A34:Z34"/>
    <mergeCell ref="A83:Z83"/>
    <mergeCell ref="D410:E410"/>
    <mergeCell ref="P245:V245"/>
    <mergeCell ref="A270:Z270"/>
    <mergeCell ref="P543:V543"/>
    <mergeCell ref="A368:Z368"/>
    <mergeCell ref="H9:I9"/>
    <mergeCell ref="P24:V24"/>
    <mergeCell ref="D281:E281"/>
    <mergeCell ref="P56:T56"/>
    <mergeCell ref="V10:W10"/>
    <mergeCell ref="D195:E195"/>
    <mergeCell ref="P379:T379"/>
    <mergeCell ref="D189:E189"/>
    <mergeCell ref="P299:V299"/>
    <mergeCell ref="P99:T99"/>
    <mergeCell ref="D287:E287"/>
    <mergeCell ref="P393:V393"/>
    <mergeCell ref="D474:E474"/>
    <mergeCell ref="W17:W18"/>
    <mergeCell ref="P502:T502"/>
    <mergeCell ref="D94:E94"/>
    <mergeCell ref="A423:O42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