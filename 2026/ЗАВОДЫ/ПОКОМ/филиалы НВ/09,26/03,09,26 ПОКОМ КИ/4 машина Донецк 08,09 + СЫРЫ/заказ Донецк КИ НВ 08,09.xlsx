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50208A3-9AC3-407E-9B2B-70407990B6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Y430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9" i="1" s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9" i="1" s="1"/>
  <c r="P287" i="1"/>
  <c r="X285" i="1"/>
  <c r="X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Y268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X263" i="1"/>
  <c r="X262" i="1"/>
  <c r="BO261" i="1"/>
  <c r="BM261" i="1"/>
  <c r="Y261" i="1"/>
  <c r="P261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X245" i="1"/>
  <c r="X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BO188" i="1"/>
  <c r="BM188" i="1"/>
  <c r="Y188" i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X148" i="1"/>
  <c r="X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BO134" i="1"/>
  <c r="BM134" i="1"/>
  <c r="Y134" i="1"/>
  <c r="P134" i="1"/>
  <c r="X132" i="1"/>
  <c r="X131" i="1"/>
  <c r="BO130" i="1"/>
  <c r="BM130" i="1"/>
  <c r="Y130" i="1"/>
  <c r="BO129" i="1"/>
  <c r="BM129" i="1"/>
  <c r="Y129" i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O125" i="1"/>
  <c r="BM125" i="1"/>
  <c r="Y125" i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1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Y113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Y33" i="1" s="1"/>
  <c r="P27" i="1"/>
  <c r="X25" i="1"/>
  <c r="X563" i="1" s="1"/>
  <c r="X24" i="1"/>
  <c r="X567" i="1" s="1"/>
  <c r="BP23" i="1"/>
  <c r="BO23" i="1"/>
  <c r="BN23" i="1"/>
  <c r="BM23" i="1"/>
  <c r="Z23" i="1"/>
  <c r="Y23" i="1"/>
  <c r="P23" i="1"/>
  <c r="BO22" i="1"/>
  <c r="X565" i="1" s="1"/>
  <c r="BM22" i="1"/>
  <c r="Y22" i="1"/>
  <c r="P22" i="1"/>
  <c r="H10" i="1"/>
  <c r="H9" i="1"/>
  <c r="A9" i="1"/>
  <c r="D7" i="1"/>
  <c r="Q6" i="1"/>
  <c r="P2" i="1"/>
  <c r="B573" i="1" l="1"/>
  <c r="Y25" i="1"/>
  <c r="BP22" i="1"/>
  <c r="BN22" i="1"/>
  <c r="Z22" i="1"/>
  <c r="Z24" i="1" s="1"/>
  <c r="BP30" i="1"/>
  <c r="BN30" i="1"/>
  <c r="Z30" i="1"/>
  <c r="BP40" i="1"/>
  <c r="BN40" i="1"/>
  <c r="Z40" i="1"/>
  <c r="BP50" i="1"/>
  <c r="BN50" i="1"/>
  <c r="Z50" i="1"/>
  <c r="Y52" i="1"/>
  <c r="E573" i="1"/>
  <c r="Y62" i="1"/>
  <c r="BP55" i="1"/>
  <c r="BN55" i="1"/>
  <c r="Z55" i="1"/>
  <c r="BP59" i="1"/>
  <c r="BN59" i="1"/>
  <c r="Z59" i="1"/>
  <c r="BP67" i="1"/>
  <c r="BN67" i="1"/>
  <c r="Z67" i="1"/>
  <c r="Y69" i="1"/>
  <c r="Y74" i="1"/>
  <c r="BP71" i="1"/>
  <c r="BN71" i="1"/>
  <c r="Z71" i="1"/>
  <c r="Z74" i="1" s="1"/>
  <c r="BP79" i="1"/>
  <c r="BN79" i="1"/>
  <c r="Z79" i="1"/>
  <c r="BP87" i="1"/>
  <c r="BN87" i="1"/>
  <c r="Z87" i="1"/>
  <c r="BP94" i="1"/>
  <c r="BN94" i="1"/>
  <c r="Z94" i="1"/>
  <c r="BP98" i="1"/>
  <c r="BN98" i="1"/>
  <c r="Z98" i="1"/>
  <c r="BP107" i="1"/>
  <c r="BN107" i="1"/>
  <c r="Z107" i="1"/>
  <c r="BP110" i="1"/>
  <c r="BN110" i="1"/>
  <c r="Z110" i="1"/>
  <c r="BP118" i="1"/>
  <c r="BN118" i="1"/>
  <c r="Z118" i="1"/>
  <c r="BP126" i="1"/>
  <c r="BN126" i="1"/>
  <c r="Z126" i="1"/>
  <c r="BP130" i="1"/>
  <c r="BN130" i="1"/>
  <c r="Z130" i="1"/>
  <c r="Y132" i="1"/>
  <c r="Y136" i="1"/>
  <c r="BP134" i="1"/>
  <c r="BN134" i="1"/>
  <c r="Z134" i="1"/>
  <c r="Z136" i="1" s="1"/>
  <c r="BP146" i="1"/>
  <c r="BN146" i="1"/>
  <c r="Z146" i="1"/>
  <c r="Z147" i="1" s="1"/>
  <c r="Y148" i="1"/>
  <c r="Y153" i="1"/>
  <c r="BP150" i="1"/>
  <c r="BN150" i="1"/>
  <c r="Z150" i="1"/>
  <c r="Z152" i="1" s="1"/>
  <c r="BP159" i="1"/>
  <c r="BN159" i="1"/>
  <c r="Z159" i="1"/>
  <c r="Y163" i="1"/>
  <c r="BP172" i="1"/>
  <c r="BN172" i="1"/>
  <c r="Z172" i="1"/>
  <c r="Z174" i="1" s="1"/>
  <c r="BP184" i="1"/>
  <c r="BN184" i="1"/>
  <c r="Z184" i="1"/>
  <c r="BP188" i="1"/>
  <c r="BN188" i="1"/>
  <c r="Z188" i="1"/>
  <c r="BP191" i="1"/>
  <c r="BN191" i="1"/>
  <c r="Z191" i="1"/>
  <c r="Y196" i="1"/>
  <c r="BP200" i="1"/>
  <c r="BN200" i="1"/>
  <c r="Z200" i="1"/>
  <c r="Z202" i="1" s="1"/>
  <c r="BP218" i="1"/>
  <c r="BN218" i="1"/>
  <c r="Z218" i="1"/>
  <c r="Y222" i="1"/>
  <c r="BP231" i="1"/>
  <c r="BN231" i="1"/>
  <c r="Z231" i="1"/>
  <c r="Z244" i="1" s="1"/>
  <c r="BP235" i="1"/>
  <c r="BN235" i="1"/>
  <c r="Z235" i="1"/>
  <c r="BP239" i="1"/>
  <c r="BN239" i="1"/>
  <c r="Z239" i="1"/>
  <c r="BP243" i="1"/>
  <c r="BN243" i="1"/>
  <c r="Z243" i="1"/>
  <c r="Y245" i="1"/>
  <c r="Y252" i="1"/>
  <c r="BP247" i="1"/>
  <c r="BN247" i="1"/>
  <c r="Z247" i="1"/>
  <c r="BP251" i="1"/>
  <c r="BN251" i="1"/>
  <c r="Z251" i="1"/>
  <c r="Y253" i="1"/>
  <c r="Y258" i="1"/>
  <c r="BP255" i="1"/>
  <c r="BN255" i="1"/>
  <c r="Z255" i="1"/>
  <c r="BP272" i="1"/>
  <c r="BN272" i="1"/>
  <c r="Z272" i="1"/>
  <c r="Z273" i="1" s="1"/>
  <c r="Y274" i="1"/>
  <c r="Y285" i="1"/>
  <c r="BP276" i="1"/>
  <c r="BN276" i="1"/>
  <c r="Z276" i="1"/>
  <c r="BP280" i="1"/>
  <c r="BN280" i="1"/>
  <c r="Z280" i="1"/>
  <c r="Y284" i="1"/>
  <c r="BP311" i="1"/>
  <c r="BN311" i="1"/>
  <c r="Z311" i="1"/>
  <c r="Y315" i="1"/>
  <c r="Z329" i="1"/>
  <c r="BP327" i="1"/>
  <c r="BN327" i="1"/>
  <c r="Z327" i="1"/>
  <c r="Y329" i="1"/>
  <c r="BP350" i="1"/>
  <c r="BN350" i="1"/>
  <c r="Z350" i="1"/>
  <c r="Z354" i="1" s="1"/>
  <c r="Y354" i="1"/>
  <c r="BP358" i="1"/>
  <c r="BN358" i="1"/>
  <c r="Z358" i="1"/>
  <c r="Z359" i="1" s="1"/>
  <c r="Y360" i="1"/>
  <c r="S573" i="1"/>
  <c r="Y366" i="1"/>
  <c r="BP363" i="1"/>
  <c r="BN363" i="1"/>
  <c r="Z363" i="1"/>
  <c r="Z366" i="1" s="1"/>
  <c r="Y367" i="1"/>
  <c r="BP372" i="1"/>
  <c r="BN372" i="1"/>
  <c r="Z372" i="1"/>
  <c r="BP380" i="1"/>
  <c r="BN380" i="1"/>
  <c r="Z380" i="1"/>
  <c r="Y386" i="1"/>
  <c r="BP384" i="1"/>
  <c r="BN384" i="1"/>
  <c r="Z384" i="1"/>
  <c r="Z466" i="1"/>
  <c r="F10" i="1"/>
  <c r="J9" i="1"/>
  <c r="F9" i="1"/>
  <c r="A10" i="1"/>
  <c r="X564" i="1"/>
  <c r="X566" i="1" s="1"/>
  <c r="Y24" i="1"/>
  <c r="BP28" i="1"/>
  <c r="BN28" i="1"/>
  <c r="Z28" i="1"/>
  <c r="Z32" i="1" s="1"/>
  <c r="Y32" i="1"/>
  <c r="Z42" i="1"/>
  <c r="BP38" i="1"/>
  <c r="BN38" i="1"/>
  <c r="Z38" i="1"/>
  <c r="Y42" i="1"/>
  <c r="BP48" i="1"/>
  <c r="BN48" i="1"/>
  <c r="Z48" i="1"/>
  <c r="Z51" i="1" s="1"/>
  <c r="BP57" i="1"/>
  <c r="BN57" i="1"/>
  <c r="Z57" i="1"/>
  <c r="Y61" i="1"/>
  <c r="BP65" i="1"/>
  <c r="BN65" i="1"/>
  <c r="Z65" i="1"/>
  <c r="Z68" i="1" s="1"/>
  <c r="BP73" i="1"/>
  <c r="BN73" i="1"/>
  <c r="Z73" i="1"/>
  <c r="Y75" i="1"/>
  <c r="Y82" i="1"/>
  <c r="BP77" i="1"/>
  <c r="BN77" i="1"/>
  <c r="Z77" i="1"/>
  <c r="Z81" i="1" s="1"/>
  <c r="Y81" i="1"/>
  <c r="BP86" i="1"/>
  <c r="BN86" i="1"/>
  <c r="Z86" i="1"/>
  <c r="Z90" i="1" s="1"/>
  <c r="BP89" i="1"/>
  <c r="BN89" i="1"/>
  <c r="Z89" i="1"/>
  <c r="Y91" i="1"/>
  <c r="Y101" i="1"/>
  <c r="BP93" i="1"/>
  <c r="BN93" i="1"/>
  <c r="Z93" i="1"/>
  <c r="Z100" i="1" s="1"/>
  <c r="BP97" i="1"/>
  <c r="BN97" i="1"/>
  <c r="Z97" i="1"/>
  <c r="Y100" i="1"/>
  <c r="BP105" i="1"/>
  <c r="BN105" i="1"/>
  <c r="Z105" i="1"/>
  <c r="Z112" i="1" s="1"/>
  <c r="G573" i="1"/>
  <c r="BP109" i="1"/>
  <c r="BN109" i="1"/>
  <c r="Z109" i="1"/>
  <c r="Y112" i="1"/>
  <c r="Z120" i="1"/>
  <c r="BP116" i="1"/>
  <c r="BN116" i="1"/>
  <c r="Z116" i="1"/>
  <c r="Y120" i="1"/>
  <c r="BP125" i="1"/>
  <c r="BN125" i="1"/>
  <c r="Z125" i="1"/>
  <c r="BP129" i="1"/>
  <c r="BN129" i="1"/>
  <c r="Z129" i="1"/>
  <c r="BP135" i="1"/>
  <c r="BN135" i="1"/>
  <c r="Z135" i="1"/>
  <c r="Y137" i="1"/>
  <c r="H573" i="1"/>
  <c r="Y143" i="1"/>
  <c r="BP140" i="1"/>
  <c r="BN140" i="1"/>
  <c r="Z140" i="1"/>
  <c r="Z142" i="1" s="1"/>
  <c r="Y147" i="1"/>
  <c r="Y152" i="1"/>
  <c r="BP157" i="1"/>
  <c r="BN157" i="1"/>
  <c r="Z157" i="1"/>
  <c r="BP161" i="1"/>
  <c r="BN161" i="1"/>
  <c r="Z161" i="1"/>
  <c r="Z163" i="1" s="1"/>
  <c r="Y174" i="1"/>
  <c r="BP178" i="1"/>
  <c r="BN178" i="1"/>
  <c r="Z178" i="1"/>
  <c r="Z179" i="1" s="1"/>
  <c r="Y180" i="1"/>
  <c r="Y197" i="1"/>
  <c r="BP182" i="1"/>
  <c r="BN182" i="1"/>
  <c r="Z182" i="1"/>
  <c r="BP185" i="1"/>
  <c r="BN185" i="1"/>
  <c r="Z185" i="1"/>
  <c r="BP189" i="1"/>
  <c r="BN189" i="1"/>
  <c r="Z189" i="1"/>
  <c r="BP194" i="1"/>
  <c r="BN194" i="1"/>
  <c r="Z194" i="1"/>
  <c r="Y203" i="1"/>
  <c r="Y202" i="1"/>
  <c r="BP216" i="1"/>
  <c r="BN216" i="1"/>
  <c r="Z216" i="1"/>
  <c r="Z222" i="1" s="1"/>
  <c r="BP220" i="1"/>
  <c r="BN220" i="1"/>
  <c r="Z220" i="1"/>
  <c r="Y244" i="1"/>
  <c r="BP233" i="1"/>
  <c r="BN233" i="1"/>
  <c r="Z233" i="1"/>
  <c r="BP237" i="1"/>
  <c r="BN237" i="1"/>
  <c r="Z237" i="1"/>
  <c r="BP241" i="1"/>
  <c r="BN241" i="1"/>
  <c r="Z241" i="1"/>
  <c r="BP249" i="1"/>
  <c r="BN249" i="1"/>
  <c r="Z249" i="1"/>
  <c r="BP257" i="1"/>
  <c r="BN257" i="1"/>
  <c r="Z257" i="1"/>
  <c r="Y259" i="1"/>
  <c r="Y262" i="1"/>
  <c r="BP261" i="1"/>
  <c r="BN261" i="1"/>
  <c r="Z261" i="1"/>
  <c r="Z262" i="1" s="1"/>
  <c r="Y263" i="1"/>
  <c r="M573" i="1"/>
  <c r="Y269" i="1"/>
  <c r="BP266" i="1"/>
  <c r="BN266" i="1"/>
  <c r="Z266" i="1"/>
  <c r="Z268" i="1" s="1"/>
  <c r="Y273" i="1"/>
  <c r="BP278" i="1"/>
  <c r="BN278" i="1"/>
  <c r="Z278" i="1"/>
  <c r="BP282" i="1"/>
  <c r="BN282" i="1"/>
  <c r="Z282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Y304" i="1"/>
  <c r="BP336" i="1"/>
  <c r="BN336" i="1"/>
  <c r="Z336" i="1"/>
  <c r="Z492" i="1"/>
  <c r="Y393" i="1"/>
  <c r="BP388" i="1"/>
  <c r="BN388" i="1"/>
  <c r="Z388" i="1"/>
  <c r="Y392" i="1"/>
  <c r="Z398" i="1"/>
  <c r="BP396" i="1"/>
  <c r="BN396" i="1"/>
  <c r="Z396" i="1"/>
  <c r="BP404" i="1"/>
  <c r="BN404" i="1"/>
  <c r="Z404" i="1"/>
  <c r="Y406" i="1"/>
  <c r="Y411" i="1"/>
  <c r="BP408" i="1"/>
  <c r="BN408" i="1"/>
  <c r="Z408" i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Z443" i="1" s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Z503" i="1" s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X573" i="1"/>
  <c r="C573" i="1"/>
  <c r="Y43" i="1"/>
  <c r="D573" i="1"/>
  <c r="Y51" i="1"/>
  <c r="F573" i="1"/>
  <c r="Y90" i="1"/>
  <c r="I573" i="1"/>
  <c r="Y164" i="1"/>
  <c r="J573" i="1"/>
  <c r="Y175" i="1"/>
  <c r="K573" i="1"/>
  <c r="Y223" i="1"/>
  <c r="L573" i="1"/>
  <c r="Y228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Z315" i="1" s="1"/>
  <c r="Y330" i="1"/>
  <c r="Z338" i="1"/>
  <c r="BP334" i="1"/>
  <c r="BN334" i="1"/>
  <c r="Z334" i="1"/>
  <c r="Y338" i="1"/>
  <c r="BP343" i="1"/>
  <c r="BN343" i="1"/>
  <c r="Z343" i="1"/>
  <c r="Z345" i="1" s="1"/>
  <c r="BP352" i="1"/>
  <c r="BN352" i="1"/>
  <c r="Z352" i="1"/>
  <c r="Y359" i="1"/>
  <c r="BP365" i="1"/>
  <c r="BN365" i="1"/>
  <c r="Z365" i="1"/>
  <c r="T573" i="1"/>
  <c r="Y375" i="1"/>
  <c r="BP370" i="1"/>
  <c r="BN370" i="1"/>
  <c r="Z370" i="1"/>
  <c r="Z375" i="1" s="1"/>
  <c r="BP374" i="1"/>
  <c r="BN374" i="1"/>
  <c r="Z374" i="1"/>
  <c r="Y376" i="1"/>
  <c r="Y385" i="1"/>
  <c r="BP378" i="1"/>
  <c r="BN378" i="1"/>
  <c r="Z378" i="1"/>
  <c r="Z385" i="1" s="1"/>
  <c r="BP382" i="1"/>
  <c r="BN382" i="1"/>
  <c r="Z382" i="1"/>
  <c r="BP390" i="1"/>
  <c r="BN390" i="1"/>
  <c r="Z390" i="1"/>
  <c r="Y399" i="1"/>
  <c r="Y398" i="1"/>
  <c r="BP402" i="1"/>
  <c r="BN402" i="1"/>
  <c r="Z402" i="1"/>
  <c r="BP410" i="1"/>
  <c r="BN410" i="1"/>
  <c r="Z410" i="1"/>
  <c r="Y412" i="1"/>
  <c r="Y417" i="1"/>
  <c r="BP414" i="1"/>
  <c r="BN414" i="1"/>
  <c r="Z414" i="1"/>
  <c r="Y423" i="1"/>
  <c r="BP428" i="1"/>
  <c r="BN428" i="1"/>
  <c r="Z428" i="1"/>
  <c r="Z430" i="1" s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Z487" i="1" s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517" i="1" l="1"/>
  <c r="Z392" i="1"/>
  <c r="Y567" i="1"/>
  <c r="Y565" i="1"/>
  <c r="Z523" i="1"/>
  <c r="Z417" i="1"/>
  <c r="Z405" i="1"/>
  <c r="Z299" i="1"/>
  <c r="Z533" i="1"/>
  <c r="Z476" i="1"/>
  <c r="Z455" i="1"/>
  <c r="Z411" i="1"/>
  <c r="Z196" i="1"/>
  <c r="Z131" i="1"/>
  <c r="Z284" i="1"/>
  <c r="Z258" i="1"/>
  <c r="Z252" i="1"/>
  <c r="Z61" i="1"/>
  <c r="Z568" i="1" s="1"/>
  <c r="Y564" i="1"/>
  <c r="Y563" i="1"/>
  <c r="Y566" i="1" l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<sst xmlns="http://schemas.openxmlformats.org/spreadsheetml/2006/main" count="2588" uniqueCount="926">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</sst>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topLeftCell="A547" zoomScaleNormal="100" zoomScaleSheetLayoutView="100" workbookViewId="0">
      <selection activeCell="AA569" sqref="AA56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12</v>
      </c>
      <c r="Y29" s="652">
        <f>IFERROR(IF(X29="",0,CEILING((X29/$H29),1)*$H29),"")</f>
        <v>12.6</v>
      </c>
      <c r="Z29" s="36">
        <f>IFERROR(IF(Y29=0,"",ROUNDUP(Y29/H29,0)*0.00651),"")</f>
        <v>4.5569999999999999E-2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21.200000000000003</v>
      </c>
      <c r="BN29" s="64">
        <f>IFERROR(Y29*I29/H29,"0")</f>
        <v>22.259999999999998</v>
      </c>
      <c r="BO29" s="64">
        <f>IFERROR(1/J29*(X29/H29),"0")</f>
        <v>3.6630036630036632E-2</v>
      </c>
      <c r="BP29" s="64">
        <f>IFERROR(1/J29*(Y29/H29),"0")</f>
        <v>3.8461538461538464E-2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6.6666666666666661</v>
      </c>
      <c r="Y32" s="653">
        <f>IFERROR(Y27/H27,"0")+IFERROR(Y28/H28,"0")+IFERROR(Y29/H29,"0")+IFERROR(Y30/H30,"0")+IFERROR(Y31/H31,"0")</f>
        <v>7</v>
      </c>
      <c r="Z32" s="653">
        <f>IFERROR(IF(Z27="",0,Z27),"0")+IFERROR(IF(Z28="",0,Z28),"0")+IFERROR(IF(Z29="",0,Z29),"0")+IFERROR(IF(Z30="",0,Z30),"0")+IFERROR(IF(Z31="",0,Z31),"0")</f>
        <v>4.5569999999999999E-2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12</v>
      </c>
      <c r="Y33" s="653">
        <f>IFERROR(SUM(Y27:Y31),"0")</f>
        <v>12.6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0</v>
      </c>
      <c r="Y47" s="65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65</v>
      </c>
      <c r="Y50" s="652">
        <f>IFERROR(IF(X50="",0,CEILING((X50/$H50),1)*$H50),"")</f>
        <v>66.600000000000009</v>
      </c>
      <c r="Z50" s="36">
        <f>IFERROR(IF(Y50=0,"",ROUNDUP(Y50/H50,0)*0.00902),"")</f>
        <v>0.16236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68.337837837837839</v>
      </c>
      <c r="BN50" s="64">
        <f>IFERROR(Y50*I50/H50,"0")</f>
        <v>70.02000000000001</v>
      </c>
      <c r="BO50" s="64">
        <f>IFERROR(1/J50*(X50/H50),"0")</f>
        <v>0.13308763308763311</v>
      </c>
      <c r="BP50" s="64">
        <f>IFERROR(1/J50*(Y50/H50),"0")</f>
        <v>0.13636363636363635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17.567567567567568</v>
      </c>
      <c r="Y51" s="653">
        <f>IFERROR(Y47/H47,"0")+IFERROR(Y48/H48,"0")+IFERROR(Y49/H49,"0")+IFERROR(Y50/H50,"0")</f>
        <v>18</v>
      </c>
      <c r="Z51" s="653">
        <f>IFERROR(IF(Z47="",0,Z47),"0")+IFERROR(IF(Z48="",0,Z48),"0")+IFERROR(IF(Z49="",0,Z49),"0")+IFERROR(IF(Z50="",0,Z50),"0")</f>
        <v>0.16236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65</v>
      </c>
      <c r="Y52" s="653">
        <f>IFERROR(SUM(Y47:Y50),"0")</f>
        <v>66.600000000000009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259</v>
      </c>
      <c r="Y56" s="652">
        <f t="shared" si="0"/>
        <v>259.20000000000005</v>
      </c>
      <c r="Z56" s="36">
        <f>IFERROR(IF(Y56=0,"",ROUNDUP(Y56/H56,0)*0.01898),"")</f>
        <v>0.45552000000000004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268.8324074074074</v>
      </c>
      <c r="BN56" s="64">
        <f t="shared" si="2"/>
        <v>269.04000000000002</v>
      </c>
      <c r="BO56" s="64">
        <f t="shared" si="3"/>
        <v>0.37471064814814814</v>
      </c>
      <c r="BP56" s="64">
        <f t="shared" si="4"/>
        <v>0.37500000000000006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23.981481481481481</v>
      </c>
      <c r="Y61" s="653">
        <f>IFERROR(Y55/H55,"0")+IFERROR(Y56/H56,"0")+IFERROR(Y57/H57,"0")+IFERROR(Y58/H58,"0")+IFERROR(Y59/H59,"0")+IFERROR(Y60/H60,"0")</f>
        <v>24.000000000000004</v>
      </c>
      <c r="Z61" s="653">
        <f>IFERROR(IF(Z55="",0,Z55),"0")+IFERROR(IF(Z56="",0,Z56),"0")+IFERROR(IF(Z57="",0,Z57),"0")+IFERROR(IF(Z58="",0,Z58),"0")+IFERROR(IF(Z59="",0,Z59),"0")+IFERROR(IF(Z60="",0,Z60),"0")</f>
        <v>0.45552000000000004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259</v>
      </c>
      <c r="Y62" s="653">
        <f>IFERROR(SUM(Y55:Y60),"0")</f>
        <v>259.20000000000005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63</v>
      </c>
      <c r="Y71" s="652">
        <f>IFERROR(IF(X71="",0,CEILING((X71/$H71),1)*$H71),"")</f>
        <v>63</v>
      </c>
      <c r="Z71" s="36">
        <f>IFERROR(IF(Y71=0,"",ROUNDUP(Y71/H71,0)*0.00651),"")</f>
        <v>0.22785</v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71.61</v>
      </c>
      <c r="BN71" s="64">
        <f>IFERROR(Y71*I71/H71,"0")</f>
        <v>71.61</v>
      </c>
      <c r="BO71" s="64">
        <f>IFERROR(1/J71*(X71/H71),"0")</f>
        <v>0.19230769230769232</v>
      </c>
      <c r="BP71" s="64">
        <f>IFERROR(1/J71*(Y71/H71),"0")</f>
        <v>0.19230769230769232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35</v>
      </c>
      <c r="Y74" s="653">
        <f>IFERROR(Y71/H71,"0")+IFERROR(Y72/H72,"0")+IFERROR(Y73/H73,"0")</f>
        <v>35</v>
      </c>
      <c r="Z74" s="653">
        <f>IFERROR(IF(Z71="",0,Z71),"0")+IFERROR(IF(Z72="",0,Z72),"0")+IFERROR(IF(Z73="",0,Z73),"0")</f>
        <v>0.22785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63</v>
      </c>
      <c r="Y75" s="653">
        <f>IFERROR(SUM(Y71:Y73),"0")</f>
        <v>63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30</v>
      </c>
      <c r="Y86" s="652">
        <f>IFERROR(IF(X86="",0,CEILING((X86/$H86),1)*$H86),"")</f>
        <v>30.599999999999998</v>
      </c>
      <c r="Z86" s="36">
        <f>IFERROR(IF(Y86=0,"",ROUNDUP(Y86/H86,0)*0.00726),"")</f>
        <v>0.13067999999999999</v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31.764705882352942</v>
      </c>
      <c r="BN86" s="64">
        <f>IFERROR(Y86*I86/H86,"0")</f>
        <v>32.4</v>
      </c>
      <c r="BO86" s="64">
        <f>IFERROR(1/J86*(X86/H86),"0")</f>
        <v>9.1911764705882359E-2</v>
      </c>
      <c r="BP86" s="64">
        <f>IFERROR(1/J86*(Y86/H86),"0")</f>
        <v>9.375E-2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0</v>
      </c>
      <c r="Y89" s="652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17.647058823529413</v>
      </c>
      <c r="Y90" s="653">
        <f>IFERROR(Y85/H85,"0")+IFERROR(Y86/H86,"0")+IFERROR(Y87/H87,"0")+IFERROR(Y88/H88,"0")+IFERROR(Y89/H89,"0")</f>
        <v>18</v>
      </c>
      <c r="Z90" s="653">
        <f>IFERROR(IF(Z85="",0,Z85),"0")+IFERROR(IF(Z86="",0,Z86),"0")+IFERROR(IF(Z87="",0,Z87),"0")+IFERROR(IF(Z88="",0,Z88),"0")+IFERROR(IF(Z89="",0,Z89),"0")</f>
        <v>0.13067999999999999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30</v>
      </c>
      <c r="Y91" s="653">
        <f>IFERROR(SUM(Y85:Y89),"0")</f>
        <v>30.599999999999998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200</v>
      </c>
      <c r="Y93" s="652">
        <f t="shared" ref="Y93:Y99" si="5"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212.19753086419755</v>
      </c>
      <c r="BN93" s="64">
        <f t="shared" ref="BN93:BN99" si="7">IFERROR(Y93*I93/H93,"0")</f>
        <v>214.85</v>
      </c>
      <c r="BO93" s="64">
        <f t="shared" ref="BO93:BO99" si="8">IFERROR(1/J93*(X93/H93),"0")</f>
        <v>0.38580246913580246</v>
      </c>
      <c r="BP93" s="64">
        <f t="shared" ref="BP93:BP99" si="9">IFERROR(1/J93*(Y93/H93),"0")</f>
        <v>0.390625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765</v>
      </c>
      <c r="Y97" s="652">
        <f t="shared" si="5"/>
        <v>766.80000000000007</v>
      </c>
      <c r="Z97" s="36">
        <f>IFERROR(IF(Y97=0,"",ROUNDUP(Y97/H97,0)*0.00651),"")</f>
        <v>1.84884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836.39999999999986</v>
      </c>
      <c r="BN97" s="64">
        <f t="shared" si="7"/>
        <v>838.36800000000005</v>
      </c>
      <c r="BO97" s="64">
        <f t="shared" si="8"/>
        <v>1.5567765567765568</v>
      </c>
      <c r="BP97" s="64">
        <f t="shared" si="9"/>
        <v>1.5604395604395607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308.02469135802465</v>
      </c>
      <c r="Y100" s="653">
        <f>IFERROR(Y93/H93,"0")+IFERROR(Y94/H94,"0")+IFERROR(Y95/H95,"0")+IFERROR(Y96/H96,"0")+IFERROR(Y97/H97,"0")+IFERROR(Y98/H98,"0")+IFERROR(Y99/H99,"0")</f>
        <v>309</v>
      </c>
      <c r="Z100" s="653">
        <f>IFERROR(IF(Z93="",0,Z93),"0")+IFERROR(IF(Z94="",0,Z94),"0")+IFERROR(IF(Z95="",0,Z95),"0")+IFERROR(IF(Z96="",0,Z96),"0")+IFERROR(IF(Z97="",0,Z97),"0")+IFERROR(IF(Z98="",0,Z98),"0")+IFERROR(IF(Z99="",0,Z99),"0")</f>
        <v>2.32334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965</v>
      </c>
      <c r="Y101" s="653">
        <f>IFERROR(SUM(Y93:Y99),"0")</f>
        <v>969.30000000000007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270</v>
      </c>
      <c r="Y109" s="652">
        <f t="shared" si="10"/>
        <v>270</v>
      </c>
      <c r="Z109" s="36">
        <f>IFERROR(IF(Y109=0,"",ROUNDUP(Y109/H109,0)*0.00902),"")</f>
        <v>0.54120000000000001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281.40000000000003</v>
      </c>
      <c r="BN109" s="64">
        <f t="shared" si="12"/>
        <v>281.40000000000003</v>
      </c>
      <c r="BO109" s="64">
        <f t="shared" si="13"/>
        <v>0.45454545454545459</v>
      </c>
      <c r="BP109" s="64">
        <f t="shared" si="14"/>
        <v>0.45454545454545459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60</v>
      </c>
      <c r="Y112" s="653">
        <f>IFERROR(Y104/H104,"0")+IFERROR(Y105/H105,"0")+IFERROR(Y106/H106,"0")+IFERROR(Y107/H107,"0")+IFERROR(Y108/H108,"0")+IFERROR(Y109/H109,"0")+IFERROR(Y110/H110,"0")+IFERROR(Y111/H111,"0")</f>
        <v>60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0.54120000000000001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270</v>
      </c>
      <c r="Y113" s="653">
        <f>IFERROR(SUM(Y104:Y111),"0")</f>
        <v>270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3</v>
      </c>
      <c r="Y119" s="652">
        <f>IFERROR(IF(X119="",0,CEILING((X119/$H119),1)*$H119),"")</f>
        <v>4.8</v>
      </c>
      <c r="Z119" s="36">
        <f>IFERROR(IF(Y119=0,"",ROUNDUP(Y119/H119,0)*0.00651),"")</f>
        <v>1.302E-2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3.2250000000000001</v>
      </c>
      <c r="BN119" s="64">
        <f>IFERROR(Y119*I119/H119,"0")</f>
        <v>5.16</v>
      </c>
      <c r="BO119" s="64">
        <f>IFERROR(1/J119*(X119/H119),"0")</f>
        <v>6.8681318681318689E-3</v>
      </c>
      <c r="BP119" s="64">
        <f>IFERROR(1/J119*(Y119/H119),"0")</f>
        <v>1.098901098901099E-2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1.25</v>
      </c>
      <c r="Y120" s="653">
        <f>IFERROR(Y115/H115,"0")+IFERROR(Y116/H116,"0")+IFERROR(Y117/H117,"0")+IFERROR(Y118/H118,"0")+IFERROR(Y119/H119,"0")</f>
        <v>2</v>
      </c>
      <c r="Z120" s="653">
        <f>IFERROR(IF(Z115="",0,Z115),"0")+IFERROR(IF(Z116="",0,Z116),"0")+IFERROR(IF(Z117="",0,Z117),"0")+IFERROR(IF(Z118="",0,Z118),"0")+IFERROR(IF(Z119="",0,Z119),"0")</f>
        <v>1.302E-2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3</v>
      </c>
      <c r="Y121" s="653">
        <f>IFERROR(SUM(Y115:Y119),"0")</f>
        <v>4.8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3200</v>
      </c>
      <c r="Y123" s="652">
        <f t="shared" ref="Y123:Y130" si="15">IFERROR(IF(X123="",0,CEILING((X123/$H123),1)*$H123),"")</f>
        <v>3207.6</v>
      </c>
      <c r="Z123" s="36">
        <f>IFERROR(IF(Y123=0,"",ROUNDUP(Y123/H123,0)*0.01898),"")</f>
        <v>7.5160800000000005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3392.7901234567903</v>
      </c>
      <c r="BN123" s="64">
        <f t="shared" ref="BN123:BN130" si="17">IFERROR(Y123*I123/H123,"0")</f>
        <v>3400.8479999999995</v>
      </c>
      <c r="BO123" s="64">
        <f t="shared" ref="BO123:BO130" si="18">IFERROR(1/J123*(X123/H123),"0")</f>
        <v>6.1728395061728394</v>
      </c>
      <c r="BP123" s="64">
        <f t="shared" ref="BP123:BP130" si="19">IFERROR(1/J123*(Y123/H123),"0")</f>
        <v>6.1875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900</v>
      </c>
      <c r="Y127" s="652">
        <f t="shared" si="15"/>
        <v>901.80000000000007</v>
      </c>
      <c r="Z127" s="36">
        <f t="shared" si="20"/>
        <v>2.1743399999999999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984</v>
      </c>
      <c r="BN127" s="64">
        <f t="shared" si="17"/>
        <v>985.96799999999996</v>
      </c>
      <c r="BO127" s="64">
        <f t="shared" si="18"/>
        <v>1.8315018315018314</v>
      </c>
      <c r="BP127" s="64">
        <f t="shared" si="19"/>
        <v>1.8351648351648353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728.39506172839504</v>
      </c>
      <c r="Y131" s="653">
        <f>IFERROR(Y123/H123,"0")+IFERROR(Y124/H124,"0")+IFERROR(Y125/H125,"0")+IFERROR(Y126/H126,"0")+IFERROR(Y127/H127,"0")+IFERROR(Y128/H128,"0")+IFERROR(Y129/H129,"0")+IFERROR(Y130/H130,"0")</f>
        <v>730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9.6904199999999996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4100</v>
      </c>
      <c r="Y132" s="653">
        <f>IFERROR(SUM(Y123:Y130),"0")</f>
        <v>4109.3999999999996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17</v>
      </c>
      <c r="Y140" s="652">
        <f>IFERROR(IF(X140="",0,CEILING((X140/$H140),1)*$H140),"")</f>
        <v>19.200000000000003</v>
      </c>
      <c r="Z140" s="36">
        <f>IFERROR(IF(Y140=0,"",ROUNDUP(Y140/H140,0)*0.00651),"")</f>
        <v>3.9059999999999997E-2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17.956250000000001</v>
      </c>
      <c r="BN140" s="64">
        <f>IFERROR(Y140*I140/H140,"0")</f>
        <v>20.279999999999998</v>
      </c>
      <c r="BO140" s="64">
        <f>IFERROR(1/J140*(X140/H140),"0")</f>
        <v>2.9189560439560443E-2</v>
      </c>
      <c r="BP140" s="64">
        <f>IFERROR(1/J140*(Y140/H140),"0")</f>
        <v>3.2967032967032975E-2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5.3125</v>
      </c>
      <c r="Y142" s="653">
        <f>IFERROR(Y140/H140,"0")+IFERROR(Y141/H141,"0")</f>
        <v>6.0000000000000009</v>
      </c>
      <c r="Z142" s="653">
        <f>IFERROR(IF(Z140="",0,Z140),"0")+IFERROR(IF(Z141="",0,Z141),"0")</f>
        <v>3.9059999999999997E-2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17</v>
      </c>
      <c r="Y143" s="653">
        <f>IFERROR(SUM(Y140:Y141),"0")</f>
        <v>19.200000000000003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130</v>
      </c>
      <c r="Y182" s="652">
        <f t="shared" ref="Y182:Y195" si="27">IFERROR(IF(X182="",0,CEILING((X182/$H182),1)*$H182),"")</f>
        <v>133</v>
      </c>
      <c r="Z182" s="36">
        <f t="shared" ref="Z182:Z187" si="28">IFERROR(IF(Y182=0,"",ROUNDUP(Y182/H182,0)*0.00902),"")</f>
        <v>0.34276000000000001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137.05714285714285</v>
      </c>
      <c r="BN182" s="64">
        <f t="shared" ref="BN182:BN195" si="30">IFERROR(Y182*I182/H182,"0")</f>
        <v>140.22</v>
      </c>
      <c r="BO182" s="64">
        <f t="shared" ref="BO182:BO195" si="31">IFERROR(1/J182*(X182/H182),"0")</f>
        <v>0.2813852813852814</v>
      </c>
      <c r="BP182" s="64">
        <f t="shared" ref="BP182:BP195" si="32">IFERROR(1/J182*(Y182/H182),"0")</f>
        <v>0.2878787878787879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0</v>
      </c>
      <c r="Y184" s="652">
        <f t="shared" si="27"/>
        <v>0</v>
      </c>
      <c r="Z184" s="36" t="str">
        <f t="shared" si="28"/>
        <v/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0</v>
      </c>
      <c r="BN184" s="64">
        <f t="shared" si="30"/>
        <v>0</v>
      </c>
      <c r="BO184" s="64">
        <f t="shared" si="31"/>
        <v>0</v>
      </c>
      <c r="BP184" s="64">
        <f t="shared" si="32"/>
        <v>0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65</v>
      </c>
      <c r="Y186" s="652">
        <f t="shared" si="27"/>
        <v>66.5</v>
      </c>
      <c r="Z186" s="36">
        <f t="shared" si="28"/>
        <v>0.17138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68.528571428571425</v>
      </c>
      <c r="BN186" s="64">
        <f t="shared" si="30"/>
        <v>70.11</v>
      </c>
      <c r="BO186" s="64">
        <f t="shared" si="31"/>
        <v>0.1406926406926407</v>
      </c>
      <c r="BP186" s="64">
        <f t="shared" si="32"/>
        <v>0.14393939393939395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27</v>
      </c>
      <c r="Y188" s="652">
        <f t="shared" si="27"/>
        <v>27</v>
      </c>
      <c r="Z188" s="36">
        <f>IFERROR(IF(Y188=0,"",ROUNDUP(Y188/H188,0)*0.00417),"")</f>
        <v>0.12509999999999999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33.300000000000004</v>
      </c>
      <c r="BN188" s="64">
        <f t="shared" si="30"/>
        <v>33.300000000000004</v>
      </c>
      <c r="BO188" s="64">
        <f t="shared" si="31"/>
        <v>8.9285714285714274E-2</v>
      </c>
      <c r="BP188" s="64">
        <f t="shared" si="32"/>
        <v>8.9285714285714274E-2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55</v>
      </c>
      <c r="Y190" s="652">
        <f t="shared" si="27"/>
        <v>55.44</v>
      </c>
      <c r="Z190" s="36">
        <f>IFERROR(IF(Y190=0,"",ROUNDUP(Y190/H190,0)*0.00502),"")</f>
        <v>0.16566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58.273809523809533</v>
      </c>
      <c r="BN190" s="64">
        <f t="shared" si="30"/>
        <v>58.74</v>
      </c>
      <c r="BO190" s="64">
        <f t="shared" si="31"/>
        <v>0.13990638990638993</v>
      </c>
      <c r="BP190" s="64">
        <f t="shared" si="32"/>
        <v>0.14102564102564105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6</v>
      </c>
      <c r="Y191" s="652">
        <f t="shared" si="27"/>
        <v>6.3</v>
      </c>
      <c r="Z191" s="36">
        <f>IFERROR(IF(Y191=0,"",ROUNDUP(Y191/H191,0)*0.00417),"")</f>
        <v>2.9190000000000001E-2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7.4</v>
      </c>
      <c r="BN191" s="64">
        <f t="shared" si="30"/>
        <v>7.7700000000000005</v>
      </c>
      <c r="BO191" s="64">
        <f t="shared" si="31"/>
        <v>1.9841269841269837E-2</v>
      </c>
      <c r="BP191" s="64">
        <f t="shared" si="32"/>
        <v>2.0833333333333332E-2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23</v>
      </c>
      <c r="Y194" s="652">
        <f t="shared" si="27"/>
        <v>23.400000000000002</v>
      </c>
      <c r="Z194" s="36">
        <f>IFERROR(IF(Y194=0,"",ROUNDUP(Y194/H194,0)*0.00417),"")</f>
        <v>0.10842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25.555555555555554</v>
      </c>
      <c r="BN194" s="64">
        <f t="shared" si="30"/>
        <v>26</v>
      </c>
      <c r="BO194" s="64">
        <f t="shared" si="31"/>
        <v>7.6058201058201047E-2</v>
      </c>
      <c r="BP194" s="64">
        <f t="shared" si="32"/>
        <v>7.7380952380952384E-2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73</v>
      </c>
      <c r="Y195" s="652">
        <f t="shared" si="27"/>
        <v>73.92</v>
      </c>
      <c r="Z195" s="36">
        <f>IFERROR(IF(Y195=0,"",ROUNDUP(Y195/H195,0)*0.00502),"")</f>
        <v>0.22088000000000002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77.345238095238102</v>
      </c>
      <c r="BN195" s="64">
        <f t="shared" si="30"/>
        <v>78.320000000000007</v>
      </c>
      <c r="BO195" s="64">
        <f t="shared" si="31"/>
        <v>0.18569393569393572</v>
      </c>
      <c r="BP195" s="64">
        <f t="shared" si="32"/>
        <v>0.18803418803418806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227.46031746031747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231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1.3340700000000001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435</v>
      </c>
      <c r="Y197" s="653">
        <f>IFERROR(SUM(Y182:Y195),"0")</f>
        <v>442.68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16</v>
      </c>
      <c r="Y201" s="652">
        <f>IFERROR(IF(X201="",0,CEILING((X201/$H201),1)*$H201),"")</f>
        <v>16.2</v>
      </c>
      <c r="Z201" s="36">
        <f>IFERROR(IF(Y201=0,"",ROUNDUP(Y201/H201,0)*0.00651),"")</f>
        <v>5.8590000000000003E-2</v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18.293333333333333</v>
      </c>
      <c r="BN201" s="64">
        <f>IFERROR(Y201*I201/H201,"0")</f>
        <v>18.521999999999998</v>
      </c>
      <c r="BO201" s="64">
        <f>IFERROR(1/J201*(X201/H201),"0")</f>
        <v>4.8840048840048847E-2</v>
      </c>
      <c r="BP201" s="64">
        <f>IFERROR(1/J201*(Y201/H201),"0")</f>
        <v>4.9450549450549455E-2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8.8888888888888893</v>
      </c>
      <c r="Y202" s="653">
        <f>IFERROR(Y199/H199,"0")+IFERROR(Y200/H200,"0")+IFERROR(Y201/H201,"0")</f>
        <v>9</v>
      </c>
      <c r="Z202" s="653">
        <f>IFERROR(IF(Z199="",0,Z199),"0")+IFERROR(IF(Z200="",0,Z200),"0")+IFERROR(IF(Z201="",0,Z201),"0")</f>
        <v>5.8590000000000003E-2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16</v>
      </c>
      <c r="Y203" s="653">
        <f>IFERROR(SUM(Y199:Y201),"0")</f>
        <v>16.2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13</v>
      </c>
      <c r="Y232" s="652">
        <f t="shared" si="39"/>
        <v>16.8</v>
      </c>
      <c r="Z232" s="36">
        <f>IFERROR(IF(Y232=0,"",ROUNDUP(Y232/H232,0)*0.00902),"")</f>
        <v>3.6080000000000001E-2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13.588095238095235</v>
      </c>
      <c r="BN232" s="64">
        <f t="shared" si="41"/>
        <v>17.559999999999999</v>
      </c>
      <c r="BO232" s="64">
        <f t="shared" si="42"/>
        <v>2.3448773448773448E-2</v>
      </c>
      <c r="BP232" s="64">
        <f t="shared" si="43"/>
        <v>3.0303030303030304E-2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43</v>
      </c>
      <c r="Y233" s="652">
        <f t="shared" si="39"/>
        <v>43.2</v>
      </c>
      <c r="Z233" s="36">
        <f>IFERROR(IF(Y233=0,"",ROUNDUP(Y233/H233,0)*0.00556),"")</f>
        <v>0.30024000000000001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49.987499999999997</v>
      </c>
      <c r="BN233" s="64">
        <f t="shared" si="41"/>
        <v>50.22</v>
      </c>
      <c r="BO233" s="64">
        <f t="shared" si="42"/>
        <v>0.21329365079365079</v>
      </c>
      <c r="BP233" s="64">
        <f t="shared" si="43"/>
        <v>0.21428571428571427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18</v>
      </c>
      <c r="Y234" s="652">
        <f t="shared" si="39"/>
        <v>18.900000000000002</v>
      </c>
      <c r="Z234" s="36">
        <f t="shared" ref="Z234:Z239" si="44">IFERROR(IF(Y234=0,"",ROUNDUP(Y234/H234,0)*0.00502),"")</f>
        <v>4.5179999999999998E-2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19.114285714285714</v>
      </c>
      <c r="BN234" s="64">
        <f t="shared" si="41"/>
        <v>20.07</v>
      </c>
      <c r="BO234" s="64">
        <f t="shared" si="42"/>
        <v>3.6630036630036632E-2</v>
      </c>
      <c r="BP234" s="64">
        <f t="shared" si="43"/>
        <v>3.8461538461538464E-2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8</v>
      </c>
      <c r="Y239" s="652">
        <f t="shared" si="39"/>
        <v>9</v>
      </c>
      <c r="Z239" s="36">
        <f t="shared" si="44"/>
        <v>2.5100000000000001E-2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8.5777777777777775</v>
      </c>
      <c r="BN239" s="64">
        <f t="shared" si="41"/>
        <v>9.65</v>
      </c>
      <c r="BO239" s="64">
        <f t="shared" si="42"/>
        <v>1.8993352326685663E-2</v>
      </c>
      <c r="BP239" s="64">
        <f t="shared" si="43"/>
        <v>2.1367521367521368E-2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27</v>
      </c>
      <c r="Y240" s="652">
        <f t="shared" si="39"/>
        <v>27.200000000000003</v>
      </c>
      <c r="Z240" s="36">
        <f>IFERROR(IF(Y240=0,"",ROUNDUP(Y240/H240,0)*0.00417),"")</f>
        <v>0.14178000000000002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34.087499999999999</v>
      </c>
      <c r="BN240" s="64">
        <f t="shared" si="41"/>
        <v>34.340000000000003</v>
      </c>
      <c r="BO240" s="64">
        <f t="shared" si="42"/>
        <v>0.10044642857142856</v>
      </c>
      <c r="BP240" s="64">
        <f t="shared" si="43"/>
        <v>0.10119047619047619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91</v>
      </c>
      <c r="Y241" s="652">
        <f t="shared" si="39"/>
        <v>92.4</v>
      </c>
      <c r="Z241" s="36">
        <f>IFERROR(IF(Y241=0,"",ROUNDUP(Y241/H241,0)*0.00502),"")</f>
        <v>0.22088000000000002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95.333333333333343</v>
      </c>
      <c r="BN241" s="64">
        <f t="shared" si="41"/>
        <v>96.800000000000011</v>
      </c>
      <c r="BO241" s="64">
        <f t="shared" si="42"/>
        <v>0.18518518518518517</v>
      </c>
      <c r="BP241" s="64">
        <f t="shared" si="43"/>
        <v>0.18803418803418806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146.94444444444446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150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0.76926000000000005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200</v>
      </c>
      <c r="Y245" s="653">
        <f>IFERROR(SUM(Y230:Y243),"0")</f>
        <v>207.5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0</v>
      </c>
      <c r="Y257" s="6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0</v>
      </c>
      <c r="Y258" s="653">
        <f>IFERROR(Y255/H255,"0")+IFERROR(Y256/H256,"0")+IFERROR(Y257/H257,"0")</f>
        <v>0</v>
      </c>
      <c r="Z258" s="653">
        <f>IFERROR(IF(Z255="",0,Z255),"0")+IFERROR(IF(Z256="",0,Z256),"0")+IFERROR(IF(Z257="",0,Z257),"0")</f>
        <v>0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0</v>
      </c>
      <c r="Y259" s="653">
        <f>IFERROR(SUM(Y255:Y257),"0")</f>
        <v>0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9</v>
      </c>
      <c r="Y261" s="652">
        <f>IFERROR(IF(X261="",0,CEILING((X261/$H261),1)*$H261),"")</f>
        <v>10.08</v>
      </c>
      <c r="Z261" s="36">
        <f>IFERROR(IF(Y261=0,"",ROUNDUP(Y261/H261,0)*0.0059),"")</f>
        <v>4.7199999999999999E-2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10.357142857142856</v>
      </c>
      <c r="BN261" s="64">
        <f>IFERROR(Y261*I261/H261,"0")</f>
        <v>11.6</v>
      </c>
      <c r="BO261" s="64">
        <f>IFERROR(1/J261*(X261/H261),"0")</f>
        <v>3.3068783068783067E-2</v>
      </c>
      <c r="BP261" s="64">
        <f>IFERROR(1/J261*(Y261/H261),"0")</f>
        <v>3.7037037037037035E-2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7.1428571428571432</v>
      </c>
      <c r="Y262" s="653">
        <f>IFERROR(Y261/H261,"0")</f>
        <v>8</v>
      </c>
      <c r="Z262" s="653">
        <f>IFERROR(IF(Z261="",0,Z261),"0")</f>
        <v>4.7199999999999999E-2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9</v>
      </c>
      <c r="Y263" s="653">
        <f>IFERROR(SUM(Y261:Y261),"0")</f>
        <v>10.08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52</v>
      </c>
      <c r="Y276" s="652">
        <f t="shared" ref="Y276:Y283" si="45">IFERROR(IF(X276="",0,CEILING((X276/$H276),1)*$H276),"")</f>
        <v>54</v>
      </c>
      <c r="Z276" s="36">
        <f>IFERROR(IF(Y276=0,"",ROUNDUP(Y276/H276,0)*0.00902),"")</f>
        <v>9.0200000000000002E-2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53.829629629629629</v>
      </c>
      <c r="BN276" s="64">
        <f t="shared" ref="BN276:BN283" si="47">IFERROR(Y276*I276/H276,"0")</f>
        <v>55.9</v>
      </c>
      <c r="BO276" s="64">
        <f t="shared" ref="BO276:BO283" si="48">IFERROR(1/J276*(X276/H276),"0")</f>
        <v>7.2951739618406286E-2</v>
      </c>
      <c r="BP276" s="64">
        <f t="shared" ref="BP276:BP283" si="49">IFERROR(1/J276*(Y276/H276),"0")</f>
        <v>7.575757575757576E-2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0</v>
      </c>
      <c r="Y277" s="652">
        <f t="shared" si="45"/>
        <v>0</v>
      </c>
      <c r="Z277" s="36" t="str">
        <f>IFERROR(IF(Y277=0,"",ROUNDUP(Y277/H277,0)*0.00902),"")</f>
        <v/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0</v>
      </c>
      <c r="BN277" s="64">
        <f t="shared" si="47"/>
        <v>0</v>
      </c>
      <c r="BO277" s="64">
        <f t="shared" si="48"/>
        <v>0</v>
      </c>
      <c r="BP277" s="64">
        <f t="shared" si="49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260</v>
      </c>
      <c r="Y278" s="652">
        <f t="shared" si="45"/>
        <v>264.60000000000002</v>
      </c>
      <c r="Z278" s="36">
        <f>IFERROR(IF(Y278=0,"",ROUNDUP(Y278/H278,0)*0.00902),"")</f>
        <v>0.44198000000000004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269.1481481481481</v>
      </c>
      <c r="BN278" s="64">
        <f t="shared" si="47"/>
        <v>273.90999999999997</v>
      </c>
      <c r="BO278" s="64">
        <f t="shared" si="48"/>
        <v>0.36475869809203143</v>
      </c>
      <c r="BP278" s="64">
        <f t="shared" si="49"/>
        <v>0.37121212121212122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0</v>
      </c>
      <c r="Y279" s="652">
        <f t="shared" si="45"/>
        <v>0</v>
      </c>
      <c r="Z279" s="36" t="str">
        <f>IFERROR(IF(Y279=0,"",ROUNDUP(Y279/H279,0)*0.00902),"")</f>
        <v/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0</v>
      </c>
      <c r="BN279" s="64">
        <f t="shared" si="47"/>
        <v>0</v>
      </c>
      <c r="BO279" s="64">
        <f t="shared" si="48"/>
        <v>0</v>
      </c>
      <c r="BP279" s="64">
        <f t="shared" si="49"/>
        <v>0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0</v>
      </c>
      <c r="Y280" s="652">
        <f t="shared" si="45"/>
        <v>0</v>
      </c>
      <c r="Z280" s="36" t="str">
        <f>IFERROR(IF(Y280=0,"",ROUNDUP(Y280/H280,0)*0.00502),"")</f>
        <v/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0</v>
      </c>
      <c r="BN280" s="64">
        <f t="shared" si="47"/>
        <v>0</v>
      </c>
      <c r="BO280" s="64">
        <f t="shared" si="48"/>
        <v>0</v>
      </c>
      <c r="BP280" s="64">
        <f t="shared" si="49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8</v>
      </c>
      <c r="Y281" s="652">
        <f t="shared" si="45"/>
        <v>9</v>
      </c>
      <c r="Z281" s="36">
        <f>IFERROR(IF(Y281=0,"",ROUNDUP(Y281/H281,0)*0.00502),"")</f>
        <v>2.5100000000000001E-2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8.4444444444444446</v>
      </c>
      <c r="BN281" s="64">
        <f t="shared" si="47"/>
        <v>9.4999999999999982</v>
      </c>
      <c r="BO281" s="64">
        <f t="shared" si="48"/>
        <v>1.8993352326685663E-2</v>
      </c>
      <c r="BP281" s="64">
        <f t="shared" si="49"/>
        <v>2.1367521367521368E-2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12</v>
      </c>
      <c r="Y283" s="652">
        <f t="shared" si="45"/>
        <v>12.6</v>
      </c>
      <c r="Z283" s="36">
        <f>IFERROR(IF(Y283=0,"",ROUNDUP(Y283/H283,0)*0.00502),"")</f>
        <v>3.5140000000000005E-2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12.666666666666664</v>
      </c>
      <c r="BN283" s="64">
        <f t="shared" si="47"/>
        <v>13.299999999999999</v>
      </c>
      <c r="BO283" s="64">
        <f t="shared" si="48"/>
        <v>2.8490028490028491E-2</v>
      </c>
      <c r="BP283" s="64">
        <f t="shared" si="49"/>
        <v>2.9914529914529919E-2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68.888888888888886</v>
      </c>
      <c r="Y284" s="653">
        <f>IFERROR(Y276/H276,"0")+IFERROR(Y277/H277,"0")+IFERROR(Y278/H278,"0")+IFERROR(Y279/H279,"0")+IFERROR(Y280/H280,"0")+IFERROR(Y281/H281,"0")+IFERROR(Y282/H282,"0")+IFERROR(Y283/H283,"0")</f>
        <v>71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0.59242000000000017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332</v>
      </c>
      <c r="Y285" s="653">
        <f>IFERROR(SUM(Y276:Y283),"0")</f>
        <v>340.20000000000005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130</v>
      </c>
      <c r="Y287" s="652">
        <f t="shared" ref="Y287:Y298" si="50">IFERROR(IF(X287="",0,CEILING((X287/$H287),1)*$H287),"")</f>
        <v>137.69999999999999</v>
      </c>
      <c r="Z287" s="36">
        <f>IFERROR(IF(Y287=0,"",ROUNDUP(Y287/H287,0)*0.01898),"")</f>
        <v>0.32266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137.92839506172839</v>
      </c>
      <c r="BN287" s="64">
        <f t="shared" ref="BN287:BN298" si="52">IFERROR(Y287*I287/H287,"0")</f>
        <v>146.09799999999998</v>
      </c>
      <c r="BO287" s="64">
        <f t="shared" ref="BO287:BO298" si="53">IFERROR(1/J287*(X287/H287),"0")</f>
        <v>0.25077160493827161</v>
      </c>
      <c r="BP287" s="64">
        <f t="shared" ref="BP287:BP298" si="54">IFERROR(1/J287*(Y287/H287),"0")</f>
        <v>0.265625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0</v>
      </c>
      <c r="Y288" s="652">
        <f t="shared" si="50"/>
        <v>0</v>
      </c>
      <c r="Z288" s="36" t="str">
        <f>IFERROR(IF(Y288=0,"",ROUNDUP(Y288/H288,0)*0.01898),"")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0</v>
      </c>
      <c r="BN288" s="64">
        <f t="shared" si="52"/>
        <v>0</v>
      </c>
      <c r="BO288" s="64">
        <f t="shared" si="53"/>
        <v>0</v>
      </c>
      <c r="BP288" s="64">
        <f t="shared" si="54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0</v>
      </c>
      <c r="Y289" s="652">
        <f t="shared" si="50"/>
        <v>0</v>
      </c>
      <c r="Z289" s="36" t="str">
        <f>IFERROR(IF(Y289=0,"",ROUNDUP(Y289/H289,0)*0.01898),"")</f>
        <v/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0</v>
      </c>
      <c r="BN289" s="64">
        <f t="shared" si="52"/>
        <v>0</v>
      </c>
      <c r="BO289" s="64">
        <f t="shared" si="53"/>
        <v>0</v>
      </c>
      <c r="BP289" s="64">
        <f t="shared" si="54"/>
        <v>0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156</v>
      </c>
      <c r="Y290" s="652">
        <f t="shared" si="50"/>
        <v>156</v>
      </c>
      <c r="Z290" s="36">
        <f>IFERROR(IF(Y290=0,"",ROUNDUP(Y290/H290,0)*0.00651),"")</f>
        <v>0.42315000000000003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173.55</v>
      </c>
      <c r="BN290" s="64">
        <f t="shared" si="52"/>
        <v>173.55</v>
      </c>
      <c r="BO290" s="64">
        <f t="shared" si="53"/>
        <v>0.35714285714285715</v>
      </c>
      <c r="BP290" s="64">
        <f t="shared" si="54"/>
        <v>0.35714285714285715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1040</v>
      </c>
      <c r="Y293" s="652">
        <f t="shared" si="50"/>
        <v>1041.5999999999999</v>
      </c>
      <c r="Z293" s="36">
        <f>IFERROR(IF(Y293=0,"",ROUNDUP(Y293/H293,0)*0.00651),"")</f>
        <v>2.8253400000000002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1149.2</v>
      </c>
      <c r="BN293" s="64">
        <f t="shared" si="52"/>
        <v>1150.9680000000001</v>
      </c>
      <c r="BO293" s="64">
        <f t="shared" si="53"/>
        <v>2.3809523809523814</v>
      </c>
      <c r="BP293" s="64">
        <f t="shared" si="54"/>
        <v>2.3846153846153846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156</v>
      </c>
      <c r="Y295" s="652">
        <f t="shared" si="50"/>
        <v>156</v>
      </c>
      <c r="Z295" s="36">
        <f>IFERROR(IF(Y295=0,"",ROUNDUP(Y295/H295,0)*0.00651),"")</f>
        <v>0.42315000000000003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172.38000000000002</v>
      </c>
      <c r="BN295" s="64">
        <f t="shared" si="52"/>
        <v>172.38000000000002</v>
      </c>
      <c r="BO295" s="64">
        <f t="shared" si="53"/>
        <v>0.35714285714285715</v>
      </c>
      <c r="BP295" s="64">
        <f t="shared" si="54"/>
        <v>0.35714285714285715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62</v>
      </c>
      <c r="Y296" s="652">
        <f t="shared" si="50"/>
        <v>62.4</v>
      </c>
      <c r="Z296" s="36">
        <f>IFERROR(IF(Y296=0,"",ROUNDUP(Y296/H296,0)*0.00651),"")</f>
        <v>0.16925999999999999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68.510000000000005</v>
      </c>
      <c r="BN296" s="64">
        <f t="shared" si="52"/>
        <v>68.952000000000012</v>
      </c>
      <c r="BO296" s="64">
        <f t="shared" si="53"/>
        <v>0.14194139194139196</v>
      </c>
      <c r="BP296" s="64">
        <f t="shared" si="54"/>
        <v>0.14285714285714288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52</v>
      </c>
      <c r="Y297" s="652">
        <f t="shared" si="50"/>
        <v>52.8</v>
      </c>
      <c r="Z297" s="36">
        <f>IFERROR(IF(Y297=0,"",ROUNDUP(Y297/H297,0)*0.00651),"")</f>
        <v>0.14322000000000001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57.59</v>
      </c>
      <c r="BN297" s="64">
        <f t="shared" si="52"/>
        <v>58.475999999999999</v>
      </c>
      <c r="BO297" s="64">
        <f t="shared" si="53"/>
        <v>0.11904761904761907</v>
      </c>
      <c r="BP297" s="64">
        <f t="shared" si="54"/>
        <v>0.12087912087912089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626.88271604938279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629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4.3067800000000007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1596</v>
      </c>
      <c r="Y300" s="653">
        <f>IFERROR(SUM(Y287:Y298),"0")</f>
        <v>1606.5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0</v>
      </c>
      <c r="Y302" s="652">
        <f>IFERROR(IF(X302="",0,CEILING((X302/$H302),1)*$H302),"")</f>
        <v>0</v>
      </c>
      <c r="Z302" s="36" t="str">
        <f>IFERROR(IF(Y302=0,"",ROUNDUP(Y302/H302,0)*0.00651),"")</f>
        <v/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0</v>
      </c>
      <c r="Y304" s="653">
        <f>IFERROR(Y302/H302,"0")+IFERROR(Y303/H303,"0")</f>
        <v>0</v>
      </c>
      <c r="Z304" s="653">
        <f>IFERROR(IF(Z302="",0,Z302),"0")+IFERROR(IF(Z303="",0,Z303),"0")</f>
        <v>0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0</v>
      </c>
      <c r="Y305" s="653">
        <f>IFERROR(SUM(Y302:Y303),"0")</f>
        <v>0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5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5.4861111111111107</v>
      </c>
      <c r="BN322" s="64">
        <f>IFERROR(Y322*I322/H322,"0")</f>
        <v>5.9250000000000007</v>
      </c>
      <c r="BO322" s="64">
        <f>IFERROR(1/J322*(X322/H322),"0")</f>
        <v>1.2860082304526748E-2</v>
      </c>
      <c r="BP322" s="64">
        <f>IFERROR(1/J322*(Y322/H322),"0")</f>
        <v>1.3888888888888888E-2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2.7777777777777777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5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42</v>
      </c>
      <c r="Y343" s="652">
        <f>IFERROR(IF(X343="",0,CEILING((X343/$H343),1)*$H343),"")</f>
        <v>43.199999999999996</v>
      </c>
      <c r="Z343" s="36">
        <f>IFERROR(IF(Y343=0,"",ROUNDUP(Y343/H343,0)*0.00651),"")</f>
        <v>0.11718000000000001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46.410000000000004</v>
      </c>
      <c r="BN343" s="64">
        <f>IFERROR(Y343*I343/H343,"0")</f>
        <v>47.736000000000004</v>
      </c>
      <c r="BO343" s="64">
        <f>IFERROR(1/J343*(X343/H343),"0")</f>
        <v>9.6153846153846159E-2</v>
      </c>
      <c r="BP343" s="64">
        <f>IFERROR(1/J343*(Y343/H343),"0")</f>
        <v>9.8901098901098911E-2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52</v>
      </c>
      <c r="Y344" s="652">
        <f>IFERROR(IF(X344="",0,CEILING((X344/$H344),1)*$H344),"")</f>
        <v>52.8</v>
      </c>
      <c r="Z344" s="36">
        <f>IFERROR(IF(Y344=0,"",ROUNDUP(Y344/H344,0)*0.00651),"")</f>
        <v>0.14322000000000001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55.9</v>
      </c>
      <c r="BN344" s="64">
        <f>IFERROR(Y344*I344/H344,"0")</f>
        <v>56.76</v>
      </c>
      <c r="BO344" s="64">
        <f>IFERROR(1/J344*(X344/H344),"0")</f>
        <v>0.11904761904761907</v>
      </c>
      <c r="BP344" s="64">
        <f>IFERROR(1/J344*(Y344/H344),"0")</f>
        <v>0.12087912087912089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39.166666666666671</v>
      </c>
      <c r="Y345" s="653">
        <f>IFERROR(Y342/H342,"0")+IFERROR(Y343/H343,"0")+IFERROR(Y344/H344,"0")</f>
        <v>40</v>
      </c>
      <c r="Z345" s="653">
        <f>IFERROR(IF(Z342="",0,Z342),"0")+IFERROR(IF(Z343="",0,Z343),"0")+IFERROR(IF(Z344="",0,Z344),"0")</f>
        <v>0.26040000000000002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94</v>
      </c>
      <c r="Y346" s="653">
        <f>IFERROR(SUM(Y342:Y344),"0")</f>
        <v>96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0</v>
      </c>
      <c r="Y363" s="65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0</v>
      </c>
      <c r="Y364" s="652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0</v>
      </c>
      <c r="Y366" s="653">
        <f>IFERROR(Y363/H363,"0")+IFERROR(Y364/H364,"0")+IFERROR(Y365/H365,"0")</f>
        <v>0</v>
      </c>
      <c r="Z366" s="653">
        <f>IFERROR(IF(Z363="",0,Z363),"0")+IFERROR(IF(Z364="",0,Z364),"0")+IFERROR(IF(Z365="",0,Z365),"0")</f>
        <v>0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0</v>
      </c>
      <c r="Y367" s="653">
        <f>IFERROR(SUM(Y363:Y365),"0")</f>
        <v>0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4</v>
      </c>
      <c r="Y371" s="652">
        <f>IFERROR(IF(X371="",0,CEILING((X371/$H371),1)*$H371),"")</f>
        <v>10.8</v>
      </c>
      <c r="Z371" s="36">
        <f>IFERROR(IF(Y371=0,"",ROUNDUP(Y371/H371,0)*0.01898),"")</f>
        <v>1.898E-2</v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4.1518518518518519</v>
      </c>
      <c r="BN371" s="64">
        <f>IFERROR(Y371*I371/H371,"0")</f>
        <v>11.21</v>
      </c>
      <c r="BO371" s="64">
        <f>IFERROR(1/J371*(X371/H371),"0")</f>
        <v>5.7870370370370367E-3</v>
      </c>
      <c r="BP371" s="64">
        <f>IFERROR(1/J371*(Y371/H371),"0")</f>
        <v>1.5625E-2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0.37037037037037035</v>
      </c>
      <c r="Y375" s="653">
        <f>IFERROR(Y370/H370,"0")+IFERROR(Y371/H371,"0")+IFERROR(Y372/H372,"0")+IFERROR(Y373/H373,"0")+IFERROR(Y374/H374,"0")</f>
        <v>1</v>
      </c>
      <c r="Z375" s="653">
        <f>IFERROR(IF(Z370="",0,Z370),"0")+IFERROR(IF(Z371="",0,Z371),"0")+IFERROR(IF(Z372="",0,Z372),"0")+IFERROR(IF(Z373="",0,Z373),"0")+IFERROR(IF(Z374="",0,Z374),"0")</f>
        <v>1.898E-2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4</v>
      </c>
      <c r="Y376" s="653">
        <f>IFERROR(SUM(Y370:Y374),"0")</f>
        <v>10.8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8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9.0133333333333336</v>
      </c>
      <c r="BN384" s="64">
        <f t="shared" si="62"/>
        <v>10.139999999999999</v>
      </c>
      <c r="BO384" s="64">
        <f t="shared" si="63"/>
        <v>2.4420024420024423E-2</v>
      </c>
      <c r="BP384" s="64">
        <f t="shared" si="64"/>
        <v>2.7472527472527476E-2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4.4444444444444446</v>
      </c>
      <c r="Y385" s="653">
        <f>IFERROR(Y378/H378,"0")+IFERROR(Y379/H379,"0")+IFERROR(Y380/H380,"0")+IFERROR(Y381/H381,"0")+IFERROR(Y382/H382,"0")+IFERROR(Y383/H383,"0")+IFERROR(Y384/H384,"0")</f>
        <v>5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3.2550000000000003E-2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8</v>
      </c>
      <c r="Y386" s="653">
        <f>IFERROR(SUM(Y378:Y384),"0")</f>
        <v>9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400</v>
      </c>
      <c r="Y396" s="652">
        <f>IFERROR(IF(X396="",0,CEILING((X396/$H396),1)*$H396),"")</f>
        <v>405.59999999999997</v>
      </c>
      <c r="Z396" s="36">
        <f>IFERROR(IF(Y396=0,"",ROUNDUP(Y396/H396,0)*0.01898),"")</f>
        <v>0.98696000000000006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425.33333333333337</v>
      </c>
      <c r="BN396" s="64">
        <f>IFERROR(Y396*I396/H396,"0")</f>
        <v>431.28799999999995</v>
      </c>
      <c r="BO396" s="64">
        <f>IFERROR(1/J396*(X396/H396),"0")</f>
        <v>0.80128205128205132</v>
      </c>
      <c r="BP396" s="64">
        <f>IFERROR(1/J396*(Y396/H396),"0")</f>
        <v>0.8125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51.282051282051285</v>
      </c>
      <c r="Y398" s="653">
        <f>IFERROR(Y395/H395,"0")+IFERROR(Y396/H396,"0")+IFERROR(Y397/H397,"0")</f>
        <v>52</v>
      </c>
      <c r="Z398" s="653">
        <f>IFERROR(IF(Z395="",0,Z395),"0")+IFERROR(IF(Z396="",0,Z396),"0")+IFERROR(IF(Z397="",0,Z397),"0")</f>
        <v>0.98696000000000006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400</v>
      </c>
      <c r="Y399" s="653">
        <f>IFERROR(SUM(Y395:Y397),"0")</f>
        <v>405.59999999999997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3</v>
      </c>
      <c r="Y403" s="652">
        <f>IFERROR(IF(X403="",0,CEILING((X403/$H403),1)*$H403),"")</f>
        <v>5.0999999999999996</v>
      </c>
      <c r="Z403" s="36">
        <f>IFERROR(IF(Y403=0,"",ROUNDUP(Y403/H403,0)*0.00651),"")</f>
        <v>1.302E-2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3.4764705882352946</v>
      </c>
      <c r="BN403" s="64">
        <f>IFERROR(Y403*I403/H403,"0")</f>
        <v>5.91</v>
      </c>
      <c r="BO403" s="64">
        <f>IFERROR(1/J403*(X403/H403),"0")</f>
        <v>6.4641241111829352E-3</v>
      </c>
      <c r="BP403" s="64">
        <f>IFERROR(1/J403*(Y403/H403),"0")</f>
        <v>1.098901098901099E-2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1.1764705882352942</v>
      </c>
      <c r="Y405" s="653">
        <f>IFERROR(Y401/H401,"0")+IFERROR(Y402/H402,"0")+IFERROR(Y403/H403,"0")+IFERROR(Y404/H404,"0")</f>
        <v>2</v>
      </c>
      <c r="Z405" s="653">
        <f>IFERROR(IF(Z401="",0,Z401),"0")+IFERROR(IF(Z402="",0,Z402),"0")+IFERROR(IF(Z403="",0,Z403),"0")+IFERROR(IF(Z404="",0,Z404),"0")</f>
        <v>1.302E-2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3</v>
      </c>
      <c r="Y406" s="653">
        <f>IFERROR(SUM(Y401:Y404),"0")</f>
        <v>5.0999999999999996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20</v>
      </c>
      <c r="Y408" s="652">
        <f>IFERROR(IF(X408="",0,CEILING((X408/$H408),1)*$H408),"")</f>
        <v>20</v>
      </c>
      <c r="Z408" s="36">
        <f>IFERROR(IF(Y408=0,"",ROUNDUP(Y408/H408,0)*0.00474),"")</f>
        <v>4.7400000000000005E-2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22.400000000000002</v>
      </c>
      <c r="BN408" s="64">
        <f>IFERROR(Y408*I408/H408,"0")</f>
        <v>22.400000000000002</v>
      </c>
      <c r="BO408" s="64">
        <f>IFERROR(1/J408*(X408/H408),"0")</f>
        <v>4.2016806722689072E-2</v>
      </c>
      <c r="BP408" s="64">
        <f>IFERROR(1/J408*(Y408/H408),"0")</f>
        <v>4.2016806722689072E-2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20</v>
      </c>
      <c r="Y409" s="652">
        <f>IFERROR(IF(X409="",0,CEILING((X409/$H409),1)*$H409),"")</f>
        <v>20</v>
      </c>
      <c r="Z409" s="36">
        <f>IFERROR(IF(Y409=0,"",ROUNDUP(Y409/H409,0)*0.00474),"")</f>
        <v>4.7400000000000005E-2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22.400000000000002</v>
      </c>
      <c r="BN409" s="64">
        <f>IFERROR(Y409*I409/H409,"0")</f>
        <v>22.400000000000002</v>
      </c>
      <c r="BO409" s="64">
        <f>IFERROR(1/J409*(X409/H409),"0")</f>
        <v>4.2016806722689072E-2</v>
      </c>
      <c r="BP409" s="64">
        <f>IFERROR(1/J409*(Y409/H409),"0")</f>
        <v>4.2016806722689072E-2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36</v>
      </c>
      <c r="Y410" s="652">
        <f>IFERROR(IF(X410="",0,CEILING((X410/$H410),1)*$H410),"")</f>
        <v>36</v>
      </c>
      <c r="Z410" s="36">
        <f>IFERROR(IF(Y410=0,"",ROUNDUP(Y410/H410,0)*0.00474),"")</f>
        <v>8.5320000000000007E-2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40.320000000000007</v>
      </c>
      <c r="BN410" s="64">
        <f>IFERROR(Y410*I410/H410,"0")</f>
        <v>40.320000000000007</v>
      </c>
      <c r="BO410" s="64">
        <f>IFERROR(1/J410*(X410/H410),"0")</f>
        <v>7.5630252100840331E-2</v>
      </c>
      <c r="BP410" s="64">
        <f>IFERROR(1/J410*(Y410/H410),"0")</f>
        <v>7.5630252100840331E-2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38</v>
      </c>
      <c r="Y411" s="653">
        <f>IFERROR(Y408/H408,"0")+IFERROR(Y409/H409,"0")+IFERROR(Y410/H410,"0")</f>
        <v>38</v>
      </c>
      <c r="Z411" s="653">
        <f>IFERROR(IF(Z408="",0,Z408),"0")+IFERROR(IF(Z409="",0,Z409),"0")+IFERROR(IF(Z410="",0,Z410),"0")</f>
        <v>0.18012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76</v>
      </c>
      <c r="Y412" s="653">
        <f>IFERROR(SUM(Y408:Y410),"0")</f>
        <v>76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8</v>
      </c>
      <c r="Y416" s="652">
        <f>IFERROR(IF(X416="",0,CEILING((X416/$H416),1)*$H416),"")</f>
        <v>9</v>
      </c>
      <c r="Z416" s="36">
        <f>IFERROR(IF(Y416=0,"",ROUNDUP(Y416/H416,0)*0.0045),"")</f>
        <v>1.3499999999999998E-2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8.5866666666666678</v>
      </c>
      <c r="BN416" s="64">
        <f>IFERROR(Y416*I416/H416,"0")</f>
        <v>9.66</v>
      </c>
      <c r="BO416" s="64">
        <f>IFERROR(1/J416*(X416/H416),"0")</f>
        <v>1.1904761904761904E-2</v>
      </c>
      <c r="BP416" s="64">
        <f>IFERROR(1/J416*(Y416/H416),"0")</f>
        <v>1.3392857142857142E-2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2.6666666666666665</v>
      </c>
      <c r="Y417" s="653">
        <f>IFERROR(Y414/H414,"0")+IFERROR(Y415/H415,"0")+IFERROR(Y416/H416,"0")</f>
        <v>3</v>
      </c>
      <c r="Z417" s="653">
        <f>IFERROR(IF(Z414="",0,Z414),"0")+IFERROR(IF(Z415="",0,Z415),"0")+IFERROR(IF(Z416="",0,Z416),"0")</f>
        <v>1.3499999999999998E-2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8</v>
      </c>
      <c r="Y418" s="653">
        <f>IFERROR(SUM(Y414:Y416),"0")</f>
        <v>9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68</v>
      </c>
      <c r="Y428" s="652">
        <f>IFERROR(IF(X428="",0,CEILING((X428/$H428),1)*$H428),"")</f>
        <v>69.3</v>
      </c>
      <c r="Z428" s="36">
        <f>IFERROR(IF(Y428=0,"",ROUNDUP(Y428/H428,0)*0.00651),"")</f>
        <v>0.21482999999999999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76.159999999999982</v>
      </c>
      <c r="BN428" s="64">
        <f>IFERROR(Y428*I428/H428,"0")</f>
        <v>77.615999999999985</v>
      </c>
      <c r="BO428" s="64">
        <f>IFERROR(1/J428*(X428/H428),"0")</f>
        <v>0.17791732077446365</v>
      </c>
      <c r="BP428" s="64">
        <f>IFERROR(1/J428*(Y428/H428),"0")</f>
        <v>0.18131868131868134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46</v>
      </c>
      <c r="Y429" s="652">
        <f>IFERROR(IF(X429="",0,CEILING((X429/$H429),1)*$H429),"")</f>
        <v>46.2</v>
      </c>
      <c r="Z429" s="36">
        <f>IFERROR(IF(Y429=0,"",ROUNDUP(Y429/H429,0)*0.00651),"")</f>
        <v>0.14322000000000001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51.257142857142846</v>
      </c>
      <c r="BN429" s="64">
        <f>IFERROR(Y429*I429/H429,"0")</f>
        <v>51.48</v>
      </c>
      <c r="BO429" s="64">
        <f>IFERROR(1/J429*(X429/H429),"0")</f>
        <v>0.12035583464154893</v>
      </c>
      <c r="BP429" s="64">
        <f>IFERROR(1/J429*(Y429/H429),"0")</f>
        <v>0.12087912087912089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54.285714285714285</v>
      </c>
      <c r="Y430" s="653">
        <f>IFERROR(Y427/H427,"0")+IFERROR(Y428/H428,"0")+IFERROR(Y429/H429,"0")</f>
        <v>55</v>
      </c>
      <c r="Z430" s="653">
        <f>IFERROR(IF(Z427="",0,Z427),"0")+IFERROR(IF(Z428="",0,Z428),"0")+IFERROR(IF(Z429="",0,Z429),"0")</f>
        <v>0.35804999999999998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114</v>
      </c>
      <c r="Y431" s="653">
        <f>IFERROR(SUM(Y427:Y429),"0")</f>
        <v>115.5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1000</v>
      </c>
      <c r="Y436" s="652">
        <f t="shared" si="65"/>
        <v>1005</v>
      </c>
      <c r="Z436" s="36">
        <f>IFERROR(IF(Y436=0,"",ROUNDUP(Y436/H436,0)*0.02175),"")</f>
        <v>1.4572499999999999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1031.3333333333333</v>
      </c>
      <c r="BN436" s="64">
        <f t="shared" si="67"/>
        <v>1036.49</v>
      </c>
      <c r="BO436" s="64">
        <f t="shared" si="68"/>
        <v>1.3888888888888888</v>
      </c>
      <c r="BP436" s="64">
        <f t="shared" si="69"/>
        <v>1.3958333333333333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200</v>
      </c>
      <c r="Y437" s="652">
        <f t="shared" si="65"/>
        <v>210</v>
      </c>
      <c r="Z437" s="36">
        <f>IFERROR(IF(Y437=0,"",ROUNDUP(Y437/H437,0)*0.02175),"")</f>
        <v>0.30449999999999999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206.26666666666668</v>
      </c>
      <c r="BN437" s="64">
        <f t="shared" si="67"/>
        <v>216.58</v>
      </c>
      <c r="BO437" s="64">
        <f t="shared" si="68"/>
        <v>0.27777777777777779</v>
      </c>
      <c r="BP437" s="64">
        <f t="shared" si="69"/>
        <v>0.29166666666666663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0</v>
      </c>
      <c r="Y439" s="652">
        <f t="shared" si="65"/>
        <v>0</v>
      </c>
      <c r="Z439" s="36" t="str">
        <f>IFERROR(IF(Y439=0,"",ROUNDUP(Y439/H439,0)*0.02175),"")</f>
        <v/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0</v>
      </c>
      <c r="BN439" s="64">
        <f t="shared" si="67"/>
        <v>0</v>
      </c>
      <c r="BO439" s="64">
        <f t="shared" si="68"/>
        <v>0</v>
      </c>
      <c r="BP439" s="64">
        <f t="shared" si="69"/>
        <v>0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80</v>
      </c>
      <c r="Y443" s="653">
        <f>IFERROR(Y435/H435,"0")+IFERROR(Y436/H436,"0")+IFERROR(Y437/H437,"0")+IFERROR(Y438/H438,"0")+IFERROR(Y439/H439,"0")+IFERROR(Y440/H440,"0")+IFERROR(Y441/H441,"0")+IFERROR(Y442/H442,"0")</f>
        <v>81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1.7617499999999999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1200</v>
      </c>
      <c r="Y444" s="653">
        <f>IFERROR(SUM(Y435:Y442),"0")</f>
        <v>1215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0</v>
      </c>
      <c r="Y446" s="652">
        <f>IFERROR(IF(X446="",0,CEILING((X446/$H446),1)*$H446),"")</f>
        <v>0</v>
      </c>
      <c r="Z446" s="36" t="str">
        <f>IFERROR(IF(Y446=0,"",ROUNDUP(Y446/H446,0)*0.02175),"")</f>
        <v/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0</v>
      </c>
      <c r="Y449" s="653">
        <f>IFERROR(Y446/H446,"0")+IFERROR(Y447/H447,"0")+IFERROR(Y448/H448,"0")</f>
        <v>0</v>
      </c>
      <c r="Z449" s="653">
        <f>IFERROR(IF(Z446="",0,Z446),"0")+IFERROR(IF(Z447="",0,Z447),"0")+IFERROR(IF(Z448="",0,Z448),"0")</f>
        <v>0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0</v>
      </c>
      <c r="Y450" s="653">
        <f>IFERROR(SUM(Y446:Y448),"0")</f>
        <v>0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2100</v>
      </c>
      <c r="Y473" s="652">
        <f>IFERROR(IF(X473="",0,CEILING((X473/$H473),1)*$H473),"")</f>
        <v>2106</v>
      </c>
      <c r="Z473" s="36">
        <f>IFERROR(IF(Y473=0,"",ROUNDUP(Y473/H473,0)*0.01898),"")</f>
        <v>4.4413200000000002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2215.2666666666664</v>
      </c>
      <c r="BN473" s="64">
        <f>IFERROR(Y473*I473/H473,"0")</f>
        <v>2221.5959999999995</v>
      </c>
      <c r="BO473" s="64">
        <f>IFERROR(1/J473*(X473/H473),"0")</f>
        <v>3.6458333333333335</v>
      </c>
      <c r="BP473" s="64">
        <f>IFERROR(1/J473*(Y473/H473),"0")</f>
        <v>3.65625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104</v>
      </c>
      <c r="Y474" s="652">
        <f>IFERROR(IF(X474="",0,CEILING((X474/$H474),1)*$H474),"")</f>
        <v>105.6</v>
      </c>
      <c r="Z474" s="36">
        <f>IFERROR(IF(Y474=0,"",ROUNDUP(Y474/H474,0)*0.00651),"")</f>
        <v>0.28644000000000003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115.44000000000003</v>
      </c>
      <c r="BN474" s="64">
        <f>IFERROR(Y474*I474/H474,"0")</f>
        <v>117.21600000000001</v>
      </c>
      <c r="BO474" s="64">
        <f>IFERROR(1/J474*(X474/H474),"0")</f>
        <v>0.23809523809523814</v>
      </c>
      <c r="BP474" s="64">
        <f>IFERROR(1/J474*(Y474/H474),"0")</f>
        <v>0.24175824175824179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276.66666666666669</v>
      </c>
      <c r="Y476" s="653">
        <f>IFERROR(Y473/H473,"0")+IFERROR(Y474/H474,"0")+IFERROR(Y475/H475,"0")</f>
        <v>278</v>
      </c>
      <c r="Z476" s="653">
        <f>IFERROR(IF(Z473="",0,Z473),"0")+IFERROR(IF(Z474="",0,Z474),"0")+IFERROR(IF(Z475="",0,Z475),"0")</f>
        <v>4.72776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2204</v>
      </c>
      <c r="Y477" s="653">
        <f>IFERROR(SUM(Y473:Y475),"0")</f>
        <v>2211.6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193</v>
      </c>
      <c r="Y508" s="652">
        <f t="shared" ref="Y508:Y516" si="75">IFERROR(IF(X508="",0,CEILING((X508/$H508),1)*$H508),"")</f>
        <v>195.36</v>
      </c>
      <c r="Z508" s="36">
        <f t="shared" ref="Z508:Z513" si="76">IFERROR(IF(Y508=0,"",ROUNDUP(Y508/H508,0)*0.01196),"")</f>
        <v>0.44252000000000002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205.79356060606059</v>
      </c>
      <c r="BN508" s="64">
        <f t="shared" ref="BN508:BN516" si="78">IFERROR(Y508*I508/H508,"0")</f>
        <v>208.31</v>
      </c>
      <c r="BO508" s="64">
        <f t="shared" ref="BO508:BO516" si="79">IFERROR(1/J508*(X508/H508),"0")</f>
        <v>0.35147144522144524</v>
      </c>
      <c r="BP508" s="64">
        <f t="shared" ref="BP508:BP516" si="80">IFERROR(1/J508*(Y508/H508),"0")</f>
        <v>0.35576923076923078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1715</v>
      </c>
      <c r="Y511" s="652">
        <f t="shared" si="75"/>
        <v>1716</v>
      </c>
      <c r="Z511" s="36">
        <f t="shared" si="76"/>
        <v>3.887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1828.6837121212118</v>
      </c>
      <c r="BN511" s="64">
        <f t="shared" si="78"/>
        <v>1829.75</v>
      </c>
      <c r="BO511" s="64">
        <f t="shared" si="79"/>
        <v>3.1231789044289044</v>
      </c>
      <c r="BP511" s="64">
        <f t="shared" si="80"/>
        <v>3.125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0</v>
      </c>
      <c r="Y513" s="652">
        <f t="shared" si="75"/>
        <v>0</v>
      </c>
      <c r="Z513" s="36" t="str">
        <f t="shared" si="76"/>
        <v/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365</v>
      </c>
      <c r="Y515" s="652">
        <f t="shared" si="75"/>
        <v>369.59999999999997</v>
      </c>
      <c r="Z515" s="36">
        <f>IFERROR(IF(Y515=0,"",ROUNDUP(Y515/H515,0)*0.00902),"")</f>
        <v>0.69454000000000005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525.44791666666674</v>
      </c>
      <c r="BN515" s="64">
        <f t="shared" si="78"/>
        <v>532.06999999999994</v>
      </c>
      <c r="BO515" s="64">
        <f t="shared" si="79"/>
        <v>0.57607323232323238</v>
      </c>
      <c r="BP515" s="64">
        <f t="shared" si="80"/>
        <v>0.58333333333333337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528</v>
      </c>
      <c r="Y516" s="652">
        <f t="shared" si="75"/>
        <v>528</v>
      </c>
      <c r="Z516" s="36">
        <f>IFERROR(IF(Y516=0,"",ROUNDUP(Y516/H516,0)*0.00902),"")</f>
        <v>0.99219999999999997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760.1</v>
      </c>
      <c r="BN516" s="64">
        <f t="shared" si="78"/>
        <v>760.1</v>
      </c>
      <c r="BO516" s="64">
        <f t="shared" si="79"/>
        <v>0.83333333333333337</v>
      </c>
      <c r="BP516" s="64">
        <f t="shared" si="80"/>
        <v>0.83333333333333337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547.405303030303</v>
      </c>
      <c r="Y517" s="653">
        <f>IFERROR(Y508/H508,"0")+IFERROR(Y509/H509,"0")+IFERROR(Y510/H510,"0")+IFERROR(Y511/H511,"0")+IFERROR(Y512/H512,"0")+IFERROR(Y513/H513,"0")+IFERROR(Y514/H514,"0")+IFERROR(Y515/H515,"0")+IFERROR(Y516/H516,"0")</f>
        <v>549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6.0162600000000008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2801</v>
      </c>
      <c r="Y518" s="653">
        <f>IFERROR(SUM(Y508:Y516),"0")</f>
        <v>2808.96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1500</v>
      </c>
      <c r="Y520" s="652">
        <f>IFERROR(IF(X520="",0,CEILING((X520/$H520),1)*$H520),"")</f>
        <v>1504.8000000000002</v>
      </c>
      <c r="Z520" s="36">
        <f>IFERROR(IF(Y520=0,"",ROUNDUP(Y520/H520,0)*0.01196),"")</f>
        <v>3.4085999999999999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1599.431818181818</v>
      </c>
      <c r="BN520" s="64">
        <f>IFERROR(Y520*I520/H520,"0")</f>
        <v>1604.5500000000002</v>
      </c>
      <c r="BO520" s="64">
        <f>IFERROR(1/J520*(X520/H520),"0")</f>
        <v>2.7316433566433567</v>
      </c>
      <c r="BP520" s="64">
        <f>IFERROR(1/J520*(Y520/H520),"0")</f>
        <v>2.7403846153846154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110</v>
      </c>
      <c r="Y522" s="652">
        <f>IFERROR(IF(X522="",0,CEILING((X522/$H522),1)*$H522),"")</f>
        <v>110.39999999999999</v>
      </c>
      <c r="Z522" s="36">
        <f>IFERROR(IF(Y522=0,"",ROUNDUP(Y522/H522,0)*0.00902),"")</f>
        <v>0.20746000000000001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158.35416666666669</v>
      </c>
      <c r="BN522" s="64">
        <f>IFERROR(Y522*I522/H522,"0")</f>
        <v>158.92999999999998</v>
      </c>
      <c r="BO522" s="64">
        <f>IFERROR(1/J522*(X522/H522),"0")</f>
        <v>0.17361111111111113</v>
      </c>
      <c r="BP522" s="64">
        <f>IFERROR(1/J522*(Y522/H522),"0")</f>
        <v>0.17424242424242425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307.00757575757575</v>
      </c>
      <c r="Y523" s="653">
        <f>IFERROR(Y520/H520,"0")+IFERROR(Y521/H521,"0")+IFERROR(Y522/H522,"0")</f>
        <v>308</v>
      </c>
      <c r="Z523" s="653">
        <f>IFERROR(IF(Z520="",0,Z520),"0")+IFERROR(IF(Z521="",0,Z521),"0")+IFERROR(IF(Z522="",0,Z522),"0")</f>
        <v>3.6160600000000001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1610</v>
      </c>
      <c r="Y524" s="653">
        <f>IFERROR(SUM(Y520:Y522),"0")</f>
        <v>1615.2000000000003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0</v>
      </c>
      <c r="Y526" s="652">
        <f t="shared" ref="Y526:Y532" si="81"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0</v>
      </c>
      <c r="BN526" s="64">
        <f t="shared" ref="BN526:BN532" si="83">IFERROR(Y526*I526/H526,"0")</f>
        <v>0</v>
      </c>
      <c r="BO526" s="64">
        <f t="shared" ref="BO526:BO532" si="84">IFERROR(1/J526*(X526/H526),"0")</f>
        <v>0</v>
      </c>
      <c r="BP526" s="64">
        <f t="shared" ref="BP526:BP532" si="85">IFERROR(1/J526*(Y526/H526),"0")</f>
        <v>0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0</v>
      </c>
      <c r="Y527" s="652">
        <f t="shared" si="81"/>
        <v>0</v>
      </c>
      <c r="Z527" s="36" t="str">
        <f>IFERROR(IF(Y527=0,"",ROUNDUP(Y527/H527,0)*0.01196),"")</f>
        <v/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0</v>
      </c>
      <c r="BN527" s="64">
        <f t="shared" si="83"/>
        <v>0</v>
      </c>
      <c r="BO527" s="64">
        <f t="shared" si="84"/>
        <v>0</v>
      </c>
      <c r="BP527" s="64">
        <f t="shared" si="85"/>
        <v>0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300</v>
      </c>
      <c r="Y528" s="652">
        <f t="shared" si="81"/>
        <v>300.96000000000004</v>
      </c>
      <c r="Z528" s="36">
        <f>IFERROR(IF(Y528=0,"",ROUNDUP(Y528/H528,0)*0.01196),"")</f>
        <v>0.68171999999999999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319.88636363636363</v>
      </c>
      <c r="BN528" s="64">
        <f t="shared" si="83"/>
        <v>320.91000000000003</v>
      </c>
      <c r="BO528" s="64">
        <f t="shared" si="84"/>
        <v>0.54632867132867136</v>
      </c>
      <c r="BP528" s="64">
        <f t="shared" si="85"/>
        <v>0.54807692307692313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56.818181818181813</v>
      </c>
      <c r="Y533" s="653">
        <f>IFERROR(Y526/H526,"0")+IFERROR(Y527/H527,"0")+IFERROR(Y528/H528,"0")+IFERROR(Y529/H529,"0")+IFERROR(Y530/H530,"0")+IFERROR(Y531/H531,"0")+IFERROR(Y532/H532,"0")</f>
        <v>57.000000000000007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0.68171999999999999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300</v>
      </c>
      <c r="Y534" s="653">
        <f>IFERROR(SUM(Y526:Y532),"0")</f>
        <v>300.96000000000004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17199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17311.98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18745.99287273395</v>
      </c>
      <c r="Y564" s="653">
        <f>IFERROR(SUM(BN22:BN560),"0")</f>
        <v>18868.326999999994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33</v>
      </c>
      <c r="Y565" s="38">
        <f>ROUNDUP(SUM(BP22:BP560),0)</f>
        <v>33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19570.99287273395</v>
      </c>
      <c r="Y566" s="653">
        <f>GrossWeightTotalR+PalletQtyTotalR*25</f>
        <v>19693.326999999994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3752.1210298550986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3779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39.422169999999994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12.6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66.600000000000009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322.20000000000005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999.90000000000009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4384.2</v>
      </c>
      <c r="H573" s="46">
        <f>IFERROR(Y140*1,"0")+IFERROR(Y141*1,"0")+IFERROR(Y145*1,"0")+IFERROR(Y146*1,"0")+IFERROR(Y150*1,"0")+IFERROR(Y151*1,"0")</f>
        <v>19.200000000000003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458.88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217.58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1946.7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96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0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515.5</v>
      </c>
      <c r="U573" s="46">
        <f>IFERROR(Y421*1,"0")+IFERROR(Y422*1,"0")</f>
        <v>0</v>
      </c>
      <c r="V573" s="46">
        <f>IFERROR(Y427*1,"0")+IFERROR(Y428*1,"0")+IFERROR(Y429*1,"0")</f>
        <v>115.5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1215</v>
      </c>
      <c r="X573" s="46">
        <f>IFERROR(Y464*1,"0")+IFERROR(Y465*1,"0")+IFERROR(Y469*1,"0")+IFERROR(Y473*1,"0")+IFERROR(Y474*1,"0")+IFERROR(Y475*1,"0")</f>
        <v>2211.6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4725.12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2026-09-04T11:56:30Z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