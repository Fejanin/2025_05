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2026\ЗАВОДЫ\ПОКОМ\филиалы НВ\09,26\03,09,26 ПОКОМ КИ\"/>
    </mc:Choice>
  </mc:AlternateContent>
  <xr:revisionPtr revIDLastSave="0" documentId="13_ncr:1_{B9CA9A0D-EECA-4AC0-8726-2BAF0977863F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externalReferences>
    <externalReference r:id="rId2"/>
  </externalReferences>
  <definedNames>
    <definedName name="_xlnm._FilterDatabase" localSheetId="0" hidden="1">Sheet!$A$3:$AM$139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Z67" i="1" l="1"/>
  <c r="Z137" i="1"/>
  <c r="Z136" i="1"/>
  <c r="Z134" i="1"/>
  <c r="Z133" i="1"/>
  <c r="Z130" i="1"/>
  <c r="Z119" i="1"/>
  <c r="Z117" i="1"/>
  <c r="Z114" i="1"/>
  <c r="Z113" i="1"/>
  <c r="Z112" i="1"/>
  <c r="Z106" i="1"/>
  <c r="Z103" i="1"/>
  <c r="Z102" i="1"/>
  <c r="Z101" i="1"/>
  <c r="Z99" i="1"/>
  <c r="Z86" i="1"/>
  <c r="Z85" i="1"/>
  <c r="Z74" i="1"/>
  <c r="Z72" i="1"/>
  <c r="Z71" i="1"/>
  <c r="Z69" i="1"/>
  <c r="Z68" i="1"/>
  <c r="Z66" i="1"/>
  <c r="Z65" i="1"/>
  <c r="Z58" i="1"/>
  <c r="Z51" i="1"/>
  <c r="Z50" i="1"/>
  <c r="Z49" i="1"/>
  <c r="Z48" i="1"/>
  <c r="Z47" i="1"/>
  <c r="Z45" i="1"/>
  <c r="Z43" i="1"/>
  <c r="Z42" i="1"/>
  <c r="Z41" i="1"/>
  <c r="Z39" i="1"/>
  <c r="Z14" i="1"/>
  <c r="Z13" i="1"/>
  <c r="Z9" i="1" l="1"/>
  <c r="Z15" i="1"/>
  <c r="Z17" i="1"/>
  <c r="Z19" i="1"/>
  <c r="Z20" i="1"/>
  <c r="Z21" i="1"/>
  <c r="Z22" i="1"/>
  <c r="Z23" i="1"/>
  <c r="Z24" i="1"/>
  <c r="Z25" i="1"/>
  <c r="Z26" i="1"/>
  <c r="Z28" i="1"/>
  <c r="Z29" i="1"/>
  <c r="Z30" i="1"/>
  <c r="Z31" i="1"/>
  <c r="Z33" i="1"/>
  <c r="Z35" i="1"/>
  <c r="Z36" i="1"/>
  <c r="Z37" i="1"/>
  <c r="Z38" i="1"/>
  <c r="Z46" i="1"/>
  <c r="Z52" i="1"/>
  <c r="Z53" i="1"/>
  <c r="Z54" i="1"/>
  <c r="Z55" i="1"/>
  <c r="Z56" i="1"/>
  <c r="Z57" i="1"/>
  <c r="Z61" i="1"/>
  <c r="Z62" i="1"/>
  <c r="Z64" i="1"/>
  <c r="Z70" i="1"/>
  <c r="Z73" i="1"/>
  <c r="Z75" i="1"/>
  <c r="Z79" i="1"/>
  <c r="Z80" i="1"/>
  <c r="Z83" i="1"/>
  <c r="Z87" i="1"/>
  <c r="Z88" i="1"/>
  <c r="Z89" i="1"/>
  <c r="Z90" i="1"/>
  <c r="Z94" i="1"/>
  <c r="Z96" i="1"/>
  <c r="Z97" i="1"/>
  <c r="Z98" i="1"/>
  <c r="Z100" i="1"/>
  <c r="Z104" i="1"/>
  <c r="Z107" i="1"/>
  <c r="Z108" i="1"/>
  <c r="Z116" i="1"/>
  <c r="Z121" i="1"/>
  <c r="Z122" i="1"/>
  <c r="Z123" i="1"/>
  <c r="Z124" i="1"/>
  <c r="Z125" i="1"/>
  <c r="Z126" i="1"/>
  <c r="Z127" i="1"/>
  <c r="Z128" i="1"/>
  <c r="Z129" i="1"/>
  <c r="Z131" i="1"/>
  <c r="Z135" i="1"/>
  <c r="Z138" i="1"/>
  <c r="Z139" i="1"/>
  <c r="Z6" i="1"/>
  <c r="AM7" i="1" l="1"/>
  <c r="AM9" i="1"/>
  <c r="AM13" i="1"/>
  <c r="AM14" i="1"/>
  <c r="AM15" i="1"/>
  <c r="AM16" i="1"/>
  <c r="AM17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6" i="1"/>
  <c r="AM37" i="1"/>
  <c r="AM38" i="1"/>
  <c r="AM43" i="1"/>
  <c r="AM46" i="1"/>
  <c r="AM48" i="1"/>
  <c r="AM51" i="1"/>
  <c r="AM52" i="1"/>
  <c r="AM53" i="1"/>
  <c r="AM55" i="1"/>
  <c r="AM56" i="1"/>
  <c r="AM57" i="1"/>
  <c r="AM62" i="1"/>
  <c r="AM64" i="1"/>
  <c r="AM66" i="1"/>
  <c r="AM69" i="1"/>
  <c r="AM70" i="1"/>
  <c r="AM79" i="1"/>
  <c r="AM80" i="1"/>
  <c r="AM87" i="1"/>
  <c r="AM88" i="1"/>
  <c r="AM90" i="1"/>
  <c r="AM93" i="1"/>
  <c r="AM94" i="1"/>
  <c r="AM95" i="1"/>
  <c r="AM96" i="1"/>
  <c r="AM98" i="1"/>
  <c r="AM100" i="1"/>
  <c r="AM102" i="1"/>
  <c r="AM104" i="1"/>
  <c r="AM107" i="1"/>
  <c r="AM108" i="1"/>
  <c r="AM112" i="1"/>
  <c r="AM114" i="1"/>
  <c r="AM116" i="1"/>
  <c r="AM117" i="1"/>
  <c r="AM119" i="1"/>
  <c r="AM121" i="1"/>
  <c r="AM122" i="1"/>
  <c r="AM123" i="1"/>
  <c r="AM124" i="1"/>
  <c r="AM126" i="1"/>
  <c r="AM128" i="1"/>
  <c r="AM129" i="1"/>
  <c r="AM130" i="1"/>
  <c r="AM133" i="1"/>
  <c r="AM135" i="1"/>
  <c r="AM137" i="1"/>
  <c r="AM138" i="1"/>
  <c r="AM139" i="1"/>
  <c r="AM19" i="1"/>
  <c r="AM35" i="1"/>
  <c r="AM39" i="1"/>
  <c r="AM40" i="1"/>
  <c r="AM41" i="1"/>
  <c r="AM42" i="1"/>
  <c r="AM45" i="1"/>
  <c r="AM47" i="1"/>
  <c r="AM49" i="1"/>
  <c r="AM50" i="1"/>
  <c r="AM54" i="1"/>
  <c r="AM58" i="1"/>
  <c r="AM61" i="1"/>
  <c r="AM65" i="1"/>
  <c r="AM67" i="1"/>
  <c r="AM68" i="1"/>
  <c r="AM71" i="1"/>
  <c r="AM72" i="1"/>
  <c r="AM73" i="1"/>
  <c r="AM74" i="1"/>
  <c r="AM75" i="1"/>
  <c r="AM83" i="1"/>
  <c r="AM85" i="1"/>
  <c r="AM86" i="1"/>
  <c r="AM89" i="1"/>
  <c r="AM97" i="1"/>
  <c r="AM99" i="1"/>
  <c r="AM101" i="1"/>
  <c r="AM103" i="1"/>
  <c r="AM106" i="1"/>
  <c r="AM113" i="1"/>
  <c r="AM118" i="1"/>
  <c r="AM125" i="1"/>
  <c r="AM127" i="1"/>
  <c r="AM131" i="1"/>
  <c r="AM134" i="1"/>
  <c r="AM136" i="1"/>
  <c r="AM6" i="1"/>
  <c r="AA40" i="1" l="1"/>
  <c r="AA60" i="1"/>
  <c r="AA63" i="1"/>
  <c r="AA118" i="1"/>
  <c r="M139" i="1" l="1"/>
  <c r="X139" i="1" s="1"/>
  <c r="L139" i="1"/>
  <c r="M138" i="1"/>
  <c r="X138" i="1" s="1"/>
  <c r="AB138" i="1" s="1"/>
  <c r="L138" i="1"/>
  <c r="M137" i="1"/>
  <c r="X137" i="1" s="1"/>
  <c r="AB137" i="1" s="1"/>
  <c r="L137" i="1"/>
  <c r="M136" i="1"/>
  <c r="X136" i="1" s="1"/>
  <c r="AB136" i="1" s="1"/>
  <c r="L136" i="1"/>
  <c r="M135" i="1"/>
  <c r="X135" i="1" s="1"/>
  <c r="AB135" i="1" s="1"/>
  <c r="L135" i="1"/>
  <c r="M134" i="1"/>
  <c r="X134" i="1" s="1"/>
  <c r="AB134" i="1" s="1"/>
  <c r="L134" i="1"/>
  <c r="M133" i="1"/>
  <c r="X133" i="1" s="1"/>
  <c r="AB133" i="1" s="1"/>
  <c r="L133" i="1"/>
  <c r="M132" i="1"/>
  <c r="X132" i="1" s="1"/>
  <c r="Y132" i="1" s="1"/>
  <c r="Z132" i="1" s="1"/>
  <c r="L132" i="1"/>
  <c r="F131" i="1"/>
  <c r="E131" i="1"/>
  <c r="M131" i="1" s="1"/>
  <c r="X131" i="1" s="1"/>
  <c r="M130" i="1"/>
  <c r="X130" i="1" s="1"/>
  <c r="AB130" i="1" s="1"/>
  <c r="L130" i="1"/>
  <c r="E129" i="1"/>
  <c r="M129" i="1" s="1"/>
  <c r="X129" i="1" s="1"/>
  <c r="AB129" i="1" s="1"/>
  <c r="M128" i="1"/>
  <c r="X128" i="1" s="1"/>
  <c r="L128" i="1"/>
  <c r="M127" i="1"/>
  <c r="X127" i="1" s="1"/>
  <c r="L127" i="1"/>
  <c r="M126" i="1"/>
  <c r="X126" i="1" s="1"/>
  <c r="AB126" i="1" s="1"/>
  <c r="L126" i="1"/>
  <c r="M125" i="1"/>
  <c r="X125" i="1" s="1"/>
  <c r="AB125" i="1" s="1"/>
  <c r="L125" i="1"/>
  <c r="M124" i="1"/>
  <c r="L124" i="1"/>
  <c r="M123" i="1"/>
  <c r="X123" i="1" s="1"/>
  <c r="L123" i="1"/>
  <c r="M122" i="1"/>
  <c r="X122" i="1" s="1"/>
  <c r="L122" i="1"/>
  <c r="M121" i="1"/>
  <c r="X121" i="1" s="1"/>
  <c r="AB121" i="1" s="1"/>
  <c r="L121" i="1"/>
  <c r="M120" i="1"/>
  <c r="X120" i="1" s="1"/>
  <c r="Y120" i="1" s="1"/>
  <c r="Z120" i="1" s="1"/>
  <c r="L120" i="1"/>
  <c r="M119" i="1"/>
  <c r="X119" i="1" s="1"/>
  <c r="AB119" i="1" s="1"/>
  <c r="L119" i="1"/>
  <c r="M118" i="1"/>
  <c r="X118" i="1" s="1"/>
  <c r="AB118" i="1" s="1"/>
  <c r="L118" i="1"/>
  <c r="M117" i="1"/>
  <c r="X117" i="1" s="1"/>
  <c r="AB117" i="1" s="1"/>
  <c r="L117" i="1"/>
  <c r="M116" i="1"/>
  <c r="X116" i="1" s="1"/>
  <c r="AB116" i="1" s="1"/>
  <c r="L116" i="1"/>
  <c r="M115" i="1"/>
  <c r="X115" i="1" s="1"/>
  <c r="L115" i="1"/>
  <c r="M114" i="1"/>
  <c r="X114" i="1" s="1"/>
  <c r="AB114" i="1" s="1"/>
  <c r="L114" i="1"/>
  <c r="M113" i="1"/>
  <c r="X113" i="1" s="1"/>
  <c r="AB113" i="1" s="1"/>
  <c r="L113" i="1"/>
  <c r="M112" i="1"/>
  <c r="X112" i="1" s="1"/>
  <c r="AB112" i="1" s="1"/>
  <c r="L112" i="1"/>
  <c r="M111" i="1"/>
  <c r="X111" i="1" s="1"/>
  <c r="Y111" i="1" s="1"/>
  <c r="Z111" i="1" s="1"/>
  <c r="L111" i="1"/>
  <c r="M110" i="1"/>
  <c r="X110" i="1" s="1"/>
  <c r="Y110" i="1" s="1"/>
  <c r="Z110" i="1" s="1"/>
  <c r="L110" i="1"/>
  <c r="M109" i="1"/>
  <c r="X109" i="1" s="1"/>
  <c r="Y109" i="1" s="1"/>
  <c r="Z109" i="1" s="1"/>
  <c r="L109" i="1"/>
  <c r="M108" i="1"/>
  <c r="X108" i="1" s="1"/>
  <c r="AB108" i="1" s="1"/>
  <c r="L108" i="1"/>
  <c r="M107" i="1"/>
  <c r="X107" i="1" s="1"/>
  <c r="AB107" i="1" s="1"/>
  <c r="L107" i="1"/>
  <c r="M106" i="1"/>
  <c r="X106" i="1" s="1"/>
  <c r="AB106" i="1" s="1"/>
  <c r="L106" i="1"/>
  <c r="M105" i="1"/>
  <c r="X105" i="1" s="1"/>
  <c r="Y105" i="1" s="1"/>
  <c r="Z105" i="1" s="1"/>
  <c r="L105" i="1"/>
  <c r="M104" i="1"/>
  <c r="X104" i="1" s="1"/>
  <c r="AB104" i="1" s="1"/>
  <c r="L104" i="1"/>
  <c r="M103" i="1"/>
  <c r="X103" i="1" s="1"/>
  <c r="AB103" i="1" s="1"/>
  <c r="L103" i="1"/>
  <c r="M102" i="1"/>
  <c r="L102" i="1"/>
  <c r="M101" i="1"/>
  <c r="X101" i="1" s="1"/>
  <c r="AB101" i="1" s="1"/>
  <c r="L101" i="1"/>
  <c r="M100" i="1"/>
  <c r="X100" i="1" s="1"/>
  <c r="AB100" i="1" s="1"/>
  <c r="L100" i="1"/>
  <c r="M99" i="1"/>
  <c r="X99" i="1" s="1"/>
  <c r="AB99" i="1" s="1"/>
  <c r="L99" i="1"/>
  <c r="M98" i="1"/>
  <c r="X98" i="1" s="1"/>
  <c r="AB98" i="1" s="1"/>
  <c r="L98" i="1"/>
  <c r="M97" i="1"/>
  <c r="X97" i="1" s="1"/>
  <c r="AB97" i="1" s="1"/>
  <c r="L97" i="1"/>
  <c r="M96" i="1"/>
  <c r="X96" i="1" s="1"/>
  <c r="AB96" i="1" s="1"/>
  <c r="L96" i="1"/>
  <c r="M95" i="1"/>
  <c r="X95" i="1" s="1"/>
  <c r="L95" i="1"/>
  <c r="F95" i="1"/>
  <c r="AB95" i="1" s="1"/>
  <c r="M94" i="1"/>
  <c r="X94" i="1" s="1"/>
  <c r="AB94" i="1" s="1"/>
  <c r="L94" i="1"/>
  <c r="M93" i="1"/>
  <c r="X93" i="1" s="1"/>
  <c r="L93" i="1"/>
  <c r="M92" i="1"/>
  <c r="X92" i="1" s="1"/>
  <c r="Z92" i="1" s="1"/>
  <c r="AM92" i="1" s="1"/>
  <c r="L92" i="1"/>
  <c r="M91" i="1"/>
  <c r="X91" i="1" s="1"/>
  <c r="L91" i="1"/>
  <c r="M90" i="1"/>
  <c r="X90" i="1" s="1"/>
  <c r="AB90" i="1" s="1"/>
  <c r="L90" i="1"/>
  <c r="M89" i="1"/>
  <c r="X89" i="1" s="1"/>
  <c r="AB89" i="1" s="1"/>
  <c r="L89" i="1"/>
  <c r="M88" i="1"/>
  <c r="X88" i="1" s="1"/>
  <c r="AB88" i="1" s="1"/>
  <c r="L88" i="1"/>
  <c r="M87" i="1"/>
  <c r="X87" i="1" s="1"/>
  <c r="AB87" i="1" s="1"/>
  <c r="L87" i="1"/>
  <c r="M86" i="1"/>
  <c r="X86" i="1" s="1"/>
  <c r="AB86" i="1" s="1"/>
  <c r="L86" i="1"/>
  <c r="M85" i="1"/>
  <c r="X85" i="1" s="1"/>
  <c r="AB85" i="1" s="1"/>
  <c r="L85" i="1"/>
  <c r="M84" i="1"/>
  <c r="X84" i="1" s="1"/>
  <c r="Y84" i="1" s="1"/>
  <c r="Z84" i="1" s="1"/>
  <c r="L84" i="1"/>
  <c r="M83" i="1"/>
  <c r="X83" i="1" s="1"/>
  <c r="AB83" i="1" s="1"/>
  <c r="L83" i="1"/>
  <c r="M82" i="1"/>
  <c r="X82" i="1" s="1"/>
  <c r="Y82" i="1" s="1"/>
  <c r="Z82" i="1" s="1"/>
  <c r="L82" i="1"/>
  <c r="M81" i="1"/>
  <c r="X81" i="1" s="1"/>
  <c r="Y81" i="1" s="1"/>
  <c r="Z81" i="1" s="1"/>
  <c r="L81" i="1"/>
  <c r="M80" i="1"/>
  <c r="X80" i="1" s="1"/>
  <c r="AB80" i="1" s="1"/>
  <c r="L80" i="1"/>
  <c r="M79" i="1"/>
  <c r="X79" i="1" s="1"/>
  <c r="AB79" i="1" s="1"/>
  <c r="L79" i="1"/>
  <c r="M78" i="1"/>
  <c r="X78" i="1" s="1"/>
  <c r="L78" i="1"/>
  <c r="M77" i="1"/>
  <c r="X77" i="1" s="1"/>
  <c r="L77" i="1"/>
  <c r="M76" i="1"/>
  <c r="X76" i="1" s="1"/>
  <c r="L76" i="1"/>
  <c r="M75" i="1"/>
  <c r="X75" i="1" s="1"/>
  <c r="L75" i="1"/>
  <c r="M74" i="1"/>
  <c r="X74" i="1" s="1"/>
  <c r="AB74" i="1" s="1"/>
  <c r="L74" i="1"/>
  <c r="M73" i="1"/>
  <c r="X73" i="1" s="1"/>
  <c r="AB73" i="1" s="1"/>
  <c r="L73" i="1"/>
  <c r="M72" i="1"/>
  <c r="X72" i="1" s="1"/>
  <c r="AB72" i="1" s="1"/>
  <c r="L72" i="1"/>
  <c r="M71" i="1"/>
  <c r="X71" i="1" s="1"/>
  <c r="AB71" i="1" s="1"/>
  <c r="L71" i="1"/>
  <c r="M70" i="1"/>
  <c r="X70" i="1" s="1"/>
  <c r="AB70" i="1" s="1"/>
  <c r="L70" i="1"/>
  <c r="M69" i="1"/>
  <c r="X69" i="1" s="1"/>
  <c r="AB69" i="1" s="1"/>
  <c r="L69" i="1"/>
  <c r="M68" i="1"/>
  <c r="X68" i="1" s="1"/>
  <c r="AB68" i="1" s="1"/>
  <c r="L68" i="1"/>
  <c r="M67" i="1"/>
  <c r="X67" i="1" s="1"/>
  <c r="AB67" i="1" s="1"/>
  <c r="L67" i="1"/>
  <c r="M66" i="1"/>
  <c r="X66" i="1" s="1"/>
  <c r="AB66" i="1" s="1"/>
  <c r="L66" i="1"/>
  <c r="M65" i="1"/>
  <c r="X65" i="1" s="1"/>
  <c r="AB65" i="1" s="1"/>
  <c r="L65" i="1"/>
  <c r="M64" i="1"/>
  <c r="X64" i="1" s="1"/>
  <c r="AB64" i="1" s="1"/>
  <c r="L64" i="1"/>
  <c r="M63" i="1"/>
  <c r="X63" i="1" s="1"/>
  <c r="L63" i="1"/>
  <c r="M62" i="1"/>
  <c r="X62" i="1" s="1"/>
  <c r="AB62" i="1" s="1"/>
  <c r="L62" i="1"/>
  <c r="M61" i="1"/>
  <c r="X61" i="1" s="1"/>
  <c r="AB61" i="1" s="1"/>
  <c r="L61" i="1"/>
  <c r="F60" i="1"/>
  <c r="E60" i="1"/>
  <c r="M60" i="1" s="1"/>
  <c r="X60" i="1" s="1"/>
  <c r="M59" i="1"/>
  <c r="X59" i="1" s="1"/>
  <c r="L59" i="1"/>
  <c r="M58" i="1"/>
  <c r="X58" i="1" s="1"/>
  <c r="AB58" i="1" s="1"/>
  <c r="L58" i="1"/>
  <c r="M57" i="1"/>
  <c r="X57" i="1" s="1"/>
  <c r="L57" i="1"/>
  <c r="M56" i="1"/>
  <c r="X56" i="1" s="1"/>
  <c r="AB56" i="1" s="1"/>
  <c r="L56" i="1"/>
  <c r="M55" i="1"/>
  <c r="X55" i="1" s="1"/>
  <c r="AB55" i="1" s="1"/>
  <c r="L55" i="1"/>
  <c r="M54" i="1"/>
  <c r="X54" i="1" s="1"/>
  <c r="AB54" i="1" s="1"/>
  <c r="L54" i="1"/>
  <c r="M53" i="1"/>
  <c r="X53" i="1" s="1"/>
  <c r="AB53" i="1" s="1"/>
  <c r="L53" i="1"/>
  <c r="M52" i="1"/>
  <c r="X52" i="1" s="1"/>
  <c r="AB52" i="1" s="1"/>
  <c r="L52" i="1"/>
  <c r="M51" i="1"/>
  <c r="X51" i="1" s="1"/>
  <c r="AB51" i="1" s="1"/>
  <c r="L51" i="1"/>
  <c r="M50" i="1"/>
  <c r="X50" i="1" s="1"/>
  <c r="AB50" i="1" s="1"/>
  <c r="L50" i="1"/>
  <c r="M49" i="1"/>
  <c r="X49" i="1" s="1"/>
  <c r="AB49" i="1" s="1"/>
  <c r="L49" i="1"/>
  <c r="M48" i="1"/>
  <c r="X48" i="1" s="1"/>
  <c r="AB48" i="1" s="1"/>
  <c r="L48" i="1"/>
  <c r="M47" i="1"/>
  <c r="X47" i="1" s="1"/>
  <c r="AB47" i="1" s="1"/>
  <c r="L47" i="1"/>
  <c r="M46" i="1"/>
  <c r="X46" i="1" s="1"/>
  <c r="AB46" i="1" s="1"/>
  <c r="L46" i="1"/>
  <c r="M45" i="1"/>
  <c r="X45" i="1" s="1"/>
  <c r="AB45" i="1" s="1"/>
  <c r="L45" i="1"/>
  <c r="M44" i="1"/>
  <c r="X44" i="1" s="1"/>
  <c r="Y44" i="1" s="1"/>
  <c r="Z44" i="1" s="1"/>
  <c r="L44" i="1"/>
  <c r="M43" i="1"/>
  <c r="X43" i="1" s="1"/>
  <c r="AB43" i="1" s="1"/>
  <c r="L43" i="1"/>
  <c r="M42" i="1"/>
  <c r="X42" i="1" s="1"/>
  <c r="AB42" i="1" s="1"/>
  <c r="L42" i="1"/>
  <c r="M41" i="1"/>
  <c r="X41" i="1" s="1"/>
  <c r="AB41" i="1" s="1"/>
  <c r="L41" i="1"/>
  <c r="M40" i="1"/>
  <c r="L40" i="1"/>
  <c r="M39" i="1"/>
  <c r="X39" i="1" s="1"/>
  <c r="AB39" i="1" s="1"/>
  <c r="L39" i="1"/>
  <c r="M38" i="1"/>
  <c r="X38" i="1" s="1"/>
  <c r="L38" i="1"/>
  <c r="M37" i="1"/>
  <c r="X37" i="1" s="1"/>
  <c r="AB37" i="1" s="1"/>
  <c r="L37" i="1"/>
  <c r="M36" i="1"/>
  <c r="X36" i="1" s="1"/>
  <c r="AB36" i="1" s="1"/>
  <c r="L36" i="1"/>
  <c r="M35" i="1"/>
  <c r="X35" i="1" s="1"/>
  <c r="L35" i="1"/>
  <c r="M34" i="1"/>
  <c r="X34" i="1" s="1"/>
  <c r="AB34" i="1" s="1"/>
  <c r="L34" i="1"/>
  <c r="M33" i="1"/>
  <c r="X33" i="1" s="1"/>
  <c r="AB33" i="1" s="1"/>
  <c r="L33" i="1"/>
  <c r="M32" i="1"/>
  <c r="X32" i="1" s="1"/>
  <c r="AB32" i="1" s="1"/>
  <c r="L32" i="1"/>
  <c r="M31" i="1"/>
  <c r="X31" i="1" s="1"/>
  <c r="L31" i="1"/>
  <c r="M30" i="1"/>
  <c r="X30" i="1" s="1"/>
  <c r="AB30" i="1" s="1"/>
  <c r="L30" i="1"/>
  <c r="M29" i="1"/>
  <c r="X29" i="1" s="1"/>
  <c r="L29" i="1"/>
  <c r="M28" i="1"/>
  <c r="X28" i="1" s="1"/>
  <c r="L28" i="1"/>
  <c r="M27" i="1"/>
  <c r="X27" i="1" s="1"/>
  <c r="AB27" i="1" s="1"/>
  <c r="L27" i="1"/>
  <c r="M26" i="1"/>
  <c r="X26" i="1" s="1"/>
  <c r="AB26" i="1" s="1"/>
  <c r="L26" i="1"/>
  <c r="M25" i="1"/>
  <c r="X25" i="1" s="1"/>
  <c r="AB25" i="1" s="1"/>
  <c r="L25" i="1"/>
  <c r="M24" i="1"/>
  <c r="X24" i="1" s="1"/>
  <c r="AB24" i="1" s="1"/>
  <c r="L24" i="1"/>
  <c r="M23" i="1"/>
  <c r="X23" i="1" s="1"/>
  <c r="L23" i="1"/>
  <c r="M22" i="1"/>
  <c r="X22" i="1" s="1"/>
  <c r="L22" i="1"/>
  <c r="M21" i="1"/>
  <c r="X21" i="1" s="1"/>
  <c r="AB21" i="1" s="1"/>
  <c r="L21" i="1"/>
  <c r="M20" i="1"/>
  <c r="X20" i="1" s="1"/>
  <c r="AB20" i="1" s="1"/>
  <c r="L20" i="1"/>
  <c r="M19" i="1"/>
  <c r="X19" i="1" s="1"/>
  <c r="L19" i="1"/>
  <c r="M18" i="1"/>
  <c r="X18" i="1" s="1"/>
  <c r="L18" i="1"/>
  <c r="M17" i="1"/>
  <c r="X17" i="1" s="1"/>
  <c r="AB17" i="1" s="1"/>
  <c r="L17" i="1"/>
  <c r="M16" i="1"/>
  <c r="X16" i="1" s="1"/>
  <c r="L16" i="1"/>
  <c r="M15" i="1"/>
  <c r="X15" i="1" s="1"/>
  <c r="AB15" i="1" s="1"/>
  <c r="L15" i="1"/>
  <c r="M14" i="1"/>
  <c r="X14" i="1" s="1"/>
  <c r="AB14" i="1" s="1"/>
  <c r="L14" i="1"/>
  <c r="M13" i="1"/>
  <c r="X13" i="1" s="1"/>
  <c r="AB13" i="1" s="1"/>
  <c r="L13" i="1"/>
  <c r="M12" i="1"/>
  <c r="X12" i="1" s="1"/>
  <c r="Y12" i="1" s="1"/>
  <c r="Z12" i="1" s="1"/>
  <c r="L12" i="1"/>
  <c r="M11" i="1"/>
  <c r="X11" i="1" s="1"/>
  <c r="Y11" i="1" s="1"/>
  <c r="L11" i="1"/>
  <c r="M10" i="1"/>
  <c r="X10" i="1" s="1"/>
  <c r="Y10" i="1" s="1"/>
  <c r="L10" i="1"/>
  <c r="M9" i="1"/>
  <c r="X9" i="1" s="1"/>
  <c r="AB9" i="1" s="1"/>
  <c r="L9" i="1"/>
  <c r="M8" i="1"/>
  <c r="X8" i="1" s="1"/>
  <c r="Y8" i="1" s="1"/>
  <c r="L8" i="1"/>
  <c r="M7" i="1"/>
  <c r="X7" i="1" s="1"/>
  <c r="AB7" i="1" s="1"/>
  <c r="L7" i="1"/>
  <c r="M6" i="1"/>
  <c r="X6" i="1" s="1"/>
  <c r="AB6" i="1" s="1"/>
  <c r="L6" i="1"/>
  <c r="AK5" i="1"/>
  <c r="AJ5" i="1"/>
  <c r="AI5" i="1"/>
  <c r="AH5" i="1"/>
  <c r="AG5" i="1"/>
  <c r="AF5" i="1"/>
  <c r="AE5" i="1"/>
  <c r="AD5" i="1"/>
  <c r="W5" i="1"/>
  <c r="V5" i="1"/>
  <c r="U5" i="1"/>
  <c r="T5" i="1"/>
  <c r="S5" i="1"/>
  <c r="R5" i="1"/>
  <c r="Q5" i="1"/>
  <c r="P5" i="1"/>
  <c r="O5" i="1"/>
  <c r="N5" i="1"/>
  <c r="K5" i="1"/>
  <c r="Z18" i="1" l="1"/>
  <c r="AM18" i="1" s="1"/>
  <c r="Z59" i="1"/>
  <c r="AM59" i="1" s="1"/>
  <c r="Z76" i="1"/>
  <c r="AM76" i="1" s="1"/>
  <c r="Z91" i="1"/>
  <c r="AM91" i="1" s="1"/>
  <c r="AM105" i="1"/>
  <c r="AB105" i="1"/>
  <c r="AM109" i="1"/>
  <c r="AB109" i="1"/>
  <c r="AM110" i="1"/>
  <c r="AB110" i="1"/>
  <c r="AM111" i="1"/>
  <c r="AB111" i="1"/>
  <c r="AB120" i="1"/>
  <c r="AM120" i="1"/>
  <c r="AC122" i="1"/>
  <c r="AB122" i="1"/>
  <c r="AC123" i="1"/>
  <c r="AB123" i="1"/>
  <c r="AC127" i="1"/>
  <c r="AB127" i="1"/>
  <c r="AC128" i="1"/>
  <c r="AB128" i="1"/>
  <c r="AB8" i="1"/>
  <c r="AM8" i="1"/>
  <c r="AM10" i="1"/>
  <c r="AB10" i="1"/>
  <c r="AM11" i="1"/>
  <c r="AB11" i="1"/>
  <c r="AM12" i="1"/>
  <c r="AB12" i="1"/>
  <c r="AC16" i="1"/>
  <c r="AB16" i="1"/>
  <c r="AC19" i="1"/>
  <c r="AB19" i="1"/>
  <c r="AC22" i="1"/>
  <c r="AB22" i="1"/>
  <c r="AC23" i="1"/>
  <c r="AB23" i="1"/>
  <c r="AC28" i="1"/>
  <c r="AB28" i="1"/>
  <c r="AC29" i="1"/>
  <c r="AB29" i="1"/>
  <c r="AC31" i="1"/>
  <c r="AB31" i="1"/>
  <c r="AC35" i="1"/>
  <c r="AB35" i="1"/>
  <c r="AC38" i="1"/>
  <c r="AB38" i="1"/>
  <c r="AM44" i="1"/>
  <c r="AB44" i="1"/>
  <c r="AC57" i="1"/>
  <c r="AB57" i="1"/>
  <c r="AC75" i="1"/>
  <c r="AB75" i="1"/>
  <c r="AM81" i="1"/>
  <c r="AB81" i="1"/>
  <c r="AM82" i="1"/>
  <c r="AB82" i="1"/>
  <c r="AB84" i="1"/>
  <c r="AM84" i="1"/>
  <c r="AC92" i="1"/>
  <c r="AB92" i="1"/>
  <c r="AC93" i="1"/>
  <c r="AB93" i="1"/>
  <c r="AB131" i="1"/>
  <c r="AB132" i="1"/>
  <c r="AM132" i="1"/>
  <c r="AC139" i="1"/>
  <c r="AB139" i="1"/>
  <c r="Y115" i="1"/>
  <c r="Z115" i="1" s="1"/>
  <c r="Y78" i="1"/>
  <c r="Z78" i="1" s="1"/>
  <c r="X124" i="1"/>
  <c r="X40" i="1"/>
  <c r="AB40" i="1" s="1"/>
  <c r="X102" i="1"/>
  <c r="AB102" i="1" s="1"/>
  <c r="F5" i="1"/>
  <c r="M5" i="1"/>
  <c r="AC18" i="1"/>
  <c r="AC34" i="1"/>
  <c r="AC55" i="1"/>
  <c r="Y63" i="1"/>
  <c r="Y77" i="1"/>
  <c r="Z77" i="1" s="1"/>
  <c r="AC91" i="1"/>
  <c r="AC126" i="1"/>
  <c r="AC17" i="1"/>
  <c r="AC21" i="1"/>
  <c r="AC27" i="1"/>
  <c r="AC94" i="1"/>
  <c r="AC56" i="1"/>
  <c r="AC60" i="1"/>
  <c r="AC74" i="1"/>
  <c r="AC80" i="1"/>
  <c r="AC125" i="1"/>
  <c r="AC131" i="1"/>
  <c r="Y60" i="1"/>
  <c r="AC59" i="1"/>
  <c r="AC110" i="1"/>
  <c r="AC114" i="1"/>
  <c r="AC118" i="1"/>
  <c r="AC133" i="1"/>
  <c r="AC137" i="1"/>
  <c r="AC42" i="1"/>
  <c r="AC46" i="1"/>
  <c r="AC50" i="1"/>
  <c r="AC54" i="1"/>
  <c r="AC62" i="1"/>
  <c r="AC66" i="1"/>
  <c r="AC70" i="1"/>
  <c r="AC76" i="1"/>
  <c r="AC130" i="1"/>
  <c r="AC95" i="1"/>
  <c r="E5" i="1"/>
  <c r="AC37" i="1"/>
  <c r="AC44" i="1"/>
  <c r="AC48" i="1"/>
  <c r="AC52" i="1"/>
  <c r="AC64" i="1"/>
  <c r="AC68" i="1"/>
  <c r="AC72" i="1"/>
  <c r="AC78" i="1"/>
  <c r="AC89" i="1"/>
  <c r="AC97" i="1"/>
  <c r="AC100" i="1"/>
  <c r="AC104" i="1"/>
  <c r="AC112" i="1"/>
  <c r="AC116" i="1"/>
  <c r="AC120" i="1"/>
  <c r="L129" i="1"/>
  <c r="AC135" i="1"/>
  <c r="AC6" i="1"/>
  <c r="AC12" i="1"/>
  <c r="AC20" i="1"/>
  <c r="AC25" i="1"/>
  <c r="AC30" i="1"/>
  <c r="AC33" i="1"/>
  <c r="AC129" i="1"/>
  <c r="AC8" i="1"/>
  <c r="AC10" i="1"/>
  <c r="AC14" i="1"/>
  <c r="AC7" i="1"/>
  <c r="AC9" i="1"/>
  <c r="AC11" i="1"/>
  <c r="AC13" i="1"/>
  <c r="AC15" i="1"/>
  <c r="AC24" i="1"/>
  <c r="AC26" i="1"/>
  <c r="AC32" i="1"/>
  <c r="AC36" i="1"/>
  <c r="AC39" i="1"/>
  <c r="AC41" i="1"/>
  <c r="AC43" i="1"/>
  <c r="AC45" i="1"/>
  <c r="AC47" i="1"/>
  <c r="AC49" i="1"/>
  <c r="AC51" i="1"/>
  <c r="AC53" i="1"/>
  <c r="AC58" i="1"/>
  <c r="AC61" i="1"/>
  <c r="AC63" i="1"/>
  <c r="AC65" i="1"/>
  <c r="AC67" i="1"/>
  <c r="AC69" i="1"/>
  <c r="AC71" i="1"/>
  <c r="AC73" i="1"/>
  <c r="AC77" i="1"/>
  <c r="AC79" i="1"/>
  <c r="AC81" i="1"/>
  <c r="AC83" i="1"/>
  <c r="AC85" i="1"/>
  <c r="AC87" i="1"/>
  <c r="AC90" i="1"/>
  <c r="AC98" i="1"/>
  <c r="AC101" i="1"/>
  <c r="AC105" i="1"/>
  <c r="AC107" i="1"/>
  <c r="AC109" i="1"/>
  <c r="AC113" i="1"/>
  <c r="AC117" i="1"/>
  <c r="AC121" i="1"/>
  <c r="L131" i="1"/>
  <c r="AC134" i="1"/>
  <c r="AC138" i="1"/>
  <c r="L60" i="1"/>
  <c r="AC82" i="1"/>
  <c r="AC84" i="1"/>
  <c r="AC86" i="1"/>
  <c r="AC88" i="1"/>
  <c r="AC96" i="1"/>
  <c r="AC99" i="1"/>
  <c r="AC103" i="1"/>
  <c r="AC106" i="1"/>
  <c r="AC108" i="1"/>
  <c r="AC111" i="1"/>
  <c r="AC115" i="1"/>
  <c r="AC119" i="1"/>
  <c r="AC132" i="1"/>
  <c r="AC136" i="1"/>
  <c r="AB91" i="1" l="1"/>
  <c r="AB76" i="1"/>
  <c r="AB59" i="1"/>
  <c r="AB18" i="1"/>
  <c r="AM60" i="1"/>
  <c r="AM63" i="1"/>
  <c r="AB63" i="1"/>
  <c r="AC124" i="1"/>
  <c r="AB124" i="1"/>
  <c r="AM115" i="1"/>
  <c r="AB115" i="1"/>
  <c r="AM77" i="1"/>
  <c r="AB77" i="1"/>
  <c r="AM78" i="1"/>
  <c r="AB78" i="1"/>
  <c r="Z5" i="1"/>
  <c r="AC40" i="1"/>
  <c r="X5" i="1"/>
  <c r="AC102" i="1"/>
  <c r="Y5" i="1"/>
  <c r="L5" i="1"/>
  <c r="AB60" i="1" l="1"/>
  <c r="AM5" i="1"/>
  <c r="AM1" i="1" s="1"/>
</calcChain>
</file>

<file path=xl/sharedStrings.xml><?xml version="1.0" encoding="utf-8"?>
<sst xmlns="http://schemas.openxmlformats.org/spreadsheetml/2006/main" count="536" uniqueCount="210">
  <si>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</si>
  <si>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</si>
  <si>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</si>
  <si>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</si>
  <si>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</si>
  <si>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</si>
  <si>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</si>
  <si>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</si>
  <si>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</si>
  <si>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</si>
  <si>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</si>
  <si>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</si>
  <si>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</si>
  <si>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</si>
  <si>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</si>
  <si>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</si>
  <si>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</si>
  <si>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</si>
  <si>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</si>
  <si>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</si>
  <si>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</si>
  <si>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</si>
  <si>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30,08,</t>
  </si>
  <si>
    <t>30,08,недогр</t>
  </si>
  <si>
    <t>30,08,доз</t>
  </si>
  <si>
    <t>31,08,доз</t>
  </si>
  <si>
    <t>01,09,</t>
  </si>
  <si>
    <t>01,09,доз</t>
  </si>
  <si>
    <t>01,09,(2)</t>
  </si>
  <si>
    <t>01,09,(2)доз</t>
  </si>
  <si>
    <t>06,09,</t>
  </si>
  <si>
    <t>03,09,</t>
  </si>
  <si>
    <t>27,08,</t>
  </si>
  <si>
    <t>25,08,</t>
  </si>
  <si>
    <t>20,08,</t>
  </si>
  <si>
    <t>18,08,</t>
  </si>
  <si>
    <t>13,08,</t>
  </si>
  <si>
    <t>11,08,</t>
  </si>
  <si>
    <t>06,08,</t>
  </si>
  <si>
    <t xml:space="preserve"> 005  Колбаса Докторская ГОСТ, Вязанка вектор,ВЕС. ПОКОМ</t>
  </si>
  <si>
    <t>кг</t>
  </si>
  <si>
    <t>матрица</t>
  </si>
  <si>
    <t>нужно увеличить продажи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</si>
  <si>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</si>
  <si>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</si>
  <si>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023  Колбаса Докторская ГОСТ, Вязанка вектор, 0,4 кг, ПОКОМ</t>
  </si>
  <si>
    <t>шт</t>
  </si>
  <si>
    <t xml:space="preserve"> 030  Сосиски Вязанка Молочные, Вязанка вискофан МГС, 0.45кг, ПОКОМ</t>
  </si>
  <si>
    <t>ВНИМАНИЕ / матрица</t>
  </si>
  <si>
    <t>1000шт под ЮТЛ (Хмель 15,07,26)</t>
  </si>
  <si>
    <t xml:space="preserve"> 032  Сосиски Вязанка Сливочные, Вязанка амицел МГС, 0.45кг, ПОКОМ</t>
  </si>
  <si>
    <t>вышли из ПРОМО (в сентябре) / 1000 сеть МКД (05,08,26)</t>
  </si>
  <si>
    <t xml:space="preserve"> 047  Кол Баварская, белков.обол. в термоусад. пакете 0.17 кг, ТМ Стародворье  ПОКОМ</t>
  </si>
  <si>
    <t>нужно увеличить продажи!!!</t>
  </si>
  <si>
    <t xml:space="preserve"> 062  Колбаса Кракушка пряная с сальцем, 0.3кг в/у п/к, БАВАРУШКА ПОКОМ</t>
  </si>
  <si>
    <t>НЕДОГРУЗ / матрица</t>
  </si>
  <si>
    <t xml:space="preserve"> 083  Колбаса Швейцарская 0,17 кг., ШТ., сырокопченая   ПОКОМ</t>
  </si>
  <si>
    <t xml:space="preserve"> 103  Сосиски Классические, 0.42кг,ядрена копотьПОКОМ</t>
  </si>
  <si>
    <t>не в матрице</t>
  </si>
  <si>
    <t>нужно увеличить продажи!!! / Продукция для ПРС!!!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</si>
  <si>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</si>
  <si>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</si>
  <si>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</si>
  <si>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 xml:space="preserve"> 219  Колбаса Докторская Особая ТМ Особый рецепт, ВЕС  ПОКОМ</t>
  </si>
  <si>
    <t xml:space="preserve"> 597  Колбаса Классическая ТМ Особый рецепт в оболочке полиамид ВЕС. ПОКОМ</t>
  </si>
  <si>
    <t xml:space="preserve"> 225  Колбаса Дугушка со шпиком, ВЕС, ТМ Стародворье   ПОКОМ</t>
  </si>
  <si>
    <t>нет потребности</t>
  </si>
  <si>
    <t xml:space="preserve"> 226  Колбаса Княжеская, с/к белков.обол в термоусад. пакете, ВЕС, ТМ Стародворье ПОКОМ</t>
  </si>
  <si>
    <t xml:space="preserve"> 229  Колбаса Молочная Дугушка, в/у, ВЕС, ТМ Стародворье   ПОКОМ</t>
  </si>
  <si>
    <t xml:space="preserve"> 230  Колбаса Молочная Особая ТМ Особый рецепт, п/а, ВЕС. ПОКОМ</t>
  </si>
  <si>
    <t xml:space="preserve"> 457  Колбаса Молочная ТМ Особый рецепт ВЕС большой батон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</si>
  <si>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</si>
  <si>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</si>
  <si>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240  Колбаса Салями охотничья, ВЕС. ПОКОМ</t>
  </si>
  <si>
    <t xml:space="preserve"> 242  Колбаса Сервелат ЗАПЕЧ.Дугушка ТМ Стародворье, вектор, в/к     ПОКОМ</t>
  </si>
  <si>
    <t xml:space="preserve"> 244  Колбаса Сервелат Кремлевский, ВЕС. ПОКОМ</t>
  </si>
  <si>
    <t xml:space="preserve"> 246  Колбаса Стародворская ТМ Стародворье ТС Старый двор,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</si>
  <si>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</si>
  <si>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</si>
  <si>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</si>
  <si>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>вышли из ПРОМО (в сентябре)</t>
  </si>
  <si>
    <t xml:space="preserve"> 253  Сосиски Ганноверские  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</si>
  <si>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</si>
  <si>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</si>
  <si>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</si>
  <si>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</si>
  <si>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</si>
  <si>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</si>
  <si>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>2600шт отгрузили на ЮгТехЛогистика (28,08,26)</t>
  </si>
  <si>
    <t xml:space="preserve"> 276  Колбаса Сливушка ТМ Вязанка в оболочке полиамид 0,45 кг  ПОКОМ</t>
  </si>
  <si>
    <t>500шт под ЮТЛ (Хмель 21,08,26)</t>
  </si>
  <si>
    <t xml:space="preserve"> 278  Сосиски Сочинки с сочным окороком, МГС 0.4кг,   ПОКОМ</t>
  </si>
  <si>
    <t xml:space="preserve"> 281  Сосиски Молочные для завтрака ТМ Особый рецепт, 0,4кг  ПОКОМ</t>
  </si>
  <si>
    <t xml:space="preserve"> 283  Сосиски Сочинки, ВЕС, ТМ Стародворье ПОКОМ</t>
  </si>
  <si>
    <t>300кг под задачи ТК (05,08,26) / 31,07,26 начали заказывать</t>
  </si>
  <si>
    <t xml:space="preserve"> 285  Паштет печеночный со слив.маслом ТМ Стародворье ламистер 0,1 кг  ПОКОМ</t>
  </si>
  <si>
    <t xml:space="preserve"> 296  Колбаса Мясорубская с рубленой грудинкой 0,35кг срез ТМ Стародворье  ПОКОМ</t>
  </si>
  <si>
    <t xml:space="preserve"> 297  Колбаса Мясорубская с рубленой грудинкой ВЕС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</si>
  <si>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</si>
  <si>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</si>
  <si>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</si>
  <si>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</si>
  <si>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</si>
  <si>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</si>
  <si>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</si>
  <si>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</si>
  <si>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319  Колбаса вареная Филейская ТМ Вязанка ТС Классическая, 0,45 кг. ПОКОМ</t>
  </si>
  <si>
    <t xml:space="preserve"> 322  Колбаса вареная Молокуша 0,45кг ТМ Вязанка 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</si>
  <si>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</si>
  <si>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</si>
  <si>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330  Колбаса вареная Филейская ТМ Вязанка ТС Классическая ВЕС  ПОКОМ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</si>
  <si>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</si>
  <si>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</si>
  <si>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</si>
  <si>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</si>
  <si>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</si>
  <si>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 xml:space="preserve"> 340  Сосиски Сочинки Молочные ТМ Стародворье, ВЕС ПОКОМ</t>
  </si>
  <si>
    <t xml:space="preserve"> 341 Сосиски Сочинки Сливочные ТМ Стародворье ВЕС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</si>
  <si>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</si>
  <si>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 ПОКОМ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</si>
  <si>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</si>
  <si>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</si>
  <si>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346  Колбаса Сочинка зернистая с сочной грудинкой ТМ Стародворье.ВЕС ПОКОМ</t>
  </si>
  <si>
    <t xml:space="preserve"> 347  Колбаса Сочинка рубленая с сочным окороком ТМ Стародворье ВЕС ПОКОМ</t>
  </si>
  <si>
    <t xml:space="preserve"> 355  Колбаса Сервелат запеченный ТМ Стародворье ТС Дугушка. 0,6 кг. ПОКОМ</t>
  </si>
  <si>
    <t xml:space="preserve"> 364  Сардельки Филейские Вязанка ВЕС NDX ТМ Вязанка  ПОКОМ</t>
  </si>
  <si>
    <t xml:space="preserve"> 365  Колбаса Салями Филейбургская зернистая, 0,28 кг срез ТМ Баварушка ПОКОМ</t>
  </si>
  <si>
    <t xml:space="preserve"> 376  Колбаса Докторская Дугушка 0,6кг ГОСТ ТМ Стародворье  ПОКОМ </t>
  </si>
  <si>
    <t xml:space="preserve"> 377  Колбаса Молочная Дугушка 0,6кг ТМ Стародворье  ПОКОМ</t>
  </si>
  <si>
    <t xml:space="preserve"> 387  Колбаса вареная Мусульманская Халяль ТМ Вязанка, 0,4 кг ПОКОМ</t>
  </si>
  <si>
    <t>с 14,08,26 начинаем заказывать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</si>
  <si>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</si>
  <si>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</si>
  <si>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395  Колбаса Докторская ГОСТ ТМ Вязанка в оболочке полиамид 0,37 кг. ПОКОМ</t>
  </si>
  <si>
    <t xml:space="preserve"> 397  Ветчина Дугушка ТМ Стародворье ТС Дугушка в полиамидной оболочке 0,6 кг. ПОКОМ</t>
  </si>
  <si>
    <t>500шт под ЮТЛ (Хмель 05,08,26) / 500шт под ЮТЛ (Хмель 15,07,26)</t>
  </si>
  <si>
    <t xml:space="preserve"> 405  Сардельки Сливушки ТМ Вязанка в оболочке айпил 0,33 кг. ПОКОМ</t>
  </si>
  <si>
    <t xml:space="preserve"> 408  Ветчина Сливушка с индейкой ТМ Вязанка, 0,4кг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</si>
  <si>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</si>
  <si>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</si>
  <si>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425 Сосиски Сливочные Вязанка Сливушки Весовые П/а мгс Вязанка  Поком</t>
  </si>
  <si>
    <t xml:space="preserve"> 430  Колбаса Стародворская с окороком 0,4 кг. ТМ Стародворье в оболочке полиамид  ПОКОМ</t>
  </si>
  <si>
    <t xml:space="preserve"> 433 Колбаса Стародворская со шпиком  в оболочке полиамид. ТМ Стародворье ВЕС ПОКОМ</t>
  </si>
  <si>
    <t xml:space="preserve"> 436  Колбаса Молочная стародворская с молоком, ВЕС, ТМ Стародворье  ПОКОМ</t>
  </si>
  <si>
    <t xml:space="preserve"> 449  Колбаса Дугушка Стародворская ВЕС ТС Дугушка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</si>
  <si>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</si>
  <si>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</si>
  <si>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</si>
  <si>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460  Колбаса Стародворская Традиционная ВЕС ТМ Стародворье в оболочке полиамид. ПОКОМ</t>
  </si>
  <si>
    <t xml:space="preserve"> 463  Колбаса Молочная Традиционнаяв оболочке полиамид.ТМ Стародворье. ВЕС ПОКОМ</t>
  </si>
  <si>
    <t xml:space="preserve"> 485  Колбаса Молочная по-стародворски ТМ Стародворье в оболочке полиамид. ВЕС ПОКОМ </t>
  </si>
  <si>
    <t xml:space="preserve"> 498  Колбаса Сочинка рубленая с сочным окороком 0,3кг ТМ Стародворье  ПОКОМ</t>
  </si>
  <si>
    <t xml:space="preserve"> 517  Сосиски С сыром ТМ Ядрена копоть 0,3кг  ПОКОМ</t>
  </si>
  <si>
    <t xml:space="preserve"> 523  Колбаса Сальчичон нарезка 0,07кг ТМ Стародворье  ПОКОМ </t>
  </si>
  <si>
    <t>плюсом 400шт сеть Молоко (21,08,26) / плюсом 300шт сеть Молоко (05,08,26)</t>
  </si>
  <si>
    <t xml:space="preserve"> 524  Колбаса Сервелат Ореховый нарезка 0,07кг ТМ Стародворье  ПОКОМ</t>
  </si>
  <si>
    <t>плюсом 500шт сеть Молоко (21,08,26) / плюсом 300шт сеть Молоко (05,08,26)</t>
  </si>
  <si>
    <t xml:space="preserve"> 525  Колбаса Фуэт нарезка 0,07кг ТМ Стародворье  ПОКОМ</t>
  </si>
  <si>
    <t xml:space="preserve"> 526  Корейка вяленая выдержанная нарезка 0,05кг ТМ Стародворье  ПОКОМ</t>
  </si>
  <si>
    <t xml:space="preserve"> 544  Сосиски Мясные для гриля ТС Ядрена копоть 0,3 кг  ПОКОМ</t>
  </si>
  <si>
    <t xml:space="preserve"> 547  Колбаса Мясная Классическая ТМ Вязанка в оболочке полиамид. ВЕС  ПОКОМ</t>
  </si>
  <si>
    <t xml:space="preserve"> 551  Колбаса Сливушка ТМ Вязанка в модифицированной газовой среде 0,11 кг нарезка  ПОКОМ</t>
  </si>
  <si>
    <t xml:space="preserve"> 552  Ветчина Сливушка с индейкой ТМ Вязанка в модифицированной газовой среде 0,1 кг нарезка  ПОКОМ</t>
  </si>
  <si>
    <t xml:space="preserve"> 553  Ассорти колбас Мясорубская коллекция: Сервелат Делюкс, С балыком 0,08 кг нарезка  ПОКОМ</t>
  </si>
  <si>
    <t>плюсом 300шт сеть Молоко (21,08,26) / плюсом 300шт сеть Молоко (05,08,26)</t>
  </si>
  <si>
    <t xml:space="preserve"> 554  Колбаса Сервелат Мясорубский ТМ Стародворье в упаковке скин 0,08 кг нарезка  ПОКОМ</t>
  </si>
  <si>
    <t>плюсом 600шт сеть Молоко (21,08,26) / плюсом 300шт сеть Молоко (05,08,26)</t>
  </si>
  <si>
    <t xml:space="preserve"> 555  Колбаса Молокуша ТМ Вязанка в модифицированной газовой среде 0,17 кг нарезка  ПОКОМ</t>
  </si>
  <si>
    <t>нужно увеличить продажи / плюсом 500шт сеть Молоко (21,08,26) / плюсом 300шт сеть Молоко (05,08,26)</t>
  </si>
  <si>
    <t xml:space="preserve"> 556  Колбаса Сервелат Ореховый ТМ Вязанка в оболочке фиброуз в вакуумной упаковке, ВЕС  ПОКОМ</t>
  </si>
  <si>
    <t xml:space="preserve"> 557  Колбаса Сервелат Финский ТМ Вязанка в оболочке фиброуз в вакуумной упаковке, ВЕС  ПОКОМ</t>
  </si>
  <si>
    <t xml:space="preserve"> 558  Колбаса Балыковая НОВАЯ ВЕС Вязанка фиброуз в/у ПОКОМ</t>
  </si>
  <si>
    <t xml:space="preserve"> 564  Сосиски Сочные 0,3 кг ТМ Вязанка  ПОКОМ</t>
  </si>
  <si>
    <t xml:space="preserve"> 567 Колбаса Со шпиком Стародворская ТМ Стародворье в оболочке полиамид ВЕС  ПОКОМ</t>
  </si>
  <si>
    <t xml:space="preserve"> 569  Колбаса Балыковая ТМ Вязанка в оболочке фиброуз в вакуумной упаковке 0,28 кг срез.  ПОКОМ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</si>
  <si>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</si>
  <si>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</si>
  <si>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 xml:space="preserve"> 574  Колбаса Сервелат Финский ТМ Вязанка в упаковке скин 0,09 кг нарезка  ПОКОМ</t>
  </si>
  <si>
    <t xml:space="preserve"> 577  Колбаса Молочная Стародворская ТМ Стародворье в оболочке полиамид НД ВЕС.  ПОКОМ</t>
  </si>
  <si>
    <t xml:space="preserve"> 579  Колбаса Ветчинно-рубленая ТМ Особый рецепт в оболочке полиамид.ВЕС  ПОКОМ</t>
  </si>
  <si>
    <t xml:space="preserve"> 580  Ветчина Нежная с индейкой ТМ Особый рецепт в оболочке полиамид.ВЕС  ПОКОМ</t>
  </si>
  <si>
    <t xml:space="preserve"> 583  Колбаса Балыковая ТМ Вязанка в упаковке скин 0,09 кг нарезка  ПОКОМ</t>
  </si>
  <si>
    <t xml:space="preserve"> 584  Колбаса Сервелат Ореховый ТМ Вязанка в упаковке скин 0,09 кг нарезка  ПОКОМ</t>
  </si>
  <si>
    <t xml:space="preserve"> 585  Колбаса Молочная ТМ Стародворье в оболочке вектор НД ВЕС.  ПОКОМ</t>
  </si>
  <si>
    <t>08,07,26 +350кг (задача от завода для ТК / просили 450кг) не продали - переместили в Крым</t>
  </si>
  <si>
    <t xml:space="preserve"> 586  Колбаса Мясная ТМ Стародворье в оболочке вектор НД ВЕС.  ПОКОМ</t>
  </si>
  <si>
    <t xml:space="preserve"> 588 Колбаса Со шпиком ТМ Стародворье в оболочке вектор ВЕС  ПОКОМ</t>
  </si>
  <si>
    <t>08,07,26 +250кг (задача от завода для ТК / просили 350кг)</t>
  </si>
  <si>
    <t xml:space="preserve"> 614  Буженина в пряном маринаде 0,25 кг консервы из мяса индейки ТМ Стародворье  ПОКОМ</t>
  </si>
  <si>
    <t xml:space="preserve"> 615  Гречка по-купечески с говядиной и овощами 0,325кг ТМ Стародворье  ПОКОМ</t>
  </si>
  <si>
    <t xml:space="preserve"> 616  Индейка томлёная в собственном соку 0,25кг ТМ Стародлворье Консервый из мяс.птицы  ПОКОМ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</si>
  <si>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</si>
  <si>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</si>
  <si>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</si>
  <si>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</si>
  <si>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</si>
  <si>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>БОНУС_ 334  Паштет Любительский ТМ Стародворье ламистер 0,1 кг  ПОКОМ</t>
  </si>
  <si>
    <t>бонус</t>
  </si>
  <si>
    <t>БОНУС_615  Гречка по-купечески с говядиной и овощами 0,325кг ТМ Стародворье  ПОКОМ</t>
  </si>
  <si>
    <t>ПРОМО сентябрь</t>
  </si>
  <si>
    <t>нужно увеличить продажи / ПРОМО сентябрь</t>
  </si>
  <si>
    <t>1000шт под сети (Хмель 01,09,26)</t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</si>
  <si>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  <family val="2"/>
        <charset val="204"/>
      </rPr>
      <t xml:space="preserve"> / вышли из ПРОМО (в сентябре)</t>
    </r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</si>
  <si>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  <family val="2"/>
        <charset val="204"/>
      </rPr>
      <t xml:space="preserve"> / 19 шт списано (12,07,26)</t>
    </r>
  </si>
  <si>
    <t>плюсом 700шт сеть Молоко (21,08,26)</t>
  </si>
  <si>
    <t>ТК</t>
  </si>
  <si>
    <t>Рекуто</t>
  </si>
  <si>
    <t>заказ</t>
  </si>
  <si>
    <t>08,09,</t>
  </si>
  <si>
    <t>дн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</si>
</sst>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7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1"/>
      <color rgb="FFFF0000"/>
      <name val="Calibri"/>
      <family val="2"/>
      <charset val="204"/>
    </font>
    <font>
      <b/>
      <sz val="10"/>
      <color rgb="FFFF0000"/>
      <name val="Arial"/>
      <family val="2"/>
      <charset val="204"/>
    </font>
    <font>
      <sz val="10"/>
      <name val="Arial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3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164" fontId="1" fillId="5" borderId="1" xfId="1" applyNumberFormat="1" applyFill="1"/>
    <xf numFmtId="164" fontId="1" fillId="6" borderId="1" xfId="1" applyNumberFormat="1" applyFill="1"/>
    <xf numFmtId="2" fontId="1" fillId="6" borderId="1" xfId="1" applyNumberFormat="1" applyFill="1"/>
    <xf numFmtId="164" fontId="1" fillId="6" borderId="2" xfId="1" applyNumberFormat="1" applyFill="1" applyBorder="1"/>
    <xf numFmtId="164" fontId="4" fillId="7" borderId="1" xfId="1" applyNumberFormat="1" applyFont="1" applyFill="1"/>
    <xf numFmtId="164" fontId="1" fillId="8" borderId="1" xfId="1" applyNumberFormat="1" applyFill="1"/>
    <xf numFmtId="164" fontId="6" fillId="8" borderId="1" xfId="1" applyNumberFormat="1" applyFont="1" applyFill="1"/>
    <xf numFmtId="164" fontId="6" fillId="0" borderId="1" xfId="1" applyNumberFormat="1" applyFont="1"/>
    <xf numFmtId="164" fontId="5" fillId="8" borderId="1" xfId="1" applyNumberFormat="1" applyFont="1" applyFill="1"/>
    <xf numFmtId="164" fontId="1" fillId="0" borderId="1" xfId="1" applyNumberFormat="1" applyBorder="1"/>
    <xf numFmtId="0" fontId="0" fillId="0" borderId="1" xfId="0" applyBorder="1"/>
    <xf numFmtId="165" fontId="1" fillId="0" borderId="1" xfId="1" applyNumberFormat="1"/>
    <xf numFmtId="164" fontId="1" fillId="4" borderId="2" xfId="1" applyNumberFormat="1" applyFill="1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&#1044;&#1086;&#1085;&#1077;&#1094;&#1082;%20&#1056;&#1077;&#1082;&#1091;&#1090;&#1086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</sheetNames>
    <sheetDataSet>
      <sheetData sheetId="0">
        <row r="1">
          <cell r="A1" t="str">
            <v>Прошу рассмотреть возможность увеличить заказ:</v>
          </cell>
        </row>
        <row r="3">
          <cell r="A3" t="str">
            <v xml:space="preserve"> 338  Паштет печеночный с морковью ТМ Стародворье ламистер 0,1 кг.  ПОКОМ</v>
          </cell>
          <cell r="B3" t="str">
            <v>до 200 шт (бонусная программа на сентябрь)</v>
          </cell>
        </row>
        <row r="5">
          <cell r="A5" t="str">
            <v xml:space="preserve"> 334  Паштет Любительский ТМ Стародворье ламистер 0,1 кг  ПОКОМ</v>
          </cell>
          <cell r="B5" t="str">
            <v>до 200 шт (бонусная программа на сентябрь)</v>
          </cell>
        </row>
        <row r="7">
          <cell r="A7" t="str">
            <v xml:space="preserve"> 570  Колбаса Сервелат Финский ТМ Вязанка в оболочке фиброуз в вак. упаковке 0,28 кг срез  ПОКОМ</v>
          </cell>
          <cell r="B7" t="str">
            <v>до 200 шт</v>
          </cell>
        </row>
        <row r="9">
          <cell r="A9" t="str">
            <v>Уменьшить</v>
          </cell>
        </row>
        <row r="11">
          <cell r="A11" t="str">
            <v xml:space="preserve"> 276  Колбаса Сливушка ТМ Вязанка в оболочке полиамид 0,45 кг  ПОКОМ</v>
          </cell>
          <cell r="B11" t="str">
            <v>уменьшить до 600 шт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500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A13" sqref="AA13"/>
    </sheetView>
  </sheetViews>
  <sheetFormatPr defaultRowHeight="15" x14ac:dyDescent="0.25"/>
  <cols>
    <col min="1" max="1" width="35.7109375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9" customWidth="1"/>
    <col min="10" max="10" width="1" customWidth="1"/>
    <col min="11" max="26" width="7" customWidth="1"/>
    <col min="27" max="27" width="17.28515625" style="20" customWidth="1"/>
    <col min="28" max="29" width="5" customWidth="1"/>
    <col min="30" max="30" width="6" customWidth="1"/>
    <col min="31" max="37" width="6.7109375" customWidth="1"/>
    <col min="38" max="38" width="22" customWidth="1"/>
    <col min="39" max="39" width="7" customWidth="1"/>
    <col min="40" max="49" width="3" customWidth="1"/>
  </cols>
  <sheetData>
    <row r="1" spans="1:49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21">
        <v>4</v>
      </c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>
        <f>AM2-AM5</f>
        <v>1</v>
      </c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 t="s">
        <v>209</v>
      </c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>
        <v>17200</v>
      </c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14</v>
      </c>
      <c r="R3" s="2" t="s">
        <v>14</v>
      </c>
      <c r="S3" s="2" t="s">
        <v>14</v>
      </c>
      <c r="T3" s="2" t="s">
        <v>14</v>
      </c>
      <c r="U3" s="2" t="s">
        <v>14</v>
      </c>
      <c r="V3" s="2" t="s">
        <v>14</v>
      </c>
      <c r="W3" s="2" t="s">
        <v>14</v>
      </c>
      <c r="X3" s="2" t="s">
        <v>15</v>
      </c>
      <c r="Y3" s="3" t="s">
        <v>16</v>
      </c>
      <c r="Z3" s="3" t="s">
        <v>207</v>
      </c>
      <c r="AA3" s="3" t="s">
        <v>205</v>
      </c>
      <c r="AB3" s="2" t="s">
        <v>17</v>
      </c>
      <c r="AC3" s="2" t="s">
        <v>18</v>
      </c>
      <c r="AD3" s="2" t="s">
        <v>19</v>
      </c>
      <c r="AE3" s="2" t="s">
        <v>19</v>
      </c>
      <c r="AF3" s="2" t="s">
        <v>19</v>
      </c>
      <c r="AG3" s="2" t="s">
        <v>19</v>
      </c>
      <c r="AH3" s="2" t="s">
        <v>19</v>
      </c>
      <c r="AI3" s="2" t="s">
        <v>19</v>
      </c>
      <c r="AJ3" s="2" t="s">
        <v>19</v>
      </c>
      <c r="AK3" s="2" t="s">
        <v>19</v>
      </c>
      <c r="AL3" s="2" t="s">
        <v>20</v>
      </c>
      <c r="AM3" s="2" t="s">
        <v>21</v>
      </c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1" t="s">
        <v>23</v>
      </c>
      <c r="Q4" s="1" t="s">
        <v>24</v>
      </c>
      <c r="R4" s="1" t="s">
        <v>25</v>
      </c>
      <c r="S4" s="1" t="s">
        <v>26</v>
      </c>
      <c r="T4" s="1" t="s">
        <v>27</v>
      </c>
      <c r="U4" s="1" t="s">
        <v>28</v>
      </c>
      <c r="V4" s="1" t="s">
        <v>29</v>
      </c>
      <c r="W4" s="1" t="s">
        <v>30</v>
      </c>
      <c r="X4" s="1" t="s">
        <v>31</v>
      </c>
      <c r="Y4" s="1"/>
      <c r="Z4" s="1" t="s">
        <v>208</v>
      </c>
      <c r="AA4" s="1" t="s">
        <v>206</v>
      </c>
      <c r="AB4" s="1"/>
      <c r="AC4" s="1"/>
      <c r="AD4" s="1" t="s">
        <v>26</v>
      </c>
      <c r="AE4" s="1" t="s">
        <v>32</v>
      </c>
      <c r="AF4" s="1" t="s">
        <v>33</v>
      </c>
      <c r="AG4" s="1" t="s">
        <v>34</v>
      </c>
      <c r="AH4" s="1" t="s">
        <v>35</v>
      </c>
      <c r="AI4" s="1" t="s">
        <v>36</v>
      </c>
      <c r="AJ4" s="1" t="s">
        <v>37</v>
      </c>
      <c r="AK4" s="1" t="s">
        <v>38</v>
      </c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</row>
    <row r="5" spans="1:49" x14ac:dyDescent="0.25">
      <c r="A5" s="1"/>
      <c r="B5" s="1"/>
      <c r="C5" s="1"/>
      <c r="D5" s="1"/>
      <c r="E5" s="4">
        <f>SUM(E6:E500)</f>
        <v>62468.735000000001</v>
      </c>
      <c r="F5" s="4">
        <f>SUM(F6:F500)</f>
        <v>73262.822999999989</v>
      </c>
      <c r="G5" s="7"/>
      <c r="H5" s="1"/>
      <c r="I5" s="1"/>
      <c r="J5" s="1"/>
      <c r="K5" s="4">
        <f t="shared" ref="K5:Z5" si="0">SUM(K6:K500)</f>
        <v>83146.107000000004</v>
      </c>
      <c r="L5" s="4">
        <f t="shared" si="0"/>
        <v>-20677.371999999996</v>
      </c>
      <c r="M5" s="4">
        <f t="shared" si="0"/>
        <v>54554.381000000016</v>
      </c>
      <c r="N5" s="4">
        <f t="shared" si="0"/>
        <v>7914.3540000000003</v>
      </c>
      <c r="O5" s="4">
        <f t="shared" si="0"/>
        <v>4300</v>
      </c>
      <c r="P5" s="4">
        <f t="shared" si="0"/>
        <v>-812.85714285714289</v>
      </c>
      <c r="Q5" s="4">
        <f t="shared" si="0"/>
        <v>954</v>
      </c>
      <c r="R5" s="4">
        <f t="shared" si="0"/>
        <v>2500</v>
      </c>
      <c r="S5" s="4">
        <f t="shared" si="0"/>
        <v>9367.0375180375177</v>
      </c>
      <c r="T5" s="4">
        <f t="shared" si="0"/>
        <v>1600</v>
      </c>
      <c r="U5" s="4">
        <f t="shared" si="0"/>
        <v>11739.962225804435</v>
      </c>
      <c r="V5" s="4">
        <f t="shared" si="0"/>
        <v>1600</v>
      </c>
      <c r="W5" s="4">
        <f t="shared" si="0"/>
        <v>22124.842560000001</v>
      </c>
      <c r="X5" s="4">
        <f t="shared" si="0"/>
        <v>10910.876200000002</v>
      </c>
      <c r="Y5" s="4">
        <f t="shared" si="0"/>
        <v>13103.627888888892</v>
      </c>
      <c r="Z5" s="4">
        <f t="shared" si="0"/>
        <v>26446.641866666665</v>
      </c>
      <c r="AA5" s="4"/>
      <c r="AB5" s="1"/>
      <c r="AC5" s="1"/>
      <c r="AD5" s="4">
        <f t="shared" ref="AD5:AK5" si="1">SUM(AD6:AD500)</f>
        <v>9136.3032000000076</v>
      </c>
      <c r="AE5" s="4">
        <f t="shared" si="1"/>
        <v>10199.603200000001</v>
      </c>
      <c r="AF5" s="4">
        <f t="shared" si="1"/>
        <v>11154.827400000004</v>
      </c>
      <c r="AG5" s="4">
        <f t="shared" si="1"/>
        <v>11727.539200000003</v>
      </c>
      <c r="AH5" s="4">
        <f t="shared" si="1"/>
        <v>13329.492600000001</v>
      </c>
      <c r="AI5" s="4">
        <f t="shared" si="1"/>
        <v>12669.461800000005</v>
      </c>
      <c r="AJ5" s="4">
        <f t="shared" si="1"/>
        <v>10646.113600000001</v>
      </c>
      <c r="AK5" s="4">
        <f t="shared" si="1"/>
        <v>10433.826400000007</v>
      </c>
      <c r="AL5" s="1"/>
      <c r="AM5" s="4">
        <f>SUM(AM6:AM500)</f>
        <v>17199</v>
      </c>
      <c r="AN5" s="1"/>
      <c r="AO5" s="1"/>
      <c r="AP5" s="1"/>
      <c r="AQ5" s="1"/>
      <c r="AR5" s="1"/>
      <c r="AS5" s="1"/>
      <c r="AT5" s="1"/>
      <c r="AU5" s="1"/>
      <c r="AV5" s="1"/>
      <c r="AW5" s="1"/>
    </row>
    <row r="6" spans="1:49" x14ac:dyDescent="0.25">
      <c r="A6" s="1" t="s">
        <v>39</v>
      </c>
      <c r="B6" s="1" t="s">
        <v>40</v>
      </c>
      <c r="C6" s="1">
        <v>2799.1729999999998</v>
      </c>
      <c r="D6" s="1">
        <v>1171.99</v>
      </c>
      <c r="E6" s="1">
        <v>1276.8710000000001</v>
      </c>
      <c r="F6" s="1">
        <v>2355.1909999999998</v>
      </c>
      <c r="G6" s="7">
        <v>1</v>
      </c>
      <c r="H6" s="1">
        <v>50</v>
      </c>
      <c r="I6" s="1" t="s">
        <v>41</v>
      </c>
      <c r="J6" s="1"/>
      <c r="K6" s="1">
        <v>1477.2270000000001</v>
      </c>
      <c r="L6" s="1">
        <f t="shared" ref="L6:L37" si="2">E6-K6</f>
        <v>-200.35599999999999</v>
      </c>
      <c r="M6" s="1">
        <f t="shared" ref="M6:M37" si="3">E6-N6</f>
        <v>1190.4940000000001</v>
      </c>
      <c r="N6" s="1">
        <v>86.376999999999995</v>
      </c>
      <c r="O6" s="1">
        <v>250</v>
      </c>
      <c r="P6" s="1"/>
      <c r="Q6" s="1"/>
      <c r="R6" s="1"/>
      <c r="S6" s="1"/>
      <c r="T6" s="1"/>
      <c r="U6" s="1">
        <v>600</v>
      </c>
      <c r="V6" s="1"/>
      <c r="W6" s="1">
        <v>1080</v>
      </c>
      <c r="X6" s="1">
        <f t="shared" ref="X6:X37" si="4">M6/5</f>
        <v>238.09880000000004</v>
      </c>
      <c r="Y6" s="5"/>
      <c r="Z6" s="5">
        <f>Y6</f>
        <v>0</v>
      </c>
      <c r="AA6" s="19"/>
      <c r="AB6" s="1">
        <f>(F6+O6+P6+Q6+R6+S6+T6+U6+V6+W6+Z6)/X6</f>
        <v>17.997532956906962</v>
      </c>
      <c r="AC6" s="1">
        <f t="shared" ref="AC6:AC37" si="5">(F6+O6+P6+Q6+R6+S6+T6+U6+V6+W6)/X6</f>
        <v>17.997532956906962</v>
      </c>
      <c r="AD6" s="1">
        <v>226.9384</v>
      </c>
      <c r="AE6" s="1">
        <v>306.53539999999998</v>
      </c>
      <c r="AF6" s="1">
        <v>373.97739999999999</v>
      </c>
      <c r="AG6" s="1">
        <v>325.6216</v>
      </c>
      <c r="AH6" s="1">
        <v>402.60879999999997</v>
      </c>
      <c r="AI6" s="1">
        <v>419.20679999999999</v>
      </c>
      <c r="AJ6" s="1">
        <v>402.01659999999998</v>
      </c>
      <c r="AK6" s="1">
        <v>337.73419999999999</v>
      </c>
      <c r="AL6" s="15" t="s">
        <v>42</v>
      </c>
      <c r="AM6" s="1">
        <f>ROUND(G6*Z6,0)</f>
        <v>0</v>
      </c>
      <c r="AN6" s="1"/>
      <c r="AO6" s="1"/>
      <c r="AP6" s="1"/>
      <c r="AQ6" s="1"/>
      <c r="AR6" s="1"/>
      <c r="AS6" s="1"/>
      <c r="AT6" s="1"/>
      <c r="AU6" s="1"/>
      <c r="AV6" s="1"/>
      <c r="AW6" s="1"/>
    </row>
    <row r="7" spans="1:49" x14ac:dyDescent="0.25">
      <c r="A7" s="1" t="s">
        <v>43</v>
      </c>
      <c r="B7" s="1" t="s">
        <v>40</v>
      </c>
      <c r="C7" s="1">
        <v>464.48099999999999</v>
      </c>
      <c r="D7" s="1">
        <v>3576.6439999999998</v>
      </c>
      <c r="E7" s="1">
        <v>1474.222</v>
      </c>
      <c r="F7" s="1">
        <v>1873.8040000000001</v>
      </c>
      <c r="G7" s="7">
        <v>1</v>
      </c>
      <c r="H7" s="1">
        <v>45</v>
      </c>
      <c r="I7" s="1" t="s">
        <v>41</v>
      </c>
      <c r="J7" s="1"/>
      <c r="K7" s="1">
        <v>1600.1959999999999</v>
      </c>
      <c r="L7" s="1">
        <f t="shared" si="2"/>
        <v>-125.97399999999993</v>
      </c>
      <c r="M7" s="1">
        <f t="shared" si="3"/>
        <v>1110.1320000000001</v>
      </c>
      <c r="N7" s="1">
        <v>364.09</v>
      </c>
      <c r="O7" s="1"/>
      <c r="P7" s="1"/>
      <c r="Q7" s="1"/>
      <c r="R7" s="1"/>
      <c r="S7" s="1">
        <v>1032</v>
      </c>
      <c r="T7" s="1"/>
      <c r="U7" s="1"/>
      <c r="V7" s="1"/>
      <c r="W7" s="1">
        <v>500</v>
      </c>
      <c r="X7" s="1">
        <f t="shared" si="4"/>
        <v>222.02640000000002</v>
      </c>
      <c r="Y7" s="5"/>
      <c r="Z7" s="5">
        <v>200</v>
      </c>
      <c r="AA7" s="19"/>
      <c r="AB7" s="1">
        <f t="shared" ref="AB7:AB70" si="6">(F7+O7+P7+Q7+R7+S7+T7+U7+V7+W7+Z7)/X7</f>
        <v>16.240429066093039</v>
      </c>
      <c r="AC7" s="1">
        <f t="shared" si="5"/>
        <v>15.339635286614563</v>
      </c>
      <c r="AD7" s="1">
        <v>176.40700000000001</v>
      </c>
      <c r="AE7" s="1">
        <v>267.92</v>
      </c>
      <c r="AF7" s="1">
        <v>195.1114</v>
      </c>
      <c r="AG7" s="1">
        <v>216.3058</v>
      </c>
      <c r="AH7" s="1">
        <v>223.072</v>
      </c>
      <c r="AI7" s="1">
        <v>285.97500000000002</v>
      </c>
      <c r="AJ7" s="1">
        <v>246.8064</v>
      </c>
      <c r="AK7" s="1">
        <v>136.39259999999999</v>
      </c>
      <c r="AL7" s="17" t="s">
        <v>199</v>
      </c>
      <c r="AM7" s="1">
        <f t="shared" ref="AM7:AM70" si="7">ROUND(G7*Z7,0)</f>
        <v>200</v>
      </c>
      <c r="AN7" s="1"/>
      <c r="AO7" s="1"/>
      <c r="AP7" s="1"/>
      <c r="AQ7" s="1"/>
      <c r="AR7" s="1"/>
      <c r="AS7" s="1"/>
      <c r="AT7" s="1"/>
      <c r="AU7" s="1"/>
      <c r="AV7" s="1"/>
      <c r="AW7" s="1"/>
    </row>
    <row r="8" spans="1:49" x14ac:dyDescent="0.25">
      <c r="A8" s="1" t="s">
        <v>44</v>
      </c>
      <c r="B8" s="1" t="s">
        <v>40</v>
      </c>
      <c r="C8" s="1">
        <v>2219.4899999999998</v>
      </c>
      <c r="D8" s="1">
        <v>13433.734</v>
      </c>
      <c r="E8" s="1">
        <v>4103.6559999999999</v>
      </c>
      <c r="F8" s="1">
        <v>3634.4229999999998</v>
      </c>
      <c r="G8" s="7">
        <v>1</v>
      </c>
      <c r="H8" s="1">
        <v>45</v>
      </c>
      <c r="I8" s="1" t="s">
        <v>41</v>
      </c>
      <c r="J8" s="1"/>
      <c r="K8" s="1">
        <v>4680.6469999999999</v>
      </c>
      <c r="L8" s="1">
        <f t="shared" si="2"/>
        <v>-576.99099999999999</v>
      </c>
      <c r="M8" s="1">
        <f t="shared" si="3"/>
        <v>2828.0149999999999</v>
      </c>
      <c r="N8" s="1">
        <v>1275.6410000000001</v>
      </c>
      <c r="O8" s="1"/>
      <c r="P8" s="1"/>
      <c r="Q8" s="1"/>
      <c r="R8" s="1"/>
      <c r="S8" s="1">
        <v>1376</v>
      </c>
      <c r="T8" s="1"/>
      <c r="U8" s="1"/>
      <c r="V8" s="1"/>
      <c r="W8" s="1">
        <v>800</v>
      </c>
      <c r="X8" s="1">
        <f t="shared" si="4"/>
        <v>565.60299999999995</v>
      </c>
      <c r="Y8" s="5">
        <f t="shared" ref="Y8:Y12" si="8">11*X8-W8-V8-U8-T8-S8-R8-Q8-P8-O8-F8</f>
        <v>411.21000000000004</v>
      </c>
      <c r="Z8" s="5">
        <v>3200</v>
      </c>
      <c r="AA8" s="19"/>
      <c r="AB8" s="1">
        <f t="shared" si="6"/>
        <v>15.930649236301788</v>
      </c>
      <c r="AC8" s="1">
        <f t="shared" si="5"/>
        <v>10.272970617199697</v>
      </c>
      <c r="AD8" s="1">
        <v>418.56079999999997</v>
      </c>
      <c r="AE8" s="1">
        <v>617.84820000000002</v>
      </c>
      <c r="AF8" s="1">
        <v>615.27340000000004</v>
      </c>
      <c r="AG8" s="1">
        <v>546.42439999999988</v>
      </c>
      <c r="AH8" s="1">
        <v>608.08999999999992</v>
      </c>
      <c r="AI8" s="1">
        <v>673.42660000000001</v>
      </c>
      <c r="AJ8" s="1">
        <v>716.37299999999993</v>
      </c>
      <c r="AK8" s="1">
        <v>543.649</v>
      </c>
      <c r="AL8" s="1" t="s">
        <v>199</v>
      </c>
      <c r="AM8" s="1">
        <f t="shared" si="7"/>
        <v>3200</v>
      </c>
      <c r="AN8" s="1"/>
      <c r="AO8" s="1"/>
      <c r="AP8" s="1"/>
      <c r="AQ8" s="1"/>
      <c r="AR8" s="1"/>
      <c r="AS8" s="1"/>
      <c r="AT8" s="1"/>
      <c r="AU8" s="1"/>
      <c r="AV8" s="1"/>
      <c r="AW8" s="1"/>
    </row>
    <row r="9" spans="1:49" x14ac:dyDescent="0.25">
      <c r="A9" s="1" t="s">
        <v>45</v>
      </c>
      <c r="B9" s="1" t="s">
        <v>46</v>
      </c>
      <c r="C9" s="1">
        <v>13</v>
      </c>
      <c r="D9" s="1">
        <v>26</v>
      </c>
      <c r="E9" s="1">
        <v>-1</v>
      </c>
      <c r="F9" s="1">
        <v>32</v>
      </c>
      <c r="G9" s="7">
        <v>0.4</v>
      </c>
      <c r="H9" s="1">
        <v>50</v>
      </c>
      <c r="I9" s="1" t="s">
        <v>41</v>
      </c>
      <c r="J9" s="1"/>
      <c r="K9" s="1">
        <v>11</v>
      </c>
      <c r="L9" s="1">
        <f t="shared" si="2"/>
        <v>-12</v>
      </c>
      <c r="M9" s="1">
        <f t="shared" si="3"/>
        <v>-1</v>
      </c>
      <c r="N9" s="1"/>
      <c r="O9" s="1"/>
      <c r="P9" s="1"/>
      <c r="Q9" s="1"/>
      <c r="R9" s="1"/>
      <c r="S9" s="1"/>
      <c r="T9" s="1"/>
      <c r="U9" s="1"/>
      <c r="V9" s="1"/>
      <c r="W9" s="1">
        <v>0</v>
      </c>
      <c r="X9" s="1">
        <f t="shared" si="4"/>
        <v>-0.2</v>
      </c>
      <c r="Y9" s="5"/>
      <c r="Z9" s="5">
        <f t="shared" ref="Z7:Z70" si="9">Y9</f>
        <v>0</v>
      </c>
      <c r="AA9" s="19"/>
      <c r="AB9" s="1">
        <f t="shared" si="6"/>
        <v>-160</v>
      </c>
      <c r="AC9" s="1">
        <f t="shared" si="5"/>
        <v>-160</v>
      </c>
      <c r="AD9" s="1">
        <v>0.2</v>
      </c>
      <c r="AE9" s="1">
        <v>1.2</v>
      </c>
      <c r="AF9" s="1">
        <v>2.8</v>
      </c>
      <c r="AG9" s="1">
        <v>1.4</v>
      </c>
      <c r="AH9" s="1">
        <v>1.4</v>
      </c>
      <c r="AI9" s="1">
        <v>1.8</v>
      </c>
      <c r="AJ9" s="1">
        <v>2.4</v>
      </c>
      <c r="AK9" s="1">
        <v>1</v>
      </c>
      <c r="AL9" s="16" t="s">
        <v>203</v>
      </c>
      <c r="AM9" s="1">
        <f t="shared" si="7"/>
        <v>0</v>
      </c>
      <c r="AN9" s="1"/>
      <c r="AO9" s="1"/>
      <c r="AP9" s="1"/>
      <c r="AQ9" s="1"/>
      <c r="AR9" s="1"/>
      <c r="AS9" s="1"/>
      <c r="AT9" s="1"/>
      <c r="AU9" s="1"/>
      <c r="AV9" s="1"/>
      <c r="AW9" s="1"/>
    </row>
    <row r="10" spans="1:49" x14ac:dyDescent="0.25">
      <c r="A10" s="1" t="s">
        <v>47</v>
      </c>
      <c r="B10" s="1" t="s">
        <v>46</v>
      </c>
      <c r="C10" s="1">
        <v>3548.3760000000002</v>
      </c>
      <c r="D10" s="1">
        <v>1574</v>
      </c>
      <c r="E10" s="1">
        <v>2306</v>
      </c>
      <c r="F10" s="1">
        <v>2349.7240000000002</v>
      </c>
      <c r="G10" s="7">
        <v>0.45</v>
      </c>
      <c r="H10" s="1">
        <v>45</v>
      </c>
      <c r="I10" s="9" t="s">
        <v>48</v>
      </c>
      <c r="J10" s="1"/>
      <c r="K10" s="1">
        <v>2597</v>
      </c>
      <c r="L10" s="1">
        <f t="shared" si="2"/>
        <v>-291</v>
      </c>
      <c r="M10" s="1">
        <f t="shared" si="3"/>
        <v>2186</v>
      </c>
      <c r="N10" s="1">
        <v>120</v>
      </c>
      <c r="O10" s="1">
        <v>500</v>
      </c>
      <c r="P10" s="1"/>
      <c r="Q10" s="1"/>
      <c r="R10" s="1"/>
      <c r="S10" s="1">
        <v>284.44444444444451</v>
      </c>
      <c r="T10" s="1"/>
      <c r="U10" s="1">
        <v>405</v>
      </c>
      <c r="V10" s="1"/>
      <c r="W10" s="1">
        <v>0</v>
      </c>
      <c r="X10" s="1">
        <f t="shared" si="4"/>
        <v>437.2</v>
      </c>
      <c r="Y10" s="5">
        <f t="shared" si="8"/>
        <v>1270.0315555555553</v>
      </c>
      <c r="Z10" s="5">
        <v>1700</v>
      </c>
      <c r="AA10" s="19"/>
      <c r="AB10" s="1">
        <f t="shared" si="6"/>
        <v>11.983459388024805</v>
      </c>
      <c r="AC10" s="1">
        <f t="shared" si="5"/>
        <v>8.095078784182169</v>
      </c>
      <c r="AD10" s="1">
        <v>412</v>
      </c>
      <c r="AE10" s="1">
        <v>405</v>
      </c>
      <c r="AF10" s="1">
        <v>449</v>
      </c>
      <c r="AG10" s="1">
        <v>492.83479999999997</v>
      </c>
      <c r="AH10" s="1">
        <v>540.4348</v>
      </c>
      <c r="AI10" s="1">
        <v>426.41899999999998</v>
      </c>
      <c r="AJ10" s="1">
        <v>373.01900000000001</v>
      </c>
      <c r="AK10" s="1">
        <v>298</v>
      </c>
      <c r="AL10" s="1" t="s">
        <v>49</v>
      </c>
      <c r="AM10" s="1">
        <f t="shared" si="7"/>
        <v>765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</row>
    <row r="11" spans="1:49" x14ac:dyDescent="0.25">
      <c r="A11" s="1" t="s">
        <v>50</v>
      </c>
      <c r="B11" s="1" t="s">
        <v>46</v>
      </c>
      <c r="C11" s="1">
        <v>3119.6550000000002</v>
      </c>
      <c r="D11" s="1">
        <v>5208</v>
      </c>
      <c r="E11" s="1">
        <v>3506</v>
      </c>
      <c r="F11" s="1">
        <v>4142.5469999999996</v>
      </c>
      <c r="G11" s="7">
        <v>0.45</v>
      </c>
      <c r="H11" s="1">
        <v>45</v>
      </c>
      <c r="I11" s="9" t="s">
        <v>48</v>
      </c>
      <c r="J11" s="1"/>
      <c r="K11" s="1">
        <v>4009</v>
      </c>
      <c r="L11" s="1">
        <f t="shared" si="2"/>
        <v>-503</v>
      </c>
      <c r="M11" s="1">
        <f t="shared" si="3"/>
        <v>3371</v>
      </c>
      <c r="N11" s="1">
        <v>135</v>
      </c>
      <c r="O11" s="1">
        <v>500</v>
      </c>
      <c r="P11" s="1"/>
      <c r="Q11" s="1"/>
      <c r="R11" s="1"/>
      <c r="S11" s="1">
        <v>1033.333333333333</v>
      </c>
      <c r="T11" s="1"/>
      <c r="U11" s="1">
        <v>400</v>
      </c>
      <c r="V11" s="1"/>
      <c r="W11" s="1">
        <v>0</v>
      </c>
      <c r="X11" s="1">
        <f t="shared" si="4"/>
        <v>674.2</v>
      </c>
      <c r="Y11" s="5">
        <f t="shared" si="8"/>
        <v>1340.3196666666681</v>
      </c>
      <c r="Z11" s="22">
        <v>2000</v>
      </c>
      <c r="AA11" s="19"/>
      <c r="AB11" s="1">
        <f t="shared" si="6"/>
        <v>11.978463858400078</v>
      </c>
      <c r="AC11" s="1">
        <f t="shared" si="5"/>
        <v>9.0119850687234244</v>
      </c>
      <c r="AD11" s="1">
        <v>625.20000000000005</v>
      </c>
      <c r="AE11" s="1">
        <v>641.4</v>
      </c>
      <c r="AF11" s="1">
        <v>650</v>
      </c>
      <c r="AG11" s="1">
        <v>684.8732</v>
      </c>
      <c r="AH11" s="1">
        <v>689.67319999999995</v>
      </c>
      <c r="AI11" s="1">
        <v>718.03</v>
      </c>
      <c r="AJ11" s="1">
        <v>763.07439999999997</v>
      </c>
      <c r="AK11" s="1">
        <v>683.4</v>
      </c>
      <c r="AL11" s="9" t="s">
        <v>51</v>
      </c>
      <c r="AM11" s="1">
        <f t="shared" si="7"/>
        <v>900</v>
      </c>
      <c r="AN11" s="1"/>
      <c r="AO11" s="1"/>
      <c r="AP11" s="1"/>
      <c r="AQ11" s="1"/>
      <c r="AR11" s="1"/>
      <c r="AS11" s="1"/>
      <c r="AT11" s="1"/>
      <c r="AU11" s="1"/>
      <c r="AV11" s="1"/>
      <c r="AW11" s="1"/>
    </row>
    <row r="12" spans="1:49" x14ac:dyDescent="0.25">
      <c r="A12" s="1" t="s">
        <v>52</v>
      </c>
      <c r="B12" s="1" t="s">
        <v>46</v>
      </c>
      <c r="C12" s="1">
        <v>73</v>
      </c>
      <c r="D12" s="1">
        <v>120</v>
      </c>
      <c r="E12" s="1">
        <v>62</v>
      </c>
      <c r="F12" s="1">
        <v>118</v>
      </c>
      <c r="G12" s="7">
        <v>0.17</v>
      </c>
      <c r="H12" s="1">
        <v>180</v>
      </c>
      <c r="I12" s="1" t="s">
        <v>41</v>
      </c>
      <c r="J12" s="1"/>
      <c r="K12" s="1">
        <v>71</v>
      </c>
      <c r="L12" s="1">
        <f t="shared" si="2"/>
        <v>-9</v>
      </c>
      <c r="M12" s="1">
        <f t="shared" si="3"/>
        <v>62</v>
      </c>
      <c r="N12" s="1"/>
      <c r="O12" s="1"/>
      <c r="P12" s="1"/>
      <c r="Q12" s="1"/>
      <c r="R12" s="1"/>
      <c r="S12" s="1"/>
      <c r="T12" s="1"/>
      <c r="U12" s="1"/>
      <c r="V12" s="1"/>
      <c r="W12" s="1">
        <v>0</v>
      </c>
      <c r="X12" s="1">
        <f t="shared" si="4"/>
        <v>12.4</v>
      </c>
      <c r="Y12" s="5">
        <f t="shared" si="8"/>
        <v>18.400000000000006</v>
      </c>
      <c r="Z12" s="5">
        <f t="shared" si="9"/>
        <v>18.400000000000006</v>
      </c>
      <c r="AA12" s="19"/>
      <c r="AB12" s="1">
        <f t="shared" si="6"/>
        <v>11</v>
      </c>
      <c r="AC12" s="1">
        <f t="shared" si="5"/>
        <v>9.5161290322580641</v>
      </c>
      <c r="AD12" s="1">
        <v>8.6</v>
      </c>
      <c r="AE12" s="1">
        <v>13.8</v>
      </c>
      <c r="AF12" s="1">
        <v>19</v>
      </c>
      <c r="AG12" s="1">
        <v>17.8</v>
      </c>
      <c r="AH12" s="1">
        <v>17.8</v>
      </c>
      <c r="AI12" s="1">
        <v>13.2</v>
      </c>
      <c r="AJ12" s="1">
        <v>20</v>
      </c>
      <c r="AK12" s="1">
        <v>19.234000000000002</v>
      </c>
      <c r="AL12" s="1"/>
      <c r="AM12" s="1">
        <f t="shared" si="7"/>
        <v>3</v>
      </c>
      <c r="AN12" s="1"/>
      <c r="AO12" s="1"/>
      <c r="AP12" s="1"/>
      <c r="AQ12" s="1"/>
      <c r="AR12" s="1"/>
      <c r="AS12" s="1"/>
      <c r="AT12" s="1"/>
      <c r="AU12" s="1"/>
      <c r="AV12" s="1"/>
      <c r="AW12" s="1"/>
    </row>
    <row r="13" spans="1:49" x14ac:dyDescent="0.25">
      <c r="A13" s="1" t="s">
        <v>54</v>
      </c>
      <c r="B13" s="1" t="s">
        <v>46</v>
      </c>
      <c r="C13" s="1">
        <v>-4</v>
      </c>
      <c r="D13" s="1">
        <v>116</v>
      </c>
      <c r="E13" s="1">
        <v>20</v>
      </c>
      <c r="F13" s="1">
        <v>75</v>
      </c>
      <c r="G13" s="7">
        <v>0.3</v>
      </c>
      <c r="H13" s="1">
        <v>40</v>
      </c>
      <c r="I13" s="10" t="s">
        <v>55</v>
      </c>
      <c r="J13" s="1"/>
      <c r="K13" s="1">
        <v>54</v>
      </c>
      <c r="L13" s="1">
        <f t="shared" si="2"/>
        <v>-34</v>
      </c>
      <c r="M13" s="1">
        <f t="shared" si="3"/>
        <v>20</v>
      </c>
      <c r="N13" s="1"/>
      <c r="O13" s="1"/>
      <c r="P13" s="1"/>
      <c r="Q13" s="1"/>
      <c r="R13" s="1"/>
      <c r="S13" s="1"/>
      <c r="T13" s="1"/>
      <c r="U13" s="1">
        <v>20</v>
      </c>
      <c r="V13" s="1"/>
      <c r="W13" s="1">
        <v>0</v>
      </c>
      <c r="X13" s="1">
        <f t="shared" si="4"/>
        <v>4</v>
      </c>
      <c r="Y13" s="5">
        <v>20</v>
      </c>
      <c r="Z13" s="5">
        <f>Y13*1.3</f>
        <v>26</v>
      </c>
      <c r="AA13" s="19"/>
      <c r="AB13" s="1">
        <f t="shared" si="6"/>
        <v>30.25</v>
      </c>
      <c r="AC13" s="1">
        <f t="shared" si="5"/>
        <v>23.75</v>
      </c>
      <c r="AD13" s="1">
        <v>3</v>
      </c>
      <c r="AE13" s="1">
        <v>6.2</v>
      </c>
      <c r="AF13" s="1">
        <v>11.6</v>
      </c>
      <c r="AG13" s="1">
        <v>12</v>
      </c>
      <c r="AH13" s="1">
        <v>12.6</v>
      </c>
      <c r="AI13" s="1">
        <v>7.2</v>
      </c>
      <c r="AJ13" s="1">
        <v>4.2</v>
      </c>
      <c r="AK13" s="1">
        <v>8.1999999999999993</v>
      </c>
      <c r="AL13" s="1"/>
      <c r="AM13" s="1">
        <f t="shared" si="7"/>
        <v>8</v>
      </c>
      <c r="AN13" s="1"/>
      <c r="AO13" s="1"/>
      <c r="AP13" s="1"/>
      <c r="AQ13" s="1"/>
      <c r="AR13" s="1"/>
      <c r="AS13" s="1"/>
      <c r="AT13" s="1"/>
      <c r="AU13" s="1"/>
      <c r="AV13" s="1"/>
      <c r="AW13" s="1"/>
    </row>
    <row r="14" spans="1:49" x14ac:dyDescent="0.25">
      <c r="A14" s="1" t="s">
        <v>56</v>
      </c>
      <c r="B14" s="1" t="s">
        <v>46</v>
      </c>
      <c r="C14" s="1">
        <v>104</v>
      </c>
      <c r="D14" s="1">
        <v>229</v>
      </c>
      <c r="E14" s="1">
        <v>153</v>
      </c>
      <c r="F14" s="1">
        <v>131</v>
      </c>
      <c r="G14" s="7">
        <v>0.17</v>
      </c>
      <c r="H14" s="1">
        <v>180</v>
      </c>
      <c r="I14" s="10" t="s">
        <v>55</v>
      </c>
      <c r="J14" s="1"/>
      <c r="K14" s="1">
        <v>263</v>
      </c>
      <c r="L14" s="1">
        <f t="shared" si="2"/>
        <v>-110</v>
      </c>
      <c r="M14" s="1">
        <f t="shared" si="3"/>
        <v>151</v>
      </c>
      <c r="N14" s="1">
        <v>2</v>
      </c>
      <c r="O14" s="1"/>
      <c r="P14" s="1"/>
      <c r="Q14" s="1"/>
      <c r="R14" s="1"/>
      <c r="S14" s="1"/>
      <c r="T14" s="1"/>
      <c r="U14" s="1"/>
      <c r="V14" s="1"/>
      <c r="W14" s="1">
        <v>267.36000000000013</v>
      </c>
      <c r="X14" s="1">
        <f t="shared" si="4"/>
        <v>30.2</v>
      </c>
      <c r="Y14" s="5"/>
      <c r="Z14" s="5">
        <f>Y14*1.3</f>
        <v>0</v>
      </c>
      <c r="AA14" s="19"/>
      <c r="AB14" s="1">
        <f t="shared" si="6"/>
        <v>13.190728476821196</v>
      </c>
      <c r="AC14" s="1">
        <f t="shared" si="5"/>
        <v>13.190728476821196</v>
      </c>
      <c r="AD14" s="1">
        <v>29.8</v>
      </c>
      <c r="AE14" s="1">
        <v>18.600000000000001</v>
      </c>
      <c r="AF14" s="1">
        <v>19.600000000000001</v>
      </c>
      <c r="AG14" s="1">
        <v>17.399999999999999</v>
      </c>
      <c r="AH14" s="1">
        <v>35.4</v>
      </c>
      <c r="AI14" s="1">
        <v>34.200000000000003</v>
      </c>
      <c r="AJ14" s="1">
        <v>26</v>
      </c>
      <c r="AK14" s="1">
        <v>27.634</v>
      </c>
      <c r="AL14" s="1"/>
      <c r="AM14" s="1">
        <f t="shared" si="7"/>
        <v>0</v>
      </c>
      <c r="AN14" s="1"/>
      <c r="AO14" s="1"/>
      <c r="AP14" s="1"/>
      <c r="AQ14" s="1"/>
      <c r="AR14" s="1"/>
      <c r="AS14" s="1"/>
      <c r="AT14" s="1"/>
      <c r="AU14" s="1"/>
      <c r="AV14" s="1"/>
      <c r="AW14" s="1"/>
    </row>
    <row r="15" spans="1:49" x14ac:dyDescent="0.25">
      <c r="A15" s="11" t="s">
        <v>57</v>
      </c>
      <c r="B15" s="11" t="s">
        <v>46</v>
      </c>
      <c r="C15" s="11">
        <v>251</v>
      </c>
      <c r="D15" s="11"/>
      <c r="E15" s="11">
        <v>2</v>
      </c>
      <c r="F15" s="11">
        <v>241</v>
      </c>
      <c r="G15" s="12">
        <v>0</v>
      </c>
      <c r="H15" s="11"/>
      <c r="I15" s="11" t="s">
        <v>58</v>
      </c>
      <c r="J15" s="11"/>
      <c r="K15" s="11">
        <v>27</v>
      </c>
      <c r="L15" s="11">
        <f t="shared" si="2"/>
        <v>-25</v>
      </c>
      <c r="M15" s="11">
        <f t="shared" si="3"/>
        <v>2</v>
      </c>
      <c r="N15" s="11"/>
      <c r="O15" s="11"/>
      <c r="P15" s="11"/>
      <c r="Q15" s="11"/>
      <c r="R15" s="11"/>
      <c r="S15" s="11"/>
      <c r="T15" s="11"/>
      <c r="U15" s="11"/>
      <c r="V15" s="11"/>
      <c r="W15" s="11">
        <v>0</v>
      </c>
      <c r="X15" s="11">
        <f t="shared" si="4"/>
        <v>0.4</v>
      </c>
      <c r="Y15" s="13"/>
      <c r="Z15" s="5">
        <f t="shared" si="9"/>
        <v>0</v>
      </c>
      <c r="AA15" s="19"/>
      <c r="AB15" s="1">
        <f t="shared" si="6"/>
        <v>602.5</v>
      </c>
      <c r="AC15" s="11">
        <f t="shared" si="5"/>
        <v>602.5</v>
      </c>
      <c r="AD15" s="11">
        <v>1.8</v>
      </c>
      <c r="AE15" s="11">
        <v>7.8</v>
      </c>
      <c r="AF15" s="11">
        <v>16</v>
      </c>
      <c r="AG15" s="11">
        <v>1</v>
      </c>
      <c r="AH15" s="11">
        <v>1</v>
      </c>
      <c r="AI15" s="11">
        <v>5.2</v>
      </c>
      <c r="AJ15" s="11">
        <v>4.4000000000000004</v>
      </c>
      <c r="AK15" s="11">
        <v>0.2</v>
      </c>
      <c r="AL15" s="11" t="s">
        <v>59</v>
      </c>
      <c r="AM15" s="1">
        <f t="shared" si="7"/>
        <v>0</v>
      </c>
      <c r="AN15" s="1"/>
      <c r="AO15" s="1"/>
      <c r="AP15" s="1"/>
      <c r="AQ15" s="1"/>
      <c r="AR15" s="1"/>
      <c r="AS15" s="1"/>
      <c r="AT15" s="1"/>
      <c r="AU15" s="1"/>
      <c r="AV15" s="1"/>
      <c r="AW15" s="1"/>
    </row>
    <row r="16" spans="1:49" x14ac:dyDescent="0.25">
      <c r="A16" s="1" t="s">
        <v>60</v>
      </c>
      <c r="B16" s="1" t="s">
        <v>40</v>
      </c>
      <c r="C16" s="1">
        <v>4162.4449999999997</v>
      </c>
      <c r="D16" s="1">
        <v>3188.6979999999999</v>
      </c>
      <c r="E16" s="1">
        <v>3011.4549999999999</v>
      </c>
      <c r="F16" s="1">
        <v>3338.087</v>
      </c>
      <c r="G16" s="7">
        <v>1</v>
      </c>
      <c r="H16" s="1">
        <v>70</v>
      </c>
      <c r="I16" s="10" t="s">
        <v>55</v>
      </c>
      <c r="J16" s="1"/>
      <c r="K16" s="1">
        <v>3324.0949999999998</v>
      </c>
      <c r="L16" s="1">
        <f t="shared" si="2"/>
        <v>-312.63999999999987</v>
      </c>
      <c r="M16" s="1">
        <f t="shared" si="3"/>
        <v>2632.6819999999998</v>
      </c>
      <c r="N16" s="1">
        <v>378.77300000000002</v>
      </c>
      <c r="O16" s="1">
        <v>400</v>
      </c>
      <c r="P16" s="1"/>
      <c r="Q16" s="1"/>
      <c r="R16" s="1"/>
      <c r="S16" s="1">
        <v>860</v>
      </c>
      <c r="T16" s="1">
        <v>1600</v>
      </c>
      <c r="U16" s="1">
        <v>1110.0575115187189</v>
      </c>
      <c r="V16" s="1"/>
      <c r="W16" s="1"/>
      <c r="X16" s="1">
        <f t="shared" si="4"/>
        <v>526.53639999999996</v>
      </c>
      <c r="Y16" s="5"/>
      <c r="Z16" s="5">
        <v>1500</v>
      </c>
      <c r="AA16" s="19"/>
      <c r="AB16" s="1">
        <f t="shared" si="6"/>
        <v>16.728462669473029</v>
      </c>
      <c r="AC16" s="1">
        <f t="shared" si="5"/>
        <v>13.879656774951776</v>
      </c>
      <c r="AD16" s="1">
        <v>424.87459999999999</v>
      </c>
      <c r="AE16" s="1">
        <v>573.029</v>
      </c>
      <c r="AF16" s="1">
        <v>558.35879999999997</v>
      </c>
      <c r="AG16" s="1">
        <v>576.6604000000001</v>
      </c>
      <c r="AH16" s="1">
        <v>628.17099999999994</v>
      </c>
      <c r="AI16" s="1">
        <v>726.94060000000002</v>
      </c>
      <c r="AJ16" s="1">
        <v>643.96600000000001</v>
      </c>
      <c r="AK16" s="1">
        <v>609.90919999999994</v>
      </c>
      <c r="AL16" s="1" t="s">
        <v>199</v>
      </c>
      <c r="AM16" s="1">
        <f t="shared" si="7"/>
        <v>1500</v>
      </c>
      <c r="AN16" s="1"/>
      <c r="AO16" s="1"/>
      <c r="AP16" s="1"/>
      <c r="AQ16" s="1"/>
      <c r="AR16" s="1"/>
      <c r="AS16" s="1"/>
      <c r="AT16" s="1"/>
      <c r="AU16" s="1"/>
      <c r="AV16" s="1"/>
      <c r="AW16" s="1"/>
    </row>
    <row r="17" spans="1:49" x14ac:dyDescent="0.25">
      <c r="A17" s="1" t="s">
        <v>61</v>
      </c>
      <c r="B17" s="1" t="s">
        <v>40</v>
      </c>
      <c r="C17" s="1">
        <v>1605.52</v>
      </c>
      <c r="D17" s="1">
        <v>4777.375</v>
      </c>
      <c r="E17" s="1">
        <v>2400.9299999999998</v>
      </c>
      <c r="F17" s="1">
        <v>3028.665</v>
      </c>
      <c r="G17" s="7">
        <v>1</v>
      </c>
      <c r="H17" s="1">
        <v>50</v>
      </c>
      <c r="I17" s="1" t="s">
        <v>41</v>
      </c>
      <c r="J17" s="1"/>
      <c r="K17" s="1">
        <v>2755.11</v>
      </c>
      <c r="L17" s="1">
        <f t="shared" si="2"/>
        <v>-354.18000000000029</v>
      </c>
      <c r="M17" s="1">
        <f t="shared" si="3"/>
        <v>2024.2199999999998</v>
      </c>
      <c r="N17" s="1">
        <v>376.71</v>
      </c>
      <c r="O17" s="1"/>
      <c r="P17" s="1"/>
      <c r="Q17" s="1"/>
      <c r="R17" s="1">
        <v>1000</v>
      </c>
      <c r="S17" s="1">
        <v>890</v>
      </c>
      <c r="T17" s="1"/>
      <c r="U17" s="1">
        <v>420</v>
      </c>
      <c r="V17" s="1">
        <v>1600</v>
      </c>
      <c r="W17" s="1"/>
      <c r="X17" s="1">
        <f t="shared" si="4"/>
        <v>404.84399999999994</v>
      </c>
      <c r="Y17" s="5"/>
      <c r="Z17" s="5">
        <f t="shared" si="9"/>
        <v>0</v>
      </c>
      <c r="AA17" s="19"/>
      <c r="AB17" s="1">
        <f t="shared" si="6"/>
        <v>17.139107903291148</v>
      </c>
      <c r="AC17" s="1">
        <f t="shared" si="5"/>
        <v>17.139107903291148</v>
      </c>
      <c r="AD17" s="1">
        <v>323.94799999999998</v>
      </c>
      <c r="AE17" s="1">
        <v>431.13780000000008</v>
      </c>
      <c r="AF17" s="1">
        <v>436.02780000000001</v>
      </c>
      <c r="AG17" s="1">
        <v>283.60739999999998</v>
      </c>
      <c r="AH17" s="1">
        <v>445.85719999999998</v>
      </c>
      <c r="AI17" s="1">
        <v>436.47500000000002</v>
      </c>
      <c r="AJ17" s="1">
        <v>435.79059999999993</v>
      </c>
      <c r="AK17" s="1">
        <v>509.04079999999999</v>
      </c>
      <c r="AL17" s="15" t="s">
        <v>200</v>
      </c>
      <c r="AM17" s="1">
        <f t="shared" si="7"/>
        <v>0</v>
      </c>
      <c r="AN17" s="1"/>
      <c r="AO17" s="1"/>
      <c r="AP17" s="1"/>
      <c r="AQ17" s="1"/>
      <c r="AR17" s="1"/>
      <c r="AS17" s="1"/>
      <c r="AT17" s="1"/>
      <c r="AU17" s="1"/>
      <c r="AV17" s="1"/>
      <c r="AW17" s="1"/>
    </row>
    <row r="18" spans="1:49" x14ac:dyDescent="0.25">
      <c r="A18" s="1" t="s">
        <v>62</v>
      </c>
      <c r="B18" s="1" t="s">
        <v>40</v>
      </c>
      <c r="C18" s="1">
        <v>99.558999999999997</v>
      </c>
      <c r="D18" s="1">
        <v>249.13499999999999</v>
      </c>
      <c r="E18" s="1">
        <v>240.75800000000001</v>
      </c>
      <c r="F18" s="1">
        <v>79.653999999999996</v>
      </c>
      <c r="G18" s="7">
        <v>1</v>
      </c>
      <c r="H18" s="1">
        <v>60</v>
      </c>
      <c r="I18" s="1" t="s">
        <v>41</v>
      </c>
      <c r="J18" s="1"/>
      <c r="K18" s="1">
        <v>255.9</v>
      </c>
      <c r="L18" s="1">
        <f t="shared" si="2"/>
        <v>-15.141999999999996</v>
      </c>
      <c r="M18" s="1">
        <f t="shared" si="3"/>
        <v>240.75800000000001</v>
      </c>
      <c r="N18" s="1"/>
      <c r="O18" s="1"/>
      <c r="P18" s="1"/>
      <c r="Q18" s="1"/>
      <c r="R18" s="1"/>
      <c r="S18" s="1"/>
      <c r="T18" s="1"/>
      <c r="U18" s="1"/>
      <c r="V18" s="1"/>
      <c r="W18" s="1">
        <v>488.95391999999998</v>
      </c>
      <c r="X18" s="1">
        <f t="shared" si="4"/>
        <v>48.151600000000002</v>
      </c>
      <c r="Y18" s="5"/>
      <c r="Z18" s="5">
        <f>Y18+$Z$1*X18</f>
        <v>192.60640000000001</v>
      </c>
      <c r="AA18" s="19"/>
      <c r="AB18" s="1">
        <f t="shared" si="6"/>
        <v>15.808702514558185</v>
      </c>
      <c r="AC18" s="1">
        <f t="shared" si="5"/>
        <v>11.808702514558185</v>
      </c>
      <c r="AD18" s="1">
        <v>42.8626</v>
      </c>
      <c r="AE18" s="1">
        <v>21.7056</v>
      </c>
      <c r="AF18" s="1">
        <v>0.70620000000000005</v>
      </c>
      <c r="AG18" s="1">
        <v>29.232199999999992</v>
      </c>
      <c r="AH18" s="1">
        <v>29.232199999999992</v>
      </c>
      <c r="AI18" s="1">
        <v>22.357199999999999</v>
      </c>
      <c r="AJ18" s="1">
        <v>-0.251</v>
      </c>
      <c r="AK18" s="1">
        <v>23.059200000000001</v>
      </c>
      <c r="AL18" s="1"/>
      <c r="AM18" s="1">
        <f t="shared" si="7"/>
        <v>193</v>
      </c>
      <c r="AN18" s="1"/>
      <c r="AO18" s="1"/>
      <c r="AP18" s="1"/>
      <c r="AQ18" s="1"/>
      <c r="AR18" s="1"/>
      <c r="AS18" s="1"/>
      <c r="AT18" s="1"/>
      <c r="AU18" s="1"/>
      <c r="AV18" s="1"/>
      <c r="AW18" s="1"/>
    </row>
    <row r="19" spans="1:49" x14ac:dyDescent="0.25">
      <c r="A19" s="11" t="s">
        <v>63</v>
      </c>
      <c r="B19" s="11" t="s">
        <v>40</v>
      </c>
      <c r="C19" s="11">
        <v>-27.492999999999999</v>
      </c>
      <c r="D19" s="11">
        <v>32.573</v>
      </c>
      <c r="E19" s="14">
        <v>2.54</v>
      </c>
      <c r="F19" s="11"/>
      <c r="G19" s="12">
        <v>0</v>
      </c>
      <c r="H19" s="11"/>
      <c r="I19" s="11" t="s">
        <v>58</v>
      </c>
      <c r="J19" s="11" t="s">
        <v>64</v>
      </c>
      <c r="K19" s="11">
        <v>2.54</v>
      </c>
      <c r="L19" s="11">
        <f t="shared" si="2"/>
        <v>0</v>
      </c>
      <c r="M19" s="11">
        <f t="shared" si="3"/>
        <v>2.54</v>
      </c>
      <c r="N19" s="11"/>
      <c r="O19" s="11"/>
      <c r="P19" s="11"/>
      <c r="Q19" s="11"/>
      <c r="R19" s="11"/>
      <c r="S19" s="11"/>
      <c r="T19" s="11"/>
      <c r="U19" s="11"/>
      <c r="V19" s="11"/>
      <c r="W19" s="11">
        <v>0</v>
      </c>
      <c r="X19" s="11">
        <f t="shared" si="4"/>
        <v>0.50800000000000001</v>
      </c>
      <c r="Y19" s="13"/>
      <c r="Z19" s="5">
        <f t="shared" si="9"/>
        <v>0</v>
      </c>
      <c r="AA19" s="19"/>
      <c r="AB19" s="1">
        <f t="shared" si="6"/>
        <v>0</v>
      </c>
      <c r="AC19" s="11">
        <f t="shared" si="5"/>
        <v>0</v>
      </c>
      <c r="AD19" s="11">
        <v>0.50800000000000001</v>
      </c>
      <c r="AE19" s="11">
        <v>1.006</v>
      </c>
      <c r="AF19" s="11">
        <v>4.0027999999999997</v>
      </c>
      <c r="AG19" s="11">
        <v>0.35099999999999998</v>
      </c>
      <c r="AH19" s="11">
        <v>0.35099999999999998</v>
      </c>
      <c r="AI19" s="11">
        <v>-0.36499999999999999</v>
      </c>
      <c r="AJ19" s="11">
        <v>-0.51300000000000001</v>
      </c>
      <c r="AK19" s="11">
        <v>-0.14799999999999999</v>
      </c>
      <c r="AL19" s="11"/>
      <c r="AM19" s="1">
        <f t="shared" si="7"/>
        <v>0</v>
      </c>
      <c r="AN19" s="1"/>
      <c r="AO19" s="1"/>
      <c r="AP19" s="1"/>
      <c r="AQ19" s="1"/>
      <c r="AR19" s="1"/>
      <c r="AS19" s="1"/>
      <c r="AT19" s="1"/>
      <c r="AU19" s="1"/>
      <c r="AV19" s="1"/>
      <c r="AW19" s="1"/>
    </row>
    <row r="20" spans="1:49" x14ac:dyDescent="0.25">
      <c r="A20" s="11" t="s">
        <v>65</v>
      </c>
      <c r="B20" s="11" t="s">
        <v>40</v>
      </c>
      <c r="C20" s="11"/>
      <c r="D20" s="11"/>
      <c r="E20" s="11"/>
      <c r="F20" s="11"/>
      <c r="G20" s="12">
        <v>0</v>
      </c>
      <c r="H20" s="11"/>
      <c r="I20" s="11" t="s">
        <v>41</v>
      </c>
      <c r="J20" s="11"/>
      <c r="K20" s="11"/>
      <c r="L20" s="11">
        <f t="shared" si="2"/>
        <v>0</v>
      </c>
      <c r="M20" s="11">
        <f t="shared" si="3"/>
        <v>0</v>
      </c>
      <c r="N20" s="11"/>
      <c r="O20" s="11"/>
      <c r="P20" s="11"/>
      <c r="Q20" s="11"/>
      <c r="R20" s="11"/>
      <c r="S20" s="11"/>
      <c r="T20" s="11"/>
      <c r="U20" s="11"/>
      <c r="V20" s="11"/>
      <c r="W20" s="11">
        <v>0</v>
      </c>
      <c r="X20" s="11">
        <f t="shared" si="4"/>
        <v>0</v>
      </c>
      <c r="Y20" s="13"/>
      <c r="Z20" s="5">
        <f t="shared" si="9"/>
        <v>0</v>
      </c>
      <c r="AA20" s="19"/>
      <c r="AB20" s="1" t="e">
        <f t="shared" si="6"/>
        <v>#DIV/0!</v>
      </c>
      <c r="AC20" s="11" t="e">
        <f t="shared" si="5"/>
        <v>#DIV/0!</v>
      </c>
      <c r="AD20" s="11">
        <v>0</v>
      </c>
      <c r="AE20" s="11">
        <v>0</v>
      </c>
      <c r="AF20" s="11">
        <v>0</v>
      </c>
      <c r="AG20" s="11">
        <v>0</v>
      </c>
      <c r="AH20" s="11">
        <v>0</v>
      </c>
      <c r="AI20" s="11">
        <v>0</v>
      </c>
      <c r="AJ20" s="11">
        <v>0</v>
      </c>
      <c r="AK20" s="11">
        <v>0</v>
      </c>
      <c r="AL20" s="11" t="s">
        <v>66</v>
      </c>
      <c r="AM20" s="1">
        <f t="shared" si="7"/>
        <v>0</v>
      </c>
      <c r="AN20" s="1"/>
      <c r="AO20" s="1"/>
      <c r="AP20" s="1"/>
      <c r="AQ20" s="1"/>
      <c r="AR20" s="1"/>
      <c r="AS20" s="1"/>
      <c r="AT20" s="1"/>
      <c r="AU20" s="1"/>
      <c r="AV20" s="1"/>
      <c r="AW20" s="1"/>
    </row>
    <row r="21" spans="1:49" x14ac:dyDescent="0.25">
      <c r="A21" s="1" t="s">
        <v>67</v>
      </c>
      <c r="B21" s="1" t="s">
        <v>40</v>
      </c>
      <c r="C21" s="1">
        <v>17.702000000000002</v>
      </c>
      <c r="D21" s="1"/>
      <c r="E21" s="1">
        <v>3.2450000000000001</v>
      </c>
      <c r="F21" s="1">
        <v>12.250999999999999</v>
      </c>
      <c r="G21" s="7">
        <v>1</v>
      </c>
      <c r="H21" s="1">
        <v>180</v>
      </c>
      <c r="I21" s="1" t="s">
        <v>41</v>
      </c>
      <c r="J21" s="1"/>
      <c r="K21" s="1">
        <v>3.29</v>
      </c>
      <c r="L21" s="1">
        <f t="shared" si="2"/>
        <v>-4.4999999999999929E-2</v>
      </c>
      <c r="M21" s="1">
        <f t="shared" si="3"/>
        <v>3.2450000000000001</v>
      </c>
      <c r="N21" s="1"/>
      <c r="O21" s="1"/>
      <c r="P21" s="1"/>
      <c r="Q21" s="1"/>
      <c r="R21" s="1"/>
      <c r="S21" s="1"/>
      <c r="T21" s="1"/>
      <c r="U21" s="1"/>
      <c r="V21" s="1"/>
      <c r="W21" s="1">
        <v>0</v>
      </c>
      <c r="X21" s="1">
        <f t="shared" si="4"/>
        <v>0.64900000000000002</v>
      </c>
      <c r="Y21" s="5"/>
      <c r="Z21" s="5">
        <f t="shared" si="9"/>
        <v>0</v>
      </c>
      <c r="AA21" s="19"/>
      <c r="AB21" s="1">
        <f t="shared" si="6"/>
        <v>18.876733436055467</v>
      </c>
      <c r="AC21" s="1">
        <f t="shared" si="5"/>
        <v>18.876733436055467</v>
      </c>
      <c r="AD21" s="1">
        <v>0.70140000000000002</v>
      </c>
      <c r="AE21" s="1">
        <v>0.75480000000000003</v>
      </c>
      <c r="AF21" s="1">
        <v>0.4748</v>
      </c>
      <c r="AG21" s="1">
        <v>0.88339999999999996</v>
      </c>
      <c r="AH21" s="1">
        <v>0.88339999999999996</v>
      </c>
      <c r="AI21" s="1">
        <v>1.4618</v>
      </c>
      <c r="AJ21" s="1">
        <v>1.1292</v>
      </c>
      <c r="AK21" s="1">
        <v>0.64200000000000002</v>
      </c>
      <c r="AL21" s="15" t="s">
        <v>42</v>
      </c>
      <c r="AM21" s="1">
        <f t="shared" si="7"/>
        <v>0</v>
      </c>
      <c r="AN21" s="1"/>
      <c r="AO21" s="1"/>
      <c r="AP21" s="1"/>
      <c r="AQ21" s="1"/>
      <c r="AR21" s="1"/>
      <c r="AS21" s="1"/>
      <c r="AT21" s="1"/>
      <c r="AU21" s="1"/>
      <c r="AV21" s="1"/>
      <c r="AW21" s="1"/>
    </row>
    <row r="22" spans="1:49" x14ac:dyDescent="0.25">
      <c r="A22" s="1" t="s">
        <v>68</v>
      </c>
      <c r="B22" s="1" t="s">
        <v>40</v>
      </c>
      <c r="C22" s="1">
        <v>10090.046</v>
      </c>
      <c r="D22" s="1">
        <v>500.93</v>
      </c>
      <c r="E22" s="1">
        <v>3098.857</v>
      </c>
      <c r="F22" s="1">
        <v>6803.1589999999997</v>
      </c>
      <c r="G22" s="7">
        <v>1</v>
      </c>
      <c r="H22" s="1">
        <v>60</v>
      </c>
      <c r="I22" s="1" t="s">
        <v>41</v>
      </c>
      <c r="J22" s="1"/>
      <c r="K22" s="1">
        <v>3454.3449999999998</v>
      </c>
      <c r="L22" s="1">
        <f t="shared" si="2"/>
        <v>-355.48799999999983</v>
      </c>
      <c r="M22" s="1">
        <f t="shared" si="3"/>
        <v>3045.837</v>
      </c>
      <c r="N22" s="1">
        <v>53.02</v>
      </c>
      <c r="O22" s="1"/>
      <c r="P22" s="1"/>
      <c r="Q22" s="1"/>
      <c r="R22" s="1"/>
      <c r="S22" s="1"/>
      <c r="T22" s="1"/>
      <c r="U22" s="1">
        <v>752.91139999999996</v>
      </c>
      <c r="V22" s="1"/>
      <c r="W22" s="1">
        <v>2965.3384799999999</v>
      </c>
      <c r="X22" s="1">
        <f t="shared" si="4"/>
        <v>609.16740000000004</v>
      </c>
      <c r="Y22" s="5"/>
      <c r="Z22" s="5">
        <f t="shared" si="9"/>
        <v>0</v>
      </c>
      <c r="AA22" s="19"/>
      <c r="AB22" s="1">
        <f t="shared" si="6"/>
        <v>17.271785850654513</v>
      </c>
      <c r="AC22" s="1">
        <f t="shared" si="5"/>
        <v>17.271785850654513</v>
      </c>
      <c r="AD22" s="1">
        <v>570.25739999999996</v>
      </c>
      <c r="AE22" s="1">
        <v>752.91139999999996</v>
      </c>
      <c r="AF22" s="1">
        <v>757.01940000000002</v>
      </c>
      <c r="AG22" s="1">
        <v>1194.5776000000001</v>
      </c>
      <c r="AH22" s="1">
        <v>1235.5082</v>
      </c>
      <c r="AI22" s="1">
        <v>1204.5540000000001</v>
      </c>
      <c r="AJ22" s="1">
        <v>901.40879999999993</v>
      </c>
      <c r="AK22" s="1">
        <v>763.35619999999994</v>
      </c>
      <c r="AL22" s="15" t="s">
        <v>42</v>
      </c>
      <c r="AM22" s="1">
        <f t="shared" si="7"/>
        <v>0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</row>
    <row r="23" spans="1:49" x14ac:dyDescent="0.25">
      <c r="A23" s="11" t="s">
        <v>69</v>
      </c>
      <c r="B23" s="11" t="s">
        <v>40</v>
      </c>
      <c r="C23" s="11">
        <v>-12.462999999999999</v>
      </c>
      <c r="D23" s="11"/>
      <c r="E23" s="11"/>
      <c r="F23" s="14">
        <v>-12.462999999999999</v>
      </c>
      <c r="G23" s="12">
        <v>0</v>
      </c>
      <c r="H23" s="11"/>
      <c r="I23" s="11" t="s">
        <v>58</v>
      </c>
      <c r="J23" s="11" t="s">
        <v>70</v>
      </c>
      <c r="K23" s="11"/>
      <c r="L23" s="11">
        <f t="shared" si="2"/>
        <v>0</v>
      </c>
      <c r="M23" s="11">
        <f t="shared" si="3"/>
        <v>0</v>
      </c>
      <c r="N23" s="11"/>
      <c r="O23" s="11"/>
      <c r="P23" s="11"/>
      <c r="Q23" s="11"/>
      <c r="R23" s="11"/>
      <c r="S23" s="11"/>
      <c r="T23" s="11"/>
      <c r="U23" s="11"/>
      <c r="V23" s="11"/>
      <c r="W23" s="11">
        <v>0</v>
      </c>
      <c r="X23" s="11">
        <f t="shared" si="4"/>
        <v>0</v>
      </c>
      <c r="Y23" s="13"/>
      <c r="Z23" s="5">
        <f t="shared" si="9"/>
        <v>0</v>
      </c>
      <c r="AA23" s="19"/>
      <c r="AB23" s="1" t="e">
        <f t="shared" si="6"/>
        <v>#DIV/0!</v>
      </c>
      <c r="AC23" s="11" t="e">
        <f t="shared" si="5"/>
        <v>#DIV/0!</v>
      </c>
      <c r="AD23" s="11">
        <v>0</v>
      </c>
      <c r="AE23" s="11">
        <v>0</v>
      </c>
      <c r="AF23" s="11">
        <v>0</v>
      </c>
      <c r="AG23" s="11">
        <v>0.99399999999999999</v>
      </c>
      <c r="AH23" s="11">
        <v>0.99399999999999999</v>
      </c>
      <c r="AI23" s="11">
        <v>0</v>
      </c>
      <c r="AJ23" s="11">
        <v>0</v>
      </c>
      <c r="AK23" s="11">
        <v>0</v>
      </c>
      <c r="AL23" s="11"/>
      <c r="AM23" s="1">
        <f t="shared" si="7"/>
        <v>0</v>
      </c>
      <c r="AN23" s="1"/>
      <c r="AO23" s="1"/>
      <c r="AP23" s="1"/>
      <c r="AQ23" s="1"/>
      <c r="AR23" s="1"/>
      <c r="AS23" s="1"/>
      <c r="AT23" s="1"/>
      <c r="AU23" s="1"/>
      <c r="AV23" s="1"/>
      <c r="AW23" s="1"/>
    </row>
    <row r="24" spans="1:49" x14ac:dyDescent="0.25">
      <c r="A24" s="1" t="s">
        <v>71</v>
      </c>
      <c r="B24" s="1" t="s">
        <v>40</v>
      </c>
      <c r="C24" s="1">
        <v>388.12400000000002</v>
      </c>
      <c r="D24" s="1">
        <v>820.34400000000005</v>
      </c>
      <c r="E24" s="1">
        <v>259.02800000000002</v>
      </c>
      <c r="F24" s="1">
        <v>885.73</v>
      </c>
      <c r="G24" s="7">
        <v>1</v>
      </c>
      <c r="H24" s="1">
        <v>70</v>
      </c>
      <c r="I24" s="1" t="s">
        <v>41</v>
      </c>
      <c r="J24" s="1"/>
      <c r="K24" s="1">
        <v>333.7</v>
      </c>
      <c r="L24" s="1">
        <f t="shared" si="2"/>
        <v>-74.671999999999969</v>
      </c>
      <c r="M24" s="1">
        <f t="shared" si="3"/>
        <v>259.02800000000002</v>
      </c>
      <c r="N24" s="1"/>
      <c r="O24" s="1"/>
      <c r="P24" s="1"/>
      <c r="Q24" s="1"/>
      <c r="R24" s="1"/>
      <c r="S24" s="1"/>
      <c r="T24" s="1"/>
      <c r="U24" s="1">
        <v>84.481799999999993</v>
      </c>
      <c r="V24" s="1"/>
      <c r="W24" s="1">
        <v>0</v>
      </c>
      <c r="X24" s="1">
        <f t="shared" si="4"/>
        <v>51.805600000000005</v>
      </c>
      <c r="Y24" s="5"/>
      <c r="Z24" s="5">
        <f t="shared" si="9"/>
        <v>0</v>
      </c>
      <c r="AA24" s="19"/>
      <c r="AB24" s="1">
        <f t="shared" si="6"/>
        <v>18.727932887564279</v>
      </c>
      <c r="AC24" s="1">
        <f t="shared" si="5"/>
        <v>18.727932887564279</v>
      </c>
      <c r="AD24" s="1">
        <v>47.665999999999997</v>
      </c>
      <c r="AE24" s="1">
        <v>84.481799999999993</v>
      </c>
      <c r="AF24" s="1">
        <v>134.7364</v>
      </c>
      <c r="AG24" s="1">
        <v>21.680199999999999</v>
      </c>
      <c r="AH24" s="1">
        <v>72.813199999999995</v>
      </c>
      <c r="AI24" s="1">
        <v>77.070599999999999</v>
      </c>
      <c r="AJ24" s="1">
        <v>121.82040000000001</v>
      </c>
      <c r="AK24" s="1">
        <v>64.7166</v>
      </c>
      <c r="AL24" s="15" t="s">
        <v>42</v>
      </c>
      <c r="AM24" s="1">
        <f t="shared" si="7"/>
        <v>0</v>
      </c>
      <c r="AN24" s="1"/>
      <c r="AO24" s="1"/>
      <c r="AP24" s="1"/>
      <c r="AQ24" s="1"/>
      <c r="AR24" s="1"/>
      <c r="AS24" s="1"/>
      <c r="AT24" s="1"/>
      <c r="AU24" s="1"/>
      <c r="AV24" s="1"/>
      <c r="AW24" s="1"/>
    </row>
    <row r="25" spans="1:49" x14ac:dyDescent="0.25">
      <c r="A25" s="1" t="s">
        <v>72</v>
      </c>
      <c r="B25" s="1" t="s">
        <v>40</v>
      </c>
      <c r="C25" s="1">
        <v>1002.702</v>
      </c>
      <c r="D25" s="1">
        <v>1781.971</v>
      </c>
      <c r="E25" s="1">
        <v>915.48900000000003</v>
      </c>
      <c r="F25" s="1">
        <v>1671.6279999999999</v>
      </c>
      <c r="G25" s="7">
        <v>1</v>
      </c>
      <c r="H25" s="1">
        <v>70</v>
      </c>
      <c r="I25" s="1" t="s">
        <v>41</v>
      </c>
      <c r="J25" s="1"/>
      <c r="K25" s="1">
        <v>1014.745</v>
      </c>
      <c r="L25" s="1">
        <f t="shared" si="2"/>
        <v>-99.255999999999972</v>
      </c>
      <c r="M25" s="1">
        <f t="shared" si="3"/>
        <v>883.79399999999998</v>
      </c>
      <c r="N25" s="1">
        <v>31.695</v>
      </c>
      <c r="O25" s="1"/>
      <c r="P25" s="1"/>
      <c r="Q25" s="1"/>
      <c r="R25" s="1"/>
      <c r="S25" s="1">
        <v>551</v>
      </c>
      <c r="T25" s="1"/>
      <c r="U25" s="1"/>
      <c r="V25" s="1"/>
      <c r="W25" s="1">
        <v>900</v>
      </c>
      <c r="X25" s="1">
        <f t="shared" si="4"/>
        <v>176.75880000000001</v>
      </c>
      <c r="Y25" s="5"/>
      <c r="Z25" s="5">
        <f t="shared" si="9"/>
        <v>0</v>
      </c>
      <c r="AA25" s="19"/>
      <c r="AB25" s="1">
        <f t="shared" si="6"/>
        <v>17.666039823759832</v>
      </c>
      <c r="AC25" s="1">
        <f t="shared" si="5"/>
        <v>17.666039823759832</v>
      </c>
      <c r="AD25" s="1">
        <v>148.90860000000001</v>
      </c>
      <c r="AE25" s="1">
        <v>205.9836</v>
      </c>
      <c r="AF25" s="1">
        <v>205.86320000000001</v>
      </c>
      <c r="AG25" s="1">
        <v>212.68279999999999</v>
      </c>
      <c r="AH25" s="1">
        <v>230.36799999999999</v>
      </c>
      <c r="AI25" s="1">
        <v>244.7884</v>
      </c>
      <c r="AJ25" s="1">
        <v>233.47839999999999</v>
      </c>
      <c r="AK25" s="1">
        <v>197.40940000000001</v>
      </c>
      <c r="AL25" s="15" t="s">
        <v>200</v>
      </c>
      <c r="AM25" s="1">
        <f t="shared" si="7"/>
        <v>0</v>
      </c>
      <c r="AN25" s="1"/>
      <c r="AO25" s="1"/>
      <c r="AP25" s="1"/>
      <c r="AQ25" s="1"/>
      <c r="AR25" s="1"/>
      <c r="AS25" s="1"/>
      <c r="AT25" s="1"/>
      <c r="AU25" s="1"/>
      <c r="AV25" s="1"/>
      <c r="AW25" s="1"/>
    </row>
    <row r="26" spans="1:49" x14ac:dyDescent="0.25">
      <c r="A26" s="11" t="s">
        <v>73</v>
      </c>
      <c r="B26" s="11" t="s">
        <v>40</v>
      </c>
      <c r="C26" s="11"/>
      <c r="D26" s="11"/>
      <c r="E26" s="11"/>
      <c r="F26" s="11"/>
      <c r="G26" s="12">
        <v>0</v>
      </c>
      <c r="H26" s="11"/>
      <c r="I26" s="11" t="s">
        <v>41</v>
      </c>
      <c r="J26" s="11"/>
      <c r="K26" s="11"/>
      <c r="L26" s="11">
        <f t="shared" si="2"/>
        <v>0</v>
      </c>
      <c r="M26" s="11">
        <f t="shared" si="3"/>
        <v>0</v>
      </c>
      <c r="N26" s="11"/>
      <c r="O26" s="11"/>
      <c r="P26" s="11"/>
      <c r="Q26" s="11"/>
      <c r="R26" s="11"/>
      <c r="S26" s="11"/>
      <c r="T26" s="11"/>
      <c r="U26" s="11"/>
      <c r="V26" s="11"/>
      <c r="W26" s="11">
        <v>0</v>
      </c>
      <c r="X26" s="11">
        <f t="shared" si="4"/>
        <v>0</v>
      </c>
      <c r="Y26" s="13"/>
      <c r="Z26" s="5">
        <f t="shared" si="9"/>
        <v>0</v>
      </c>
      <c r="AA26" s="19"/>
      <c r="AB26" s="1" t="e">
        <f t="shared" si="6"/>
        <v>#DIV/0!</v>
      </c>
      <c r="AC26" s="11" t="e">
        <f t="shared" si="5"/>
        <v>#DIV/0!</v>
      </c>
      <c r="AD26" s="11">
        <v>0</v>
      </c>
      <c r="AE26" s="11">
        <v>0</v>
      </c>
      <c r="AF26" s="11">
        <v>0</v>
      </c>
      <c r="AG26" s="11">
        <v>0</v>
      </c>
      <c r="AH26" s="11">
        <v>0</v>
      </c>
      <c r="AI26" s="11">
        <v>0</v>
      </c>
      <c r="AJ26" s="11">
        <v>0</v>
      </c>
      <c r="AK26" s="11">
        <v>0</v>
      </c>
      <c r="AL26" s="11" t="s">
        <v>66</v>
      </c>
      <c r="AM26" s="1">
        <f t="shared" si="7"/>
        <v>0</v>
      </c>
      <c r="AN26" s="1"/>
      <c r="AO26" s="1"/>
      <c r="AP26" s="1"/>
      <c r="AQ26" s="1"/>
      <c r="AR26" s="1"/>
      <c r="AS26" s="1"/>
      <c r="AT26" s="1"/>
      <c r="AU26" s="1"/>
      <c r="AV26" s="1"/>
      <c r="AW26" s="1"/>
    </row>
    <row r="27" spans="1:49" x14ac:dyDescent="0.25">
      <c r="A27" s="1" t="s">
        <v>74</v>
      </c>
      <c r="B27" s="1" t="s">
        <v>40</v>
      </c>
      <c r="C27" s="1">
        <v>1816.8230000000001</v>
      </c>
      <c r="D27" s="1">
        <v>3135.623</v>
      </c>
      <c r="E27" s="1">
        <v>1567.069</v>
      </c>
      <c r="F27" s="1">
        <v>3120.0940000000001</v>
      </c>
      <c r="G27" s="7">
        <v>1</v>
      </c>
      <c r="H27" s="1">
        <v>70</v>
      </c>
      <c r="I27" s="1" t="s">
        <v>41</v>
      </c>
      <c r="J27" s="1"/>
      <c r="K27" s="1">
        <v>1749.5450000000001</v>
      </c>
      <c r="L27" s="1">
        <f t="shared" si="2"/>
        <v>-182.47600000000011</v>
      </c>
      <c r="M27" s="1">
        <f t="shared" si="3"/>
        <v>1551.3240000000001</v>
      </c>
      <c r="N27" s="1">
        <v>15.744999999999999</v>
      </c>
      <c r="O27" s="1"/>
      <c r="P27" s="1"/>
      <c r="Q27" s="1"/>
      <c r="R27" s="1"/>
      <c r="S27" s="1">
        <v>860</v>
      </c>
      <c r="T27" s="1"/>
      <c r="U27" s="1">
        <v>500</v>
      </c>
      <c r="V27" s="1"/>
      <c r="W27" s="1">
        <v>600</v>
      </c>
      <c r="X27" s="1">
        <f t="shared" si="4"/>
        <v>310.26480000000004</v>
      </c>
      <c r="Y27" s="5"/>
      <c r="Z27" s="5">
        <v>300</v>
      </c>
      <c r="AA27" s="19"/>
      <c r="AB27" s="1">
        <f t="shared" si="6"/>
        <v>17.340329937524331</v>
      </c>
      <c r="AC27" s="1">
        <f t="shared" si="5"/>
        <v>16.373413935451264</v>
      </c>
      <c r="AD27" s="1">
        <v>281.95979999999997</v>
      </c>
      <c r="AE27" s="1">
        <v>381.11340000000001</v>
      </c>
      <c r="AF27" s="1">
        <v>357.56240000000003</v>
      </c>
      <c r="AG27" s="1">
        <v>356.4468</v>
      </c>
      <c r="AH27" s="1">
        <v>377.3442</v>
      </c>
      <c r="AI27" s="1">
        <v>436.64600000000002</v>
      </c>
      <c r="AJ27" s="1">
        <v>375.16520000000003</v>
      </c>
      <c r="AK27" s="1">
        <v>497.58879999999999</v>
      </c>
      <c r="AL27" s="15" t="s">
        <v>200</v>
      </c>
      <c r="AM27" s="1">
        <f t="shared" si="7"/>
        <v>300</v>
      </c>
      <c r="AN27" s="1"/>
      <c r="AO27" s="1"/>
      <c r="AP27" s="1"/>
      <c r="AQ27" s="1"/>
      <c r="AR27" s="1"/>
      <c r="AS27" s="1"/>
      <c r="AT27" s="1"/>
      <c r="AU27" s="1"/>
      <c r="AV27" s="1"/>
      <c r="AW27" s="1"/>
    </row>
    <row r="28" spans="1:49" x14ac:dyDescent="0.25">
      <c r="A28" s="1" t="s">
        <v>75</v>
      </c>
      <c r="B28" s="1" t="s">
        <v>40</v>
      </c>
      <c r="C28" s="1">
        <v>65.477999999999994</v>
      </c>
      <c r="D28" s="1">
        <v>0.746</v>
      </c>
      <c r="E28" s="1">
        <v>10.198</v>
      </c>
      <c r="F28" s="1">
        <v>54.555999999999997</v>
      </c>
      <c r="G28" s="7">
        <v>1</v>
      </c>
      <c r="H28" s="1">
        <v>40</v>
      </c>
      <c r="I28" s="1" t="s">
        <v>41</v>
      </c>
      <c r="J28" s="1"/>
      <c r="K28" s="1">
        <v>13</v>
      </c>
      <c r="L28" s="1">
        <f t="shared" si="2"/>
        <v>-2.8019999999999996</v>
      </c>
      <c r="M28" s="1">
        <f t="shared" si="3"/>
        <v>10.198</v>
      </c>
      <c r="N28" s="1"/>
      <c r="O28" s="1"/>
      <c r="P28" s="1"/>
      <c r="Q28" s="1"/>
      <c r="R28" s="1"/>
      <c r="S28" s="1"/>
      <c r="T28" s="1"/>
      <c r="U28" s="1"/>
      <c r="V28" s="1"/>
      <c r="W28" s="1">
        <v>0</v>
      </c>
      <c r="X28" s="1">
        <f t="shared" si="4"/>
        <v>2.0396000000000001</v>
      </c>
      <c r="Y28" s="5"/>
      <c r="Z28" s="5">
        <f t="shared" si="9"/>
        <v>0</v>
      </c>
      <c r="AA28" s="19"/>
      <c r="AB28" s="1">
        <f t="shared" si="6"/>
        <v>26.748382035693272</v>
      </c>
      <c r="AC28" s="1">
        <f t="shared" si="5"/>
        <v>26.748382035693272</v>
      </c>
      <c r="AD28" s="1">
        <v>1.6052</v>
      </c>
      <c r="AE28" s="1">
        <v>2.1873999999999998</v>
      </c>
      <c r="AF28" s="1">
        <v>2.1844000000000001</v>
      </c>
      <c r="AG28" s="1">
        <v>1.3022</v>
      </c>
      <c r="AH28" s="1">
        <v>1.3022</v>
      </c>
      <c r="AI28" s="1">
        <v>1.9805999999999999</v>
      </c>
      <c r="AJ28" s="1">
        <v>1.2582</v>
      </c>
      <c r="AK28" s="1">
        <v>0.73199999999999998</v>
      </c>
      <c r="AL28" s="18" t="s">
        <v>53</v>
      </c>
      <c r="AM28" s="1">
        <f t="shared" si="7"/>
        <v>0</v>
      </c>
      <c r="AN28" s="1"/>
      <c r="AO28" s="1"/>
      <c r="AP28" s="1"/>
      <c r="AQ28" s="1"/>
      <c r="AR28" s="1"/>
      <c r="AS28" s="1"/>
      <c r="AT28" s="1"/>
      <c r="AU28" s="1"/>
      <c r="AV28" s="1"/>
      <c r="AW28" s="1"/>
    </row>
    <row r="29" spans="1:49" x14ac:dyDescent="0.25">
      <c r="A29" s="11" t="s">
        <v>76</v>
      </c>
      <c r="B29" s="11" t="s">
        <v>40</v>
      </c>
      <c r="C29" s="11">
        <v>-1.6950000000000001</v>
      </c>
      <c r="D29" s="11"/>
      <c r="E29" s="11"/>
      <c r="F29" s="11">
        <v>-1.6950000000000001</v>
      </c>
      <c r="G29" s="12">
        <v>0</v>
      </c>
      <c r="H29" s="11"/>
      <c r="I29" s="11" t="s">
        <v>58</v>
      </c>
      <c r="J29" s="11"/>
      <c r="K29" s="11"/>
      <c r="L29" s="11">
        <f t="shared" si="2"/>
        <v>0</v>
      </c>
      <c r="M29" s="11">
        <f t="shared" si="3"/>
        <v>0</v>
      </c>
      <c r="N29" s="11"/>
      <c r="O29" s="11"/>
      <c r="P29" s="11"/>
      <c r="Q29" s="11"/>
      <c r="R29" s="11"/>
      <c r="S29" s="11"/>
      <c r="T29" s="11"/>
      <c r="U29" s="11"/>
      <c r="V29" s="11"/>
      <c r="W29" s="11">
        <v>0</v>
      </c>
      <c r="X29" s="11">
        <f t="shared" si="4"/>
        <v>0</v>
      </c>
      <c r="Y29" s="13"/>
      <c r="Z29" s="5">
        <f t="shared" si="9"/>
        <v>0</v>
      </c>
      <c r="AA29" s="19"/>
      <c r="AB29" s="1" t="e">
        <f t="shared" si="6"/>
        <v>#DIV/0!</v>
      </c>
      <c r="AC29" s="11" t="e">
        <f t="shared" si="5"/>
        <v>#DIV/0!</v>
      </c>
      <c r="AD29" s="11">
        <v>0</v>
      </c>
      <c r="AE29" s="11">
        <v>0</v>
      </c>
      <c r="AF29" s="11">
        <v>0.33900000000000002</v>
      </c>
      <c r="AG29" s="11">
        <v>0</v>
      </c>
      <c r="AH29" s="11">
        <v>0</v>
      </c>
      <c r="AI29" s="11">
        <v>0</v>
      </c>
      <c r="AJ29" s="11">
        <v>0</v>
      </c>
      <c r="AK29" s="11">
        <v>0</v>
      </c>
      <c r="AL29" s="11"/>
      <c r="AM29" s="1">
        <f t="shared" si="7"/>
        <v>0</v>
      </c>
      <c r="AN29" s="1"/>
      <c r="AO29" s="1"/>
      <c r="AP29" s="1"/>
      <c r="AQ29" s="1"/>
      <c r="AR29" s="1"/>
      <c r="AS29" s="1"/>
      <c r="AT29" s="1"/>
      <c r="AU29" s="1"/>
      <c r="AV29" s="1"/>
      <c r="AW29" s="1"/>
    </row>
    <row r="30" spans="1:49" x14ac:dyDescent="0.25">
      <c r="A30" s="11" t="s">
        <v>77</v>
      </c>
      <c r="B30" s="11" t="s">
        <v>40</v>
      </c>
      <c r="C30" s="11"/>
      <c r="D30" s="11"/>
      <c r="E30" s="11"/>
      <c r="F30" s="11"/>
      <c r="G30" s="12">
        <v>0</v>
      </c>
      <c r="H30" s="11"/>
      <c r="I30" s="11" t="s">
        <v>41</v>
      </c>
      <c r="J30" s="11"/>
      <c r="K30" s="11"/>
      <c r="L30" s="11">
        <f t="shared" si="2"/>
        <v>0</v>
      </c>
      <c r="M30" s="11">
        <f t="shared" si="3"/>
        <v>0</v>
      </c>
      <c r="N30" s="11"/>
      <c r="O30" s="11"/>
      <c r="P30" s="11"/>
      <c r="Q30" s="11"/>
      <c r="R30" s="11"/>
      <c r="S30" s="11"/>
      <c r="T30" s="11"/>
      <c r="U30" s="11"/>
      <c r="V30" s="11"/>
      <c r="W30" s="11">
        <v>0</v>
      </c>
      <c r="X30" s="11">
        <f t="shared" si="4"/>
        <v>0</v>
      </c>
      <c r="Y30" s="13"/>
      <c r="Z30" s="5">
        <f t="shared" si="9"/>
        <v>0</v>
      </c>
      <c r="AA30" s="19"/>
      <c r="AB30" s="1" t="e">
        <f t="shared" si="6"/>
        <v>#DIV/0!</v>
      </c>
      <c r="AC30" s="11" t="e">
        <f t="shared" si="5"/>
        <v>#DIV/0!</v>
      </c>
      <c r="AD30" s="11">
        <v>0</v>
      </c>
      <c r="AE30" s="11">
        <v>0</v>
      </c>
      <c r="AF30" s="11">
        <v>0</v>
      </c>
      <c r="AG30" s="11">
        <v>0</v>
      </c>
      <c r="AH30" s="11">
        <v>0</v>
      </c>
      <c r="AI30" s="11">
        <v>0</v>
      </c>
      <c r="AJ30" s="11">
        <v>0</v>
      </c>
      <c r="AK30" s="11">
        <v>0</v>
      </c>
      <c r="AL30" s="11" t="s">
        <v>66</v>
      </c>
      <c r="AM30" s="1">
        <f t="shared" si="7"/>
        <v>0</v>
      </c>
      <c r="AN30" s="1"/>
      <c r="AO30" s="1"/>
      <c r="AP30" s="1"/>
      <c r="AQ30" s="1"/>
      <c r="AR30" s="1"/>
      <c r="AS30" s="1"/>
      <c r="AT30" s="1"/>
      <c r="AU30" s="1"/>
      <c r="AV30" s="1"/>
      <c r="AW30" s="1"/>
    </row>
    <row r="31" spans="1:49" x14ac:dyDescent="0.25">
      <c r="A31" s="11" t="s">
        <v>78</v>
      </c>
      <c r="B31" s="11" t="s">
        <v>40</v>
      </c>
      <c r="C31" s="11"/>
      <c r="D31" s="11"/>
      <c r="E31" s="11"/>
      <c r="F31" s="11"/>
      <c r="G31" s="12">
        <v>0</v>
      </c>
      <c r="H31" s="11"/>
      <c r="I31" s="11" t="s">
        <v>41</v>
      </c>
      <c r="J31" s="11"/>
      <c r="K31" s="11"/>
      <c r="L31" s="11">
        <f t="shared" si="2"/>
        <v>0</v>
      </c>
      <c r="M31" s="11">
        <f t="shared" si="3"/>
        <v>0</v>
      </c>
      <c r="N31" s="11"/>
      <c r="O31" s="11"/>
      <c r="P31" s="11"/>
      <c r="Q31" s="11"/>
      <c r="R31" s="11"/>
      <c r="S31" s="11"/>
      <c r="T31" s="11"/>
      <c r="U31" s="11"/>
      <c r="V31" s="11"/>
      <c r="W31" s="11">
        <v>0</v>
      </c>
      <c r="X31" s="11">
        <f t="shared" si="4"/>
        <v>0</v>
      </c>
      <c r="Y31" s="13"/>
      <c r="Z31" s="5">
        <f t="shared" si="9"/>
        <v>0</v>
      </c>
      <c r="AA31" s="19"/>
      <c r="AB31" s="1" t="e">
        <f t="shared" si="6"/>
        <v>#DIV/0!</v>
      </c>
      <c r="AC31" s="11" t="e">
        <f t="shared" si="5"/>
        <v>#DIV/0!</v>
      </c>
      <c r="AD31" s="11">
        <v>0</v>
      </c>
      <c r="AE31" s="11">
        <v>0</v>
      </c>
      <c r="AF31" s="11">
        <v>0</v>
      </c>
      <c r="AG31" s="11">
        <v>0</v>
      </c>
      <c r="AH31" s="11">
        <v>0</v>
      </c>
      <c r="AI31" s="11">
        <v>0</v>
      </c>
      <c r="AJ31" s="11">
        <v>0</v>
      </c>
      <c r="AK31" s="11">
        <v>0</v>
      </c>
      <c r="AL31" s="11" t="s">
        <v>66</v>
      </c>
      <c r="AM31" s="1">
        <f t="shared" si="7"/>
        <v>0</v>
      </c>
      <c r="AN31" s="1"/>
      <c r="AO31" s="1"/>
      <c r="AP31" s="1"/>
      <c r="AQ31" s="1"/>
      <c r="AR31" s="1"/>
      <c r="AS31" s="1"/>
      <c r="AT31" s="1"/>
      <c r="AU31" s="1"/>
      <c r="AV31" s="1"/>
      <c r="AW31" s="1"/>
    </row>
    <row r="32" spans="1:49" x14ac:dyDescent="0.25">
      <c r="A32" s="1" t="s">
        <v>79</v>
      </c>
      <c r="B32" s="1" t="s">
        <v>40</v>
      </c>
      <c r="C32" s="1">
        <v>1029.4880000000001</v>
      </c>
      <c r="D32" s="1">
        <v>3852.0929999999998</v>
      </c>
      <c r="E32" s="1">
        <v>1909.8130000000001</v>
      </c>
      <c r="F32" s="1">
        <v>1935.7090000000001</v>
      </c>
      <c r="G32" s="7">
        <v>1</v>
      </c>
      <c r="H32" s="1">
        <v>30</v>
      </c>
      <c r="I32" s="10" t="s">
        <v>55</v>
      </c>
      <c r="J32" s="1"/>
      <c r="K32" s="1">
        <v>2082.0810000000001</v>
      </c>
      <c r="L32" s="1">
        <f t="shared" si="2"/>
        <v>-172.26800000000003</v>
      </c>
      <c r="M32" s="1">
        <f t="shared" si="3"/>
        <v>1138.2760000000001</v>
      </c>
      <c r="N32" s="1">
        <v>771.53700000000003</v>
      </c>
      <c r="O32" s="1"/>
      <c r="P32" s="1"/>
      <c r="Q32" s="1"/>
      <c r="R32" s="1"/>
      <c r="S32" s="1">
        <v>155</v>
      </c>
      <c r="T32" s="1"/>
      <c r="U32" s="1">
        <v>245</v>
      </c>
      <c r="V32" s="1"/>
      <c r="W32" s="1">
        <v>0</v>
      </c>
      <c r="X32" s="1">
        <f t="shared" si="4"/>
        <v>227.65520000000001</v>
      </c>
      <c r="Y32" s="5"/>
      <c r="Z32" s="22">
        <v>400</v>
      </c>
      <c r="AA32" s="19"/>
      <c r="AB32" s="1">
        <f t="shared" si="6"/>
        <v>12.016896605041307</v>
      </c>
      <c r="AC32" s="1">
        <f t="shared" si="5"/>
        <v>10.259853497745713</v>
      </c>
      <c r="AD32" s="1">
        <v>207.39060000000001</v>
      </c>
      <c r="AE32" s="1">
        <v>290.8818</v>
      </c>
      <c r="AF32" s="1">
        <v>248.68559999999999</v>
      </c>
      <c r="AG32" s="1">
        <v>440.64760000000001</v>
      </c>
      <c r="AH32" s="1">
        <v>365.18979999999999</v>
      </c>
      <c r="AI32" s="1">
        <v>310.87279999999998</v>
      </c>
      <c r="AJ32" s="1">
        <v>178.89779999999999</v>
      </c>
      <c r="AK32" s="1">
        <v>437.43319999999989</v>
      </c>
      <c r="AL32" s="9" t="s">
        <v>80</v>
      </c>
      <c r="AM32" s="1">
        <f t="shared" si="7"/>
        <v>400</v>
      </c>
      <c r="AN32" s="1"/>
      <c r="AO32" s="1"/>
      <c r="AP32" s="1"/>
      <c r="AQ32" s="1"/>
      <c r="AR32" s="1"/>
      <c r="AS32" s="1"/>
      <c r="AT32" s="1"/>
      <c r="AU32" s="1"/>
      <c r="AV32" s="1"/>
      <c r="AW32" s="1"/>
    </row>
    <row r="33" spans="1:49" x14ac:dyDescent="0.25">
      <c r="A33" s="11" t="s">
        <v>81</v>
      </c>
      <c r="B33" s="11" t="s">
        <v>40</v>
      </c>
      <c r="C33" s="11">
        <v>-0.23</v>
      </c>
      <c r="D33" s="11"/>
      <c r="E33" s="11"/>
      <c r="F33" s="11">
        <v>-0.23</v>
      </c>
      <c r="G33" s="12">
        <v>0</v>
      </c>
      <c r="H33" s="11">
        <v>40</v>
      </c>
      <c r="I33" s="11" t="s">
        <v>58</v>
      </c>
      <c r="J33" s="11"/>
      <c r="K33" s="11">
        <v>20</v>
      </c>
      <c r="L33" s="11">
        <f t="shared" si="2"/>
        <v>-20</v>
      </c>
      <c r="M33" s="11">
        <f t="shared" si="3"/>
        <v>0</v>
      </c>
      <c r="N33" s="11"/>
      <c r="O33" s="11"/>
      <c r="P33" s="11"/>
      <c r="Q33" s="11"/>
      <c r="R33" s="11"/>
      <c r="S33" s="11"/>
      <c r="T33" s="11"/>
      <c r="U33" s="11"/>
      <c r="V33" s="11"/>
      <c r="W33" s="11">
        <v>0</v>
      </c>
      <c r="X33" s="11">
        <f t="shared" si="4"/>
        <v>0</v>
      </c>
      <c r="Y33" s="13"/>
      <c r="Z33" s="5">
        <f t="shared" si="9"/>
        <v>0</v>
      </c>
      <c r="AA33" s="19"/>
      <c r="AB33" s="1" t="e">
        <f t="shared" si="6"/>
        <v>#DIV/0!</v>
      </c>
      <c r="AC33" s="11" t="e">
        <f t="shared" si="5"/>
        <v>#DIV/0!</v>
      </c>
      <c r="AD33" s="11">
        <v>0</v>
      </c>
      <c r="AE33" s="11">
        <v>0</v>
      </c>
      <c r="AF33" s="11">
        <v>0</v>
      </c>
      <c r="AG33" s="11">
        <v>0</v>
      </c>
      <c r="AH33" s="11">
        <v>0</v>
      </c>
      <c r="AI33" s="11">
        <v>0</v>
      </c>
      <c r="AJ33" s="11">
        <v>0</v>
      </c>
      <c r="AK33" s="11">
        <v>0</v>
      </c>
      <c r="AL33" s="11"/>
      <c r="AM33" s="1">
        <f t="shared" si="7"/>
        <v>0</v>
      </c>
      <c r="AN33" s="1"/>
      <c r="AO33" s="1"/>
      <c r="AP33" s="1"/>
      <c r="AQ33" s="1"/>
      <c r="AR33" s="1"/>
      <c r="AS33" s="1"/>
      <c r="AT33" s="1"/>
      <c r="AU33" s="1"/>
      <c r="AV33" s="1"/>
      <c r="AW33" s="1"/>
    </row>
    <row r="34" spans="1:49" x14ac:dyDescent="0.25">
      <c r="A34" s="1" t="s">
        <v>82</v>
      </c>
      <c r="B34" s="1" t="s">
        <v>40</v>
      </c>
      <c r="C34" s="1">
        <v>798.16300000000001</v>
      </c>
      <c r="D34" s="1">
        <v>7705.2359999999999</v>
      </c>
      <c r="E34" s="1">
        <v>4963.1350000000002</v>
      </c>
      <c r="F34" s="1">
        <v>227.994</v>
      </c>
      <c r="G34" s="7">
        <v>1</v>
      </c>
      <c r="H34" s="1">
        <v>40</v>
      </c>
      <c r="I34" s="10" t="s">
        <v>55</v>
      </c>
      <c r="J34" s="1"/>
      <c r="K34" s="1">
        <v>8338.76</v>
      </c>
      <c r="L34" s="1">
        <f t="shared" si="2"/>
        <v>-3375.625</v>
      </c>
      <c r="M34" s="1">
        <f t="shared" si="3"/>
        <v>2139.1750000000002</v>
      </c>
      <c r="N34" s="1">
        <v>2823.96</v>
      </c>
      <c r="O34" s="1">
        <v>500</v>
      </c>
      <c r="P34" s="1"/>
      <c r="Q34" s="1">
        <v>954</v>
      </c>
      <c r="R34" s="1"/>
      <c r="S34" s="1">
        <v>172</v>
      </c>
      <c r="T34" s="1"/>
      <c r="U34" s="1">
        <v>600</v>
      </c>
      <c r="V34" s="1"/>
      <c r="W34" s="1">
        <v>0</v>
      </c>
      <c r="X34" s="1">
        <f t="shared" si="4"/>
        <v>427.83500000000004</v>
      </c>
      <c r="Y34" s="5">
        <v>1200</v>
      </c>
      <c r="Z34" s="22">
        <v>2100</v>
      </c>
      <c r="AA34" s="19"/>
      <c r="AB34" s="1">
        <f t="shared" si="6"/>
        <v>10.644276414973062</v>
      </c>
      <c r="AC34" s="1">
        <f t="shared" si="5"/>
        <v>5.7358420886556729</v>
      </c>
      <c r="AD34" s="1">
        <v>330.09280000000001</v>
      </c>
      <c r="AE34" s="1">
        <v>221.54920000000001</v>
      </c>
      <c r="AF34" s="1">
        <v>91.550399999999996</v>
      </c>
      <c r="AG34" s="1">
        <v>656.28039999999999</v>
      </c>
      <c r="AH34" s="1">
        <v>656.84399999999994</v>
      </c>
      <c r="AI34" s="1">
        <v>328.15300000000002</v>
      </c>
      <c r="AJ34" s="1">
        <v>-0.84619999999999995</v>
      </c>
      <c r="AK34" s="1">
        <v>8.5924000000000014</v>
      </c>
      <c r="AL34" s="9" t="s">
        <v>80</v>
      </c>
      <c r="AM34" s="1">
        <f t="shared" si="7"/>
        <v>2100</v>
      </c>
      <c r="AN34" s="1"/>
      <c r="AO34" s="1"/>
      <c r="AP34" s="1"/>
      <c r="AQ34" s="1"/>
      <c r="AR34" s="1"/>
      <c r="AS34" s="1"/>
      <c r="AT34" s="1"/>
      <c r="AU34" s="1"/>
      <c r="AV34" s="1"/>
      <c r="AW34" s="1"/>
    </row>
    <row r="35" spans="1:49" x14ac:dyDescent="0.25">
      <c r="A35" s="11" t="s">
        <v>83</v>
      </c>
      <c r="B35" s="11" t="s">
        <v>40</v>
      </c>
      <c r="C35" s="11"/>
      <c r="D35" s="11"/>
      <c r="E35" s="11"/>
      <c r="F35" s="11"/>
      <c r="G35" s="12">
        <v>0</v>
      </c>
      <c r="H35" s="11"/>
      <c r="I35" s="11" t="s">
        <v>41</v>
      </c>
      <c r="J35" s="11"/>
      <c r="K35" s="11"/>
      <c r="L35" s="11">
        <f t="shared" si="2"/>
        <v>0</v>
      </c>
      <c r="M35" s="11">
        <f t="shared" si="3"/>
        <v>0</v>
      </c>
      <c r="N35" s="11"/>
      <c r="O35" s="11"/>
      <c r="P35" s="11"/>
      <c r="Q35" s="11"/>
      <c r="R35" s="11"/>
      <c r="S35" s="11"/>
      <c r="T35" s="11"/>
      <c r="U35" s="11"/>
      <c r="V35" s="11"/>
      <c r="W35" s="11">
        <v>0</v>
      </c>
      <c r="X35" s="11">
        <f t="shared" si="4"/>
        <v>0</v>
      </c>
      <c r="Y35" s="13"/>
      <c r="Z35" s="5">
        <f t="shared" si="9"/>
        <v>0</v>
      </c>
      <c r="AA35" s="19"/>
      <c r="AB35" s="1" t="e">
        <f t="shared" si="6"/>
        <v>#DIV/0!</v>
      </c>
      <c r="AC35" s="11" t="e">
        <f t="shared" si="5"/>
        <v>#DIV/0!</v>
      </c>
      <c r="AD35" s="11">
        <v>0</v>
      </c>
      <c r="AE35" s="11">
        <v>0</v>
      </c>
      <c r="AF35" s="11">
        <v>0</v>
      </c>
      <c r="AG35" s="11">
        <v>0</v>
      </c>
      <c r="AH35" s="11">
        <v>0</v>
      </c>
      <c r="AI35" s="11">
        <v>0</v>
      </c>
      <c r="AJ35" s="11">
        <v>0</v>
      </c>
      <c r="AK35" s="11">
        <v>0</v>
      </c>
      <c r="AL35" s="11" t="s">
        <v>66</v>
      </c>
      <c r="AM35" s="1">
        <f t="shared" si="7"/>
        <v>0</v>
      </c>
      <c r="AN35" s="1"/>
      <c r="AO35" s="1"/>
      <c r="AP35" s="1"/>
      <c r="AQ35" s="1"/>
      <c r="AR35" s="1"/>
      <c r="AS35" s="1"/>
      <c r="AT35" s="1"/>
      <c r="AU35" s="1"/>
      <c r="AV35" s="1"/>
      <c r="AW35" s="1"/>
    </row>
    <row r="36" spans="1:49" x14ac:dyDescent="0.25">
      <c r="A36" s="11" t="s">
        <v>84</v>
      </c>
      <c r="B36" s="11" t="s">
        <v>40</v>
      </c>
      <c r="C36" s="11"/>
      <c r="D36" s="11"/>
      <c r="E36" s="11"/>
      <c r="F36" s="11"/>
      <c r="G36" s="12">
        <v>0</v>
      </c>
      <c r="H36" s="11"/>
      <c r="I36" s="11" t="s">
        <v>41</v>
      </c>
      <c r="J36" s="11"/>
      <c r="K36" s="11"/>
      <c r="L36" s="11">
        <f t="shared" si="2"/>
        <v>0</v>
      </c>
      <c r="M36" s="11">
        <f t="shared" si="3"/>
        <v>0</v>
      </c>
      <c r="N36" s="11"/>
      <c r="O36" s="11"/>
      <c r="P36" s="11"/>
      <c r="Q36" s="11"/>
      <c r="R36" s="11"/>
      <c r="S36" s="11"/>
      <c r="T36" s="11"/>
      <c r="U36" s="11"/>
      <c r="V36" s="11"/>
      <c r="W36" s="11">
        <v>0</v>
      </c>
      <c r="X36" s="11">
        <f t="shared" si="4"/>
        <v>0</v>
      </c>
      <c r="Y36" s="13"/>
      <c r="Z36" s="5">
        <f t="shared" si="9"/>
        <v>0</v>
      </c>
      <c r="AA36" s="19"/>
      <c r="AB36" s="1" t="e">
        <f t="shared" si="6"/>
        <v>#DIV/0!</v>
      </c>
      <c r="AC36" s="11" t="e">
        <f t="shared" si="5"/>
        <v>#DIV/0!</v>
      </c>
      <c r="AD36" s="11">
        <v>0</v>
      </c>
      <c r="AE36" s="11">
        <v>0</v>
      </c>
      <c r="AF36" s="11">
        <v>0</v>
      </c>
      <c r="AG36" s="11">
        <v>0</v>
      </c>
      <c r="AH36" s="11">
        <v>0</v>
      </c>
      <c r="AI36" s="11">
        <v>0</v>
      </c>
      <c r="AJ36" s="11">
        <v>0</v>
      </c>
      <c r="AK36" s="11">
        <v>0</v>
      </c>
      <c r="AL36" s="11" t="s">
        <v>66</v>
      </c>
      <c r="AM36" s="1">
        <f t="shared" si="7"/>
        <v>0</v>
      </c>
      <c r="AN36" s="1"/>
      <c r="AO36" s="1"/>
      <c r="AP36" s="1"/>
      <c r="AQ36" s="1"/>
      <c r="AR36" s="1"/>
      <c r="AS36" s="1"/>
      <c r="AT36" s="1"/>
      <c r="AU36" s="1"/>
      <c r="AV36" s="1"/>
      <c r="AW36" s="1"/>
    </row>
    <row r="37" spans="1:49" x14ac:dyDescent="0.25">
      <c r="A37" s="11" t="s">
        <v>85</v>
      </c>
      <c r="B37" s="11" t="s">
        <v>40</v>
      </c>
      <c r="C37" s="11"/>
      <c r="D37" s="11"/>
      <c r="E37" s="11"/>
      <c r="F37" s="11"/>
      <c r="G37" s="12">
        <v>0</v>
      </c>
      <c r="H37" s="11"/>
      <c r="I37" s="11" t="s">
        <v>41</v>
      </c>
      <c r="J37" s="11"/>
      <c r="K37" s="11"/>
      <c r="L37" s="11">
        <f t="shared" si="2"/>
        <v>0</v>
      </c>
      <c r="M37" s="11">
        <f t="shared" si="3"/>
        <v>0</v>
      </c>
      <c r="N37" s="11"/>
      <c r="O37" s="11"/>
      <c r="P37" s="11"/>
      <c r="Q37" s="11"/>
      <c r="R37" s="11"/>
      <c r="S37" s="11"/>
      <c r="T37" s="11"/>
      <c r="U37" s="11"/>
      <c r="V37" s="11"/>
      <c r="W37" s="11">
        <v>0</v>
      </c>
      <c r="X37" s="11">
        <f t="shared" si="4"/>
        <v>0</v>
      </c>
      <c r="Y37" s="13"/>
      <c r="Z37" s="5">
        <f t="shared" si="9"/>
        <v>0</v>
      </c>
      <c r="AA37" s="19"/>
      <c r="AB37" s="1" t="e">
        <f t="shared" si="6"/>
        <v>#DIV/0!</v>
      </c>
      <c r="AC37" s="11" t="e">
        <f t="shared" si="5"/>
        <v>#DIV/0!</v>
      </c>
      <c r="AD37" s="11">
        <v>0</v>
      </c>
      <c r="AE37" s="11">
        <v>0</v>
      </c>
      <c r="AF37" s="11">
        <v>0</v>
      </c>
      <c r="AG37" s="11">
        <v>0</v>
      </c>
      <c r="AH37" s="11">
        <v>0</v>
      </c>
      <c r="AI37" s="11">
        <v>0</v>
      </c>
      <c r="AJ37" s="11">
        <v>0</v>
      </c>
      <c r="AK37" s="11">
        <v>0</v>
      </c>
      <c r="AL37" s="11" t="s">
        <v>66</v>
      </c>
      <c r="AM37" s="1">
        <f t="shared" si="7"/>
        <v>0</v>
      </c>
      <c r="AN37" s="1"/>
      <c r="AO37" s="1"/>
      <c r="AP37" s="1"/>
      <c r="AQ37" s="1"/>
      <c r="AR37" s="1"/>
      <c r="AS37" s="1"/>
      <c r="AT37" s="1"/>
      <c r="AU37" s="1"/>
      <c r="AV37" s="1"/>
      <c r="AW37" s="1"/>
    </row>
    <row r="38" spans="1:49" x14ac:dyDescent="0.25">
      <c r="A38" s="11" t="s">
        <v>86</v>
      </c>
      <c r="B38" s="11" t="s">
        <v>40</v>
      </c>
      <c r="C38" s="11"/>
      <c r="D38" s="11"/>
      <c r="E38" s="11"/>
      <c r="F38" s="11"/>
      <c r="G38" s="12">
        <v>0</v>
      </c>
      <c r="H38" s="11"/>
      <c r="I38" s="11" t="s">
        <v>41</v>
      </c>
      <c r="J38" s="11"/>
      <c r="K38" s="11"/>
      <c r="L38" s="11">
        <f t="shared" ref="L38:L69" si="10">E38-K38</f>
        <v>0</v>
      </c>
      <c r="M38" s="11">
        <f t="shared" ref="M38:M69" si="11">E38-N38</f>
        <v>0</v>
      </c>
      <c r="N38" s="11"/>
      <c r="O38" s="11"/>
      <c r="P38" s="11"/>
      <c r="Q38" s="11"/>
      <c r="R38" s="11"/>
      <c r="S38" s="11"/>
      <c r="T38" s="11"/>
      <c r="U38" s="11"/>
      <c r="V38" s="11"/>
      <c r="W38" s="11">
        <v>0</v>
      </c>
      <c r="X38" s="11">
        <f t="shared" ref="X38:X69" si="12">M38/5</f>
        <v>0</v>
      </c>
      <c r="Y38" s="13"/>
      <c r="Z38" s="5">
        <f t="shared" si="9"/>
        <v>0</v>
      </c>
      <c r="AA38" s="19"/>
      <c r="AB38" s="1" t="e">
        <f t="shared" si="6"/>
        <v>#DIV/0!</v>
      </c>
      <c r="AC38" s="11" t="e">
        <f t="shared" ref="AC38:AC69" si="13">(F38+O38+P38+Q38+R38+S38+T38+U38+V38+W38)/X38</f>
        <v>#DIV/0!</v>
      </c>
      <c r="AD38" s="11">
        <v>0</v>
      </c>
      <c r="AE38" s="11">
        <v>0</v>
      </c>
      <c r="AF38" s="11">
        <v>0</v>
      </c>
      <c r="AG38" s="11">
        <v>0</v>
      </c>
      <c r="AH38" s="11">
        <v>0</v>
      </c>
      <c r="AI38" s="11">
        <v>0</v>
      </c>
      <c r="AJ38" s="11">
        <v>0</v>
      </c>
      <c r="AK38" s="11">
        <v>0</v>
      </c>
      <c r="AL38" s="11" t="s">
        <v>66</v>
      </c>
      <c r="AM38" s="1">
        <f t="shared" si="7"/>
        <v>0</v>
      </c>
      <c r="AN38" s="1"/>
      <c r="AO38" s="1"/>
      <c r="AP38" s="1"/>
      <c r="AQ38" s="1"/>
      <c r="AR38" s="1"/>
      <c r="AS38" s="1"/>
      <c r="AT38" s="1"/>
      <c r="AU38" s="1"/>
      <c r="AV38" s="1"/>
      <c r="AW38" s="1"/>
    </row>
    <row r="39" spans="1:49" x14ac:dyDescent="0.25">
      <c r="A39" s="1" t="s">
        <v>87</v>
      </c>
      <c r="B39" s="1" t="s">
        <v>46</v>
      </c>
      <c r="C39" s="1">
        <v>3731</v>
      </c>
      <c r="D39" s="1">
        <v>3486</v>
      </c>
      <c r="E39" s="1">
        <v>6910</v>
      </c>
      <c r="F39" s="1">
        <v>-281</v>
      </c>
      <c r="G39" s="7">
        <v>0.4</v>
      </c>
      <c r="H39" s="1">
        <v>45</v>
      </c>
      <c r="I39" s="10" t="s">
        <v>55</v>
      </c>
      <c r="J39" s="1"/>
      <c r="K39" s="1">
        <v>8043</v>
      </c>
      <c r="L39" s="1">
        <f t="shared" si="10"/>
        <v>-1133</v>
      </c>
      <c r="M39" s="1">
        <f t="shared" si="11"/>
        <v>6688</v>
      </c>
      <c r="N39" s="1">
        <v>222</v>
      </c>
      <c r="O39" s="1">
        <v>500</v>
      </c>
      <c r="P39" s="1">
        <v>-505</v>
      </c>
      <c r="Q39" s="1"/>
      <c r="R39" s="1"/>
      <c r="S39" s="1">
        <v>792.5</v>
      </c>
      <c r="T39" s="1"/>
      <c r="U39" s="1">
        <v>1207.5</v>
      </c>
      <c r="V39" s="1"/>
      <c r="W39" s="1">
        <v>1000</v>
      </c>
      <c r="X39" s="1">
        <f t="shared" si="12"/>
        <v>1337.6</v>
      </c>
      <c r="Y39" s="5">
        <v>2000</v>
      </c>
      <c r="Z39" s="5">
        <f>Y39*1.3</f>
        <v>2600</v>
      </c>
      <c r="AA39" s="19"/>
      <c r="AB39" s="1">
        <f t="shared" si="6"/>
        <v>3.972787081339713</v>
      </c>
      <c r="AC39" s="1">
        <f t="shared" si="13"/>
        <v>2.0290071770334928</v>
      </c>
      <c r="AD39" s="1">
        <v>1183.5999999999999</v>
      </c>
      <c r="AE39" s="1">
        <v>579.79999999999995</v>
      </c>
      <c r="AF39" s="1">
        <v>402.6</v>
      </c>
      <c r="AG39" s="1">
        <v>815</v>
      </c>
      <c r="AH39" s="1">
        <v>779</v>
      </c>
      <c r="AI39" s="1">
        <v>633.6</v>
      </c>
      <c r="AJ39" s="1">
        <v>113.2</v>
      </c>
      <c r="AK39" s="1">
        <v>461.2</v>
      </c>
      <c r="AL39" s="1" t="s">
        <v>88</v>
      </c>
      <c r="AM39" s="1">
        <f t="shared" si="7"/>
        <v>1040</v>
      </c>
      <c r="AN39" s="1"/>
      <c r="AO39" s="1"/>
      <c r="AP39" s="1"/>
      <c r="AQ39" s="1"/>
      <c r="AR39" s="1"/>
      <c r="AS39" s="1"/>
      <c r="AT39" s="1"/>
      <c r="AU39" s="1"/>
      <c r="AV39" s="1"/>
      <c r="AW39" s="1"/>
    </row>
    <row r="40" spans="1:49" x14ac:dyDescent="0.25">
      <c r="A40" s="1" t="s">
        <v>89</v>
      </c>
      <c r="B40" s="1" t="s">
        <v>46</v>
      </c>
      <c r="C40" s="1">
        <v>884.75</v>
      </c>
      <c r="D40" s="1">
        <v>951</v>
      </c>
      <c r="E40" s="1">
        <v>1554</v>
      </c>
      <c r="F40" s="1">
        <v>225.75</v>
      </c>
      <c r="G40" s="7">
        <v>0.45</v>
      </c>
      <c r="H40" s="1">
        <v>50</v>
      </c>
      <c r="I40" s="9" t="s">
        <v>48</v>
      </c>
      <c r="J40" s="1"/>
      <c r="K40" s="1">
        <v>2492</v>
      </c>
      <c r="L40" s="1">
        <f t="shared" si="10"/>
        <v>-938</v>
      </c>
      <c r="M40" s="1">
        <f t="shared" si="11"/>
        <v>1554</v>
      </c>
      <c r="N40" s="1"/>
      <c r="O40" s="1"/>
      <c r="P40" s="1"/>
      <c r="Q40" s="1"/>
      <c r="R40" s="1"/>
      <c r="S40" s="1"/>
      <c r="T40" s="1"/>
      <c r="U40" s="1"/>
      <c r="V40" s="1"/>
      <c r="W40" s="1">
        <v>200</v>
      </c>
      <c r="X40" s="1">
        <f t="shared" si="12"/>
        <v>310.8</v>
      </c>
      <c r="Y40" s="5">
        <v>1300</v>
      </c>
      <c r="Z40" s="5">
        <v>600</v>
      </c>
      <c r="AA40" s="19" t="str">
        <f>VLOOKUP(A40,[1]Лист1!$A:$B,2,0)</f>
        <v>уменьшить до 600 шт</v>
      </c>
      <c r="AB40" s="1">
        <f t="shared" si="6"/>
        <v>3.3003539253539254</v>
      </c>
      <c r="AC40" s="1">
        <f t="shared" si="13"/>
        <v>1.3698519948519947</v>
      </c>
      <c r="AD40" s="1">
        <v>224.2</v>
      </c>
      <c r="AE40" s="1">
        <v>94</v>
      </c>
      <c r="AF40" s="1">
        <v>102.6</v>
      </c>
      <c r="AG40" s="1">
        <v>147</v>
      </c>
      <c r="AH40" s="1">
        <v>147.6</v>
      </c>
      <c r="AI40" s="1">
        <v>112.6</v>
      </c>
      <c r="AJ40" s="1">
        <v>71</v>
      </c>
      <c r="AK40" s="1">
        <v>70.400000000000006</v>
      </c>
      <c r="AL40" s="1" t="s">
        <v>90</v>
      </c>
      <c r="AM40" s="1">
        <f t="shared" si="7"/>
        <v>270</v>
      </c>
      <c r="AN40" s="1"/>
      <c r="AO40" s="1"/>
      <c r="AP40" s="1"/>
      <c r="AQ40" s="1"/>
      <c r="AR40" s="1"/>
      <c r="AS40" s="1"/>
      <c r="AT40" s="1"/>
      <c r="AU40" s="1"/>
      <c r="AV40" s="1"/>
      <c r="AW40" s="1"/>
    </row>
    <row r="41" spans="1:49" x14ac:dyDescent="0.25">
      <c r="A41" s="1" t="s">
        <v>91</v>
      </c>
      <c r="B41" s="1" t="s">
        <v>46</v>
      </c>
      <c r="C41" s="1">
        <v>21</v>
      </c>
      <c r="D41" s="1">
        <v>488</v>
      </c>
      <c r="E41" s="1">
        <v>276</v>
      </c>
      <c r="F41" s="1">
        <v>193</v>
      </c>
      <c r="G41" s="7">
        <v>0.4</v>
      </c>
      <c r="H41" s="1">
        <v>45</v>
      </c>
      <c r="I41" s="10" t="s">
        <v>55</v>
      </c>
      <c r="J41" s="1"/>
      <c r="K41" s="1">
        <v>1244</v>
      </c>
      <c r="L41" s="1">
        <f t="shared" si="10"/>
        <v>-968</v>
      </c>
      <c r="M41" s="1">
        <f t="shared" si="11"/>
        <v>276</v>
      </c>
      <c r="N41" s="1"/>
      <c r="O41" s="1">
        <v>100</v>
      </c>
      <c r="P41" s="1"/>
      <c r="Q41" s="1"/>
      <c r="R41" s="1"/>
      <c r="S41" s="1">
        <v>85</v>
      </c>
      <c r="T41" s="1"/>
      <c r="U41" s="1">
        <v>165</v>
      </c>
      <c r="V41" s="1"/>
      <c r="W41" s="1">
        <v>300</v>
      </c>
      <c r="X41" s="1">
        <f t="shared" si="12"/>
        <v>55.2</v>
      </c>
      <c r="Y41" s="5">
        <v>300</v>
      </c>
      <c r="Z41" s="5">
        <f t="shared" ref="Z41:Z43" si="14">Y41*1.3</f>
        <v>390</v>
      </c>
      <c r="AA41" s="19"/>
      <c r="AB41" s="1">
        <f t="shared" si="6"/>
        <v>22.336956521739129</v>
      </c>
      <c r="AC41" s="1">
        <f t="shared" si="13"/>
        <v>15.271739130434781</v>
      </c>
      <c r="AD41" s="1">
        <v>16.600000000000001</v>
      </c>
      <c r="AE41" s="1">
        <v>46.2</v>
      </c>
      <c r="AF41" s="1">
        <v>45.4</v>
      </c>
      <c r="AG41" s="1">
        <v>148.4</v>
      </c>
      <c r="AH41" s="1">
        <v>148.4</v>
      </c>
      <c r="AI41" s="1">
        <v>122.2</v>
      </c>
      <c r="AJ41" s="1">
        <v>91.8</v>
      </c>
      <c r="AK41" s="1">
        <v>163.6</v>
      </c>
      <c r="AL41" s="1"/>
      <c r="AM41" s="1">
        <f t="shared" si="7"/>
        <v>156</v>
      </c>
      <c r="AN41" s="1"/>
      <c r="AO41" s="1"/>
      <c r="AP41" s="1"/>
      <c r="AQ41" s="1"/>
      <c r="AR41" s="1"/>
      <c r="AS41" s="1"/>
      <c r="AT41" s="1"/>
      <c r="AU41" s="1"/>
      <c r="AV41" s="1"/>
      <c r="AW41" s="1"/>
    </row>
    <row r="42" spans="1:49" x14ac:dyDescent="0.25">
      <c r="A42" s="1" t="s">
        <v>92</v>
      </c>
      <c r="B42" s="1" t="s">
        <v>46</v>
      </c>
      <c r="C42" s="1">
        <v>-13</v>
      </c>
      <c r="D42" s="1"/>
      <c r="E42" s="1">
        <v>-1</v>
      </c>
      <c r="F42" s="1">
        <v>-13</v>
      </c>
      <c r="G42" s="7">
        <v>0.4</v>
      </c>
      <c r="H42" s="1">
        <v>40</v>
      </c>
      <c r="I42" s="10" t="s">
        <v>55</v>
      </c>
      <c r="J42" s="1"/>
      <c r="K42" s="1">
        <v>519</v>
      </c>
      <c r="L42" s="1">
        <f t="shared" si="10"/>
        <v>-520</v>
      </c>
      <c r="M42" s="1">
        <f t="shared" si="11"/>
        <v>-1</v>
      </c>
      <c r="N42" s="1"/>
      <c r="O42" s="1">
        <v>100</v>
      </c>
      <c r="P42" s="1"/>
      <c r="Q42" s="1"/>
      <c r="R42" s="1"/>
      <c r="S42" s="1"/>
      <c r="T42" s="1"/>
      <c r="U42" s="1">
        <v>200</v>
      </c>
      <c r="V42" s="1"/>
      <c r="W42" s="1">
        <v>200</v>
      </c>
      <c r="X42" s="1">
        <f t="shared" si="12"/>
        <v>-0.2</v>
      </c>
      <c r="Y42" s="5">
        <v>200</v>
      </c>
      <c r="Z42" s="5">
        <f t="shared" si="14"/>
        <v>260</v>
      </c>
      <c r="AA42" s="19"/>
      <c r="AB42" s="1">
        <f t="shared" si="6"/>
        <v>-3735</v>
      </c>
      <c r="AC42" s="1">
        <f t="shared" si="13"/>
        <v>-2435</v>
      </c>
      <c r="AD42" s="1">
        <v>-0.2</v>
      </c>
      <c r="AE42" s="1">
        <v>0</v>
      </c>
      <c r="AF42" s="1">
        <v>-0.4</v>
      </c>
      <c r="AG42" s="1">
        <v>2.6</v>
      </c>
      <c r="AH42" s="1">
        <v>2.6</v>
      </c>
      <c r="AI42" s="1">
        <v>46</v>
      </c>
      <c r="AJ42" s="1">
        <v>64.400000000000006</v>
      </c>
      <c r="AK42" s="1">
        <v>125</v>
      </c>
      <c r="AL42" s="1"/>
      <c r="AM42" s="1">
        <f t="shared" si="7"/>
        <v>104</v>
      </c>
      <c r="AN42" s="1"/>
      <c r="AO42" s="1"/>
      <c r="AP42" s="1"/>
      <c r="AQ42" s="1"/>
      <c r="AR42" s="1"/>
      <c r="AS42" s="1"/>
      <c r="AT42" s="1"/>
      <c r="AU42" s="1"/>
      <c r="AV42" s="1"/>
      <c r="AW42" s="1"/>
    </row>
    <row r="43" spans="1:49" x14ac:dyDescent="0.25">
      <c r="A43" s="1" t="s">
        <v>93</v>
      </c>
      <c r="B43" s="1" t="s">
        <v>40</v>
      </c>
      <c r="C43" s="1">
        <v>4.282</v>
      </c>
      <c r="D43" s="1">
        <v>127.914</v>
      </c>
      <c r="E43" s="1">
        <v>24.196999999999999</v>
      </c>
      <c r="F43" s="1">
        <v>75.61</v>
      </c>
      <c r="G43" s="7">
        <v>1</v>
      </c>
      <c r="H43" s="1"/>
      <c r="I43" s="10" t="s">
        <v>55</v>
      </c>
      <c r="J43" s="1"/>
      <c r="K43" s="1">
        <v>56.5</v>
      </c>
      <c r="L43" s="1">
        <f t="shared" si="10"/>
        <v>-32.302999999999997</v>
      </c>
      <c r="M43" s="1">
        <f t="shared" si="11"/>
        <v>24.196999999999999</v>
      </c>
      <c r="N43" s="1"/>
      <c r="O43" s="1">
        <v>50</v>
      </c>
      <c r="P43" s="1"/>
      <c r="Q43" s="1"/>
      <c r="R43" s="1"/>
      <c r="S43" s="1"/>
      <c r="T43" s="1"/>
      <c r="U43" s="1">
        <v>50</v>
      </c>
      <c r="V43" s="1"/>
      <c r="W43" s="1">
        <v>0</v>
      </c>
      <c r="X43" s="1">
        <f t="shared" si="12"/>
        <v>4.8393999999999995</v>
      </c>
      <c r="Y43" s="5"/>
      <c r="Z43" s="5">
        <f t="shared" si="14"/>
        <v>0</v>
      </c>
      <c r="AA43" s="19"/>
      <c r="AB43" s="1">
        <f t="shared" si="6"/>
        <v>36.287556308633306</v>
      </c>
      <c r="AC43" s="1">
        <f t="shared" si="13"/>
        <v>36.287556308633306</v>
      </c>
      <c r="AD43" s="1">
        <v>5.6033999999999997</v>
      </c>
      <c r="AE43" s="1">
        <v>14.360799999999999</v>
      </c>
      <c r="AF43" s="1">
        <v>9.3544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1" t="s">
        <v>94</v>
      </c>
      <c r="AM43" s="1">
        <f t="shared" si="7"/>
        <v>0</v>
      </c>
      <c r="AN43" s="1"/>
      <c r="AO43" s="1"/>
      <c r="AP43" s="1"/>
      <c r="AQ43" s="1"/>
      <c r="AR43" s="1"/>
      <c r="AS43" s="1"/>
      <c r="AT43" s="1"/>
      <c r="AU43" s="1"/>
      <c r="AV43" s="1"/>
      <c r="AW43" s="1"/>
    </row>
    <row r="44" spans="1:49" x14ac:dyDescent="0.25">
      <c r="A44" s="1" t="s">
        <v>95</v>
      </c>
      <c r="B44" s="1" t="s">
        <v>46</v>
      </c>
      <c r="C44" s="1">
        <v>202</v>
      </c>
      <c r="D44" s="1">
        <v>345</v>
      </c>
      <c r="E44" s="1">
        <v>215</v>
      </c>
      <c r="F44" s="1">
        <v>282</v>
      </c>
      <c r="G44" s="7">
        <v>0.1</v>
      </c>
      <c r="H44" s="1">
        <v>731</v>
      </c>
      <c r="I44" s="1" t="s">
        <v>41</v>
      </c>
      <c r="J44" s="1"/>
      <c r="K44" s="1">
        <v>265</v>
      </c>
      <c r="L44" s="1">
        <f t="shared" si="10"/>
        <v>-50</v>
      </c>
      <c r="M44" s="1">
        <f t="shared" si="11"/>
        <v>215</v>
      </c>
      <c r="N44" s="1"/>
      <c r="O44" s="1"/>
      <c r="P44" s="1"/>
      <c r="Q44" s="1"/>
      <c r="R44" s="1"/>
      <c r="S44" s="1"/>
      <c r="T44" s="1"/>
      <c r="U44" s="1"/>
      <c r="V44" s="1"/>
      <c r="W44" s="1">
        <v>0</v>
      </c>
      <c r="X44" s="1">
        <f t="shared" si="12"/>
        <v>43</v>
      </c>
      <c r="Y44" s="5">
        <f t="shared" ref="Y44" si="15">11*X44-W44-V44-U44-T44-S44-R44-Q44-P44-O44-F44</f>
        <v>191</v>
      </c>
      <c r="Z44" s="5">
        <f>Y44+$Z$1*X44</f>
        <v>363</v>
      </c>
      <c r="AA44" s="19"/>
      <c r="AB44" s="1">
        <f t="shared" si="6"/>
        <v>15</v>
      </c>
      <c r="AC44" s="1">
        <f t="shared" si="13"/>
        <v>6.558139534883721</v>
      </c>
      <c r="AD44" s="1">
        <v>24</v>
      </c>
      <c r="AE44" s="1">
        <v>35.6</v>
      </c>
      <c r="AF44" s="1">
        <v>42.4</v>
      </c>
      <c r="AG44" s="1">
        <v>42.4</v>
      </c>
      <c r="AH44" s="1">
        <v>42.4</v>
      </c>
      <c r="AI44" s="1">
        <v>41.4</v>
      </c>
      <c r="AJ44" s="1">
        <v>35</v>
      </c>
      <c r="AK44" s="1">
        <v>35.4</v>
      </c>
      <c r="AL44" s="1"/>
      <c r="AM44" s="1">
        <f t="shared" si="7"/>
        <v>36</v>
      </c>
      <c r="AN44" s="1"/>
      <c r="AO44" s="1"/>
      <c r="AP44" s="1"/>
      <c r="AQ44" s="1"/>
      <c r="AR44" s="1"/>
      <c r="AS44" s="1"/>
      <c r="AT44" s="1"/>
      <c r="AU44" s="1"/>
      <c r="AV44" s="1"/>
      <c r="AW44" s="1"/>
    </row>
    <row r="45" spans="1:49" x14ac:dyDescent="0.25">
      <c r="A45" s="1" t="s">
        <v>96</v>
      </c>
      <c r="B45" s="1" t="s">
        <v>46</v>
      </c>
      <c r="C45" s="1">
        <v>-2</v>
      </c>
      <c r="D45" s="1"/>
      <c r="E45" s="1">
        <v>-4</v>
      </c>
      <c r="F45" s="1">
        <v>-2</v>
      </c>
      <c r="G45" s="7">
        <v>0.35</v>
      </c>
      <c r="H45" s="1">
        <v>40</v>
      </c>
      <c r="I45" s="10" t="s">
        <v>55</v>
      </c>
      <c r="J45" s="1"/>
      <c r="K45" s="1"/>
      <c r="L45" s="1">
        <f t="shared" si="10"/>
        <v>-4</v>
      </c>
      <c r="M45" s="1">
        <f t="shared" si="11"/>
        <v>-4</v>
      </c>
      <c r="N45" s="1"/>
      <c r="O45" s="1"/>
      <c r="P45" s="1"/>
      <c r="Q45" s="1"/>
      <c r="R45" s="1"/>
      <c r="S45" s="1"/>
      <c r="T45" s="1"/>
      <c r="U45" s="1">
        <v>40</v>
      </c>
      <c r="V45" s="1"/>
      <c r="W45" s="1">
        <v>40</v>
      </c>
      <c r="X45" s="1">
        <f t="shared" si="12"/>
        <v>-0.8</v>
      </c>
      <c r="Y45" s="5">
        <v>40</v>
      </c>
      <c r="Z45" s="5">
        <f>Y45*1.3</f>
        <v>52</v>
      </c>
      <c r="AA45" s="19"/>
      <c r="AB45" s="1">
        <f t="shared" si="6"/>
        <v>-162.5</v>
      </c>
      <c r="AC45" s="1">
        <f t="shared" si="13"/>
        <v>-97.5</v>
      </c>
      <c r="AD45" s="1">
        <v>-1.8</v>
      </c>
      <c r="AE45" s="1">
        <v>-2.4</v>
      </c>
      <c r="AF45" s="1">
        <v>-1.2</v>
      </c>
      <c r="AG45" s="1">
        <v>4.2</v>
      </c>
      <c r="AH45" s="1">
        <v>4.2</v>
      </c>
      <c r="AI45" s="1">
        <v>15.8</v>
      </c>
      <c r="AJ45" s="1">
        <v>18.2</v>
      </c>
      <c r="AK45" s="1">
        <v>15.8</v>
      </c>
      <c r="AL45" s="1"/>
      <c r="AM45" s="1">
        <f t="shared" si="7"/>
        <v>18</v>
      </c>
      <c r="AN45" s="1"/>
      <c r="AO45" s="1"/>
      <c r="AP45" s="1"/>
      <c r="AQ45" s="1"/>
      <c r="AR45" s="1"/>
      <c r="AS45" s="1"/>
      <c r="AT45" s="1"/>
      <c r="AU45" s="1"/>
      <c r="AV45" s="1"/>
      <c r="AW45" s="1"/>
    </row>
    <row r="46" spans="1:49" x14ac:dyDescent="0.25">
      <c r="A46" s="1" t="s">
        <v>97</v>
      </c>
      <c r="B46" s="1" t="s">
        <v>40</v>
      </c>
      <c r="C46" s="1">
        <v>19.992999999999999</v>
      </c>
      <c r="D46" s="1">
        <v>21.756</v>
      </c>
      <c r="E46" s="1">
        <v>15.115</v>
      </c>
      <c r="F46" s="1">
        <v>19.183</v>
      </c>
      <c r="G46" s="7">
        <v>1</v>
      </c>
      <c r="H46" s="1">
        <v>40</v>
      </c>
      <c r="I46" s="1" t="s">
        <v>41</v>
      </c>
      <c r="J46" s="1"/>
      <c r="K46" s="1">
        <v>31.8</v>
      </c>
      <c r="L46" s="1">
        <f t="shared" si="10"/>
        <v>-16.685000000000002</v>
      </c>
      <c r="M46" s="1">
        <f t="shared" si="11"/>
        <v>15.115</v>
      </c>
      <c r="N46" s="1"/>
      <c r="O46" s="1"/>
      <c r="P46" s="1"/>
      <c r="Q46" s="1"/>
      <c r="R46" s="1"/>
      <c r="S46" s="1"/>
      <c r="T46" s="1"/>
      <c r="U46" s="1"/>
      <c r="V46" s="1"/>
      <c r="W46" s="1">
        <v>20</v>
      </c>
      <c r="X46" s="1">
        <f t="shared" si="12"/>
        <v>3.0230000000000001</v>
      </c>
      <c r="Y46" s="5"/>
      <c r="Z46" s="5">
        <f t="shared" si="9"/>
        <v>0</v>
      </c>
      <c r="AA46" s="19"/>
      <c r="AB46" s="1">
        <f t="shared" si="6"/>
        <v>12.961627522328811</v>
      </c>
      <c r="AC46" s="1">
        <f t="shared" si="13"/>
        <v>12.961627522328811</v>
      </c>
      <c r="AD46" s="1">
        <v>3.0924</v>
      </c>
      <c r="AE46" s="1">
        <v>2.1831999999999998</v>
      </c>
      <c r="AF46" s="1">
        <v>2.4698000000000002</v>
      </c>
      <c r="AG46" s="1">
        <v>2.9312</v>
      </c>
      <c r="AH46" s="1">
        <v>3.1116000000000001</v>
      </c>
      <c r="AI46" s="1">
        <v>2.6240000000000001</v>
      </c>
      <c r="AJ46" s="1">
        <v>3.7808000000000002</v>
      </c>
      <c r="AK46" s="1">
        <v>4.3208000000000002</v>
      </c>
      <c r="AL46" s="1"/>
      <c r="AM46" s="1">
        <f t="shared" si="7"/>
        <v>0</v>
      </c>
      <c r="AN46" s="1"/>
      <c r="AO46" s="1"/>
      <c r="AP46" s="1"/>
      <c r="AQ46" s="1"/>
      <c r="AR46" s="1"/>
      <c r="AS46" s="1"/>
      <c r="AT46" s="1"/>
      <c r="AU46" s="1"/>
      <c r="AV46" s="1"/>
      <c r="AW46" s="1"/>
    </row>
    <row r="47" spans="1:49" x14ac:dyDescent="0.25">
      <c r="A47" s="1" t="s">
        <v>98</v>
      </c>
      <c r="B47" s="1" t="s">
        <v>46</v>
      </c>
      <c r="C47" s="1">
        <v>25</v>
      </c>
      <c r="D47" s="1">
        <v>200</v>
      </c>
      <c r="E47" s="1">
        <v>197</v>
      </c>
      <c r="F47" s="1">
        <v>-13</v>
      </c>
      <c r="G47" s="7">
        <v>0.4</v>
      </c>
      <c r="H47" s="1">
        <v>40</v>
      </c>
      <c r="I47" s="10" t="s">
        <v>55</v>
      </c>
      <c r="J47" s="1"/>
      <c r="K47" s="1">
        <v>395</v>
      </c>
      <c r="L47" s="1">
        <f t="shared" si="10"/>
        <v>-198</v>
      </c>
      <c r="M47" s="1">
        <f t="shared" si="11"/>
        <v>197</v>
      </c>
      <c r="N47" s="1"/>
      <c r="O47" s="1"/>
      <c r="P47" s="1"/>
      <c r="Q47" s="1"/>
      <c r="R47" s="1"/>
      <c r="S47" s="1"/>
      <c r="T47" s="1"/>
      <c r="U47" s="1">
        <v>100</v>
      </c>
      <c r="V47" s="1"/>
      <c r="W47" s="1">
        <v>100</v>
      </c>
      <c r="X47" s="1">
        <f t="shared" si="12"/>
        <v>39.4</v>
      </c>
      <c r="Y47" s="5">
        <v>80</v>
      </c>
      <c r="Z47" s="5">
        <f t="shared" ref="Z47:Z51" si="16">Y47*1.3</f>
        <v>104</v>
      </c>
      <c r="AA47" s="19"/>
      <c r="AB47" s="1">
        <f t="shared" si="6"/>
        <v>7.3857868020304567</v>
      </c>
      <c r="AC47" s="1">
        <f t="shared" si="13"/>
        <v>4.7461928934010151</v>
      </c>
      <c r="AD47" s="1">
        <v>36.6</v>
      </c>
      <c r="AE47" s="1">
        <v>26.8</v>
      </c>
      <c r="AF47" s="1">
        <v>24.8</v>
      </c>
      <c r="AG47" s="1">
        <v>30.8</v>
      </c>
      <c r="AH47" s="1">
        <v>31.8</v>
      </c>
      <c r="AI47" s="1">
        <v>4.8</v>
      </c>
      <c r="AJ47" s="1">
        <v>0.4</v>
      </c>
      <c r="AK47" s="1">
        <v>-0.2</v>
      </c>
      <c r="AL47" s="1"/>
      <c r="AM47" s="1">
        <f t="shared" si="7"/>
        <v>42</v>
      </c>
      <c r="AN47" s="1"/>
      <c r="AO47" s="1"/>
      <c r="AP47" s="1"/>
      <c r="AQ47" s="1"/>
      <c r="AR47" s="1"/>
      <c r="AS47" s="1"/>
      <c r="AT47" s="1"/>
      <c r="AU47" s="1"/>
      <c r="AV47" s="1"/>
      <c r="AW47" s="1"/>
    </row>
    <row r="48" spans="1:49" x14ac:dyDescent="0.25">
      <c r="A48" s="1" t="s">
        <v>99</v>
      </c>
      <c r="B48" s="1" t="s">
        <v>46</v>
      </c>
      <c r="C48" s="1">
        <v>70</v>
      </c>
      <c r="D48" s="1">
        <v>433</v>
      </c>
      <c r="E48" s="1">
        <v>269</v>
      </c>
      <c r="F48" s="1">
        <v>198</v>
      </c>
      <c r="G48" s="7">
        <v>0.4</v>
      </c>
      <c r="H48" s="1">
        <v>45</v>
      </c>
      <c r="I48" s="10" t="s">
        <v>55</v>
      </c>
      <c r="J48" s="1"/>
      <c r="K48" s="1">
        <v>472</v>
      </c>
      <c r="L48" s="1">
        <f t="shared" si="10"/>
        <v>-203</v>
      </c>
      <c r="M48" s="1">
        <f t="shared" si="11"/>
        <v>269</v>
      </c>
      <c r="N48" s="1"/>
      <c r="O48" s="1"/>
      <c r="P48" s="1"/>
      <c r="Q48" s="1"/>
      <c r="R48" s="1"/>
      <c r="S48" s="1"/>
      <c r="T48" s="1"/>
      <c r="U48" s="1">
        <v>150</v>
      </c>
      <c r="V48" s="1"/>
      <c r="W48" s="1">
        <v>150</v>
      </c>
      <c r="X48" s="1">
        <f t="shared" si="12"/>
        <v>53.8</v>
      </c>
      <c r="Y48" s="5">
        <v>100</v>
      </c>
      <c r="Z48" s="5">
        <f t="shared" si="16"/>
        <v>130</v>
      </c>
      <c r="AA48" s="19"/>
      <c r="AB48" s="1">
        <f t="shared" si="6"/>
        <v>11.672862453531598</v>
      </c>
      <c r="AC48" s="1">
        <f t="shared" si="13"/>
        <v>9.2565055762081787</v>
      </c>
      <c r="AD48" s="1">
        <v>28.6</v>
      </c>
      <c r="AE48" s="1">
        <v>35.200000000000003</v>
      </c>
      <c r="AF48" s="1">
        <v>45.6</v>
      </c>
      <c r="AG48" s="1">
        <v>29.2</v>
      </c>
      <c r="AH48" s="1">
        <v>29.2</v>
      </c>
      <c r="AI48" s="1">
        <v>8.8000000000000007</v>
      </c>
      <c r="AJ48" s="1">
        <v>0</v>
      </c>
      <c r="AK48" s="1">
        <v>0.4</v>
      </c>
      <c r="AL48" s="1"/>
      <c r="AM48" s="1">
        <f t="shared" si="7"/>
        <v>52</v>
      </c>
      <c r="AN48" s="1"/>
      <c r="AO48" s="1"/>
      <c r="AP48" s="1"/>
      <c r="AQ48" s="1"/>
      <c r="AR48" s="1"/>
      <c r="AS48" s="1"/>
      <c r="AT48" s="1"/>
      <c r="AU48" s="1"/>
      <c r="AV48" s="1"/>
      <c r="AW48" s="1"/>
    </row>
    <row r="49" spans="1:49" x14ac:dyDescent="0.25">
      <c r="A49" s="1" t="s">
        <v>100</v>
      </c>
      <c r="B49" s="1" t="s">
        <v>40</v>
      </c>
      <c r="C49" s="1">
        <v>58.643000000000001</v>
      </c>
      <c r="D49" s="1">
        <v>32.893999999999998</v>
      </c>
      <c r="E49" s="1">
        <v>37.991999999999997</v>
      </c>
      <c r="F49" s="1">
        <v>28.72</v>
      </c>
      <c r="G49" s="7">
        <v>1</v>
      </c>
      <c r="H49" s="1">
        <v>40</v>
      </c>
      <c r="I49" s="10" t="s">
        <v>55</v>
      </c>
      <c r="J49" s="1"/>
      <c r="K49" s="1">
        <v>73.286000000000001</v>
      </c>
      <c r="L49" s="1">
        <f t="shared" si="10"/>
        <v>-35.294000000000004</v>
      </c>
      <c r="M49" s="1">
        <f t="shared" si="11"/>
        <v>20.505999999999997</v>
      </c>
      <c r="N49" s="1">
        <v>17.486000000000001</v>
      </c>
      <c r="O49" s="1"/>
      <c r="P49" s="1"/>
      <c r="Q49" s="1"/>
      <c r="R49" s="1"/>
      <c r="S49" s="1"/>
      <c r="T49" s="1"/>
      <c r="U49" s="1"/>
      <c r="V49" s="1"/>
      <c r="W49" s="1">
        <v>40</v>
      </c>
      <c r="X49" s="1">
        <f t="shared" si="12"/>
        <v>4.1011999999999995</v>
      </c>
      <c r="Y49" s="5">
        <v>10</v>
      </c>
      <c r="Z49" s="5">
        <f t="shared" si="16"/>
        <v>13</v>
      </c>
      <c r="AA49" s="19"/>
      <c r="AB49" s="1">
        <f t="shared" si="6"/>
        <v>19.92587535355506</v>
      </c>
      <c r="AC49" s="1">
        <f t="shared" si="13"/>
        <v>16.75607139373842</v>
      </c>
      <c r="AD49" s="1">
        <v>4.9813999999999998</v>
      </c>
      <c r="AE49" s="1">
        <v>0.87859999999999994</v>
      </c>
      <c r="AF49" s="1">
        <v>0</v>
      </c>
      <c r="AG49" s="1">
        <v>5.8158000000000003</v>
      </c>
      <c r="AH49" s="1">
        <v>5.8158000000000003</v>
      </c>
      <c r="AI49" s="1">
        <v>7.0093999999999994</v>
      </c>
      <c r="AJ49" s="1">
        <v>6.5449999999999999</v>
      </c>
      <c r="AK49" s="1">
        <v>3.3479999999999999</v>
      </c>
      <c r="AL49" s="1"/>
      <c r="AM49" s="1">
        <f t="shared" si="7"/>
        <v>13</v>
      </c>
      <c r="AN49" s="1"/>
      <c r="AO49" s="1"/>
      <c r="AP49" s="1"/>
      <c r="AQ49" s="1"/>
      <c r="AR49" s="1"/>
      <c r="AS49" s="1"/>
      <c r="AT49" s="1"/>
      <c r="AU49" s="1"/>
      <c r="AV49" s="1"/>
      <c r="AW49" s="1"/>
    </row>
    <row r="50" spans="1:49" x14ac:dyDescent="0.25">
      <c r="A50" s="1" t="s">
        <v>101</v>
      </c>
      <c r="B50" s="1" t="s">
        <v>46</v>
      </c>
      <c r="C50" s="1">
        <v>-33</v>
      </c>
      <c r="D50" s="1">
        <v>463</v>
      </c>
      <c r="E50" s="1">
        <v>241</v>
      </c>
      <c r="F50" s="1">
        <v>140</v>
      </c>
      <c r="G50" s="7">
        <v>0.35</v>
      </c>
      <c r="H50" s="1">
        <v>40</v>
      </c>
      <c r="I50" s="10" t="s">
        <v>55</v>
      </c>
      <c r="J50" s="1"/>
      <c r="K50" s="1">
        <v>3823</v>
      </c>
      <c r="L50" s="1">
        <f t="shared" si="10"/>
        <v>-3582</v>
      </c>
      <c r="M50" s="1">
        <f t="shared" si="11"/>
        <v>211</v>
      </c>
      <c r="N50" s="1">
        <v>30</v>
      </c>
      <c r="O50" s="1"/>
      <c r="P50" s="1"/>
      <c r="Q50" s="1"/>
      <c r="R50" s="1"/>
      <c r="S50" s="1">
        <v>85.714285714285722</v>
      </c>
      <c r="T50" s="1"/>
      <c r="U50" s="1">
        <v>164.28571428571431</v>
      </c>
      <c r="V50" s="1"/>
      <c r="W50" s="1">
        <v>1000</v>
      </c>
      <c r="X50" s="1">
        <f t="shared" si="12"/>
        <v>42.2</v>
      </c>
      <c r="Y50" s="5">
        <v>200</v>
      </c>
      <c r="Z50" s="5">
        <f t="shared" si="16"/>
        <v>260</v>
      </c>
      <c r="AA50" s="19"/>
      <c r="AB50" s="1">
        <f t="shared" si="6"/>
        <v>39.099526066350705</v>
      </c>
      <c r="AC50" s="1">
        <f t="shared" si="13"/>
        <v>32.938388625592417</v>
      </c>
      <c r="AD50" s="1">
        <v>3.4</v>
      </c>
      <c r="AE50" s="1">
        <v>3.8</v>
      </c>
      <c r="AF50" s="1">
        <v>49.6</v>
      </c>
      <c r="AG50" s="1">
        <v>98.8</v>
      </c>
      <c r="AH50" s="1">
        <v>122.8</v>
      </c>
      <c r="AI50" s="1">
        <v>88.6</v>
      </c>
      <c r="AJ50" s="1">
        <v>86.8</v>
      </c>
      <c r="AK50" s="1">
        <v>80.2</v>
      </c>
      <c r="AL50" s="1" t="s">
        <v>201</v>
      </c>
      <c r="AM50" s="1">
        <f t="shared" si="7"/>
        <v>91</v>
      </c>
      <c r="AN50" s="1"/>
      <c r="AO50" s="1"/>
      <c r="AP50" s="1"/>
      <c r="AQ50" s="1"/>
      <c r="AR50" s="1"/>
      <c r="AS50" s="1"/>
      <c r="AT50" s="1"/>
      <c r="AU50" s="1"/>
      <c r="AV50" s="1"/>
      <c r="AW50" s="1"/>
    </row>
    <row r="51" spans="1:49" x14ac:dyDescent="0.25">
      <c r="A51" s="1" t="s">
        <v>102</v>
      </c>
      <c r="B51" s="1" t="s">
        <v>46</v>
      </c>
      <c r="C51" s="1">
        <v>121</v>
      </c>
      <c r="D51" s="1">
        <v>557</v>
      </c>
      <c r="E51" s="1">
        <v>328</v>
      </c>
      <c r="F51" s="1">
        <v>308</v>
      </c>
      <c r="G51" s="7">
        <v>0.4</v>
      </c>
      <c r="H51" s="1">
        <v>40</v>
      </c>
      <c r="I51" s="10" t="s">
        <v>55</v>
      </c>
      <c r="J51" s="1"/>
      <c r="K51" s="1">
        <v>454</v>
      </c>
      <c r="L51" s="1">
        <f t="shared" si="10"/>
        <v>-126</v>
      </c>
      <c r="M51" s="1">
        <f t="shared" si="11"/>
        <v>328</v>
      </c>
      <c r="N51" s="1"/>
      <c r="O51" s="1"/>
      <c r="P51" s="1"/>
      <c r="Q51" s="1"/>
      <c r="R51" s="1"/>
      <c r="S51" s="1">
        <v>120</v>
      </c>
      <c r="T51" s="1"/>
      <c r="U51" s="1">
        <v>230</v>
      </c>
      <c r="V51" s="1"/>
      <c r="W51" s="1">
        <v>0</v>
      </c>
      <c r="X51" s="1">
        <f t="shared" si="12"/>
        <v>65.599999999999994</v>
      </c>
      <c r="Y51" s="5">
        <v>120</v>
      </c>
      <c r="Z51" s="5">
        <f t="shared" si="16"/>
        <v>156</v>
      </c>
      <c r="AA51" s="19"/>
      <c r="AB51" s="1">
        <f t="shared" si="6"/>
        <v>12.408536585365855</v>
      </c>
      <c r="AC51" s="1">
        <f t="shared" si="13"/>
        <v>10.030487804878049</v>
      </c>
      <c r="AD51" s="1">
        <v>59</v>
      </c>
      <c r="AE51" s="1">
        <v>80.2</v>
      </c>
      <c r="AF51" s="1">
        <v>84.2</v>
      </c>
      <c r="AG51" s="1">
        <v>30.8</v>
      </c>
      <c r="AH51" s="1">
        <v>31.2</v>
      </c>
      <c r="AI51" s="1">
        <v>27.8</v>
      </c>
      <c r="AJ51" s="1">
        <v>53.4</v>
      </c>
      <c r="AK51" s="1">
        <v>47</v>
      </c>
      <c r="AL51" s="1"/>
      <c r="AM51" s="1">
        <f t="shared" si="7"/>
        <v>62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</row>
    <row r="52" spans="1:49" x14ac:dyDescent="0.25">
      <c r="A52" s="1" t="s">
        <v>103</v>
      </c>
      <c r="B52" s="1" t="s">
        <v>40</v>
      </c>
      <c r="C52" s="1">
        <v>29.183</v>
      </c>
      <c r="D52" s="1">
        <v>259.22699999999998</v>
      </c>
      <c r="E52" s="1">
        <v>64.84</v>
      </c>
      <c r="F52" s="1">
        <v>199.172</v>
      </c>
      <c r="G52" s="7">
        <v>1</v>
      </c>
      <c r="H52" s="1">
        <v>50</v>
      </c>
      <c r="I52" s="1" t="s">
        <v>41</v>
      </c>
      <c r="J52" s="1"/>
      <c r="K52" s="1">
        <v>80.099999999999994</v>
      </c>
      <c r="L52" s="1">
        <f t="shared" si="10"/>
        <v>-15.259999999999991</v>
      </c>
      <c r="M52" s="1">
        <f t="shared" si="11"/>
        <v>64.84</v>
      </c>
      <c r="N52" s="1"/>
      <c r="O52" s="1"/>
      <c r="P52" s="1"/>
      <c r="Q52" s="1"/>
      <c r="R52" s="1"/>
      <c r="S52" s="1"/>
      <c r="T52" s="1"/>
      <c r="U52" s="1"/>
      <c r="V52" s="1"/>
      <c r="W52" s="1">
        <v>50</v>
      </c>
      <c r="X52" s="1">
        <f t="shared" si="12"/>
        <v>12.968</v>
      </c>
      <c r="Y52" s="5"/>
      <c r="Z52" s="5">
        <f t="shared" si="9"/>
        <v>0</v>
      </c>
      <c r="AA52" s="19"/>
      <c r="AB52" s="1">
        <f t="shared" si="6"/>
        <v>19.2143738433066</v>
      </c>
      <c r="AC52" s="1">
        <f t="shared" si="13"/>
        <v>19.2143738433066</v>
      </c>
      <c r="AD52" s="1">
        <v>15.1008</v>
      </c>
      <c r="AE52" s="1">
        <v>23.822600000000001</v>
      </c>
      <c r="AF52" s="1">
        <v>13.5672</v>
      </c>
      <c r="AG52" s="1">
        <v>-10.742599999999999</v>
      </c>
      <c r="AH52" s="1">
        <v>17.911200000000001</v>
      </c>
      <c r="AI52" s="1">
        <v>18.7516</v>
      </c>
      <c r="AJ52" s="1">
        <v>17.372199999999999</v>
      </c>
      <c r="AK52" s="1">
        <v>14.885999999999999</v>
      </c>
      <c r="AL52" s="15" t="s">
        <v>42</v>
      </c>
      <c r="AM52" s="1">
        <f t="shared" si="7"/>
        <v>0</v>
      </c>
      <c r="AN52" s="1"/>
      <c r="AO52" s="1"/>
      <c r="AP52" s="1"/>
      <c r="AQ52" s="1"/>
      <c r="AR52" s="1"/>
      <c r="AS52" s="1"/>
      <c r="AT52" s="1"/>
      <c r="AU52" s="1"/>
      <c r="AV52" s="1"/>
      <c r="AW52" s="1"/>
    </row>
    <row r="53" spans="1:49" x14ac:dyDescent="0.25">
      <c r="A53" s="1" t="s">
        <v>104</v>
      </c>
      <c r="B53" s="1" t="s">
        <v>40</v>
      </c>
      <c r="C53" s="1">
        <v>974.28800000000001</v>
      </c>
      <c r="D53" s="1">
        <v>842.88599999999997</v>
      </c>
      <c r="E53" s="1">
        <v>445.82499999999999</v>
      </c>
      <c r="F53" s="1">
        <v>1161.9290000000001</v>
      </c>
      <c r="G53" s="7">
        <v>1</v>
      </c>
      <c r="H53" s="1">
        <v>50</v>
      </c>
      <c r="I53" s="1" t="s">
        <v>41</v>
      </c>
      <c r="J53" s="1"/>
      <c r="K53" s="1">
        <v>521.46900000000005</v>
      </c>
      <c r="L53" s="1">
        <f t="shared" si="10"/>
        <v>-75.644000000000062</v>
      </c>
      <c r="M53" s="1">
        <f t="shared" si="11"/>
        <v>359.15600000000001</v>
      </c>
      <c r="N53" s="1">
        <v>86.668999999999997</v>
      </c>
      <c r="O53" s="1"/>
      <c r="P53" s="1"/>
      <c r="Q53" s="1"/>
      <c r="R53" s="1"/>
      <c r="S53" s="1"/>
      <c r="T53" s="1"/>
      <c r="U53" s="1"/>
      <c r="V53" s="1"/>
      <c r="W53" s="1">
        <v>0</v>
      </c>
      <c r="X53" s="1">
        <f t="shared" si="12"/>
        <v>71.831199999999995</v>
      </c>
      <c r="Y53" s="5"/>
      <c r="Z53" s="5">
        <f t="shared" si="9"/>
        <v>0</v>
      </c>
      <c r="AA53" s="19"/>
      <c r="AB53" s="1">
        <f t="shared" si="6"/>
        <v>16.175826103420242</v>
      </c>
      <c r="AC53" s="1">
        <f t="shared" si="13"/>
        <v>16.175826103420242</v>
      </c>
      <c r="AD53" s="1">
        <v>69.209599999999995</v>
      </c>
      <c r="AE53" s="1">
        <v>101.32680000000001</v>
      </c>
      <c r="AF53" s="1">
        <v>163.22460000000001</v>
      </c>
      <c r="AG53" s="1">
        <v>103.4038</v>
      </c>
      <c r="AH53" s="1">
        <v>157.8124</v>
      </c>
      <c r="AI53" s="1">
        <v>128.76320000000001</v>
      </c>
      <c r="AJ53" s="1">
        <v>111.2424</v>
      </c>
      <c r="AK53" s="1">
        <v>138.00559999999999</v>
      </c>
      <c r="AL53" s="15" t="s">
        <v>42</v>
      </c>
      <c r="AM53" s="1">
        <f t="shared" si="7"/>
        <v>0</v>
      </c>
      <c r="AN53" s="1"/>
      <c r="AO53" s="1"/>
      <c r="AP53" s="1"/>
      <c r="AQ53" s="1"/>
      <c r="AR53" s="1"/>
      <c r="AS53" s="1"/>
      <c r="AT53" s="1"/>
      <c r="AU53" s="1"/>
      <c r="AV53" s="1"/>
      <c r="AW53" s="1"/>
    </row>
    <row r="54" spans="1:49" x14ac:dyDescent="0.25">
      <c r="A54" s="11" t="s">
        <v>105</v>
      </c>
      <c r="B54" s="11" t="s">
        <v>40</v>
      </c>
      <c r="C54" s="11"/>
      <c r="D54" s="11"/>
      <c r="E54" s="11"/>
      <c r="F54" s="11"/>
      <c r="G54" s="12">
        <v>0</v>
      </c>
      <c r="H54" s="11"/>
      <c r="I54" s="11" t="s">
        <v>41</v>
      </c>
      <c r="J54" s="11"/>
      <c r="K54" s="11"/>
      <c r="L54" s="11">
        <f t="shared" si="10"/>
        <v>0</v>
      </c>
      <c r="M54" s="11">
        <f t="shared" si="11"/>
        <v>0</v>
      </c>
      <c r="N54" s="11"/>
      <c r="O54" s="11"/>
      <c r="P54" s="11"/>
      <c r="Q54" s="11"/>
      <c r="R54" s="11"/>
      <c r="S54" s="11"/>
      <c r="T54" s="11"/>
      <c r="U54" s="11"/>
      <c r="V54" s="11"/>
      <c r="W54" s="11">
        <v>0</v>
      </c>
      <c r="X54" s="11">
        <f t="shared" si="12"/>
        <v>0</v>
      </c>
      <c r="Y54" s="13"/>
      <c r="Z54" s="5">
        <f t="shared" si="9"/>
        <v>0</v>
      </c>
      <c r="AA54" s="19"/>
      <c r="AB54" s="1" t="e">
        <f t="shared" si="6"/>
        <v>#DIV/0!</v>
      </c>
      <c r="AC54" s="11" t="e">
        <f t="shared" si="13"/>
        <v>#DIV/0!</v>
      </c>
      <c r="AD54" s="11">
        <v>0</v>
      </c>
      <c r="AE54" s="11">
        <v>0</v>
      </c>
      <c r="AF54" s="11">
        <v>0</v>
      </c>
      <c r="AG54" s="11">
        <v>0</v>
      </c>
      <c r="AH54" s="11">
        <v>0</v>
      </c>
      <c r="AI54" s="11">
        <v>0</v>
      </c>
      <c r="AJ54" s="11">
        <v>0</v>
      </c>
      <c r="AK54" s="11">
        <v>0</v>
      </c>
      <c r="AL54" s="11" t="s">
        <v>66</v>
      </c>
      <c r="AM54" s="1">
        <f t="shared" si="7"/>
        <v>0</v>
      </c>
      <c r="AN54" s="1"/>
      <c r="AO54" s="1"/>
      <c r="AP54" s="1"/>
      <c r="AQ54" s="1"/>
      <c r="AR54" s="1"/>
      <c r="AS54" s="1"/>
      <c r="AT54" s="1"/>
      <c r="AU54" s="1"/>
      <c r="AV54" s="1"/>
      <c r="AW54" s="1"/>
    </row>
    <row r="55" spans="1:49" x14ac:dyDescent="0.25">
      <c r="A55" s="1" t="s">
        <v>106</v>
      </c>
      <c r="B55" s="1" t="s">
        <v>46</v>
      </c>
      <c r="C55" s="1">
        <v>1272</v>
      </c>
      <c r="D55" s="1">
        <v>29</v>
      </c>
      <c r="E55" s="1">
        <v>314</v>
      </c>
      <c r="F55" s="1">
        <v>944</v>
      </c>
      <c r="G55" s="7">
        <v>0.45</v>
      </c>
      <c r="H55" s="1">
        <v>50</v>
      </c>
      <c r="I55" s="1" t="s">
        <v>41</v>
      </c>
      <c r="J55" s="1"/>
      <c r="K55" s="1">
        <v>362</v>
      </c>
      <c r="L55" s="1">
        <f t="shared" si="10"/>
        <v>-48</v>
      </c>
      <c r="M55" s="1">
        <f t="shared" si="11"/>
        <v>314</v>
      </c>
      <c r="N55" s="1"/>
      <c r="O55" s="1"/>
      <c r="P55" s="1"/>
      <c r="Q55" s="1"/>
      <c r="R55" s="1"/>
      <c r="S55" s="1"/>
      <c r="T55" s="1"/>
      <c r="U55" s="1"/>
      <c r="V55" s="1"/>
      <c r="W55" s="1">
        <v>324.48</v>
      </c>
      <c r="X55" s="1">
        <f t="shared" si="12"/>
        <v>62.8</v>
      </c>
      <c r="Y55" s="5"/>
      <c r="Z55" s="5">
        <f t="shared" si="9"/>
        <v>0</v>
      </c>
      <c r="AA55" s="19"/>
      <c r="AB55" s="1">
        <f t="shared" si="6"/>
        <v>20.198726114649684</v>
      </c>
      <c r="AC55" s="1">
        <f t="shared" si="13"/>
        <v>20.198726114649684</v>
      </c>
      <c r="AD55" s="1">
        <v>62.4</v>
      </c>
      <c r="AE55" s="1">
        <v>49.2</v>
      </c>
      <c r="AF55" s="1">
        <v>43.6</v>
      </c>
      <c r="AG55" s="1">
        <v>69.2</v>
      </c>
      <c r="AH55" s="1">
        <v>93.6</v>
      </c>
      <c r="AI55" s="1">
        <v>82</v>
      </c>
      <c r="AJ55" s="1">
        <v>69.599999999999994</v>
      </c>
      <c r="AK55" s="1">
        <v>75.2</v>
      </c>
      <c r="AL55" s="15" t="s">
        <v>42</v>
      </c>
      <c r="AM55" s="1">
        <f t="shared" si="7"/>
        <v>0</v>
      </c>
      <c r="AN55" s="1"/>
      <c r="AO55" s="1"/>
      <c r="AP55" s="1"/>
      <c r="AQ55" s="1"/>
      <c r="AR55" s="1"/>
      <c r="AS55" s="1"/>
      <c r="AT55" s="1"/>
      <c r="AU55" s="1"/>
      <c r="AV55" s="1"/>
      <c r="AW55" s="1"/>
    </row>
    <row r="56" spans="1:49" x14ac:dyDescent="0.25">
      <c r="A56" s="1" t="s">
        <v>107</v>
      </c>
      <c r="B56" s="1" t="s">
        <v>46</v>
      </c>
      <c r="C56" s="1">
        <v>1142</v>
      </c>
      <c r="D56" s="1">
        <v>319</v>
      </c>
      <c r="E56" s="1">
        <v>446</v>
      </c>
      <c r="F56" s="1">
        <v>947</v>
      </c>
      <c r="G56" s="7">
        <v>0.45</v>
      </c>
      <c r="H56" s="1">
        <v>50</v>
      </c>
      <c r="I56" s="1" t="s">
        <v>41</v>
      </c>
      <c r="J56" s="1"/>
      <c r="K56" s="1">
        <v>497</v>
      </c>
      <c r="L56" s="1">
        <f t="shared" si="10"/>
        <v>-51</v>
      </c>
      <c r="M56" s="1">
        <f t="shared" si="11"/>
        <v>446</v>
      </c>
      <c r="N56" s="1"/>
      <c r="O56" s="1"/>
      <c r="P56" s="1"/>
      <c r="Q56" s="1"/>
      <c r="R56" s="1"/>
      <c r="S56" s="1"/>
      <c r="T56" s="1"/>
      <c r="U56" s="1"/>
      <c r="V56" s="1"/>
      <c r="W56" s="1">
        <v>443.04</v>
      </c>
      <c r="X56" s="1">
        <f t="shared" si="12"/>
        <v>89.2</v>
      </c>
      <c r="Y56" s="5"/>
      <c r="Z56" s="5">
        <f t="shared" si="9"/>
        <v>0</v>
      </c>
      <c r="AA56" s="19"/>
      <c r="AB56" s="1">
        <f t="shared" si="6"/>
        <v>15.583408071748877</v>
      </c>
      <c r="AC56" s="1">
        <f t="shared" si="13"/>
        <v>15.583408071748877</v>
      </c>
      <c r="AD56" s="1">
        <v>85.2</v>
      </c>
      <c r="AE56" s="1">
        <v>83.8</v>
      </c>
      <c r="AF56" s="1">
        <v>97.4</v>
      </c>
      <c r="AG56" s="1">
        <v>138.80000000000001</v>
      </c>
      <c r="AH56" s="1">
        <v>140.19999999999999</v>
      </c>
      <c r="AI56" s="1">
        <v>121.6</v>
      </c>
      <c r="AJ56" s="1">
        <v>115</v>
      </c>
      <c r="AK56" s="1">
        <v>109</v>
      </c>
      <c r="AL56" s="1"/>
      <c r="AM56" s="1">
        <f t="shared" si="7"/>
        <v>0</v>
      </c>
      <c r="AN56" s="1"/>
      <c r="AO56" s="1"/>
      <c r="AP56" s="1"/>
      <c r="AQ56" s="1"/>
      <c r="AR56" s="1"/>
      <c r="AS56" s="1"/>
      <c r="AT56" s="1"/>
      <c r="AU56" s="1"/>
      <c r="AV56" s="1"/>
      <c r="AW56" s="1"/>
    </row>
    <row r="57" spans="1:49" x14ac:dyDescent="0.25">
      <c r="A57" s="11" t="s">
        <v>108</v>
      </c>
      <c r="B57" s="11" t="s">
        <v>46</v>
      </c>
      <c r="C57" s="11"/>
      <c r="D57" s="11"/>
      <c r="E57" s="11"/>
      <c r="F57" s="11"/>
      <c r="G57" s="12">
        <v>0</v>
      </c>
      <c r="H57" s="11"/>
      <c r="I57" s="11" t="s">
        <v>41</v>
      </c>
      <c r="J57" s="11"/>
      <c r="K57" s="11"/>
      <c r="L57" s="11">
        <f t="shared" si="10"/>
        <v>0</v>
      </c>
      <c r="M57" s="11">
        <f t="shared" si="11"/>
        <v>0</v>
      </c>
      <c r="N57" s="11"/>
      <c r="O57" s="11"/>
      <c r="P57" s="11"/>
      <c r="Q57" s="11"/>
      <c r="R57" s="11"/>
      <c r="S57" s="11"/>
      <c r="T57" s="11"/>
      <c r="U57" s="11"/>
      <c r="V57" s="11"/>
      <c r="W57" s="11">
        <v>0</v>
      </c>
      <c r="X57" s="11">
        <f t="shared" si="12"/>
        <v>0</v>
      </c>
      <c r="Y57" s="13"/>
      <c r="Z57" s="5">
        <f t="shared" si="9"/>
        <v>0</v>
      </c>
      <c r="AA57" s="19"/>
      <c r="AB57" s="1" t="e">
        <f t="shared" si="6"/>
        <v>#DIV/0!</v>
      </c>
      <c r="AC57" s="11" t="e">
        <f t="shared" si="13"/>
        <v>#DIV/0!</v>
      </c>
      <c r="AD57" s="11">
        <v>0</v>
      </c>
      <c r="AE57" s="11">
        <v>0</v>
      </c>
      <c r="AF57" s="11">
        <v>0</v>
      </c>
      <c r="AG57" s="11">
        <v>0</v>
      </c>
      <c r="AH57" s="11">
        <v>0</v>
      </c>
      <c r="AI57" s="11">
        <v>0</v>
      </c>
      <c r="AJ57" s="11">
        <v>0</v>
      </c>
      <c r="AK57" s="11">
        <v>0</v>
      </c>
      <c r="AL57" s="11" t="s">
        <v>66</v>
      </c>
      <c r="AM57" s="1">
        <f t="shared" si="7"/>
        <v>0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</row>
    <row r="58" spans="1:49" x14ac:dyDescent="0.25">
      <c r="A58" s="1" t="s">
        <v>109</v>
      </c>
      <c r="B58" s="1" t="s">
        <v>46</v>
      </c>
      <c r="C58" s="1"/>
      <c r="D58" s="1">
        <v>114</v>
      </c>
      <c r="E58" s="1">
        <v>13</v>
      </c>
      <c r="F58" s="1">
        <v>101</v>
      </c>
      <c r="G58" s="7">
        <v>0.4</v>
      </c>
      <c r="H58" s="1">
        <v>40</v>
      </c>
      <c r="I58" s="10" t="s">
        <v>55</v>
      </c>
      <c r="J58" s="1"/>
      <c r="K58" s="1">
        <v>13</v>
      </c>
      <c r="L58" s="1">
        <f t="shared" si="10"/>
        <v>0</v>
      </c>
      <c r="M58" s="1">
        <f t="shared" si="11"/>
        <v>13</v>
      </c>
      <c r="N58" s="1"/>
      <c r="O58" s="1"/>
      <c r="P58" s="1"/>
      <c r="Q58" s="1"/>
      <c r="R58" s="1"/>
      <c r="S58" s="1"/>
      <c r="T58" s="1"/>
      <c r="U58" s="1">
        <v>50</v>
      </c>
      <c r="V58" s="1"/>
      <c r="W58" s="1">
        <v>0</v>
      </c>
      <c r="X58" s="1">
        <f t="shared" si="12"/>
        <v>2.6</v>
      </c>
      <c r="Y58" s="5"/>
      <c r="Z58" s="5">
        <f>Y58*1.3</f>
        <v>0</v>
      </c>
      <c r="AA58" s="19"/>
      <c r="AB58" s="1">
        <f t="shared" si="6"/>
        <v>58.076923076923073</v>
      </c>
      <c r="AC58" s="1">
        <f t="shared" si="13"/>
        <v>58.076923076923073</v>
      </c>
      <c r="AD58" s="1">
        <v>2.8</v>
      </c>
      <c r="AE58" s="1">
        <v>8.1999999999999993</v>
      </c>
      <c r="AF58" s="1">
        <v>6.6</v>
      </c>
      <c r="AG58" s="1">
        <v>2.4</v>
      </c>
      <c r="AH58" s="1">
        <v>2.4</v>
      </c>
      <c r="AI58" s="1">
        <v>-0.4</v>
      </c>
      <c r="AJ58" s="1">
        <v>0.2</v>
      </c>
      <c r="AK58" s="1">
        <v>2.4</v>
      </c>
      <c r="AL58" s="1"/>
      <c r="AM58" s="1">
        <f t="shared" si="7"/>
        <v>0</v>
      </c>
      <c r="AN58" s="1"/>
      <c r="AO58" s="1"/>
      <c r="AP58" s="1"/>
      <c r="AQ58" s="1"/>
      <c r="AR58" s="1"/>
      <c r="AS58" s="1"/>
      <c r="AT58" s="1"/>
      <c r="AU58" s="1"/>
      <c r="AV58" s="1"/>
      <c r="AW58" s="1"/>
    </row>
    <row r="59" spans="1:49" x14ac:dyDescent="0.25">
      <c r="A59" s="1" t="s">
        <v>110</v>
      </c>
      <c r="B59" s="1" t="s">
        <v>40</v>
      </c>
      <c r="C59" s="1">
        <v>177.68600000000001</v>
      </c>
      <c r="D59" s="1">
        <v>1041.048</v>
      </c>
      <c r="E59" s="1">
        <v>377.54500000000002</v>
      </c>
      <c r="F59" s="1">
        <v>641.56700000000001</v>
      </c>
      <c r="G59" s="7">
        <v>1</v>
      </c>
      <c r="H59" s="1">
        <v>50</v>
      </c>
      <c r="I59" s="1" t="s">
        <v>41</v>
      </c>
      <c r="J59" s="1"/>
      <c r="K59" s="1">
        <v>498.08</v>
      </c>
      <c r="L59" s="1">
        <f t="shared" si="10"/>
        <v>-120.53499999999997</v>
      </c>
      <c r="M59" s="1">
        <f t="shared" si="11"/>
        <v>323.14100000000002</v>
      </c>
      <c r="N59" s="1">
        <v>54.404000000000003</v>
      </c>
      <c r="O59" s="1"/>
      <c r="P59" s="1"/>
      <c r="Q59" s="1"/>
      <c r="R59" s="1"/>
      <c r="S59" s="1">
        <v>138</v>
      </c>
      <c r="T59" s="1"/>
      <c r="U59" s="1"/>
      <c r="V59" s="1"/>
      <c r="W59" s="1">
        <v>0</v>
      </c>
      <c r="X59" s="1">
        <f t="shared" si="12"/>
        <v>64.628200000000007</v>
      </c>
      <c r="Y59" s="5"/>
      <c r="Z59" s="5">
        <f>Y59+$Z$1*X59</f>
        <v>258.51280000000003</v>
      </c>
      <c r="AA59" s="19"/>
      <c r="AB59" s="1">
        <f t="shared" si="6"/>
        <v>16.062335017840507</v>
      </c>
      <c r="AC59" s="1">
        <f t="shared" si="13"/>
        <v>12.062335017840509</v>
      </c>
      <c r="AD59" s="1">
        <v>46.284599999999998</v>
      </c>
      <c r="AE59" s="1">
        <v>73.507800000000003</v>
      </c>
      <c r="AF59" s="1">
        <v>80.846599999999995</v>
      </c>
      <c r="AG59" s="1">
        <v>58.027799999999999</v>
      </c>
      <c r="AH59" s="1">
        <v>74.771800000000013</v>
      </c>
      <c r="AI59" s="1">
        <v>94.477599999999981</v>
      </c>
      <c r="AJ59" s="1">
        <v>78.927799999999991</v>
      </c>
      <c r="AK59" s="1">
        <v>65.617199999999997</v>
      </c>
      <c r="AL59" s="1"/>
      <c r="AM59" s="1">
        <f t="shared" si="7"/>
        <v>259</v>
      </c>
      <c r="AN59" s="1"/>
      <c r="AO59" s="1"/>
      <c r="AP59" s="1"/>
      <c r="AQ59" s="1"/>
      <c r="AR59" s="1"/>
      <c r="AS59" s="1"/>
      <c r="AT59" s="1"/>
      <c r="AU59" s="1"/>
      <c r="AV59" s="1"/>
      <c r="AW59" s="1"/>
    </row>
    <row r="60" spans="1:49" x14ac:dyDescent="0.25">
      <c r="A60" s="1" t="s">
        <v>111</v>
      </c>
      <c r="B60" s="1" t="s">
        <v>46</v>
      </c>
      <c r="C60" s="1">
        <v>138</v>
      </c>
      <c r="D60" s="1">
        <v>311</v>
      </c>
      <c r="E60" s="14">
        <f>150+E138</f>
        <v>176</v>
      </c>
      <c r="F60" s="14">
        <f>133+F138</f>
        <v>156</v>
      </c>
      <c r="G60" s="7">
        <v>0.1</v>
      </c>
      <c r="H60" s="1">
        <v>731</v>
      </c>
      <c r="I60" s="1" t="s">
        <v>41</v>
      </c>
      <c r="J60" s="1"/>
      <c r="K60" s="1">
        <v>202</v>
      </c>
      <c r="L60" s="1">
        <f t="shared" si="10"/>
        <v>-26</v>
      </c>
      <c r="M60" s="1">
        <f t="shared" si="11"/>
        <v>176</v>
      </c>
      <c r="N60" s="1"/>
      <c r="O60" s="1"/>
      <c r="P60" s="1"/>
      <c r="Q60" s="1"/>
      <c r="R60" s="1"/>
      <c r="S60" s="1"/>
      <c r="T60" s="1"/>
      <c r="U60" s="1"/>
      <c r="V60" s="1"/>
      <c r="W60" s="1">
        <v>100</v>
      </c>
      <c r="X60" s="1">
        <f t="shared" si="12"/>
        <v>35.200000000000003</v>
      </c>
      <c r="Y60" s="5">
        <f t="shared" ref="Y60:Y63" si="17">11*X60-W60-V60-U60-T60-S60-R60-Q60-P60-O60-F60</f>
        <v>131.20000000000005</v>
      </c>
      <c r="Z60" s="5">
        <v>200</v>
      </c>
      <c r="AA60" s="19" t="str">
        <f>VLOOKUP(A60,[1]Лист1!$A:$B,2,0)</f>
        <v>до 200 шт (бонусная программа на сентябрь)</v>
      </c>
      <c r="AB60" s="1">
        <f t="shared" si="6"/>
        <v>12.954545454545453</v>
      </c>
      <c r="AC60" s="1">
        <f t="shared" si="13"/>
        <v>7.2727272727272725</v>
      </c>
      <c r="AD60" s="1">
        <v>18.2</v>
      </c>
      <c r="AE60" s="1">
        <v>21.2</v>
      </c>
      <c r="AF60" s="1">
        <v>26.6</v>
      </c>
      <c r="AG60" s="1">
        <v>27.2</v>
      </c>
      <c r="AH60" s="1">
        <v>27.2</v>
      </c>
      <c r="AI60" s="1">
        <v>26.2</v>
      </c>
      <c r="AJ60" s="1">
        <v>26.8</v>
      </c>
      <c r="AK60" s="1">
        <v>27.6</v>
      </c>
      <c r="AL60" s="1"/>
      <c r="AM60" s="1">
        <f t="shared" si="7"/>
        <v>20</v>
      </c>
      <c r="AN60" s="1"/>
      <c r="AO60" s="1"/>
      <c r="AP60" s="1"/>
      <c r="AQ60" s="1"/>
      <c r="AR60" s="1"/>
      <c r="AS60" s="1"/>
      <c r="AT60" s="1"/>
      <c r="AU60" s="1"/>
      <c r="AV60" s="1"/>
      <c r="AW60" s="1"/>
    </row>
    <row r="61" spans="1:49" x14ac:dyDescent="0.25">
      <c r="A61" s="1" t="s">
        <v>112</v>
      </c>
      <c r="B61" s="1" t="s">
        <v>40</v>
      </c>
      <c r="C61" s="1">
        <v>2.4529999999999998</v>
      </c>
      <c r="D61" s="1">
        <v>1381.066</v>
      </c>
      <c r="E61" s="1">
        <v>143.30699999999999</v>
      </c>
      <c r="F61" s="1">
        <v>1167.482</v>
      </c>
      <c r="G61" s="7">
        <v>1</v>
      </c>
      <c r="H61" s="1">
        <v>50</v>
      </c>
      <c r="I61" s="1" t="s">
        <v>41</v>
      </c>
      <c r="J61" s="1"/>
      <c r="K61" s="1">
        <v>250.9</v>
      </c>
      <c r="L61" s="1">
        <f t="shared" si="10"/>
        <v>-107.59300000000002</v>
      </c>
      <c r="M61" s="1">
        <f t="shared" si="11"/>
        <v>143.30699999999999</v>
      </c>
      <c r="N61" s="1"/>
      <c r="O61" s="1">
        <v>100</v>
      </c>
      <c r="P61" s="1"/>
      <c r="Q61" s="1"/>
      <c r="R61" s="1"/>
      <c r="S61" s="1">
        <v>74</v>
      </c>
      <c r="T61" s="1"/>
      <c r="U61" s="1">
        <v>122.72580000000001</v>
      </c>
      <c r="V61" s="1"/>
      <c r="W61" s="1">
        <v>0</v>
      </c>
      <c r="X61" s="1">
        <f t="shared" si="12"/>
        <v>28.661399999999997</v>
      </c>
      <c r="Y61" s="5"/>
      <c r="Z61" s="5">
        <f t="shared" si="9"/>
        <v>0</v>
      </c>
      <c r="AA61" s="19"/>
      <c r="AB61" s="1">
        <f t="shared" si="6"/>
        <v>51.086401920352813</v>
      </c>
      <c r="AC61" s="1">
        <f t="shared" si="13"/>
        <v>51.086401920352813</v>
      </c>
      <c r="AD61" s="1">
        <v>42.103200000000001</v>
      </c>
      <c r="AE61" s="1">
        <v>122.72580000000001</v>
      </c>
      <c r="AF61" s="1">
        <v>148.85560000000001</v>
      </c>
      <c r="AG61" s="1">
        <v>72.963200000000001</v>
      </c>
      <c r="AH61" s="1">
        <v>88.772199999999998</v>
      </c>
      <c r="AI61" s="1">
        <v>93.292600000000007</v>
      </c>
      <c r="AJ61" s="1">
        <v>105.92659999999999</v>
      </c>
      <c r="AK61" s="1">
        <v>80.308399999999992</v>
      </c>
      <c r="AL61" s="15" t="s">
        <v>42</v>
      </c>
      <c r="AM61" s="1">
        <f t="shared" si="7"/>
        <v>0</v>
      </c>
      <c r="AN61" s="1"/>
      <c r="AO61" s="1"/>
      <c r="AP61" s="1"/>
      <c r="AQ61" s="1"/>
      <c r="AR61" s="1"/>
      <c r="AS61" s="1"/>
      <c r="AT61" s="1"/>
      <c r="AU61" s="1"/>
      <c r="AV61" s="1"/>
      <c r="AW61" s="1"/>
    </row>
    <row r="62" spans="1:49" x14ac:dyDescent="0.25">
      <c r="A62" s="1" t="s">
        <v>113</v>
      </c>
      <c r="B62" s="1" t="s">
        <v>40</v>
      </c>
      <c r="C62" s="1">
        <v>52.755000000000003</v>
      </c>
      <c r="D62" s="1">
        <v>24.398</v>
      </c>
      <c r="E62" s="1">
        <v>47.24</v>
      </c>
      <c r="F62" s="1">
        <v>25.866</v>
      </c>
      <c r="G62" s="7">
        <v>1</v>
      </c>
      <c r="H62" s="1">
        <v>55</v>
      </c>
      <c r="I62" s="1" t="s">
        <v>41</v>
      </c>
      <c r="J62" s="1"/>
      <c r="K62" s="1">
        <v>57.7</v>
      </c>
      <c r="L62" s="1">
        <f t="shared" si="10"/>
        <v>-10.46</v>
      </c>
      <c r="M62" s="1">
        <f t="shared" si="11"/>
        <v>47.24</v>
      </c>
      <c r="N62" s="1"/>
      <c r="O62" s="1"/>
      <c r="P62" s="1"/>
      <c r="Q62" s="1"/>
      <c r="R62" s="1"/>
      <c r="S62" s="1"/>
      <c r="T62" s="1"/>
      <c r="U62" s="1"/>
      <c r="V62" s="1"/>
      <c r="W62" s="1">
        <v>100</v>
      </c>
      <c r="X62" s="1">
        <f t="shared" si="12"/>
        <v>9.4480000000000004</v>
      </c>
      <c r="Y62" s="5"/>
      <c r="Z62" s="5">
        <f t="shared" si="9"/>
        <v>0</v>
      </c>
      <c r="AA62" s="19"/>
      <c r="AB62" s="1">
        <f t="shared" si="6"/>
        <v>13.321972904318374</v>
      </c>
      <c r="AC62" s="1">
        <f t="shared" si="13"/>
        <v>13.321972904318374</v>
      </c>
      <c r="AD62" s="1">
        <v>7.5763999999999996</v>
      </c>
      <c r="AE62" s="1">
        <v>5.4626000000000001</v>
      </c>
      <c r="AF62" s="1">
        <v>6.831999999999999</v>
      </c>
      <c r="AG62" s="1">
        <v>4.8714000000000004</v>
      </c>
      <c r="AH62" s="1">
        <v>4.8714000000000004</v>
      </c>
      <c r="AI62" s="1">
        <v>8.2176000000000009</v>
      </c>
      <c r="AJ62" s="1">
        <v>6.5724</v>
      </c>
      <c r="AK62" s="1">
        <v>2.7147999999999999</v>
      </c>
      <c r="AL62" s="1"/>
      <c r="AM62" s="1">
        <f t="shared" si="7"/>
        <v>0</v>
      </c>
      <c r="AN62" s="1"/>
      <c r="AO62" s="1"/>
      <c r="AP62" s="1"/>
      <c r="AQ62" s="1"/>
      <c r="AR62" s="1"/>
      <c r="AS62" s="1"/>
      <c r="AT62" s="1"/>
      <c r="AU62" s="1"/>
      <c r="AV62" s="1"/>
      <c r="AW62" s="1"/>
    </row>
    <row r="63" spans="1:49" x14ac:dyDescent="0.25">
      <c r="A63" s="1" t="s">
        <v>114</v>
      </c>
      <c r="B63" s="1" t="s">
        <v>46</v>
      </c>
      <c r="C63" s="1">
        <v>137</v>
      </c>
      <c r="D63" s="1">
        <v>153</v>
      </c>
      <c r="E63" s="1">
        <v>141</v>
      </c>
      <c r="F63" s="1">
        <v>117</v>
      </c>
      <c r="G63" s="7">
        <v>0.1</v>
      </c>
      <c r="H63" s="1">
        <v>731</v>
      </c>
      <c r="I63" s="1" t="s">
        <v>41</v>
      </c>
      <c r="J63" s="1"/>
      <c r="K63" s="1">
        <v>180</v>
      </c>
      <c r="L63" s="1">
        <f t="shared" si="10"/>
        <v>-39</v>
      </c>
      <c r="M63" s="1">
        <f t="shared" si="11"/>
        <v>141</v>
      </c>
      <c r="N63" s="1"/>
      <c r="O63" s="1"/>
      <c r="P63" s="1"/>
      <c r="Q63" s="1"/>
      <c r="R63" s="1"/>
      <c r="S63" s="1"/>
      <c r="T63" s="1"/>
      <c r="U63" s="1"/>
      <c r="V63" s="1"/>
      <c r="W63" s="1">
        <v>100</v>
      </c>
      <c r="X63" s="1">
        <f t="shared" si="12"/>
        <v>28.2</v>
      </c>
      <c r="Y63" s="5">
        <f t="shared" si="17"/>
        <v>93.199999999999989</v>
      </c>
      <c r="Z63" s="5">
        <v>200</v>
      </c>
      <c r="AA63" s="19" t="str">
        <f>VLOOKUP(A63,[1]Лист1!$A:$B,2,0)</f>
        <v>до 200 шт (бонусная программа на сентябрь)</v>
      </c>
      <c r="AB63" s="1">
        <f t="shared" si="6"/>
        <v>14.787234042553193</v>
      </c>
      <c r="AC63" s="1">
        <f t="shared" si="13"/>
        <v>7.6950354609929077</v>
      </c>
      <c r="AD63" s="1">
        <v>12</v>
      </c>
      <c r="AE63" s="1">
        <v>17.2</v>
      </c>
      <c r="AF63" s="1">
        <v>18.600000000000001</v>
      </c>
      <c r="AG63" s="1">
        <v>23.6</v>
      </c>
      <c r="AH63" s="1">
        <v>23.6</v>
      </c>
      <c r="AI63" s="1">
        <v>20.2</v>
      </c>
      <c r="AJ63" s="1">
        <v>24</v>
      </c>
      <c r="AK63" s="1">
        <v>23</v>
      </c>
      <c r="AL63" s="1"/>
      <c r="AM63" s="1">
        <f t="shared" si="7"/>
        <v>20</v>
      </c>
      <c r="AN63" s="1"/>
      <c r="AO63" s="1"/>
      <c r="AP63" s="1"/>
      <c r="AQ63" s="1"/>
      <c r="AR63" s="1"/>
      <c r="AS63" s="1"/>
      <c r="AT63" s="1"/>
      <c r="AU63" s="1"/>
      <c r="AV63" s="1"/>
      <c r="AW63" s="1"/>
    </row>
    <row r="64" spans="1:49" x14ac:dyDescent="0.25">
      <c r="A64" s="1" t="s">
        <v>115</v>
      </c>
      <c r="B64" s="1" t="s">
        <v>46</v>
      </c>
      <c r="C64" s="1">
        <v>26</v>
      </c>
      <c r="D64" s="1"/>
      <c r="E64" s="1">
        <v>1</v>
      </c>
      <c r="F64" s="1">
        <v>25</v>
      </c>
      <c r="G64" s="7">
        <v>0.4</v>
      </c>
      <c r="H64" s="1">
        <v>50</v>
      </c>
      <c r="I64" s="1" t="s">
        <v>41</v>
      </c>
      <c r="J64" s="1"/>
      <c r="K64" s="1">
        <v>27</v>
      </c>
      <c r="L64" s="1">
        <f t="shared" si="10"/>
        <v>-26</v>
      </c>
      <c r="M64" s="1">
        <f t="shared" si="11"/>
        <v>1</v>
      </c>
      <c r="N64" s="1"/>
      <c r="O64" s="1"/>
      <c r="P64" s="1"/>
      <c r="Q64" s="1"/>
      <c r="R64" s="1"/>
      <c r="S64" s="1"/>
      <c r="T64" s="1"/>
      <c r="U64" s="1"/>
      <c r="V64" s="1"/>
      <c r="W64" s="1">
        <v>0</v>
      </c>
      <c r="X64" s="1">
        <f t="shared" si="12"/>
        <v>0.2</v>
      </c>
      <c r="Y64" s="5"/>
      <c r="Z64" s="5">
        <f t="shared" si="9"/>
        <v>0</v>
      </c>
      <c r="AA64" s="19"/>
      <c r="AB64" s="1">
        <f t="shared" si="6"/>
        <v>125</v>
      </c>
      <c r="AC64" s="1">
        <f t="shared" si="13"/>
        <v>125</v>
      </c>
      <c r="AD64" s="1">
        <v>0.2</v>
      </c>
      <c r="AE64" s="1">
        <v>0.2</v>
      </c>
      <c r="AF64" s="1">
        <v>0</v>
      </c>
      <c r="AG64" s="1">
        <v>0.2</v>
      </c>
      <c r="AH64" s="1">
        <v>0.2</v>
      </c>
      <c r="AI64" s="1">
        <v>0.8</v>
      </c>
      <c r="AJ64" s="1">
        <v>1.4</v>
      </c>
      <c r="AK64" s="1">
        <v>2.2000000000000002</v>
      </c>
      <c r="AL64" s="18" t="s">
        <v>53</v>
      </c>
      <c r="AM64" s="1">
        <f t="shared" si="7"/>
        <v>0</v>
      </c>
      <c r="AN64" s="1"/>
      <c r="AO64" s="1"/>
      <c r="AP64" s="1"/>
      <c r="AQ64" s="1"/>
      <c r="AR64" s="1"/>
      <c r="AS64" s="1"/>
      <c r="AT64" s="1"/>
      <c r="AU64" s="1"/>
      <c r="AV64" s="1"/>
      <c r="AW64" s="1"/>
    </row>
    <row r="65" spans="1:49" x14ac:dyDescent="0.25">
      <c r="A65" s="1" t="s">
        <v>116</v>
      </c>
      <c r="B65" s="1" t="s">
        <v>40</v>
      </c>
      <c r="C65" s="1">
        <v>23.396999999999998</v>
      </c>
      <c r="D65" s="1">
        <v>319.37099999999998</v>
      </c>
      <c r="E65" s="1">
        <v>204.92</v>
      </c>
      <c r="F65" s="1">
        <v>132.4</v>
      </c>
      <c r="G65" s="7">
        <v>1</v>
      </c>
      <c r="H65" s="1">
        <v>40</v>
      </c>
      <c r="I65" s="10" t="s">
        <v>55</v>
      </c>
      <c r="J65" s="1"/>
      <c r="K65" s="1">
        <v>210.297</v>
      </c>
      <c r="L65" s="1">
        <f t="shared" si="10"/>
        <v>-5.3770000000000095</v>
      </c>
      <c r="M65" s="1">
        <f t="shared" si="11"/>
        <v>204.92</v>
      </c>
      <c r="N65" s="1"/>
      <c r="O65" s="1"/>
      <c r="P65" s="1"/>
      <c r="Q65" s="1"/>
      <c r="R65" s="1"/>
      <c r="S65" s="1"/>
      <c r="T65" s="1"/>
      <c r="U65" s="1">
        <v>130</v>
      </c>
      <c r="V65" s="1"/>
      <c r="W65" s="1">
        <v>200</v>
      </c>
      <c r="X65" s="1">
        <f t="shared" si="12"/>
        <v>40.983999999999995</v>
      </c>
      <c r="Y65" s="5">
        <v>100</v>
      </c>
      <c r="Z65" s="5">
        <f t="shared" ref="Z65:Z69" si="18">Y65*1.3</f>
        <v>130</v>
      </c>
      <c r="AA65" s="19"/>
      <c r="AB65" s="1">
        <f t="shared" si="6"/>
        <v>14.454421237556121</v>
      </c>
      <c r="AC65" s="1">
        <f t="shared" si="13"/>
        <v>11.282451688463791</v>
      </c>
      <c r="AD65" s="1">
        <v>8.3099999999999987</v>
      </c>
      <c r="AE65" s="1">
        <v>26.265000000000001</v>
      </c>
      <c r="AF65" s="1">
        <v>55.605400000000003</v>
      </c>
      <c r="AG65" s="1">
        <v>1.9778</v>
      </c>
      <c r="AH65" s="1">
        <v>1.9778</v>
      </c>
      <c r="AI65" s="1">
        <v>35.930399999999999</v>
      </c>
      <c r="AJ65" s="1">
        <v>33.767200000000003</v>
      </c>
      <c r="AK65" s="1">
        <v>5.1779999999999999</v>
      </c>
      <c r="AL65" s="1" t="s">
        <v>199</v>
      </c>
      <c r="AM65" s="1">
        <f t="shared" si="7"/>
        <v>130</v>
      </c>
      <c r="AN65" s="1"/>
      <c r="AO65" s="1"/>
      <c r="AP65" s="1"/>
      <c r="AQ65" s="1"/>
      <c r="AR65" s="1"/>
      <c r="AS65" s="1"/>
      <c r="AT65" s="1"/>
      <c r="AU65" s="1"/>
      <c r="AV65" s="1"/>
      <c r="AW65" s="1"/>
    </row>
    <row r="66" spans="1:49" x14ac:dyDescent="0.25">
      <c r="A66" s="1" t="s">
        <v>117</v>
      </c>
      <c r="B66" s="1" t="s">
        <v>40</v>
      </c>
      <c r="C66" s="1">
        <v>-75.352000000000004</v>
      </c>
      <c r="D66" s="1">
        <v>285.93799999999999</v>
      </c>
      <c r="E66" s="1">
        <v>92.491</v>
      </c>
      <c r="F66" s="1">
        <v>74.963999999999999</v>
      </c>
      <c r="G66" s="7">
        <v>1</v>
      </c>
      <c r="H66" s="1">
        <v>40</v>
      </c>
      <c r="I66" s="10" t="s">
        <v>55</v>
      </c>
      <c r="J66" s="1"/>
      <c r="K66" s="1">
        <v>104.221</v>
      </c>
      <c r="L66" s="1">
        <f t="shared" si="10"/>
        <v>-11.730000000000004</v>
      </c>
      <c r="M66" s="1">
        <f t="shared" si="11"/>
        <v>52.07</v>
      </c>
      <c r="N66" s="1">
        <v>40.420999999999999</v>
      </c>
      <c r="O66" s="1"/>
      <c r="P66" s="1"/>
      <c r="Q66" s="1"/>
      <c r="R66" s="1"/>
      <c r="S66" s="1"/>
      <c r="T66" s="1"/>
      <c r="U66" s="1">
        <v>70</v>
      </c>
      <c r="V66" s="1"/>
      <c r="W66" s="1">
        <v>150</v>
      </c>
      <c r="X66" s="1">
        <f t="shared" si="12"/>
        <v>10.414</v>
      </c>
      <c r="Y66" s="5"/>
      <c r="Z66" s="5">
        <f t="shared" si="18"/>
        <v>0</v>
      </c>
      <c r="AA66" s="19"/>
      <c r="AB66" s="1">
        <f t="shared" si="6"/>
        <v>28.323794891492224</v>
      </c>
      <c r="AC66" s="1">
        <f t="shared" si="13"/>
        <v>28.323794891492224</v>
      </c>
      <c r="AD66" s="1">
        <v>0.26600000000000001</v>
      </c>
      <c r="AE66" s="1">
        <v>12.8588</v>
      </c>
      <c r="AF66" s="1">
        <v>32.803199999999997</v>
      </c>
      <c r="AG66" s="1">
        <v>19.798400000000001</v>
      </c>
      <c r="AH66" s="1">
        <v>10.039999999999999</v>
      </c>
      <c r="AI66" s="1">
        <v>35.883800000000001</v>
      </c>
      <c r="AJ66" s="1">
        <v>36.3566</v>
      </c>
      <c r="AK66" s="1">
        <v>15.0884</v>
      </c>
      <c r="AL66" s="1" t="s">
        <v>199</v>
      </c>
      <c r="AM66" s="1">
        <f t="shared" si="7"/>
        <v>0</v>
      </c>
      <c r="AN66" s="1"/>
      <c r="AO66" s="1"/>
      <c r="AP66" s="1"/>
      <c r="AQ66" s="1"/>
      <c r="AR66" s="1"/>
      <c r="AS66" s="1"/>
      <c r="AT66" s="1"/>
      <c r="AU66" s="1"/>
      <c r="AV66" s="1"/>
      <c r="AW66" s="1"/>
    </row>
    <row r="67" spans="1:49" x14ac:dyDescent="0.25">
      <c r="A67" s="1" t="s">
        <v>118</v>
      </c>
      <c r="B67" s="1" t="s">
        <v>46</v>
      </c>
      <c r="C67" s="1">
        <v>852</v>
      </c>
      <c r="D67" s="1">
        <v>860</v>
      </c>
      <c r="E67" s="1">
        <v>835</v>
      </c>
      <c r="F67" s="1">
        <v>619</v>
      </c>
      <c r="G67" s="7">
        <v>0.4</v>
      </c>
      <c r="H67" s="1">
        <v>40</v>
      </c>
      <c r="I67" s="10" t="s">
        <v>55</v>
      </c>
      <c r="J67" s="1"/>
      <c r="K67" s="1">
        <v>1070</v>
      </c>
      <c r="L67" s="1">
        <f t="shared" si="10"/>
        <v>-235</v>
      </c>
      <c r="M67" s="1">
        <f t="shared" si="11"/>
        <v>835</v>
      </c>
      <c r="N67" s="1"/>
      <c r="O67" s="1"/>
      <c r="P67" s="1"/>
      <c r="Q67" s="1"/>
      <c r="R67" s="1"/>
      <c r="S67" s="1">
        <v>72.5</v>
      </c>
      <c r="T67" s="1"/>
      <c r="U67" s="1">
        <v>157.4</v>
      </c>
      <c r="V67" s="1"/>
      <c r="W67" s="1">
        <v>1005.41976</v>
      </c>
      <c r="X67" s="1">
        <f t="shared" si="12"/>
        <v>167</v>
      </c>
      <c r="Y67" s="5">
        <v>300</v>
      </c>
      <c r="Z67" s="5">
        <f>Y67*1.3</f>
        <v>390</v>
      </c>
      <c r="AA67" s="19"/>
      <c r="AB67" s="1">
        <f t="shared" si="6"/>
        <v>13.439040479041916</v>
      </c>
      <c r="AC67" s="1">
        <f t="shared" si="13"/>
        <v>11.103711137724551</v>
      </c>
      <c r="AD67" s="1">
        <v>155.6</v>
      </c>
      <c r="AE67" s="1">
        <v>157.4</v>
      </c>
      <c r="AF67" s="1">
        <v>200.4</v>
      </c>
      <c r="AG67" s="1">
        <v>164</v>
      </c>
      <c r="AH67" s="1">
        <v>188.8</v>
      </c>
      <c r="AI67" s="1">
        <v>96.2</v>
      </c>
      <c r="AJ67" s="1">
        <v>124.2</v>
      </c>
      <c r="AK67" s="1">
        <v>168</v>
      </c>
      <c r="AL67" s="1"/>
      <c r="AM67" s="1">
        <f t="shared" si="7"/>
        <v>156</v>
      </c>
      <c r="AN67" s="1"/>
      <c r="AO67" s="1"/>
      <c r="AP67" s="1"/>
      <c r="AQ67" s="1"/>
      <c r="AR67" s="1"/>
      <c r="AS67" s="1"/>
      <c r="AT67" s="1"/>
      <c r="AU67" s="1"/>
      <c r="AV67" s="1"/>
      <c r="AW67" s="1"/>
    </row>
    <row r="68" spans="1:49" x14ac:dyDescent="0.25">
      <c r="A68" s="1" t="s">
        <v>119</v>
      </c>
      <c r="B68" s="1" t="s">
        <v>46</v>
      </c>
      <c r="C68" s="1">
        <v>94</v>
      </c>
      <c r="D68" s="1">
        <v>482</v>
      </c>
      <c r="E68" s="1">
        <v>329</v>
      </c>
      <c r="F68" s="1">
        <v>145</v>
      </c>
      <c r="G68" s="7">
        <v>0.4</v>
      </c>
      <c r="H68" s="1">
        <v>40</v>
      </c>
      <c r="I68" s="10" t="s">
        <v>55</v>
      </c>
      <c r="J68" s="1"/>
      <c r="K68" s="1">
        <v>385</v>
      </c>
      <c r="L68" s="1">
        <f t="shared" si="10"/>
        <v>-56</v>
      </c>
      <c r="M68" s="1">
        <f t="shared" si="11"/>
        <v>329</v>
      </c>
      <c r="N68" s="1"/>
      <c r="O68" s="1"/>
      <c r="P68" s="1"/>
      <c r="Q68" s="1"/>
      <c r="R68" s="1"/>
      <c r="S68" s="1"/>
      <c r="T68" s="1"/>
      <c r="U68" s="1">
        <v>50</v>
      </c>
      <c r="V68" s="1"/>
      <c r="W68" s="1">
        <v>50</v>
      </c>
      <c r="X68" s="1">
        <f t="shared" si="12"/>
        <v>65.8</v>
      </c>
      <c r="Y68" s="5">
        <v>100</v>
      </c>
      <c r="Z68" s="5">
        <f t="shared" si="18"/>
        <v>130</v>
      </c>
      <c r="AA68" s="19"/>
      <c r="AB68" s="1">
        <f t="shared" si="6"/>
        <v>5.6990881458966571</v>
      </c>
      <c r="AC68" s="1">
        <f t="shared" si="13"/>
        <v>3.7234042553191493</v>
      </c>
      <c r="AD68" s="1">
        <v>20</v>
      </c>
      <c r="AE68" s="1">
        <v>15.6</v>
      </c>
      <c r="AF68" s="1">
        <v>37.799999999999997</v>
      </c>
      <c r="AG68" s="1">
        <v>26.6</v>
      </c>
      <c r="AH68" s="1">
        <v>38.4</v>
      </c>
      <c r="AI68" s="1">
        <v>0.6</v>
      </c>
      <c r="AJ68" s="1">
        <v>0</v>
      </c>
      <c r="AK68" s="1">
        <v>0.4</v>
      </c>
      <c r="AL68" s="1"/>
      <c r="AM68" s="1">
        <f t="shared" si="7"/>
        <v>52</v>
      </c>
      <c r="AN68" s="1"/>
      <c r="AO68" s="1"/>
      <c r="AP68" s="1"/>
      <c r="AQ68" s="1"/>
      <c r="AR68" s="1"/>
      <c r="AS68" s="1"/>
      <c r="AT68" s="1"/>
      <c r="AU68" s="1"/>
      <c r="AV68" s="1"/>
      <c r="AW68" s="1"/>
    </row>
    <row r="69" spans="1:49" x14ac:dyDescent="0.25">
      <c r="A69" s="1" t="s">
        <v>120</v>
      </c>
      <c r="B69" s="1" t="s">
        <v>40</v>
      </c>
      <c r="C69" s="1">
        <v>44.673000000000002</v>
      </c>
      <c r="D69" s="1">
        <v>88.759</v>
      </c>
      <c r="E69" s="1">
        <v>97.108000000000004</v>
      </c>
      <c r="F69" s="1">
        <v>-31.591000000000001</v>
      </c>
      <c r="G69" s="7">
        <v>1</v>
      </c>
      <c r="H69" s="1">
        <v>40</v>
      </c>
      <c r="I69" s="10" t="s">
        <v>55</v>
      </c>
      <c r="J69" s="1"/>
      <c r="K69" s="1">
        <v>102.479</v>
      </c>
      <c r="L69" s="1">
        <f t="shared" si="10"/>
        <v>-5.3709999999999951</v>
      </c>
      <c r="M69" s="1">
        <f t="shared" si="11"/>
        <v>97.108000000000004</v>
      </c>
      <c r="N69" s="1"/>
      <c r="O69" s="1"/>
      <c r="P69" s="1"/>
      <c r="Q69" s="1"/>
      <c r="R69" s="1"/>
      <c r="S69" s="1"/>
      <c r="T69" s="1"/>
      <c r="U69" s="1">
        <v>30</v>
      </c>
      <c r="V69" s="1"/>
      <c r="W69" s="1">
        <v>60</v>
      </c>
      <c r="X69" s="1">
        <f t="shared" si="12"/>
        <v>19.421600000000002</v>
      </c>
      <c r="Y69" s="5">
        <v>40</v>
      </c>
      <c r="Z69" s="5">
        <f t="shared" si="18"/>
        <v>52</v>
      </c>
      <c r="AA69" s="19"/>
      <c r="AB69" s="1">
        <f t="shared" si="6"/>
        <v>5.6848560365778296</v>
      </c>
      <c r="AC69" s="1">
        <f t="shared" si="13"/>
        <v>3.0074247229888367</v>
      </c>
      <c r="AD69" s="1">
        <v>9.282</v>
      </c>
      <c r="AE69" s="1">
        <v>10.1296</v>
      </c>
      <c r="AF69" s="1">
        <v>11.0182</v>
      </c>
      <c r="AG69" s="1">
        <v>11.1456</v>
      </c>
      <c r="AH69" s="1">
        <v>9.0595999999999979</v>
      </c>
      <c r="AI69" s="1">
        <v>17.7364</v>
      </c>
      <c r="AJ69" s="1">
        <v>6.0776000000000003</v>
      </c>
      <c r="AK69" s="1">
        <v>4.7904</v>
      </c>
      <c r="AL69" s="1"/>
      <c r="AM69" s="1">
        <f t="shared" si="7"/>
        <v>52</v>
      </c>
      <c r="AN69" s="1"/>
      <c r="AO69" s="1"/>
      <c r="AP69" s="1"/>
      <c r="AQ69" s="1"/>
      <c r="AR69" s="1"/>
      <c r="AS69" s="1"/>
      <c r="AT69" s="1"/>
      <c r="AU69" s="1"/>
      <c r="AV69" s="1"/>
      <c r="AW69" s="1"/>
    </row>
    <row r="70" spans="1:49" x14ac:dyDescent="0.25">
      <c r="A70" s="1" t="s">
        <v>121</v>
      </c>
      <c r="B70" s="1" t="s">
        <v>40</v>
      </c>
      <c r="C70" s="1">
        <v>176.38499999999999</v>
      </c>
      <c r="D70" s="1">
        <v>280.43099999999998</v>
      </c>
      <c r="E70" s="1">
        <v>162.62</v>
      </c>
      <c r="F70" s="1">
        <v>182.614</v>
      </c>
      <c r="G70" s="7">
        <v>1</v>
      </c>
      <c r="H70" s="1">
        <v>40</v>
      </c>
      <c r="I70" s="1" t="s">
        <v>41</v>
      </c>
      <c r="J70" s="1"/>
      <c r="K70" s="1">
        <v>173.697</v>
      </c>
      <c r="L70" s="1">
        <f t="shared" ref="L70:L101" si="19">E70-K70</f>
        <v>-11.076999999999998</v>
      </c>
      <c r="M70" s="1">
        <f t="shared" ref="M70:M101" si="20">E70-N70</f>
        <v>65.534000000000006</v>
      </c>
      <c r="N70" s="1">
        <v>97.085999999999999</v>
      </c>
      <c r="O70" s="1"/>
      <c r="P70" s="1"/>
      <c r="Q70" s="1"/>
      <c r="R70" s="1"/>
      <c r="S70" s="1"/>
      <c r="T70" s="1"/>
      <c r="U70" s="1"/>
      <c r="V70" s="1"/>
      <c r="W70" s="1">
        <v>0</v>
      </c>
      <c r="X70" s="1">
        <f t="shared" ref="X70:X101" si="21">M70/5</f>
        <v>13.106800000000002</v>
      </c>
      <c r="Y70" s="5"/>
      <c r="Z70" s="5">
        <f t="shared" si="9"/>
        <v>0</v>
      </c>
      <c r="AA70" s="19"/>
      <c r="AB70" s="1">
        <f t="shared" si="6"/>
        <v>13.932767723624377</v>
      </c>
      <c r="AC70" s="1">
        <f t="shared" ref="AC70:AC101" si="22">(F70+O70+P70+Q70+R70+S70+T70+U70+V70+W70)/X70</f>
        <v>13.932767723624377</v>
      </c>
      <c r="AD70" s="1">
        <v>10.066800000000001</v>
      </c>
      <c r="AE70" s="1">
        <v>14.335800000000001</v>
      </c>
      <c r="AF70" s="1">
        <v>32.4208</v>
      </c>
      <c r="AG70" s="1">
        <v>3.311199999999999</v>
      </c>
      <c r="AH70" s="1">
        <v>20.581600000000002</v>
      </c>
      <c r="AI70" s="1">
        <v>30.961200000000002</v>
      </c>
      <c r="AJ70" s="1">
        <v>27.160799999999998</v>
      </c>
      <c r="AK70" s="1">
        <v>17.945</v>
      </c>
      <c r="AL70" s="1"/>
      <c r="AM70" s="1">
        <f t="shared" si="7"/>
        <v>0</v>
      </c>
      <c r="AN70" s="1"/>
      <c r="AO70" s="1"/>
      <c r="AP70" s="1"/>
      <c r="AQ70" s="1"/>
      <c r="AR70" s="1"/>
      <c r="AS70" s="1"/>
      <c r="AT70" s="1"/>
      <c r="AU70" s="1"/>
      <c r="AV70" s="1"/>
      <c r="AW70" s="1"/>
    </row>
    <row r="71" spans="1:49" x14ac:dyDescent="0.25">
      <c r="A71" s="1" t="s">
        <v>122</v>
      </c>
      <c r="B71" s="1" t="s">
        <v>40</v>
      </c>
      <c r="C71" s="1">
        <v>-36.585000000000001</v>
      </c>
      <c r="D71" s="1">
        <v>706.16800000000001</v>
      </c>
      <c r="E71" s="1">
        <v>304.8</v>
      </c>
      <c r="F71" s="1">
        <v>277.315</v>
      </c>
      <c r="G71" s="7">
        <v>1</v>
      </c>
      <c r="H71" s="1">
        <v>40</v>
      </c>
      <c r="I71" s="10" t="s">
        <v>55</v>
      </c>
      <c r="J71" s="1"/>
      <c r="K71" s="1">
        <v>439.87799999999999</v>
      </c>
      <c r="L71" s="1">
        <f t="shared" si="19"/>
        <v>-135.07799999999997</v>
      </c>
      <c r="M71" s="1">
        <f t="shared" si="20"/>
        <v>304.8</v>
      </c>
      <c r="N71" s="1"/>
      <c r="O71" s="1">
        <v>200</v>
      </c>
      <c r="P71" s="1">
        <v>-205</v>
      </c>
      <c r="Q71" s="1"/>
      <c r="R71" s="1"/>
      <c r="S71" s="1"/>
      <c r="T71" s="1"/>
      <c r="U71" s="1">
        <v>200</v>
      </c>
      <c r="V71" s="1"/>
      <c r="W71" s="1">
        <v>0</v>
      </c>
      <c r="X71" s="1">
        <f t="shared" si="21"/>
        <v>60.96</v>
      </c>
      <c r="Y71" s="5">
        <v>200</v>
      </c>
      <c r="Z71" s="5">
        <f t="shared" ref="Z71:Z72" si="23">Y71*1.3</f>
        <v>260</v>
      </c>
      <c r="AA71" s="19"/>
      <c r="AB71" s="1">
        <f t="shared" ref="AB71:AB134" si="24">(F71+O71+P71+Q71+R71+S71+T71+U71+V71+W71+Z71)/X71</f>
        <v>12.013041338582678</v>
      </c>
      <c r="AC71" s="1">
        <f t="shared" si="22"/>
        <v>7.7479494750656164</v>
      </c>
      <c r="AD71" s="1">
        <v>40.290599999999998</v>
      </c>
      <c r="AE71" s="1">
        <v>85.263000000000005</v>
      </c>
      <c r="AF71" s="1">
        <v>100.748</v>
      </c>
      <c r="AG71" s="1">
        <v>83.455400000000012</v>
      </c>
      <c r="AH71" s="1">
        <v>94.111999999999995</v>
      </c>
      <c r="AI71" s="1">
        <v>81.416399999999996</v>
      </c>
      <c r="AJ71" s="1">
        <v>61.898000000000003</v>
      </c>
      <c r="AK71" s="1">
        <v>89.253599999999992</v>
      </c>
      <c r="AL71" s="1"/>
      <c r="AM71" s="1">
        <f t="shared" ref="AM71:AM134" si="25">ROUND(G71*Z71,0)</f>
        <v>260</v>
      </c>
      <c r="AN71" s="1"/>
      <c r="AO71" s="1"/>
      <c r="AP71" s="1"/>
      <c r="AQ71" s="1"/>
      <c r="AR71" s="1"/>
      <c r="AS71" s="1"/>
      <c r="AT71" s="1"/>
      <c r="AU71" s="1"/>
      <c r="AV71" s="1"/>
      <c r="AW71" s="1"/>
    </row>
    <row r="72" spans="1:49" x14ac:dyDescent="0.25">
      <c r="A72" s="1" t="s">
        <v>123</v>
      </c>
      <c r="B72" s="1" t="s">
        <v>40</v>
      </c>
      <c r="C72" s="1">
        <v>-7.7</v>
      </c>
      <c r="D72" s="1">
        <v>267.53899999999999</v>
      </c>
      <c r="E72" s="1">
        <v>103.04900000000001</v>
      </c>
      <c r="F72" s="1">
        <v>66.290999999999997</v>
      </c>
      <c r="G72" s="7">
        <v>1</v>
      </c>
      <c r="H72" s="1">
        <v>40</v>
      </c>
      <c r="I72" s="10" t="s">
        <v>55</v>
      </c>
      <c r="J72" s="1"/>
      <c r="K72" s="1">
        <v>106.858</v>
      </c>
      <c r="L72" s="1">
        <f t="shared" si="19"/>
        <v>-3.8089999999999975</v>
      </c>
      <c r="M72" s="1">
        <f t="shared" si="20"/>
        <v>17.991</v>
      </c>
      <c r="N72" s="1">
        <v>85.058000000000007</v>
      </c>
      <c r="O72" s="1"/>
      <c r="P72" s="1"/>
      <c r="Q72" s="1"/>
      <c r="R72" s="1"/>
      <c r="S72" s="1"/>
      <c r="T72" s="1"/>
      <c r="U72" s="1">
        <v>30</v>
      </c>
      <c r="V72" s="1"/>
      <c r="W72" s="1">
        <v>30</v>
      </c>
      <c r="X72" s="1">
        <f t="shared" si="21"/>
        <v>3.5981999999999998</v>
      </c>
      <c r="Y72" s="5"/>
      <c r="Z72" s="5">
        <f t="shared" si="23"/>
        <v>0</v>
      </c>
      <c r="AA72" s="19"/>
      <c r="AB72" s="1">
        <f t="shared" si="24"/>
        <v>35.098382524595635</v>
      </c>
      <c r="AC72" s="1">
        <f t="shared" si="22"/>
        <v>35.098382524595635</v>
      </c>
      <c r="AD72" s="1">
        <v>1.6362000000000001</v>
      </c>
      <c r="AE72" s="1">
        <v>3.9883999999999999</v>
      </c>
      <c r="AF72" s="1">
        <v>20.392199999999999</v>
      </c>
      <c r="AG72" s="1">
        <v>17.112400000000001</v>
      </c>
      <c r="AH72" s="1">
        <v>30.803799999999999</v>
      </c>
      <c r="AI72" s="1">
        <v>13.1944</v>
      </c>
      <c r="AJ72" s="1">
        <v>3.5874000000000001</v>
      </c>
      <c r="AK72" s="1">
        <v>14.342000000000001</v>
      </c>
      <c r="AL72" s="1"/>
      <c r="AM72" s="1">
        <f t="shared" si="25"/>
        <v>0</v>
      </c>
      <c r="AN72" s="1"/>
      <c r="AO72" s="1"/>
      <c r="AP72" s="1"/>
      <c r="AQ72" s="1"/>
      <c r="AR72" s="1"/>
      <c r="AS72" s="1"/>
      <c r="AT72" s="1"/>
      <c r="AU72" s="1"/>
      <c r="AV72" s="1"/>
      <c r="AW72" s="1"/>
    </row>
    <row r="73" spans="1:49" x14ac:dyDescent="0.25">
      <c r="A73" s="11" t="s">
        <v>124</v>
      </c>
      <c r="B73" s="11" t="s">
        <v>46</v>
      </c>
      <c r="C73" s="11"/>
      <c r="D73" s="11"/>
      <c r="E73" s="11"/>
      <c r="F73" s="11"/>
      <c r="G73" s="12">
        <v>0</v>
      </c>
      <c r="H73" s="11"/>
      <c r="I73" s="11" t="s">
        <v>41</v>
      </c>
      <c r="J73" s="11"/>
      <c r="K73" s="11"/>
      <c r="L73" s="11">
        <f t="shared" si="19"/>
        <v>0</v>
      </c>
      <c r="M73" s="11">
        <f t="shared" si="20"/>
        <v>0</v>
      </c>
      <c r="N73" s="11"/>
      <c r="O73" s="11"/>
      <c r="P73" s="11"/>
      <c r="Q73" s="11"/>
      <c r="R73" s="11"/>
      <c r="S73" s="11"/>
      <c r="T73" s="11"/>
      <c r="U73" s="11"/>
      <c r="V73" s="11"/>
      <c r="W73" s="11">
        <v>0</v>
      </c>
      <c r="X73" s="11">
        <f t="shared" si="21"/>
        <v>0</v>
      </c>
      <c r="Y73" s="13"/>
      <c r="Z73" s="5">
        <f t="shared" ref="Z71:Z134" si="26">Y73</f>
        <v>0</v>
      </c>
      <c r="AA73" s="19"/>
      <c r="AB73" s="1" t="e">
        <f t="shared" si="24"/>
        <v>#DIV/0!</v>
      </c>
      <c r="AC73" s="11" t="e">
        <f t="shared" si="22"/>
        <v>#DIV/0!</v>
      </c>
      <c r="AD73" s="11">
        <v>0</v>
      </c>
      <c r="AE73" s="11">
        <v>0</v>
      </c>
      <c r="AF73" s="11">
        <v>0</v>
      </c>
      <c r="AG73" s="11">
        <v>0</v>
      </c>
      <c r="AH73" s="11">
        <v>0</v>
      </c>
      <c r="AI73" s="11">
        <v>0</v>
      </c>
      <c r="AJ73" s="11">
        <v>0</v>
      </c>
      <c r="AK73" s="11">
        <v>0</v>
      </c>
      <c r="AL73" s="11" t="s">
        <v>66</v>
      </c>
      <c r="AM73" s="1">
        <f t="shared" si="25"/>
        <v>0</v>
      </c>
      <c r="AN73" s="1"/>
      <c r="AO73" s="1"/>
      <c r="AP73" s="1"/>
      <c r="AQ73" s="1"/>
      <c r="AR73" s="1"/>
      <c r="AS73" s="1"/>
      <c r="AT73" s="1"/>
      <c r="AU73" s="1"/>
      <c r="AV73" s="1"/>
      <c r="AW73" s="1"/>
    </row>
    <row r="74" spans="1:49" x14ac:dyDescent="0.25">
      <c r="A74" s="1" t="s">
        <v>125</v>
      </c>
      <c r="B74" s="1" t="s">
        <v>40</v>
      </c>
      <c r="C74" s="1">
        <v>118.727</v>
      </c>
      <c r="D74" s="1">
        <v>823.52700000000004</v>
      </c>
      <c r="E74" s="1">
        <v>167.51400000000001</v>
      </c>
      <c r="F74" s="1">
        <v>704.83900000000006</v>
      </c>
      <c r="G74" s="7">
        <v>1</v>
      </c>
      <c r="H74" s="1">
        <v>30</v>
      </c>
      <c r="I74" s="10" t="s">
        <v>55</v>
      </c>
      <c r="J74" s="1"/>
      <c r="K74" s="1">
        <v>274.3</v>
      </c>
      <c r="L74" s="1">
        <f t="shared" si="19"/>
        <v>-106.786</v>
      </c>
      <c r="M74" s="1">
        <f t="shared" si="20"/>
        <v>167.51400000000001</v>
      </c>
      <c r="N74" s="1"/>
      <c r="O74" s="1"/>
      <c r="P74" s="1"/>
      <c r="Q74" s="1"/>
      <c r="R74" s="1"/>
      <c r="S74" s="1">
        <v>172</v>
      </c>
      <c r="T74" s="1"/>
      <c r="U74" s="1"/>
      <c r="V74" s="1"/>
      <c r="W74" s="1">
        <v>0</v>
      </c>
      <c r="X74" s="1">
        <f t="shared" si="21"/>
        <v>33.502800000000001</v>
      </c>
      <c r="Y74" s="5"/>
      <c r="Z74" s="5">
        <f>Y74*1.3</f>
        <v>0</v>
      </c>
      <c r="AA74" s="19"/>
      <c r="AB74" s="1">
        <f t="shared" si="24"/>
        <v>26.172110987738339</v>
      </c>
      <c r="AC74" s="1">
        <f t="shared" si="22"/>
        <v>26.172110987738339</v>
      </c>
      <c r="AD74" s="1">
        <v>31.885400000000001</v>
      </c>
      <c r="AE74" s="1">
        <v>80.1066</v>
      </c>
      <c r="AF74" s="1">
        <v>96.989400000000003</v>
      </c>
      <c r="AG74" s="1">
        <v>46.159199999999998</v>
      </c>
      <c r="AH74" s="1">
        <v>46.7592</v>
      </c>
      <c r="AI74" s="1">
        <v>74.270200000000003</v>
      </c>
      <c r="AJ74" s="1">
        <v>73.813599999999994</v>
      </c>
      <c r="AK74" s="1">
        <v>59.351199999999992</v>
      </c>
      <c r="AL74" s="16" t="s">
        <v>202</v>
      </c>
      <c r="AM74" s="1">
        <f t="shared" si="25"/>
        <v>0</v>
      </c>
      <c r="AN74" s="1"/>
      <c r="AO74" s="1"/>
      <c r="AP74" s="1"/>
      <c r="AQ74" s="1"/>
      <c r="AR74" s="1"/>
      <c r="AS74" s="1"/>
      <c r="AT74" s="1"/>
      <c r="AU74" s="1"/>
      <c r="AV74" s="1"/>
      <c r="AW74" s="1"/>
    </row>
    <row r="75" spans="1:49" x14ac:dyDescent="0.25">
      <c r="A75" s="11" t="s">
        <v>126</v>
      </c>
      <c r="B75" s="11" t="s">
        <v>46</v>
      </c>
      <c r="C75" s="11">
        <v>-1</v>
      </c>
      <c r="D75" s="11"/>
      <c r="E75" s="11"/>
      <c r="F75" s="11">
        <v>-1</v>
      </c>
      <c r="G75" s="12">
        <v>0</v>
      </c>
      <c r="H75" s="11"/>
      <c r="I75" s="11" t="s">
        <v>58</v>
      </c>
      <c r="J75" s="11"/>
      <c r="K75" s="11"/>
      <c r="L75" s="11">
        <f t="shared" si="19"/>
        <v>0</v>
      </c>
      <c r="M75" s="11">
        <f t="shared" si="20"/>
        <v>0</v>
      </c>
      <c r="N75" s="11"/>
      <c r="O75" s="11"/>
      <c r="P75" s="11"/>
      <c r="Q75" s="11"/>
      <c r="R75" s="11"/>
      <c r="S75" s="11"/>
      <c r="T75" s="11"/>
      <c r="U75" s="11"/>
      <c r="V75" s="11"/>
      <c r="W75" s="11">
        <v>0</v>
      </c>
      <c r="X75" s="11">
        <f t="shared" si="21"/>
        <v>0</v>
      </c>
      <c r="Y75" s="13"/>
      <c r="Z75" s="5">
        <f t="shared" si="26"/>
        <v>0</v>
      </c>
      <c r="AA75" s="19"/>
      <c r="AB75" s="1" t="e">
        <f t="shared" si="24"/>
        <v>#DIV/0!</v>
      </c>
      <c r="AC75" s="11" t="e">
        <f t="shared" si="22"/>
        <v>#DIV/0!</v>
      </c>
      <c r="AD75" s="11">
        <v>0</v>
      </c>
      <c r="AE75" s="11">
        <v>0</v>
      </c>
      <c r="AF75" s="11">
        <v>0</v>
      </c>
      <c r="AG75" s="11">
        <v>0.2</v>
      </c>
      <c r="AH75" s="11">
        <v>0.2</v>
      </c>
      <c r="AI75" s="11">
        <v>0</v>
      </c>
      <c r="AJ75" s="11">
        <v>0</v>
      </c>
      <c r="AK75" s="11">
        <v>0</v>
      </c>
      <c r="AL75" s="11"/>
      <c r="AM75" s="1">
        <f t="shared" si="25"/>
        <v>0</v>
      </c>
      <c r="AN75" s="1"/>
      <c r="AO75" s="1"/>
      <c r="AP75" s="1"/>
      <c r="AQ75" s="1"/>
      <c r="AR75" s="1"/>
      <c r="AS75" s="1"/>
      <c r="AT75" s="1"/>
      <c r="AU75" s="1"/>
      <c r="AV75" s="1"/>
      <c r="AW75" s="1"/>
    </row>
    <row r="76" spans="1:49" x14ac:dyDescent="0.25">
      <c r="A76" s="1" t="s">
        <v>127</v>
      </c>
      <c r="B76" s="1" t="s">
        <v>46</v>
      </c>
      <c r="C76" s="1">
        <v>833</v>
      </c>
      <c r="D76" s="1">
        <v>873</v>
      </c>
      <c r="E76" s="1">
        <v>760</v>
      </c>
      <c r="F76" s="1">
        <v>806</v>
      </c>
      <c r="G76" s="7">
        <v>0.6</v>
      </c>
      <c r="H76" s="1">
        <v>60</v>
      </c>
      <c r="I76" s="1" t="s">
        <v>41</v>
      </c>
      <c r="J76" s="1"/>
      <c r="K76" s="1">
        <v>867</v>
      </c>
      <c r="L76" s="1">
        <f t="shared" si="19"/>
        <v>-107</v>
      </c>
      <c r="M76" s="1">
        <f t="shared" si="20"/>
        <v>760</v>
      </c>
      <c r="N76" s="1"/>
      <c r="O76" s="1"/>
      <c r="P76" s="1"/>
      <c r="Q76" s="1"/>
      <c r="R76" s="1"/>
      <c r="S76" s="1">
        <v>121.6666666666667</v>
      </c>
      <c r="T76" s="1"/>
      <c r="U76" s="1">
        <v>114.6</v>
      </c>
      <c r="V76" s="1"/>
      <c r="W76" s="1">
        <v>840.88400000000013</v>
      </c>
      <c r="X76" s="1">
        <f t="shared" si="21"/>
        <v>152</v>
      </c>
      <c r="Y76" s="5"/>
      <c r="Z76" s="5">
        <f t="shared" ref="Z76:Z77" si="27">Y76+$Z$1*X76</f>
        <v>608</v>
      </c>
      <c r="AA76" s="19"/>
      <c r="AB76" s="1">
        <f t="shared" si="24"/>
        <v>16.389149122807019</v>
      </c>
      <c r="AC76" s="1">
        <f t="shared" si="22"/>
        <v>12.389149122807019</v>
      </c>
      <c r="AD76" s="1">
        <v>139</v>
      </c>
      <c r="AE76" s="1">
        <v>114.6</v>
      </c>
      <c r="AF76" s="1">
        <v>82</v>
      </c>
      <c r="AG76" s="1">
        <v>127.8</v>
      </c>
      <c r="AH76" s="1">
        <v>127.8</v>
      </c>
      <c r="AI76" s="1">
        <v>101.6</v>
      </c>
      <c r="AJ76" s="1">
        <v>91.8</v>
      </c>
      <c r="AK76" s="1">
        <v>71.400000000000006</v>
      </c>
      <c r="AL76" s="1"/>
      <c r="AM76" s="1">
        <f t="shared" si="25"/>
        <v>365</v>
      </c>
      <c r="AN76" s="1"/>
      <c r="AO76" s="1"/>
      <c r="AP76" s="1"/>
      <c r="AQ76" s="1"/>
      <c r="AR76" s="1"/>
      <c r="AS76" s="1"/>
      <c r="AT76" s="1"/>
      <c r="AU76" s="1"/>
      <c r="AV76" s="1"/>
      <c r="AW76" s="1"/>
    </row>
    <row r="77" spans="1:49" x14ac:dyDescent="0.25">
      <c r="A77" s="1" t="s">
        <v>128</v>
      </c>
      <c r="B77" s="1" t="s">
        <v>46</v>
      </c>
      <c r="C77" s="1">
        <v>731</v>
      </c>
      <c r="D77" s="1">
        <v>967</v>
      </c>
      <c r="E77" s="1">
        <v>858</v>
      </c>
      <c r="F77" s="1">
        <v>711</v>
      </c>
      <c r="G77" s="7">
        <v>0.6</v>
      </c>
      <c r="H77" s="1">
        <v>60</v>
      </c>
      <c r="I77" s="1" t="s">
        <v>41</v>
      </c>
      <c r="J77" s="1"/>
      <c r="K77" s="1">
        <v>969</v>
      </c>
      <c r="L77" s="1">
        <f t="shared" si="19"/>
        <v>-111</v>
      </c>
      <c r="M77" s="1">
        <f t="shared" si="20"/>
        <v>858</v>
      </c>
      <c r="N77" s="1"/>
      <c r="O77" s="1"/>
      <c r="P77" s="1"/>
      <c r="Q77" s="1"/>
      <c r="R77" s="1"/>
      <c r="S77" s="1">
        <v>163.33333333333329</v>
      </c>
      <c r="T77" s="1"/>
      <c r="U77" s="1">
        <v>123.8</v>
      </c>
      <c r="V77" s="1"/>
      <c r="W77" s="1">
        <v>695.7600000000001</v>
      </c>
      <c r="X77" s="1">
        <f t="shared" si="21"/>
        <v>171.6</v>
      </c>
      <c r="Y77" s="5">
        <f t="shared" ref="Y77" si="28">11*X77-W77-V77-U77-T77-S77-R77-Q77-P77-O77-F77</f>
        <v>193.70666666666648</v>
      </c>
      <c r="Z77" s="5">
        <f t="shared" si="27"/>
        <v>880.10666666666646</v>
      </c>
      <c r="AA77" s="19"/>
      <c r="AB77" s="1">
        <f t="shared" si="24"/>
        <v>15</v>
      </c>
      <c r="AC77" s="1">
        <f t="shared" si="22"/>
        <v>9.8711732711732729</v>
      </c>
      <c r="AD77" s="1">
        <v>133.80000000000001</v>
      </c>
      <c r="AE77" s="1">
        <v>123.8</v>
      </c>
      <c r="AF77" s="1">
        <v>92.2</v>
      </c>
      <c r="AG77" s="1">
        <v>129.19999999999999</v>
      </c>
      <c r="AH77" s="1">
        <v>129.19999999999999</v>
      </c>
      <c r="AI77" s="1">
        <v>126</v>
      </c>
      <c r="AJ77" s="1">
        <v>88.6</v>
      </c>
      <c r="AK77" s="1">
        <v>74.400000000000006</v>
      </c>
      <c r="AL77" s="1"/>
      <c r="AM77" s="1">
        <f t="shared" si="25"/>
        <v>528</v>
      </c>
      <c r="AN77" s="1"/>
      <c r="AO77" s="1"/>
      <c r="AP77" s="1"/>
      <c r="AQ77" s="1"/>
      <c r="AR77" s="1"/>
      <c r="AS77" s="1"/>
      <c r="AT77" s="1"/>
      <c r="AU77" s="1"/>
      <c r="AV77" s="1"/>
      <c r="AW77" s="1"/>
    </row>
    <row r="78" spans="1:49" x14ac:dyDescent="0.25">
      <c r="A78" s="1" t="s">
        <v>129</v>
      </c>
      <c r="B78" s="1" t="s">
        <v>46</v>
      </c>
      <c r="C78" s="1">
        <v>36</v>
      </c>
      <c r="D78" s="1">
        <v>17</v>
      </c>
      <c r="E78" s="1">
        <v>33</v>
      </c>
      <c r="F78" s="1">
        <v>17</v>
      </c>
      <c r="G78" s="7">
        <v>0.4</v>
      </c>
      <c r="H78" s="1"/>
      <c r="I78" s="1" t="s">
        <v>41</v>
      </c>
      <c r="J78" s="1"/>
      <c r="K78" s="1">
        <v>37</v>
      </c>
      <c r="L78" s="1">
        <f t="shared" si="19"/>
        <v>-4</v>
      </c>
      <c r="M78" s="1">
        <f t="shared" si="20"/>
        <v>33</v>
      </c>
      <c r="N78" s="1"/>
      <c r="O78" s="1"/>
      <c r="P78" s="1"/>
      <c r="Q78" s="1"/>
      <c r="R78" s="1"/>
      <c r="S78" s="1"/>
      <c r="T78" s="1"/>
      <c r="U78" s="1"/>
      <c r="V78" s="1"/>
      <c r="W78" s="1">
        <v>0</v>
      </c>
      <c r="X78" s="1">
        <f t="shared" si="21"/>
        <v>6.6</v>
      </c>
      <c r="Y78" s="5">
        <f>9*X78-W78-V78-U78-T78-S78-R78-Q78-P78-O78-F78</f>
        <v>42.4</v>
      </c>
      <c r="Z78" s="5">
        <f t="shared" si="26"/>
        <v>42.4</v>
      </c>
      <c r="AA78" s="19"/>
      <c r="AB78" s="1">
        <f t="shared" si="24"/>
        <v>9</v>
      </c>
      <c r="AC78" s="1">
        <f t="shared" si="22"/>
        <v>2.5757575757575757</v>
      </c>
      <c r="AD78" s="1">
        <v>3.8</v>
      </c>
      <c r="AE78" s="1">
        <v>4</v>
      </c>
      <c r="AF78" s="1">
        <v>1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 t="s">
        <v>130</v>
      </c>
      <c r="AM78" s="1">
        <f t="shared" si="25"/>
        <v>17</v>
      </c>
      <c r="AN78" s="1"/>
      <c r="AO78" s="1"/>
      <c r="AP78" s="1"/>
      <c r="AQ78" s="1"/>
      <c r="AR78" s="1"/>
      <c r="AS78" s="1"/>
      <c r="AT78" s="1"/>
      <c r="AU78" s="1"/>
      <c r="AV78" s="1"/>
      <c r="AW78" s="1"/>
    </row>
    <row r="79" spans="1:49" x14ac:dyDescent="0.25">
      <c r="A79" s="11" t="s">
        <v>131</v>
      </c>
      <c r="B79" s="11" t="s">
        <v>46</v>
      </c>
      <c r="C79" s="11">
        <v>1</v>
      </c>
      <c r="D79" s="11"/>
      <c r="E79" s="11"/>
      <c r="F79" s="11">
        <v>1</v>
      </c>
      <c r="G79" s="12">
        <v>0</v>
      </c>
      <c r="H79" s="11"/>
      <c r="I79" s="11" t="s">
        <v>41</v>
      </c>
      <c r="J79" s="11"/>
      <c r="K79" s="11"/>
      <c r="L79" s="11">
        <f t="shared" si="19"/>
        <v>0</v>
      </c>
      <c r="M79" s="11">
        <f t="shared" si="20"/>
        <v>0</v>
      </c>
      <c r="N79" s="11"/>
      <c r="O79" s="11"/>
      <c r="P79" s="11"/>
      <c r="Q79" s="11"/>
      <c r="R79" s="11"/>
      <c r="S79" s="11"/>
      <c r="T79" s="11"/>
      <c r="U79" s="11"/>
      <c r="V79" s="11"/>
      <c r="W79" s="11">
        <v>0</v>
      </c>
      <c r="X79" s="11">
        <f t="shared" si="21"/>
        <v>0</v>
      </c>
      <c r="Y79" s="13"/>
      <c r="Z79" s="5">
        <f t="shared" si="26"/>
        <v>0</v>
      </c>
      <c r="AA79" s="19"/>
      <c r="AB79" s="1" t="e">
        <f t="shared" si="24"/>
        <v>#DIV/0!</v>
      </c>
      <c r="AC79" s="11" t="e">
        <f t="shared" si="22"/>
        <v>#DIV/0!</v>
      </c>
      <c r="AD79" s="11">
        <v>0</v>
      </c>
      <c r="AE79" s="11">
        <v>0</v>
      </c>
      <c r="AF79" s="11">
        <v>0</v>
      </c>
      <c r="AG79" s="11">
        <v>0</v>
      </c>
      <c r="AH79" s="11">
        <v>0</v>
      </c>
      <c r="AI79" s="11">
        <v>0.2</v>
      </c>
      <c r="AJ79" s="11">
        <v>0.2</v>
      </c>
      <c r="AK79" s="11">
        <v>0</v>
      </c>
      <c r="AL79" s="11" t="s">
        <v>66</v>
      </c>
      <c r="AM79" s="1">
        <f t="shared" si="25"/>
        <v>0</v>
      </c>
      <c r="AN79" s="1"/>
      <c r="AO79" s="1"/>
      <c r="AP79" s="1"/>
      <c r="AQ79" s="1"/>
      <c r="AR79" s="1"/>
      <c r="AS79" s="1"/>
      <c r="AT79" s="1"/>
      <c r="AU79" s="1"/>
      <c r="AV79" s="1"/>
      <c r="AW79" s="1"/>
    </row>
    <row r="80" spans="1:49" x14ac:dyDescent="0.25">
      <c r="A80" s="1" t="s">
        <v>132</v>
      </c>
      <c r="B80" s="1" t="s">
        <v>46</v>
      </c>
      <c r="C80" s="1">
        <v>28</v>
      </c>
      <c r="D80" s="1">
        <v>64</v>
      </c>
      <c r="E80" s="1">
        <v>10</v>
      </c>
      <c r="F80" s="1">
        <v>75</v>
      </c>
      <c r="G80" s="7">
        <v>0.35</v>
      </c>
      <c r="H80" s="1">
        <v>90</v>
      </c>
      <c r="I80" s="1" t="s">
        <v>41</v>
      </c>
      <c r="J80" s="1"/>
      <c r="K80" s="1">
        <v>31</v>
      </c>
      <c r="L80" s="1">
        <f t="shared" si="19"/>
        <v>-21</v>
      </c>
      <c r="M80" s="1">
        <f t="shared" si="20"/>
        <v>10</v>
      </c>
      <c r="N80" s="1"/>
      <c r="O80" s="1"/>
      <c r="P80" s="1"/>
      <c r="Q80" s="1"/>
      <c r="R80" s="1"/>
      <c r="S80" s="1"/>
      <c r="T80" s="1"/>
      <c r="U80" s="1"/>
      <c r="V80" s="1"/>
      <c r="W80" s="1">
        <v>0</v>
      </c>
      <c r="X80" s="1">
        <f t="shared" si="21"/>
        <v>2</v>
      </c>
      <c r="Y80" s="5"/>
      <c r="Z80" s="5">
        <f t="shared" si="26"/>
        <v>0</v>
      </c>
      <c r="AA80" s="19"/>
      <c r="AB80" s="1">
        <f t="shared" si="24"/>
        <v>37.5</v>
      </c>
      <c r="AC80" s="1">
        <f t="shared" si="22"/>
        <v>37.5</v>
      </c>
      <c r="AD80" s="1">
        <v>5.6</v>
      </c>
      <c r="AE80" s="1">
        <v>7.2</v>
      </c>
      <c r="AF80" s="1">
        <v>5.2</v>
      </c>
      <c r="AG80" s="1">
        <v>4</v>
      </c>
      <c r="AH80" s="1">
        <v>4</v>
      </c>
      <c r="AI80" s="1">
        <v>8.8000000000000007</v>
      </c>
      <c r="AJ80" s="1">
        <v>7.2</v>
      </c>
      <c r="AK80" s="1">
        <v>9.4</v>
      </c>
      <c r="AL80" s="18" t="s">
        <v>53</v>
      </c>
      <c r="AM80" s="1">
        <f t="shared" si="25"/>
        <v>0</v>
      </c>
      <c r="AN80" s="1"/>
      <c r="AO80" s="1"/>
      <c r="AP80" s="1"/>
      <c r="AQ80" s="1"/>
      <c r="AR80" s="1"/>
      <c r="AS80" s="1"/>
      <c r="AT80" s="1"/>
      <c r="AU80" s="1"/>
      <c r="AV80" s="1"/>
      <c r="AW80" s="1"/>
    </row>
    <row r="81" spans="1:49" x14ac:dyDescent="0.25">
      <c r="A81" s="1" t="s">
        <v>133</v>
      </c>
      <c r="B81" s="1" t="s">
        <v>46</v>
      </c>
      <c r="C81" s="1">
        <v>204</v>
      </c>
      <c r="D81" s="1">
        <v>97</v>
      </c>
      <c r="E81" s="1">
        <v>171</v>
      </c>
      <c r="F81" s="1">
        <v>118</v>
      </c>
      <c r="G81" s="7">
        <v>0.37</v>
      </c>
      <c r="H81" s="1">
        <v>50</v>
      </c>
      <c r="I81" s="1" t="s">
        <v>41</v>
      </c>
      <c r="J81" s="1"/>
      <c r="K81" s="1">
        <v>190</v>
      </c>
      <c r="L81" s="1">
        <f t="shared" si="19"/>
        <v>-19</v>
      </c>
      <c r="M81" s="1">
        <f t="shared" si="20"/>
        <v>171</v>
      </c>
      <c r="N81" s="1"/>
      <c r="O81" s="1"/>
      <c r="P81" s="1"/>
      <c r="Q81" s="1"/>
      <c r="R81" s="1"/>
      <c r="S81" s="1"/>
      <c r="T81" s="1"/>
      <c r="U81" s="1"/>
      <c r="V81" s="1"/>
      <c r="W81" s="1">
        <v>218.72</v>
      </c>
      <c r="X81" s="1">
        <f t="shared" si="21"/>
        <v>34.200000000000003</v>
      </c>
      <c r="Y81" s="5">
        <f t="shared" ref="Y81:Y84" si="29">11*X81-W81-V81-U81-T81-S81-R81-Q81-P81-O81-F81</f>
        <v>39.480000000000047</v>
      </c>
      <c r="Z81" s="5">
        <f>Y81+$Z$1*X81</f>
        <v>176.28000000000006</v>
      </c>
      <c r="AA81" s="19"/>
      <c r="AB81" s="1">
        <f t="shared" si="24"/>
        <v>15.000000000000002</v>
      </c>
      <c r="AC81" s="1">
        <f t="shared" si="22"/>
        <v>9.8456140350877188</v>
      </c>
      <c r="AD81" s="1">
        <v>25.6</v>
      </c>
      <c r="AE81" s="1">
        <v>18.2</v>
      </c>
      <c r="AF81" s="1">
        <v>21.2</v>
      </c>
      <c r="AG81" s="1">
        <v>30.6</v>
      </c>
      <c r="AH81" s="1">
        <v>30.6</v>
      </c>
      <c r="AI81" s="1">
        <v>27.4</v>
      </c>
      <c r="AJ81" s="1">
        <v>35.4</v>
      </c>
      <c r="AK81" s="1">
        <v>29.4</v>
      </c>
      <c r="AL81" s="1"/>
      <c r="AM81" s="1">
        <f t="shared" si="25"/>
        <v>65</v>
      </c>
      <c r="AN81" s="1"/>
      <c r="AO81" s="1"/>
      <c r="AP81" s="1"/>
      <c r="AQ81" s="1"/>
      <c r="AR81" s="1"/>
      <c r="AS81" s="1"/>
      <c r="AT81" s="1"/>
      <c r="AU81" s="1"/>
      <c r="AV81" s="1"/>
      <c r="AW81" s="1"/>
    </row>
    <row r="82" spans="1:49" x14ac:dyDescent="0.25">
      <c r="A82" s="1" t="s">
        <v>134</v>
      </c>
      <c r="B82" s="1" t="s">
        <v>46</v>
      </c>
      <c r="C82" s="1">
        <v>323</v>
      </c>
      <c r="D82" s="1">
        <v>259</v>
      </c>
      <c r="E82" s="1">
        <v>318</v>
      </c>
      <c r="F82" s="1">
        <v>222</v>
      </c>
      <c r="G82" s="7">
        <v>0.6</v>
      </c>
      <c r="H82" s="1">
        <v>70</v>
      </c>
      <c r="I82" s="9" t="s">
        <v>48</v>
      </c>
      <c r="J82" s="1"/>
      <c r="K82" s="1">
        <v>378</v>
      </c>
      <c r="L82" s="1">
        <f t="shared" si="19"/>
        <v>-60</v>
      </c>
      <c r="M82" s="1">
        <f t="shared" si="20"/>
        <v>318</v>
      </c>
      <c r="N82" s="1"/>
      <c r="O82" s="1"/>
      <c r="P82" s="1"/>
      <c r="Q82" s="1"/>
      <c r="R82" s="1"/>
      <c r="S82" s="1"/>
      <c r="T82" s="1"/>
      <c r="U82" s="1"/>
      <c r="V82" s="1"/>
      <c r="W82" s="1">
        <v>293.72000000000008</v>
      </c>
      <c r="X82" s="1">
        <f t="shared" si="21"/>
        <v>63.6</v>
      </c>
      <c r="Y82" s="5">
        <f t="shared" si="29"/>
        <v>183.87999999999994</v>
      </c>
      <c r="Z82" s="5">
        <f t="shared" si="26"/>
        <v>183.87999999999994</v>
      </c>
      <c r="AA82" s="19"/>
      <c r="AB82" s="1">
        <f t="shared" si="24"/>
        <v>10.999999999999998</v>
      </c>
      <c r="AC82" s="1">
        <f t="shared" si="22"/>
        <v>8.1088050314465416</v>
      </c>
      <c r="AD82" s="1">
        <v>44.6</v>
      </c>
      <c r="AE82" s="1">
        <v>41.8</v>
      </c>
      <c r="AF82" s="1">
        <v>40.799999999999997</v>
      </c>
      <c r="AG82" s="1">
        <v>61.8</v>
      </c>
      <c r="AH82" s="1">
        <v>61.8</v>
      </c>
      <c r="AI82" s="1">
        <v>34.200000000000003</v>
      </c>
      <c r="AJ82" s="1">
        <v>32.6</v>
      </c>
      <c r="AK82" s="1">
        <v>19.600000000000001</v>
      </c>
      <c r="AL82" s="1" t="s">
        <v>135</v>
      </c>
      <c r="AM82" s="1">
        <f t="shared" si="25"/>
        <v>110</v>
      </c>
      <c r="AN82" s="1"/>
      <c r="AO82" s="1"/>
      <c r="AP82" s="1"/>
      <c r="AQ82" s="1"/>
      <c r="AR82" s="1"/>
      <c r="AS82" s="1"/>
      <c r="AT82" s="1"/>
      <c r="AU82" s="1"/>
      <c r="AV82" s="1"/>
      <c r="AW82" s="1"/>
    </row>
    <row r="83" spans="1:49" x14ac:dyDescent="0.25">
      <c r="A83" s="1" t="s">
        <v>136</v>
      </c>
      <c r="B83" s="1" t="s">
        <v>46</v>
      </c>
      <c r="C83" s="1">
        <v>133</v>
      </c>
      <c r="D83" s="1">
        <v>522</v>
      </c>
      <c r="E83" s="1">
        <v>177</v>
      </c>
      <c r="F83" s="1">
        <v>447</v>
      </c>
      <c r="G83" s="7">
        <v>0.33</v>
      </c>
      <c r="H83" s="1">
        <v>40</v>
      </c>
      <c r="I83" s="1" t="s">
        <v>41</v>
      </c>
      <c r="J83" s="1"/>
      <c r="K83" s="1">
        <v>227</v>
      </c>
      <c r="L83" s="1">
        <f t="shared" si="19"/>
        <v>-50</v>
      </c>
      <c r="M83" s="1">
        <f t="shared" si="20"/>
        <v>177</v>
      </c>
      <c r="N83" s="1"/>
      <c r="O83" s="1"/>
      <c r="P83" s="1"/>
      <c r="Q83" s="1"/>
      <c r="R83" s="1"/>
      <c r="S83" s="1">
        <v>154.5454545454545</v>
      </c>
      <c r="T83" s="1"/>
      <c r="U83" s="1">
        <v>62</v>
      </c>
      <c r="V83" s="1"/>
      <c r="W83" s="1">
        <v>404.31999999999988</v>
      </c>
      <c r="X83" s="1">
        <f t="shared" si="21"/>
        <v>35.4</v>
      </c>
      <c r="Y83" s="5"/>
      <c r="Z83" s="5">
        <f t="shared" si="26"/>
        <v>0</v>
      </c>
      <c r="AA83" s="19"/>
      <c r="AB83" s="1">
        <f t="shared" si="24"/>
        <v>30.165690806368772</v>
      </c>
      <c r="AC83" s="1">
        <f t="shared" si="22"/>
        <v>30.165690806368772</v>
      </c>
      <c r="AD83" s="1">
        <v>69.599999999999994</v>
      </c>
      <c r="AE83" s="1">
        <v>62</v>
      </c>
      <c r="AF83" s="1">
        <v>50.8</v>
      </c>
      <c r="AG83" s="1">
        <v>41.2</v>
      </c>
      <c r="AH83" s="1">
        <v>49.6</v>
      </c>
      <c r="AI83" s="1">
        <v>42</v>
      </c>
      <c r="AJ83" s="1">
        <v>24.8</v>
      </c>
      <c r="AK83" s="1">
        <v>34.4</v>
      </c>
      <c r="AL83" s="1"/>
      <c r="AM83" s="1">
        <f t="shared" si="25"/>
        <v>0</v>
      </c>
      <c r="AN83" s="1"/>
      <c r="AO83" s="1"/>
      <c r="AP83" s="1"/>
      <c r="AQ83" s="1"/>
      <c r="AR83" s="1"/>
      <c r="AS83" s="1"/>
      <c r="AT83" s="1"/>
      <c r="AU83" s="1"/>
      <c r="AV83" s="1"/>
      <c r="AW83" s="1"/>
    </row>
    <row r="84" spans="1:49" x14ac:dyDescent="0.25">
      <c r="A84" s="1" t="s">
        <v>137</v>
      </c>
      <c r="B84" s="1" t="s">
        <v>46</v>
      </c>
      <c r="C84" s="1">
        <v>85</v>
      </c>
      <c r="D84" s="1">
        <v>64</v>
      </c>
      <c r="E84" s="1">
        <v>47</v>
      </c>
      <c r="F84" s="1">
        <v>95</v>
      </c>
      <c r="G84" s="7">
        <v>0.4</v>
      </c>
      <c r="H84" s="1">
        <v>55</v>
      </c>
      <c r="I84" s="1" t="s">
        <v>41</v>
      </c>
      <c r="J84" s="1"/>
      <c r="K84" s="1">
        <v>56</v>
      </c>
      <c r="L84" s="1">
        <f t="shared" si="19"/>
        <v>-9</v>
      </c>
      <c r="M84" s="1">
        <f t="shared" si="20"/>
        <v>47</v>
      </c>
      <c r="N84" s="1"/>
      <c r="O84" s="1"/>
      <c r="P84" s="1"/>
      <c r="Q84" s="1"/>
      <c r="R84" s="1"/>
      <c r="S84" s="1"/>
      <c r="T84" s="1"/>
      <c r="U84" s="1"/>
      <c r="V84" s="1"/>
      <c r="W84" s="1">
        <v>0</v>
      </c>
      <c r="X84" s="1">
        <f t="shared" si="21"/>
        <v>9.4</v>
      </c>
      <c r="Y84" s="5">
        <f t="shared" si="29"/>
        <v>8.4000000000000057</v>
      </c>
      <c r="Z84" s="5">
        <f t="shared" si="26"/>
        <v>8.4000000000000057</v>
      </c>
      <c r="AA84" s="19"/>
      <c r="AB84" s="1">
        <f t="shared" si="24"/>
        <v>11</v>
      </c>
      <c r="AC84" s="1">
        <f t="shared" si="22"/>
        <v>10.106382978723405</v>
      </c>
      <c r="AD84" s="1">
        <v>11</v>
      </c>
      <c r="AE84" s="1">
        <v>11.2</v>
      </c>
      <c r="AF84" s="1">
        <v>5.8</v>
      </c>
      <c r="AG84" s="1">
        <v>13.2</v>
      </c>
      <c r="AH84" s="1">
        <v>13.2</v>
      </c>
      <c r="AI84" s="1">
        <v>12.8</v>
      </c>
      <c r="AJ84" s="1">
        <v>9.6</v>
      </c>
      <c r="AK84" s="1">
        <v>8.6</v>
      </c>
      <c r="AL84" s="1"/>
      <c r="AM84" s="1">
        <f t="shared" si="25"/>
        <v>3</v>
      </c>
      <c r="AN84" s="1"/>
      <c r="AO84" s="1"/>
      <c r="AP84" s="1"/>
      <c r="AQ84" s="1"/>
      <c r="AR84" s="1"/>
      <c r="AS84" s="1"/>
      <c r="AT84" s="1"/>
      <c r="AU84" s="1"/>
      <c r="AV84" s="1"/>
      <c r="AW84" s="1"/>
    </row>
    <row r="85" spans="1:49" x14ac:dyDescent="0.25">
      <c r="A85" s="1" t="s">
        <v>138</v>
      </c>
      <c r="B85" s="1" t="s">
        <v>46</v>
      </c>
      <c r="C85" s="1">
        <v>67</v>
      </c>
      <c r="D85" s="1">
        <v>3</v>
      </c>
      <c r="E85" s="1">
        <v>70</v>
      </c>
      <c r="F85" s="1">
        <v>-3</v>
      </c>
      <c r="G85" s="7">
        <v>0.35</v>
      </c>
      <c r="H85" s="1">
        <v>40</v>
      </c>
      <c r="I85" s="10" t="s">
        <v>55</v>
      </c>
      <c r="J85" s="1"/>
      <c r="K85" s="1">
        <v>92</v>
      </c>
      <c r="L85" s="1">
        <f t="shared" si="19"/>
        <v>-22</v>
      </c>
      <c r="M85" s="1">
        <f t="shared" si="20"/>
        <v>70</v>
      </c>
      <c r="N85" s="1"/>
      <c r="O85" s="1">
        <v>100</v>
      </c>
      <c r="P85" s="1">
        <v>-102.8571428571429</v>
      </c>
      <c r="Q85" s="1"/>
      <c r="R85" s="1"/>
      <c r="S85" s="1"/>
      <c r="T85" s="1"/>
      <c r="U85" s="1">
        <v>100</v>
      </c>
      <c r="V85" s="1"/>
      <c r="W85" s="1">
        <v>100</v>
      </c>
      <c r="X85" s="1">
        <f t="shared" si="21"/>
        <v>14</v>
      </c>
      <c r="Y85" s="5">
        <v>100</v>
      </c>
      <c r="Z85" s="5">
        <f t="shared" ref="Z85:Z86" si="30">Y85*1.3</f>
        <v>130</v>
      </c>
      <c r="AA85" s="19"/>
      <c r="AB85" s="1">
        <f t="shared" si="24"/>
        <v>23.153061224489793</v>
      </c>
      <c r="AC85" s="1">
        <f t="shared" si="22"/>
        <v>13.867346938775508</v>
      </c>
      <c r="AD85" s="1">
        <v>31.6</v>
      </c>
      <c r="AE85" s="1">
        <v>57.2</v>
      </c>
      <c r="AF85" s="1">
        <v>52.2</v>
      </c>
      <c r="AG85" s="1">
        <v>19.600000000000001</v>
      </c>
      <c r="AH85" s="1">
        <v>19.600000000000001</v>
      </c>
      <c r="AI85" s="1">
        <v>50</v>
      </c>
      <c r="AJ85" s="1">
        <v>40</v>
      </c>
      <c r="AK85" s="1">
        <v>12.4</v>
      </c>
      <c r="AL85" s="1"/>
      <c r="AM85" s="1">
        <f t="shared" si="25"/>
        <v>46</v>
      </c>
      <c r="AN85" s="1"/>
      <c r="AO85" s="1"/>
      <c r="AP85" s="1"/>
      <c r="AQ85" s="1"/>
      <c r="AR85" s="1"/>
      <c r="AS85" s="1"/>
      <c r="AT85" s="1"/>
      <c r="AU85" s="1"/>
      <c r="AV85" s="1"/>
      <c r="AW85" s="1"/>
    </row>
    <row r="86" spans="1:49" x14ac:dyDescent="0.25">
      <c r="A86" s="1" t="s">
        <v>139</v>
      </c>
      <c r="B86" s="1" t="s">
        <v>46</v>
      </c>
      <c r="C86" s="1">
        <v>14</v>
      </c>
      <c r="D86" s="1">
        <v>399</v>
      </c>
      <c r="E86" s="1">
        <v>298</v>
      </c>
      <c r="F86" s="1">
        <v>-8</v>
      </c>
      <c r="G86" s="7">
        <v>0.35</v>
      </c>
      <c r="H86" s="1">
        <v>45</v>
      </c>
      <c r="I86" s="10" t="s">
        <v>55</v>
      </c>
      <c r="J86" s="1"/>
      <c r="K86" s="1">
        <v>399</v>
      </c>
      <c r="L86" s="1">
        <f t="shared" si="19"/>
        <v>-101</v>
      </c>
      <c r="M86" s="1">
        <f t="shared" si="20"/>
        <v>208</v>
      </c>
      <c r="N86" s="1">
        <v>90</v>
      </c>
      <c r="O86" s="1">
        <v>100</v>
      </c>
      <c r="P86" s="1"/>
      <c r="Q86" s="1"/>
      <c r="R86" s="1"/>
      <c r="S86" s="1"/>
      <c r="T86" s="1"/>
      <c r="U86" s="1">
        <v>150</v>
      </c>
      <c r="V86" s="1"/>
      <c r="W86" s="1">
        <v>50</v>
      </c>
      <c r="X86" s="1">
        <f t="shared" si="21"/>
        <v>41.6</v>
      </c>
      <c r="Y86" s="5">
        <v>150</v>
      </c>
      <c r="Z86" s="5">
        <f t="shared" si="30"/>
        <v>195</v>
      </c>
      <c r="AA86" s="19"/>
      <c r="AB86" s="1">
        <f t="shared" si="24"/>
        <v>11.706730769230768</v>
      </c>
      <c r="AC86" s="1">
        <f t="shared" si="22"/>
        <v>7.0192307692307692</v>
      </c>
      <c r="AD86" s="1">
        <v>37.4</v>
      </c>
      <c r="AE86" s="1">
        <v>49.2</v>
      </c>
      <c r="AF86" s="1">
        <v>41</v>
      </c>
      <c r="AG86" s="1">
        <v>-30.6</v>
      </c>
      <c r="AH86" s="1">
        <v>-0.6</v>
      </c>
      <c r="AI86" s="1">
        <v>0</v>
      </c>
      <c r="AJ86" s="1">
        <v>2.8</v>
      </c>
      <c r="AK86" s="1">
        <v>74.400000000000006</v>
      </c>
      <c r="AL86" s="1"/>
      <c r="AM86" s="1">
        <f t="shared" si="25"/>
        <v>68</v>
      </c>
      <c r="AN86" s="1"/>
      <c r="AO86" s="1"/>
      <c r="AP86" s="1"/>
      <c r="AQ86" s="1"/>
      <c r="AR86" s="1"/>
      <c r="AS86" s="1"/>
      <c r="AT86" s="1"/>
      <c r="AU86" s="1"/>
      <c r="AV86" s="1"/>
      <c r="AW86" s="1"/>
    </row>
    <row r="87" spans="1:49" x14ac:dyDescent="0.25">
      <c r="A87" s="11" t="s">
        <v>140</v>
      </c>
      <c r="B87" s="11" t="s">
        <v>40</v>
      </c>
      <c r="C87" s="11">
        <v>-5.4409999999999998</v>
      </c>
      <c r="D87" s="11">
        <v>5.4409999999999998</v>
      </c>
      <c r="E87" s="11"/>
      <c r="F87" s="11"/>
      <c r="G87" s="12">
        <v>0</v>
      </c>
      <c r="H87" s="11"/>
      <c r="I87" s="11" t="s">
        <v>58</v>
      </c>
      <c r="J87" s="11" t="s">
        <v>44</v>
      </c>
      <c r="K87" s="11"/>
      <c r="L87" s="11">
        <f t="shared" si="19"/>
        <v>0</v>
      </c>
      <c r="M87" s="11">
        <f t="shared" si="20"/>
        <v>0</v>
      </c>
      <c r="N87" s="11"/>
      <c r="O87" s="11"/>
      <c r="P87" s="11"/>
      <c r="Q87" s="11"/>
      <c r="R87" s="11"/>
      <c r="S87" s="11"/>
      <c r="T87" s="11"/>
      <c r="U87" s="11"/>
      <c r="V87" s="11"/>
      <c r="W87" s="11">
        <v>0</v>
      </c>
      <c r="X87" s="11">
        <f t="shared" si="21"/>
        <v>0</v>
      </c>
      <c r="Y87" s="13"/>
      <c r="Z87" s="5">
        <f t="shared" si="26"/>
        <v>0</v>
      </c>
      <c r="AA87" s="19"/>
      <c r="AB87" s="1" t="e">
        <f t="shared" si="24"/>
        <v>#DIV/0!</v>
      </c>
      <c r="AC87" s="11" t="e">
        <f t="shared" si="22"/>
        <v>#DIV/0!</v>
      </c>
      <c r="AD87" s="11">
        <v>0</v>
      </c>
      <c r="AE87" s="11">
        <v>0</v>
      </c>
      <c r="AF87" s="11">
        <v>0</v>
      </c>
      <c r="AG87" s="11">
        <v>0</v>
      </c>
      <c r="AH87" s="11">
        <v>0</v>
      </c>
      <c r="AI87" s="11">
        <v>0</v>
      </c>
      <c r="AJ87" s="11">
        <v>1.0882000000000001</v>
      </c>
      <c r="AK87" s="11">
        <v>1.0882000000000001</v>
      </c>
      <c r="AL87" s="11"/>
      <c r="AM87" s="1">
        <f t="shared" si="25"/>
        <v>0</v>
      </c>
      <c r="AN87" s="1"/>
      <c r="AO87" s="1"/>
      <c r="AP87" s="1"/>
      <c r="AQ87" s="1"/>
      <c r="AR87" s="1"/>
      <c r="AS87" s="1"/>
      <c r="AT87" s="1"/>
      <c r="AU87" s="1"/>
      <c r="AV87" s="1"/>
      <c r="AW87" s="1"/>
    </row>
    <row r="88" spans="1:49" x14ac:dyDescent="0.25">
      <c r="A88" s="1" t="s">
        <v>141</v>
      </c>
      <c r="B88" s="1" t="s">
        <v>46</v>
      </c>
      <c r="C88" s="1">
        <v>103</v>
      </c>
      <c r="D88" s="1"/>
      <c r="E88" s="1">
        <v>21</v>
      </c>
      <c r="F88" s="1">
        <v>82</v>
      </c>
      <c r="G88" s="7">
        <v>0.4</v>
      </c>
      <c r="H88" s="1">
        <v>55</v>
      </c>
      <c r="I88" s="1" t="s">
        <v>41</v>
      </c>
      <c r="J88" s="1"/>
      <c r="K88" s="1">
        <v>21</v>
      </c>
      <c r="L88" s="1">
        <f t="shared" si="19"/>
        <v>0</v>
      </c>
      <c r="M88" s="1">
        <f t="shared" si="20"/>
        <v>21</v>
      </c>
      <c r="N88" s="1"/>
      <c r="O88" s="1"/>
      <c r="P88" s="1"/>
      <c r="Q88" s="1"/>
      <c r="R88" s="1"/>
      <c r="S88" s="1"/>
      <c r="T88" s="1"/>
      <c r="U88" s="1"/>
      <c r="V88" s="1"/>
      <c r="W88" s="1">
        <v>0</v>
      </c>
      <c r="X88" s="1">
        <f t="shared" si="21"/>
        <v>4.2</v>
      </c>
      <c r="Y88" s="5"/>
      <c r="Z88" s="5">
        <f t="shared" si="26"/>
        <v>0</v>
      </c>
      <c r="AA88" s="19"/>
      <c r="AB88" s="1">
        <f t="shared" si="24"/>
        <v>19.523809523809522</v>
      </c>
      <c r="AC88" s="1">
        <f t="shared" si="22"/>
        <v>19.523809523809522</v>
      </c>
      <c r="AD88" s="1">
        <v>4.2</v>
      </c>
      <c r="AE88" s="1">
        <v>0</v>
      </c>
      <c r="AF88" s="1">
        <v>0</v>
      </c>
      <c r="AG88" s="1">
        <v>0.4</v>
      </c>
      <c r="AH88" s="1">
        <v>0.4</v>
      </c>
      <c r="AI88" s="1">
        <v>8.6</v>
      </c>
      <c r="AJ88" s="1">
        <v>8.6</v>
      </c>
      <c r="AK88" s="1">
        <v>4.4000000000000004</v>
      </c>
      <c r="AL88" s="18" t="s">
        <v>53</v>
      </c>
      <c r="AM88" s="1">
        <f t="shared" si="25"/>
        <v>0</v>
      </c>
      <c r="AN88" s="1"/>
      <c r="AO88" s="1"/>
      <c r="AP88" s="1"/>
      <c r="AQ88" s="1"/>
      <c r="AR88" s="1"/>
      <c r="AS88" s="1"/>
      <c r="AT88" s="1"/>
      <c r="AU88" s="1"/>
      <c r="AV88" s="1"/>
      <c r="AW88" s="1"/>
    </row>
    <row r="89" spans="1:49" x14ac:dyDescent="0.25">
      <c r="A89" s="1" t="s">
        <v>142</v>
      </c>
      <c r="B89" s="1" t="s">
        <v>40</v>
      </c>
      <c r="C89" s="1">
        <v>25.260999999999999</v>
      </c>
      <c r="D89" s="1"/>
      <c r="E89" s="1">
        <v>1.5</v>
      </c>
      <c r="F89" s="1">
        <v>22.306000000000001</v>
      </c>
      <c r="G89" s="7">
        <v>1</v>
      </c>
      <c r="H89" s="1">
        <v>55</v>
      </c>
      <c r="I89" s="1" t="s">
        <v>41</v>
      </c>
      <c r="J89" s="1"/>
      <c r="K89" s="1">
        <v>6.8</v>
      </c>
      <c r="L89" s="1">
        <f t="shared" si="19"/>
        <v>-5.3</v>
      </c>
      <c r="M89" s="1">
        <f t="shared" si="20"/>
        <v>1.5</v>
      </c>
      <c r="N89" s="1"/>
      <c r="O89" s="1"/>
      <c r="P89" s="1"/>
      <c r="Q89" s="1"/>
      <c r="R89" s="1"/>
      <c r="S89" s="1"/>
      <c r="T89" s="1"/>
      <c r="U89" s="1"/>
      <c r="V89" s="1"/>
      <c r="W89" s="1">
        <v>0</v>
      </c>
      <c r="X89" s="1">
        <f t="shared" si="21"/>
        <v>0.3</v>
      </c>
      <c r="Y89" s="5"/>
      <c r="Z89" s="5">
        <f t="shared" si="26"/>
        <v>0</v>
      </c>
      <c r="AA89" s="19"/>
      <c r="AB89" s="1">
        <f t="shared" si="24"/>
        <v>74.353333333333339</v>
      </c>
      <c r="AC89" s="1">
        <f t="shared" si="22"/>
        <v>74.353333333333339</v>
      </c>
      <c r="AD89" s="1">
        <v>0.56580000000000008</v>
      </c>
      <c r="AE89" s="1">
        <v>0.85500000000000009</v>
      </c>
      <c r="AF89" s="1">
        <v>0.5796</v>
      </c>
      <c r="AG89" s="1">
        <v>0.81820000000000004</v>
      </c>
      <c r="AH89" s="1">
        <v>0.81820000000000004</v>
      </c>
      <c r="AI89" s="1">
        <v>1.704</v>
      </c>
      <c r="AJ89" s="1">
        <v>2.0099999999999998</v>
      </c>
      <c r="AK89" s="1">
        <v>1.7163999999999999</v>
      </c>
      <c r="AL89" s="18" t="s">
        <v>53</v>
      </c>
      <c r="AM89" s="1">
        <f t="shared" si="25"/>
        <v>0</v>
      </c>
      <c r="AN89" s="1"/>
      <c r="AO89" s="1"/>
      <c r="AP89" s="1"/>
      <c r="AQ89" s="1"/>
      <c r="AR89" s="1"/>
      <c r="AS89" s="1"/>
      <c r="AT89" s="1"/>
      <c r="AU89" s="1"/>
      <c r="AV89" s="1"/>
      <c r="AW89" s="1"/>
    </row>
    <row r="90" spans="1:49" x14ac:dyDescent="0.25">
      <c r="A90" s="11" t="s">
        <v>143</v>
      </c>
      <c r="B90" s="11" t="s">
        <v>40</v>
      </c>
      <c r="C90" s="11"/>
      <c r="D90" s="11"/>
      <c r="E90" s="11"/>
      <c r="F90" s="11"/>
      <c r="G90" s="12">
        <v>0</v>
      </c>
      <c r="H90" s="11"/>
      <c r="I90" s="11" t="s">
        <v>41</v>
      </c>
      <c r="J90" s="11"/>
      <c r="K90" s="11"/>
      <c r="L90" s="11">
        <f t="shared" si="19"/>
        <v>0</v>
      </c>
      <c r="M90" s="11">
        <f t="shared" si="20"/>
        <v>0</v>
      </c>
      <c r="N90" s="11"/>
      <c r="O90" s="11"/>
      <c r="P90" s="11"/>
      <c r="Q90" s="11"/>
      <c r="R90" s="11"/>
      <c r="S90" s="11"/>
      <c r="T90" s="11"/>
      <c r="U90" s="11"/>
      <c r="V90" s="11"/>
      <c r="W90" s="11">
        <v>0</v>
      </c>
      <c r="X90" s="11">
        <f t="shared" si="21"/>
        <v>0</v>
      </c>
      <c r="Y90" s="13"/>
      <c r="Z90" s="5">
        <f t="shared" si="26"/>
        <v>0</v>
      </c>
      <c r="AA90" s="19"/>
      <c r="AB90" s="1" t="e">
        <f t="shared" si="24"/>
        <v>#DIV/0!</v>
      </c>
      <c r="AC90" s="11" t="e">
        <f t="shared" si="22"/>
        <v>#DIV/0!</v>
      </c>
      <c r="AD90" s="11">
        <v>0</v>
      </c>
      <c r="AE90" s="11">
        <v>0</v>
      </c>
      <c r="AF90" s="11">
        <v>0</v>
      </c>
      <c r="AG90" s="11">
        <v>0</v>
      </c>
      <c r="AH90" s="11">
        <v>0</v>
      </c>
      <c r="AI90" s="11">
        <v>0</v>
      </c>
      <c r="AJ90" s="11">
        <v>0</v>
      </c>
      <c r="AK90" s="11">
        <v>0</v>
      </c>
      <c r="AL90" s="11" t="s">
        <v>66</v>
      </c>
      <c r="AM90" s="1">
        <f t="shared" si="25"/>
        <v>0</v>
      </c>
      <c r="AN90" s="1"/>
      <c r="AO90" s="1"/>
      <c r="AP90" s="1"/>
      <c r="AQ90" s="1"/>
      <c r="AR90" s="1"/>
      <c r="AS90" s="1"/>
      <c r="AT90" s="1"/>
      <c r="AU90" s="1"/>
      <c r="AV90" s="1"/>
      <c r="AW90" s="1"/>
    </row>
    <row r="91" spans="1:49" x14ac:dyDescent="0.25">
      <c r="A91" s="1" t="s">
        <v>144</v>
      </c>
      <c r="B91" s="1" t="s">
        <v>40</v>
      </c>
      <c r="C91" s="1">
        <v>7993.8339999999998</v>
      </c>
      <c r="D91" s="1">
        <v>437.81900000000002</v>
      </c>
      <c r="E91" s="1">
        <v>2368.5100000000002</v>
      </c>
      <c r="F91" s="1">
        <v>5517.7920000000004</v>
      </c>
      <c r="G91" s="7">
        <v>1</v>
      </c>
      <c r="H91" s="1">
        <v>60</v>
      </c>
      <c r="I91" s="1" t="s">
        <v>41</v>
      </c>
      <c r="J91" s="1"/>
      <c r="K91" s="1">
        <v>2745.9450000000002</v>
      </c>
      <c r="L91" s="1">
        <f t="shared" si="19"/>
        <v>-377.43499999999995</v>
      </c>
      <c r="M91" s="1">
        <f t="shared" si="20"/>
        <v>2144.3200000000002</v>
      </c>
      <c r="N91" s="1">
        <v>224.19</v>
      </c>
      <c r="O91" s="1"/>
      <c r="P91" s="1"/>
      <c r="Q91" s="1"/>
      <c r="R91" s="1"/>
      <c r="S91" s="1"/>
      <c r="T91" s="1"/>
      <c r="U91" s="1"/>
      <c r="V91" s="1"/>
      <c r="W91" s="1">
        <v>0</v>
      </c>
      <c r="X91" s="1">
        <f t="shared" si="21"/>
        <v>428.86400000000003</v>
      </c>
      <c r="Y91" s="5"/>
      <c r="Z91" s="5">
        <f t="shared" ref="Z91:Z92" si="31">Y91+$Z$1*X91</f>
        <v>1715.4560000000001</v>
      </c>
      <c r="AA91" s="19"/>
      <c r="AB91" s="1">
        <f t="shared" si="24"/>
        <v>16.866064766452769</v>
      </c>
      <c r="AC91" s="1">
        <f t="shared" si="22"/>
        <v>12.866064766452768</v>
      </c>
      <c r="AD91" s="1">
        <v>368.13479999999998</v>
      </c>
      <c r="AE91" s="1">
        <v>482.79840000000002</v>
      </c>
      <c r="AF91" s="1">
        <v>547.7278</v>
      </c>
      <c r="AG91" s="1">
        <v>842.63180000000011</v>
      </c>
      <c r="AH91" s="1">
        <v>930.80480000000011</v>
      </c>
      <c r="AI91" s="1">
        <v>746.08699999999999</v>
      </c>
      <c r="AJ91" s="1">
        <v>678.24040000000002</v>
      </c>
      <c r="AK91" s="1">
        <v>611.37299999999993</v>
      </c>
      <c r="AL91" s="1"/>
      <c r="AM91" s="1">
        <f t="shared" si="25"/>
        <v>1715</v>
      </c>
      <c r="AN91" s="1"/>
      <c r="AO91" s="1"/>
      <c r="AP91" s="1"/>
      <c r="AQ91" s="1"/>
      <c r="AR91" s="1"/>
      <c r="AS91" s="1"/>
      <c r="AT91" s="1"/>
      <c r="AU91" s="1"/>
      <c r="AV91" s="1"/>
      <c r="AW91" s="1"/>
    </row>
    <row r="92" spans="1:49" x14ac:dyDescent="0.25">
      <c r="A92" s="1" t="s">
        <v>145</v>
      </c>
      <c r="B92" s="1" t="s">
        <v>46</v>
      </c>
      <c r="C92" s="1">
        <v>246</v>
      </c>
      <c r="D92" s="1">
        <v>318</v>
      </c>
      <c r="E92" s="1">
        <v>264</v>
      </c>
      <c r="F92" s="1">
        <v>264</v>
      </c>
      <c r="G92" s="7">
        <v>0.3</v>
      </c>
      <c r="H92" s="1">
        <v>40</v>
      </c>
      <c r="I92" s="1" t="s">
        <v>41</v>
      </c>
      <c r="J92" s="1"/>
      <c r="K92" s="1">
        <v>294</v>
      </c>
      <c r="L92" s="1">
        <f t="shared" si="19"/>
        <v>-30</v>
      </c>
      <c r="M92" s="1">
        <f t="shared" si="20"/>
        <v>264</v>
      </c>
      <c r="N92" s="1"/>
      <c r="O92" s="1"/>
      <c r="P92" s="1"/>
      <c r="Q92" s="1"/>
      <c r="R92" s="1"/>
      <c r="S92" s="1"/>
      <c r="T92" s="1"/>
      <c r="U92" s="1"/>
      <c r="V92" s="1"/>
      <c r="W92" s="1">
        <v>383.75999999999988</v>
      </c>
      <c r="X92" s="1">
        <f t="shared" si="21"/>
        <v>52.8</v>
      </c>
      <c r="Y92" s="5"/>
      <c r="Z92" s="5">
        <f t="shared" si="31"/>
        <v>211.2</v>
      </c>
      <c r="AA92" s="19"/>
      <c r="AB92" s="1">
        <f t="shared" si="24"/>
        <v>16.268181818181816</v>
      </c>
      <c r="AC92" s="1">
        <f t="shared" si="22"/>
        <v>12.268181818181816</v>
      </c>
      <c r="AD92" s="1">
        <v>49.8</v>
      </c>
      <c r="AE92" s="1">
        <v>36.200000000000003</v>
      </c>
      <c r="AF92" s="1">
        <v>35.799999999999997</v>
      </c>
      <c r="AG92" s="1">
        <v>49</v>
      </c>
      <c r="AH92" s="1">
        <v>49</v>
      </c>
      <c r="AI92" s="1">
        <v>54.8</v>
      </c>
      <c r="AJ92" s="1">
        <v>31.2</v>
      </c>
      <c r="AK92" s="1">
        <v>37.799999999999997</v>
      </c>
      <c r="AL92" s="1"/>
      <c r="AM92" s="1">
        <f t="shared" si="25"/>
        <v>63</v>
      </c>
      <c r="AN92" s="1"/>
      <c r="AO92" s="1"/>
      <c r="AP92" s="1"/>
      <c r="AQ92" s="1"/>
      <c r="AR92" s="1"/>
      <c r="AS92" s="1"/>
      <c r="AT92" s="1"/>
      <c r="AU92" s="1"/>
      <c r="AV92" s="1"/>
      <c r="AW92" s="1"/>
    </row>
    <row r="93" spans="1:49" x14ac:dyDescent="0.25">
      <c r="A93" s="1" t="s">
        <v>146</v>
      </c>
      <c r="B93" s="1" t="s">
        <v>40</v>
      </c>
      <c r="C93" s="1">
        <v>4706.1360000000004</v>
      </c>
      <c r="D93" s="1">
        <v>246.62</v>
      </c>
      <c r="E93" s="1">
        <v>1064.1990000000001</v>
      </c>
      <c r="F93" s="1">
        <v>3574.7139999999999</v>
      </c>
      <c r="G93" s="7">
        <v>1</v>
      </c>
      <c r="H93" s="1">
        <v>60</v>
      </c>
      <c r="I93" s="1" t="s">
        <v>41</v>
      </c>
      <c r="J93" s="1"/>
      <c r="K93" s="1">
        <v>1191.454</v>
      </c>
      <c r="L93" s="1">
        <f t="shared" si="19"/>
        <v>-127.25499999999988</v>
      </c>
      <c r="M93" s="1">
        <f t="shared" si="20"/>
        <v>986.06500000000005</v>
      </c>
      <c r="N93" s="1">
        <v>78.134</v>
      </c>
      <c r="O93" s="1"/>
      <c r="P93" s="1"/>
      <c r="Q93" s="1"/>
      <c r="R93" s="1"/>
      <c r="S93" s="1"/>
      <c r="T93" s="1"/>
      <c r="U93" s="1"/>
      <c r="V93" s="1"/>
      <c r="W93" s="1">
        <v>0</v>
      </c>
      <c r="X93" s="1">
        <f t="shared" si="21"/>
        <v>197.21300000000002</v>
      </c>
      <c r="Y93" s="5"/>
      <c r="Z93" s="5">
        <v>200</v>
      </c>
      <c r="AA93" s="19"/>
      <c r="AB93" s="1">
        <f t="shared" si="24"/>
        <v>19.140289940318333</v>
      </c>
      <c r="AC93" s="1">
        <f t="shared" si="22"/>
        <v>18.126158011895765</v>
      </c>
      <c r="AD93" s="1">
        <v>160.90700000000001</v>
      </c>
      <c r="AE93" s="1">
        <v>215.4</v>
      </c>
      <c r="AF93" s="1">
        <v>379.45499999999998</v>
      </c>
      <c r="AG93" s="1">
        <v>357.23480000000001</v>
      </c>
      <c r="AH93" s="1">
        <v>505.72719999999998</v>
      </c>
      <c r="AI93" s="1">
        <v>276.84160000000003</v>
      </c>
      <c r="AJ93" s="1">
        <v>190.1532</v>
      </c>
      <c r="AK93" s="1">
        <v>224.54220000000001</v>
      </c>
      <c r="AL93" s="18" t="s">
        <v>53</v>
      </c>
      <c r="AM93" s="1">
        <f t="shared" si="25"/>
        <v>200</v>
      </c>
      <c r="AN93" s="1"/>
      <c r="AO93" s="1"/>
      <c r="AP93" s="1"/>
      <c r="AQ93" s="1"/>
      <c r="AR93" s="1"/>
      <c r="AS93" s="1"/>
      <c r="AT93" s="1"/>
      <c r="AU93" s="1"/>
      <c r="AV93" s="1"/>
      <c r="AW93" s="1"/>
    </row>
    <row r="94" spans="1:49" x14ac:dyDescent="0.25">
      <c r="A94" s="1" t="s">
        <v>147</v>
      </c>
      <c r="B94" s="1" t="s">
        <v>40</v>
      </c>
      <c r="C94" s="1">
        <v>3604.491</v>
      </c>
      <c r="D94" s="1">
        <v>3257.5309999999999</v>
      </c>
      <c r="E94" s="1">
        <v>2247.0169999999998</v>
      </c>
      <c r="F94" s="1">
        <v>3658.587</v>
      </c>
      <c r="G94" s="7">
        <v>1</v>
      </c>
      <c r="H94" s="1">
        <v>60</v>
      </c>
      <c r="I94" s="1" t="s">
        <v>41</v>
      </c>
      <c r="J94" s="1"/>
      <c r="K94" s="1">
        <v>2496.1419999999998</v>
      </c>
      <c r="L94" s="1">
        <f t="shared" si="19"/>
        <v>-249.125</v>
      </c>
      <c r="M94" s="1">
        <f t="shared" si="20"/>
        <v>2018.7109999999998</v>
      </c>
      <c r="N94" s="1">
        <v>228.30600000000001</v>
      </c>
      <c r="O94" s="1">
        <v>500</v>
      </c>
      <c r="P94" s="1"/>
      <c r="Q94" s="1"/>
      <c r="R94" s="1">
        <v>1500</v>
      </c>
      <c r="S94" s="1"/>
      <c r="T94" s="1"/>
      <c r="U94" s="1">
        <v>400</v>
      </c>
      <c r="V94" s="1"/>
      <c r="W94" s="1">
        <v>2198.58392</v>
      </c>
      <c r="X94" s="1">
        <f t="shared" si="21"/>
        <v>403.74219999999997</v>
      </c>
      <c r="Y94" s="5"/>
      <c r="Z94" s="5">
        <f t="shared" si="26"/>
        <v>0</v>
      </c>
      <c r="AA94" s="19"/>
      <c r="AB94" s="1">
        <f t="shared" si="24"/>
        <v>20.451592427048748</v>
      </c>
      <c r="AC94" s="1">
        <f t="shared" si="22"/>
        <v>20.451592427048748</v>
      </c>
      <c r="AD94" s="1">
        <v>422.80460000000011</v>
      </c>
      <c r="AE94" s="1">
        <v>423.51899999999989</v>
      </c>
      <c r="AF94" s="1">
        <v>694.55039999999997</v>
      </c>
      <c r="AG94" s="1">
        <v>304.53539999999998</v>
      </c>
      <c r="AH94" s="1">
        <v>631.58000000000004</v>
      </c>
      <c r="AI94" s="1">
        <v>682.72479999999996</v>
      </c>
      <c r="AJ94" s="1">
        <v>684.17160000000001</v>
      </c>
      <c r="AK94" s="1">
        <v>529.6386</v>
      </c>
      <c r="AL94" s="18" t="s">
        <v>53</v>
      </c>
      <c r="AM94" s="1">
        <f t="shared" si="25"/>
        <v>0</v>
      </c>
      <c r="AN94" s="1"/>
      <c r="AO94" s="1"/>
      <c r="AP94" s="1"/>
      <c r="AQ94" s="1"/>
      <c r="AR94" s="1"/>
      <c r="AS94" s="1"/>
      <c r="AT94" s="1"/>
      <c r="AU94" s="1"/>
      <c r="AV94" s="1"/>
      <c r="AW94" s="1"/>
    </row>
    <row r="95" spans="1:49" x14ac:dyDescent="0.25">
      <c r="A95" s="1" t="s">
        <v>70</v>
      </c>
      <c r="B95" s="1" t="s">
        <v>40</v>
      </c>
      <c r="C95" s="1">
        <v>5421.7539999999999</v>
      </c>
      <c r="D95" s="1">
        <v>2802.4630000000002</v>
      </c>
      <c r="E95" s="1">
        <v>2730.7139999999999</v>
      </c>
      <c r="F95" s="14">
        <f>4508.737+F23</f>
        <v>4496.2740000000003</v>
      </c>
      <c r="G95" s="7">
        <v>1</v>
      </c>
      <c r="H95" s="1">
        <v>60</v>
      </c>
      <c r="I95" s="1" t="s">
        <v>41</v>
      </c>
      <c r="J95" s="1"/>
      <c r="K95" s="1">
        <v>3089.098</v>
      </c>
      <c r="L95" s="1">
        <f t="shared" si="19"/>
        <v>-358.38400000000001</v>
      </c>
      <c r="M95" s="1">
        <f t="shared" si="20"/>
        <v>2504.6619999999998</v>
      </c>
      <c r="N95" s="1">
        <v>226.05199999999999</v>
      </c>
      <c r="O95" s="1">
        <v>400</v>
      </c>
      <c r="P95" s="1"/>
      <c r="Q95" s="1"/>
      <c r="R95" s="1"/>
      <c r="S95" s="1"/>
      <c r="T95" s="1"/>
      <c r="U95" s="1">
        <v>1000</v>
      </c>
      <c r="V95" s="1"/>
      <c r="W95" s="1">
        <v>2367.2511199999999</v>
      </c>
      <c r="X95" s="1">
        <f t="shared" si="21"/>
        <v>500.93239999999997</v>
      </c>
      <c r="Y95" s="5"/>
      <c r="Z95" s="5">
        <v>1000</v>
      </c>
      <c r="AA95" s="19"/>
      <c r="AB95" s="1">
        <f t="shared" si="24"/>
        <v>18.49256530422069</v>
      </c>
      <c r="AC95" s="1">
        <f t="shared" si="22"/>
        <v>16.496287962208076</v>
      </c>
      <c r="AD95" s="1">
        <v>455.24059999999997</v>
      </c>
      <c r="AE95" s="1">
        <v>581.56139999999994</v>
      </c>
      <c r="AF95" s="1">
        <v>903.69920000000002</v>
      </c>
      <c r="AG95" s="1">
        <v>397.85039999999998</v>
      </c>
      <c r="AH95" s="1">
        <v>698.25620000000004</v>
      </c>
      <c r="AI95" s="1">
        <v>848.86939999999993</v>
      </c>
      <c r="AJ95" s="1">
        <v>803.57920000000001</v>
      </c>
      <c r="AK95" s="1">
        <v>649.25559999999996</v>
      </c>
      <c r="AL95" s="1"/>
      <c r="AM95" s="1">
        <f t="shared" si="25"/>
        <v>1000</v>
      </c>
      <c r="AN95" s="1"/>
      <c r="AO95" s="1"/>
      <c r="AP95" s="1"/>
      <c r="AQ95" s="1"/>
      <c r="AR95" s="1"/>
      <c r="AS95" s="1"/>
      <c r="AT95" s="1"/>
      <c r="AU95" s="1"/>
      <c r="AV95" s="1"/>
      <c r="AW95" s="1"/>
    </row>
    <row r="96" spans="1:49" x14ac:dyDescent="0.25">
      <c r="A96" s="1" t="s">
        <v>148</v>
      </c>
      <c r="B96" s="1" t="s">
        <v>40</v>
      </c>
      <c r="C96" s="1">
        <v>30.96</v>
      </c>
      <c r="D96" s="1">
        <v>33.652000000000001</v>
      </c>
      <c r="E96" s="1">
        <v>8.048</v>
      </c>
      <c r="F96" s="1">
        <v>51.189</v>
      </c>
      <c r="G96" s="7">
        <v>1</v>
      </c>
      <c r="H96" s="1">
        <v>55</v>
      </c>
      <c r="I96" s="1" t="s">
        <v>41</v>
      </c>
      <c r="J96" s="1"/>
      <c r="K96" s="1">
        <v>10.4</v>
      </c>
      <c r="L96" s="1">
        <f t="shared" si="19"/>
        <v>-2.3520000000000003</v>
      </c>
      <c r="M96" s="1">
        <f t="shared" si="20"/>
        <v>8.048</v>
      </c>
      <c r="N96" s="1"/>
      <c r="O96" s="1"/>
      <c r="P96" s="1"/>
      <c r="Q96" s="1"/>
      <c r="R96" s="1"/>
      <c r="S96" s="1"/>
      <c r="T96" s="1"/>
      <c r="U96" s="1"/>
      <c r="V96" s="1"/>
      <c r="W96" s="1">
        <v>0</v>
      </c>
      <c r="X96" s="1">
        <f t="shared" si="21"/>
        <v>1.6095999999999999</v>
      </c>
      <c r="Y96" s="5"/>
      <c r="Z96" s="5">
        <f t="shared" si="26"/>
        <v>0</v>
      </c>
      <c r="AA96" s="19"/>
      <c r="AB96" s="1">
        <f t="shared" si="24"/>
        <v>31.802311133200796</v>
      </c>
      <c r="AC96" s="1">
        <f t="shared" si="22"/>
        <v>31.802311133200796</v>
      </c>
      <c r="AD96" s="1">
        <v>2.2846000000000002</v>
      </c>
      <c r="AE96" s="1">
        <v>4.4762000000000004</v>
      </c>
      <c r="AF96" s="1">
        <v>4.0706000000000007</v>
      </c>
      <c r="AG96" s="1">
        <v>5.3708</v>
      </c>
      <c r="AH96" s="1">
        <v>5.3708</v>
      </c>
      <c r="AI96" s="1">
        <v>3.2181999999999999</v>
      </c>
      <c r="AJ96" s="1">
        <v>2.9496000000000002</v>
      </c>
      <c r="AK96" s="1">
        <v>2.4131999999999998</v>
      </c>
      <c r="AL96" s="18" t="s">
        <v>53</v>
      </c>
      <c r="AM96" s="1">
        <f t="shared" si="25"/>
        <v>0</v>
      </c>
      <c r="AN96" s="1"/>
      <c r="AO96" s="1"/>
      <c r="AP96" s="1"/>
      <c r="AQ96" s="1"/>
      <c r="AR96" s="1"/>
      <c r="AS96" s="1"/>
      <c r="AT96" s="1"/>
      <c r="AU96" s="1"/>
      <c r="AV96" s="1"/>
      <c r="AW96" s="1"/>
    </row>
    <row r="97" spans="1:49" x14ac:dyDescent="0.25">
      <c r="A97" s="11" t="s">
        <v>149</v>
      </c>
      <c r="B97" s="11" t="s">
        <v>40</v>
      </c>
      <c r="C97" s="11">
        <v>-1.36</v>
      </c>
      <c r="D97" s="11"/>
      <c r="E97" s="11"/>
      <c r="F97" s="11">
        <v>-1.36</v>
      </c>
      <c r="G97" s="12">
        <v>0</v>
      </c>
      <c r="H97" s="11"/>
      <c r="I97" s="11" t="s">
        <v>58</v>
      </c>
      <c r="J97" s="11"/>
      <c r="K97" s="11"/>
      <c r="L97" s="11">
        <f t="shared" si="19"/>
        <v>0</v>
      </c>
      <c r="M97" s="11">
        <f t="shared" si="20"/>
        <v>0</v>
      </c>
      <c r="N97" s="11"/>
      <c r="O97" s="11"/>
      <c r="P97" s="11"/>
      <c r="Q97" s="11"/>
      <c r="R97" s="11"/>
      <c r="S97" s="11"/>
      <c r="T97" s="11"/>
      <c r="U97" s="11"/>
      <c r="V97" s="11"/>
      <c r="W97" s="11">
        <v>0</v>
      </c>
      <c r="X97" s="11">
        <f t="shared" si="21"/>
        <v>0</v>
      </c>
      <c r="Y97" s="13"/>
      <c r="Z97" s="5">
        <f t="shared" si="26"/>
        <v>0</v>
      </c>
      <c r="AA97" s="19"/>
      <c r="AB97" s="1" t="e">
        <f t="shared" si="24"/>
        <v>#DIV/0!</v>
      </c>
      <c r="AC97" s="11" t="e">
        <f t="shared" si="22"/>
        <v>#DIV/0!</v>
      </c>
      <c r="AD97" s="11">
        <v>0</v>
      </c>
      <c r="AE97" s="11">
        <v>0</v>
      </c>
      <c r="AF97" s="11">
        <v>0</v>
      </c>
      <c r="AG97" s="11">
        <v>0</v>
      </c>
      <c r="AH97" s="11">
        <v>0</v>
      </c>
      <c r="AI97" s="11">
        <v>0</v>
      </c>
      <c r="AJ97" s="11">
        <v>0</v>
      </c>
      <c r="AK97" s="11">
        <v>0</v>
      </c>
      <c r="AL97" s="11"/>
      <c r="AM97" s="1">
        <f t="shared" si="25"/>
        <v>0</v>
      </c>
      <c r="AN97" s="1"/>
      <c r="AO97" s="1"/>
      <c r="AP97" s="1"/>
      <c r="AQ97" s="1"/>
      <c r="AR97" s="1"/>
      <c r="AS97" s="1"/>
      <c r="AT97" s="1"/>
      <c r="AU97" s="1"/>
      <c r="AV97" s="1"/>
      <c r="AW97" s="1"/>
    </row>
    <row r="98" spans="1:49" x14ac:dyDescent="0.25">
      <c r="A98" s="11" t="s">
        <v>150</v>
      </c>
      <c r="B98" s="11" t="s">
        <v>40</v>
      </c>
      <c r="C98" s="11">
        <v>-2.5960000000000001</v>
      </c>
      <c r="D98" s="11"/>
      <c r="E98" s="11"/>
      <c r="F98" s="11">
        <v>-2.5960000000000001</v>
      </c>
      <c r="G98" s="12">
        <v>0</v>
      </c>
      <c r="H98" s="11"/>
      <c r="I98" s="11" t="s">
        <v>58</v>
      </c>
      <c r="J98" s="11"/>
      <c r="K98" s="11"/>
      <c r="L98" s="11">
        <f t="shared" si="19"/>
        <v>0</v>
      </c>
      <c r="M98" s="11">
        <f t="shared" si="20"/>
        <v>0</v>
      </c>
      <c r="N98" s="11"/>
      <c r="O98" s="11"/>
      <c r="P98" s="11"/>
      <c r="Q98" s="11"/>
      <c r="R98" s="11"/>
      <c r="S98" s="11"/>
      <c r="T98" s="11"/>
      <c r="U98" s="11"/>
      <c r="V98" s="11"/>
      <c r="W98" s="11">
        <v>0</v>
      </c>
      <c r="X98" s="11">
        <f t="shared" si="21"/>
        <v>0</v>
      </c>
      <c r="Y98" s="13"/>
      <c r="Z98" s="5">
        <f t="shared" si="26"/>
        <v>0</v>
      </c>
      <c r="AA98" s="19"/>
      <c r="AB98" s="1" t="e">
        <f t="shared" si="24"/>
        <v>#DIV/0!</v>
      </c>
      <c r="AC98" s="11" t="e">
        <f t="shared" si="22"/>
        <v>#DIV/0!</v>
      </c>
      <c r="AD98" s="11">
        <v>-0.26900000000000002</v>
      </c>
      <c r="AE98" s="11">
        <v>-0.47220000000000012</v>
      </c>
      <c r="AF98" s="11">
        <v>-0.20319999999999999</v>
      </c>
      <c r="AG98" s="11">
        <v>0</v>
      </c>
      <c r="AH98" s="11">
        <v>0</v>
      </c>
      <c r="AI98" s="11">
        <v>0.5484</v>
      </c>
      <c r="AJ98" s="11">
        <v>3.7995999999999999</v>
      </c>
      <c r="AK98" s="11">
        <v>5.4039999999999999</v>
      </c>
      <c r="AL98" s="11"/>
      <c r="AM98" s="1">
        <f t="shared" si="25"/>
        <v>0</v>
      </c>
      <c r="AN98" s="1"/>
      <c r="AO98" s="1"/>
      <c r="AP98" s="1"/>
      <c r="AQ98" s="1"/>
      <c r="AR98" s="1"/>
      <c r="AS98" s="1"/>
      <c r="AT98" s="1"/>
      <c r="AU98" s="1"/>
      <c r="AV98" s="1"/>
      <c r="AW98" s="1"/>
    </row>
    <row r="99" spans="1:49" x14ac:dyDescent="0.25">
      <c r="A99" s="1" t="s">
        <v>151</v>
      </c>
      <c r="B99" s="1" t="s">
        <v>46</v>
      </c>
      <c r="C99" s="1">
        <v>-3</v>
      </c>
      <c r="D99" s="1"/>
      <c r="E99" s="1">
        <v>-1</v>
      </c>
      <c r="F99" s="1">
        <v>-3</v>
      </c>
      <c r="G99" s="7">
        <v>0.3</v>
      </c>
      <c r="H99" s="1">
        <v>40</v>
      </c>
      <c r="I99" s="10" t="s">
        <v>55</v>
      </c>
      <c r="J99" s="1"/>
      <c r="K99" s="1">
        <v>182</v>
      </c>
      <c r="L99" s="1">
        <f t="shared" si="19"/>
        <v>-183</v>
      </c>
      <c r="M99" s="1">
        <f t="shared" si="20"/>
        <v>-1</v>
      </c>
      <c r="N99" s="1"/>
      <c r="O99" s="1"/>
      <c r="P99" s="1"/>
      <c r="Q99" s="1"/>
      <c r="R99" s="1"/>
      <c r="S99" s="1"/>
      <c r="T99" s="1"/>
      <c r="U99" s="1">
        <v>40</v>
      </c>
      <c r="V99" s="1"/>
      <c r="W99" s="1">
        <v>30</v>
      </c>
      <c r="X99" s="1">
        <f t="shared" si="21"/>
        <v>-0.2</v>
      </c>
      <c r="Y99" s="5">
        <v>30</v>
      </c>
      <c r="Z99" s="5">
        <f>Y99*1.3</f>
        <v>39</v>
      </c>
      <c r="AA99" s="19"/>
      <c r="AB99" s="1">
        <f t="shared" si="24"/>
        <v>-530</v>
      </c>
      <c r="AC99" s="1">
        <f t="shared" si="22"/>
        <v>-335</v>
      </c>
      <c r="AD99" s="1">
        <v>-0.6</v>
      </c>
      <c r="AE99" s="1">
        <v>-0.4</v>
      </c>
      <c r="AF99" s="1">
        <v>-0.8</v>
      </c>
      <c r="AG99" s="1">
        <v>0</v>
      </c>
      <c r="AH99" s="1">
        <v>0</v>
      </c>
      <c r="AI99" s="1">
        <v>8.4</v>
      </c>
      <c r="AJ99" s="1">
        <v>9.6</v>
      </c>
      <c r="AK99" s="1">
        <v>9.1999999999999993</v>
      </c>
      <c r="AL99" s="1"/>
      <c r="AM99" s="1">
        <f t="shared" si="25"/>
        <v>12</v>
      </c>
      <c r="AN99" s="1"/>
      <c r="AO99" s="1"/>
      <c r="AP99" s="1"/>
      <c r="AQ99" s="1"/>
      <c r="AR99" s="1"/>
      <c r="AS99" s="1"/>
      <c r="AT99" s="1"/>
      <c r="AU99" s="1"/>
      <c r="AV99" s="1"/>
      <c r="AW99" s="1"/>
    </row>
    <row r="100" spans="1:49" x14ac:dyDescent="0.25">
      <c r="A100" s="1" t="s">
        <v>152</v>
      </c>
      <c r="B100" s="1" t="s">
        <v>46</v>
      </c>
      <c r="C100" s="1">
        <v>137</v>
      </c>
      <c r="D100" s="1">
        <v>1</v>
      </c>
      <c r="E100" s="1">
        <v>8</v>
      </c>
      <c r="F100" s="1">
        <v>128</v>
      </c>
      <c r="G100" s="7">
        <v>0.3</v>
      </c>
      <c r="H100" s="1">
        <v>40</v>
      </c>
      <c r="I100" s="1" t="s">
        <v>41</v>
      </c>
      <c r="J100" s="1"/>
      <c r="K100" s="1">
        <v>11</v>
      </c>
      <c r="L100" s="1">
        <f t="shared" si="19"/>
        <v>-3</v>
      </c>
      <c r="M100" s="1">
        <f t="shared" si="20"/>
        <v>8</v>
      </c>
      <c r="N100" s="1"/>
      <c r="O100" s="1"/>
      <c r="P100" s="1"/>
      <c r="Q100" s="1"/>
      <c r="R100" s="1"/>
      <c r="S100" s="1"/>
      <c r="T100" s="1"/>
      <c r="U100" s="1"/>
      <c r="V100" s="1"/>
      <c r="W100" s="1">
        <v>0</v>
      </c>
      <c r="X100" s="1">
        <f t="shared" si="21"/>
        <v>1.6</v>
      </c>
      <c r="Y100" s="5"/>
      <c r="Z100" s="5">
        <f t="shared" si="26"/>
        <v>0</v>
      </c>
      <c r="AA100" s="19"/>
      <c r="AB100" s="1">
        <f t="shared" si="24"/>
        <v>80</v>
      </c>
      <c r="AC100" s="1">
        <f t="shared" si="22"/>
        <v>80</v>
      </c>
      <c r="AD100" s="1">
        <v>2.2000000000000002</v>
      </c>
      <c r="AE100" s="1">
        <v>6.8</v>
      </c>
      <c r="AF100" s="1">
        <v>8.1999999999999993</v>
      </c>
      <c r="AG100" s="1">
        <v>7.8</v>
      </c>
      <c r="AH100" s="1">
        <v>7.8</v>
      </c>
      <c r="AI100" s="1">
        <v>17.2</v>
      </c>
      <c r="AJ100" s="1">
        <v>16.2</v>
      </c>
      <c r="AK100" s="1">
        <v>4</v>
      </c>
      <c r="AL100" s="18" t="s">
        <v>53</v>
      </c>
      <c r="AM100" s="1">
        <f t="shared" si="25"/>
        <v>0</v>
      </c>
      <c r="AN100" s="1"/>
      <c r="AO100" s="1"/>
      <c r="AP100" s="1"/>
      <c r="AQ100" s="1"/>
      <c r="AR100" s="1"/>
      <c r="AS100" s="1"/>
      <c r="AT100" s="1"/>
      <c r="AU100" s="1"/>
      <c r="AV100" s="1"/>
      <c r="AW100" s="1"/>
    </row>
    <row r="101" spans="1:49" x14ac:dyDescent="0.25">
      <c r="A101" s="1" t="s">
        <v>153</v>
      </c>
      <c r="B101" s="1" t="s">
        <v>46</v>
      </c>
      <c r="C101" s="1">
        <v>109</v>
      </c>
      <c r="D101" s="1">
        <v>15</v>
      </c>
      <c r="E101" s="1">
        <v>87</v>
      </c>
      <c r="F101" s="1">
        <v>29</v>
      </c>
      <c r="G101" s="7">
        <v>7.0000000000000007E-2</v>
      </c>
      <c r="H101" s="1">
        <v>90</v>
      </c>
      <c r="I101" s="10" t="s">
        <v>55</v>
      </c>
      <c r="J101" s="1"/>
      <c r="K101" s="1">
        <v>420</v>
      </c>
      <c r="L101" s="1">
        <f t="shared" si="19"/>
        <v>-333</v>
      </c>
      <c r="M101" s="1">
        <f t="shared" si="20"/>
        <v>87</v>
      </c>
      <c r="N101" s="1"/>
      <c r="O101" s="1"/>
      <c r="P101" s="1"/>
      <c r="Q101" s="1"/>
      <c r="R101" s="1"/>
      <c r="S101" s="1"/>
      <c r="T101" s="1"/>
      <c r="U101" s="1">
        <v>100</v>
      </c>
      <c r="V101" s="1"/>
      <c r="W101" s="1">
        <v>100</v>
      </c>
      <c r="X101" s="1">
        <f t="shared" si="21"/>
        <v>17.399999999999999</v>
      </c>
      <c r="Y101" s="5"/>
      <c r="Z101" s="5">
        <f t="shared" ref="Z101:Z103" si="32">Y101*1.3</f>
        <v>0</v>
      </c>
      <c r="AA101" s="19"/>
      <c r="AB101" s="1">
        <f t="shared" si="24"/>
        <v>13.160919540229886</v>
      </c>
      <c r="AC101" s="1">
        <f t="shared" si="22"/>
        <v>13.160919540229886</v>
      </c>
      <c r="AD101" s="1">
        <v>32</v>
      </c>
      <c r="AE101" s="1">
        <v>45.8</v>
      </c>
      <c r="AF101" s="1">
        <v>47.2</v>
      </c>
      <c r="AG101" s="1">
        <v>25.4</v>
      </c>
      <c r="AH101" s="1">
        <v>25.4</v>
      </c>
      <c r="AI101" s="1">
        <v>27.8</v>
      </c>
      <c r="AJ101" s="1">
        <v>21.6</v>
      </c>
      <c r="AK101" s="1">
        <v>29</v>
      </c>
      <c r="AL101" s="1" t="s">
        <v>154</v>
      </c>
      <c r="AM101" s="1">
        <f t="shared" si="25"/>
        <v>0</v>
      </c>
      <c r="AN101" s="1"/>
      <c r="AO101" s="1"/>
      <c r="AP101" s="1"/>
      <c r="AQ101" s="1"/>
      <c r="AR101" s="1"/>
      <c r="AS101" s="1"/>
      <c r="AT101" s="1"/>
      <c r="AU101" s="1"/>
      <c r="AV101" s="1"/>
      <c r="AW101" s="1"/>
    </row>
    <row r="102" spans="1:49" x14ac:dyDescent="0.25">
      <c r="A102" s="1" t="s">
        <v>155</v>
      </c>
      <c r="B102" s="1" t="s">
        <v>46</v>
      </c>
      <c r="C102" s="1">
        <v>10</v>
      </c>
      <c r="D102" s="1">
        <v>108</v>
      </c>
      <c r="E102" s="1">
        <v>33</v>
      </c>
      <c r="F102" s="1">
        <v>84</v>
      </c>
      <c r="G102" s="7">
        <v>7.0000000000000007E-2</v>
      </c>
      <c r="H102" s="1">
        <v>90</v>
      </c>
      <c r="I102" s="10" t="s">
        <v>55</v>
      </c>
      <c r="J102" s="1"/>
      <c r="K102" s="1">
        <v>54</v>
      </c>
      <c r="L102" s="1">
        <f t="shared" ref="L102:L133" si="33">E102-K102</f>
        <v>-21</v>
      </c>
      <c r="M102" s="1">
        <f t="shared" ref="M102:M133" si="34">E102-N102</f>
        <v>33</v>
      </c>
      <c r="N102" s="1"/>
      <c r="O102" s="1"/>
      <c r="P102" s="1"/>
      <c r="Q102" s="1"/>
      <c r="R102" s="1"/>
      <c r="S102" s="1"/>
      <c r="T102" s="1"/>
      <c r="U102" s="1">
        <v>100</v>
      </c>
      <c r="V102" s="1"/>
      <c r="W102" s="1">
        <v>100</v>
      </c>
      <c r="X102" s="1">
        <f t="shared" ref="X102:X133" si="35">M102/5</f>
        <v>6.6</v>
      </c>
      <c r="Y102" s="5"/>
      <c r="Z102" s="5">
        <f t="shared" si="32"/>
        <v>0</v>
      </c>
      <c r="AA102" s="19"/>
      <c r="AB102" s="1">
        <f t="shared" si="24"/>
        <v>43.030303030303031</v>
      </c>
      <c r="AC102" s="1">
        <f t="shared" ref="AC102:AC133" si="36">(F102+O102+P102+Q102+R102+S102+T102+U102+V102+W102)/X102</f>
        <v>43.030303030303031</v>
      </c>
      <c r="AD102" s="1">
        <v>30</v>
      </c>
      <c r="AE102" s="1">
        <v>51.8</v>
      </c>
      <c r="AF102" s="1">
        <v>48</v>
      </c>
      <c r="AG102" s="1">
        <v>27.6</v>
      </c>
      <c r="AH102" s="1">
        <v>27.6</v>
      </c>
      <c r="AI102" s="1">
        <v>32.200000000000003</v>
      </c>
      <c r="AJ102" s="1">
        <v>28.8</v>
      </c>
      <c r="AK102" s="1">
        <v>31.6</v>
      </c>
      <c r="AL102" s="1" t="s">
        <v>156</v>
      </c>
      <c r="AM102" s="1">
        <f t="shared" si="25"/>
        <v>0</v>
      </c>
      <c r="AN102" s="1"/>
      <c r="AO102" s="1"/>
      <c r="AP102" s="1"/>
      <c r="AQ102" s="1"/>
      <c r="AR102" s="1"/>
      <c r="AS102" s="1"/>
      <c r="AT102" s="1"/>
      <c r="AU102" s="1"/>
      <c r="AV102" s="1"/>
      <c r="AW102" s="1"/>
    </row>
    <row r="103" spans="1:49" x14ac:dyDescent="0.25">
      <c r="A103" s="1" t="s">
        <v>157</v>
      </c>
      <c r="B103" s="1" t="s">
        <v>46</v>
      </c>
      <c r="C103" s="1">
        <v>110</v>
      </c>
      <c r="D103" s="1">
        <v>72</v>
      </c>
      <c r="E103" s="1">
        <v>115</v>
      </c>
      <c r="F103" s="1">
        <v>67</v>
      </c>
      <c r="G103" s="7">
        <v>7.0000000000000007E-2</v>
      </c>
      <c r="H103" s="1">
        <v>90</v>
      </c>
      <c r="I103" s="10" t="s">
        <v>55</v>
      </c>
      <c r="J103" s="1"/>
      <c r="K103" s="1">
        <v>180</v>
      </c>
      <c r="L103" s="1">
        <f t="shared" si="33"/>
        <v>-65</v>
      </c>
      <c r="M103" s="1">
        <f t="shared" si="34"/>
        <v>115</v>
      </c>
      <c r="N103" s="1"/>
      <c r="O103" s="1"/>
      <c r="P103" s="1"/>
      <c r="Q103" s="1"/>
      <c r="R103" s="1"/>
      <c r="S103" s="1"/>
      <c r="T103" s="1"/>
      <c r="U103" s="1">
        <v>50</v>
      </c>
      <c r="V103" s="1"/>
      <c r="W103" s="1">
        <v>50</v>
      </c>
      <c r="X103" s="1">
        <f t="shared" si="35"/>
        <v>23</v>
      </c>
      <c r="Y103" s="5">
        <v>100</v>
      </c>
      <c r="Z103" s="5">
        <f t="shared" si="32"/>
        <v>130</v>
      </c>
      <c r="AA103" s="19"/>
      <c r="AB103" s="1">
        <f t="shared" si="24"/>
        <v>12.913043478260869</v>
      </c>
      <c r="AC103" s="1">
        <f t="shared" si="36"/>
        <v>7.2608695652173916</v>
      </c>
      <c r="AD103" s="1">
        <v>39.200000000000003</v>
      </c>
      <c r="AE103" s="1">
        <v>42</v>
      </c>
      <c r="AF103" s="1">
        <v>40.799999999999997</v>
      </c>
      <c r="AG103" s="1">
        <v>18.600000000000001</v>
      </c>
      <c r="AH103" s="1">
        <v>18.600000000000001</v>
      </c>
      <c r="AI103" s="1">
        <v>23.4</v>
      </c>
      <c r="AJ103" s="1">
        <v>18.399999999999999</v>
      </c>
      <c r="AK103" s="1">
        <v>22.2</v>
      </c>
      <c r="AL103" s="1" t="s">
        <v>154</v>
      </c>
      <c r="AM103" s="1">
        <f t="shared" si="25"/>
        <v>9</v>
      </c>
      <c r="AN103" s="1"/>
      <c r="AO103" s="1"/>
      <c r="AP103" s="1"/>
      <c r="AQ103" s="1"/>
      <c r="AR103" s="1"/>
      <c r="AS103" s="1"/>
      <c r="AT103" s="1"/>
      <c r="AU103" s="1"/>
      <c r="AV103" s="1"/>
      <c r="AW103" s="1"/>
    </row>
    <row r="104" spans="1:49" x14ac:dyDescent="0.25">
      <c r="A104" s="11" t="s">
        <v>158</v>
      </c>
      <c r="B104" s="11" t="s">
        <v>46</v>
      </c>
      <c r="C104" s="11">
        <v>-6</v>
      </c>
      <c r="D104" s="11">
        <v>10</v>
      </c>
      <c r="E104" s="11"/>
      <c r="F104" s="11">
        <v>4</v>
      </c>
      <c r="G104" s="12">
        <v>0</v>
      </c>
      <c r="H104" s="11">
        <v>90</v>
      </c>
      <c r="I104" s="11" t="s">
        <v>58</v>
      </c>
      <c r="J104" s="11"/>
      <c r="K104" s="11">
        <v>237</v>
      </c>
      <c r="L104" s="11">
        <f t="shared" si="33"/>
        <v>-237</v>
      </c>
      <c r="M104" s="11">
        <f t="shared" si="34"/>
        <v>0</v>
      </c>
      <c r="N104" s="11"/>
      <c r="O104" s="11"/>
      <c r="P104" s="11"/>
      <c r="Q104" s="11"/>
      <c r="R104" s="11"/>
      <c r="S104" s="11"/>
      <c r="T104" s="11"/>
      <c r="U104" s="11"/>
      <c r="V104" s="11"/>
      <c r="W104" s="11">
        <v>0</v>
      </c>
      <c r="X104" s="11">
        <f t="shared" si="35"/>
        <v>0</v>
      </c>
      <c r="Y104" s="13"/>
      <c r="Z104" s="5">
        <f t="shared" si="26"/>
        <v>0</v>
      </c>
      <c r="AA104" s="19"/>
      <c r="AB104" s="1" t="e">
        <f t="shared" si="24"/>
        <v>#DIV/0!</v>
      </c>
      <c r="AC104" s="11" t="e">
        <f t="shared" si="36"/>
        <v>#DIV/0!</v>
      </c>
      <c r="AD104" s="11">
        <v>-0.2</v>
      </c>
      <c r="AE104" s="11">
        <v>-0.2</v>
      </c>
      <c r="AF104" s="11">
        <v>0</v>
      </c>
      <c r="AG104" s="11">
        <v>-0.6</v>
      </c>
      <c r="AH104" s="11">
        <v>-0.6</v>
      </c>
      <c r="AI104" s="11">
        <v>-0.2</v>
      </c>
      <c r="AJ104" s="11">
        <v>-0.4</v>
      </c>
      <c r="AK104" s="11">
        <v>9.1999999999999993</v>
      </c>
      <c r="AL104" s="11"/>
      <c r="AM104" s="1">
        <f t="shared" si="25"/>
        <v>0</v>
      </c>
      <c r="AN104" s="1"/>
      <c r="AO104" s="1"/>
      <c r="AP104" s="1"/>
      <c r="AQ104" s="1"/>
      <c r="AR104" s="1"/>
      <c r="AS104" s="1"/>
      <c r="AT104" s="1"/>
      <c r="AU104" s="1"/>
      <c r="AV104" s="1"/>
      <c r="AW104" s="1"/>
    </row>
    <row r="105" spans="1:49" x14ac:dyDescent="0.25">
      <c r="A105" s="1" t="s">
        <v>159</v>
      </c>
      <c r="B105" s="1" t="s">
        <v>46</v>
      </c>
      <c r="C105" s="1">
        <v>22</v>
      </c>
      <c r="D105" s="1">
        <v>24</v>
      </c>
      <c r="E105" s="1">
        <v>34</v>
      </c>
      <c r="F105" s="1">
        <v>5</v>
      </c>
      <c r="G105" s="7">
        <v>0.3</v>
      </c>
      <c r="H105" s="1">
        <v>40</v>
      </c>
      <c r="I105" s="1" t="s">
        <v>41</v>
      </c>
      <c r="J105" s="1"/>
      <c r="K105" s="1">
        <v>41</v>
      </c>
      <c r="L105" s="1">
        <f t="shared" si="33"/>
        <v>-7</v>
      </c>
      <c r="M105" s="1">
        <f t="shared" si="34"/>
        <v>34</v>
      </c>
      <c r="N105" s="1"/>
      <c r="O105" s="1"/>
      <c r="P105" s="1"/>
      <c r="Q105" s="1"/>
      <c r="R105" s="1"/>
      <c r="S105" s="1"/>
      <c r="T105" s="1"/>
      <c r="U105" s="1"/>
      <c r="V105" s="1"/>
      <c r="W105" s="1">
        <v>30.2</v>
      </c>
      <c r="X105" s="1">
        <f t="shared" si="35"/>
        <v>6.8</v>
      </c>
      <c r="Y105" s="5">
        <f t="shared" ref="Y105" si="37">11*X105-W105-V105-U105-T105-S105-R105-Q105-P105-O105-F105</f>
        <v>39.599999999999994</v>
      </c>
      <c r="Z105" s="5">
        <f t="shared" si="26"/>
        <v>39.599999999999994</v>
      </c>
      <c r="AA105" s="19"/>
      <c r="AB105" s="1">
        <f t="shared" si="24"/>
        <v>11</v>
      </c>
      <c r="AC105" s="1">
        <f t="shared" si="36"/>
        <v>5.1764705882352944</v>
      </c>
      <c r="AD105" s="1">
        <v>4.2</v>
      </c>
      <c r="AE105" s="1">
        <v>1.2</v>
      </c>
      <c r="AF105" s="1">
        <v>3.4</v>
      </c>
      <c r="AG105" s="1">
        <v>3.8</v>
      </c>
      <c r="AH105" s="1">
        <v>3.8</v>
      </c>
      <c r="AI105" s="1">
        <v>0.6</v>
      </c>
      <c r="AJ105" s="1">
        <v>-0.4</v>
      </c>
      <c r="AK105" s="1">
        <v>0.6</v>
      </c>
      <c r="AL105" s="1"/>
      <c r="AM105" s="1">
        <f t="shared" si="25"/>
        <v>12</v>
      </c>
      <c r="AN105" s="1"/>
      <c r="AO105" s="1"/>
      <c r="AP105" s="1"/>
      <c r="AQ105" s="1"/>
      <c r="AR105" s="1"/>
      <c r="AS105" s="1"/>
      <c r="AT105" s="1"/>
      <c r="AU105" s="1"/>
      <c r="AV105" s="1"/>
      <c r="AW105" s="1"/>
    </row>
    <row r="106" spans="1:49" x14ac:dyDescent="0.25">
      <c r="A106" s="1" t="s">
        <v>160</v>
      </c>
      <c r="B106" s="1" t="s">
        <v>40</v>
      </c>
      <c r="C106" s="1">
        <v>4.0339999999999998</v>
      </c>
      <c r="D106" s="1">
        <v>24.311</v>
      </c>
      <c r="E106" s="1">
        <v>7.5449999999999999</v>
      </c>
      <c r="F106" s="1">
        <v>20.8</v>
      </c>
      <c r="G106" s="7">
        <v>1</v>
      </c>
      <c r="H106" s="1">
        <v>55</v>
      </c>
      <c r="I106" s="10" t="s">
        <v>55</v>
      </c>
      <c r="J106" s="1"/>
      <c r="K106" s="1">
        <v>6.6</v>
      </c>
      <c r="L106" s="1">
        <f t="shared" si="33"/>
        <v>0.94500000000000028</v>
      </c>
      <c r="M106" s="1">
        <f t="shared" si="34"/>
        <v>7.5449999999999999</v>
      </c>
      <c r="N106" s="1"/>
      <c r="O106" s="1"/>
      <c r="P106" s="1"/>
      <c r="Q106" s="1"/>
      <c r="R106" s="1"/>
      <c r="S106" s="1"/>
      <c r="T106" s="1"/>
      <c r="U106" s="1">
        <v>20</v>
      </c>
      <c r="V106" s="1"/>
      <c r="W106" s="1">
        <v>10</v>
      </c>
      <c r="X106" s="1">
        <f t="shared" si="35"/>
        <v>1.5089999999999999</v>
      </c>
      <c r="Y106" s="5"/>
      <c r="Z106" s="5">
        <f>Y106*1.3</f>
        <v>0</v>
      </c>
      <c r="AA106" s="19"/>
      <c r="AB106" s="1">
        <f t="shared" si="24"/>
        <v>33.664678595096092</v>
      </c>
      <c r="AC106" s="1">
        <f t="shared" si="36"/>
        <v>33.664678595096092</v>
      </c>
      <c r="AD106" s="1">
        <v>4.0606</v>
      </c>
      <c r="AE106" s="1">
        <v>3.5045999999999999</v>
      </c>
      <c r="AF106" s="1">
        <v>1.7738</v>
      </c>
      <c r="AG106" s="1">
        <v>2.5558000000000001</v>
      </c>
      <c r="AH106" s="1">
        <v>2.5558000000000001</v>
      </c>
      <c r="AI106" s="1">
        <v>1.869</v>
      </c>
      <c r="AJ106" s="1">
        <v>0.8869999999999999</v>
      </c>
      <c r="AK106" s="1">
        <v>2.1185999999999998</v>
      </c>
      <c r="AL106" s="1"/>
      <c r="AM106" s="1">
        <f t="shared" si="25"/>
        <v>0</v>
      </c>
      <c r="AN106" s="1"/>
      <c r="AO106" s="1"/>
      <c r="AP106" s="1"/>
      <c r="AQ106" s="1"/>
      <c r="AR106" s="1"/>
      <c r="AS106" s="1"/>
      <c r="AT106" s="1"/>
      <c r="AU106" s="1"/>
      <c r="AV106" s="1"/>
      <c r="AW106" s="1"/>
    </row>
    <row r="107" spans="1:49" x14ac:dyDescent="0.25">
      <c r="A107" s="1" t="s">
        <v>161</v>
      </c>
      <c r="B107" s="1" t="s">
        <v>46</v>
      </c>
      <c r="C107" s="1">
        <v>116</v>
      </c>
      <c r="D107" s="1">
        <v>607</v>
      </c>
      <c r="E107" s="1">
        <v>217</v>
      </c>
      <c r="F107" s="1">
        <v>481</v>
      </c>
      <c r="G107" s="7">
        <v>0.11</v>
      </c>
      <c r="H107" s="1">
        <v>30</v>
      </c>
      <c r="I107" s="9" t="s">
        <v>48</v>
      </c>
      <c r="J107" s="1"/>
      <c r="K107" s="1">
        <v>366</v>
      </c>
      <c r="L107" s="1">
        <f t="shared" si="33"/>
        <v>-149</v>
      </c>
      <c r="M107" s="1">
        <f t="shared" si="34"/>
        <v>217</v>
      </c>
      <c r="N107" s="1"/>
      <c r="O107" s="1"/>
      <c r="P107" s="1"/>
      <c r="Q107" s="1"/>
      <c r="R107" s="1"/>
      <c r="S107" s="1"/>
      <c r="T107" s="1"/>
      <c r="U107" s="1"/>
      <c r="V107" s="1"/>
      <c r="W107" s="1">
        <v>0</v>
      </c>
      <c r="X107" s="1">
        <f t="shared" si="35"/>
        <v>43.4</v>
      </c>
      <c r="Y107" s="5"/>
      <c r="Z107" s="5">
        <f t="shared" si="26"/>
        <v>0</v>
      </c>
      <c r="AA107" s="19"/>
      <c r="AB107" s="1">
        <f t="shared" si="24"/>
        <v>11.082949308755762</v>
      </c>
      <c r="AC107" s="1">
        <f t="shared" si="36"/>
        <v>11.082949308755762</v>
      </c>
      <c r="AD107" s="1">
        <v>17</v>
      </c>
      <c r="AE107" s="1">
        <v>11.6</v>
      </c>
      <c r="AF107" s="1">
        <v>20.399999999999999</v>
      </c>
      <c r="AG107" s="1">
        <v>18.600000000000001</v>
      </c>
      <c r="AH107" s="1">
        <v>20.6</v>
      </c>
      <c r="AI107" s="1">
        <v>12</v>
      </c>
      <c r="AJ107" s="1">
        <v>0</v>
      </c>
      <c r="AK107" s="1">
        <v>0</v>
      </c>
      <c r="AL107" s="17" t="s">
        <v>156</v>
      </c>
      <c r="AM107" s="1">
        <f t="shared" si="25"/>
        <v>0</v>
      </c>
      <c r="AN107" s="1"/>
      <c r="AO107" s="1"/>
      <c r="AP107" s="1"/>
      <c r="AQ107" s="1"/>
      <c r="AR107" s="1"/>
      <c r="AS107" s="1"/>
      <c r="AT107" s="1"/>
      <c r="AU107" s="1"/>
      <c r="AV107" s="1"/>
      <c r="AW107" s="1"/>
    </row>
    <row r="108" spans="1:49" x14ac:dyDescent="0.25">
      <c r="A108" s="11" t="s">
        <v>162</v>
      </c>
      <c r="B108" s="11" t="s">
        <v>46</v>
      </c>
      <c r="C108" s="11"/>
      <c r="D108" s="11"/>
      <c r="E108" s="11"/>
      <c r="F108" s="11"/>
      <c r="G108" s="12">
        <v>0</v>
      </c>
      <c r="H108" s="11"/>
      <c r="I108" s="11" t="s">
        <v>41</v>
      </c>
      <c r="J108" s="11"/>
      <c r="K108" s="11"/>
      <c r="L108" s="11">
        <f t="shared" si="33"/>
        <v>0</v>
      </c>
      <c r="M108" s="11">
        <f t="shared" si="34"/>
        <v>0</v>
      </c>
      <c r="N108" s="11"/>
      <c r="O108" s="11"/>
      <c r="P108" s="11"/>
      <c r="Q108" s="11"/>
      <c r="R108" s="11"/>
      <c r="S108" s="11"/>
      <c r="T108" s="11"/>
      <c r="U108" s="11"/>
      <c r="V108" s="11"/>
      <c r="W108" s="11">
        <v>0</v>
      </c>
      <c r="X108" s="11">
        <f t="shared" si="35"/>
        <v>0</v>
      </c>
      <c r="Y108" s="13"/>
      <c r="Z108" s="5">
        <f t="shared" si="26"/>
        <v>0</v>
      </c>
      <c r="AA108" s="19"/>
      <c r="AB108" s="1" t="e">
        <f t="shared" si="24"/>
        <v>#DIV/0!</v>
      </c>
      <c r="AC108" s="11" t="e">
        <f t="shared" si="36"/>
        <v>#DIV/0!</v>
      </c>
      <c r="AD108" s="11">
        <v>0</v>
      </c>
      <c r="AE108" s="11">
        <v>0</v>
      </c>
      <c r="AF108" s="11">
        <v>0</v>
      </c>
      <c r="AG108" s="11">
        <v>0</v>
      </c>
      <c r="AH108" s="11">
        <v>0</v>
      </c>
      <c r="AI108" s="11">
        <v>0</v>
      </c>
      <c r="AJ108" s="11">
        <v>0</v>
      </c>
      <c r="AK108" s="11">
        <v>0</v>
      </c>
      <c r="AL108" s="11" t="s">
        <v>66</v>
      </c>
      <c r="AM108" s="1">
        <f t="shared" si="25"/>
        <v>0</v>
      </c>
      <c r="AN108" s="1"/>
      <c r="AO108" s="1"/>
      <c r="AP108" s="1"/>
      <c r="AQ108" s="1"/>
      <c r="AR108" s="1"/>
      <c r="AS108" s="1"/>
      <c r="AT108" s="1"/>
      <c r="AU108" s="1"/>
      <c r="AV108" s="1"/>
      <c r="AW108" s="1"/>
    </row>
    <row r="109" spans="1:49" x14ac:dyDescent="0.25">
      <c r="A109" s="1" t="s">
        <v>163</v>
      </c>
      <c r="B109" s="1" t="s">
        <v>46</v>
      </c>
      <c r="C109" s="1">
        <v>350</v>
      </c>
      <c r="D109" s="1">
        <v>436</v>
      </c>
      <c r="E109" s="1">
        <v>456</v>
      </c>
      <c r="F109" s="1">
        <v>275</v>
      </c>
      <c r="G109" s="7">
        <v>0.08</v>
      </c>
      <c r="H109" s="1">
        <v>45</v>
      </c>
      <c r="I109" s="9" t="s">
        <v>48</v>
      </c>
      <c r="J109" s="1"/>
      <c r="K109" s="1">
        <v>538</v>
      </c>
      <c r="L109" s="1">
        <f t="shared" si="33"/>
        <v>-82</v>
      </c>
      <c r="M109" s="1">
        <f t="shared" si="34"/>
        <v>456</v>
      </c>
      <c r="N109" s="1"/>
      <c r="O109" s="1"/>
      <c r="P109" s="1"/>
      <c r="Q109" s="1"/>
      <c r="R109" s="1"/>
      <c r="S109" s="1"/>
      <c r="T109" s="1"/>
      <c r="U109" s="1">
        <v>55.2</v>
      </c>
      <c r="V109" s="1"/>
      <c r="W109" s="1">
        <v>131.19999999999979</v>
      </c>
      <c r="X109" s="1">
        <f t="shared" si="35"/>
        <v>91.2</v>
      </c>
      <c r="Y109" s="5">
        <f t="shared" ref="Y109:Y111" si="38">11*X109-W109-V109-U109-T109-S109-R109-Q109-P109-O109-F109</f>
        <v>541.80000000000018</v>
      </c>
      <c r="Z109" s="5">
        <f t="shared" si="26"/>
        <v>541.80000000000018</v>
      </c>
      <c r="AA109" s="19"/>
      <c r="AB109" s="1">
        <f t="shared" si="24"/>
        <v>10.999999999999998</v>
      </c>
      <c r="AC109" s="1">
        <f t="shared" si="36"/>
        <v>5.0592105263157867</v>
      </c>
      <c r="AD109" s="1">
        <v>65.8</v>
      </c>
      <c r="AE109" s="1">
        <v>55.2</v>
      </c>
      <c r="AF109" s="1">
        <v>52</v>
      </c>
      <c r="AG109" s="1">
        <v>41</v>
      </c>
      <c r="AH109" s="1">
        <v>41</v>
      </c>
      <c r="AI109" s="1">
        <v>42.2</v>
      </c>
      <c r="AJ109" s="1">
        <v>49.2</v>
      </c>
      <c r="AK109" s="1">
        <v>54.2</v>
      </c>
      <c r="AL109" s="1" t="s">
        <v>164</v>
      </c>
      <c r="AM109" s="1">
        <f t="shared" si="25"/>
        <v>43</v>
      </c>
      <c r="AN109" s="1"/>
      <c r="AO109" s="1"/>
      <c r="AP109" s="1"/>
      <c r="AQ109" s="1"/>
      <c r="AR109" s="1"/>
      <c r="AS109" s="1"/>
      <c r="AT109" s="1"/>
      <c r="AU109" s="1"/>
      <c r="AV109" s="1"/>
      <c r="AW109" s="1"/>
    </row>
    <row r="110" spans="1:49" x14ac:dyDescent="0.25">
      <c r="A110" s="1" t="s">
        <v>165</v>
      </c>
      <c r="B110" s="1" t="s">
        <v>46</v>
      </c>
      <c r="C110" s="1">
        <v>155</v>
      </c>
      <c r="D110" s="1">
        <v>826</v>
      </c>
      <c r="E110" s="1">
        <v>400</v>
      </c>
      <c r="F110" s="1">
        <v>544</v>
      </c>
      <c r="G110" s="7">
        <v>0.08</v>
      </c>
      <c r="H110" s="1">
        <v>45</v>
      </c>
      <c r="I110" s="9" t="s">
        <v>48</v>
      </c>
      <c r="J110" s="1"/>
      <c r="K110" s="1">
        <v>527</v>
      </c>
      <c r="L110" s="1">
        <f t="shared" si="33"/>
        <v>-127</v>
      </c>
      <c r="M110" s="1">
        <f t="shared" si="34"/>
        <v>400</v>
      </c>
      <c r="N110" s="1"/>
      <c r="O110" s="1"/>
      <c r="P110" s="1"/>
      <c r="Q110" s="1"/>
      <c r="R110" s="1"/>
      <c r="S110" s="1"/>
      <c r="T110" s="1"/>
      <c r="U110" s="1"/>
      <c r="V110" s="1"/>
      <c r="W110" s="1">
        <v>0</v>
      </c>
      <c r="X110" s="1">
        <f t="shared" si="35"/>
        <v>80</v>
      </c>
      <c r="Y110" s="5">
        <f t="shared" si="38"/>
        <v>336</v>
      </c>
      <c r="Z110" s="5">
        <f t="shared" si="26"/>
        <v>336</v>
      </c>
      <c r="AA110" s="19"/>
      <c r="AB110" s="1">
        <f t="shared" si="24"/>
        <v>11</v>
      </c>
      <c r="AC110" s="1">
        <f t="shared" si="36"/>
        <v>6.8</v>
      </c>
      <c r="AD110" s="1">
        <v>44.6</v>
      </c>
      <c r="AE110" s="1">
        <v>42</v>
      </c>
      <c r="AF110" s="1">
        <v>44.6</v>
      </c>
      <c r="AG110" s="1">
        <v>41.6</v>
      </c>
      <c r="AH110" s="1">
        <v>41.6</v>
      </c>
      <c r="AI110" s="1">
        <v>22.6</v>
      </c>
      <c r="AJ110" s="1">
        <v>9.6</v>
      </c>
      <c r="AK110" s="1">
        <v>4.4000000000000004</v>
      </c>
      <c r="AL110" s="1" t="s">
        <v>166</v>
      </c>
      <c r="AM110" s="1">
        <f t="shared" si="25"/>
        <v>27</v>
      </c>
      <c r="AN110" s="1"/>
      <c r="AO110" s="1"/>
      <c r="AP110" s="1"/>
      <c r="AQ110" s="1"/>
      <c r="AR110" s="1"/>
      <c r="AS110" s="1"/>
      <c r="AT110" s="1"/>
      <c r="AU110" s="1"/>
      <c r="AV110" s="1"/>
      <c r="AW110" s="1"/>
    </row>
    <row r="111" spans="1:49" x14ac:dyDescent="0.25">
      <c r="A111" s="1" t="s">
        <v>167</v>
      </c>
      <c r="B111" s="1" t="s">
        <v>46</v>
      </c>
      <c r="C111" s="1">
        <v>89</v>
      </c>
      <c r="D111" s="1">
        <v>545</v>
      </c>
      <c r="E111" s="1">
        <v>247</v>
      </c>
      <c r="F111" s="1">
        <v>366</v>
      </c>
      <c r="G111" s="7">
        <v>0.17</v>
      </c>
      <c r="H111" s="1">
        <v>30</v>
      </c>
      <c r="I111" s="9" t="s">
        <v>48</v>
      </c>
      <c r="J111" s="1"/>
      <c r="K111" s="1">
        <v>347</v>
      </c>
      <c r="L111" s="1">
        <f t="shared" si="33"/>
        <v>-100</v>
      </c>
      <c r="M111" s="1">
        <f t="shared" si="34"/>
        <v>247</v>
      </c>
      <c r="N111" s="1"/>
      <c r="O111" s="1"/>
      <c r="P111" s="1"/>
      <c r="Q111" s="1"/>
      <c r="R111" s="1"/>
      <c r="S111" s="1"/>
      <c r="T111" s="1"/>
      <c r="U111" s="1"/>
      <c r="V111" s="1"/>
      <c r="W111" s="1">
        <v>0</v>
      </c>
      <c r="X111" s="1">
        <f t="shared" si="35"/>
        <v>49.4</v>
      </c>
      <c r="Y111" s="5">
        <f t="shared" si="38"/>
        <v>177.39999999999998</v>
      </c>
      <c r="Z111" s="5">
        <f t="shared" si="26"/>
        <v>177.39999999999998</v>
      </c>
      <c r="AA111" s="19"/>
      <c r="AB111" s="1">
        <f t="shared" si="24"/>
        <v>11</v>
      </c>
      <c r="AC111" s="1">
        <f t="shared" si="36"/>
        <v>7.4089068825910935</v>
      </c>
      <c r="AD111" s="1">
        <v>25.6</v>
      </c>
      <c r="AE111" s="1">
        <v>19.2</v>
      </c>
      <c r="AF111" s="1">
        <v>25.8</v>
      </c>
      <c r="AG111" s="1">
        <v>16.2</v>
      </c>
      <c r="AH111" s="1">
        <v>16.2</v>
      </c>
      <c r="AI111" s="1">
        <v>20.6</v>
      </c>
      <c r="AJ111" s="1">
        <v>16</v>
      </c>
      <c r="AK111" s="1">
        <v>14.6</v>
      </c>
      <c r="AL111" s="1" t="s">
        <v>168</v>
      </c>
      <c r="AM111" s="1">
        <f t="shared" si="25"/>
        <v>30</v>
      </c>
      <c r="AN111" s="1"/>
      <c r="AO111" s="1"/>
      <c r="AP111" s="1"/>
      <c r="AQ111" s="1"/>
      <c r="AR111" s="1"/>
      <c r="AS111" s="1"/>
      <c r="AT111" s="1"/>
      <c r="AU111" s="1"/>
      <c r="AV111" s="1"/>
      <c r="AW111" s="1"/>
    </row>
    <row r="112" spans="1:49" x14ac:dyDescent="0.25">
      <c r="A112" s="1" t="s">
        <v>169</v>
      </c>
      <c r="B112" s="1" t="s">
        <v>40</v>
      </c>
      <c r="C112" s="1">
        <v>-14.435</v>
      </c>
      <c r="D112" s="1">
        <v>505.37200000000001</v>
      </c>
      <c r="E112" s="1">
        <v>138.761</v>
      </c>
      <c r="F112" s="1">
        <v>313.762</v>
      </c>
      <c r="G112" s="7">
        <v>1</v>
      </c>
      <c r="H112" s="1">
        <v>40</v>
      </c>
      <c r="I112" s="10" t="s">
        <v>55</v>
      </c>
      <c r="J112" s="1"/>
      <c r="K112" s="1">
        <v>150.42400000000001</v>
      </c>
      <c r="L112" s="1">
        <f t="shared" si="33"/>
        <v>-11.663000000000011</v>
      </c>
      <c r="M112" s="1">
        <f t="shared" si="34"/>
        <v>138.761</v>
      </c>
      <c r="N112" s="1"/>
      <c r="O112" s="1"/>
      <c r="P112" s="1"/>
      <c r="Q112" s="1"/>
      <c r="R112" s="1"/>
      <c r="S112" s="1"/>
      <c r="T112" s="1"/>
      <c r="U112" s="1">
        <v>50</v>
      </c>
      <c r="V112" s="1"/>
      <c r="W112" s="1">
        <v>0</v>
      </c>
      <c r="X112" s="1">
        <f t="shared" si="35"/>
        <v>27.752199999999998</v>
      </c>
      <c r="Y112" s="5">
        <v>50</v>
      </c>
      <c r="Z112" s="5">
        <f t="shared" ref="Z112:Z114" si="39">Y112*1.3</f>
        <v>65</v>
      </c>
      <c r="AA112" s="19"/>
      <c r="AB112" s="1">
        <f t="shared" si="24"/>
        <v>15.449658045127954</v>
      </c>
      <c r="AC112" s="1">
        <f t="shared" si="36"/>
        <v>13.107501387277406</v>
      </c>
      <c r="AD112" s="1">
        <v>9.1273999999999997</v>
      </c>
      <c r="AE112" s="1">
        <v>22.7928</v>
      </c>
      <c r="AF112" s="1">
        <v>34.8264</v>
      </c>
      <c r="AG112" s="1">
        <v>42.7742</v>
      </c>
      <c r="AH112" s="1">
        <v>42.7742</v>
      </c>
      <c r="AI112" s="1">
        <v>44.640799999999999</v>
      </c>
      <c r="AJ112" s="1">
        <v>37.654600000000002</v>
      </c>
      <c r="AK112" s="1">
        <v>36.516399999999997</v>
      </c>
      <c r="AL112" s="1"/>
      <c r="AM112" s="1">
        <f t="shared" si="25"/>
        <v>65</v>
      </c>
      <c r="AN112" s="1"/>
      <c r="AO112" s="1"/>
      <c r="AP112" s="1"/>
      <c r="AQ112" s="1"/>
      <c r="AR112" s="1"/>
      <c r="AS112" s="1"/>
      <c r="AT112" s="1"/>
      <c r="AU112" s="1"/>
      <c r="AV112" s="1"/>
      <c r="AW112" s="1"/>
    </row>
    <row r="113" spans="1:49" x14ac:dyDescent="0.25">
      <c r="A113" s="1" t="s">
        <v>170</v>
      </c>
      <c r="B113" s="1" t="s">
        <v>40</v>
      </c>
      <c r="C113" s="1">
        <v>105.78100000000001</v>
      </c>
      <c r="D113" s="1">
        <v>274.70100000000002</v>
      </c>
      <c r="E113" s="1">
        <v>136.64099999999999</v>
      </c>
      <c r="F113" s="1">
        <v>206.583</v>
      </c>
      <c r="G113" s="7">
        <v>1</v>
      </c>
      <c r="H113" s="1">
        <v>40</v>
      </c>
      <c r="I113" s="10" t="s">
        <v>55</v>
      </c>
      <c r="J113" s="1"/>
      <c r="K113" s="1">
        <v>169.5</v>
      </c>
      <c r="L113" s="1">
        <f t="shared" si="33"/>
        <v>-32.859000000000009</v>
      </c>
      <c r="M113" s="1">
        <f t="shared" si="34"/>
        <v>136.64099999999999</v>
      </c>
      <c r="N113" s="1"/>
      <c r="O113" s="1"/>
      <c r="P113" s="1"/>
      <c r="Q113" s="1"/>
      <c r="R113" s="1"/>
      <c r="S113" s="1"/>
      <c r="T113" s="1"/>
      <c r="U113" s="1">
        <v>100</v>
      </c>
      <c r="V113" s="1"/>
      <c r="W113" s="1">
        <v>0</v>
      </c>
      <c r="X113" s="1">
        <f t="shared" si="35"/>
        <v>27.328199999999999</v>
      </c>
      <c r="Y113" s="5"/>
      <c r="Z113" s="5">
        <f t="shared" si="39"/>
        <v>0</v>
      </c>
      <c r="AA113" s="19"/>
      <c r="AB113" s="1">
        <f t="shared" si="24"/>
        <v>11.218558119451702</v>
      </c>
      <c r="AC113" s="1">
        <f t="shared" si="36"/>
        <v>11.218558119451702</v>
      </c>
      <c r="AD113" s="1">
        <v>22.582599999999999</v>
      </c>
      <c r="AE113" s="1">
        <v>18.3916</v>
      </c>
      <c r="AF113" s="1">
        <v>16.235600000000002</v>
      </c>
      <c r="AG113" s="1">
        <v>17.161000000000001</v>
      </c>
      <c r="AH113" s="1">
        <v>17.161000000000001</v>
      </c>
      <c r="AI113" s="1">
        <v>14.714</v>
      </c>
      <c r="AJ113" s="1">
        <v>10.642200000000001</v>
      </c>
      <c r="AK113" s="1">
        <v>4.7026000000000003</v>
      </c>
      <c r="AL113" s="1"/>
      <c r="AM113" s="1">
        <f t="shared" si="25"/>
        <v>0</v>
      </c>
      <c r="AN113" s="1"/>
      <c r="AO113" s="1"/>
      <c r="AP113" s="1"/>
      <c r="AQ113" s="1"/>
      <c r="AR113" s="1"/>
      <c r="AS113" s="1"/>
      <c r="AT113" s="1"/>
      <c r="AU113" s="1"/>
      <c r="AV113" s="1"/>
      <c r="AW113" s="1"/>
    </row>
    <row r="114" spans="1:49" x14ac:dyDescent="0.25">
      <c r="A114" s="1" t="s">
        <v>171</v>
      </c>
      <c r="B114" s="1" t="s">
        <v>40</v>
      </c>
      <c r="C114" s="1">
        <v>-5.0990000000000002</v>
      </c>
      <c r="D114" s="1"/>
      <c r="E114" s="1">
        <v>-1.4590000000000001</v>
      </c>
      <c r="F114" s="1">
        <v>-8.6039999999999992</v>
      </c>
      <c r="G114" s="7">
        <v>1</v>
      </c>
      <c r="H114" s="1">
        <v>40</v>
      </c>
      <c r="I114" s="10" t="s">
        <v>55</v>
      </c>
      <c r="J114" s="1"/>
      <c r="K114" s="1">
        <v>16.5</v>
      </c>
      <c r="L114" s="1">
        <f t="shared" si="33"/>
        <v>-17.959</v>
      </c>
      <c r="M114" s="1">
        <f t="shared" si="34"/>
        <v>-1.4590000000000001</v>
      </c>
      <c r="N114" s="1"/>
      <c r="O114" s="1"/>
      <c r="P114" s="1"/>
      <c r="Q114" s="1"/>
      <c r="R114" s="1"/>
      <c r="S114" s="1"/>
      <c r="T114" s="1"/>
      <c r="U114" s="1">
        <v>100</v>
      </c>
      <c r="V114" s="1"/>
      <c r="W114" s="1">
        <v>50</v>
      </c>
      <c r="X114" s="1">
        <f t="shared" si="35"/>
        <v>-0.2918</v>
      </c>
      <c r="Y114" s="5">
        <v>100</v>
      </c>
      <c r="Z114" s="5">
        <f t="shared" si="39"/>
        <v>130</v>
      </c>
      <c r="AA114" s="19"/>
      <c r="AB114" s="1">
        <f t="shared" si="24"/>
        <v>-930.07539410555182</v>
      </c>
      <c r="AC114" s="1">
        <f t="shared" si="36"/>
        <v>-484.56477039067858</v>
      </c>
      <c r="AD114" s="1">
        <v>0.2772</v>
      </c>
      <c r="AE114" s="1">
        <v>6.3255999999999997</v>
      </c>
      <c r="AF114" s="1">
        <v>28.129000000000001</v>
      </c>
      <c r="AG114" s="1">
        <v>43.2318</v>
      </c>
      <c r="AH114" s="1">
        <v>47.453200000000002</v>
      </c>
      <c r="AI114" s="1">
        <v>41.672199999999997</v>
      </c>
      <c r="AJ114" s="1">
        <v>33.958799999999997</v>
      </c>
      <c r="AK114" s="1">
        <v>31.296800000000001</v>
      </c>
      <c r="AL114" s="1"/>
      <c r="AM114" s="1">
        <f t="shared" si="25"/>
        <v>130</v>
      </c>
      <c r="AN114" s="1"/>
      <c r="AO114" s="1"/>
      <c r="AP114" s="1"/>
      <c r="AQ114" s="1"/>
      <c r="AR114" s="1"/>
      <c r="AS114" s="1"/>
      <c r="AT114" s="1"/>
      <c r="AU114" s="1"/>
      <c r="AV114" s="1"/>
      <c r="AW114" s="1"/>
    </row>
    <row r="115" spans="1:49" x14ac:dyDescent="0.25">
      <c r="A115" s="1" t="s">
        <v>172</v>
      </c>
      <c r="B115" s="1" t="s">
        <v>46</v>
      </c>
      <c r="C115" s="1">
        <v>5</v>
      </c>
      <c r="D115" s="1">
        <v>66</v>
      </c>
      <c r="E115" s="1">
        <v>41</v>
      </c>
      <c r="F115" s="1">
        <v>29</v>
      </c>
      <c r="G115" s="7">
        <v>0.3</v>
      </c>
      <c r="H115" s="1">
        <v>45</v>
      </c>
      <c r="I115" s="1" t="s">
        <v>41</v>
      </c>
      <c r="J115" s="1"/>
      <c r="K115" s="1">
        <v>75</v>
      </c>
      <c r="L115" s="1">
        <f t="shared" si="33"/>
        <v>-34</v>
      </c>
      <c r="M115" s="1">
        <f t="shared" si="34"/>
        <v>41</v>
      </c>
      <c r="N115" s="1"/>
      <c r="O115" s="1"/>
      <c r="P115" s="1"/>
      <c r="Q115" s="1"/>
      <c r="R115" s="1"/>
      <c r="S115" s="1"/>
      <c r="T115" s="1"/>
      <c r="U115" s="1"/>
      <c r="V115" s="1"/>
      <c r="W115" s="1">
        <v>0</v>
      </c>
      <c r="X115" s="1">
        <f t="shared" si="35"/>
        <v>8.1999999999999993</v>
      </c>
      <c r="Y115" s="5">
        <f>10*X115-W115-V115-U115-T115-S115-R115-Q115-P115-O115-F115</f>
        <v>53</v>
      </c>
      <c r="Z115" s="5">
        <f t="shared" si="26"/>
        <v>53</v>
      </c>
      <c r="AA115" s="19"/>
      <c r="AB115" s="1">
        <f t="shared" si="24"/>
        <v>10</v>
      </c>
      <c r="AC115" s="1">
        <f t="shared" si="36"/>
        <v>3.536585365853659</v>
      </c>
      <c r="AD115" s="1">
        <v>0.4</v>
      </c>
      <c r="AE115" s="1">
        <v>1.2</v>
      </c>
      <c r="AF115" s="1">
        <v>8.4</v>
      </c>
      <c r="AG115" s="1">
        <v>2</v>
      </c>
      <c r="AH115" s="1">
        <v>2</v>
      </c>
      <c r="AI115" s="1">
        <v>3.2</v>
      </c>
      <c r="AJ115" s="1">
        <v>4</v>
      </c>
      <c r="AK115" s="1">
        <v>3.8</v>
      </c>
      <c r="AL115" s="1"/>
      <c r="AM115" s="1">
        <f t="shared" si="25"/>
        <v>16</v>
      </c>
      <c r="AN115" s="1"/>
      <c r="AO115" s="1"/>
      <c r="AP115" s="1"/>
      <c r="AQ115" s="1"/>
      <c r="AR115" s="1"/>
      <c r="AS115" s="1"/>
      <c r="AT115" s="1"/>
      <c r="AU115" s="1"/>
      <c r="AV115" s="1"/>
      <c r="AW115" s="1"/>
    </row>
    <row r="116" spans="1:49" x14ac:dyDescent="0.25">
      <c r="A116" s="1" t="s">
        <v>173</v>
      </c>
      <c r="B116" s="1" t="s">
        <v>40</v>
      </c>
      <c r="C116" s="1">
        <v>18.106999999999999</v>
      </c>
      <c r="D116" s="1">
        <v>2.714</v>
      </c>
      <c r="E116" s="1">
        <v>5.48</v>
      </c>
      <c r="F116" s="1">
        <v>9.9079999999999995</v>
      </c>
      <c r="G116" s="7">
        <v>1</v>
      </c>
      <c r="H116" s="1">
        <v>55</v>
      </c>
      <c r="I116" s="1" t="s">
        <v>41</v>
      </c>
      <c r="J116" s="1"/>
      <c r="K116" s="1">
        <v>10.1</v>
      </c>
      <c r="L116" s="1">
        <f t="shared" si="33"/>
        <v>-4.6199999999999992</v>
      </c>
      <c r="M116" s="1">
        <f t="shared" si="34"/>
        <v>5.48</v>
      </c>
      <c r="N116" s="1"/>
      <c r="O116" s="1"/>
      <c r="P116" s="1"/>
      <c r="Q116" s="1"/>
      <c r="R116" s="1"/>
      <c r="S116" s="1"/>
      <c r="T116" s="1"/>
      <c r="U116" s="1"/>
      <c r="V116" s="1"/>
      <c r="W116" s="1">
        <v>0</v>
      </c>
      <c r="X116" s="1">
        <f t="shared" si="35"/>
        <v>1.0960000000000001</v>
      </c>
      <c r="Y116" s="5">
        <v>4</v>
      </c>
      <c r="Z116" s="5">
        <f t="shared" si="26"/>
        <v>4</v>
      </c>
      <c r="AA116" s="19"/>
      <c r="AB116" s="1">
        <f t="shared" si="24"/>
        <v>12.689781021897808</v>
      </c>
      <c r="AC116" s="1">
        <f t="shared" si="36"/>
        <v>9.040145985401459</v>
      </c>
      <c r="AD116" s="1">
        <v>1.0960000000000001</v>
      </c>
      <c r="AE116" s="1">
        <v>0.27679999999999999</v>
      </c>
      <c r="AF116" s="1">
        <v>0.27679999999999999</v>
      </c>
      <c r="AG116" s="1">
        <v>0.55199999999999994</v>
      </c>
      <c r="AH116" s="1">
        <v>0.55199999999999994</v>
      </c>
      <c r="AI116" s="1">
        <v>0</v>
      </c>
      <c r="AJ116" s="1">
        <v>0</v>
      </c>
      <c r="AK116" s="1">
        <v>0</v>
      </c>
      <c r="AL116" s="1"/>
      <c r="AM116" s="1">
        <f t="shared" si="25"/>
        <v>4</v>
      </c>
      <c r="AN116" s="1"/>
      <c r="AO116" s="1"/>
      <c r="AP116" s="1"/>
      <c r="AQ116" s="1"/>
      <c r="AR116" s="1"/>
      <c r="AS116" s="1"/>
      <c r="AT116" s="1"/>
      <c r="AU116" s="1"/>
      <c r="AV116" s="1"/>
      <c r="AW116" s="1"/>
    </row>
    <row r="117" spans="1:49" x14ac:dyDescent="0.25">
      <c r="A117" s="1" t="s">
        <v>174</v>
      </c>
      <c r="B117" s="1" t="s">
        <v>46</v>
      </c>
      <c r="C117" s="1">
        <v>81</v>
      </c>
      <c r="D117" s="1">
        <v>698</v>
      </c>
      <c r="E117" s="1">
        <v>302</v>
      </c>
      <c r="F117" s="1">
        <v>389</v>
      </c>
      <c r="G117" s="7">
        <v>0.28000000000000003</v>
      </c>
      <c r="H117" s="1">
        <v>40</v>
      </c>
      <c r="I117" s="10" t="s">
        <v>55</v>
      </c>
      <c r="J117" s="1"/>
      <c r="K117" s="1">
        <v>523</v>
      </c>
      <c r="L117" s="1">
        <f t="shared" si="33"/>
        <v>-221</v>
      </c>
      <c r="M117" s="1">
        <f t="shared" si="34"/>
        <v>302</v>
      </c>
      <c r="N117" s="1"/>
      <c r="O117" s="1"/>
      <c r="P117" s="1"/>
      <c r="Q117" s="1"/>
      <c r="R117" s="1"/>
      <c r="S117" s="1"/>
      <c r="T117" s="1"/>
      <c r="U117" s="1">
        <v>150</v>
      </c>
      <c r="V117" s="1"/>
      <c r="W117" s="1">
        <v>0</v>
      </c>
      <c r="X117" s="1">
        <f t="shared" si="35"/>
        <v>60.4</v>
      </c>
      <c r="Y117" s="5">
        <v>150</v>
      </c>
      <c r="Z117" s="5">
        <f>Y117*1.3</f>
        <v>195</v>
      </c>
      <c r="AA117" s="19"/>
      <c r="AB117" s="1">
        <f t="shared" si="24"/>
        <v>12.152317880794703</v>
      </c>
      <c r="AC117" s="1">
        <f t="shared" si="36"/>
        <v>8.9238410596026494</v>
      </c>
      <c r="AD117" s="1">
        <v>3.4</v>
      </c>
      <c r="AE117" s="1">
        <v>27.6</v>
      </c>
      <c r="AF117" s="1">
        <v>72.8</v>
      </c>
      <c r="AG117" s="1">
        <v>76.599999999999994</v>
      </c>
      <c r="AH117" s="1">
        <v>78.2</v>
      </c>
      <c r="AI117" s="1">
        <v>70.2</v>
      </c>
      <c r="AJ117" s="1">
        <v>72</v>
      </c>
      <c r="AK117" s="1">
        <v>68.400000000000006</v>
      </c>
      <c r="AL117" s="1"/>
      <c r="AM117" s="1">
        <f t="shared" si="25"/>
        <v>55</v>
      </c>
      <c r="AN117" s="1"/>
      <c r="AO117" s="1"/>
      <c r="AP117" s="1"/>
      <c r="AQ117" s="1"/>
      <c r="AR117" s="1"/>
      <c r="AS117" s="1"/>
      <c r="AT117" s="1"/>
      <c r="AU117" s="1"/>
      <c r="AV117" s="1"/>
      <c r="AW117" s="1"/>
    </row>
    <row r="118" spans="1:49" x14ac:dyDescent="0.25">
      <c r="A118" s="1" t="s">
        <v>175</v>
      </c>
      <c r="B118" s="1" t="s">
        <v>46</v>
      </c>
      <c r="C118" s="1">
        <v>-11.273999999999999</v>
      </c>
      <c r="D118" s="1">
        <v>168</v>
      </c>
      <c r="E118" s="1">
        <v>136</v>
      </c>
      <c r="F118" s="1">
        <v>-16.274000000000001</v>
      </c>
      <c r="G118" s="7">
        <v>0.28000000000000003</v>
      </c>
      <c r="H118" s="1">
        <v>40</v>
      </c>
      <c r="I118" s="10" t="s">
        <v>55</v>
      </c>
      <c r="J118" s="1"/>
      <c r="K118" s="1">
        <v>306</v>
      </c>
      <c r="L118" s="1">
        <f t="shared" si="33"/>
        <v>-170</v>
      </c>
      <c r="M118" s="1">
        <f t="shared" si="34"/>
        <v>136</v>
      </c>
      <c r="N118" s="1"/>
      <c r="O118" s="1"/>
      <c r="P118" s="1"/>
      <c r="Q118" s="1"/>
      <c r="R118" s="1"/>
      <c r="S118" s="1"/>
      <c r="T118" s="1"/>
      <c r="U118" s="1">
        <v>120</v>
      </c>
      <c r="V118" s="1"/>
      <c r="W118" s="1">
        <v>60</v>
      </c>
      <c r="X118" s="1">
        <f t="shared" si="35"/>
        <v>27.2</v>
      </c>
      <c r="Y118" s="5">
        <v>120</v>
      </c>
      <c r="Z118" s="5">
        <v>200</v>
      </c>
      <c r="AA118" s="19" t="str">
        <f>VLOOKUP(A118,[1]Лист1!$A:$B,2,0)</f>
        <v>до 200 шт</v>
      </c>
      <c r="AB118" s="1">
        <f t="shared" si="24"/>
        <v>13.372279411764707</v>
      </c>
      <c r="AC118" s="1">
        <f t="shared" si="36"/>
        <v>6.0193382352941178</v>
      </c>
      <c r="AD118" s="1">
        <v>0.6</v>
      </c>
      <c r="AE118" s="1">
        <v>0</v>
      </c>
      <c r="AF118" s="1">
        <v>-0.8</v>
      </c>
      <c r="AG118" s="1">
        <v>22.8</v>
      </c>
      <c r="AH118" s="1">
        <v>22.8</v>
      </c>
      <c r="AI118" s="1">
        <v>68.2</v>
      </c>
      <c r="AJ118" s="1">
        <v>81.8</v>
      </c>
      <c r="AK118" s="1">
        <v>56.2</v>
      </c>
      <c r="AL118" s="1"/>
      <c r="AM118" s="1">
        <f t="shared" si="25"/>
        <v>56</v>
      </c>
      <c r="AN118" s="1"/>
      <c r="AO118" s="1"/>
      <c r="AP118" s="1"/>
      <c r="AQ118" s="1"/>
      <c r="AR118" s="1"/>
      <c r="AS118" s="1"/>
      <c r="AT118" s="1"/>
      <c r="AU118" s="1"/>
      <c r="AV118" s="1"/>
      <c r="AW118" s="1"/>
    </row>
    <row r="119" spans="1:49" x14ac:dyDescent="0.25">
      <c r="A119" s="1" t="s">
        <v>176</v>
      </c>
      <c r="B119" s="1" t="s">
        <v>46</v>
      </c>
      <c r="C119" s="1">
        <v>5.5</v>
      </c>
      <c r="D119" s="1">
        <v>526</v>
      </c>
      <c r="E119" s="1">
        <v>276</v>
      </c>
      <c r="F119" s="1">
        <v>216.5</v>
      </c>
      <c r="G119" s="7">
        <v>0.28000000000000003</v>
      </c>
      <c r="H119" s="1">
        <v>40</v>
      </c>
      <c r="I119" s="10" t="s">
        <v>55</v>
      </c>
      <c r="J119" s="1"/>
      <c r="K119" s="1">
        <v>630</v>
      </c>
      <c r="L119" s="1">
        <f t="shared" si="33"/>
        <v>-354</v>
      </c>
      <c r="M119" s="1">
        <f t="shared" si="34"/>
        <v>276</v>
      </c>
      <c r="N119" s="1"/>
      <c r="O119" s="1"/>
      <c r="P119" s="1"/>
      <c r="Q119" s="1"/>
      <c r="R119" s="1"/>
      <c r="S119" s="1"/>
      <c r="T119" s="1"/>
      <c r="U119" s="1">
        <v>200</v>
      </c>
      <c r="V119" s="1"/>
      <c r="W119" s="1">
        <v>200</v>
      </c>
      <c r="X119" s="1">
        <f t="shared" si="35"/>
        <v>55.2</v>
      </c>
      <c r="Y119" s="5">
        <v>200</v>
      </c>
      <c r="Z119" s="5">
        <f>Y119*1.3</f>
        <v>260</v>
      </c>
      <c r="AA119" s="19"/>
      <c r="AB119" s="1">
        <f t="shared" si="24"/>
        <v>15.878623188405797</v>
      </c>
      <c r="AC119" s="1">
        <f t="shared" si="36"/>
        <v>11.168478260869565</v>
      </c>
      <c r="AD119" s="1">
        <v>0.2</v>
      </c>
      <c r="AE119" s="1">
        <v>26</v>
      </c>
      <c r="AF119" s="1">
        <v>100.4</v>
      </c>
      <c r="AG119" s="1">
        <v>109.2</v>
      </c>
      <c r="AH119" s="1">
        <v>110.4</v>
      </c>
      <c r="AI119" s="1">
        <v>107.2</v>
      </c>
      <c r="AJ119" s="1">
        <v>111.6</v>
      </c>
      <c r="AK119" s="1">
        <v>111.6</v>
      </c>
      <c r="AL119" s="1"/>
      <c r="AM119" s="1">
        <f t="shared" si="25"/>
        <v>73</v>
      </c>
      <c r="AN119" s="1"/>
      <c r="AO119" s="1"/>
      <c r="AP119" s="1"/>
      <c r="AQ119" s="1"/>
      <c r="AR119" s="1"/>
      <c r="AS119" s="1"/>
      <c r="AT119" s="1"/>
      <c r="AU119" s="1"/>
      <c r="AV119" s="1"/>
      <c r="AW119" s="1"/>
    </row>
    <row r="120" spans="1:49" x14ac:dyDescent="0.25">
      <c r="A120" s="1" t="s">
        <v>177</v>
      </c>
      <c r="B120" s="1" t="s">
        <v>46</v>
      </c>
      <c r="C120" s="1">
        <v>39</v>
      </c>
      <c r="D120" s="1">
        <v>821</v>
      </c>
      <c r="E120" s="1">
        <v>298</v>
      </c>
      <c r="F120" s="1">
        <v>528</v>
      </c>
      <c r="G120" s="7">
        <v>0.09</v>
      </c>
      <c r="H120" s="1">
        <v>45</v>
      </c>
      <c r="I120" s="9" t="s">
        <v>48</v>
      </c>
      <c r="J120" s="1"/>
      <c r="K120" s="1">
        <v>417</v>
      </c>
      <c r="L120" s="1">
        <f t="shared" si="33"/>
        <v>-119</v>
      </c>
      <c r="M120" s="1">
        <f t="shared" si="34"/>
        <v>298</v>
      </c>
      <c r="N120" s="1"/>
      <c r="O120" s="1"/>
      <c r="P120" s="1"/>
      <c r="Q120" s="1"/>
      <c r="R120" s="1"/>
      <c r="S120" s="1"/>
      <c r="T120" s="1"/>
      <c r="U120" s="1"/>
      <c r="V120" s="1"/>
      <c r="W120" s="1">
        <v>0</v>
      </c>
      <c r="X120" s="1">
        <f t="shared" si="35"/>
        <v>59.6</v>
      </c>
      <c r="Y120" s="5">
        <f>10*X120-W120-V120-U120-T120-S120-R120-Q120-P120-O120-F120</f>
        <v>68</v>
      </c>
      <c r="Z120" s="5">
        <f t="shared" si="26"/>
        <v>68</v>
      </c>
      <c r="AA120" s="19"/>
      <c r="AB120" s="1">
        <f t="shared" si="24"/>
        <v>10</v>
      </c>
      <c r="AC120" s="1">
        <f t="shared" si="36"/>
        <v>8.8590604026845643</v>
      </c>
      <c r="AD120" s="1">
        <v>28.2</v>
      </c>
      <c r="AE120" s="1">
        <v>32.6</v>
      </c>
      <c r="AF120" s="1">
        <v>32.799999999999997</v>
      </c>
      <c r="AG120" s="1">
        <v>20.2</v>
      </c>
      <c r="AH120" s="1">
        <v>22.8</v>
      </c>
      <c r="AI120" s="1">
        <v>17.399999999999999</v>
      </c>
      <c r="AJ120" s="1">
        <v>12.2</v>
      </c>
      <c r="AK120" s="1">
        <v>15.6</v>
      </c>
      <c r="AL120" s="17" t="s">
        <v>204</v>
      </c>
      <c r="AM120" s="1">
        <f t="shared" si="25"/>
        <v>6</v>
      </c>
      <c r="AN120" s="1"/>
      <c r="AO120" s="1"/>
      <c r="AP120" s="1"/>
      <c r="AQ120" s="1"/>
      <c r="AR120" s="1"/>
      <c r="AS120" s="1"/>
      <c r="AT120" s="1"/>
      <c r="AU120" s="1"/>
      <c r="AV120" s="1"/>
      <c r="AW120" s="1"/>
    </row>
    <row r="121" spans="1:49" x14ac:dyDescent="0.25">
      <c r="A121" s="11" t="s">
        <v>178</v>
      </c>
      <c r="B121" s="11" t="s">
        <v>40</v>
      </c>
      <c r="C121" s="11">
        <v>-0.09</v>
      </c>
      <c r="D121" s="11"/>
      <c r="E121" s="11"/>
      <c r="F121" s="11">
        <v>-0.09</v>
      </c>
      <c r="G121" s="12">
        <v>0</v>
      </c>
      <c r="H121" s="11">
        <v>55</v>
      </c>
      <c r="I121" s="11" t="s">
        <v>58</v>
      </c>
      <c r="J121" s="11"/>
      <c r="K121" s="11"/>
      <c r="L121" s="11">
        <f t="shared" si="33"/>
        <v>0</v>
      </c>
      <c r="M121" s="11">
        <f t="shared" si="34"/>
        <v>0</v>
      </c>
      <c r="N121" s="11"/>
      <c r="O121" s="11"/>
      <c r="P121" s="11"/>
      <c r="Q121" s="11"/>
      <c r="R121" s="11"/>
      <c r="S121" s="11"/>
      <c r="T121" s="11"/>
      <c r="U121" s="11"/>
      <c r="V121" s="11"/>
      <c r="W121" s="11">
        <v>0</v>
      </c>
      <c r="X121" s="11">
        <f t="shared" si="35"/>
        <v>0</v>
      </c>
      <c r="Y121" s="13"/>
      <c r="Z121" s="5">
        <f t="shared" si="26"/>
        <v>0</v>
      </c>
      <c r="AA121" s="19"/>
      <c r="AB121" s="1" t="e">
        <f t="shared" si="24"/>
        <v>#DIV/0!</v>
      </c>
      <c r="AC121" s="11" t="e">
        <f t="shared" si="36"/>
        <v>#DIV/0!</v>
      </c>
      <c r="AD121" s="11">
        <v>0</v>
      </c>
      <c r="AE121" s="11">
        <v>0</v>
      </c>
      <c r="AF121" s="11">
        <v>0</v>
      </c>
      <c r="AG121" s="11">
        <v>0</v>
      </c>
      <c r="AH121" s="11">
        <v>0</v>
      </c>
      <c r="AI121" s="11">
        <v>0</v>
      </c>
      <c r="AJ121" s="11">
        <v>2.1854</v>
      </c>
      <c r="AK121" s="11">
        <v>2.1854</v>
      </c>
      <c r="AL121" s="11"/>
      <c r="AM121" s="1">
        <f t="shared" si="25"/>
        <v>0</v>
      </c>
      <c r="AN121" s="1"/>
      <c r="AO121" s="1"/>
      <c r="AP121" s="1"/>
      <c r="AQ121" s="1"/>
      <c r="AR121" s="1"/>
      <c r="AS121" s="1"/>
      <c r="AT121" s="1"/>
      <c r="AU121" s="1"/>
      <c r="AV121" s="1"/>
      <c r="AW121" s="1"/>
    </row>
    <row r="122" spans="1:49" x14ac:dyDescent="0.25">
      <c r="A122" s="1" t="s">
        <v>179</v>
      </c>
      <c r="B122" s="1" t="s">
        <v>40</v>
      </c>
      <c r="C122" s="1">
        <v>52.87</v>
      </c>
      <c r="D122" s="1">
        <v>66.349000000000004</v>
      </c>
      <c r="E122" s="1">
        <v>25.14</v>
      </c>
      <c r="F122" s="1">
        <v>86.528999999999996</v>
      </c>
      <c r="G122" s="7">
        <v>1</v>
      </c>
      <c r="H122" s="1">
        <v>60</v>
      </c>
      <c r="I122" s="1" t="s">
        <v>41</v>
      </c>
      <c r="J122" s="1"/>
      <c r="K122" s="1">
        <v>32.5</v>
      </c>
      <c r="L122" s="1">
        <f t="shared" si="33"/>
        <v>-7.3599999999999994</v>
      </c>
      <c r="M122" s="1">
        <f t="shared" si="34"/>
        <v>25.14</v>
      </c>
      <c r="N122" s="1"/>
      <c r="O122" s="1"/>
      <c r="P122" s="1"/>
      <c r="Q122" s="1"/>
      <c r="R122" s="1"/>
      <c r="S122" s="1"/>
      <c r="T122" s="1"/>
      <c r="U122" s="1"/>
      <c r="V122" s="1"/>
      <c r="W122" s="1">
        <v>0</v>
      </c>
      <c r="X122" s="1">
        <f t="shared" si="35"/>
        <v>5.0280000000000005</v>
      </c>
      <c r="Y122" s="5"/>
      <c r="Z122" s="5">
        <f t="shared" si="26"/>
        <v>0</v>
      </c>
      <c r="AA122" s="19"/>
      <c r="AB122" s="1">
        <f t="shared" si="24"/>
        <v>17.20942720763723</v>
      </c>
      <c r="AC122" s="1">
        <f t="shared" si="36"/>
        <v>17.20942720763723</v>
      </c>
      <c r="AD122" s="1">
        <v>5.5289999999999999</v>
      </c>
      <c r="AE122" s="1">
        <v>6.0906000000000002</v>
      </c>
      <c r="AF122" s="1">
        <v>9.970600000000001</v>
      </c>
      <c r="AG122" s="1">
        <v>5.4567999999999994</v>
      </c>
      <c r="AH122" s="1">
        <v>5.4567999999999994</v>
      </c>
      <c r="AI122" s="1">
        <v>8.9201999999999995</v>
      </c>
      <c r="AJ122" s="1">
        <v>6.9382000000000001</v>
      </c>
      <c r="AK122" s="1">
        <v>6.2747999999999999</v>
      </c>
      <c r="AL122" s="15" t="s">
        <v>42</v>
      </c>
      <c r="AM122" s="1">
        <f t="shared" si="25"/>
        <v>0</v>
      </c>
      <c r="AN122" s="1"/>
      <c r="AO122" s="1"/>
      <c r="AP122" s="1"/>
      <c r="AQ122" s="1"/>
      <c r="AR122" s="1"/>
      <c r="AS122" s="1"/>
      <c r="AT122" s="1"/>
      <c r="AU122" s="1"/>
      <c r="AV122" s="1"/>
      <c r="AW122" s="1"/>
    </row>
    <row r="123" spans="1:49" x14ac:dyDescent="0.25">
      <c r="A123" s="1" t="s">
        <v>180</v>
      </c>
      <c r="B123" s="1" t="s">
        <v>40</v>
      </c>
      <c r="C123" s="1">
        <v>18.733000000000001</v>
      </c>
      <c r="D123" s="1">
        <v>55.223999999999997</v>
      </c>
      <c r="E123" s="1">
        <v>7.3979999999999997</v>
      </c>
      <c r="F123" s="1">
        <v>56.546999999999997</v>
      </c>
      <c r="G123" s="7">
        <v>1</v>
      </c>
      <c r="H123" s="1">
        <v>50</v>
      </c>
      <c r="I123" s="1" t="s">
        <v>41</v>
      </c>
      <c r="J123" s="1"/>
      <c r="K123" s="1">
        <v>17.5</v>
      </c>
      <c r="L123" s="1">
        <f t="shared" si="33"/>
        <v>-10.102</v>
      </c>
      <c r="M123" s="1">
        <f t="shared" si="34"/>
        <v>7.3979999999999997</v>
      </c>
      <c r="N123" s="1"/>
      <c r="O123" s="1"/>
      <c r="P123" s="1"/>
      <c r="Q123" s="1"/>
      <c r="R123" s="1"/>
      <c r="S123" s="1"/>
      <c r="T123" s="1"/>
      <c r="U123" s="1"/>
      <c r="V123" s="1"/>
      <c r="W123" s="1">
        <v>0</v>
      </c>
      <c r="X123" s="1">
        <f t="shared" si="35"/>
        <v>1.4796</v>
      </c>
      <c r="Y123" s="5"/>
      <c r="Z123" s="5">
        <f t="shared" si="26"/>
        <v>0</v>
      </c>
      <c r="AA123" s="19"/>
      <c r="AB123" s="1">
        <f t="shared" si="24"/>
        <v>38.21776155717761</v>
      </c>
      <c r="AC123" s="1">
        <f t="shared" si="36"/>
        <v>38.21776155717761</v>
      </c>
      <c r="AD123" s="1">
        <v>0.99480000000000002</v>
      </c>
      <c r="AE123" s="1">
        <v>3.9885999999999999</v>
      </c>
      <c r="AF123" s="1">
        <v>3.4885999999999999</v>
      </c>
      <c r="AG123" s="1">
        <v>2.4849999999999999</v>
      </c>
      <c r="AH123" s="1">
        <v>2.4849999999999999</v>
      </c>
      <c r="AI123" s="1">
        <v>3.984</v>
      </c>
      <c r="AJ123" s="1">
        <v>3.3889999999999998</v>
      </c>
      <c r="AK123" s="1">
        <v>4.8133999999999997</v>
      </c>
      <c r="AL123" s="18" t="s">
        <v>53</v>
      </c>
      <c r="AM123" s="1">
        <f t="shared" si="25"/>
        <v>0</v>
      </c>
      <c r="AN123" s="1"/>
      <c r="AO123" s="1"/>
      <c r="AP123" s="1"/>
      <c r="AQ123" s="1"/>
      <c r="AR123" s="1"/>
      <c r="AS123" s="1"/>
      <c r="AT123" s="1"/>
      <c r="AU123" s="1"/>
      <c r="AV123" s="1"/>
      <c r="AW123" s="1"/>
    </row>
    <row r="124" spans="1:49" x14ac:dyDescent="0.25">
      <c r="A124" s="1" t="s">
        <v>181</v>
      </c>
      <c r="B124" s="1" t="s">
        <v>46</v>
      </c>
      <c r="C124" s="1">
        <v>45</v>
      </c>
      <c r="D124" s="1">
        <v>472</v>
      </c>
      <c r="E124" s="1">
        <v>326</v>
      </c>
      <c r="F124" s="1">
        <v>161</v>
      </c>
      <c r="G124" s="7">
        <v>0.09</v>
      </c>
      <c r="H124" s="1">
        <v>45</v>
      </c>
      <c r="I124" s="9" t="s">
        <v>48</v>
      </c>
      <c r="J124" s="1"/>
      <c r="K124" s="1">
        <v>414</v>
      </c>
      <c r="L124" s="1">
        <f t="shared" si="33"/>
        <v>-88</v>
      </c>
      <c r="M124" s="1">
        <f t="shared" si="34"/>
        <v>326</v>
      </c>
      <c r="N124" s="1"/>
      <c r="O124" s="1"/>
      <c r="P124" s="1"/>
      <c r="Q124" s="1"/>
      <c r="R124" s="1"/>
      <c r="S124" s="1"/>
      <c r="T124" s="1"/>
      <c r="U124" s="1"/>
      <c r="V124" s="1"/>
      <c r="W124" s="1">
        <v>0</v>
      </c>
      <c r="X124" s="1">
        <f t="shared" si="35"/>
        <v>65.2</v>
      </c>
      <c r="Y124" s="5">
        <v>300</v>
      </c>
      <c r="Z124" s="5">
        <f t="shared" si="26"/>
        <v>300</v>
      </c>
      <c r="AA124" s="19"/>
      <c r="AB124" s="1">
        <f t="shared" si="24"/>
        <v>7.0705521472392636</v>
      </c>
      <c r="AC124" s="1">
        <f t="shared" si="36"/>
        <v>2.4693251533742329</v>
      </c>
      <c r="AD124" s="1">
        <v>29</v>
      </c>
      <c r="AE124" s="1">
        <v>42.4</v>
      </c>
      <c r="AF124" s="1">
        <v>38.6</v>
      </c>
      <c r="AG124" s="1">
        <v>11</v>
      </c>
      <c r="AH124" s="1">
        <v>11</v>
      </c>
      <c r="AI124" s="1">
        <v>11.2</v>
      </c>
      <c r="AJ124" s="1">
        <v>16.2</v>
      </c>
      <c r="AK124" s="1">
        <v>19.399999999999999</v>
      </c>
      <c r="AL124" s="1" t="s">
        <v>154</v>
      </c>
      <c r="AM124" s="1">
        <f t="shared" si="25"/>
        <v>27</v>
      </c>
      <c r="AN124" s="1"/>
      <c r="AO124" s="1"/>
      <c r="AP124" s="1"/>
      <c r="AQ124" s="1"/>
      <c r="AR124" s="1"/>
      <c r="AS124" s="1"/>
      <c r="AT124" s="1"/>
      <c r="AU124" s="1"/>
      <c r="AV124" s="1"/>
      <c r="AW124" s="1"/>
    </row>
    <row r="125" spans="1:49" x14ac:dyDescent="0.25">
      <c r="A125" s="1" t="s">
        <v>182</v>
      </c>
      <c r="B125" s="1" t="s">
        <v>46</v>
      </c>
      <c r="C125" s="1">
        <v>40</v>
      </c>
      <c r="D125" s="1">
        <v>516</v>
      </c>
      <c r="E125" s="1">
        <v>295</v>
      </c>
      <c r="F125" s="1">
        <v>228</v>
      </c>
      <c r="G125" s="7">
        <v>0.09</v>
      </c>
      <c r="H125" s="1">
        <v>45</v>
      </c>
      <c r="I125" s="9" t="s">
        <v>48</v>
      </c>
      <c r="J125" s="1"/>
      <c r="K125" s="1">
        <v>451</v>
      </c>
      <c r="L125" s="1">
        <f t="shared" si="33"/>
        <v>-156</v>
      </c>
      <c r="M125" s="1">
        <f t="shared" si="34"/>
        <v>295</v>
      </c>
      <c r="N125" s="1"/>
      <c r="O125" s="1"/>
      <c r="P125" s="1"/>
      <c r="Q125" s="1"/>
      <c r="R125" s="1"/>
      <c r="S125" s="1"/>
      <c r="T125" s="1"/>
      <c r="U125" s="1"/>
      <c r="V125" s="1"/>
      <c r="W125" s="1">
        <v>0</v>
      </c>
      <c r="X125" s="1">
        <f t="shared" si="35"/>
        <v>59</v>
      </c>
      <c r="Y125" s="5">
        <v>250</v>
      </c>
      <c r="Z125" s="5">
        <f t="shared" si="26"/>
        <v>250</v>
      </c>
      <c r="AA125" s="19"/>
      <c r="AB125" s="1">
        <f t="shared" si="24"/>
        <v>8.101694915254237</v>
      </c>
      <c r="AC125" s="1">
        <f t="shared" si="36"/>
        <v>3.8644067796610169</v>
      </c>
      <c r="AD125" s="1">
        <v>24</v>
      </c>
      <c r="AE125" s="1">
        <v>39.799999999999997</v>
      </c>
      <c r="AF125" s="1">
        <v>38.200000000000003</v>
      </c>
      <c r="AG125" s="1">
        <v>16.399999999999999</v>
      </c>
      <c r="AH125" s="1">
        <v>16.399999999999999</v>
      </c>
      <c r="AI125" s="1">
        <v>18.8</v>
      </c>
      <c r="AJ125" s="1">
        <v>15.4</v>
      </c>
      <c r="AK125" s="1">
        <v>16.2</v>
      </c>
      <c r="AL125" s="1" t="s">
        <v>156</v>
      </c>
      <c r="AM125" s="1">
        <f t="shared" si="25"/>
        <v>23</v>
      </c>
      <c r="AN125" s="1"/>
      <c r="AO125" s="1"/>
      <c r="AP125" s="1"/>
      <c r="AQ125" s="1"/>
      <c r="AR125" s="1"/>
      <c r="AS125" s="1"/>
      <c r="AT125" s="1"/>
      <c r="AU125" s="1"/>
      <c r="AV125" s="1"/>
      <c r="AW125" s="1"/>
    </row>
    <row r="126" spans="1:49" x14ac:dyDescent="0.25">
      <c r="A126" s="1" t="s">
        <v>183</v>
      </c>
      <c r="B126" s="1" t="s">
        <v>40</v>
      </c>
      <c r="C126" s="1">
        <v>221.98099999999999</v>
      </c>
      <c r="D126" s="1">
        <v>164.488</v>
      </c>
      <c r="E126" s="1">
        <v>96.858000000000004</v>
      </c>
      <c r="F126" s="1">
        <v>275.22500000000002</v>
      </c>
      <c r="G126" s="7">
        <v>1</v>
      </c>
      <c r="H126" s="1">
        <v>60</v>
      </c>
      <c r="I126" s="1" t="s">
        <v>41</v>
      </c>
      <c r="J126" s="1"/>
      <c r="K126" s="1">
        <v>124.11799999999999</v>
      </c>
      <c r="L126" s="1">
        <f t="shared" si="33"/>
        <v>-27.259999999999991</v>
      </c>
      <c r="M126" s="1">
        <f t="shared" si="34"/>
        <v>96.858000000000004</v>
      </c>
      <c r="N126" s="1"/>
      <c r="O126" s="1"/>
      <c r="P126" s="1"/>
      <c r="Q126" s="1"/>
      <c r="R126" s="1"/>
      <c r="S126" s="1"/>
      <c r="T126" s="1"/>
      <c r="U126" s="1"/>
      <c r="V126" s="1"/>
      <c r="W126" s="1">
        <v>0</v>
      </c>
      <c r="X126" s="1">
        <f t="shared" si="35"/>
        <v>19.371600000000001</v>
      </c>
      <c r="Y126" s="5"/>
      <c r="Z126" s="5">
        <f t="shared" si="26"/>
        <v>0</v>
      </c>
      <c r="AA126" s="19"/>
      <c r="AB126" s="1">
        <f t="shared" si="24"/>
        <v>14.207654504532409</v>
      </c>
      <c r="AC126" s="1">
        <f t="shared" si="36"/>
        <v>14.207654504532409</v>
      </c>
      <c r="AD126" s="1">
        <v>16.9956</v>
      </c>
      <c r="AE126" s="1">
        <v>23.003799999999998</v>
      </c>
      <c r="AF126" s="1">
        <v>24.015000000000001</v>
      </c>
      <c r="AG126" s="1">
        <v>15.4374</v>
      </c>
      <c r="AH126" s="1">
        <v>15.4374</v>
      </c>
      <c r="AI126" s="1">
        <v>20.627600000000001</v>
      </c>
      <c r="AJ126" s="1">
        <v>16.761399999999998</v>
      </c>
      <c r="AK126" s="1">
        <v>9.4372000000000007</v>
      </c>
      <c r="AL126" s="1" t="s">
        <v>184</v>
      </c>
      <c r="AM126" s="1">
        <f t="shared" si="25"/>
        <v>0</v>
      </c>
      <c r="AN126" s="1"/>
      <c r="AO126" s="1"/>
      <c r="AP126" s="1"/>
      <c r="AQ126" s="1"/>
      <c r="AR126" s="1"/>
      <c r="AS126" s="1"/>
      <c r="AT126" s="1"/>
      <c r="AU126" s="1"/>
      <c r="AV126" s="1"/>
      <c r="AW126" s="1"/>
    </row>
    <row r="127" spans="1:49" x14ac:dyDescent="0.25">
      <c r="A127" s="1" t="s">
        <v>185</v>
      </c>
      <c r="B127" s="1" t="s">
        <v>40</v>
      </c>
      <c r="C127" s="1">
        <v>1014.816</v>
      </c>
      <c r="D127" s="1">
        <v>393.40600000000001</v>
      </c>
      <c r="E127" s="1">
        <v>492.43099999999998</v>
      </c>
      <c r="F127" s="1">
        <v>793.17600000000004</v>
      </c>
      <c r="G127" s="7">
        <v>1</v>
      </c>
      <c r="H127" s="1">
        <v>60</v>
      </c>
      <c r="I127" s="1" t="s">
        <v>41</v>
      </c>
      <c r="J127" s="1"/>
      <c r="K127" s="1">
        <v>696.48</v>
      </c>
      <c r="L127" s="1">
        <f t="shared" si="33"/>
        <v>-204.04900000000004</v>
      </c>
      <c r="M127" s="1">
        <f t="shared" si="34"/>
        <v>492.43099999999998</v>
      </c>
      <c r="N127" s="1"/>
      <c r="O127" s="1"/>
      <c r="P127" s="1"/>
      <c r="Q127" s="1"/>
      <c r="R127" s="1"/>
      <c r="S127" s="1">
        <v>174</v>
      </c>
      <c r="T127" s="1"/>
      <c r="U127" s="1">
        <v>250</v>
      </c>
      <c r="V127" s="1"/>
      <c r="W127" s="1">
        <v>465.85136000000011</v>
      </c>
      <c r="X127" s="1">
        <f t="shared" si="35"/>
        <v>98.486199999999997</v>
      </c>
      <c r="Y127" s="5"/>
      <c r="Z127" s="5">
        <f t="shared" si="26"/>
        <v>0</v>
      </c>
      <c r="AA127" s="19"/>
      <c r="AB127" s="1">
        <f t="shared" si="24"/>
        <v>17.088966372953774</v>
      </c>
      <c r="AC127" s="1">
        <f t="shared" si="36"/>
        <v>17.088966372953774</v>
      </c>
      <c r="AD127" s="1">
        <v>89.586800000000011</v>
      </c>
      <c r="AE127" s="1">
        <v>117.7424</v>
      </c>
      <c r="AF127" s="1">
        <v>113.4314</v>
      </c>
      <c r="AG127" s="1">
        <v>129.72380000000001</v>
      </c>
      <c r="AH127" s="1">
        <v>131.09280000000001</v>
      </c>
      <c r="AI127" s="1">
        <v>145.64699999999999</v>
      </c>
      <c r="AJ127" s="1">
        <v>115.8732</v>
      </c>
      <c r="AK127" s="1">
        <v>76.514800000000008</v>
      </c>
      <c r="AL127" s="15" t="s">
        <v>42</v>
      </c>
      <c r="AM127" s="1">
        <f t="shared" si="25"/>
        <v>0</v>
      </c>
      <c r="AN127" s="1"/>
      <c r="AO127" s="1"/>
      <c r="AP127" s="1"/>
      <c r="AQ127" s="1"/>
      <c r="AR127" s="1"/>
      <c r="AS127" s="1"/>
      <c r="AT127" s="1"/>
      <c r="AU127" s="1"/>
      <c r="AV127" s="1"/>
      <c r="AW127" s="1"/>
    </row>
    <row r="128" spans="1:49" x14ac:dyDescent="0.25">
      <c r="A128" s="1" t="s">
        <v>186</v>
      </c>
      <c r="B128" s="1" t="s">
        <v>40</v>
      </c>
      <c r="C128" s="1">
        <v>69.433000000000007</v>
      </c>
      <c r="D128" s="1">
        <v>155.42699999999999</v>
      </c>
      <c r="E128" s="1">
        <v>54.177999999999997</v>
      </c>
      <c r="F128" s="1">
        <v>159.178</v>
      </c>
      <c r="G128" s="7">
        <v>1</v>
      </c>
      <c r="H128" s="1">
        <v>60</v>
      </c>
      <c r="I128" s="1" t="s">
        <v>41</v>
      </c>
      <c r="J128" s="1"/>
      <c r="K128" s="1">
        <v>70.5</v>
      </c>
      <c r="L128" s="1">
        <f t="shared" si="33"/>
        <v>-16.322000000000003</v>
      </c>
      <c r="M128" s="1">
        <f t="shared" si="34"/>
        <v>54.177999999999997</v>
      </c>
      <c r="N128" s="1"/>
      <c r="O128" s="1"/>
      <c r="P128" s="1"/>
      <c r="Q128" s="1"/>
      <c r="R128" s="1"/>
      <c r="S128" s="1"/>
      <c r="T128" s="1"/>
      <c r="U128" s="1"/>
      <c r="V128" s="1"/>
      <c r="W128" s="1">
        <v>0</v>
      </c>
      <c r="X128" s="1">
        <f t="shared" si="35"/>
        <v>10.835599999999999</v>
      </c>
      <c r="Y128" s="5"/>
      <c r="Z128" s="5">
        <f t="shared" si="26"/>
        <v>0</v>
      </c>
      <c r="AA128" s="19"/>
      <c r="AB128" s="1">
        <f t="shared" si="24"/>
        <v>14.690280187529995</v>
      </c>
      <c r="AC128" s="1">
        <f t="shared" si="36"/>
        <v>14.690280187529995</v>
      </c>
      <c r="AD128" s="1">
        <v>10.377000000000001</v>
      </c>
      <c r="AE128" s="1">
        <v>15.2936</v>
      </c>
      <c r="AF128" s="1">
        <v>14.958</v>
      </c>
      <c r="AG128" s="1">
        <v>9.2240000000000002</v>
      </c>
      <c r="AH128" s="1">
        <v>9.2240000000000002</v>
      </c>
      <c r="AI128" s="1">
        <v>16.507400000000001</v>
      </c>
      <c r="AJ128" s="1">
        <v>16.0214</v>
      </c>
      <c r="AK128" s="1">
        <v>12.3848</v>
      </c>
      <c r="AL128" s="1" t="s">
        <v>187</v>
      </c>
      <c r="AM128" s="1">
        <f t="shared" si="25"/>
        <v>0</v>
      </c>
      <c r="AN128" s="1"/>
      <c r="AO128" s="1"/>
      <c r="AP128" s="1"/>
      <c r="AQ128" s="1"/>
      <c r="AR128" s="1"/>
      <c r="AS128" s="1"/>
      <c r="AT128" s="1"/>
      <c r="AU128" s="1"/>
      <c r="AV128" s="1"/>
      <c r="AW128" s="1"/>
    </row>
    <row r="129" spans="1:49" x14ac:dyDescent="0.25">
      <c r="A129" s="1" t="s">
        <v>64</v>
      </c>
      <c r="B129" s="1" t="s">
        <v>40</v>
      </c>
      <c r="C129" s="1">
        <v>2453.9490000000001</v>
      </c>
      <c r="D129" s="1">
        <v>2169.692</v>
      </c>
      <c r="E129" s="14">
        <f>725.946+E19</f>
        <v>728.48599999999999</v>
      </c>
      <c r="F129" s="1">
        <v>2296.201</v>
      </c>
      <c r="G129" s="7">
        <v>1</v>
      </c>
      <c r="H129" s="1">
        <v>60</v>
      </c>
      <c r="I129" s="1" t="s">
        <v>41</v>
      </c>
      <c r="J129" s="1"/>
      <c r="K129" s="1">
        <v>910.1</v>
      </c>
      <c r="L129" s="1">
        <f t="shared" si="33"/>
        <v>-181.61400000000003</v>
      </c>
      <c r="M129" s="1">
        <f t="shared" si="34"/>
        <v>728.48599999999999</v>
      </c>
      <c r="N129" s="1"/>
      <c r="O129" s="1"/>
      <c r="P129" s="1"/>
      <c r="Q129" s="1"/>
      <c r="R129" s="1"/>
      <c r="S129" s="1"/>
      <c r="T129" s="1"/>
      <c r="U129" s="1"/>
      <c r="V129" s="1"/>
      <c r="W129" s="1">
        <v>0</v>
      </c>
      <c r="X129" s="1">
        <f t="shared" si="35"/>
        <v>145.69720000000001</v>
      </c>
      <c r="Y129" s="5"/>
      <c r="Z129" s="5">
        <f t="shared" si="26"/>
        <v>0</v>
      </c>
      <c r="AA129" s="19"/>
      <c r="AB129" s="1">
        <f t="shared" si="24"/>
        <v>15.760090104682861</v>
      </c>
      <c r="AC129" s="1">
        <f t="shared" si="36"/>
        <v>15.760090104682861</v>
      </c>
      <c r="AD129" s="1">
        <v>131.56319999999999</v>
      </c>
      <c r="AE129" s="1">
        <v>184.21879999999999</v>
      </c>
      <c r="AF129" s="1">
        <v>182.80520000000001</v>
      </c>
      <c r="AG129" s="1">
        <v>261.65699999999998</v>
      </c>
      <c r="AH129" s="1">
        <v>263.20299999999997</v>
      </c>
      <c r="AI129" s="1">
        <v>260.8614</v>
      </c>
      <c r="AJ129" s="1">
        <v>157.86420000000001</v>
      </c>
      <c r="AK129" s="1">
        <v>170.6746</v>
      </c>
      <c r="AL129" s="15" t="s">
        <v>42</v>
      </c>
      <c r="AM129" s="1">
        <f t="shared" si="25"/>
        <v>0</v>
      </c>
      <c r="AN129" s="1"/>
      <c r="AO129" s="1"/>
      <c r="AP129" s="1"/>
      <c r="AQ129" s="1"/>
      <c r="AR129" s="1"/>
      <c r="AS129" s="1"/>
      <c r="AT129" s="1"/>
      <c r="AU129" s="1"/>
      <c r="AV129" s="1"/>
      <c r="AW129" s="1"/>
    </row>
    <row r="130" spans="1:49" x14ac:dyDescent="0.25">
      <c r="A130" s="1" t="s">
        <v>188</v>
      </c>
      <c r="B130" s="1" t="s">
        <v>46</v>
      </c>
      <c r="C130" s="1">
        <v>72</v>
      </c>
      <c r="D130" s="1">
        <v>24</v>
      </c>
      <c r="E130" s="1">
        <v>30</v>
      </c>
      <c r="F130" s="1">
        <v>63</v>
      </c>
      <c r="G130" s="7">
        <v>0.25</v>
      </c>
      <c r="H130" s="1"/>
      <c r="I130" s="10" t="s">
        <v>55</v>
      </c>
      <c r="J130" s="1"/>
      <c r="K130" s="1">
        <v>32</v>
      </c>
      <c r="L130" s="1">
        <f t="shared" si="33"/>
        <v>-2</v>
      </c>
      <c r="M130" s="1">
        <f t="shared" si="34"/>
        <v>30</v>
      </c>
      <c r="N130" s="1"/>
      <c r="O130" s="1"/>
      <c r="P130" s="1"/>
      <c r="Q130" s="1"/>
      <c r="R130" s="1"/>
      <c r="S130" s="1"/>
      <c r="T130" s="1"/>
      <c r="U130" s="1"/>
      <c r="V130" s="1"/>
      <c r="W130" s="1">
        <v>0</v>
      </c>
      <c r="X130" s="1">
        <f t="shared" si="35"/>
        <v>6</v>
      </c>
      <c r="Y130" s="5"/>
      <c r="Z130" s="5">
        <f>Y130*1.3</f>
        <v>0</v>
      </c>
      <c r="AA130" s="19"/>
      <c r="AB130" s="1">
        <f t="shared" si="24"/>
        <v>10.5</v>
      </c>
      <c r="AC130" s="1">
        <f t="shared" si="36"/>
        <v>10.5</v>
      </c>
      <c r="AD130" s="1">
        <v>1.2</v>
      </c>
      <c r="AE130" s="1">
        <v>3.6</v>
      </c>
      <c r="AF130" s="1">
        <v>4.2</v>
      </c>
      <c r="AG130" s="1">
        <v>6.2</v>
      </c>
      <c r="AH130" s="1">
        <v>6.2</v>
      </c>
      <c r="AI130" s="1">
        <v>10.4</v>
      </c>
      <c r="AJ130" s="1">
        <v>8.8000000000000007</v>
      </c>
      <c r="AK130" s="1">
        <v>18.600000000000001</v>
      </c>
      <c r="AL130" s="1"/>
      <c r="AM130" s="1">
        <f t="shared" si="25"/>
        <v>0</v>
      </c>
      <c r="AN130" s="1"/>
      <c r="AO130" s="1"/>
      <c r="AP130" s="1"/>
      <c r="AQ130" s="1"/>
      <c r="AR130" s="1"/>
      <c r="AS130" s="1"/>
      <c r="AT130" s="1"/>
      <c r="AU130" s="1"/>
      <c r="AV130" s="1"/>
      <c r="AW130" s="1"/>
    </row>
    <row r="131" spans="1:49" x14ac:dyDescent="0.25">
      <c r="A131" s="1" t="s">
        <v>189</v>
      </c>
      <c r="B131" s="1" t="s">
        <v>46</v>
      </c>
      <c r="C131" s="1">
        <v>53</v>
      </c>
      <c r="D131" s="1"/>
      <c r="E131" s="14">
        <f>18+E139</f>
        <v>19</v>
      </c>
      <c r="F131" s="14">
        <f>33+F139</f>
        <v>63</v>
      </c>
      <c r="G131" s="7">
        <v>0.32500000000000001</v>
      </c>
      <c r="H131" s="1"/>
      <c r="I131" s="1" t="s">
        <v>41</v>
      </c>
      <c r="J131" s="1"/>
      <c r="K131" s="1">
        <v>35</v>
      </c>
      <c r="L131" s="1">
        <f t="shared" si="33"/>
        <v>-16</v>
      </c>
      <c r="M131" s="1">
        <f t="shared" si="34"/>
        <v>19</v>
      </c>
      <c r="N131" s="1"/>
      <c r="O131" s="1"/>
      <c r="P131" s="1"/>
      <c r="Q131" s="1"/>
      <c r="R131" s="1"/>
      <c r="S131" s="1"/>
      <c r="T131" s="1"/>
      <c r="U131" s="1"/>
      <c r="V131" s="1"/>
      <c r="W131" s="1">
        <v>0</v>
      </c>
      <c r="X131" s="1">
        <f t="shared" si="35"/>
        <v>3.8</v>
      </c>
      <c r="Y131" s="5"/>
      <c r="Z131" s="5">
        <f t="shared" si="26"/>
        <v>0</v>
      </c>
      <c r="AA131" s="19"/>
      <c r="AB131" s="1">
        <f t="shared" si="24"/>
        <v>16.578947368421055</v>
      </c>
      <c r="AC131" s="1">
        <f t="shared" si="36"/>
        <v>16.578947368421055</v>
      </c>
      <c r="AD131" s="1">
        <v>1</v>
      </c>
      <c r="AE131" s="1">
        <v>2.8</v>
      </c>
      <c r="AF131" s="1">
        <v>3.6</v>
      </c>
      <c r="AG131" s="1">
        <v>7.6</v>
      </c>
      <c r="AH131" s="1">
        <v>7.6</v>
      </c>
      <c r="AI131" s="1">
        <v>5.2</v>
      </c>
      <c r="AJ131" s="1">
        <v>5.2</v>
      </c>
      <c r="AK131" s="1">
        <v>10.199999999999999</v>
      </c>
      <c r="AL131" s="1"/>
      <c r="AM131" s="1">
        <f t="shared" si="25"/>
        <v>0</v>
      </c>
      <c r="AN131" s="1"/>
      <c r="AO131" s="1"/>
      <c r="AP131" s="1"/>
      <c r="AQ131" s="1"/>
      <c r="AR131" s="1"/>
      <c r="AS131" s="1"/>
      <c r="AT131" s="1"/>
      <c r="AU131" s="1"/>
      <c r="AV131" s="1"/>
      <c r="AW131" s="1"/>
    </row>
    <row r="132" spans="1:49" x14ac:dyDescent="0.25">
      <c r="A132" s="1" t="s">
        <v>190</v>
      </c>
      <c r="B132" s="1" t="s">
        <v>46</v>
      </c>
      <c r="C132" s="1">
        <v>71</v>
      </c>
      <c r="D132" s="1">
        <v>36</v>
      </c>
      <c r="E132" s="1">
        <v>43</v>
      </c>
      <c r="F132" s="1">
        <v>64</v>
      </c>
      <c r="G132" s="7">
        <v>0.25</v>
      </c>
      <c r="H132" s="1"/>
      <c r="I132" s="1" t="s">
        <v>41</v>
      </c>
      <c r="J132" s="1"/>
      <c r="K132" s="1">
        <v>53</v>
      </c>
      <c r="L132" s="1">
        <f t="shared" si="33"/>
        <v>-10</v>
      </c>
      <c r="M132" s="1">
        <f t="shared" si="34"/>
        <v>43</v>
      </c>
      <c r="N132" s="1"/>
      <c r="O132" s="1"/>
      <c r="P132" s="1"/>
      <c r="Q132" s="1"/>
      <c r="R132" s="1"/>
      <c r="S132" s="1"/>
      <c r="T132" s="1"/>
      <c r="U132" s="1"/>
      <c r="V132" s="1"/>
      <c r="W132" s="1">
        <v>0</v>
      </c>
      <c r="X132" s="1">
        <f t="shared" si="35"/>
        <v>8.6</v>
      </c>
      <c r="Y132" s="5">
        <f t="shared" ref="Y132" si="40">11*X132-W132-V132-U132-T132-S132-R132-Q132-P132-O132-F132</f>
        <v>30.599999999999994</v>
      </c>
      <c r="Z132" s="5">
        <f t="shared" si="26"/>
        <v>30.599999999999994</v>
      </c>
      <c r="AA132" s="19"/>
      <c r="AB132" s="1">
        <f t="shared" si="24"/>
        <v>11</v>
      </c>
      <c r="AC132" s="1">
        <f t="shared" si="36"/>
        <v>7.441860465116279</v>
      </c>
      <c r="AD132" s="1">
        <v>2</v>
      </c>
      <c r="AE132" s="1">
        <v>8</v>
      </c>
      <c r="AF132" s="1">
        <v>9.8000000000000007</v>
      </c>
      <c r="AG132" s="1">
        <v>6.2</v>
      </c>
      <c r="AH132" s="1">
        <v>6.2</v>
      </c>
      <c r="AI132" s="1">
        <v>9.8000000000000007</v>
      </c>
      <c r="AJ132" s="1">
        <v>6.6</v>
      </c>
      <c r="AK132" s="1">
        <v>14.4</v>
      </c>
      <c r="AL132" s="1"/>
      <c r="AM132" s="1">
        <f t="shared" si="25"/>
        <v>8</v>
      </c>
      <c r="AN132" s="1"/>
      <c r="AO132" s="1"/>
      <c r="AP132" s="1"/>
      <c r="AQ132" s="1"/>
      <c r="AR132" s="1"/>
      <c r="AS132" s="1"/>
      <c r="AT132" s="1"/>
      <c r="AU132" s="1"/>
      <c r="AV132" s="1"/>
      <c r="AW132" s="1"/>
    </row>
    <row r="133" spans="1:49" x14ac:dyDescent="0.25">
      <c r="A133" s="1" t="s">
        <v>191</v>
      </c>
      <c r="B133" s="1" t="s">
        <v>46</v>
      </c>
      <c r="C133" s="1">
        <v>35</v>
      </c>
      <c r="D133" s="1">
        <v>72</v>
      </c>
      <c r="E133" s="1"/>
      <c r="F133" s="1">
        <v>106</v>
      </c>
      <c r="G133" s="7">
        <v>0.3</v>
      </c>
      <c r="H133" s="1">
        <v>40</v>
      </c>
      <c r="I133" s="10" t="s">
        <v>55</v>
      </c>
      <c r="J133" s="1"/>
      <c r="K133" s="1">
        <v>181</v>
      </c>
      <c r="L133" s="1">
        <f t="shared" si="33"/>
        <v>-181</v>
      </c>
      <c r="M133" s="1">
        <f t="shared" si="34"/>
        <v>0</v>
      </c>
      <c r="N133" s="1"/>
      <c r="O133" s="1"/>
      <c r="P133" s="1"/>
      <c r="Q133" s="1"/>
      <c r="R133" s="1"/>
      <c r="S133" s="1"/>
      <c r="T133" s="1"/>
      <c r="U133" s="1">
        <v>70</v>
      </c>
      <c r="V133" s="1"/>
      <c r="W133" s="1">
        <v>0</v>
      </c>
      <c r="X133" s="1">
        <f t="shared" si="35"/>
        <v>0</v>
      </c>
      <c r="Y133" s="5"/>
      <c r="Z133" s="5">
        <f t="shared" ref="Z133:Z134" si="41">Y133*1.3</f>
        <v>0</v>
      </c>
      <c r="AA133" s="19"/>
      <c r="AB133" s="1" t="e">
        <f t="shared" si="24"/>
        <v>#DIV/0!</v>
      </c>
      <c r="AC133" s="1" t="e">
        <f t="shared" si="36"/>
        <v>#DIV/0!</v>
      </c>
      <c r="AD133" s="1">
        <v>-0.4</v>
      </c>
      <c r="AE133" s="1">
        <v>-0.4</v>
      </c>
      <c r="AF133" s="1">
        <v>-0.6</v>
      </c>
      <c r="AG133" s="1">
        <v>13.2</v>
      </c>
      <c r="AH133" s="1">
        <v>13.6</v>
      </c>
      <c r="AI133" s="1">
        <v>34</v>
      </c>
      <c r="AJ133" s="1">
        <v>30.8</v>
      </c>
      <c r="AK133" s="1">
        <v>19.2</v>
      </c>
      <c r="AL133" s="18" t="s">
        <v>53</v>
      </c>
      <c r="AM133" s="1">
        <f t="shared" si="25"/>
        <v>0</v>
      </c>
      <c r="AN133" s="1"/>
      <c r="AO133" s="1"/>
      <c r="AP133" s="1"/>
      <c r="AQ133" s="1"/>
      <c r="AR133" s="1"/>
      <c r="AS133" s="1"/>
      <c r="AT133" s="1"/>
      <c r="AU133" s="1"/>
      <c r="AV133" s="1"/>
      <c r="AW133" s="1"/>
    </row>
    <row r="134" spans="1:49" x14ac:dyDescent="0.25">
      <c r="A134" s="1" t="s">
        <v>192</v>
      </c>
      <c r="B134" s="1" t="s">
        <v>46</v>
      </c>
      <c r="C134" s="1">
        <v>-16</v>
      </c>
      <c r="D134" s="1">
        <v>1</v>
      </c>
      <c r="E134" s="1">
        <v>-1</v>
      </c>
      <c r="F134" s="1">
        <v>-16</v>
      </c>
      <c r="G134" s="7">
        <v>0.3</v>
      </c>
      <c r="H134" s="1">
        <v>40</v>
      </c>
      <c r="I134" s="10" t="s">
        <v>55</v>
      </c>
      <c r="J134" s="1"/>
      <c r="K134" s="1">
        <v>17</v>
      </c>
      <c r="L134" s="1">
        <f t="shared" ref="L134:L139" si="42">E134-K134</f>
        <v>-18</v>
      </c>
      <c r="M134" s="1">
        <f t="shared" ref="M134:M139" si="43">E134-N134</f>
        <v>-1</v>
      </c>
      <c r="N134" s="1"/>
      <c r="O134" s="1"/>
      <c r="P134" s="1"/>
      <c r="Q134" s="1"/>
      <c r="R134" s="1"/>
      <c r="S134" s="1"/>
      <c r="T134" s="1"/>
      <c r="U134" s="1">
        <v>50</v>
      </c>
      <c r="V134" s="1"/>
      <c r="W134" s="1">
        <v>50</v>
      </c>
      <c r="X134" s="1">
        <f t="shared" ref="X134:X139" si="44">M134/5</f>
        <v>-0.2</v>
      </c>
      <c r="Y134" s="5">
        <v>20</v>
      </c>
      <c r="Z134" s="5">
        <f t="shared" si="41"/>
        <v>26</v>
      </c>
      <c r="AA134" s="19"/>
      <c r="AB134" s="1">
        <f t="shared" si="24"/>
        <v>-550</v>
      </c>
      <c r="AC134" s="1">
        <f t="shared" ref="AC134:AC139" si="45">(F134+O134+P134+Q134+R134+S134+T134+U134+V134+W134)/X134</f>
        <v>-420</v>
      </c>
      <c r="AD134" s="1">
        <v>-1.2</v>
      </c>
      <c r="AE134" s="1">
        <v>-0.2</v>
      </c>
      <c r="AF134" s="1">
        <v>0</v>
      </c>
      <c r="AG134" s="1">
        <v>0.4</v>
      </c>
      <c r="AH134" s="1">
        <v>0.4</v>
      </c>
      <c r="AI134" s="1">
        <v>19.2</v>
      </c>
      <c r="AJ134" s="1">
        <v>26.8</v>
      </c>
      <c r="AK134" s="1">
        <v>27.2</v>
      </c>
      <c r="AL134" s="1"/>
      <c r="AM134" s="1">
        <f t="shared" si="25"/>
        <v>8</v>
      </c>
      <c r="AN134" s="1"/>
      <c r="AO134" s="1"/>
      <c r="AP134" s="1"/>
      <c r="AQ134" s="1"/>
      <c r="AR134" s="1"/>
      <c r="AS134" s="1"/>
      <c r="AT134" s="1"/>
      <c r="AU134" s="1"/>
      <c r="AV134" s="1"/>
      <c r="AW134" s="1"/>
    </row>
    <row r="135" spans="1:49" x14ac:dyDescent="0.25">
      <c r="A135" s="1" t="s">
        <v>193</v>
      </c>
      <c r="B135" s="1" t="s">
        <v>40</v>
      </c>
      <c r="C135" s="1">
        <v>70.820999999999998</v>
      </c>
      <c r="D135" s="1">
        <v>82.01</v>
      </c>
      <c r="E135" s="1">
        <v>43.459000000000003</v>
      </c>
      <c r="F135" s="1">
        <v>102.53700000000001</v>
      </c>
      <c r="G135" s="7">
        <v>1</v>
      </c>
      <c r="H135" s="1">
        <v>50</v>
      </c>
      <c r="I135" s="1" t="s">
        <v>41</v>
      </c>
      <c r="J135" s="1"/>
      <c r="K135" s="1">
        <v>51.2</v>
      </c>
      <c r="L135" s="1">
        <f t="shared" si="42"/>
        <v>-7.7409999999999997</v>
      </c>
      <c r="M135" s="1">
        <f t="shared" si="43"/>
        <v>43.459000000000003</v>
      </c>
      <c r="N135" s="1"/>
      <c r="O135" s="1"/>
      <c r="P135" s="1"/>
      <c r="Q135" s="1"/>
      <c r="R135" s="1"/>
      <c r="S135" s="1"/>
      <c r="T135" s="1"/>
      <c r="U135" s="1"/>
      <c r="V135" s="1"/>
      <c r="W135" s="1">
        <v>20</v>
      </c>
      <c r="X135" s="1">
        <f t="shared" si="44"/>
        <v>8.6918000000000006</v>
      </c>
      <c r="Y135" s="5"/>
      <c r="Z135" s="5">
        <f t="shared" ref="Z135:Z139" si="46">Y135</f>
        <v>0</v>
      </c>
      <c r="AA135" s="19"/>
      <c r="AB135" s="1">
        <f t="shared" ref="AB135:AB139" si="47">(F135+O135+P135+Q135+R135+S135+T135+U135+V135+W135+Z135)/X135</f>
        <v>14.098000414183483</v>
      </c>
      <c r="AC135" s="1">
        <f t="shared" si="45"/>
        <v>14.098000414183483</v>
      </c>
      <c r="AD135" s="1">
        <v>8.6745999999999999</v>
      </c>
      <c r="AE135" s="1">
        <v>10.775399999999999</v>
      </c>
      <c r="AF135" s="1">
        <v>8.8368000000000002</v>
      </c>
      <c r="AG135" s="1">
        <v>11.002599999999999</v>
      </c>
      <c r="AH135" s="1">
        <v>11.002599999999999</v>
      </c>
      <c r="AI135" s="1">
        <v>13.903600000000001</v>
      </c>
      <c r="AJ135" s="1">
        <v>13.324199999999999</v>
      </c>
      <c r="AK135" s="1">
        <v>7.5507999999999997</v>
      </c>
      <c r="AL135" s="1"/>
      <c r="AM135" s="1">
        <f t="shared" ref="AM135:AM139" si="48">ROUND(G135*Z135,0)</f>
        <v>0</v>
      </c>
      <c r="AN135" s="1"/>
      <c r="AO135" s="1"/>
      <c r="AP135" s="1"/>
      <c r="AQ135" s="1"/>
      <c r="AR135" s="1"/>
      <c r="AS135" s="1"/>
      <c r="AT135" s="1"/>
      <c r="AU135" s="1"/>
      <c r="AV135" s="1"/>
      <c r="AW135" s="1"/>
    </row>
    <row r="136" spans="1:49" x14ac:dyDescent="0.25">
      <c r="A136" s="1" t="s">
        <v>194</v>
      </c>
      <c r="B136" s="1" t="s">
        <v>46</v>
      </c>
      <c r="C136" s="1">
        <v>12</v>
      </c>
      <c r="D136" s="1">
        <v>30</v>
      </c>
      <c r="E136" s="1">
        <v>36</v>
      </c>
      <c r="F136" s="1">
        <v>3</v>
      </c>
      <c r="G136" s="7">
        <v>0.3</v>
      </c>
      <c r="H136" s="1">
        <v>40</v>
      </c>
      <c r="I136" s="10" t="s">
        <v>55</v>
      </c>
      <c r="J136" s="1"/>
      <c r="K136" s="1">
        <v>53</v>
      </c>
      <c r="L136" s="1">
        <f t="shared" si="42"/>
        <v>-17</v>
      </c>
      <c r="M136" s="1">
        <f t="shared" si="43"/>
        <v>36</v>
      </c>
      <c r="N136" s="1"/>
      <c r="O136" s="1"/>
      <c r="P136" s="1"/>
      <c r="Q136" s="1"/>
      <c r="R136" s="1"/>
      <c r="S136" s="1"/>
      <c r="T136" s="1"/>
      <c r="U136" s="1">
        <v>20</v>
      </c>
      <c r="V136" s="1"/>
      <c r="W136" s="1">
        <v>10</v>
      </c>
      <c r="X136" s="1">
        <f t="shared" si="44"/>
        <v>7.2</v>
      </c>
      <c r="Y136" s="5">
        <v>20</v>
      </c>
      <c r="Z136" s="5">
        <f t="shared" ref="Z136:Z137" si="49">Y136*1.3</f>
        <v>26</v>
      </c>
      <c r="AA136" s="19"/>
      <c r="AB136" s="1">
        <f t="shared" si="47"/>
        <v>8.1944444444444446</v>
      </c>
      <c r="AC136" s="1">
        <f t="shared" si="45"/>
        <v>4.583333333333333</v>
      </c>
      <c r="AD136" s="1">
        <v>4.5999999999999996</v>
      </c>
      <c r="AE136" s="1">
        <v>2.6</v>
      </c>
      <c r="AF136" s="1">
        <v>0</v>
      </c>
      <c r="AG136" s="1">
        <v>9.8000000000000007</v>
      </c>
      <c r="AH136" s="1">
        <v>9.8000000000000007</v>
      </c>
      <c r="AI136" s="1">
        <v>4.5999999999999996</v>
      </c>
      <c r="AJ136" s="1">
        <v>2.8</v>
      </c>
      <c r="AK136" s="1">
        <v>9.1999999999999993</v>
      </c>
      <c r="AL136" s="1"/>
      <c r="AM136" s="1">
        <f t="shared" si="48"/>
        <v>8</v>
      </c>
      <c r="AN136" s="1"/>
      <c r="AO136" s="1"/>
      <c r="AP136" s="1"/>
      <c r="AQ136" s="1"/>
      <c r="AR136" s="1"/>
      <c r="AS136" s="1"/>
      <c r="AT136" s="1"/>
      <c r="AU136" s="1"/>
      <c r="AV136" s="1"/>
      <c r="AW136" s="1"/>
    </row>
    <row r="137" spans="1:49" x14ac:dyDescent="0.25">
      <c r="A137" s="1" t="s">
        <v>195</v>
      </c>
      <c r="B137" s="1" t="s">
        <v>46</v>
      </c>
      <c r="C137" s="1">
        <v>102</v>
      </c>
      <c r="D137" s="1">
        <v>11</v>
      </c>
      <c r="E137" s="1">
        <v>49</v>
      </c>
      <c r="F137" s="1">
        <v>43</v>
      </c>
      <c r="G137" s="7">
        <v>0.12</v>
      </c>
      <c r="H137" s="1">
        <v>45</v>
      </c>
      <c r="I137" s="10" t="s">
        <v>55</v>
      </c>
      <c r="J137" s="1"/>
      <c r="K137" s="1">
        <v>73</v>
      </c>
      <c r="L137" s="1">
        <f t="shared" si="42"/>
        <v>-24</v>
      </c>
      <c r="M137" s="1">
        <f t="shared" si="43"/>
        <v>49</v>
      </c>
      <c r="N137" s="1"/>
      <c r="O137" s="1"/>
      <c r="P137" s="1"/>
      <c r="Q137" s="1"/>
      <c r="R137" s="1"/>
      <c r="S137" s="1"/>
      <c r="T137" s="1"/>
      <c r="U137" s="1">
        <v>30</v>
      </c>
      <c r="V137" s="1"/>
      <c r="W137" s="1">
        <v>0</v>
      </c>
      <c r="X137" s="1">
        <f t="shared" si="44"/>
        <v>9.8000000000000007</v>
      </c>
      <c r="Y137" s="5">
        <v>30</v>
      </c>
      <c r="Z137" s="5">
        <f t="shared" si="49"/>
        <v>39</v>
      </c>
      <c r="AA137" s="19"/>
      <c r="AB137" s="1">
        <f t="shared" si="47"/>
        <v>11.428571428571427</v>
      </c>
      <c r="AC137" s="1">
        <f t="shared" si="45"/>
        <v>7.4489795918367339</v>
      </c>
      <c r="AD137" s="1">
        <v>7.2</v>
      </c>
      <c r="AE137" s="1">
        <v>8</v>
      </c>
      <c r="AF137" s="1">
        <v>7</v>
      </c>
      <c r="AG137" s="1">
        <v>13.8</v>
      </c>
      <c r="AH137" s="1">
        <v>13.8</v>
      </c>
      <c r="AI137" s="1">
        <v>11.8</v>
      </c>
      <c r="AJ137" s="1">
        <v>8.6</v>
      </c>
      <c r="AK137" s="1">
        <v>9.1999999999999993</v>
      </c>
      <c r="AL137" s="1"/>
      <c r="AM137" s="1">
        <f t="shared" si="48"/>
        <v>5</v>
      </c>
      <c r="AN137" s="1"/>
      <c r="AO137" s="1"/>
      <c r="AP137" s="1"/>
      <c r="AQ137" s="1"/>
      <c r="AR137" s="1"/>
      <c r="AS137" s="1"/>
      <c r="AT137" s="1"/>
      <c r="AU137" s="1"/>
      <c r="AV137" s="1"/>
      <c r="AW137" s="1"/>
    </row>
    <row r="138" spans="1:49" x14ac:dyDescent="0.25">
      <c r="A138" s="11" t="s">
        <v>196</v>
      </c>
      <c r="B138" s="11" t="s">
        <v>46</v>
      </c>
      <c r="C138" s="11"/>
      <c r="D138" s="11">
        <v>60</v>
      </c>
      <c r="E138" s="14">
        <v>26</v>
      </c>
      <c r="F138" s="14">
        <v>23</v>
      </c>
      <c r="G138" s="12">
        <v>0</v>
      </c>
      <c r="H138" s="11"/>
      <c r="I138" s="11" t="s">
        <v>197</v>
      </c>
      <c r="J138" s="11" t="s">
        <v>111</v>
      </c>
      <c r="K138" s="11">
        <v>44</v>
      </c>
      <c r="L138" s="11">
        <f t="shared" si="42"/>
        <v>-18</v>
      </c>
      <c r="M138" s="11">
        <f t="shared" si="43"/>
        <v>26</v>
      </c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>
        <f t="shared" si="44"/>
        <v>5.2</v>
      </c>
      <c r="Y138" s="13"/>
      <c r="Z138" s="5">
        <f t="shared" si="46"/>
        <v>0</v>
      </c>
      <c r="AA138" s="19"/>
      <c r="AB138" s="1">
        <f t="shared" si="47"/>
        <v>4.4230769230769234</v>
      </c>
      <c r="AC138" s="11">
        <f t="shared" si="45"/>
        <v>4.4230769230769234</v>
      </c>
      <c r="AD138" s="11">
        <v>0</v>
      </c>
      <c r="AE138" s="11">
        <v>0</v>
      </c>
      <c r="AF138" s="11">
        <v>0</v>
      </c>
      <c r="AG138" s="11">
        <v>0</v>
      </c>
      <c r="AH138" s="11">
        <v>0</v>
      </c>
      <c r="AI138" s="11">
        <v>0</v>
      </c>
      <c r="AJ138" s="11">
        <v>0</v>
      </c>
      <c r="AK138" s="11">
        <v>0</v>
      </c>
      <c r="AL138" s="11"/>
      <c r="AM138" s="1">
        <f t="shared" si="48"/>
        <v>0</v>
      </c>
      <c r="AN138" s="1"/>
      <c r="AO138" s="1"/>
      <c r="AP138" s="1"/>
      <c r="AQ138" s="1"/>
      <c r="AR138" s="1"/>
      <c r="AS138" s="1"/>
      <c r="AT138" s="1"/>
      <c r="AU138" s="1"/>
      <c r="AV138" s="1"/>
      <c r="AW138" s="1"/>
    </row>
    <row r="139" spans="1:49" x14ac:dyDescent="0.25">
      <c r="A139" s="11" t="s">
        <v>198</v>
      </c>
      <c r="B139" s="11" t="s">
        <v>46</v>
      </c>
      <c r="C139" s="11">
        <v>31</v>
      </c>
      <c r="D139" s="11"/>
      <c r="E139" s="14">
        <v>1</v>
      </c>
      <c r="F139" s="14">
        <v>30</v>
      </c>
      <c r="G139" s="12">
        <v>0</v>
      </c>
      <c r="H139" s="11"/>
      <c r="I139" s="11" t="s">
        <v>197</v>
      </c>
      <c r="J139" s="11" t="s">
        <v>189</v>
      </c>
      <c r="K139" s="11">
        <v>21</v>
      </c>
      <c r="L139" s="11">
        <f t="shared" si="42"/>
        <v>-20</v>
      </c>
      <c r="M139" s="11">
        <f t="shared" si="43"/>
        <v>1</v>
      </c>
      <c r="N139" s="11"/>
      <c r="O139" s="11"/>
      <c r="P139" s="11"/>
      <c r="Q139" s="11"/>
      <c r="R139" s="11"/>
      <c r="S139" s="11"/>
      <c r="T139" s="11"/>
      <c r="U139" s="11"/>
      <c r="V139" s="11"/>
      <c r="W139" s="11">
        <v>0</v>
      </c>
      <c r="X139" s="11">
        <f t="shared" si="44"/>
        <v>0.2</v>
      </c>
      <c r="Y139" s="13"/>
      <c r="Z139" s="5">
        <f t="shared" si="46"/>
        <v>0</v>
      </c>
      <c r="AA139" s="19"/>
      <c r="AB139" s="1">
        <f t="shared" si="47"/>
        <v>150</v>
      </c>
      <c r="AC139" s="11">
        <f t="shared" si="45"/>
        <v>150</v>
      </c>
      <c r="AD139" s="11">
        <v>0.4</v>
      </c>
      <c r="AE139" s="11">
        <v>2.4</v>
      </c>
      <c r="AF139" s="11">
        <v>2.6</v>
      </c>
      <c r="AG139" s="11">
        <v>3.6</v>
      </c>
      <c r="AH139" s="11">
        <v>3.6</v>
      </c>
      <c r="AI139" s="11">
        <v>4.8</v>
      </c>
      <c r="AJ139" s="11">
        <v>2.4</v>
      </c>
      <c r="AK139" s="11">
        <v>0</v>
      </c>
      <c r="AL139" s="11"/>
      <c r="AM139" s="1">
        <f t="shared" si="48"/>
        <v>0</v>
      </c>
      <c r="AN139" s="1"/>
      <c r="AO139" s="1"/>
      <c r="AP139" s="1"/>
      <c r="AQ139" s="1"/>
      <c r="AR139" s="1"/>
      <c r="AS139" s="1"/>
      <c r="AT139" s="1"/>
      <c r="AU139" s="1"/>
      <c r="AV139" s="1"/>
      <c r="AW139" s="1"/>
    </row>
    <row r="140" spans="1:49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</row>
    <row r="141" spans="1:49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</row>
    <row r="142" spans="1:49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</row>
    <row r="143" spans="1:49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</row>
    <row r="144" spans="1:49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</row>
    <row r="145" spans="1:49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</row>
    <row r="146" spans="1:49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</row>
    <row r="147" spans="1:49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</row>
    <row r="148" spans="1:49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</row>
    <row r="149" spans="1:49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</row>
    <row r="150" spans="1:49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</row>
    <row r="151" spans="1:49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</row>
    <row r="152" spans="1:49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</row>
    <row r="153" spans="1:49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</row>
    <row r="154" spans="1:49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</row>
    <row r="155" spans="1:49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</row>
    <row r="156" spans="1:49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</row>
    <row r="157" spans="1:49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</row>
    <row r="158" spans="1:49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</row>
    <row r="159" spans="1:49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</row>
    <row r="160" spans="1:49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</row>
    <row r="161" spans="1:49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</row>
    <row r="162" spans="1:49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</row>
    <row r="163" spans="1:49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</row>
    <row r="164" spans="1:49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</row>
    <row r="165" spans="1:49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</row>
    <row r="166" spans="1:49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</row>
    <row r="167" spans="1:49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</row>
    <row r="168" spans="1:49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</row>
    <row r="169" spans="1:49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</row>
    <row r="170" spans="1:49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</row>
    <row r="171" spans="1:49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</row>
    <row r="172" spans="1:49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</row>
    <row r="173" spans="1:49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</row>
    <row r="174" spans="1:49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</row>
    <row r="175" spans="1:49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</row>
    <row r="176" spans="1:49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</row>
    <row r="177" spans="1:49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</row>
    <row r="178" spans="1:49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</row>
    <row r="179" spans="1:49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</row>
    <row r="180" spans="1:49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</row>
    <row r="181" spans="1:49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</row>
    <row r="182" spans="1:49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</row>
    <row r="183" spans="1:49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</row>
    <row r="184" spans="1:49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</row>
    <row r="185" spans="1:49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</row>
    <row r="186" spans="1:49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</row>
    <row r="187" spans="1:49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</row>
    <row r="188" spans="1:49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</row>
    <row r="189" spans="1:49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</row>
    <row r="190" spans="1:49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</row>
    <row r="191" spans="1:49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</row>
    <row r="192" spans="1:49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</row>
    <row r="193" spans="1:49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</row>
    <row r="194" spans="1:49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</row>
    <row r="195" spans="1:49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</row>
    <row r="196" spans="1:49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</row>
    <row r="197" spans="1:49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</row>
    <row r="198" spans="1:49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</row>
    <row r="199" spans="1:49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</row>
    <row r="200" spans="1:49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</row>
    <row r="201" spans="1:49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</row>
    <row r="202" spans="1:49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</row>
    <row r="203" spans="1:49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</row>
    <row r="204" spans="1:49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</row>
    <row r="205" spans="1:49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</row>
    <row r="206" spans="1:49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</row>
    <row r="207" spans="1:49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</row>
    <row r="208" spans="1:49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</row>
    <row r="209" spans="1:49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</row>
    <row r="210" spans="1:49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</row>
    <row r="211" spans="1:49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</row>
    <row r="212" spans="1:49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</row>
    <row r="213" spans="1:49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</row>
    <row r="214" spans="1:49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</row>
    <row r="215" spans="1:49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</row>
    <row r="216" spans="1:49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</row>
    <row r="217" spans="1:49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</row>
    <row r="218" spans="1:49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</row>
    <row r="219" spans="1:49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</row>
    <row r="220" spans="1:49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</row>
    <row r="221" spans="1:49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</row>
    <row r="222" spans="1:49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</row>
    <row r="223" spans="1:49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</row>
    <row r="224" spans="1:49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</row>
    <row r="225" spans="1:49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</row>
    <row r="226" spans="1:49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</row>
    <row r="227" spans="1:49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</row>
    <row r="228" spans="1:49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</row>
    <row r="229" spans="1:49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</row>
    <row r="230" spans="1:49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</row>
    <row r="231" spans="1:49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</row>
    <row r="232" spans="1:49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</row>
    <row r="233" spans="1:49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</row>
    <row r="234" spans="1:49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</row>
    <row r="235" spans="1:49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</row>
    <row r="236" spans="1:49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</row>
    <row r="237" spans="1:49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</row>
    <row r="238" spans="1:49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</row>
    <row r="239" spans="1:49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</row>
    <row r="240" spans="1:49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</row>
    <row r="241" spans="1:49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</row>
    <row r="242" spans="1:49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</row>
    <row r="243" spans="1:49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</row>
    <row r="244" spans="1:49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</row>
    <row r="245" spans="1:49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</row>
    <row r="246" spans="1:49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</row>
    <row r="247" spans="1:49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</row>
    <row r="248" spans="1:49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</row>
    <row r="249" spans="1:49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</row>
    <row r="250" spans="1:49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</row>
    <row r="251" spans="1:49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</row>
    <row r="252" spans="1:49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</row>
    <row r="253" spans="1:49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</row>
    <row r="254" spans="1:49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</row>
    <row r="255" spans="1:49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</row>
    <row r="256" spans="1:49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</row>
    <row r="257" spans="1:49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</row>
    <row r="258" spans="1:49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</row>
    <row r="259" spans="1:49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</row>
    <row r="260" spans="1:49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</row>
    <row r="261" spans="1:49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</row>
    <row r="262" spans="1:49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</row>
    <row r="263" spans="1:49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</row>
    <row r="264" spans="1:49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</row>
    <row r="265" spans="1:49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</row>
    <row r="266" spans="1:49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</row>
    <row r="267" spans="1:49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</row>
    <row r="268" spans="1:49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</row>
    <row r="269" spans="1:49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</row>
    <row r="270" spans="1:49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</row>
    <row r="271" spans="1:49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</row>
    <row r="272" spans="1:49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</row>
    <row r="273" spans="1:49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</row>
    <row r="274" spans="1:49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</row>
    <row r="275" spans="1:49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</row>
    <row r="276" spans="1:49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</row>
    <row r="277" spans="1:49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</row>
    <row r="278" spans="1:49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</row>
    <row r="279" spans="1:49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</row>
    <row r="280" spans="1:49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</row>
    <row r="281" spans="1:49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</row>
    <row r="282" spans="1:49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</row>
    <row r="283" spans="1:49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</row>
    <row r="284" spans="1:49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</row>
    <row r="285" spans="1:49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</row>
    <row r="286" spans="1:49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</row>
    <row r="287" spans="1:49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</row>
    <row r="288" spans="1:49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</row>
    <row r="289" spans="1:49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</row>
    <row r="290" spans="1:49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</row>
    <row r="291" spans="1:49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</row>
    <row r="292" spans="1:49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</row>
    <row r="293" spans="1:49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</row>
    <row r="294" spans="1:49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</row>
    <row r="295" spans="1:49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</row>
    <row r="296" spans="1:49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</row>
    <row r="297" spans="1:49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</row>
    <row r="298" spans="1:49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</row>
    <row r="299" spans="1:49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</row>
    <row r="300" spans="1:49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</row>
    <row r="301" spans="1:49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</row>
    <row r="302" spans="1:49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</row>
    <row r="303" spans="1:49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</row>
    <row r="304" spans="1:49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</row>
    <row r="305" spans="1:49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</row>
    <row r="306" spans="1:49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</row>
    <row r="307" spans="1:49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</row>
    <row r="308" spans="1:49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</row>
    <row r="309" spans="1:49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</row>
    <row r="310" spans="1:49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</row>
    <row r="311" spans="1:49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</row>
    <row r="312" spans="1:49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</row>
    <row r="313" spans="1:49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</row>
    <row r="314" spans="1:49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</row>
    <row r="315" spans="1:49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</row>
    <row r="316" spans="1:49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</row>
    <row r="317" spans="1:49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</row>
    <row r="318" spans="1:49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</row>
    <row r="319" spans="1:49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</row>
    <row r="320" spans="1:49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</row>
    <row r="321" spans="1:49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</row>
    <row r="322" spans="1:49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</row>
    <row r="323" spans="1:49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</row>
    <row r="324" spans="1:49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</row>
    <row r="325" spans="1:49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</row>
    <row r="326" spans="1:49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</row>
    <row r="327" spans="1:49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</row>
    <row r="328" spans="1:49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</row>
    <row r="329" spans="1:49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</row>
    <row r="330" spans="1:49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</row>
    <row r="331" spans="1:49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</row>
    <row r="332" spans="1:49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</row>
    <row r="333" spans="1:49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</row>
    <row r="334" spans="1:49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</row>
    <row r="335" spans="1:49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</row>
    <row r="336" spans="1:49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</row>
    <row r="337" spans="1:49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</row>
    <row r="338" spans="1:49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</row>
    <row r="339" spans="1:49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</row>
    <row r="340" spans="1:49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</row>
    <row r="341" spans="1:49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</row>
    <row r="342" spans="1:49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</row>
    <row r="343" spans="1:49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</row>
    <row r="344" spans="1:49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</row>
    <row r="345" spans="1:49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</row>
    <row r="346" spans="1:49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</row>
    <row r="347" spans="1:49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</row>
    <row r="348" spans="1:49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</row>
    <row r="349" spans="1:49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</row>
    <row r="350" spans="1:49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</row>
    <row r="351" spans="1:49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</row>
    <row r="352" spans="1:49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</row>
    <row r="353" spans="1:49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</row>
    <row r="354" spans="1:49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</row>
    <row r="355" spans="1:49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</row>
    <row r="356" spans="1:49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</row>
    <row r="357" spans="1:49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</row>
    <row r="358" spans="1:49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</row>
    <row r="359" spans="1:49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</row>
    <row r="360" spans="1:49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</row>
    <row r="361" spans="1:49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</row>
    <row r="362" spans="1:49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</row>
    <row r="363" spans="1:49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</row>
    <row r="364" spans="1:49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</row>
    <row r="365" spans="1:49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</row>
    <row r="366" spans="1:49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</row>
    <row r="367" spans="1:49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</row>
    <row r="368" spans="1:49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</row>
    <row r="369" spans="1:49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</row>
    <row r="370" spans="1:49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</row>
    <row r="371" spans="1:49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</row>
    <row r="372" spans="1:49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</row>
    <row r="373" spans="1:49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</row>
    <row r="374" spans="1:49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</row>
    <row r="375" spans="1:49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</row>
    <row r="376" spans="1:49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</row>
    <row r="377" spans="1:49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</row>
    <row r="378" spans="1:49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</row>
    <row r="379" spans="1:49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</row>
    <row r="380" spans="1:49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</row>
    <row r="381" spans="1:49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</row>
    <row r="382" spans="1:49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</row>
    <row r="383" spans="1:49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</row>
    <row r="384" spans="1:49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</row>
    <row r="385" spans="1:49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</row>
    <row r="386" spans="1:49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</row>
    <row r="387" spans="1:49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</row>
    <row r="388" spans="1:49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</row>
    <row r="389" spans="1:49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</row>
    <row r="390" spans="1:49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</row>
    <row r="391" spans="1:49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</row>
    <row r="392" spans="1:49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</row>
    <row r="393" spans="1:49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</row>
    <row r="394" spans="1:49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</row>
    <row r="395" spans="1:49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</row>
    <row r="396" spans="1:49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</row>
    <row r="397" spans="1:49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</row>
    <row r="398" spans="1:49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</row>
    <row r="399" spans="1:49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</row>
    <row r="400" spans="1:49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</row>
    <row r="401" spans="1:49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</row>
    <row r="402" spans="1:49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</row>
    <row r="403" spans="1:49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</row>
    <row r="404" spans="1:49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</row>
    <row r="405" spans="1:49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</row>
    <row r="406" spans="1:49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</row>
    <row r="407" spans="1:49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</row>
    <row r="408" spans="1:49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</row>
    <row r="409" spans="1:49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</row>
    <row r="410" spans="1:49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</row>
    <row r="411" spans="1:49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</row>
    <row r="412" spans="1:49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</row>
    <row r="413" spans="1:49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</row>
    <row r="414" spans="1:49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</row>
    <row r="415" spans="1:49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</row>
    <row r="416" spans="1:49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</row>
    <row r="417" spans="1:49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</row>
    <row r="418" spans="1:49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</row>
    <row r="419" spans="1:49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</row>
    <row r="420" spans="1:49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</row>
    <row r="421" spans="1:49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</row>
    <row r="422" spans="1:49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</row>
    <row r="423" spans="1:49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</row>
    <row r="424" spans="1:49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</row>
    <row r="425" spans="1:49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</row>
    <row r="426" spans="1:49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</row>
    <row r="427" spans="1:49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</row>
    <row r="428" spans="1:49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</row>
    <row r="429" spans="1:49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</row>
    <row r="430" spans="1:49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</row>
    <row r="431" spans="1:49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</row>
    <row r="432" spans="1:49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</row>
    <row r="433" spans="1:49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</row>
    <row r="434" spans="1:49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</row>
    <row r="435" spans="1:49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</row>
    <row r="436" spans="1:49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</row>
    <row r="437" spans="1:49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</row>
    <row r="438" spans="1:49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</row>
    <row r="439" spans="1:49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</row>
    <row r="440" spans="1:49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</row>
    <row r="441" spans="1:49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</row>
    <row r="442" spans="1:49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</row>
    <row r="443" spans="1:49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</row>
    <row r="444" spans="1:49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</row>
    <row r="445" spans="1:49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</row>
    <row r="446" spans="1:49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</row>
    <row r="447" spans="1:49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</row>
    <row r="448" spans="1:49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</row>
    <row r="449" spans="1:49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</row>
    <row r="450" spans="1:49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</row>
    <row r="451" spans="1:49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</row>
    <row r="452" spans="1:49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</row>
    <row r="453" spans="1:49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</row>
    <row r="454" spans="1:49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</row>
    <row r="455" spans="1:49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</row>
    <row r="456" spans="1:49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</row>
    <row r="457" spans="1:49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</row>
    <row r="458" spans="1:49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</row>
    <row r="459" spans="1:49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</row>
    <row r="460" spans="1:49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</row>
    <row r="461" spans="1:49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</row>
    <row r="462" spans="1:49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</row>
    <row r="463" spans="1:49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</row>
    <row r="464" spans="1:49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</row>
    <row r="465" spans="1:49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</row>
    <row r="466" spans="1:49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</row>
    <row r="467" spans="1:49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</row>
    <row r="468" spans="1:49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</row>
    <row r="469" spans="1:49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</row>
    <row r="470" spans="1:49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</row>
    <row r="471" spans="1:49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</row>
    <row r="472" spans="1:49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</row>
    <row r="473" spans="1:49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</row>
    <row r="474" spans="1:49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</row>
    <row r="475" spans="1:49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</row>
    <row r="476" spans="1:49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</row>
    <row r="477" spans="1:49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</row>
    <row r="478" spans="1:49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</row>
    <row r="479" spans="1:49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</row>
    <row r="480" spans="1:49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</row>
    <row r="481" spans="1:49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</row>
    <row r="482" spans="1:49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</row>
    <row r="483" spans="1:49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</row>
    <row r="484" spans="1:49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</row>
    <row r="485" spans="1:49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</row>
    <row r="486" spans="1:49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</row>
    <row r="487" spans="1:49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</row>
    <row r="488" spans="1:49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</row>
    <row r="489" spans="1:49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</row>
    <row r="490" spans="1:49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</row>
    <row r="491" spans="1:49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</row>
    <row r="492" spans="1:49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</row>
    <row r="493" spans="1:49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</row>
    <row r="494" spans="1:49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</row>
    <row r="495" spans="1:49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</row>
    <row r="496" spans="1:49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</row>
    <row r="497" spans="1:49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</row>
    <row r="498" spans="1:49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</row>
    <row r="499" spans="1:49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</row>
    <row r="500" spans="1:49" x14ac:dyDescent="0.25">
      <c r="A500" s="1"/>
      <c r="B500" s="1"/>
      <c r="C500" s="1"/>
      <c r="D500" s="1"/>
      <c r="E500" s="1"/>
      <c r="F500" s="1"/>
      <c r="G500" s="7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</row>
  </sheetData>
  <autoFilter ref="A3:AM139" xr:uid="{00000000-0009-0000-0000-000000000000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2026-09-03T12:47:48Z</dcterms:created>
  <dcterms:modified xsi:type="dcterms:W3CDTF">2026-09-04T11:53:08Z</dcterms:modified>
</cp:coreProperties>
</file>