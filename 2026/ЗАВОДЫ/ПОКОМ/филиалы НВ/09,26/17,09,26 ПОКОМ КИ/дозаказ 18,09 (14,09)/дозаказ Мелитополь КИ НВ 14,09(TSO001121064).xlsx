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 18,09 (14,09)\"/>
    </mc:Choice>
  </mc:AlternateContent>
  <xr:revisionPtr revIDLastSave="0" documentId="13_ncr:1_{F57F8959-BABE-425D-BFFB-355809104F1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Z520" i="2"/>
  <c r="Y520" i="2"/>
  <c r="BN520" i="2" s="1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Z502" i="2"/>
  <c r="Y502" i="2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Z475" i="2"/>
  <c r="Y475" i="2"/>
  <c r="BN475" i="2" s="1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Y462" i="2" s="1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Y452" i="2"/>
  <c r="X452" i="2"/>
  <c r="Y451" i="2"/>
  <c r="X451" i="2"/>
  <c r="BP450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P437" i="2"/>
  <c r="BO437" i="2"/>
  <c r="BM437" i="2"/>
  <c r="Y437" i="2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Z427" i="2"/>
  <c r="Y427" i="2"/>
  <c r="BN427" i="2" s="1"/>
  <c r="P427" i="2"/>
  <c r="BO426" i="2"/>
  <c r="BM426" i="2"/>
  <c r="Y426" i="2"/>
  <c r="P426" i="2"/>
  <c r="X422" i="2"/>
  <c r="X421" i="2"/>
  <c r="BO420" i="2"/>
  <c r="BN420" i="2"/>
  <c r="BM420" i="2"/>
  <c r="Z420" i="2"/>
  <c r="Y420" i="2"/>
  <c r="BP420" i="2" s="1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Z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BP382" i="2" s="1"/>
  <c r="P382" i="2"/>
  <c r="BO381" i="2"/>
  <c r="BM381" i="2"/>
  <c r="Y381" i="2"/>
  <c r="P381" i="2"/>
  <c r="BP380" i="2"/>
  <c r="BO380" i="2"/>
  <c r="BN380" i="2"/>
  <c r="BM380" i="2"/>
  <c r="Z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Z372" i="2"/>
  <c r="Y372" i="2"/>
  <c r="BN372" i="2" s="1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P361" i="2"/>
  <c r="BP360" i="2"/>
  <c r="BO360" i="2"/>
  <c r="BN360" i="2"/>
  <c r="BM360" i="2"/>
  <c r="Z360" i="2"/>
  <c r="Y360" i="2"/>
  <c r="P360" i="2"/>
  <c r="BO359" i="2"/>
  <c r="BM359" i="2"/>
  <c r="Y359" i="2"/>
  <c r="X356" i="2"/>
  <c r="X355" i="2"/>
  <c r="BP354" i="2"/>
  <c r="BO354" i="2"/>
  <c r="BN354" i="2"/>
  <c r="BM354" i="2"/>
  <c r="Z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P324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Y314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Z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P273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Z251" i="2"/>
  <c r="Z252" i="2" s="1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N226" i="2"/>
  <c r="BM226" i="2"/>
  <c r="Z226" i="2"/>
  <c r="Y226" i="2"/>
  <c r="P226" i="2"/>
  <c r="BO225" i="2"/>
  <c r="BN225" i="2"/>
  <c r="BM225" i="2"/>
  <c r="Z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Z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Z216" i="2"/>
  <c r="Y216" i="2"/>
  <c r="P216" i="2"/>
  <c r="BO215" i="2"/>
  <c r="BN215" i="2"/>
  <c r="BM215" i="2"/>
  <c r="Z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P203" i="2"/>
  <c r="BO203" i="2"/>
  <c r="BN203" i="2"/>
  <c r="BM203" i="2"/>
  <c r="Z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P189" i="2"/>
  <c r="BO189" i="2"/>
  <c r="BN189" i="2"/>
  <c r="BM189" i="2"/>
  <c r="Z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P181" i="2"/>
  <c r="BO181" i="2"/>
  <c r="BM181" i="2"/>
  <c r="Y181" i="2"/>
  <c r="BN181" i="2" s="1"/>
  <c r="P181" i="2"/>
  <c r="BO180" i="2"/>
  <c r="BN180" i="2"/>
  <c r="BM180" i="2"/>
  <c r="Z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Z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P173" i="2" s="1"/>
  <c r="P173" i="2"/>
  <c r="X171" i="2"/>
  <c r="X170" i="2"/>
  <c r="BO169" i="2"/>
  <c r="BM169" i="2"/>
  <c r="Z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P151" i="2"/>
  <c r="BO151" i="2"/>
  <c r="BN151" i="2"/>
  <c r="BM151" i="2"/>
  <c r="Z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Z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P115" i="2"/>
  <c r="BO115" i="2"/>
  <c r="BN115" i="2"/>
  <c r="BM115" i="2"/>
  <c r="Z115" i="2"/>
  <c r="Y115" i="2"/>
  <c r="P115" i="2"/>
  <c r="BO114" i="2"/>
  <c r="BN114" i="2"/>
  <c r="BM114" i="2"/>
  <c r="Z114" i="2"/>
  <c r="Y114" i="2"/>
  <c r="BP114" i="2" s="1"/>
  <c r="P114" i="2"/>
  <c r="BO113" i="2"/>
  <c r="BN113" i="2"/>
  <c r="BM113" i="2"/>
  <c r="Z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Z79" i="2"/>
  <c r="Y79" i="2"/>
  <c r="BN79" i="2" s="1"/>
  <c r="P79" i="2"/>
  <c r="BO78" i="2"/>
  <c r="BN78" i="2"/>
  <c r="BM78" i="2"/>
  <c r="Z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Z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N49" i="2"/>
  <c r="BM49" i="2"/>
  <c r="Z49" i="2"/>
  <c r="Y49" i="2"/>
  <c r="P49" i="2"/>
  <c r="BO48" i="2"/>
  <c r="BN48" i="2"/>
  <c r="BM48" i="2"/>
  <c r="Z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Y32" i="2" s="1"/>
  <c r="P28" i="2"/>
  <c r="BP27" i="2"/>
  <c r="BO27" i="2"/>
  <c r="BN27" i="2"/>
  <c r="BM27" i="2"/>
  <c r="Z27" i="2"/>
  <c r="Y27" i="2"/>
  <c r="P27" i="2"/>
  <c r="X25" i="2"/>
  <c r="X24" i="2"/>
  <c r="X558" i="2" s="1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X556" i="2" l="1"/>
  <c r="Z38" i="2"/>
  <c r="Z58" i="2"/>
  <c r="BN58" i="2"/>
  <c r="Z72" i="2"/>
  <c r="BN72" i="2"/>
  <c r="Z86" i="2"/>
  <c r="Y109" i="2"/>
  <c r="Y118" i="2"/>
  <c r="Z120" i="2"/>
  <c r="Z134" i="2"/>
  <c r="Z143" i="2"/>
  <c r="Y154" i="2"/>
  <c r="Z173" i="2"/>
  <c r="BN173" i="2"/>
  <c r="Z179" i="2"/>
  <c r="Z184" i="2"/>
  <c r="BN184" i="2"/>
  <c r="Z200" i="2"/>
  <c r="Z205" i="2"/>
  <c r="BN205" i="2"/>
  <c r="Z217" i="2"/>
  <c r="BN217" i="2"/>
  <c r="Z223" i="2"/>
  <c r="Z233" i="2"/>
  <c r="Z256" i="2"/>
  <c r="BN256" i="2"/>
  <c r="Z269" i="2"/>
  <c r="BN269" i="2"/>
  <c r="Z299" i="2"/>
  <c r="BN299" i="2"/>
  <c r="Z341" i="2"/>
  <c r="BN341" i="2"/>
  <c r="Z342" i="2"/>
  <c r="Z374" i="2"/>
  <c r="Y383" i="2"/>
  <c r="Z401" i="2"/>
  <c r="Z432" i="2"/>
  <c r="BN432" i="2"/>
  <c r="BP433" i="2"/>
  <c r="Z444" i="2"/>
  <c r="BP460" i="2"/>
  <c r="Y461" i="2"/>
  <c r="Z481" i="2"/>
  <c r="Z493" i="2"/>
  <c r="BN493" i="2"/>
  <c r="Y495" i="2"/>
  <c r="Y509" i="2"/>
  <c r="Z505" i="2"/>
  <c r="BN505" i="2"/>
  <c r="Z506" i="2"/>
  <c r="BN506" i="2"/>
  <c r="Z522" i="2"/>
  <c r="Y539" i="2"/>
  <c r="Y25" i="2"/>
  <c r="Z23" i="2"/>
  <c r="Z24" i="2" s="1"/>
  <c r="Z30" i="2"/>
  <c r="BP30" i="2"/>
  <c r="BN30" i="2"/>
  <c r="BN55" i="2"/>
  <c r="BN67" i="2"/>
  <c r="BP67" i="2"/>
  <c r="BP88" i="2"/>
  <c r="BP94" i="2"/>
  <c r="X555" i="2"/>
  <c r="X557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1" i="2" s="1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BP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194" i="2"/>
  <c r="Y195" i="2"/>
  <c r="BP200" i="2"/>
  <c r="Z204" i="2"/>
  <c r="BN204" i="2"/>
  <c r="Z211" i="2"/>
  <c r="Z212" i="2" s="1"/>
  <c r="Y213" i="2"/>
  <c r="Y230" i="2"/>
  <c r="BP216" i="2"/>
  <c r="BP221" i="2"/>
  <c r="Z224" i="2"/>
  <c r="BN224" i="2"/>
  <c r="Z227" i="2"/>
  <c r="BN227" i="2"/>
  <c r="Z234" i="2"/>
  <c r="BN234" i="2"/>
  <c r="BN235" i="2"/>
  <c r="BP235" i="2"/>
  <c r="BP240" i="2"/>
  <c r="BN241" i="2"/>
  <c r="Z246" i="2"/>
  <c r="BN246" i="2"/>
  <c r="BP251" i="2"/>
  <c r="Y252" i="2"/>
  <c r="Y253" i="2"/>
  <c r="Y259" i="2"/>
  <c r="BN257" i="2"/>
  <c r="BP257" i="2"/>
  <c r="Y258" i="2"/>
  <c r="BP262" i="2"/>
  <c r="Z267" i="2"/>
  <c r="BN267" i="2"/>
  <c r="Z277" i="2"/>
  <c r="BN277" i="2"/>
  <c r="Z279" i="2"/>
  <c r="BN279" i="2"/>
  <c r="BN284" i="2"/>
  <c r="Z285" i="2"/>
  <c r="BN285" i="2"/>
  <c r="Z286" i="2"/>
  <c r="BN286" i="2"/>
  <c r="BP287" i="2"/>
  <c r="BN292" i="2"/>
  <c r="BN298" i="2"/>
  <c r="BP298" i="2"/>
  <c r="Z300" i="2"/>
  <c r="BN300" i="2"/>
  <c r="Z301" i="2"/>
  <c r="BP301" i="2"/>
  <c r="BN301" i="2"/>
  <c r="Y306" i="2"/>
  <c r="BN308" i="2"/>
  <c r="BP308" i="2"/>
  <c r="Y309" i="2"/>
  <c r="Y310" i="2"/>
  <c r="BN338" i="2"/>
  <c r="BP338" i="2"/>
  <c r="BP340" i="2"/>
  <c r="BN340" i="2"/>
  <c r="Z340" i="2"/>
  <c r="BN362" i="2"/>
  <c r="Z362" i="2"/>
  <c r="BN382" i="2"/>
  <c r="Z38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45" i="2"/>
  <c r="BN445" i="2"/>
  <c r="Z445" i="2"/>
  <c r="Z446" i="2" s="1"/>
  <c r="Y446" i="2"/>
  <c r="Y447" i="2"/>
  <c r="BN450" i="2"/>
  <c r="Z450" i="2"/>
  <c r="BN460" i="2"/>
  <c r="Z460" i="2"/>
  <c r="Z461" i="2" s="1"/>
  <c r="BN503" i="2"/>
  <c r="BP503" i="2"/>
  <c r="BN504" i="2"/>
  <c r="BP504" i="2"/>
  <c r="BP518" i="2"/>
  <c r="BN518" i="2"/>
  <c r="Z518" i="2"/>
  <c r="BN523" i="2"/>
  <c r="BP523" i="2"/>
  <c r="BN546" i="2"/>
  <c r="Z117" i="2"/>
  <c r="BN116" i="2"/>
  <c r="Y124" i="2"/>
  <c r="Y125" i="2"/>
  <c r="BN163" i="2"/>
  <c r="Y166" i="2"/>
  <c r="BN168" i="2"/>
  <c r="BP174" i="2"/>
  <c r="BN178" i="2"/>
  <c r="BN188" i="2"/>
  <c r="Y191" i="2"/>
  <c r="Y192" i="2"/>
  <c r="BP211" i="2"/>
  <c r="Y212" i="2"/>
  <c r="BN237" i="2"/>
  <c r="BN270" i="2"/>
  <c r="BP270" i="2"/>
  <c r="BN282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Y389" i="2"/>
  <c r="BN386" i="2"/>
  <c r="Z386" i="2"/>
  <c r="BP388" i="2"/>
  <c r="BN388" i="2"/>
  <c r="Z388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Z343" i="2" s="1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185" i="2" l="1"/>
  <c r="Z514" i="2"/>
  <c r="Z97" i="2"/>
  <c r="Z258" i="2"/>
  <c r="Z62" i="2"/>
  <c r="Z242" i="2"/>
  <c r="Z207" i="2"/>
  <c r="Z451" i="2"/>
  <c r="Z32" i="2"/>
  <c r="Z334" i="2"/>
  <c r="Z75" i="2"/>
  <c r="Z389" i="2"/>
  <c r="Z440" i="2"/>
  <c r="Y554" i="2"/>
  <c r="Z289" i="2"/>
  <c r="Y555" i="2"/>
  <c r="Z376" i="2"/>
  <c r="Z478" i="2"/>
  <c r="Z230" i="2"/>
  <c r="Z51" i="2"/>
  <c r="Z248" i="2"/>
  <c r="Z524" i="2"/>
  <c r="Z414" i="2"/>
  <c r="Z154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<sst xmlns="http://schemas.openxmlformats.org/spreadsheetml/2006/main" count="4296" uniqueCount="915">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</sst>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8" sqref="AA4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46286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/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Понедельник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700</v>
      </c>
      <c r="Y428" s="55">
        <f t="shared" si="68"/>
        <v>705</v>
      </c>
      <c r="Z428" s="41">
        <f>IFERROR(IF(Y428=0,"",ROUNDUP(Y428/H428,0)*0.02175),"")</f>
        <v>1.0222499999999999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721.93333333333328</v>
      </c>
      <c r="BN428" s="78">
        <f t="shared" si="70"/>
        <v>727.09</v>
      </c>
      <c r="BO428" s="78">
        <f t="shared" si="71"/>
        <v>0.9722222222222221</v>
      </c>
      <c r="BP428" s="78">
        <f t="shared" si="72"/>
        <v>0.97916666666666663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46.666666666666664</v>
      </c>
      <c r="Y434" s="43">
        <f>IFERROR(Y426/H426,"0")+IFERROR(Y427/H427,"0")+IFERROR(Y428/H428,"0")+IFERROR(Y429/H429,"0")+IFERROR(Y430/H430,"0")+IFERROR(Y431/H431,"0")+IFERROR(Y432/H432,"0")+IFERROR(Y433/H433,"0")</f>
        <v>47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1.0222499999999999</v>
      </c>
      <c r="AA434" s="67"/>
      <c r="AB434" s="67"/>
      <c r="AC434" s="67"/>
    </row>
    <row r="435" spans="1:68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700</v>
      </c>
      <c r="Y435" s="43">
        <f>IFERROR(SUM(Y426:Y433),"0")</f>
        <v>705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700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705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721.93333333333328</v>
      </c>
      <c r="Y555" s="43">
        <f>IFERROR(SUM(BN22:BN551),"0")</f>
        <v>727.09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1</v>
      </c>
      <c r="Y556" s="44">
        <f>ROUNDUP(SUM(BP22:BP551),0)</f>
        <v>1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746.93333333333328</v>
      </c>
      <c r="Y557" s="43">
        <f>GrossWeightTotalR+PalletQtyTotalR*25</f>
        <v>752.09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46.666666666666664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47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1.0222499999999999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705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46,67"/>
        <filter val="700,00"/>
        <filter val="721,93"/>
        <filter val="746,93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2026-09-18T06:16:53Z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