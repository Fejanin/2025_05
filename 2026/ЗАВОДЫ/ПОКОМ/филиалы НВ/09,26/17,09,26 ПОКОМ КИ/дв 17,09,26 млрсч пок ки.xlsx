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9,26\17,09,26 ПОКОМ КИ\"/>
    </mc:Choice>
  </mc:AlternateContent>
  <xr:revisionPtr revIDLastSave="0" documentId="13_ncr:1_{2AA7B7CC-EFB4-493A-9118-07BE1125081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Sheet!$A$3:$AK$134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5" i="1" l="1"/>
  <c r="W10" i="1" l="1"/>
  <c r="W11" i="1"/>
  <c r="AK11" i="1" s="1"/>
  <c r="W12" i="1"/>
  <c r="W14" i="1"/>
  <c r="W15" i="1"/>
  <c r="W16" i="1"/>
  <c r="W17" i="1"/>
  <c r="W18" i="1"/>
  <c r="W19" i="1"/>
  <c r="W22" i="1"/>
  <c r="W23" i="1"/>
  <c r="W25" i="1"/>
  <c r="W26" i="1"/>
  <c r="W28" i="1"/>
  <c r="W30" i="1"/>
  <c r="W31" i="1"/>
  <c r="AK31" i="1" s="1"/>
  <c r="W32" i="1"/>
  <c r="W33" i="1"/>
  <c r="AK33" i="1" s="1"/>
  <c r="W34" i="1"/>
  <c r="W36" i="1"/>
  <c r="W38" i="1"/>
  <c r="W39" i="1"/>
  <c r="W42" i="1"/>
  <c r="W43" i="1"/>
  <c r="AK43" i="1" s="1"/>
  <c r="W44" i="1"/>
  <c r="W46" i="1"/>
  <c r="W47" i="1"/>
  <c r="W48" i="1"/>
  <c r="W49" i="1"/>
  <c r="W52" i="1"/>
  <c r="W55" i="1"/>
  <c r="W56" i="1"/>
  <c r="AK56" i="1" s="1"/>
  <c r="W57" i="1"/>
  <c r="W58" i="1"/>
  <c r="AK58" i="1" s="1"/>
  <c r="W61" i="1"/>
  <c r="AK61" i="1" s="1"/>
  <c r="W62" i="1"/>
  <c r="W63" i="1"/>
  <c r="W64" i="1"/>
  <c r="AK64" i="1" s="1"/>
  <c r="W65" i="1"/>
  <c r="AK65" i="1" s="1"/>
  <c r="W66" i="1"/>
  <c r="W67" i="1"/>
  <c r="W68" i="1"/>
  <c r="AK68" i="1" s="1"/>
  <c r="W69" i="1"/>
  <c r="W70" i="1"/>
  <c r="W71" i="1"/>
  <c r="W72" i="1"/>
  <c r="AK72" i="1" s="1"/>
  <c r="W73" i="1"/>
  <c r="AK73" i="1" s="1"/>
  <c r="W74" i="1"/>
  <c r="W76" i="1"/>
  <c r="W77" i="1"/>
  <c r="W78" i="1"/>
  <c r="W79" i="1"/>
  <c r="W80" i="1"/>
  <c r="W82" i="1"/>
  <c r="W83" i="1"/>
  <c r="W84" i="1"/>
  <c r="AK84" i="1" s="1"/>
  <c r="W85" i="1"/>
  <c r="W86" i="1"/>
  <c r="W87" i="1"/>
  <c r="W88" i="1"/>
  <c r="AK88" i="1" s="1"/>
  <c r="W89" i="1"/>
  <c r="AK89" i="1" s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9" i="1"/>
  <c r="W120" i="1"/>
  <c r="W121" i="1"/>
  <c r="AK121" i="1" s="1"/>
  <c r="W123" i="1"/>
  <c r="W125" i="1"/>
  <c r="AK125" i="1" s="1"/>
  <c r="W126" i="1"/>
  <c r="W127" i="1"/>
  <c r="W128" i="1"/>
  <c r="W129" i="1"/>
  <c r="AK129" i="1" s="1"/>
  <c r="W130" i="1"/>
  <c r="W131" i="1"/>
  <c r="W132" i="1"/>
  <c r="W133" i="1"/>
  <c r="AK133" i="1" s="1"/>
  <c r="W134" i="1"/>
  <c r="AK10" i="1"/>
  <c r="AK12" i="1"/>
  <c r="AK15" i="1"/>
  <c r="AK17" i="1"/>
  <c r="AK19" i="1"/>
  <c r="AK22" i="1"/>
  <c r="AK23" i="1"/>
  <c r="AK25" i="1"/>
  <c r="AK26" i="1"/>
  <c r="AK30" i="1"/>
  <c r="AK32" i="1"/>
  <c r="AK34" i="1"/>
  <c r="AK38" i="1"/>
  <c r="AK39" i="1"/>
  <c r="AK46" i="1"/>
  <c r="AK47" i="1"/>
  <c r="AK48" i="1"/>
  <c r="AK49" i="1"/>
  <c r="AK55" i="1"/>
  <c r="AK57" i="1"/>
  <c r="AK62" i="1"/>
  <c r="AK66" i="1"/>
  <c r="AK70" i="1"/>
  <c r="AK74" i="1"/>
  <c r="AK76" i="1"/>
  <c r="AK78" i="1"/>
  <c r="AK80" i="1"/>
  <c r="AK82" i="1"/>
  <c r="AK86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20" i="1"/>
  <c r="AK123" i="1"/>
  <c r="AK124" i="1"/>
  <c r="AK127" i="1"/>
  <c r="AK131" i="1"/>
  <c r="AK134" i="1" l="1"/>
  <c r="AK132" i="1"/>
  <c r="AK130" i="1"/>
  <c r="AK128" i="1"/>
  <c r="AK126" i="1"/>
  <c r="AK119" i="1"/>
  <c r="AK87" i="1"/>
  <c r="AK85" i="1"/>
  <c r="AK83" i="1"/>
  <c r="AK79" i="1"/>
  <c r="AK77" i="1"/>
  <c r="AK71" i="1"/>
  <c r="AK69" i="1"/>
  <c r="AK67" i="1"/>
  <c r="AK63" i="1"/>
  <c r="AK52" i="1"/>
  <c r="AK44" i="1"/>
  <c r="AK42" i="1"/>
  <c r="AK36" i="1"/>
  <c r="AK28" i="1"/>
  <c r="AK18" i="1"/>
  <c r="AK16" i="1"/>
  <c r="AK14" i="1"/>
  <c r="P5" i="1"/>
  <c r="U134" i="1" l="1"/>
  <c r="L134" i="1"/>
  <c r="U133" i="1"/>
  <c r="L133" i="1"/>
  <c r="U132" i="1"/>
  <c r="L132" i="1"/>
  <c r="U131" i="1"/>
  <c r="L131" i="1"/>
  <c r="U130" i="1"/>
  <c r="L130" i="1"/>
  <c r="U129" i="1"/>
  <c r="L129" i="1"/>
  <c r="U128" i="1"/>
  <c r="L128" i="1"/>
  <c r="U127" i="1"/>
  <c r="L127" i="1"/>
  <c r="U126" i="1"/>
  <c r="L126" i="1"/>
  <c r="F126" i="1"/>
  <c r="U125" i="1"/>
  <c r="L125" i="1"/>
  <c r="U124" i="1"/>
  <c r="L124" i="1"/>
  <c r="U123" i="1"/>
  <c r="L123" i="1"/>
  <c r="U122" i="1"/>
  <c r="L122" i="1"/>
  <c r="U121" i="1"/>
  <c r="L121" i="1"/>
  <c r="U120" i="1"/>
  <c r="L120" i="1"/>
  <c r="U119" i="1"/>
  <c r="L119" i="1"/>
  <c r="U118" i="1"/>
  <c r="Y118" i="1" s="1"/>
  <c r="L118" i="1"/>
  <c r="U117" i="1"/>
  <c r="Y117" i="1" s="1"/>
  <c r="L117" i="1"/>
  <c r="U116" i="1"/>
  <c r="L116" i="1"/>
  <c r="U115" i="1"/>
  <c r="L115" i="1"/>
  <c r="U114" i="1"/>
  <c r="L114" i="1"/>
  <c r="U113" i="1"/>
  <c r="L113" i="1"/>
  <c r="U112" i="1"/>
  <c r="L112" i="1"/>
  <c r="U111" i="1"/>
  <c r="L111" i="1"/>
  <c r="U110" i="1"/>
  <c r="L110" i="1"/>
  <c r="U109" i="1"/>
  <c r="L109" i="1"/>
  <c r="U108" i="1"/>
  <c r="L108" i="1"/>
  <c r="U107" i="1"/>
  <c r="L107" i="1"/>
  <c r="U106" i="1"/>
  <c r="L106" i="1"/>
  <c r="U105" i="1"/>
  <c r="L105" i="1"/>
  <c r="U104" i="1"/>
  <c r="L104" i="1"/>
  <c r="U103" i="1"/>
  <c r="L103" i="1"/>
  <c r="U102" i="1"/>
  <c r="L102" i="1"/>
  <c r="U101" i="1"/>
  <c r="L101" i="1"/>
  <c r="U100" i="1"/>
  <c r="L100" i="1"/>
  <c r="U99" i="1"/>
  <c r="L99" i="1"/>
  <c r="U98" i="1"/>
  <c r="L98" i="1"/>
  <c r="U97" i="1"/>
  <c r="L97" i="1"/>
  <c r="U96" i="1"/>
  <c r="L96" i="1"/>
  <c r="U95" i="1"/>
  <c r="L95" i="1"/>
  <c r="U94" i="1"/>
  <c r="L94" i="1"/>
  <c r="U93" i="1"/>
  <c r="L93" i="1"/>
  <c r="U92" i="1"/>
  <c r="L92" i="1"/>
  <c r="U91" i="1"/>
  <c r="L91" i="1"/>
  <c r="U90" i="1"/>
  <c r="L90" i="1"/>
  <c r="U89" i="1"/>
  <c r="L89" i="1"/>
  <c r="U88" i="1"/>
  <c r="L88" i="1"/>
  <c r="U87" i="1"/>
  <c r="L87" i="1"/>
  <c r="U86" i="1"/>
  <c r="L86" i="1"/>
  <c r="U85" i="1"/>
  <c r="L85" i="1"/>
  <c r="U84" i="1"/>
  <c r="L84" i="1"/>
  <c r="U83" i="1"/>
  <c r="L83" i="1"/>
  <c r="U82" i="1"/>
  <c r="L82" i="1"/>
  <c r="U81" i="1"/>
  <c r="Y81" i="1" s="1"/>
  <c r="L81" i="1"/>
  <c r="U80" i="1"/>
  <c r="L80" i="1"/>
  <c r="U79" i="1"/>
  <c r="L79" i="1"/>
  <c r="U78" i="1"/>
  <c r="L78" i="1"/>
  <c r="U77" i="1"/>
  <c r="L77" i="1"/>
  <c r="U76" i="1"/>
  <c r="L76" i="1"/>
  <c r="U75" i="1"/>
  <c r="L75" i="1"/>
  <c r="U74" i="1"/>
  <c r="L74" i="1"/>
  <c r="U73" i="1"/>
  <c r="L73" i="1"/>
  <c r="U72" i="1"/>
  <c r="L72" i="1"/>
  <c r="U71" i="1"/>
  <c r="L71" i="1"/>
  <c r="U70" i="1"/>
  <c r="L70" i="1"/>
  <c r="U69" i="1"/>
  <c r="L69" i="1"/>
  <c r="U68" i="1"/>
  <c r="L68" i="1"/>
  <c r="U67" i="1"/>
  <c r="L67" i="1"/>
  <c r="U66" i="1"/>
  <c r="L66" i="1"/>
  <c r="U65" i="1"/>
  <c r="L65" i="1"/>
  <c r="U64" i="1"/>
  <c r="L64" i="1"/>
  <c r="U63" i="1"/>
  <c r="L63" i="1"/>
  <c r="U62" i="1"/>
  <c r="L62" i="1"/>
  <c r="U61" i="1"/>
  <c r="L61" i="1"/>
  <c r="U60" i="1"/>
  <c r="Y60" i="1" s="1"/>
  <c r="L60" i="1"/>
  <c r="U59" i="1"/>
  <c r="Y59" i="1" s="1"/>
  <c r="L59" i="1"/>
  <c r="F58" i="1"/>
  <c r="E58" i="1"/>
  <c r="E5" i="1" s="1"/>
  <c r="U57" i="1"/>
  <c r="L57" i="1"/>
  <c r="U56" i="1"/>
  <c r="L56" i="1"/>
  <c r="U55" i="1"/>
  <c r="L55" i="1"/>
  <c r="U54" i="1"/>
  <c r="L54" i="1"/>
  <c r="U53" i="1"/>
  <c r="Y53" i="1" s="1"/>
  <c r="L53" i="1"/>
  <c r="U52" i="1"/>
  <c r="L52" i="1"/>
  <c r="U51" i="1"/>
  <c r="Y51" i="1" s="1"/>
  <c r="L51" i="1"/>
  <c r="U50" i="1"/>
  <c r="L50" i="1"/>
  <c r="U49" i="1"/>
  <c r="L49" i="1"/>
  <c r="U48" i="1"/>
  <c r="L48" i="1"/>
  <c r="U47" i="1"/>
  <c r="L47" i="1"/>
  <c r="U46" i="1"/>
  <c r="L46" i="1"/>
  <c r="U45" i="1"/>
  <c r="Y45" i="1" s="1"/>
  <c r="L45" i="1"/>
  <c r="U44" i="1"/>
  <c r="L44" i="1"/>
  <c r="U43" i="1"/>
  <c r="L43" i="1"/>
  <c r="U42" i="1"/>
  <c r="L42" i="1"/>
  <c r="U41" i="1"/>
  <c r="L41" i="1"/>
  <c r="U40" i="1"/>
  <c r="Y40" i="1" s="1"/>
  <c r="L40" i="1"/>
  <c r="U39" i="1"/>
  <c r="L39" i="1"/>
  <c r="U38" i="1"/>
  <c r="L38" i="1"/>
  <c r="U37" i="1"/>
  <c r="Y37" i="1" s="1"/>
  <c r="L37" i="1"/>
  <c r="U36" i="1"/>
  <c r="L36" i="1"/>
  <c r="U35" i="1"/>
  <c r="L35" i="1"/>
  <c r="U34" i="1"/>
  <c r="L34" i="1"/>
  <c r="U33" i="1"/>
  <c r="L33" i="1"/>
  <c r="U32" i="1"/>
  <c r="L32" i="1"/>
  <c r="U31" i="1"/>
  <c r="L31" i="1"/>
  <c r="U30" i="1"/>
  <c r="L30" i="1"/>
  <c r="U29" i="1"/>
  <c r="L29" i="1"/>
  <c r="U28" i="1"/>
  <c r="L28" i="1"/>
  <c r="U27" i="1"/>
  <c r="Y27" i="1" s="1"/>
  <c r="L27" i="1"/>
  <c r="U26" i="1"/>
  <c r="L26" i="1"/>
  <c r="U25" i="1"/>
  <c r="L25" i="1"/>
  <c r="U24" i="1"/>
  <c r="Y24" i="1" s="1"/>
  <c r="L24" i="1"/>
  <c r="U23" i="1"/>
  <c r="L23" i="1"/>
  <c r="U22" i="1"/>
  <c r="L22" i="1"/>
  <c r="U21" i="1"/>
  <c r="Y21" i="1" s="1"/>
  <c r="L21" i="1"/>
  <c r="U20" i="1"/>
  <c r="Y20" i="1" s="1"/>
  <c r="L20" i="1"/>
  <c r="U19" i="1"/>
  <c r="L19" i="1"/>
  <c r="U18" i="1"/>
  <c r="L18" i="1"/>
  <c r="U17" i="1"/>
  <c r="L17" i="1"/>
  <c r="U16" i="1"/>
  <c r="L16" i="1"/>
  <c r="U15" i="1"/>
  <c r="L15" i="1"/>
  <c r="U14" i="1"/>
  <c r="L14" i="1"/>
  <c r="U13" i="1"/>
  <c r="Y13" i="1" s="1"/>
  <c r="L13" i="1"/>
  <c r="U12" i="1"/>
  <c r="L12" i="1"/>
  <c r="U11" i="1"/>
  <c r="L11" i="1"/>
  <c r="U10" i="1"/>
  <c r="L10" i="1"/>
  <c r="U9" i="1"/>
  <c r="L9" i="1"/>
  <c r="U8" i="1"/>
  <c r="Y8" i="1" s="1"/>
  <c r="L8" i="1"/>
  <c r="U7" i="1"/>
  <c r="L7" i="1"/>
  <c r="U6" i="1"/>
  <c r="L6" i="1"/>
  <c r="AI5" i="1"/>
  <c r="AH5" i="1"/>
  <c r="AG5" i="1"/>
  <c r="AF5" i="1"/>
  <c r="AE5" i="1"/>
  <c r="AD5" i="1"/>
  <c r="AC5" i="1"/>
  <c r="AB5" i="1"/>
  <c r="AA5" i="1"/>
  <c r="Z5" i="1"/>
  <c r="S5" i="1"/>
  <c r="R5" i="1"/>
  <c r="Q5" i="1"/>
  <c r="O5" i="1"/>
  <c r="N5" i="1"/>
  <c r="M5" i="1"/>
  <c r="K5" i="1"/>
  <c r="X126" i="1" l="1"/>
  <c r="Y126" i="1"/>
  <c r="X127" i="1"/>
  <c r="Y127" i="1"/>
  <c r="X128" i="1"/>
  <c r="Y128" i="1"/>
  <c r="X129" i="1"/>
  <c r="Y129" i="1"/>
  <c r="X130" i="1"/>
  <c r="Y130" i="1"/>
  <c r="X131" i="1"/>
  <c r="Y131" i="1"/>
  <c r="X132" i="1"/>
  <c r="Y132" i="1"/>
  <c r="X133" i="1"/>
  <c r="Y133" i="1"/>
  <c r="X134" i="1"/>
  <c r="Y134" i="1"/>
  <c r="V6" i="1"/>
  <c r="W6" i="1" s="1"/>
  <c r="Y6" i="1"/>
  <c r="V7" i="1"/>
  <c r="W7" i="1" s="1"/>
  <c r="Y7" i="1"/>
  <c r="V9" i="1"/>
  <c r="W9" i="1" s="1"/>
  <c r="Y9" i="1"/>
  <c r="X10" i="1"/>
  <c r="Y10" i="1"/>
  <c r="X11" i="1"/>
  <c r="Y11" i="1"/>
  <c r="X12" i="1"/>
  <c r="Y12" i="1"/>
  <c r="X14" i="1"/>
  <c r="Y14" i="1"/>
  <c r="X15" i="1"/>
  <c r="Y15" i="1"/>
  <c r="X16" i="1"/>
  <c r="Y16" i="1"/>
  <c r="X17" i="1"/>
  <c r="Y17" i="1"/>
  <c r="X18" i="1"/>
  <c r="Y18" i="1"/>
  <c r="X19" i="1"/>
  <c r="Y19" i="1"/>
  <c r="X22" i="1"/>
  <c r="Y22" i="1"/>
  <c r="X23" i="1"/>
  <c r="Y23" i="1"/>
  <c r="X25" i="1"/>
  <c r="Y25" i="1"/>
  <c r="X26" i="1"/>
  <c r="Y26" i="1"/>
  <c r="X28" i="1"/>
  <c r="Y28" i="1"/>
  <c r="V29" i="1"/>
  <c r="W29" i="1" s="1"/>
  <c r="Y29" i="1"/>
  <c r="X30" i="1"/>
  <c r="Y30" i="1"/>
  <c r="X31" i="1"/>
  <c r="Y31" i="1"/>
  <c r="X32" i="1"/>
  <c r="Y32" i="1"/>
  <c r="X33" i="1"/>
  <c r="Y33" i="1"/>
  <c r="X34" i="1"/>
  <c r="Y34" i="1"/>
  <c r="V35" i="1"/>
  <c r="W35" i="1" s="1"/>
  <c r="Y35" i="1"/>
  <c r="X36" i="1"/>
  <c r="Y36" i="1"/>
  <c r="X38" i="1"/>
  <c r="Y38" i="1"/>
  <c r="X39" i="1"/>
  <c r="Y39" i="1"/>
  <c r="V41" i="1"/>
  <c r="W41" i="1" s="1"/>
  <c r="Y41" i="1"/>
  <c r="X42" i="1"/>
  <c r="Y42" i="1"/>
  <c r="X43" i="1"/>
  <c r="Y43" i="1"/>
  <c r="X44" i="1"/>
  <c r="Y44" i="1"/>
  <c r="X46" i="1"/>
  <c r="Y46" i="1"/>
  <c r="X47" i="1"/>
  <c r="Y47" i="1"/>
  <c r="X48" i="1"/>
  <c r="Y48" i="1"/>
  <c r="X49" i="1"/>
  <c r="Y49" i="1"/>
  <c r="V50" i="1"/>
  <c r="W50" i="1" s="1"/>
  <c r="Y50" i="1"/>
  <c r="X52" i="1"/>
  <c r="Y52" i="1"/>
  <c r="V54" i="1"/>
  <c r="W54" i="1" s="1"/>
  <c r="Y54" i="1"/>
  <c r="X55" i="1"/>
  <c r="Y55" i="1"/>
  <c r="X56" i="1"/>
  <c r="Y56" i="1"/>
  <c r="X57" i="1"/>
  <c r="Y57" i="1"/>
  <c r="X61" i="1"/>
  <c r="Y61" i="1"/>
  <c r="X62" i="1"/>
  <c r="Y62" i="1"/>
  <c r="Y63" i="1"/>
  <c r="X63" i="1"/>
  <c r="X64" i="1"/>
  <c r="Y64" i="1"/>
  <c r="X65" i="1"/>
  <c r="Y65" i="1"/>
  <c r="X66" i="1"/>
  <c r="Y66" i="1"/>
  <c r="Y67" i="1"/>
  <c r="X67" i="1"/>
  <c r="X68" i="1"/>
  <c r="Y68" i="1"/>
  <c r="X69" i="1"/>
  <c r="Y69" i="1"/>
  <c r="X70" i="1"/>
  <c r="Y70" i="1"/>
  <c r="Y71" i="1"/>
  <c r="X71" i="1"/>
  <c r="X72" i="1"/>
  <c r="Y72" i="1"/>
  <c r="X73" i="1"/>
  <c r="Y73" i="1"/>
  <c r="X74" i="1"/>
  <c r="Y74" i="1"/>
  <c r="V75" i="1"/>
  <c r="W75" i="1" s="1"/>
  <c r="Y75" i="1"/>
  <c r="X76" i="1"/>
  <c r="Y76" i="1"/>
  <c r="X77" i="1"/>
  <c r="Y77" i="1"/>
  <c r="X78" i="1"/>
  <c r="Y78" i="1"/>
  <c r="Y79" i="1"/>
  <c r="X79" i="1"/>
  <c r="X80" i="1"/>
  <c r="Y80" i="1"/>
  <c r="X82" i="1"/>
  <c r="Y82" i="1"/>
  <c r="Y83" i="1"/>
  <c r="X83" i="1"/>
  <c r="X84" i="1"/>
  <c r="Y84" i="1"/>
  <c r="X85" i="1"/>
  <c r="Y85" i="1"/>
  <c r="X86" i="1"/>
  <c r="Y86" i="1"/>
  <c r="Y87" i="1"/>
  <c r="X87" i="1"/>
  <c r="X88" i="1"/>
  <c r="Y88" i="1"/>
  <c r="X89" i="1"/>
  <c r="Y89" i="1"/>
  <c r="V90" i="1"/>
  <c r="W90" i="1" s="1"/>
  <c r="Y90" i="1"/>
  <c r="Y91" i="1"/>
  <c r="X91" i="1"/>
  <c r="X92" i="1"/>
  <c r="Y92" i="1"/>
  <c r="X93" i="1"/>
  <c r="Y93" i="1"/>
  <c r="X94" i="1"/>
  <c r="Y94" i="1"/>
  <c r="X95" i="1"/>
  <c r="Y95" i="1"/>
  <c r="X96" i="1"/>
  <c r="Y96" i="1"/>
  <c r="X97" i="1"/>
  <c r="Y97" i="1"/>
  <c r="X98" i="1"/>
  <c r="Y98" i="1"/>
  <c r="X99" i="1"/>
  <c r="Y99" i="1"/>
  <c r="X100" i="1"/>
  <c r="Y100" i="1"/>
  <c r="X101" i="1"/>
  <c r="Y101" i="1"/>
  <c r="X102" i="1"/>
  <c r="Y102" i="1"/>
  <c r="X103" i="1"/>
  <c r="Y103" i="1"/>
  <c r="X104" i="1"/>
  <c r="Y104" i="1"/>
  <c r="X105" i="1"/>
  <c r="Y105" i="1"/>
  <c r="X106" i="1"/>
  <c r="Y106" i="1"/>
  <c r="X107" i="1"/>
  <c r="Y107" i="1"/>
  <c r="X108" i="1"/>
  <c r="Y108" i="1"/>
  <c r="X109" i="1"/>
  <c r="Y109" i="1"/>
  <c r="X110" i="1"/>
  <c r="Y110" i="1"/>
  <c r="X111" i="1"/>
  <c r="Y111" i="1"/>
  <c r="X112" i="1"/>
  <c r="Y112" i="1"/>
  <c r="X113" i="1"/>
  <c r="Y113" i="1"/>
  <c r="X114" i="1"/>
  <c r="Y114" i="1"/>
  <c r="X115" i="1"/>
  <c r="Y115" i="1"/>
  <c r="X116" i="1"/>
  <c r="Y116" i="1"/>
  <c r="Y119" i="1"/>
  <c r="X119" i="1"/>
  <c r="X120" i="1"/>
  <c r="Y120" i="1"/>
  <c r="X121" i="1"/>
  <c r="Y121" i="1"/>
  <c r="V122" i="1"/>
  <c r="W122" i="1" s="1"/>
  <c r="Y122" i="1"/>
  <c r="X123" i="1"/>
  <c r="Y123" i="1"/>
  <c r="X124" i="1"/>
  <c r="Y124" i="1"/>
  <c r="X125" i="1"/>
  <c r="Y125" i="1"/>
  <c r="F5" i="1"/>
  <c r="V37" i="1"/>
  <c r="W37" i="1" s="1"/>
  <c r="V53" i="1"/>
  <c r="W53" i="1" s="1"/>
  <c r="V118" i="1"/>
  <c r="W118" i="1" s="1"/>
  <c r="V27" i="1"/>
  <c r="W27" i="1" s="1"/>
  <c r="V117" i="1"/>
  <c r="W117" i="1" s="1"/>
  <c r="V81" i="1"/>
  <c r="W81" i="1" s="1"/>
  <c r="L58" i="1"/>
  <c r="L5" i="1" s="1"/>
  <c r="V59" i="1"/>
  <c r="W59" i="1" s="1"/>
  <c r="V60" i="1"/>
  <c r="W60" i="1" s="1"/>
  <c r="V40" i="1"/>
  <c r="W40" i="1" s="1"/>
  <c r="U58" i="1"/>
  <c r="X58" i="1" s="1"/>
  <c r="V20" i="1"/>
  <c r="W20" i="1" s="1"/>
  <c r="V21" i="1"/>
  <c r="W21" i="1" s="1"/>
  <c r="V13" i="1"/>
  <c r="W13" i="1" s="1"/>
  <c r="V45" i="1"/>
  <c r="W45" i="1" s="1"/>
  <c r="V24" i="1"/>
  <c r="W24" i="1" s="1"/>
  <c r="V51" i="1"/>
  <c r="W51" i="1" s="1"/>
  <c r="V8" i="1"/>
  <c r="W8" i="1" s="1"/>
  <c r="AK51" i="1" l="1"/>
  <c r="X51" i="1"/>
  <c r="AK45" i="1"/>
  <c r="X45" i="1"/>
  <c r="AK21" i="1"/>
  <c r="X21" i="1"/>
  <c r="X60" i="1"/>
  <c r="AK60" i="1"/>
  <c r="AK117" i="1"/>
  <c r="X117" i="1"/>
  <c r="X118" i="1"/>
  <c r="AK118" i="1"/>
  <c r="AK37" i="1"/>
  <c r="X37" i="1"/>
  <c r="Y58" i="1"/>
  <c r="AK8" i="1"/>
  <c r="X8" i="1"/>
  <c r="X24" i="1"/>
  <c r="AK24" i="1"/>
  <c r="AK13" i="1"/>
  <c r="X13" i="1"/>
  <c r="X20" i="1"/>
  <c r="AK20" i="1"/>
  <c r="X40" i="1"/>
  <c r="AK40" i="1"/>
  <c r="X59" i="1"/>
  <c r="AK59" i="1"/>
  <c r="AK81" i="1"/>
  <c r="X81" i="1"/>
  <c r="AK27" i="1"/>
  <c r="X27" i="1"/>
  <c r="AK53" i="1"/>
  <c r="X53" i="1"/>
  <c r="AK122" i="1"/>
  <c r="X122" i="1"/>
  <c r="X90" i="1"/>
  <c r="AK90" i="1"/>
  <c r="X75" i="1"/>
  <c r="AK75" i="1"/>
  <c r="X54" i="1"/>
  <c r="AK54" i="1"/>
  <c r="X50" i="1"/>
  <c r="AK50" i="1"/>
  <c r="AK41" i="1"/>
  <c r="X41" i="1"/>
  <c r="AK35" i="1"/>
  <c r="X35" i="1"/>
  <c r="AK29" i="1"/>
  <c r="X29" i="1"/>
  <c r="AK9" i="1"/>
  <c r="X9" i="1"/>
  <c r="AK7" i="1"/>
  <c r="X7" i="1"/>
  <c r="AK6" i="1"/>
  <c r="X6" i="1"/>
  <c r="W5" i="1"/>
  <c r="U5" i="1"/>
  <c r="AK5" i="1" l="1"/>
  <c r="V5" i="1"/>
</calcChain>
</file>

<file path=xl/sharedStrings.xml><?xml version="1.0" encoding="utf-8"?>
<sst xmlns="http://schemas.openxmlformats.org/spreadsheetml/2006/main" count="485" uniqueCount="186">
  <si>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</si>
  <si>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</si>
  <si>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</si>
  <si>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</si>
  <si>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</si>
  <si>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</si>
  <si>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</si>
  <si>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</si>
  <si>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</si>
  <si>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</si>
  <si>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</si>
  <si>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</si>
  <si>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</si>
  <si>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</si>
  <si>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</si>
  <si>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</si>
  <si>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</si>
  <si>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</si>
  <si>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</si>
  <si>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</si>
  <si>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</si>
  <si>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</si>
  <si>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14,09,</t>
  </si>
  <si>
    <t>14,09,недогр</t>
  </si>
  <si>
    <t>15,09,</t>
  </si>
  <si>
    <t>20,09,</t>
  </si>
  <si>
    <t>17,09,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</si>
  <si>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</si>
  <si>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</si>
  <si>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</si>
  <si>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</si>
  <si>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</si>
  <si>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</si>
  <si>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</si>
  <si>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</si>
  <si>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</si>
  <si>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</si>
  <si>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</si>
  <si>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</si>
  <si>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</si>
  <si>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</si>
  <si>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</si>
  <si>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</si>
  <si>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</si>
  <si>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</si>
  <si>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</si>
  <si>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</si>
  <si>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</si>
  <si>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</si>
  <si>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</si>
  <si>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</si>
  <si>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</si>
  <si>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</si>
  <si>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</si>
  <si>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</si>
  <si>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</si>
  <si>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</si>
  <si>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</si>
  <si>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</si>
  <si>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</si>
  <si>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</si>
  <si>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>нужно увеличить продажи!!!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</si>
  <si>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</si>
  <si>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</si>
  <si>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</si>
  <si>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</si>
  <si>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</si>
  <si>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</si>
  <si>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</si>
  <si>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</si>
  <si>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</si>
  <si>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</si>
  <si>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</si>
  <si>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</si>
  <si>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</si>
  <si>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</si>
  <si>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</si>
  <si>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</si>
  <si>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</si>
  <si>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</si>
  <si>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</si>
  <si>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ПРОМО сентябрь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</si>
  <si>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</si>
  <si>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</si>
  <si>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</si>
  <si>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</si>
  <si>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</si>
  <si>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</si>
  <si>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</si>
  <si>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</si>
  <si>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</si>
  <si>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</si>
  <si>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</si>
  <si>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</si>
  <si>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</si>
  <si>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</si>
  <si>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</si>
  <si>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</si>
  <si>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>нужно увеличить продажи / ПРОМО сентябрь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</si>
  <si>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</si>
  <si>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</si>
  <si>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</si>
  <si>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</si>
  <si>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</si>
  <si>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</si>
  <si>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</si>
  <si>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</si>
  <si>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</si>
  <si>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</si>
  <si>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</si>
  <si>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</si>
  <si>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</si>
  <si>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</si>
  <si>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</si>
  <si>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</si>
  <si>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</si>
  <si>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</si>
  <si>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</si>
  <si>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</si>
  <si>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</si>
  <si>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</si>
  <si>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</si>
  <si>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</si>
  <si>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</si>
  <si>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</si>
  <si>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</si>
  <si>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</si>
  <si>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</si>
  <si>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</si>
  <si>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</si>
  <si>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</si>
  <si>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</si>
  <si>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</si>
  <si>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</si>
  <si>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</si>
  <si>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</si>
  <si>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</si>
  <si>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заказываем с 28,08,26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</si>
  <si>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</si>
  <si>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</si>
  <si>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</si>
  <si>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</si>
  <si>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</si>
  <si>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</si>
  <si>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</si>
  <si>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</si>
  <si>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</si>
  <si>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</si>
  <si>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</si>
  <si>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</si>
  <si>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</si>
  <si>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</si>
  <si>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</si>
  <si>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</si>
  <si>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</si>
  <si>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</si>
  <si>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</si>
  <si>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</si>
  <si>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</si>
  <si>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</si>
  <si>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</si>
  <si>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</si>
  <si>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</si>
  <si>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</si>
  <si>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</si>
  <si>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</si>
  <si>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</si>
  <si>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</si>
  <si>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</si>
  <si>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</si>
  <si>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</si>
  <si>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</si>
  <si>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</si>
  <si>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</si>
  <si>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</si>
  <si>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</si>
  <si>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</si>
  <si>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</si>
  <si>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</si>
  <si>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</si>
  <si>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69шт в уценку (16,09,26)</t>
  </si>
  <si>
    <t>14,09,доз</t>
  </si>
  <si>
    <t>TSO001121064</t>
  </si>
  <si>
    <t>заказ</t>
  </si>
  <si>
    <t>21,09,</t>
  </si>
  <si>
    <t>20,09,доз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</si>
</sst>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0" borderId="1" xfId="1" applyNumberFormat="1" applyFont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164" fontId="8" fillId="5" borderId="1" xfId="1" applyNumberFormat="1" applyFont="1" applyFill="1"/>
    <xf numFmtId="0" fontId="7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J14" sqref="AJ1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28515625" customWidth="1"/>
    <col min="10" max="10" width="1" customWidth="1"/>
    <col min="11" max="12" width="7" customWidth="1"/>
    <col min="13" max="14" width="0.28515625" customWidth="1"/>
    <col min="15" max="15" width="7" customWidth="1"/>
    <col min="16" max="16" width="7" style="21" customWidth="1"/>
    <col min="17" max="19" width="7" customWidth="1"/>
    <col min="20" max="20" width="7" style="21" customWidth="1"/>
    <col min="21" max="23" width="7" customWidth="1"/>
    <col min="24" max="25" width="5" customWidth="1"/>
    <col min="26" max="35" width="6" customWidth="1"/>
    <col min="36" max="36" width="35.7109375" customWidth="1"/>
    <col min="37" max="37" width="7" customWidth="1"/>
    <col min="38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7" t="s">
        <v>182</v>
      </c>
      <c r="Q1" s="1"/>
      <c r="R1" s="1"/>
      <c r="S1" s="1"/>
      <c r="T1" s="17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7">
        <v>700</v>
      </c>
      <c r="Q2" s="1"/>
      <c r="R2" s="1"/>
      <c r="S2" s="1"/>
      <c r="T2" s="17">
        <v>1590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18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15</v>
      </c>
      <c r="V3" s="3" t="s">
        <v>16</v>
      </c>
      <c r="W3" s="3" t="s">
        <v>183</v>
      </c>
      <c r="X3" s="2" t="s">
        <v>17</v>
      </c>
      <c r="Y3" s="2" t="s">
        <v>18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7" t="s">
        <v>181</v>
      </c>
      <c r="Q4" s="1" t="s">
        <v>23</v>
      </c>
      <c r="R4" s="1" t="s">
        <v>24</v>
      </c>
      <c r="S4" s="1" t="s">
        <v>25</v>
      </c>
      <c r="T4" s="17" t="s">
        <v>185</v>
      </c>
      <c r="U4" s="1" t="s">
        <v>26</v>
      </c>
      <c r="V4" s="1"/>
      <c r="W4" s="1" t="s">
        <v>184</v>
      </c>
      <c r="X4" s="1"/>
      <c r="Y4" s="1"/>
      <c r="Z4" s="1" t="s">
        <v>24</v>
      </c>
      <c r="AA4" s="1" t="s">
        <v>27</v>
      </c>
      <c r="AB4" s="1" t="s">
        <v>28</v>
      </c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 t="s">
        <v>34</v>
      </c>
      <c r="AI4" s="1" t="s">
        <v>35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SUM(E6:E498)</f>
        <v>17717.102000000003</v>
      </c>
      <c r="F5" s="4">
        <f>SUM(F6:F498)</f>
        <v>22950.997000000003</v>
      </c>
      <c r="G5" s="7"/>
      <c r="H5" s="1"/>
      <c r="I5" s="1"/>
      <c r="J5" s="1"/>
      <c r="K5" s="4">
        <f t="shared" ref="K5:W5" si="0">SUM(K6:K498)</f>
        <v>19659.380999999998</v>
      </c>
      <c r="L5" s="4">
        <f t="shared" si="0"/>
        <v>-1942.2789999999993</v>
      </c>
      <c r="M5" s="4">
        <f t="shared" si="0"/>
        <v>0</v>
      </c>
      <c r="N5" s="4">
        <f t="shared" si="0"/>
        <v>0</v>
      </c>
      <c r="O5" s="4">
        <f t="shared" si="0"/>
        <v>11045.074408799999</v>
      </c>
      <c r="P5" s="19">
        <f t="shared" ref="P5" si="1">SUM(P6:P498)</f>
        <v>700</v>
      </c>
      <c r="Q5" s="4">
        <f t="shared" si="0"/>
        <v>-833.90000000000009</v>
      </c>
      <c r="R5" s="4">
        <f t="shared" si="0"/>
        <v>7020.7382152000009</v>
      </c>
      <c r="S5" s="4">
        <f t="shared" si="0"/>
        <v>11460.706407999998</v>
      </c>
      <c r="T5" s="19">
        <f t="shared" ref="T5" si="2">SUM(T6:T498)</f>
        <v>1590</v>
      </c>
      <c r="U5" s="4">
        <f t="shared" si="0"/>
        <v>3543.4204</v>
      </c>
      <c r="V5" s="4">
        <f t="shared" si="0"/>
        <v>6425.7388719999999</v>
      </c>
      <c r="W5" s="4">
        <f t="shared" si="0"/>
        <v>6949.3698719999993</v>
      </c>
      <c r="X5" s="1"/>
      <c r="Y5" s="1"/>
      <c r="Z5" s="4">
        <f t="shared" ref="Z5:AI5" si="3">SUM(Z6:Z498)</f>
        <v>4365.1984000000011</v>
      </c>
      <c r="AA5" s="4">
        <f t="shared" si="3"/>
        <v>4688.8759999999993</v>
      </c>
      <c r="AB5" s="4">
        <f t="shared" si="3"/>
        <v>4508.2022000000024</v>
      </c>
      <c r="AC5" s="4">
        <f t="shared" si="3"/>
        <v>3139.2097999999987</v>
      </c>
      <c r="AD5" s="4">
        <f t="shared" si="3"/>
        <v>2557.4352000000008</v>
      </c>
      <c r="AE5" s="4">
        <f t="shared" si="3"/>
        <v>3687.9288000000001</v>
      </c>
      <c r="AF5" s="4">
        <f t="shared" si="3"/>
        <v>4635.2076000000015</v>
      </c>
      <c r="AG5" s="4">
        <f t="shared" si="3"/>
        <v>4207.7697999999991</v>
      </c>
      <c r="AH5" s="4">
        <f t="shared" si="3"/>
        <v>3443.0367999999989</v>
      </c>
      <c r="AI5" s="4">
        <f t="shared" si="3"/>
        <v>3963.5633999999986</v>
      </c>
      <c r="AJ5" s="1"/>
      <c r="AK5" s="4">
        <f>SUM(AK6:AK498)</f>
        <v>5555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36</v>
      </c>
      <c r="B6" s="1" t="s">
        <v>37</v>
      </c>
      <c r="C6" s="1">
        <v>268.24200000000002</v>
      </c>
      <c r="D6" s="1">
        <v>446.596</v>
      </c>
      <c r="E6" s="1">
        <v>259.82</v>
      </c>
      <c r="F6" s="1">
        <v>214.34899999999999</v>
      </c>
      <c r="G6" s="7">
        <v>1</v>
      </c>
      <c r="H6" s="1">
        <v>50</v>
      </c>
      <c r="I6" s="1" t="s">
        <v>38</v>
      </c>
      <c r="J6" s="1"/>
      <c r="K6" s="1">
        <v>236.55</v>
      </c>
      <c r="L6" s="1">
        <f t="shared" ref="L6:L37" si="4">E6-K6</f>
        <v>23.269999999999982</v>
      </c>
      <c r="M6" s="1"/>
      <c r="N6" s="1"/>
      <c r="O6" s="1">
        <v>48.384800000000041</v>
      </c>
      <c r="P6" s="17"/>
      <c r="Q6" s="1"/>
      <c r="R6" s="1">
        <v>50</v>
      </c>
      <c r="S6" s="1">
        <v>300</v>
      </c>
      <c r="T6" s="17"/>
      <c r="U6" s="1">
        <f t="shared" ref="U6:U37" si="5">E6/5</f>
        <v>51.963999999999999</v>
      </c>
      <c r="V6" s="5">
        <f>12*U6-S6-R6-Q6-O6-F6</f>
        <v>10.834199999999953</v>
      </c>
      <c r="W6" s="5">
        <f>V6</f>
        <v>10.834199999999953</v>
      </c>
      <c r="X6" s="1">
        <f>(F6+O6+P6+Q6+R6+S6+W6)/U6</f>
        <v>12</v>
      </c>
      <c r="Y6" s="1">
        <f>(F6+O6+P6+Q6+R6+S6)/U6</f>
        <v>11.791505657763066</v>
      </c>
      <c r="Z6" s="1">
        <v>47.075599999999987</v>
      </c>
      <c r="AA6" s="1">
        <v>50.8294</v>
      </c>
      <c r="AB6" s="1">
        <v>44.6526</v>
      </c>
      <c r="AC6" s="1">
        <v>29.516400000000001</v>
      </c>
      <c r="AD6" s="1">
        <v>27.771999999999998</v>
      </c>
      <c r="AE6" s="1">
        <v>46.390599999999999</v>
      </c>
      <c r="AF6" s="1">
        <v>62.169199999999996</v>
      </c>
      <c r="AG6" s="1">
        <v>46.914400000000001</v>
      </c>
      <c r="AH6" s="1">
        <v>34.5426</v>
      </c>
      <c r="AI6" s="1">
        <v>43.8718</v>
      </c>
      <c r="AJ6" s="1"/>
      <c r="AK6" s="1">
        <f>ROUND(G6*W6,0)</f>
        <v>11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39</v>
      </c>
      <c r="B7" s="1" t="s">
        <v>37</v>
      </c>
      <c r="C7" s="1">
        <v>403.351</v>
      </c>
      <c r="D7" s="1">
        <v>2095.3580000000002</v>
      </c>
      <c r="E7" s="1">
        <v>831.298</v>
      </c>
      <c r="F7" s="1">
        <v>962.38499999999999</v>
      </c>
      <c r="G7" s="7">
        <v>1</v>
      </c>
      <c r="H7" s="1">
        <v>45</v>
      </c>
      <c r="I7" s="1" t="s">
        <v>38</v>
      </c>
      <c r="J7" s="1"/>
      <c r="K7" s="1">
        <v>787.41</v>
      </c>
      <c r="L7" s="1">
        <f t="shared" si="4"/>
        <v>43.888000000000034</v>
      </c>
      <c r="M7" s="1"/>
      <c r="N7" s="1"/>
      <c r="O7" s="1"/>
      <c r="P7" s="17"/>
      <c r="Q7" s="1"/>
      <c r="R7" s="1">
        <v>150</v>
      </c>
      <c r="S7" s="1">
        <v>139.351</v>
      </c>
      <c r="T7" s="17"/>
      <c r="U7" s="1">
        <f t="shared" si="5"/>
        <v>166.25960000000001</v>
      </c>
      <c r="V7" s="5">
        <f t="shared" ref="V7:V9" si="6">12*U7-S7-R7-Q7-O7-F7</f>
        <v>743.37920000000008</v>
      </c>
      <c r="W7" s="5">
        <f>V7+U7</f>
        <v>909.63880000000006</v>
      </c>
      <c r="X7" s="1">
        <f t="shared" ref="X7:X70" si="7">(F7+O7+P7+Q7+R7+S7+W7)/U7</f>
        <v>13</v>
      </c>
      <c r="Y7" s="1">
        <f t="shared" ref="Y7:Y70" si="8">(F7+O7+P7+Q7+R7+S7)/U7</f>
        <v>7.5288043517487102</v>
      </c>
      <c r="Z7" s="1">
        <v>139.351</v>
      </c>
      <c r="AA7" s="1">
        <v>154.07919999999999</v>
      </c>
      <c r="AB7" s="1">
        <v>164.6078</v>
      </c>
      <c r="AC7" s="1">
        <v>132.37119999999999</v>
      </c>
      <c r="AD7" s="1">
        <v>119.9396</v>
      </c>
      <c r="AE7" s="1">
        <v>148.16139999999999</v>
      </c>
      <c r="AF7" s="1">
        <v>172.14420000000001</v>
      </c>
      <c r="AG7" s="1">
        <v>171.35</v>
      </c>
      <c r="AH7" s="1">
        <v>161.2954</v>
      </c>
      <c r="AI7" s="1">
        <v>174.07939999999999</v>
      </c>
      <c r="AJ7" s="1"/>
      <c r="AK7" s="1">
        <f t="shared" ref="AK7:AK70" si="9">ROUND(G7*W7,0)</f>
        <v>910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40</v>
      </c>
      <c r="B8" s="1" t="s">
        <v>37</v>
      </c>
      <c r="C8" s="1">
        <v>531.24699999999996</v>
      </c>
      <c r="D8" s="1">
        <v>1984.809</v>
      </c>
      <c r="E8" s="1">
        <v>722.75599999999997</v>
      </c>
      <c r="F8" s="1">
        <v>1015.32</v>
      </c>
      <c r="G8" s="7">
        <v>1</v>
      </c>
      <c r="H8" s="1">
        <v>45</v>
      </c>
      <c r="I8" s="1" t="s">
        <v>38</v>
      </c>
      <c r="J8" s="1"/>
      <c r="K8" s="1">
        <v>684.697</v>
      </c>
      <c r="L8" s="1">
        <f t="shared" si="4"/>
        <v>38.058999999999969</v>
      </c>
      <c r="M8" s="1"/>
      <c r="N8" s="1"/>
      <c r="O8" s="1"/>
      <c r="P8" s="17"/>
      <c r="Q8" s="1"/>
      <c r="R8" s="1">
        <v>150</v>
      </c>
      <c r="S8" s="1">
        <v>137.82640000000001</v>
      </c>
      <c r="T8" s="17"/>
      <c r="U8" s="1">
        <f t="shared" si="5"/>
        <v>144.55119999999999</v>
      </c>
      <c r="V8" s="5">
        <f t="shared" si="6"/>
        <v>431.46799999999996</v>
      </c>
      <c r="W8" s="5">
        <f>V8+U8</f>
        <v>576.01919999999996</v>
      </c>
      <c r="X8" s="1">
        <f t="shared" si="7"/>
        <v>13</v>
      </c>
      <c r="Y8" s="1">
        <f t="shared" si="8"/>
        <v>9.0151199021523176</v>
      </c>
      <c r="Z8" s="1">
        <v>137.82640000000001</v>
      </c>
      <c r="AA8" s="1">
        <v>161.33359999999999</v>
      </c>
      <c r="AB8" s="1">
        <v>169.9598</v>
      </c>
      <c r="AC8" s="1">
        <v>134.94839999999999</v>
      </c>
      <c r="AD8" s="1">
        <v>134.37119999999999</v>
      </c>
      <c r="AE8" s="1">
        <v>157.68879999999999</v>
      </c>
      <c r="AF8" s="1">
        <v>164.05779999999999</v>
      </c>
      <c r="AG8" s="1">
        <v>176.13800000000001</v>
      </c>
      <c r="AH8" s="1">
        <v>166.39340000000001</v>
      </c>
      <c r="AI8" s="1">
        <v>154.95760000000001</v>
      </c>
      <c r="AJ8" s="1"/>
      <c r="AK8" s="1">
        <f t="shared" si="9"/>
        <v>576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41</v>
      </c>
      <c r="B9" s="1" t="s">
        <v>42</v>
      </c>
      <c r="C9" s="1">
        <v>-1</v>
      </c>
      <c r="D9" s="1">
        <v>111</v>
      </c>
      <c r="E9" s="1">
        <v>34</v>
      </c>
      <c r="F9" s="1">
        <v>56</v>
      </c>
      <c r="G9" s="7">
        <v>0.4</v>
      </c>
      <c r="H9" s="1">
        <v>50</v>
      </c>
      <c r="I9" s="1" t="s">
        <v>38</v>
      </c>
      <c r="J9" s="1"/>
      <c r="K9" s="1">
        <v>32</v>
      </c>
      <c r="L9" s="1">
        <f t="shared" si="4"/>
        <v>2</v>
      </c>
      <c r="M9" s="1"/>
      <c r="N9" s="1"/>
      <c r="O9" s="1">
        <v>0</v>
      </c>
      <c r="P9" s="17"/>
      <c r="Q9" s="1"/>
      <c r="R9" s="1"/>
      <c r="S9" s="1">
        <v>0</v>
      </c>
      <c r="T9" s="17"/>
      <c r="U9" s="1">
        <f t="shared" si="5"/>
        <v>6.8</v>
      </c>
      <c r="V9" s="5">
        <f t="shared" si="6"/>
        <v>25.599999999999994</v>
      </c>
      <c r="W9" s="5">
        <f t="shared" ref="W9:W70" si="10">V9</f>
        <v>25.599999999999994</v>
      </c>
      <c r="X9" s="1">
        <f t="shared" si="7"/>
        <v>12</v>
      </c>
      <c r="Y9" s="1">
        <f t="shared" si="8"/>
        <v>8.2352941176470598</v>
      </c>
      <c r="Z9" s="1">
        <v>2.4</v>
      </c>
      <c r="AA9" s="1">
        <v>1.6</v>
      </c>
      <c r="AB9" s="1">
        <v>8</v>
      </c>
      <c r="AC9" s="1">
        <v>6.8</v>
      </c>
      <c r="AD9" s="1">
        <v>0.4</v>
      </c>
      <c r="AE9" s="1">
        <v>0.4</v>
      </c>
      <c r="AF9" s="1">
        <v>2.6</v>
      </c>
      <c r="AG9" s="1">
        <v>6.2</v>
      </c>
      <c r="AH9" s="1">
        <v>4.5999999999999996</v>
      </c>
      <c r="AI9" s="1">
        <v>2</v>
      </c>
      <c r="AJ9" s="1" t="s">
        <v>43</v>
      </c>
      <c r="AK9" s="1">
        <f t="shared" si="9"/>
        <v>10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44</v>
      </c>
      <c r="B10" s="1" t="s">
        <v>42</v>
      </c>
      <c r="C10" s="1">
        <v>115</v>
      </c>
      <c r="D10" s="1">
        <v>868</v>
      </c>
      <c r="E10" s="1">
        <v>187</v>
      </c>
      <c r="F10" s="1">
        <v>342</v>
      </c>
      <c r="G10" s="7">
        <v>0.45</v>
      </c>
      <c r="H10" s="1">
        <v>45</v>
      </c>
      <c r="I10" s="1" t="s">
        <v>38</v>
      </c>
      <c r="J10" s="1"/>
      <c r="K10" s="1">
        <v>196</v>
      </c>
      <c r="L10" s="1">
        <f t="shared" si="4"/>
        <v>-9</v>
      </c>
      <c r="M10" s="1"/>
      <c r="N10" s="1"/>
      <c r="O10" s="1">
        <v>200</v>
      </c>
      <c r="P10" s="17"/>
      <c r="Q10" s="1"/>
      <c r="R10" s="1">
        <v>200.8663039999999</v>
      </c>
      <c r="S10" s="1">
        <v>150</v>
      </c>
      <c r="T10" s="17"/>
      <c r="U10" s="1">
        <f t="shared" si="5"/>
        <v>37.4</v>
      </c>
      <c r="V10" s="5"/>
      <c r="W10" s="5">
        <f t="shared" si="10"/>
        <v>0</v>
      </c>
      <c r="X10" s="1">
        <f t="shared" si="7"/>
        <v>23.873430588235291</v>
      </c>
      <c r="Y10" s="1">
        <f t="shared" si="8"/>
        <v>23.873430588235291</v>
      </c>
      <c r="Z10" s="1">
        <v>73.8</v>
      </c>
      <c r="AA10" s="1">
        <v>77.599999999999994</v>
      </c>
      <c r="AB10" s="1">
        <v>67.2</v>
      </c>
      <c r="AC10" s="1">
        <v>41.6</v>
      </c>
      <c r="AD10" s="1">
        <v>45.2</v>
      </c>
      <c r="AE10" s="1">
        <v>39.6</v>
      </c>
      <c r="AF10" s="1">
        <v>42.2</v>
      </c>
      <c r="AG10" s="1">
        <v>64.599999999999994</v>
      </c>
      <c r="AH10" s="1">
        <v>52.4</v>
      </c>
      <c r="AI10" s="1">
        <v>54.8</v>
      </c>
      <c r="AJ10" s="1"/>
      <c r="AK10" s="1">
        <f t="shared" si="9"/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45</v>
      </c>
      <c r="B11" s="1" t="s">
        <v>42</v>
      </c>
      <c r="C11" s="1">
        <v>31</v>
      </c>
      <c r="D11" s="1">
        <v>797</v>
      </c>
      <c r="E11" s="1">
        <v>34</v>
      </c>
      <c r="F11" s="1">
        <v>434</v>
      </c>
      <c r="G11" s="7">
        <v>0.45</v>
      </c>
      <c r="H11" s="1">
        <v>45</v>
      </c>
      <c r="I11" s="1" t="s">
        <v>38</v>
      </c>
      <c r="J11" s="1"/>
      <c r="K11" s="1">
        <v>114</v>
      </c>
      <c r="L11" s="1">
        <f t="shared" si="4"/>
        <v>-80</v>
      </c>
      <c r="M11" s="1"/>
      <c r="N11" s="1"/>
      <c r="O11" s="1">
        <v>250</v>
      </c>
      <c r="P11" s="17"/>
      <c r="Q11" s="1"/>
      <c r="R11" s="1">
        <v>280.00080000000003</v>
      </c>
      <c r="S11" s="1">
        <v>100</v>
      </c>
      <c r="T11" s="17"/>
      <c r="U11" s="1">
        <f t="shared" si="5"/>
        <v>6.8</v>
      </c>
      <c r="V11" s="5"/>
      <c r="W11" s="5">
        <f t="shared" si="10"/>
        <v>0</v>
      </c>
      <c r="X11" s="1">
        <f t="shared" si="7"/>
        <v>156.47070588235295</v>
      </c>
      <c r="Y11" s="1">
        <f t="shared" si="8"/>
        <v>156.47070588235295</v>
      </c>
      <c r="Z11" s="1">
        <v>54.6</v>
      </c>
      <c r="AA11" s="1">
        <v>99.6</v>
      </c>
      <c r="AB11" s="1">
        <v>87.8</v>
      </c>
      <c r="AC11" s="1">
        <v>37.6</v>
      </c>
      <c r="AD11" s="1">
        <v>38.200000000000003</v>
      </c>
      <c r="AE11" s="1">
        <v>44.6</v>
      </c>
      <c r="AF11" s="1">
        <v>39.4</v>
      </c>
      <c r="AG11" s="1">
        <v>82.8</v>
      </c>
      <c r="AH11" s="1">
        <v>80.599999999999994</v>
      </c>
      <c r="AI11" s="1">
        <v>70</v>
      </c>
      <c r="AJ11" s="1"/>
      <c r="AK11" s="1">
        <f t="shared" si="9"/>
        <v>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0" t="s">
        <v>46</v>
      </c>
      <c r="B12" s="10" t="s">
        <v>42</v>
      </c>
      <c r="C12" s="10"/>
      <c r="D12" s="10"/>
      <c r="E12" s="10"/>
      <c r="F12" s="10"/>
      <c r="G12" s="11">
        <v>0</v>
      </c>
      <c r="H12" s="10"/>
      <c r="I12" s="10" t="s">
        <v>38</v>
      </c>
      <c r="J12" s="10"/>
      <c r="K12" s="10"/>
      <c r="L12" s="10">
        <f t="shared" si="4"/>
        <v>0</v>
      </c>
      <c r="M12" s="10"/>
      <c r="N12" s="10"/>
      <c r="O12" s="10">
        <v>0</v>
      </c>
      <c r="P12" s="20"/>
      <c r="Q12" s="10"/>
      <c r="R12" s="10"/>
      <c r="S12" s="10">
        <v>0</v>
      </c>
      <c r="T12" s="20"/>
      <c r="U12" s="10">
        <f t="shared" si="5"/>
        <v>0</v>
      </c>
      <c r="V12" s="12"/>
      <c r="W12" s="5">
        <f t="shared" si="10"/>
        <v>0</v>
      </c>
      <c r="X12" s="1" t="e">
        <f t="shared" si="7"/>
        <v>#DIV/0!</v>
      </c>
      <c r="Y12" s="1" t="e">
        <f t="shared" si="8"/>
        <v>#DIV/0!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 t="s">
        <v>47</v>
      </c>
      <c r="AK12" s="1">
        <f t="shared" si="9"/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48</v>
      </c>
      <c r="B13" s="1" t="s">
        <v>42</v>
      </c>
      <c r="C13" s="1">
        <v>9</v>
      </c>
      <c r="D13" s="1">
        <v>208</v>
      </c>
      <c r="E13" s="1">
        <v>79</v>
      </c>
      <c r="F13" s="1">
        <v>15</v>
      </c>
      <c r="G13" s="7">
        <v>0.3</v>
      </c>
      <c r="H13" s="1">
        <v>40</v>
      </c>
      <c r="I13" s="9" t="s">
        <v>49</v>
      </c>
      <c r="J13" s="1"/>
      <c r="K13" s="1">
        <v>87</v>
      </c>
      <c r="L13" s="1">
        <f t="shared" si="4"/>
        <v>-8</v>
      </c>
      <c r="M13" s="1"/>
      <c r="N13" s="1"/>
      <c r="O13" s="1">
        <v>9.2000000000000171</v>
      </c>
      <c r="P13" s="17"/>
      <c r="Q13" s="1"/>
      <c r="R13" s="1"/>
      <c r="S13" s="1">
        <v>60</v>
      </c>
      <c r="T13" s="17"/>
      <c r="U13" s="1">
        <f t="shared" si="5"/>
        <v>15.8</v>
      </c>
      <c r="V13" s="5">
        <f t="shared" ref="V13:V24" si="11">12*U13-S13-R13-Q13-O13-F13</f>
        <v>105.4</v>
      </c>
      <c r="W13" s="5">
        <f t="shared" si="10"/>
        <v>105.4</v>
      </c>
      <c r="X13" s="1">
        <f t="shared" si="7"/>
        <v>12.000000000000002</v>
      </c>
      <c r="Y13" s="1">
        <f t="shared" si="8"/>
        <v>5.3291139240506338</v>
      </c>
      <c r="Z13" s="1">
        <v>12.4</v>
      </c>
      <c r="AA13" s="1">
        <v>10.8</v>
      </c>
      <c r="AB13" s="1">
        <v>13.4</v>
      </c>
      <c r="AC13" s="1">
        <v>10.6</v>
      </c>
      <c r="AD13" s="1">
        <v>3</v>
      </c>
      <c r="AE13" s="1">
        <v>16.8</v>
      </c>
      <c r="AF13" s="1">
        <v>27</v>
      </c>
      <c r="AG13" s="1">
        <v>25</v>
      </c>
      <c r="AH13" s="1">
        <v>19.399999999999999</v>
      </c>
      <c r="AI13" s="1">
        <v>21.6</v>
      </c>
      <c r="AJ13" s="1"/>
      <c r="AK13" s="1">
        <f t="shared" si="9"/>
        <v>32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50</v>
      </c>
      <c r="B14" s="1" t="s">
        <v>42</v>
      </c>
      <c r="C14" s="1">
        <v>308</v>
      </c>
      <c r="D14" s="1">
        <v>76</v>
      </c>
      <c r="E14" s="1">
        <v>133</v>
      </c>
      <c r="F14" s="1">
        <v>152</v>
      </c>
      <c r="G14" s="7">
        <v>0.17</v>
      </c>
      <c r="H14" s="1">
        <v>180</v>
      </c>
      <c r="I14" s="1" t="s">
        <v>38</v>
      </c>
      <c r="J14" s="1"/>
      <c r="K14" s="1">
        <v>133</v>
      </c>
      <c r="L14" s="1">
        <f t="shared" si="4"/>
        <v>0</v>
      </c>
      <c r="M14" s="1"/>
      <c r="N14" s="1"/>
      <c r="O14" s="1">
        <v>86</v>
      </c>
      <c r="P14" s="17"/>
      <c r="Q14" s="1"/>
      <c r="R14" s="1"/>
      <c r="S14" s="1">
        <v>200</v>
      </c>
      <c r="T14" s="17"/>
      <c r="U14" s="1">
        <f t="shared" si="5"/>
        <v>26.6</v>
      </c>
      <c r="V14" s="5"/>
      <c r="W14" s="5">
        <f t="shared" si="10"/>
        <v>0</v>
      </c>
      <c r="X14" s="1">
        <f t="shared" si="7"/>
        <v>16.466165413533833</v>
      </c>
      <c r="Y14" s="1">
        <f t="shared" si="8"/>
        <v>16.466165413533833</v>
      </c>
      <c r="Z14" s="1">
        <v>37.6</v>
      </c>
      <c r="AA14" s="1">
        <v>32</v>
      </c>
      <c r="AB14" s="1">
        <v>22</v>
      </c>
      <c r="AC14" s="1">
        <v>10</v>
      </c>
      <c r="AD14" s="1">
        <v>1.4</v>
      </c>
      <c r="AE14" s="1">
        <v>13.6</v>
      </c>
      <c r="AF14" s="1">
        <v>31.2</v>
      </c>
      <c r="AG14" s="1">
        <v>32.200000000000003</v>
      </c>
      <c r="AH14" s="1">
        <v>17.8</v>
      </c>
      <c r="AI14" s="1">
        <v>16.2</v>
      </c>
      <c r="AJ14" s="1"/>
      <c r="AK14" s="1">
        <f t="shared" si="9"/>
        <v>0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51</v>
      </c>
      <c r="B15" s="1" t="s">
        <v>37</v>
      </c>
      <c r="C15" s="1">
        <v>22.422999999999998</v>
      </c>
      <c r="D15" s="1">
        <v>1396.1569999999999</v>
      </c>
      <c r="E15" s="1">
        <v>277.86500000000001</v>
      </c>
      <c r="F15" s="1">
        <v>705.77499999999998</v>
      </c>
      <c r="G15" s="7">
        <v>1</v>
      </c>
      <c r="H15" s="1">
        <v>70</v>
      </c>
      <c r="I15" s="9" t="s">
        <v>49</v>
      </c>
      <c r="J15" s="1"/>
      <c r="K15" s="1">
        <v>334.84</v>
      </c>
      <c r="L15" s="1">
        <f t="shared" si="4"/>
        <v>-56.974999999999966</v>
      </c>
      <c r="M15" s="1"/>
      <c r="N15" s="1"/>
      <c r="O15" s="1">
        <v>150</v>
      </c>
      <c r="P15" s="17"/>
      <c r="Q15" s="1"/>
      <c r="R15" s="1">
        <v>100</v>
      </c>
      <c r="S15" s="1">
        <v>0</v>
      </c>
      <c r="T15" s="17"/>
      <c r="U15" s="1">
        <f t="shared" si="5"/>
        <v>55.573</v>
      </c>
      <c r="V15" s="5"/>
      <c r="W15" s="5">
        <f t="shared" si="10"/>
        <v>0</v>
      </c>
      <c r="X15" s="1">
        <f t="shared" si="7"/>
        <v>17.1985496554082</v>
      </c>
      <c r="Y15" s="1">
        <f t="shared" si="8"/>
        <v>17.1985496554082</v>
      </c>
      <c r="Z15" s="1">
        <v>47.542000000000002</v>
      </c>
      <c r="AA15" s="1">
        <v>93.528999999999996</v>
      </c>
      <c r="AB15" s="1">
        <v>100.50239999999999</v>
      </c>
      <c r="AC15" s="1">
        <v>69.866600000000005</v>
      </c>
      <c r="AD15" s="1">
        <v>59.2682</v>
      </c>
      <c r="AE15" s="1">
        <v>64.551999999999992</v>
      </c>
      <c r="AF15" s="1">
        <v>60.460999999999999</v>
      </c>
      <c r="AG15" s="1">
        <v>67.999800000000008</v>
      </c>
      <c r="AH15" s="1">
        <v>67.419600000000003</v>
      </c>
      <c r="AI15" s="1">
        <v>63.860999999999997</v>
      </c>
      <c r="AJ15" s="1"/>
      <c r="AK15" s="1">
        <f t="shared" si="9"/>
        <v>0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52</v>
      </c>
      <c r="B16" s="1" t="s">
        <v>37</v>
      </c>
      <c r="C16" s="1">
        <v>975.18100000000004</v>
      </c>
      <c r="D16" s="1">
        <v>4938.6610000000001</v>
      </c>
      <c r="E16" s="1">
        <v>1289.2339999999999</v>
      </c>
      <c r="F16" s="1">
        <v>2199.3829999999998</v>
      </c>
      <c r="G16" s="7">
        <v>1</v>
      </c>
      <c r="H16" s="1">
        <v>50</v>
      </c>
      <c r="I16" s="1" t="s">
        <v>38</v>
      </c>
      <c r="J16" s="1"/>
      <c r="K16" s="1">
        <v>1439.5</v>
      </c>
      <c r="L16" s="1">
        <f t="shared" si="4"/>
        <v>-150.26600000000008</v>
      </c>
      <c r="M16" s="1"/>
      <c r="N16" s="1"/>
      <c r="O16" s="1">
        <v>1222</v>
      </c>
      <c r="P16" s="17"/>
      <c r="Q16" s="1"/>
      <c r="R16" s="1">
        <v>600</v>
      </c>
      <c r="S16" s="1">
        <v>464.42999999999898</v>
      </c>
      <c r="T16" s="17"/>
      <c r="U16" s="1">
        <f t="shared" si="5"/>
        <v>257.84679999999997</v>
      </c>
      <c r="V16" s="5"/>
      <c r="W16" s="5">
        <f t="shared" si="10"/>
        <v>0</v>
      </c>
      <c r="X16" s="1">
        <f t="shared" si="7"/>
        <v>17.397202524910139</v>
      </c>
      <c r="Y16" s="1">
        <f t="shared" si="8"/>
        <v>17.397202524910139</v>
      </c>
      <c r="Z16" s="1">
        <v>458.24740000000003</v>
      </c>
      <c r="AA16" s="1">
        <v>481.82459999999998</v>
      </c>
      <c r="AB16" s="1">
        <v>420.36439999999999</v>
      </c>
      <c r="AC16" s="1">
        <v>317.29700000000003</v>
      </c>
      <c r="AD16" s="1">
        <v>275.59399999999999</v>
      </c>
      <c r="AE16" s="1">
        <v>362.4502</v>
      </c>
      <c r="AF16" s="1">
        <v>400.47460000000001</v>
      </c>
      <c r="AG16" s="1">
        <v>338.92259999999999</v>
      </c>
      <c r="AH16" s="1">
        <v>312.99419999999998</v>
      </c>
      <c r="AI16" s="1">
        <v>340.73579999999998</v>
      </c>
      <c r="AJ16" s="1"/>
      <c r="AK16" s="1">
        <f t="shared" si="9"/>
        <v>0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53</v>
      </c>
      <c r="B17" s="1" t="s">
        <v>37</v>
      </c>
      <c r="C17" s="1">
        <v>39.194000000000003</v>
      </c>
      <c r="D17" s="1">
        <v>192.91499999999999</v>
      </c>
      <c r="E17" s="1">
        <v>74.656999999999996</v>
      </c>
      <c r="F17" s="1">
        <v>-0.77400000000000002</v>
      </c>
      <c r="G17" s="7">
        <v>1</v>
      </c>
      <c r="H17" s="1">
        <v>60</v>
      </c>
      <c r="I17" s="1" t="s">
        <v>38</v>
      </c>
      <c r="J17" s="1"/>
      <c r="K17" s="1">
        <v>65.98</v>
      </c>
      <c r="L17" s="1">
        <f t="shared" si="4"/>
        <v>8.6769999999999925</v>
      </c>
      <c r="M17" s="1"/>
      <c r="N17" s="1"/>
      <c r="O17" s="1">
        <v>49.769568000000021</v>
      </c>
      <c r="P17" s="17"/>
      <c r="Q17" s="1"/>
      <c r="R17" s="1">
        <v>73.422432000000015</v>
      </c>
      <c r="S17" s="1">
        <v>103.36239999999999</v>
      </c>
      <c r="T17" s="17"/>
      <c r="U17" s="1">
        <f t="shared" si="5"/>
        <v>14.9314</v>
      </c>
      <c r="V17" s="5"/>
      <c r="W17" s="5">
        <f t="shared" si="10"/>
        <v>0</v>
      </c>
      <c r="X17" s="1">
        <f t="shared" si="7"/>
        <v>15.121180867165842</v>
      </c>
      <c r="Y17" s="1">
        <f t="shared" si="8"/>
        <v>15.121180867165842</v>
      </c>
      <c r="Z17" s="1">
        <v>22.7486</v>
      </c>
      <c r="AA17" s="1">
        <v>17.5928</v>
      </c>
      <c r="AB17" s="1">
        <v>11.008599999999999</v>
      </c>
      <c r="AC17" s="1">
        <v>13.476000000000001</v>
      </c>
      <c r="AD17" s="1">
        <v>14.8294</v>
      </c>
      <c r="AE17" s="1">
        <v>16.038599999999999</v>
      </c>
      <c r="AF17" s="1">
        <v>10.763999999999999</v>
      </c>
      <c r="AG17" s="1">
        <v>8.6592000000000002</v>
      </c>
      <c r="AH17" s="1">
        <v>14.825799999999999</v>
      </c>
      <c r="AI17" s="1">
        <v>13.7936</v>
      </c>
      <c r="AJ17" s="1"/>
      <c r="AK17" s="1">
        <f t="shared" si="9"/>
        <v>0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54</v>
      </c>
      <c r="B18" s="1" t="s">
        <v>37</v>
      </c>
      <c r="C18" s="1">
        <v>2.4860000000000002</v>
      </c>
      <c r="D18" s="1">
        <v>131.154</v>
      </c>
      <c r="E18" s="1">
        <v>23.841000000000001</v>
      </c>
      <c r="F18" s="1">
        <v>70.427999999999997</v>
      </c>
      <c r="G18" s="7">
        <v>1</v>
      </c>
      <c r="H18" s="1">
        <v>60</v>
      </c>
      <c r="I18" s="9" t="s">
        <v>49</v>
      </c>
      <c r="J18" s="1"/>
      <c r="K18" s="1">
        <v>32.479999999999997</v>
      </c>
      <c r="L18" s="1">
        <f t="shared" si="4"/>
        <v>-8.6389999999999958</v>
      </c>
      <c r="M18" s="1"/>
      <c r="N18" s="1"/>
      <c r="O18" s="1">
        <v>0</v>
      </c>
      <c r="P18" s="17"/>
      <c r="Q18" s="1"/>
      <c r="R18" s="1"/>
      <c r="S18" s="1">
        <v>0</v>
      </c>
      <c r="T18" s="17"/>
      <c r="U18" s="1">
        <f t="shared" si="5"/>
        <v>4.7682000000000002</v>
      </c>
      <c r="V18" s="5"/>
      <c r="W18" s="5">
        <f t="shared" si="10"/>
        <v>0</v>
      </c>
      <c r="X18" s="1">
        <f t="shared" si="7"/>
        <v>14.770353592550647</v>
      </c>
      <c r="Y18" s="1">
        <f t="shared" si="8"/>
        <v>14.770353592550647</v>
      </c>
      <c r="Z18" s="1">
        <v>-0.16520000000000001</v>
      </c>
      <c r="AA18" s="1">
        <v>1.9505999999999999</v>
      </c>
      <c r="AB18" s="1">
        <v>8.992799999999999</v>
      </c>
      <c r="AC18" s="1">
        <v>11.2796</v>
      </c>
      <c r="AD18" s="1">
        <v>9.8811999999999998</v>
      </c>
      <c r="AE18" s="1">
        <v>10.02</v>
      </c>
      <c r="AF18" s="1">
        <v>6.4992000000000001</v>
      </c>
      <c r="AG18" s="1">
        <v>4.6139999999999999</v>
      </c>
      <c r="AH18" s="1">
        <v>9.6975999999999996</v>
      </c>
      <c r="AI18" s="1">
        <v>9.870000000000001</v>
      </c>
      <c r="AJ18" s="1"/>
      <c r="AK18" s="1">
        <f t="shared" si="9"/>
        <v>0</v>
      </c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55</v>
      </c>
      <c r="B19" s="1" t="s">
        <v>37</v>
      </c>
      <c r="C19" s="1">
        <v>77.331000000000003</v>
      </c>
      <c r="D19" s="1">
        <v>18.594000000000001</v>
      </c>
      <c r="E19" s="1">
        <v>18.196999999999999</v>
      </c>
      <c r="F19" s="1">
        <v>52.237000000000002</v>
      </c>
      <c r="G19" s="7">
        <v>1</v>
      </c>
      <c r="H19" s="1">
        <v>180</v>
      </c>
      <c r="I19" s="1" t="s">
        <v>38</v>
      </c>
      <c r="J19" s="1"/>
      <c r="K19" s="1">
        <v>17.27</v>
      </c>
      <c r="L19" s="1">
        <f t="shared" si="4"/>
        <v>0.9269999999999996</v>
      </c>
      <c r="M19" s="1"/>
      <c r="N19" s="1"/>
      <c r="O19" s="1">
        <v>0</v>
      </c>
      <c r="P19" s="17"/>
      <c r="Q19" s="1"/>
      <c r="R19" s="1"/>
      <c r="S19" s="1">
        <v>0</v>
      </c>
      <c r="T19" s="17"/>
      <c r="U19" s="1">
        <f t="shared" si="5"/>
        <v>3.6393999999999997</v>
      </c>
      <c r="V19" s="5"/>
      <c r="W19" s="5">
        <f t="shared" si="10"/>
        <v>0</v>
      </c>
      <c r="X19" s="1">
        <f t="shared" si="7"/>
        <v>14.353190086277959</v>
      </c>
      <c r="Y19" s="1">
        <f t="shared" si="8"/>
        <v>14.353190086277959</v>
      </c>
      <c r="Z19" s="1">
        <v>2.7559999999999998</v>
      </c>
      <c r="AA19" s="1">
        <v>4.7732000000000001</v>
      </c>
      <c r="AB19" s="1">
        <v>4.9626000000000001</v>
      </c>
      <c r="AC19" s="1">
        <v>3.0619999999999998</v>
      </c>
      <c r="AD19" s="1">
        <v>3.778799999999999</v>
      </c>
      <c r="AE19" s="1">
        <v>6.1134000000000004</v>
      </c>
      <c r="AF19" s="1">
        <v>6.3506</v>
      </c>
      <c r="AG19" s="1">
        <v>4.6951999999999998</v>
      </c>
      <c r="AH19" s="1">
        <v>3.7277999999999998</v>
      </c>
      <c r="AI19" s="1">
        <v>4.875</v>
      </c>
      <c r="AJ19" s="14" t="s">
        <v>56</v>
      </c>
      <c r="AK19" s="1">
        <f t="shared" si="9"/>
        <v>0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57</v>
      </c>
      <c r="B20" s="1" t="s">
        <v>37</v>
      </c>
      <c r="C20" s="1">
        <v>197.21700000000001</v>
      </c>
      <c r="D20" s="1">
        <v>1202.1880000000001</v>
      </c>
      <c r="E20" s="1">
        <v>459.49099999999999</v>
      </c>
      <c r="F20" s="1">
        <v>511.90699999999998</v>
      </c>
      <c r="G20" s="7">
        <v>1</v>
      </c>
      <c r="H20" s="1">
        <v>60</v>
      </c>
      <c r="I20" s="1" t="s">
        <v>38</v>
      </c>
      <c r="J20" s="1"/>
      <c r="K20" s="1">
        <v>445.54</v>
      </c>
      <c r="L20" s="1">
        <f t="shared" si="4"/>
        <v>13.950999999999965</v>
      </c>
      <c r="M20" s="1"/>
      <c r="N20" s="1"/>
      <c r="O20" s="1">
        <v>95.437622399999981</v>
      </c>
      <c r="P20" s="17"/>
      <c r="Q20" s="1"/>
      <c r="R20" s="1"/>
      <c r="S20" s="1">
        <v>235.87537760000001</v>
      </c>
      <c r="T20" s="17"/>
      <c r="U20" s="1">
        <f t="shared" si="5"/>
        <v>91.898200000000003</v>
      </c>
      <c r="V20" s="5">
        <f t="shared" si="11"/>
        <v>259.55840000000018</v>
      </c>
      <c r="W20" s="5">
        <f t="shared" si="10"/>
        <v>259.55840000000018</v>
      </c>
      <c r="X20" s="1">
        <f t="shared" si="7"/>
        <v>12.000000000000002</v>
      </c>
      <c r="Y20" s="1">
        <f t="shared" si="8"/>
        <v>9.1755877699454391</v>
      </c>
      <c r="Z20" s="1">
        <v>89.878</v>
      </c>
      <c r="AA20" s="1">
        <v>93.350200000000001</v>
      </c>
      <c r="AB20" s="1">
        <v>93.1404</v>
      </c>
      <c r="AC20" s="1">
        <v>67.726399999999998</v>
      </c>
      <c r="AD20" s="1">
        <v>70.512</v>
      </c>
      <c r="AE20" s="1">
        <v>77.909599999999998</v>
      </c>
      <c r="AF20" s="1">
        <v>72.000399999999999</v>
      </c>
      <c r="AG20" s="1">
        <v>75.010799999999989</v>
      </c>
      <c r="AH20" s="1">
        <v>77.209599999999995</v>
      </c>
      <c r="AI20" s="1">
        <v>79.551599999999993</v>
      </c>
      <c r="AJ20" s="1"/>
      <c r="AK20" s="1">
        <f t="shared" si="9"/>
        <v>260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58</v>
      </c>
      <c r="B21" s="1" t="s">
        <v>37</v>
      </c>
      <c r="C21" s="1">
        <v>102.69499999999999</v>
      </c>
      <c r="D21" s="1">
        <v>247.92</v>
      </c>
      <c r="E21" s="1">
        <v>174.42099999999999</v>
      </c>
      <c r="F21" s="1">
        <v>51.167000000000002</v>
      </c>
      <c r="G21" s="7">
        <v>1</v>
      </c>
      <c r="H21" s="1">
        <v>70</v>
      </c>
      <c r="I21" s="1" t="s">
        <v>38</v>
      </c>
      <c r="J21" s="1"/>
      <c r="K21" s="1">
        <v>150.28</v>
      </c>
      <c r="L21" s="1">
        <f t="shared" si="4"/>
        <v>24.140999999999991</v>
      </c>
      <c r="M21" s="1"/>
      <c r="N21" s="1"/>
      <c r="O21" s="1">
        <v>0</v>
      </c>
      <c r="P21" s="17"/>
      <c r="Q21" s="1"/>
      <c r="R21" s="1"/>
      <c r="S21" s="1">
        <v>206.94239999999999</v>
      </c>
      <c r="T21" s="17"/>
      <c r="U21" s="1">
        <f t="shared" si="5"/>
        <v>34.8842</v>
      </c>
      <c r="V21" s="5">
        <f t="shared" si="11"/>
        <v>160.50100000000003</v>
      </c>
      <c r="W21" s="5">
        <f t="shared" si="10"/>
        <v>160.50100000000003</v>
      </c>
      <c r="X21" s="1">
        <f t="shared" si="7"/>
        <v>12</v>
      </c>
      <c r="Y21" s="1">
        <f t="shared" si="8"/>
        <v>7.3990345199259258</v>
      </c>
      <c r="Z21" s="1">
        <v>28.196200000000001</v>
      </c>
      <c r="AA21" s="1">
        <v>18.7288</v>
      </c>
      <c r="AB21" s="1">
        <v>23.340800000000002</v>
      </c>
      <c r="AC21" s="1">
        <v>25.481200000000001</v>
      </c>
      <c r="AD21" s="1">
        <v>24.018799999999999</v>
      </c>
      <c r="AE21" s="1">
        <v>17.2928</v>
      </c>
      <c r="AF21" s="1">
        <v>16.8612</v>
      </c>
      <c r="AG21" s="1">
        <v>15.4404</v>
      </c>
      <c r="AH21" s="1">
        <v>13</v>
      </c>
      <c r="AI21" s="1">
        <v>21.806999999999999</v>
      </c>
      <c r="AJ21" s="1"/>
      <c r="AK21" s="1">
        <f t="shared" si="9"/>
        <v>161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59</v>
      </c>
      <c r="B22" s="1" t="s">
        <v>37</v>
      </c>
      <c r="C22" s="1">
        <v>102.22499999999999</v>
      </c>
      <c r="D22" s="1">
        <v>249.952</v>
      </c>
      <c r="E22" s="1">
        <v>204.84399999999999</v>
      </c>
      <c r="F22" s="1">
        <v>-4.9000000000000002E-2</v>
      </c>
      <c r="G22" s="7">
        <v>1</v>
      </c>
      <c r="H22" s="1">
        <v>70</v>
      </c>
      <c r="I22" s="9" t="s">
        <v>49</v>
      </c>
      <c r="J22" s="1"/>
      <c r="K22" s="1">
        <v>240.85</v>
      </c>
      <c r="L22" s="1">
        <f t="shared" si="4"/>
        <v>-36.006</v>
      </c>
      <c r="M22" s="1"/>
      <c r="N22" s="1"/>
      <c r="O22" s="1">
        <v>250</v>
      </c>
      <c r="P22" s="17"/>
      <c r="Q22" s="1"/>
      <c r="R22" s="1">
        <v>100</v>
      </c>
      <c r="S22" s="1">
        <v>350</v>
      </c>
      <c r="T22" s="17"/>
      <c r="U22" s="1">
        <f t="shared" si="5"/>
        <v>40.968800000000002</v>
      </c>
      <c r="V22" s="5"/>
      <c r="W22" s="5">
        <f t="shared" si="10"/>
        <v>0</v>
      </c>
      <c r="X22" s="1">
        <f t="shared" si="7"/>
        <v>17.08497686044014</v>
      </c>
      <c r="Y22" s="1">
        <f t="shared" si="8"/>
        <v>17.08497686044014</v>
      </c>
      <c r="Z22" s="1">
        <v>54.458799999999997</v>
      </c>
      <c r="AA22" s="1">
        <v>38.1952</v>
      </c>
      <c r="AB22" s="1">
        <v>16.365600000000001</v>
      </c>
      <c r="AC22" s="1">
        <v>6.5044000000000004</v>
      </c>
      <c r="AD22" s="1">
        <v>18.438800000000001</v>
      </c>
      <c r="AE22" s="1">
        <v>35.318600000000004</v>
      </c>
      <c r="AF22" s="1">
        <v>41.7134</v>
      </c>
      <c r="AG22" s="1">
        <v>43.699199999999998</v>
      </c>
      <c r="AH22" s="1">
        <v>38.575599999999987</v>
      </c>
      <c r="AI22" s="1">
        <v>44.986800000000002</v>
      </c>
      <c r="AJ22" s="1"/>
      <c r="AK22" s="1">
        <f t="shared" si="9"/>
        <v>0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60</v>
      </c>
      <c r="B23" s="1" t="s">
        <v>37</v>
      </c>
      <c r="C23" s="1">
        <v>136.97</v>
      </c>
      <c r="D23" s="1">
        <v>10.808</v>
      </c>
      <c r="E23" s="1">
        <v>19.882999999999999</v>
      </c>
      <c r="F23" s="1">
        <v>110.97</v>
      </c>
      <c r="G23" s="7">
        <v>1</v>
      </c>
      <c r="H23" s="1">
        <v>180</v>
      </c>
      <c r="I23" s="1" t="s">
        <v>38</v>
      </c>
      <c r="J23" s="1"/>
      <c r="K23" s="1">
        <v>19.55</v>
      </c>
      <c r="L23" s="1">
        <f t="shared" si="4"/>
        <v>0.33299999999999841</v>
      </c>
      <c r="M23" s="1"/>
      <c r="N23" s="1"/>
      <c r="O23" s="1">
        <v>0</v>
      </c>
      <c r="P23" s="17"/>
      <c r="Q23" s="1"/>
      <c r="R23" s="1"/>
      <c r="S23" s="1">
        <v>0</v>
      </c>
      <c r="T23" s="17"/>
      <c r="U23" s="1">
        <f t="shared" si="5"/>
        <v>3.9765999999999999</v>
      </c>
      <c r="V23" s="5"/>
      <c r="W23" s="5">
        <f t="shared" si="10"/>
        <v>0</v>
      </c>
      <c r="X23" s="1">
        <f t="shared" si="7"/>
        <v>27.905748629482474</v>
      </c>
      <c r="Y23" s="1">
        <f t="shared" si="8"/>
        <v>27.905748629482474</v>
      </c>
      <c r="Z23" s="1">
        <v>3.8353999999999999</v>
      </c>
      <c r="AA23" s="1">
        <v>5.0188000000000006</v>
      </c>
      <c r="AB23" s="1">
        <v>4.7473999999999998</v>
      </c>
      <c r="AC23" s="1">
        <v>1.9568000000000001</v>
      </c>
      <c r="AD23" s="1">
        <v>2.3163999999999998</v>
      </c>
      <c r="AE23" s="1">
        <v>7.5906000000000002</v>
      </c>
      <c r="AF23" s="1">
        <v>9.031600000000001</v>
      </c>
      <c r="AG23" s="1">
        <v>4.0991999999999997</v>
      </c>
      <c r="AH23" s="1">
        <v>1.9630000000000001</v>
      </c>
      <c r="AI23" s="1">
        <v>4.3348000000000004</v>
      </c>
      <c r="AJ23" s="15" t="s">
        <v>61</v>
      </c>
      <c r="AK23" s="1">
        <f t="shared" si="9"/>
        <v>0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62</v>
      </c>
      <c r="B24" s="1" t="s">
        <v>37</v>
      </c>
      <c r="C24" s="1">
        <v>-11.4</v>
      </c>
      <c r="D24" s="1">
        <v>357.52300000000002</v>
      </c>
      <c r="E24" s="1">
        <v>147.625</v>
      </c>
      <c r="F24" s="1">
        <v>34.319000000000003</v>
      </c>
      <c r="G24" s="7">
        <v>1</v>
      </c>
      <c r="H24" s="1">
        <v>70</v>
      </c>
      <c r="I24" s="9" t="s">
        <v>49</v>
      </c>
      <c r="J24" s="1"/>
      <c r="K24" s="1">
        <v>146.47999999999999</v>
      </c>
      <c r="L24" s="1">
        <f t="shared" si="4"/>
        <v>1.1450000000000102</v>
      </c>
      <c r="M24" s="1"/>
      <c r="N24" s="1"/>
      <c r="O24" s="1">
        <v>30</v>
      </c>
      <c r="P24" s="17"/>
      <c r="Q24" s="1"/>
      <c r="R24" s="1"/>
      <c r="S24" s="1">
        <v>150</v>
      </c>
      <c r="T24" s="17"/>
      <c r="U24" s="1">
        <f t="shared" si="5"/>
        <v>29.524999999999999</v>
      </c>
      <c r="V24" s="5">
        <f t="shared" si="11"/>
        <v>139.98099999999994</v>
      </c>
      <c r="W24" s="5">
        <f t="shared" si="10"/>
        <v>139.98099999999994</v>
      </c>
      <c r="X24" s="1">
        <f t="shared" si="7"/>
        <v>11.999999999999998</v>
      </c>
      <c r="Y24" s="1">
        <f t="shared" si="8"/>
        <v>7.2588992379339548</v>
      </c>
      <c r="Z24" s="1">
        <v>20.725000000000001</v>
      </c>
      <c r="AA24" s="1">
        <v>18.969799999999999</v>
      </c>
      <c r="AB24" s="1">
        <v>14.39</v>
      </c>
      <c r="AC24" s="1">
        <v>8.7706</v>
      </c>
      <c r="AD24" s="1">
        <v>14.5794</v>
      </c>
      <c r="AE24" s="1">
        <v>31.823799999999999</v>
      </c>
      <c r="AF24" s="1">
        <v>37.118400000000001</v>
      </c>
      <c r="AG24" s="1">
        <v>39.154400000000003</v>
      </c>
      <c r="AH24" s="1">
        <v>36.545400000000001</v>
      </c>
      <c r="AI24" s="1">
        <v>37.086200000000012</v>
      </c>
      <c r="AJ24" s="1"/>
      <c r="AK24" s="1">
        <f t="shared" si="9"/>
        <v>140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0" t="s">
        <v>63</v>
      </c>
      <c r="B25" s="10" t="s">
        <v>37</v>
      </c>
      <c r="C25" s="10">
        <v>0.39800000000000002</v>
      </c>
      <c r="D25" s="10">
        <v>5.6970000000000001</v>
      </c>
      <c r="E25" s="10"/>
      <c r="F25" s="10"/>
      <c r="G25" s="11">
        <v>0</v>
      </c>
      <c r="H25" s="10">
        <v>35</v>
      </c>
      <c r="I25" s="10" t="s">
        <v>64</v>
      </c>
      <c r="J25" s="10"/>
      <c r="K25" s="10"/>
      <c r="L25" s="10">
        <f t="shared" si="4"/>
        <v>0</v>
      </c>
      <c r="M25" s="10"/>
      <c r="N25" s="10"/>
      <c r="O25" s="10">
        <v>0</v>
      </c>
      <c r="P25" s="20"/>
      <c r="Q25" s="10"/>
      <c r="R25" s="10"/>
      <c r="S25" s="10">
        <v>0</v>
      </c>
      <c r="T25" s="20"/>
      <c r="U25" s="10">
        <f t="shared" si="5"/>
        <v>0</v>
      </c>
      <c r="V25" s="12"/>
      <c r="W25" s="5">
        <f t="shared" si="10"/>
        <v>0</v>
      </c>
      <c r="X25" s="1" t="e">
        <f t="shared" si="7"/>
        <v>#DIV/0!</v>
      </c>
      <c r="Y25" s="1" t="e">
        <f t="shared" si="8"/>
        <v>#DIV/0!</v>
      </c>
      <c r="Z25" s="10">
        <v>0</v>
      </c>
      <c r="AA25" s="10">
        <v>-0.36799999999999999</v>
      </c>
      <c r="AB25" s="10">
        <v>-0.51079999999999992</v>
      </c>
      <c r="AC25" s="10">
        <v>-0.14280000000000001</v>
      </c>
      <c r="AD25" s="10">
        <v>0</v>
      </c>
      <c r="AE25" s="10">
        <v>-0.1394</v>
      </c>
      <c r="AF25" s="10">
        <v>-0.42159999999999997</v>
      </c>
      <c r="AG25" s="10">
        <v>-0.28220000000000001</v>
      </c>
      <c r="AH25" s="10">
        <v>-0.14000000000000001</v>
      </c>
      <c r="AI25" s="10">
        <v>-0.14000000000000001</v>
      </c>
      <c r="AJ25" s="10"/>
      <c r="AK25" s="1">
        <f t="shared" si="9"/>
        <v>0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0" t="s">
        <v>65</v>
      </c>
      <c r="B26" s="10" t="s">
        <v>37</v>
      </c>
      <c r="C26" s="10"/>
      <c r="D26" s="10"/>
      <c r="E26" s="10"/>
      <c r="F26" s="10"/>
      <c r="G26" s="11">
        <v>0</v>
      </c>
      <c r="H26" s="10"/>
      <c r="I26" s="10" t="s">
        <v>38</v>
      </c>
      <c r="J26" s="10"/>
      <c r="K26" s="10"/>
      <c r="L26" s="10">
        <f t="shared" si="4"/>
        <v>0</v>
      </c>
      <c r="M26" s="10"/>
      <c r="N26" s="10"/>
      <c r="O26" s="10">
        <v>0</v>
      </c>
      <c r="P26" s="20"/>
      <c r="Q26" s="10"/>
      <c r="R26" s="10"/>
      <c r="S26" s="10">
        <v>0</v>
      </c>
      <c r="T26" s="20"/>
      <c r="U26" s="10">
        <f t="shared" si="5"/>
        <v>0</v>
      </c>
      <c r="V26" s="12"/>
      <c r="W26" s="5">
        <f t="shared" si="10"/>
        <v>0</v>
      </c>
      <c r="X26" s="1" t="e">
        <f t="shared" si="7"/>
        <v>#DIV/0!</v>
      </c>
      <c r="Y26" s="1" t="e">
        <f t="shared" si="8"/>
        <v>#DIV/0!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 t="s">
        <v>47</v>
      </c>
      <c r="AK26" s="1">
        <f t="shared" si="9"/>
        <v>0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66</v>
      </c>
      <c r="B27" s="1" t="s">
        <v>37</v>
      </c>
      <c r="C27" s="1">
        <v>-4.1520000000000001</v>
      </c>
      <c r="D27" s="1">
        <v>467.20100000000002</v>
      </c>
      <c r="E27" s="1">
        <v>183.786</v>
      </c>
      <c r="F27" s="1">
        <v>110.188</v>
      </c>
      <c r="G27" s="7">
        <v>1</v>
      </c>
      <c r="H27" s="1">
        <v>30</v>
      </c>
      <c r="I27" s="1" t="s">
        <v>38</v>
      </c>
      <c r="J27" s="1"/>
      <c r="K27" s="1">
        <v>187.35</v>
      </c>
      <c r="L27" s="1">
        <f t="shared" si="4"/>
        <v>-3.563999999999993</v>
      </c>
      <c r="M27" s="1"/>
      <c r="N27" s="1"/>
      <c r="O27" s="1">
        <v>0</v>
      </c>
      <c r="P27" s="17"/>
      <c r="Q27" s="1"/>
      <c r="R27" s="1"/>
      <c r="S27" s="1">
        <v>0</v>
      </c>
      <c r="T27" s="17"/>
      <c r="U27" s="1">
        <f t="shared" si="5"/>
        <v>36.757199999999997</v>
      </c>
      <c r="V27" s="5">
        <f>9*U27-S27-R27-Q27-O27-F27</f>
        <v>220.6268</v>
      </c>
      <c r="W27" s="5">
        <f t="shared" si="10"/>
        <v>220.6268</v>
      </c>
      <c r="X27" s="1">
        <f t="shared" si="7"/>
        <v>9</v>
      </c>
      <c r="Y27" s="1">
        <f t="shared" si="8"/>
        <v>2.9977256156616936</v>
      </c>
      <c r="Z27" s="1">
        <v>5.3428000000000004</v>
      </c>
      <c r="AA27" s="1">
        <v>1.6415999999999999</v>
      </c>
      <c r="AB27" s="1">
        <v>20.915800000000001</v>
      </c>
      <c r="AC27" s="1">
        <v>41.127400000000002</v>
      </c>
      <c r="AD27" s="1">
        <v>48.219200000000001</v>
      </c>
      <c r="AE27" s="1">
        <v>53.691999999999993</v>
      </c>
      <c r="AF27" s="1">
        <v>57.585799999999992</v>
      </c>
      <c r="AG27" s="1">
        <v>41.682000000000002</v>
      </c>
      <c r="AH27" s="1">
        <v>45.629399999999997</v>
      </c>
      <c r="AI27" s="1">
        <v>54.0336</v>
      </c>
      <c r="AJ27" s="1"/>
      <c r="AK27" s="1">
        <f t="shared" si="9"/>
        <v>221</v>
      </c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67</v>
      </c>
      <c r="B28" s="1" t="s">
        <v>37</v>
      </c>
      <c r="C28" s="1">
        <v>3.702</v>
      </c>
      <c r="D28" s="1">
        <v>230.9</v>
      </c>
      <c r="E28" s="1">
        <v>52.780999999999999</v>
      </c>
      <c r="F28" s="1">
        <v>6.0869999999999997</v>
      </c>
      <c r="G28" s="7">
        <v>1</v>
      </c>
      <c r="H28" s="1">
        <v>40</v>
      </c>
      <c r="I28" s="9" t="s">
        <v>49</v>
      </c>
      <c r="J28" s="1"/>
      <c r="K28" s="1">
        <v>56</v>
      </c>
      <c r="L28" s="1">
        <f t="shared" si="4"/>
        <v>-3.2190000000000012</v>
      </c>
      <c r="M28" s="1"/>
      <c r="N28" s="1"/>
      <c r="O28" s="1">
        <v>0</v>
      </c>
      <c r="P28" s="17"/>
      <c r="Q28" s="1"/>
      <c r="R28" s="1"/>
      <c r="S28" s="1">
        <v>30</v>
      </c>
      <c r="T28" s="17"/>
      <c r="U28" s="1">
        <f t="shared" si="5"/>
        <v>10.5562</v>
      </c>
      <c r="V28" s="5">
        <v>50</v>
      </c>
      <c r="W28" s="5">
        <f t="shared" si="10"/>
        <v>50</v>
      </c>
      <c r="X28" s="1">
        <f t="shared" si="7"/>
        <v>8.1551126352285852</v>
      </c>
      <c r="Y28" s="1">
        <f t="shared" si="8"/>
        <v>3.4185597089861886</v>
      </c>
      <c r="Z28" s="1">
        <v>5.1772</v>
      </c>
      <c r="AA28" s="1">
        <v>-0.112</v>
      </c>
      <c r="AB28" s="1">
        <v>0</v>
      </c>
      <c r="AC28" s="1">
        <v>0</v>
      </c>
      <c r="AD28" s="1">
        <v>0</v>
      </c>
      <c r="AE28" s="1">
        <v>-0.40960000000000002</v>
      </c>
      <c r="AF28" s="1">
        <v>-0.79859999999999998</v>
      </c>
      <c r="AG28" s="1">
        <v>0.30380000000000001</v>
      </c>
      <c r="AH28" s="1">
        <v>-2.1000000000000001E-2</v>
      </c>
      <c r="AI28" s="1">
        <v>0.1164</v>
      </c>
      <c r="AJ28" s="1"/>
      <c r="AK28" s="1">
        <f t="shared" si="9"/>
        <v>50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68</v>
      </c>
      <c r="B29" s="1" t="s">
        <v>37</v>
      </c>
      <c r="C29" s="1">
        <v>2.6850000000000001</v>
      </c>
      <c r="D29" s="1">
        <v>652.10799999999995</v>
      </c>
      <c r="E29" s="1">
        <v>202.30500000000001</v>
      </c>
      <c r="F29" s="1">
        <v>160.41999999999999</v>
      </c>
      <c r="G29" s="7">
        <v>1</v>
      </c>
      <c r="H29" s="1">
        <v>30</v>
      </c>
      <c r="I29" s="9" t="s">
        <v>49</v>
      </c>
      <c r="J29" s="1"/>
      <c r="K29" s="1">
        <v>213.05</v>
      </c>
      <c r="L29" s="1">
        <f t="shared" si="4"/>
        <v>-10.745000000000005</v>
      </c>
      <c r="M29" s="1"/>
      <c r="N29" s="1"/>
      <c r="O29" s="1">
        <v>0</v>
      </c>
      <c r="P29" s="17"/>
      <c r="Q29" s="1"/>
      <c r="R29" s="1"/>
      <c r="S29" s="1">
        <v>150</v>
      </c>
      <c r="T29" s="17"/>
      <c r="U29" s="1">
        <f t="shared" si="5"/>
        <v>40.460999999999999</v>
      </c>
      <c r="V29" s="5">
        <f t="shared" ref="V29" si="12">12*U29-S29-R29-Q29-O29-F29</f>
        <v>175.11199999999999</v>
      </c>
      <c r="W29" s="5">
        <f t="shared" si="10"/>
        <v>175.11199999999999</v>
      </c>
      <c r="X29" s="1">
        <f t="shared" si="7"/>
        <v>11.999999999999998</v>
      </c>
      <c r="Y29" s="1">
        <f t="shared" si="8"/>
        <v>7.6720792862262419</v>
      </c>
      <c r="Z29" s="1">
        <v>34.136399999999988</v>
      </c>
      <c r="AA29" s="1">
        <v>28.6402</v>
      </c>
      <c r="AB29" s="1">
        <v>49.427</v>
      </c>
      <c r="AC29" s="1">
        <v>45.0518</v>
      </c>
      <c r="AD29" s="1">
        <v>-8.8800000000000004E-2</v>
      </c>
      <c r="AE29" s="1">
        <v>11.554</v>
      </c>
      <c r="AF29" s="1">
        <v>72.658000000000001</v>
      </c>
      <c r="AG29" s="1">
        <v>66.253200000000007</v>
      </c>
      <c r="AH29" s="1">
        <v>2.3946000000000001</v>
      </c>
      <c r="AI29" s="1">
        <v>-0.96219999999999994</v>
      </c>
      <c r="AJ29" s="1"/>
      <c r="AK29" s="1">
        <f t="shared" si="9"/>
        <v>175</v>
      </c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69</v>
      </c>
      <c r="B30" s="1" t="s">
        <v>37</v>
      </c>
      <c r="C30" s="1">
        <v>1.518</v>
      </c>
      <c r="D30" s="1">
        <v>1058.6679999999999</v>
      </c>
      <c r="E30" s="1">
        <v>0.06</v>
      </c>
      <c r="F30" s="1">
        <v>532.18200000000002</v>
      </c>
      <c r="G30" s="7">
        <v>1</v>
      </c>
      <c r="H30" s="1">
        <v>40</v>
      </c>
      <c r="I30" s="9" t="s">
        <v>49</v>
      </c>
      <c r="J30" s="1"/>
      <c r="K30" s="1">
        <v>39.6</v>
      </c>
      <c r="L30" s="1">
        <f t="shared" si="4"/>
        <v>-39.54</v>
      </c>
      <c r="M30" s="1"/>
      <c r="N30" s="1"/>
      <c r="O30" s="1">
        <v>800</v>
      </c>
      <c r="P30" s="17"/>
      <c r="Q30" s="1"/>
      <c r="R30" s="1">
        <v>600</v>
      </c>
      <c r="S30" s="1">
        <v>0</v>
      </c>
      <c r="T30" s="17"/>
      <c r="U30" s="1">
        <f t="shared" si="5"/>
        <v>1.2E-2</v>
      </c>
      <c r="V30" s="5">
        <v>400</v>
      </c>
      <c r="W30" s="5">
        <f t="shared" si="10"/>
        <v>400</v>
      </c>
      <c r="X30" s="1">
        <f t="shared" si="7"/>
        <v>194348.49999999997</v>
      </c>
      <c r="Y30" s="1">
        <f t="shared" si="8"/>
        <v>161015.16666666666</v>
      </c>
      <c r="Z30" s="1">
        <v>79.461600000000004</v>
      </c>
      <c r="AA30" s="1">
        <v>183.1814</v>
      </c>
      <c r="AB30" s="1">
        <v>189.0034</v>
      </c>
      <c r="AC30" s="1">
        <v>89.290199999999999</v>
      </c>
      <c r="AD30" s="1">
        <v>4.0186000000000002</v>
      </c>
      <c r="AE30" s="1">
        <v>4.0195999999999996</v>
      </c>
      <c r="AF30" s="1">
        <v>85.760400000000004</v>
      </c>
      <c r="AG30" s="1">
        <v>91.31280000000001</v>
      </c>
      <c r="AH30" s="1">
        <v>5.6337999999999999</v>
      </c>
      <c r="AI30" s="1">
        <v>-0.54759999999999998</v>
      </c>
      <c r="AJ30" s="1"/>
      <c r="AK30" s="1">
        <f t="shared" si="9"/>
        <v>400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70</v>
      </c>
      <c r="B31" s="1" t="s">
        <v>37</v>
      </c>
      <c r="C31" s="1">
        <v>12.102</v>
      </c>
      <c r="D31" s="1">
        <v>24.498999999999999</v>
      </c>
      <c r="E31" s="1">
        <v>29.977</v>
      </c>
      <c r="F31" s="1">
        <v>2.8000000000000001E-2</v>
      </c>
      <c r="G31" s="7">
        <v>1</v>
      </c>
      <c r="H31" s="1">
        <v>40</v>
      </c>
      <c r="I31" s="9" t="s">
        <v>49</v>
      </c>
      <c r="J31" s="1"/>
      <c r="K31" s="1">
        <v>34.799999999999997</v>
      </c>
      <c r="L31" s="1">
        <f t="shared" si="4"/>
        <v>-4.8229999999999968</v>
      </c>
      <c r="M31" s="1"/>
      <c r="N31" s="1"/>
      <c r="O31" s="1">
        <v>18.282800000000002</v>
      </c>
      <c r="P31" s="17"/>
      <c r="Q31" s="1"/>
      <c r="R31" s="1"/>
      <c r="S31" s="1">
        <v>54.366199999999992</v>
      </c>
      <c r="T31" s="17"/>
      <c r="U31" s="1">
        <f t="shared" si="5"/>
        <v>5.9954000000000001</v>
      </c>
      <c r="V31" s="5"/>
      <c r="W31" s="5">
        <f t="shared" si="10"/>
        <v>0</v>
      </c>
      <c r="X31" s="1">
        <f t="shared" si="7"/>
        <v>12.122126964005737</v>
      </c>
      <c r="Y31" s="1">
        <f t="shared" si="8"/>
        <v>12.122126964005737</v>
      </c>
      <c r="Z31" s="1">
        <v>6.6069999999999993</v>
      </c>
      <c r="AA31" s="1">
        <v>2.9994000000000001</v>
      </c>
      <c r="AB31" s="1">
        <v>1.4805999999999999</v>
      </c>
      <c r="AC31" s="1">
        <v>0</v>
      </c>
      <c r="AD31" s="1">
        <v>0</v>
      </c>
      <c r="AE31" s="1">
        <v>3.4148000000000009</v>
      </c>
      <c r="AF31" s="1">
        <v>5.5952000000000002</v>
      </c>
      <c r="AG31" s="1">
        <v>2.1804000000000001</v>
      </c>
      <c r="AH31" s="1">
        <v>0</v>
      </c>
      <c r="AI31" s="1">
        <v>0</v>
      </c>
      <c r="AJ31" s="1"/>
      <c r="AK31" s="1">
        <f t="shared" si="9"/>
        <v>0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71</v>
      </c>
      <c r="B32" s="1" t="s">
        <v>37</v>
      </c>
      <c r="C32" s="1">
        <v>49.445</v>
      </c>
      <c r="D32" s="1">
        <v>111.96899999999999</v>
      </c>
      <c r="E32" s="1">
        <v>6.6260000000000003</v>
      </c>
      <c r="F32" s="1">
        <v>95.438999999999993</v>
      </c>
      <c r="G32" s="7">
        <v>1</v>
      </c>
      <c r="H32" s="1">
        <v>30</v>
      </c>
      <c r="I32" s="1" t="s">
        <v>38</v>
      </c>
      <c r="J32" s="1"/>
      <c r="K32" s="1">
        <v>85.6</v>
      </c>
      <c r="L32" s="1">
        <f t="shared" si="4"/>
        <v>-78.97399999999999</v>
      </c>
      <c r="M32" s="1"/>
      <c r="N32" s="1"/>
      <c r="O32" s="1">
        <v>55.927820800000013</v>
      </c>
      <c r="P32" s="17"/>
      <c r="Q32" s="1"/>
      <c r="R32" s="1">
        <v>82.507379200000003</v>
      </c>
      <c r="S32" s="1">
        <v>0</v>
      </c>
      <c r="T32" s="17"/>
      <c r="U32" s="1">
        <f t="shared" si="5"/>
        <v>1.3252000000000002</v>
      </c>
      <c r="V32" s="5"/>
      <c r="W32" s="5">
        <f t="shared" si="10"/>
        <v>0</v>
      </c>
      <c r="X32" s="1">
        <f t="shared" si="7"/>
        <v>176.48219136734076</v>
      </c>
      <c r="Y32" s="1">
        <f t="shared" si="8"/>
        <v>176.48219136734076</v>
      </c>
      <c r="Z32" s="1">
        <v>13.872400000000001</v>
      </c>
      <c r="AA32" s="1">
        <v>20.366800000000001</v>
      </c>
      <c r="AB32" s="1">
        <v>14.660399999999999</v>
      </c>
      <c r="AC32" s="1">
        <v>3.9342000000000001</v>
      </c>
      <c r="AD32" s="1">
        <v>1.4094</v>
      </c>
      <c r="AE32" s="1">
        <v>13.768800000000001</v>
      </c>
      <c r="AF32" s="1">
        <v>18.741599999999998</v>
      </c>
      <c r="AG32" s="1">
        <v>8.1288</v>
      </c>
      <c r="AH32" s="1">
        <v>0.57519999999999993</v>
      </c>
      <c r="AI32" s="1">
        <v>4.4287999999999998</v>
      </c>
      <c r="AJ32" s="15" t="s">
        <v>61</v>
      </c>
      <c r="AK32" s="1">
        <f t="shared" si="9"/>
        <v>0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72</v>
      </c>
      <c r="B33" s="1" t="s">
        <v>37</v>
      </c>
      <c r="C33" s="1">
        <v>93.534000000000006</v>
      </c>
      <c r="D33" s="1">
        <v>92</v>
      </c>
      <c r="E33" s="1">
        <v>96.49</v>
      </c>
      <c r="F33" s="1">
        <v>0.88100000000000001</v>
      </c>
      <c r="G33" s="7">
        <v>1</v>
      </c>
      <c r="H33" s="1">
        <v>50</v>
      </c>
      <c r="I33" s="9" t="s">
        <v>49</v>
      </c>
      <c r="J33" s="1"/>
      <c r="K33" s="1">
        <v>91.6</v>
      </c>
      <c r="L33" s="1">
        <f t="shared" si="4"/>
        <v>4.8900000000000006</v>
      </c>
      <c r="M33" s="1"/>
      <c r="N33" s="1"/>
      <c r="O33" s="1">
        <v>85.02860000000004</v>
      </c>
      <c r="P33" s="17"/>
      <c r="Q33" s="1"/>
      <c r="R33" s="1"/>
      <c r="S33" s="1">
        <v>150</v>
      </c>
      <c r="T33" s="17"/>
      <c r="U33" s="1">
        <f t="shared" si="5"/>
        <v>19.297999999999998</v>
      </c>
      <c r="V33" s="5"/>
      <c r="W33" s="5">
        <f t="shared" si="10"/>
        <v>0</v>
      </c>
      <c r="X33" s="1">
        <f t="shared" si="7"/>
        <v>12.224562130790758</v>
      </c>
      <c r="Y33" s="1">
        <f t="shared" si="8"/>
        <v>12.224562130790758</v>
      </c>
      <c r="Z33" s="1">
        <v>26.091999999999999</v>
      </c>
      <c r="AA33" s="1">
        <v>14.4978</v>
      </c>
      <c r="AB33" s="1">
        <v>7.5068000000000001</v>
      </c>
      <c r="AC33" s="1">
        <v>11.5124</v>
      </c>
      <c r="AD33" s="1">
        <v>10.9542</v>
      </c>
      <c r="AE33" s="1">
        <v>11.3468</v>
      </c>
      <c r="AF33" s="1">
        <v>12.454000000000001</v>
      </c>
      <c r="AG33" s="1">
        <v>10.270799999999999</v>
      </c>
      <c r="AH33" s="1">
        <v>14.135999999999999</v>
      </c>
      <c r="AI33" s="1">
        <v>12.776400000000001</v>
      </c>
      <c r="AJ33" s="1"/>
      <c r="AK33" s="1">
        <f t="shared" si="9"/>
        <v>0</v>
      </c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0" t="s">
        <v>73</v>
      </c>
      <c r="B34" s="10" t="s">
        <v>37</v>
      </c>
      <c r="C34" s="10">
        <v>3.173</v>
      </c>
      <c r="D34" s="10">
        <v>0.34499999999999997</v>
      </c>
      <c r="E34" s="10"/>
      <c r="F34" s="10"/>
      <c r="G34" s="11">
        <v>0</v>
      </c>
      <c r="H34" s="10">
        <v>50</v>
      </c>
      <c r="I34" s="10" t="s">
        <v>64</v>
      </c>
      <c r="J34" s="10"/>
      <c r="K34" s="10">
        <v>0.8</v>
      </c>
      <c r="L34" s="10">
        <f t="shared" si="4"/>
        <v>-0.8</v>
      </c>
      <c r="M34" s="10"/>
      <c r="N34" s="10"/>
      <c r="O34" s="10">
        <v>0</v>
      </c>
      <c r="P34" s="20"/>
      <c r="Q34" s="10"/>
      <c r="R34" s="10"/>
      <c r="S34" s="10">
        <v>0</v>
      </c>
      <c r="T34" s="20"/>
      <c r="U34" s="10">
        <f t="shared" si="5"/>
        <v>0</v>
      </c>
      <c r="V34" s="12"/>
      <c r="W34" s="5">
        <f t="shared" si="10"/>
        <v>0</v>
      </c>
      <c r="X34" s="1" t="e">
        <f t="shared" si="7"/>
        <v>#DIV/0!</v>
      </c>
      <c r="Y34" s="1" t="e">
        <f t="shared" si="8"/>
        <v>#DIV/0!</v>
      </c>
      <c r="Z34" s="10">
        <v>-0.184</v>
      </c>
      <c r="AA34" s="10">
        <v>-0.184</v>
      </c>
      <c r="AB34" s="10">
        <v>0</v>
      </c>
      <c r="AC34" s="10">
        <v>-0.18079999999999999</v>
      </c>
      <c r="AD34" s="10">
        <v>-0.36299999999999999</v>
      </c>
      <c r="AE34" s="10">
        <v>-0.1822</v>
      </c>
      <c r="AF34" s="10">
        <v>-0.54239999999999999</v>
      </c>
      <c r="AG34" s="10">
        <v>-2.3757999999999999</v>
      </c>
      <c r="AH34" s="10">
        <v>-0.74660000000000004</v>
      </c>
      <c r="AI34" s="10">
        <v>5.9942000000000002</v>
      </c>
      <c r="AJ34" s="10"/>
      <c r="AK34" s="1">
        <f t="shared" si="9"/>
        <v>0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74</v>
      </c>
      <c r="B35" s="1" t="s">
        <v>37</v>
      </c>
      <c r="C35" s="1">
        <v>37.365000000000002</v>
      </c>
      <c r="D35" s="1">
        <v>59.512999999999998</v>
      </c>
      <c r="E35" s="1">
        <v>50.500999999999998</v>
      </c>
      <c r="F35" s="1">
        <v>23.646999999999998</v>
      </c>
      <c r="G35" s="7">
        <v>1</v>
      </c>
      <c r="H35" s="1">
        <v>50</v>
      </c>
      <c r="I35" s="9" t="s">
        <v>49</v>
      </c>
      <c r="J35" s="1"/>
      <c r="K35" s="1">
        <v>45.6</v>
      </c>
      <c r="L35" s="1">
        <f t="shared" si="4"/>
        <v>4.9009999999999962</v>
      </c>
      <c r="M35" s="1"/>
      <c r="N35" s="1"/>
      <c r="O35" s="1">
        <v>36.833399999999997</v>
      </c>
      <c r="P35" s="17"/>
      <c r="Q35" s="1">
        <v>-37.799999999999997</v>
      </c>
      <c r="R35" s="1"/>
      <c r="S35" s="1">
        <v>40</v>
      </c>
      <c r="T35" s="17"/>
      <c r="U35" s="1">
        <f t="shared" si="5"/>
        <v>10.100199999999999</v>
      </c>
      <c r="V35" s="5">
        <f t="shared" ref="V35:V45" si="13">12*U35-S35-R35-Q35-O35-F35</f>
        <v>58.521999999999984</v>
      </c>
      <c r="W35" s="5">
        <f t="shared" si="10"/>
        <v>58.521999999999984</v>
      </c>
      <c r="X35" s="1">
        <f t="shared" si="7"/>
        <v>12</v>
      </c>
      <c r="Y35" s="1">
        <f t="shared" si="8"/>
        <v>6.2058573097562428</v>
      </c>
      <c r="Z35" s="1">
        <v>10.1</v>
      </c>
      <c r="AA35" s="1">
        <v>8.9084000000000003</v>
      </c>
      <c r="AB35" s="1">
        <v>7.8503999999999996</v>
      </c>
      <c r="AC35" s="1">
        <v>4.3845999999999998</v>
      </c>
      <c r="AD35" s="1">
        <v>6.3595999999999986</v>
      </c>
      <c r="AE35" s="1">
        <v>12.702</v>
      </c>
      <c r="AF35" s="1">
        <v>10.155799999999999</v>
      </c>
      <c r="AG35" s="1">
        <v>6.3393999999999986</v>
      </c>
      <c r="AH35" s="1">
        <v>11.959199999999999</v>
      </c>
      <c r="AI35" s="1">
        <v>10.5078</v>
      </c>
      <c r="AJ35" s="1"/>
      <c r="AK35" s="1">
        <f t="shared" si="9"/>
        <v>59</v>
      </c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75</v>
      </c>
      <c r="B36" s="1" t="s">
        <v>42</v>
      </c>
      <c r="C36" s="1">
        <v>3</v>
      </c>
      <c r="D36" s="1">
        <v>1064</v>
      </c>
      <c r="E36" s="1">
        <v>199</v>
      </c>
      <c r="F36" s="1">
        <v>75</v>
      </c>
      <c r="G36" s="7">
        <v>0.4</v>
      </c>
      <c r="H36" s="1">
        <v>45</v>
      </c>
      <c r="I36" s="9" t="s">
        <v>49</v>
      </c>
      <c r="J36" s="1"/>
      <c r="K36" s="1">
        <v>338</v>
      </c>
      <c r="L36" s="1">
        <f t="shared" si="4"/>
        <v>-139</v>
      </c>
      <c r="M36" s="1"/>
      <c r="N36" s="1"/>
      <c r="O36" s="1">
        <v>200</v>
      </c>
      <c r="P36" s="17"/>
      <c r="Q36" s="1"/>
      <c r="R36" s="1"/>
      <c r="S36" s="1">
        <v>0</v>
      </c>
      <c r="T36" s="17"/>
      <c r="U36" s="1">
        <f t="shared" si="5"/>
        <v>39.799999999999997</v>
      </c>
      <c r="V36" s="5">
        <v>300</v>
      </c>
      <c r="W36" s="5">
        <f t="shared" si="10"/>
        <v>300</v>
      </c>
      <c r="X36" s="1">
        <f t="shared" si="7"/>
        <v>14.447236180904524</v>
      </c>
      <c r="Y36" s="1">
        <f t="shared" si="8"/>
        <v>6.9095477386934681</v>
      </c>
      <c r="Z36" s="1">
        <v>23.4</v>
      </c>
      <c r="AA36" s="1">
        <v>-0.6</v>
      </c>
      <c r="AB36" s="1">
        <v>43</v>
      </c>
      <c r="AC36" s="1">
        <v>53.6</v>
      </c>
      <c r="AD36" s="1">
        <v>82</v>
      </c>
      <c r="AE36" s="1">
        <v>105.6</v>
      </c>
      <c r="AF36" s="1">
        <v>114.4</v>
      </c>
      <c r="AG36" s="1">
        <v>104.2</v>
      </c>
      <c r="AH36" s="1">
        <v>116</v>
      </c>
      <c r="AI36" s="1">
        <v>216.8</v>
      </c>
      <c r="AJ36" s="1"/>
      <c r="AK36" s="1">
        <f t="shared" si="9"/>
        <v>120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76</v>
      </c>
      <c r="B37" s="1" t="s">
        <v>42</v>
      </c>
      <c r="C37" s="1">
        <v>505</v>
      </c>
      <c r="D37" s="1">
        <v>113</v>
      </c>
      <c r="E37" s="1">
        <v>194</v>
      </c>
      <c r="F37" s="1">
        <v>298</v>
      </c>
      <c r="G37" s="7">
        <v>0.45</v>
      </c>
      <c r="H37" s="1">
        <v>50</v>
      </c>
      <c r="I37" s="1" t="s">
        <v>38</v>
      </c>
      <c r="J37" s="1"/>
      <c r="K37" s="1">
        <v>192</v>
      </c>
      <c r="L37" s="1">
        <f t="shared" si="4"/>
        <v>2</v>
      </c>
      <c r="M37" s="1"/>
      <c r="N37" s="1"/>
      <c r="O37" s="1">
        <v>0</v>
      </c>
      <c r="P37" s="17"/>
      <c r="Q37" s="1"/>
      <c r="R37" s="1"/>
      <c r="S37" s="1">
        <v>0</v>
      </c>
      <c r="T37" s="17"/>
      <c r="U37" s="1">
        <f t="shared" si="5"/>
        <v>38.799999999999997</v>
      </c>
      <c r="V37" s="5">
        <f>11*U37-S37-R37-Q37-O37-F37</f>
        <v>128.79999999999995</v>
      </c>
      <c r="W37" s="5">
        <f t="shared" si="10"/>
        <v>128.79999999999995</v>
      </c>
      <c r="X37" s="1">
        <f t="shared" si="7"/>
        <v>11</v>
      </c>
      <c r="Y37" s="1">
        <f t="shared" si="8"/>
        <v>7.6804123711340209</v>
      </c>
      <c r="Z37" s="1">
        <v>24.4</v>
      </c>
      <c r="AA37" s="1">
        <v>26.6</v>
      </c>
      <c r="AB37" s="1">
        <v>21.8</v>
      </c>
      <c r="AC37" s="1">
        <v>11.8</v>
      </c>
      <c r="AD37" s="1">
        <v>12.6</v>
      </c>
      <c r="AE37" s="1">
        <v>23.8</v>
      </c>
      <c r="AF37" s="1">
        <v>51.6</v>
      </c>
      <c r="AG37" s="1">
        <v>52.6</v>
      </c>
      <c r="AH37" s="1">
        <v>22.2</v>
      </c>
      <c r="AI37" s="1">
        <v>31.6</v>
      </c>
      <c r="AJ37" s="1"/>
      <c r="AK37" s="1">
        <f t="shared" si="9"/>
        <v>58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77</v>
      </c>
      <c r="B38" s="1" t="s">
        <v>42</v>
      </c>
      <c r="C38" s="1">
        <v>28</v>
      </c>
      <c r="D38" s="1">
        <v>423</v>
      </c>
      <c r="E38" s="1">
        <v>90</v>
      </c>
      <c r="F38" s="1">
        <v>107</v>
      </c>
      <c r="G38" s="7">
        <v>0.4</v>
      </c>
      <c r="H38" s="1">
        <v>45</v>
      </c>
      <c r="I38" s="9" t="s">
        <v>49</v>
      </c>
      <c r="J38" s="1"/>
      <c r="K38" s="1">
        <v>142</v>
      </c>
      <c r="L38" s="1">
        <f t="shared" ref="L38:L69" si="14">E38-K38</f>
        <v>-52</v>
      </c>
      <c r="M38" s="1"/>
      <c r="N38" s="1"/>
      <c r="O38" s="1">
        <v>60</v>
      </c>
      <c r="P38" s="17"/>
      <c r="Q38" s="1"/>
      <c r="R38" s="1"/>
      <c r="S38" s="1">
        <v>60</v>
      </c>
      <c r="T38" s="17"/>
      <c r="U38" s="1">
        <f t="shared" ref="U38:U69" si="15">E38/5</f>
        <v>18</v>
      </c>
      <c r="V38" s="5"/>
      <c r="W38" s="5">
        <f t="shared" si="10"/>
        <v>0</v>
      </c>
      <c r="X38" s="1">
        <f t="shared" si="7"/>
        <v>12.611111111111111</v>
      </c>
      <c r="Y38" s="1">
        <f t="shared" si="8"/>
        <v>12.611111111111111</v>
      </c>
      <c r="Z38" s="1">
        <v>19.2</v>
      </c>
      <c r="AA38" s="1">
        <v>18</v>
      </c>
      <c r="AB38" s="1">
        <v>24.6</v>
      </c>
      <c r="AC38" s="1">
        <v>14.2</v>
      </c>
      <c r="AD38" s="1">
        <v>-0.4</v>
      </c>
      <c r="AE38" s="1">
        <v>2.4</v>
      </c>
      <c r="AF38" s="1">
        <v>29</v>
      </c>
      <c r="AG38" s="1">
        <v>33.6</v>
      </c>
      <c r="AH38" s="1">
        <v>5.4</v>
      </c>
      <c r="AI38" s="1">
        <v>27.8</v>
      </c>
      <c r="AJ38" s="1"/>
      <c r="AK38" s="1">
        <f t="shared" si="9"/>
        <v>0</v>
      </c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78</v>
      </c>
      <c r="B39" s="1" t="s">
        <v>42</v>
      </c>
      <c r="C39" s="1">
        <v>-2</v>
      </c>
      <c r="D39" s="1">
        <v>19</v>
      </c>
      <c r="E39" s="1"/>
      <c r="F39" s="1"/>
      <c r="G39" s="7">
        <v>0.4</v>
      </c>
      <c r="H39" s="1">
        <v>40</v>
      </c>
      <c r="I39" s="9" t="s">
        <v>49</v>
      </c>
      <c r="J39" s="1"/>
      <c r="K39" s="1">
        <v>6</v>
      </c>
      <c r="L39" s="1">
        <f t="shared" si="14"/>
        <v>-6</v>
      </c>
      <c r="M39" s="1"/>
      <c r="N39" s="1"/>
      <c r="O39" s="1">
        <v>20</v>
      </c>
      <c r="P39" s="17"/>
      <c r="Q39" s="1">
        <v>-24</v>
      </c>
      <c r="R39" s="1"/>
      <c r="S39" s="1">
        <v>30</v>
      </c>
      <c r="T39" s="17"/>
      <c r="U39" s="1">
        <f t="shared" si="15"/>
        <v>0</v>
      </c>
      <c r="V39" s="5">
        <v>20</v>
      </c>
      <c r="W39" s="5">
        <f t="shared" si="10"/>
        <v>20</v>
      </c>
      <c r="X39" s="1" t="e">
        <f t="shared" si="7"/>
        <v>#DIV/0!</v>
      </c>
      <c r="Y39" s="1" t="e">
        <f t="shared" si="8"/>
        <v>#DIV/0!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3</v>
      </c>
      <c r="AF39" s="1">
        <v>8.6</v>
      </c>
      <c r="AG39" s="1">
        <v>9.1999999999999993</v>
      </c>
      <c r="AH39" s="1">
        <v>5.6</v>
      </c>
      <c r="AI39" s="1">
        <v>11.2</v>
      </c>
      <c r="AJ39" s="1"/>
      <c r="AK39" s="1">
        <f t="shared" si="9"/>
        <v>8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79</v>
      </c>
      <c r="B40" s="1" t="s">
        <v>37</v>
      </c>
      <c r="C40" s="1">
        <v>48.914999999999999</v>
      </c>
      <c r="D40" s="1">
        <v>96.296999999999997</v>
      </c>
      <c r="E40" s="1">
        <v>67.843999999999994</v>
      </c>
      <c r="F40" s="1">
        <v>37.590000000000003</v>
      </c>
      <c r="G40" s="7">
        <v>1</v>
      </c>
      <c r="H40" s="1">
        <v>45</v>
      </c>
      <c r="I40" s="9" t="s">
        <v>49</v>
      </c>
      <c r="J40" s="1"/>
      <c r="K40" s="1">
        <v>61.1</v>
      </c>
      <c r="L40" s="1">
        <f t="shared" si="14"/>
        <v>6.7439999999999927</v>
      </c>
      <c r="M40" s="1"/>
      <c r="N40" s="1"/>
      <c r="O40" s="1">
        <v>20</v>
      </c>
      <c r="P40" s="17"/>
      <c r="Q40" s="1"/>
      <c r="R40" s="1"/>
      <c r="S40" s="1">
        <v>100</v>
      </c>
      <c r="T40" s="17"/>
      <c r="U40" s="1">
        <f t="shared" si="15"/>
        <v>13.5688</v>
      </c>
      <c r="V40" s="5">
        <f t="shared" si="13"/>
        <v>5.2356000000000051</v>
      </c>
      <c r="W40" s="5">
        <f t="shared" si="10"/>
        <v>5.2356000000000051</v>
      </c>
      <c r="X40" s="1">
        <f t="shared" si="7"/>
        <v>12.000000000000002</v>
      </c>
      <c r="Y40" s="1">
        <f t="shared" si="8"/>
        <v>11.614144213194978</v>
      </c>
      <c r="Z40" s="1">
        <v>10.417999999999999</v>
      </c>
      <c r="AA40" s="1">
        <v>9.3553999999999995</v>
      </c>
      <c r="AB40" s="1">
        <v>10.323</v>
      </c>
      <c r="AC40" s="1">
        <v>4.6484000000000014</v>
      </c>
      <c r="AD40" s="1">
        <v>2.3094000000000001</v>
      </c>
      <c r="AE40" s="1">
        <v>9.5343999999999998</v>
      </c>
      <c r="AF40" s="1">
        <v>16.715199999999999</v>
      </c>
      <c r="AG40" s="1">
        <v>10.9094</v>
      </c>
      <c r="AH40" s="1">
        <v>0</v>
      </c>
      <c r="AI40" s="1">
        <v>0</v>
      </c>
      <c r="AJ40" s="1"/>
      <c r="AK40" s="1">
        <f t="shared" si="9"/>
        <v>5</v>
      </c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80</v>
      </c>
      <c r="B41" s="1" t="s">
        <v>42</v>
      </c>
      <c r="C41" s="1">
        <v>513</v>
      </c>
      <c r="D41" s="1">
        <v>949</v>
      </c>
      <c r="E41" s="1">
        <v>514</v>
      </c>
      <c r="F41" s="1">
        <v>658</v>
      </c>
      <c r="G41" s="7">
        <v>0.1</v>
      </c>
      <c r="H41" s="1">
        <v>731</v>
      </c>
      <c r="I41" s="1" t="s">
        <v>38</v>
      </c>
      <c r="J41" s="1"/>
      <c r="K41" s="1">
        <v>501</v>
      </c>
      <c r="L41" s="1">
        <f t="shared" si="14"/>
        <v>13</v>
      </c>
      <c r="M41" s="1"/>
      <c r="N41" s="1"/>
      <c r="O41" s="1">
        <v>207.17120000000011</v>
      </c>
      <c r="P41" s="17"/>
      <c r="Q41" s="1"/>
      <c r="R41" s="1">
        <v>305.62880000000013</v>
      </c>
      <c r="S41" s="1">
        <v>0</v>
      </c>
      <c r="T41" s="17"/>
      <c r="U41" s="1">
        <f t="shared" si="15"/>
        <v>102.8</v>
      </c>
      <c r="V41" s="5">
        <f t="shared" si="13"/>
        <v>62.799999999999613</v>
      </c>
      <c r="W41" s="5">
        <f t="shared" si="10"/>
        <v>62.799999999999613</v>
      </c>
      <c r="X41" s="1">
        <f t="shared" si="7"/>
        <v>12</v>
      </c>
      <c r="Y41" s="1">
        <f t="shared" si="8"/>
        <v>11.389105058365761</v>
      </c>
      <c r="Z41" s="1">
        <v>113.8</v>
      </c>
      <c r="AA41" s="1">
        <v>149.4</v>
      </c>
      <c r="AB41" s="1">
        <v>112</v>
      </c>
      <c r="AC41" s="1">
        <v>37</v>
      </c>
      <c r="AD41" s="1">
        <v>22.6</v>
      </c>
      <c r="AE41" s="1">
        <v>58.2</v>
      </c>
      <c r="AF41" s="1">
        <v>88</v>
      </c>
      <c r="AG41" s="1">
        <v>90</v>
      </c>
      <c r="AH41" s="1">
        <v>67.400000000000006</v>
      </c>
      <c r="AI41" s="1">
        <v>57.8</v>
      </c>
      <c r="AJ41" s="1" t="s">
        <v>81</v>
      </c>
      <c r="AK41" s="1">
        <f t="shared" si="9"/>
        <v>6</v>
      </c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82</v>
      </c>
      <c r="B42" s="1" t="s">
        <v>42</v>
      </c>
      <c r="C42" s="1">
        <v>5</v>
      </c>
      <c r="D42" s="1">
        <v>99</v>
      </c>
      <c r="E42" s="1">
        <v>54</v>
      </c>
      <c r="F42" s="1">
        <v>4</v>
      </c>
      <c r="G42" s="7">
        <v>0.35</v>
      </c>
      <c r="H42" s="1">
        <v>40</v>
      </c>
      <c r="I42" s="9" t="s">
        <v>49</v>
      </c>
      <c r="J42" s="1"/>
      <c r="K42" s="1">
        <v>87</v>
      </c>
      <c r="L42" s="1">
        <f t="shared" si="14"/>
        <v>-33</v>
      </c>
      <c r="M42" s="1"/>
      <c r="N42" s="1"/>
      <c r="O42" s="1">
        <v>20</v>
      </c>
      <c r="P42" s="17"/>
      <c r="Q42" s="1"/>
      <c r="R42" s="1"/>
      <c r="S42" s="1">
        <v>150</v>
      </c>
      <c r="T42" s="17"/>
      <c r="U42" s="1">
        <f t="shared" si="15"/>
        <v>10.8</v>
      </c>
      <c r="V42" s="5"/>
      <c r="W42" s="5">
        <f t="shared" si="10"/>
        <v>0</v>
      </c>
      <c r="X42" s="1">
        <f t="shared" si="7"/>
        <v>16.111111111111111</v>
      </c>
      <c r="Y42" s="1">
        <f t="shared" si="8"/>
        <v>16.111111111111111</v>
      </c>
      <c r="Z42" s="1">
        <v>5.6</v>
      </c>
      <c r="AA42" s="1">
        <v>-3.8</v>
      </c>
      <c r="AB42" s="1">
        <v>-3.6</v>
      </c>
      <c r="AC42" s="1">
        <v>0</v>
      </c>
      <c r="AD42" s="1">
        <v>0</v>
      </c>
      <c r="AE42" s="1">
        <v>-0.2</v>
      </c>
      <c r="AF42" s="1">
        <v>-0.8</v>
      </c>
      <c r="AG42" s="1">
        <v>0</v>
      </c>
      <c r="AH42" s="1">
        <v>-0.2</v>
      </c>
      <c r="AI42" s="1">
        <v>-0.8</v>
      </c>
      <c r="AJ42" s="1"/>
      <c r="AK42" s="1">
        <f t="shared" si="9"/>
        <v>0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83</v>
      </c>
      <c r="B43" s="1" t="s">
        <v>37</v>
      </c>
      <c r="C43" s="1">
        <v>-5.0839999999999996</v>
      </c>
      <c r="D43" s="1">
        <v>224.28399999999999</v>
      </c>
      <c r="E43" s="1">
        <v>99.41</v>
      </c>
      <c r="F43" s="1">
        <v>27.584</v>
      </c>
      <c r="G43" s="7">
        <v>1</v>
      </c>
      <c r="H43" s="1">
        <v>40</v>
      </c>
      <c r="I43" s="9" t="s">
        <v>49</v>
      </c>
      <c r="J43" s="1"/>
      <c r="K43" s="1">
        <v>112.3</v>
      </c>
      <c r="L43" s="1">
        <f t="shared" si="14"/>
        <v>-12.89</v>
      </c>
      <c r="M43" s="1"/>
      <c r="N43" s="1"/>
      <c r="O43" s="1">
        <v>20</v>
      </c>
      <c r="P43" s="17"/>
      <c r="Q43" s="1"/>
      <c r="R43" s="1"/>
      <c r="S43" s="1">
        <v>0</v>
      </c>
      <c r="T43" s="17"/>
      <c r="U43" s="1">
        <f t="shared" si="15"/>
        <v>19.881999999999998</v>
      </c>
      <c r="V43" s="5">
        <v>150</v>
      </c>
      <c r="W43" s="5">
        <f t="shared" si="10"/>
        <v>150</v>
      </c>
      <c r="X43" s="1">
        <f t="shared" si="7"/>
        <v>9.9378332159742495</v>
      </c>
      <c r="Y43" s="1">
        <f t="shared" si="8"/>
        <v>2.3933205914897902</v>
      </c>
      <c r="Z43" s="1">
        <v>1.5982000000000001</v>
      </c>
      <c r="AA43" s="1">
        <v>5.7080000000000002</v>
      </c>
      <c r="AB43" s="1">
        <v>8.1778000000000013</v>
      </c>
      <c r="AC43" s="1">
        <v>8.4413999999999998</v>
      </c>
      <c r="AD43" s="1">
        <v>18.788799999999998</v>
      </c>
      <c r="AE43" s="1">
        <v>21.273199999999999</v>
      </c>
      <c r="AF43" s="1">
        <v>22.917999999999999</v>
      </c>
      <c r="AG43" s="1">
        <v>21.759399999999999</v>
      </c>
      <c r="AH43" s="1">
        <v>16.7</v>
      </c>
      <c r="AI43" s="1">
        <v>22.0274</v>
      </c>
      <c r="AJ43" s="1"/>
      <c r="AK43" s="1">
        <f t="shared" si="9"/>
        <v>150</v>
      </c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84</v>
      </c>
      <c r="B44" s="1" t="s">
        <v>42</v>
      </c>
      <c r="C44" s="1">
        <v>39</v>
      </c>
      <c r="D44" s="1">
        <v>168</v>
      </c>
      <c r="E44" s="1">
        <v>69</v>
      </c>
      <c r="F44" s="1">
        <v>24</v>
      </c>
      <c r="G44" s="7">
        <v>0.4</v>
      </c>
      <c r="H44" s="1">
        <v>40</v>
      </c>
      <c r="I44" s="9" t="s">
        <v>49</v>
      </c>
      <c r="J44" s="1"/>
      <c r="K44" s="1">
        <v>90</v>
      </c>
      <c r="L44" s="1">
        <f t="shared" si="14"/>
        <v>-21</v>
      </c>
      <c r="M44" s="1"/>
      <c r="N44" s="1"/>
      <c r="O44" s="1">
        <v>120</v>
      </c>
      <c r="P44" s="17"/>
      <c r="Q44" s="1"/>
      <c r="R44" s="1">
        <v>100</v>
      </c>
      <c r="S44" s="1">
        <v>46.199999999999989</v>
      </c>
      <c r="T44" s="17"/>
      <c r="U44" s="1">
        <f t="shared" si="15"/>
        <v>13.8</v>
      </c>
      <c r="V44" s="5"/>
      <c r="W44" s="5">
        <f t="shared" si="10"/>
        <v>0</v>
      </c>
      <c r="X44" s="1">
        <f t="shared" si="7"/>
        <v>21.028985507246375</v>
      </c>
      <c r="Y44" s="1">
        <f t="shared" si="8"/>
        <v>21.028985507246375</v>
      </c>
      <c r="Z44" s="1">
        <v>28.2</v>
      </c>
      <c r="AA44" s="1">
        <v>24.6</v>
      </c>
      <c r="AB44" s="1">
        <v>15.2</v>
      </c>
      <c r="AC44" s="1">
        <v>11.6</v>
      </c>
      <c r="AD44" s="1">
        <v>11</v>
      </c>
      <c r="AE44" s="1">
        <v>16.399999999999999</v>
      </c>
      <c r="AF44" s="1">
        <v>26.8</v>
      </c>
      <c r="AG44" s="1">
        <v>22.8</v>
      </c>
      <c r="AH44" s="1">
        <v>2</v>
      </c>
      <c r="AI44" s="1">
        <v>6.2</v>
      </c>
      <c r="AJ44" s="1"/>
      <c r="AK44" s="1">
        <f t="shared" si="9"/>
        <v>0</v>
      </c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85</v>
      </c>
      <c r="B45" s="1" t="s">
        <v>42</v>
      </c>
      <c r="C45" s="1">
        <v>124</v>
      </c>
      <c r="D45" s="1">
        <v>138</v>
      </c>
      <c r="E45" s="1">
        <v>160</v>
      </c>
      <c r="F45" s="1"/>
      <c r="G45" s="7">
        <v>0.4</v>
      </c>
      <c r="H45" s="1">
        <v>45</v>
      </c>
      <c r="I45" s="1" t="s">
        <v>38</v>
      </c>
      <c r="J45" s="1"/>
      <c r="K45" s="1">
        <v>166</v>
      </c>
      <c r="L45" s="1">
        <f t="shared" si="14"/>
        <v>-6</v>
      </c>
      <c r="M45" s="1"/>
      <c r="N45" s="1"/>
      <c r="O45" s="1">
        <v>64.316800000000029</v>
      </c>
      <c r="P45" s="17"/>
      <c r="Q45" s="1"/>
      <c r="R45" s="1">
        <v>94.883200000000016</v>
      </c>
      <c r="S45" s="1">
        <v>149.6</v>
      </c>
      <c r="T45" s="17"/>
      <c r="U45" s="1">
        <f t="shared" si="15"/>
        <v>32</v>
      </c>
      <c r="V45" s="5">
        <f t="shared" si="13"/>
        <v>75.19999999999996</v>
      </c>
      <c r="W45" s="5">
        <f t="shared" si="10"/>
        <v>75.19999999999996</v>
      </c>
      <c r="X45" s="1">
        <f t="shared" si="7"/>
        <v>12</v>
      </c>
      <c r="Y45" s="1">
        <f t="shared" si="8"/>
        <v>9.6500000000000021</v>
      </c>
      <c r="Z45" s="1">
        <v>33.4</v>
      </c>
      <c r="AA45" s="1">
        <v>27.6</v>
      </c>
      <c r="AB45" s="1">
        <v>19</v>
      </c>
      <c r="AC45" s="1">
        <v>11.4</v>
      </c>
      <c r="AD45" s="1">
        <v>1.4</v>
      </c>
      <c r="AE45" s="1">
        <v>4.8</v>
      </c>
      <c r="AF45" s="1">
        <v>25</v>
      </c>
      <c r="AG45" s="1">
        <v>30.8</v>
      </c>
      <c r="AH45" s="1">
        <v>13.8</v>
      </c>
      <c r="AI45" s="1">
        <v>21.8</v>
      </c>
      <c r="AJ45" s="1"/>
      <c r="AK45" s="1">
        <f t="shared" si="9"/>
        <v>30</v>
      </c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0" t="s">
        <v>86</v>
      </c>
      <c r="B46" s="10" t="s">
        <v>37</v>
      </c>
      <c r="C46" s="10">
        <v>2.2000000000000002</v>
      </c>
      <c r="D46" s="10">
        <v>12.999000000000001</v>
      </c>
      <c r="E46" s="10">
        <v>-0.72599999999999998</v>
      </c>
      <c r="F46" s="10"/>
      <c r="G46" s="11">
        <v>0</v>
      </c>
      <c r="H46" s="10">
        <v>40</v>
      </c>
      <c r="I46" s="10" t="s">
        <v>64</v>
      </c>
      <c r="J46" s="10"/>
      <c r="K46" s="10">
        <v>5.6</v>
      </c>
      <c r="L46" s="10">
        <f t="shared" si="14"/>
        <v>-6.3259999999999996</v>
      </c>
      <c r="M46" s="10"/>
      <c r="N46" s="10"/>
      <c r="O46" s="10">
        <v>0</v>
      </c>
      <c r="P46" s="20"/>
      <c r="Q46" s="10"/>
      <c r="R46" s="10"/>
      <c r="S46" s="10">
        <v>0</v>
      </c>
      <c r="T46" s="20"/>
      <c r="U46" s="10">
        <f t="shared" si="15"/>
        <v>-0.1452</v>
      </c>
      <c r="V46" s="12"/>
      <c r="W46" s="5">
        <f t="shared" si="10"/>
        <v>0</v>
      </c>
      <c r="X46" s="1">
        <f t="shared" si="7"/>
        <v>0</v>
      </c>
      <c r="Y46" s="1">
        <f t="shared" si="8"/>
        <v>0</v>
      </c>
      <c r="Z46" s="10">
        <v>0</v>
      </c>
      <c r="AA46" s="10">
        <v>-0.14560000000000001</v>
      </c>
      <c r="AB46" s="10">
        <v>-0.14560000000000001</v>
      </c>
      <c r="AC46" s="10">
        <v>0</v>
      </c>
      <c r="AD46" s="10">
        <v>0</v>
      </c>
      <c r="AE46" s="10">
        <v>0</v>
      </c>
      <c r="AF46" s="10">
        <v>-0.1434</v>
      </c>
      <c r="AG46" s="10">
        <v>-0.1434</v>
      </c>
      <c r="AH46" s="10">
        <v>0</v>
      </c>
      <c r="AI46" s="10">
        <v>-0.43659999999999999</v>
      </c>
      <c r="AJ46" s="10"/>
      <c r="AK46" s="1">
        <f t="shared" si="9"/>
        <v>0</v>
      </c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87</v>
      </c>
      <c r="B47" s="1" t="s">
        <v>37</v>
      </c>
      <c r="C47" s="1">
        <v>-11.271000000000001</v>
      </c>
      <c r="D47" s="1">
        <v>177.22499999999999</v>
      </c>
      <c r="E47" s="1">
        <v>18.864999999999998</v>
      </c>
      <c r="F47" s="1">
        <v>26.734999999999999</v>
      </c>
      <c r="G47" s="7">
        <v>1</v>
      </c>
      <c r="H47" s="1">
        <v>40</v>
      </c>
      <c r="I47" s="9" t="s">
        <v>49</v>
      </c>
      <c r="J47" s="1"/>
      <c r="K47" s="1">
        <v>49.4</v>
      </c>
      <c r="L47" s="1">
        <f t="shared" si="14"/>
        <v>-30.535</v>
      </c>
      <c r="M47" s="1"/>
      <c r="N47" s="1"/>
      <c r="O47" s="1">
        <v>40</v>
      </c>
      <c r="P47" s="17"/>
      <c r="Q47" s="1"/>
      <c r="R47" s="1"/>
      <c r="S47" s="1">
        <v>100</v>
      </c>
      <c r="T47" s="17"/>
      <c r="U47" s="1">
        <f t="shared" si="15"/>
        <v>3.7729999999999997</v>
      </c>
      <c r="V47" s="5"/>
      <c r="W47" s="5">
        <f t="shared" si="10"/>
        <v>0</v>
      </c>
      <c r="X47" s="1">
        <f t="shared" si="7"/>
        <v>44.191624701828793</v>
      </c>
      <c r="Y47" s="1">
        <f t="shared" si="8"/>
        <v>44.191624701828793</v>
      </c>
      <c r="Z47" s="1">
        <v>0.57640000000000002</v>
      </c>
      <c r="AA47" s="1">
        <v>3.3826000000000001</v>
      </c>
      <c r="AB47" s="1">
        <v>8.9486000000000008</v>
      </c>
      <c r="AC47" s="1">
        <v>4.9824000000000002</v>
      </c>
      <c r="AD47" s="1">
        <v>7.7111999999999998</v>
      </c>
      <c r="AE47" s="1">
        <v>16.299800000000001</v>
      </c>
      <c r="AF47" s="1">
        <v>23.334199999999999</v>
      </c>
      <c r="AG47" s="1">
        <v>20.9544</v>
      </c>
      <c r="AH47" s="1">
        <v>15.678000000000001</v>
      </c>
      <c r="AI47" s="1">
        <v>20.927800000000001</v>
      </c>
      <c r="AJ47" s="1"/>
      <c r="AK47" s="1">
        <f t="shared" si="9"/>
        <v>0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88</v>
      </c>
      <c r="B48" s="1" t="s">
        <v>42</v>
      </c>
      <c r="C48" s="1">
        <v>6</v>
      </c>
      <c r="D48" s="1">
        <v>656</v>
      </c>
      <c r="E48" s="1">
        <v>118</v>
      </c>
      <c r="F48" s="1">
        <v>111</v>
      </c>
      <c r="G48" s="7">
        <v>0.35</v>
      </c>
      <c r="H48" s="1">
        <v>40</v>
      </c>
      <c r="I48" s="9" t="s">
        <v>49</v>
      </c>
      <c r="J48" s="1"/>
      <c r="K48" s="1">
        <v>172</v>
      </c>
      <c r="L48" s="1">
        <f t="shared" si="14"/>
        <v>-54</v>
      </c>
      <c r="M48" s="1"/>
      <c r="N48" s="1"/>
      <c r="O48" s="1">
        <v>169.4</v>
      </c>
      <c r="P48" s="17"/>
      <c r="Q48" s="1">
        <v>-174</v>
      </c>
      <c r="R48" s="1"/>
      <c r="S48" s="1">
        <v>250</v>
      </c>
      <c r="T48" s="17"/>
      <c r="U48" s="1">
        <f t="shared" si="15"/>
        <v>23.6</v>
      </c>
      <c r="V48" s="5">
        <v>150</v>
      </c>
      <c r="W48" s="5">
        <f t="shared" si="10"/>
        <v>150</v>
      </c>
      <c r="X48" s="1">
        <f t="shared" si="7"/>
        <v>21.457627118644066</v>
      </c>
      <c r="Y48" s="1">
        <f t="shared" si="8"/>
        <v>15.101694915254235</v>
      </c>
      <c r="Z48" s="1">
        <v>31.8</v>
      </c>
      <c r="AA48" s="1">
        <v>39</v>
      </c>
      <c r="AB48" s="1">
        <v>35.6</v>
      </c>
      <c r="AC48" s="1">
        <v>19.600000000000001</v>
      </c>
      <c r="AD48" s="1">
        <v>0</v>
      </c>
      <c r="AE48" s="1">
        <v>2.2000000000000002</v>
      </c>
      <c r="AF48" s="1">
        <v>53</v>
      </c>
      <c r="AG48" s="1">
        <v>103</v>
      </c>
      <c r="AH48" s="1">
        <v>97.6</v>
      </c>
      <c r="AI48" s="1">
        <v>89</v>
      </c>
      <c r="AJ48" s="1"/>
      <c r="AK48" s="1">
        <f t="shared" si="9"/>
        <v>53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89</v>
      </c>
      <c r="B49" s="1" t="s">
        <v>42</v>
      </c>
      <c r="C49" s="1">
        <v>25</v>
      </c>
      <c r="D49" s="1">
        <v>278</v>
      </c>
      <c r="E49" s="1">
        <v>12</v>
      </c>
      <c r="F49" s="1">
        <v>81</v>
      </c>
      <c r="G49" s="7">
        <v>0.4</v>
      </c>
      <c r="H49" s="1">
        <v>40</v>
      </c>
      <c r="I49" s="9" t="s">
        <v>49</v>
      </c>
      <c r="J49" s="1"/>
      <c r="K49" s="1">
        <v>50</v>
      </c>
      <c r="L49" s="1">
        <f t="shared" si="14"/>
        <v>-38</v>
      </c>
      <c r="M49" s="1"/>
      <c r="N49" s="1"/>
      <c r="O49" s="1">
        <v>150</v>
      </c>
      <c r="P49" s="17"/>
      <c r="Q49" s="1"/>
      <c r="R49" s="1">
        <v>100</v>
      </c>
      <c r="S49" s="1">
        <v>50</v>
      </c>
      <c r="T49" s="17"/>
      <c r="U49" s="1">
        <f t="shared" si="15"/>
        <v>2.4</v>
      </c>
      <c r="V49" s="5"/>
      <c r="W49" s="5">
        <f t="shared" si="10"/>
        <v>0</v>
      </c>
      <c r="X49" s="1">
        <f t="shared" si="7"/>
        <v>158.75</v>
      </c>
      <c r="Y49" s="1">
        <f t="shared" si="8"/>
        <v>158.75</v>
      </c>
      <c r="Z49" s="1">
        <v>34</v>
      </c>
      <c r="AA49" s="1">
        <v>51.6</v>
      </c>
      <c r="AB49" s="1">
        <v>49.6</v>
      </c>
      <c r="AC49" s="1">
        <v>31</v>
      </c>
      <c r="AD49" s="1">
        <v>7</v>
      </c>
      <c r="AE49" s="1">
        <v>16.399999999999999</v>
      </c>
      <c r="AF49" s="1">
        <v>57.2</v>
      </c>
      <c r="AG49" s="1">
        <v>50.6</v>
      </c>
      <c r="AH49" s="1">
        <v>5.8</v>
      </c>
      <c r="AI49" s="1">
        <v>33.6</v>
      </c>
      <c r="AJ49" s="1"/>
      <c r="AK49" s="1">
        <f t="shared" si="9"/>
        <v>0</v>
      </c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90</v>
      </c>
      <c r="B50" s="1" t="s">
        <v>37</v>
      </c>
      <c r="C50" s="1">
        <v>151.00200000000001</v>
      </c>
      <c r="D50" s="1">
        <v>32.649000000000001</v>
      </c>
      <c r="E50" s="1">
        <v>69.546999999999997</v>
      </c>
      <c r="F50" s="1">
        <v>68.951999999999998</v>
      </c>
      <c r="G50" s="7">
        <v>1</v>
      </c>
      <c r="H50" s="1">
        <v>50</v>
      </c>
      <c r="I50" s="1" t="s">
        <v>38</v>
      </c>
      <c r="J50" s="1"/>
      <c r="K50" s="1">
        <v>61.05</v>
      </c>
      <c r="L50" s="1">
        <f t="shared" si="14"/>
        <v>8.4969999999999999</v>
      </c>
      <c r="M50" s="1"/>
      <c r="N50" s="1"/>
      <c r="O50" s="1">
        <v>0</v>
      </c>
      <c r="P50" s="17"/>
      <c r="Q50" s="1"/>
      <c r="R50" s="1"/>
      <c r="S50" s="1">
        <v>48.958999999999968</v>
      </c>
      <c r="T50" s="17"/>
      <c r="U50" s="1">
        <f t="shared" si="15"/>
        <v>13.9094</v>
      </c>
      <c r="V50" s="5">
        <f t="shared" ref="V50:V60" si="16">12*U50-S50-R50-Q50-O50-F50</f>
        <v>49.001800000000031</v>
      </c>
      <c r="W50" s="5">
        <f t="shared" si="10"/>
        <v>49.001800000000031</v>
      </c>
      <c r="X50" s="1">
        <f t="shared" si="7"/>
        <v>12</v>
      </c>
      <c r="Y50" s="1">
        <f t="shared" si="8"/>
        <v>8.4770730585071945</v>
      </c>
      <c r="Z50" s="1">
        <v>13.914</v>
      </c>
      <c r="AA50" s="1">
        <v>8.3748000000000005</v>
      </c>
      <c r="AB50" s="1">
        <v>5.9323999999999986</v>
      </c>
      <c r="AC50" s="1">
        <v>6.7408000000000001</v>
      </c>
      <c r="AD50" s="1">
        <v>7.5424000000000007</v>
      </c>
      <c r="AE50" s="1">
        <v>17.248200000000001</v>
      </c>
      <c r="AF50" s="1">
        <v>16.198599999999999</v>
      </c>
      <c r="AG50" s="1">
        <v>4.0784000000000002</v>
      </c>
      <c r="AH50" s="1">
        <v>5.7111999999999998</v>
      </c>
      <c r="AI50" s="1">
        <v>8.3732000000000006</v>
      </c>
      <c r="AJ50" s="1"/>
      <c r="AK50" s="1">
        <f t="shared" si="9"/>
        <v>49</v>
      </c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91</v>
      </c>
      <c r="B51" s="1" t="s">
        <v>37</v>
      </c>
      <c r="C51" s="1">
        <v>243.506</v>
      </c>
      <c r="D51" s="1">
        <v>94.513000000000005</v>
      </c>
      <c r="E51" s="1">
        <v>171.38499999999999</v>
      </c>
      <c r="F51" s="1">
        <v>79.701999999999998</v>
      </c>
      <c r="G51" s="7">
        <v>1</v>
      </c>
      <c r="H51" s="1">
        <v>50</v>
      </c>
      <c r="I51" s="1" t="s">
        <v>38</v>
      </c>
      <c r="J51" s="1"/>
      <c r="K51" s="1">
        <v>153.69999999999999</v>
      </c>
      <c r="L51" s="1">
        <f t="shared" si="14"/>
        <v>17.685000000000002</v>
      </c>
      <c r="M51" s="1"/>
      <c r="N51" s="1"/>
      <c r="O51" s="1">
        <v>44.279531200000037</v>
      </c>
      <c r="P51" s="17"/>
      <c r="Q51" s="1"/>
      <c r="R51" s="1">
        <v>65.323268800000051</v>
      </c>
      <c r="S51" s="1">
        <v>73.373599999999939</v>
      </c>
      <c r="T51" s="17"/>
      <c r="U51" s="1">
        <f t="shared" si="15"/>
        <v>34.277000000000001</v>
      </c>
      <c r="V51" s="5">
        <f t="shared" si="16"/>
        <v>148.64559999999997</v>
      </c>
      <c r="W51" s="5">
        <f t="shared" si="10"/>
        <v>148.64559999999997</v>
      </c>
      <c r="X51" s="1">
        <f t="shared" si="7"/>
        <v>11.999999999999998</v>
      </c>
      <c r="Y51" s="1">
        <f t="shared" si="8"/>
        <v>7.6634011144499228</v>
      </c>
      <c r="Z51" s="1">
        <v>28.886399999999998</v>
      </c>
      <c r="AA51" s="1">
        <v>31.163599999999999</v>
      </c>
      <c r="AB51" s="1">
        <v>29.2424</v>
      </c>
      <c r="AC51" s="1">
        <v>13.016</v>
      </c>
      <c r="AD51" s="1">
        <v>12.1088</v>
      </c>
      <c r="AE51" s="1">
        <v>26.9346</v>
      </c>
      <c r="AF51" s="1">
        <v>28.4544</v>
      </c>
      <c r="AG51" s="1">
        <v>15.607200000000001</v>
      </c>
      <c r="AH51" s="1">
        <v>15.357799999999999</v>
      </c>
      <c r="AI51" s="1">
        <v>21.200199999999999</v>
      </c>
      <c r="AJ51" s="1" t="s">
        <v>81</v>
      </c>
      <c r="AK51" s="1">
        <f t="shared" si="9"/>
        <v>149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92</v>
      </c>
      <c r="B52" s="1" t="s">
        <v>37</v>
      </c>
      <c r="C52" s="1">
        <v>-0.125</v>
      </c>
      <c r="D52" s="1">
        <v>104.40900000000001</v>
      </c>
      <c r="E52" s="1"/>
      <c r="F52" s="1"/>
      <c r="G52" s="7">
        <v>1</v>
      </c>
      <c r="H52" s="1">
        <v>45</v>
      </c>
      <c r="I52" s="9" t="s">
        <v>49</v>
      </c>
      <c r="J52" s="1"/>
      <c r="K52" s="1"/>
      <c r="L52" s="1">
        <f t="shared" si="14"/>
        <v>0</v>
      </c>
      <c r="M52" s="1"/>
      <c r="N52" s="1"/>
      <c r="O52" s="1">
        <v>30</v>
      </c>
      <c r="P52" s="17"/>
      <c r="Q52" s="1">
        <v>-36</v>
      </c>
      <c r="R52" s="1"/>
      <c r="S52" s="1">
        <v>40</v>
      </c>
      <c r="T52" s="17"/>
      <c r="U52" s="1">
        <f t="shared" si="15"/>
        <v>0</v>
      </c>
      <c r="V52" s="5">
        <v>30</v>
      </c>
      <c r="W52" s="5">
        <f t="shared" si="10"/>
        <v>30</v>
      </c>
      <c r="X52" s="1" t="e">
        <f t="shared" si="7"/>
        <v>#DIV/0!</v>
      </c>
      <c r="Y52" s="1" t="e">
        <f t="shared" si="8"/>
        <v>#DIV/0!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-0.03</v>
      </c>
      <c r="AG52" s="1">
        <v>-0.03</v>
      </c>
      <c r="AH52" s="1">
        <v>0</v>
      </c>
      <c r="AI52" s="1">
        <v>0.57939999999999992</v>
      </c>
      <c r="AJ52" s="1"/>
      <c r="AK52" s="1">
        <f t="shared" si="9"/>
        <v>30</v>
      </c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93</v>
      </c>
      <c r="B53" s="1" t="s">
        <v>42</v>
      </c>
      <c r="C53" s="1">
        <v>260</v>
      </c>
      <c r="D53" s="1">
        <v>80</v>
      </c>
      <c r="E53" s="1">
        <v>160</v>
      </c>
      <c r="F53" s="1">
        <v>80</v>
      </c>
      <c r="G53" s="7">
        <v>0.45</v>
      </c>
      <c r="H53" s="1">
        <v>50</v>
      </c>
      <c r="I53" s="1" t="s">
        <v>38</v>
      </c>
      <c r="J53" s="1"/>
      <c r="K53" s="1">
        <v>151</v>
      </c>
      <c r="L53" s="1">
        <f t="shared" si="14"/>
        <v>9</v>
      </c>
      <c r="M53" s="1"/>
      <c r="N53" s="1"/>
      <c r="O53" s="1">
        <v>4.7999999999999554</v>
      </c>
      <c r="P53" s="17"/>
      <c r="Q53" s="1"/>
      <c r="R53" s="1"/>
      <c r="S53" s="1">
        <v>46.40000000000007</v>
      </c>
      <c r="T53" s="17"/>
      <c r="U53" s="1">
        <f t="shared" si="15"/>
        <v>32</v>
      </c>
      <c r="V53" s="5">
        <f>11*U53-S53-R53-Q53-O53-F53</f>
        <v>220.79999999999995</v>
      </c>
      <c r="W53" s="5">
        <f>V53+U53</f>
        <v>252.79999999999995</v>
      </c>
      <c r="X53" s="1">
        <f t="shared" si="7"/>
        <v>12</v>
      </c>
      <c r="Y53" s="1">
        <f t="shared" si="8"/>
        <v>4.1000000000000005</v>
      </c>
      <c r="Z53" s="1">
        <v>21.6</v>
      </c>
      <c r="AA53" s="1">
        <v>21.4</v>
      </c>
      <c r="AB53" s="1">
        <v>19.399999999999999</v>
      </c>
      <c r="AC53" s="1">
        <v>21</v>
      </c>
      <c r="AD53" s="1">
        <v>22</v>
      </c>
      <c r="AE53" s="1">
        <v>21.8</v>
      </c>
      <c r="AF53" s="1">
        <v>20.2</v>
      </c>
      <c r="AG53" s="1">
        <v>20.6</v>
      </c>
      <c r="AH53" s="1">
        <v>16.399999999999999</v>
      </c>
      <c r="AI53" s="1">
        <v>19.600000000000001</v>
      </c>
      <c r="AJ53" s="1"/>
      <c r="AK53" s="1">
        <f t="shared" si="9"/>
        <v>114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94</v>
      </c>
      <c r="B54" s="1" t="s">
        <v>42</v>
      </c>
      <c r="C54" s="1">
        <v>491</v>
      </c>
      <c r="D54" s="1">
        <v>141</v>
      </c>
      <c r="E54" s="1">
        <v>208</v>
      </c>
      <c r="F54" s="1">
        <v>251</v>
      </c>
      <c r="G54" s="7">
        <v>0.45</v>
      </c>
      <c r="H54" s="1">
        <v>50</v>
      </c>
      <c r="I54" s="1" t="s">
        <v>38</v>
      </c>
      <c r="J54" s="1"/>
      <c r="K54" s="1">
        <v>202</v>
      </c>
      <c r="L54" s="1">
        <f t="shared" si="14"/>
        <v>6</v>
      </c>
      <c r="M54" s="1"/>
      <c r="N54" s="1"/>
      <c r="O54" s="1">
        <v>0</v>
      </c>
      <c r="P54" s="17"/>
      <c r="Q54" s="1"/>
      <c r="R54" s="1"/>
      <c r="S54" s="1">
        <v>0</v>
      </c>
      <c r="T54" s="17"/>
      <c r="U54" s="1">
        <f t="shared" si="15"/>
        <v>41.6</v>
      </c>
      <c r="V54" s="5">
        <f>11*U54-S54-R54-Q54-O54-F54</f>
        <v>206.60000000000002</v>
      </c>
      <c r="W54" s="5">
        <f>V54+U54</f>
        <v>248.20000000000002</v>
      </c>
      <c r="X54" s="1">
        <f t="shared" si="7"/>
        <v>12</v>
      </c>
      <c r="Y54" s="1">
        <f t="shared" si="8"/>
        <v>6.0336538461538458</v>
      </c>
      <c r="Z54" s="1">
        <v>24.2</v>
      </c>
      <c r="AA54" s="1">
        <v>21.6</v>
      </c>
      <c r="AB54" s="1">
        <v>16</v>
      </c>
      <c r="AC54" s="1">
        <v>26</v>
      </c>
      <c r="AD54" s="1">
        <v>33</v>
      </c>
      <c r="AE54" s="1">
        <v>31.8</v>
      </c>
      <c r="AF54" s="1">
        <v>48.2</v>
      </c>
      <c r="AG54" s="1">
        <v>45.8</v>
      </c>
      <c r="AH54" s="1">
        <v>21.2</v>
      </c>
      <c r="AI54" s="1">
        <v>24</v>
      </c>
      <c r="AJ54" s="1"/>
      <c r="AK54" s="1">
        <f t="shared" si="9"/>
        <v>112</v>
      </c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95</v>
      </c>
      <c r="B55" s="1" t="s">
        <v>42</v>
      </c>
      <c r="C55" s="1">
        <v>-6</v>
      </c>
      <c r="D55" s="1">
        <v>150</v>
      </c>
      <c r="E55" s="1">
        <v>3</v>
      </c>
      <c r="F55" s="1">
        <v>48</v>
      </c>
      <c r="G55" s="7">
        <v>0.4</v>
      </c>
      <c r="H55" s="1">
        <v>40</v>
      </c>
      <c r="I55" s="9" t="s">
        <v>49</v>
      </c>
      <c r="J55" s="1"/>
      <c r="K55" s="1">
        <v>5</v>
      </c>
      <c r="L55" s="1">
        <f t="shared" si="14"/>
        <v>-2</v>
      </c>
      <c r="M55" s="1"/>
      <c r="N55" s="1"/>
      <c r="O55" s="1">
        <v>50</v>
      </c>
      <c r="P55" s="17"/>
      <c r="Q55" s="1"/>
      <c r="R55" s="1"/>
      <c r="S55" s="1">
        <v>50</v>
      </c>
      <c r="T55" s="17"/>
      <c r="U55" s="1">
        <f t="shared" si="15"/>
        <v>0.6</v>
      </c>
      <c r="V55" s="5"/>
      <c r="W55" s="5">
        <f t="shared" si="10"/>
        <v>0</v>
      </c>
      <c r="X55" s="1">
        <f t="shared" si="7"/>
        <v>246.66666666666669</v>
      </c>
      <c r="Y55" s="1">
        <f t="shared" si="8"/>
        <v>246.66666666666669</v>
      </c>
      <c r="Z55" s="1">
        <v>0.6</v>
      </c>
      <c r="AA55" s="1">
        <v>0</v>
      </c>
      <c r="AB55" s="1">
        <v>0.6</v>
      </c>
      <c r="AC55" s="1">
        <v>0.4</v>
      </c>
      <c r="AD55" s="1">
        <v>0.4</v>
      </c>
      <c r="AE55" s="1">
        <v>5.2</v>
      </c>
      <c r="AF55" s="1">
        <v>32</v>
      </c>
      <c r="AG55" s="1">
        <v>37.200000000000003</v>
      </c>
      <c r="AH55" s="1">
        <v>17</v>
      </c>
      <c r="AI55" s="1">
        <v>23.2</v>
      </c>
      <c r="AJ55" s="1"/>
      <c r="AK55" s="1">
        <f t="shared" si="9"/>
        <v>0</v>
      </c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96</v>
      </c>
      <c r="B56" s="1" t="s">
        <v>42</v>
      </c>
      <c r="C56" s="1">
        <v>24</v>
      </c>
      <c r="D56" s="1">
        <v>163</v>
      </c>
      <c r="E56" s="1">
        <v>67</v>
      </c>
      <c r="F56" s="1">
        <v>27</v>
      </c>
      <c r="G56" s="7">
        <v>0.4</v>
      </c>
      <c r="H56" s="1">
        <v>40</v>
      </c>
      <c r="I56" s="9" t="s">
        <v>49</v>
      </c>
      <c r="J56" s="1"/>
      <c r="K56" s="1">
        <v>88</v>
      </c>
      <c r="L56" s="1">
        <f t="shared" si="14"/>
        <v>-21</v>
      </c>
      <c r="M56" s="1"/>
      <c r="N56" s="1"/>
      <c r="O56" s="1">
        <v>120</v>
      </c>
      <c r="P56" s="17"/>
      <c r="Q56" s="1"/>
      <c r="R56" s="1"/>
      <c r="S56" s="1">
        <v>50.600000000000023</v>
      </c>
      <c r="T56" s="17"/>
      <c r="U56" s="1">
        <f t="shared" si="15"/>
        <v>13.4</v>
      </c>
      <c r="V56" s="5">
        <v>20</v>
      </c>
      <c r="W56" s="5">
        <f t="shared" si="10"/>
        <v>20</v>
      </c>
      <c r="X56" s="1">
        <f t="shared" si="7"/>
        <v>16.238805970149254</v>
      </c>
      <c r="Y56" s="1">
        <f t="shared" si="8"/>
        <v>14.746268656716419</v>
      </c>
      <c r="Z56" s="1">
        <v>20.6</v>
      </c>
      <c r="AA56" s="1">
        <v>22.6</v>
      </c>
      <c r="AB56" s="1">
        <v>16</v>
      </c>
      <c r="AC56" s="1">
        <v>9.1999999999999993</v>
      </c>
      <c r="AD56" s="1">
        <v>11.2</v>
      </c>
      <c r="AE56" s="1">
        <v>18.600000000000001</v>
      </c>
      <c r="AF56" s="1">
        <v>35.200000000000003</v>
      </c>
      <c r="AG56" s="1">
        <v>32</v>
      </c>
      <c r="AH56" s="1">
        <v>12.8</v>
      </c>
      <c r="AI56" s="1">
        <v>20.8</v>
      </c>
      <c r="AJ56" s="1"/>
      <c r="AK56" s="1">
        <f t="shared" si="9"/>
        <v>8</v>
      </c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97</v>
      </c>
      <c r="B57" s="1" t="s">
        <v>37</v>
      </c>
      <c r="C57" s="1">
        <v>321.60000000000002</v>
      </c>
      <c r="D57" s="1">
        <v>79.287000000000006</v>
      </c>
      <c r="E57" s="1">
        <v>75.72</v>
      </c>
      <c r="F57" s="1">
        <v>227.43</v>
      </c>
      <c r="G57" s="7">
        <v>1</v>
      </c>
      <c r="H57" s="1">
        <v>50</v>
      </c>
      <c r="I57" s="1" t="s">
        <v>38</v>
      </c>
      <c r="J57" s="1"/>
      <c r="K57" s="1">
        <v>65.900000000000006</v>
      </c>
      <c r="L57" s="1">
        <f t="shared" si="14"/>
        <v>9.8199999999999932</v>
      </c>
      <c r="M57" s="1"/>
      <c r="N57" s="1"/>
      <c r="O57" s="1">
        <v>0</v>
      </c>
      <c r="P57" s="17"/>
      <c r="Q57" s="1"/>
      <c r="R57" s="1"/>
      <c r="S57" s="1">
        <v>0</v>
      </c>
      <c r="T57" s="17"/>
      <c r="U57" s="1">
        <f t="shared" si="15"/>
        <v>15.144</v>
      </c>
      <c r="V57" s="5"/>
      <c r="W57" s="5">
        <f t="shared" si="10"/>
        <v>0</v>
      </c>
      <c r="X57" s="1">
        <f t="shared" si="7"/>
        <v>15.01782884310618</v>
      </c>
      <c r="Y57" s="1">
        <f t="shared" si="8"/>
        <v>15.01782884310618</v>
      </c>
      <c r="Z57" s="1">
        <v>11.5428</v>
      </c>
      <c r="AA57" s="1">
        <v>14.5372</v>
      </c>
      <c r="AB57" s="1">
        <v>14.926600000000001</v>
      </c>
      <c r="AC57" s="1">
        <v>10.1182</v>
      </c>
      <c r="AD57" s="1">
        <v>9.234</v>
      </c>
      <c r="AE57" s="1">
        <v>17.479399999999998</v>
      </c>
      <c r="AF57" s="1">
        <v>25.413399999999999</v>
      </c>
      <c r="AG57" s="1">
        <v>15.8782</v>
      </c>
      <c r="AH57" s="1">
        <v>12.8612</v>
      </c>
      <c r="AI57" s="1">
        <v>18.917200000000001</v>
      </c>
      <c r="AJ57" s="14" t="s">
        <v>98</v>
      </c>
      <c r="AK57" s="1">
        <f t="shared" si="9"/>
        <v>0</v>
      </c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99</v>
      </c>
      <c r="B58" s="1" t="s">
        <v>42</v>
      </c>
      <c r="C58" s="1">
        <v>337</v>
      </c>
      <c r="D58" s="1">
        <v>1005</v>
      </c>
      <c r="E58" s="13">
        <f>343+E133</f>
        <v>508</v>
      </c>
      <c r="F58" s="13">
        <f>616+F133</f>
        <v>771</v>
      </c>
      <c r="G58" s="7">
        <v>0.1</v>
      </c>
      <c r="H58" s="1">
        <v>731</v>
      </c>
      <c r="I58" s="1" t="s">
        <v>38</v>
      </c>
      <c r="J58" s="1"/>
      <c r="K58" s="1">
        <v>329</v>
      </c>
      <c r="L58" s="1">
        <f t="shared" si="14"/>
        <v>179</v>
      </c>
      <c r="M58" s="1"/>
      <c r="N58" s="1"/>
      <c r="O58" s="1">
        <v>300</v>
      </c>
      <c r="P58" s="17"/>
      <c r="Q58" s="1"/>
      <c r="R58" s="1">
        <v>300</v>
      </c>
      <c r="S58" s="1">
        <v>0</v>
      </c>
      <c r="T58" s="17"/>
      <c r="U58" s="1">
        <f t="shared" si="15"/>
        <v>101.6</v>
      </c>
      <c r="V58" s="5"/>
      <c r="W58" s="5">
        <f t="shared" si="10"/>
        <v>0</v>
      </c>
      <c r="X58" s="1">
        <f t="shared" si="7"/>
        <v>13.494094488188978</v>
      </c>
      <c r="Y58" s="1">
        <f t="shared" si="8"/>
        <v>13.494094488188978</v>
      </c>
      <c r="Z58" s="1">
        <v>110.4</v>
      </c>
      <c r="AA58" s="1">
        <v>119.2</v>
      </c>
      <c r="AB58" s="1">
        <v>95.4</v>
      </c>
      <c r="AC58" s="1">
        <v>58.6</v>
      </c>
      <c r="AD58" s="1">
        <v>45.4</v>
      </c>
      <c r="AE58" s="1">
        <v>50</v>
      </c>
      <c r="AF58" s="1">
        <v>44.8</v>
      </c>
      <c r="AG58" s="1">
        <v>32.4</v>
      </c>
      <c r="AH58" s="1">
        <v>36.799999999999997</v>
      </c>
      <c r="AI58" s="1">
        <v>25.6</v>
      </c>
      <c r="AJ58" s="1" t="s">
        <v>81</v>
      </c>
      <c r="AK58" s="1">
        <f t="shared" si="9"/>
        <v>0</v>
      </c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100</v>
      </c>
      <c r="B59" s="1" t="s">
        <v>37</v>
      </c>
      <c r="C59" s="1">
        <v>190.28899999999999</v>
      </c>
      <c r="D59" s="1">
        <v>45.268000000000001</v>
      </c>
      <c r="E59" s="1">
        <v>117.946</v>
      </c>
      <c r="F59" s="1">
        <v>40.039000000000001</v>
      </c>
      <c r="G59" s="7">
        <v>1</v>
      </c>
      <c r="H59" s="1">
        <v>50</v>
      </c>
      <c r="I59" s="1" t="s">
        <v>38</v>
      </c>
      <c r="J59" s="1"/>
      <c r="K59" s="1">
        <v>104.6</v>
      </c>
      <c r="L59" s="1">
        <f t="shared" si="14"/>
        <v>13.346000000000004</v>
      </c>
      <c r="M59" s="1"/>
      <c r="N59" s="1"/>
      <c r="O59" s="1">
        <v>100</v>
      </c>
      <c r="P59" s="17"/>
      <c r="Q59" s="1"/>
      <c r="R59" s="1">
        <v>80</v>
      </c>
      <c r="S59" s="1">
        <v>0</v>
      </c>
      <c r="T59" s="17"/>
      <c r="U59" s="1">
        <f t="shared" si="15"/>
        <v>23.589199999999998</v>
      </c>
      <c r="V59" s="5">
        <f t="shared" si="16"/>
        <v>63.031399999999948</v>
      </c>
      <c r="W59" s="5">
        <f t="shared" si="10"/>
        <v>63.031399999999948</v>
      </c>
      <c r="X59" s="1">
        <f t="shared" si="7"/>
        <v>11.999999999999998</v>
      </c>
      <c r="Y59" s="1">
        <f t="shared" si="8"/>
        <v>9.3279551659233881</v>
      </c>
      <c r="Z59" s="1">
        <v>20.336200000000002</v>
      </c>
      <c r="AA59" s="1">
        <v>22.462199999999999</v>
      </c>
      <c r="AB59" s="1">
        <v>19.364799999999999</v>
      </c>
      <c r="AC59" s="1">
        <v>7.6135999999999999</v>
      </c>
      <c r="AD59" s="1">
        <v>7.0691999999999986</v>
      </c>
      <c r="AE59" s="1">
        <v>16.045000000000002</v>
      </c>
      <c r="AF59" s="1">
        <v>15.5054</v>
      </c>
      <c r="AG59" s="1">
        <v>10.170400000000001</v>
      </c>
      <c r="AH59" s="1">
        <v>14.961</v>
      </c>
      <c r="AI59" s="1">
        <v>15.6616</v>
      </c>
      <c r="AJ59" s="1" t="s">
        <v>81</v>
      </c>
      <c r="AK59" s="1">
        <f t="shared" si="9"/>
        <v>63</v>
      </c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101</v>
      </c>
      <c r="B60" s="1" t="s">
        <v>37</v>
      </c>
      <c r="C60" s="1">
        <v>80.203000000000003</v>
      </c>
      <c r="D60" s="1">
        <v>21.911999999999999</v>
      </c>
      <c r="E60" s="1">
        <v>43.72</v>
      </c>
      <c r="F60" s="1">
        <v>27.556000000000001</v>
      </c>
      <c r="G60" s="7">
        <v>1</v>
      </c>
      <c r="H60" s="1">
        <v>55</v>
      </c>
      <c r="I60" s="1" t="s">
        <v>38</v>
      </c>
      <c r="J60" s="1"/>
      <c r="K60" s="1">
        <v>40.85</v>
      </c>
      <c r="L60" s="1">
        <f t="shared" si="14"/>
        <v>2.8699999999999974</v>
      </c>
      <c r="M60" s="1"/>
      <c r="N60" s="1"/>
      <c r="O60" s="1">
        <v>0</v>
      </c>
      <c r="P60" s="17"/>
      <c r="Q60" s="1"/>
      <c r="R60" s="1"/>
      <c r="S60" s="1">
        <v>27.818999999999999</v>
      </c>
      <c r="T60" s="17"/>
      <c r="U60" s="1">
        <f t="shared" si="15"/>
        <v>8.7439999999999998</v>
      </c>
      <c r="V60" s="5">
        <f t="shared" si="16"/>
        <v>49.552999999999997</v>
      </c>
      <c r="W60" s="5">
        <f t="shared" si="10"/>
        <v>49.552999999999997</v>
      </c>
      <c r="X60" s="1">
        <f t="shared" si="7"/>
        <v>12</v>
      </c>
      <c r="Y60" s="1">
        <f t="shared" si="8"/>
        <v>6.3329139981701736</v>
      </c>
      <c r="Z60" s="1">
        <v>8.1340000000000003</v>
      </c>
      <c r="AA60" s="1">
        <v>6.6686000000000014</v>
      </c>
      <c r="AB60" s="1">
        <v>3.7136</v>
      </c>
      <c r="AC60" s="1">
        <v>4.3811999999999998</v>
      </c>
      <c r="AD60" s="1">
        <v>5.7595999999999998</v>
      </c>
      <c r="AE60" s="1">
        <v>8.5346000000000011</v>
      </c>
      <c r="AF60" s="1">
        <v>7.9825999999999997</v>
      </c>
      <c r="AG60" s="1">
        <v>2.7427999999999999</v>
      </c>
      <c r="AH60" s="1">
        <v>6.0340000000000007</v>
      </c>
      <c r="AI60" s="1">
        <v>6.3116000000000003</v>
      </c>
      <c r="AJ60" s="1"/>
      <c r="AK60" s="1">
        <f t="shared" si="9"/>
        <v>50</v>
      </c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102</v>
      </c>
      <c r="B61" s="1" t="s">
        <v>42</v>
      </c>
      <c r="C61" s="1">
        <v>780</v>
      </c>
      <c r="D61" s="1">
        <v>347</v>
      </c>
      <c r="E61" s="1">
        <v>362</v>
      </c>
      <c r="F61" s="1">
        <v>543</v>
      </c>
      <c r="G61" s="7">
        <v>0.1</v>
      </c>
      <c r="H61" s="1">
        <v>731</v>
      </c>
      <c r="I61" s="1" t="s">
        <v>38</v>
      </c>
      <c r="J61" s="1"/>
      <c r="K61" s="1">
        <v>358</v>
      </c>
      <c r="L61" s="1">
        <f t="shared" si="14"/>
        <v>4</v>
      </c>
      <c r="M61" s="1"/>
      <c r="N61" s="1"/>
      <c r="O61" s="1">
        <v>300</v>
      </c>
      <c r="P61" s="17"/>
      <c r="Q61" s="1"/>
      <c r="R61" s="1">
        <v>200</v>
      </c>
      <c r="S61" s="1">
        <v>0</v>
      </c>
      <c r="T61" s="17"/>
      <c r="U61" s="1">
        <f t="shared" si="15"/>
        <v>72.400000000000006</v>
      </c>
      <c r="V61" s="5"/>
      <c r="W61" s="5">
        <f t="shared" si="10"/>
        <v>0</v>
      </c>
      <c r="X61" s="1">
        <f t="shared" si="7"/>
        <v>14.406077348066297</v>
      </c>
      <c r="Y61" s="1">
        <f t="shared" si="8"/>
        <v>14.406077348066297</v>
      </c>
      <c r="Z61" s="1">
        <v>69.2</v>
      </c>
      <c r="AA61" s="1">
        <v>86.8</v>
      </c>
      <c r="AB61" s="1">
        <v>72.8</v>
      </c>
      <c r="AC61" s="1">
        <v>27.2</v>
      </c>
      <c r="AD61" s="1">
        <v>7</v>
      </c>
      <c r="AE61" s="1">
        <v>29</v>
      </c>
      <c r="AF61" s="1">
        <v>73.2</v>
      </c>
      <c r="AG61" s="1">
        <v>64.2</v>
      </c>
      <c r="AH61" s="1">
        <v>32.799999999999997</v>
      </c>
      <c r="AI61" s="1">
        <v>32.6</v>
      </c>
      <c r="AJ61" s="16" t="s">
        <v>81</v>
      </c>
      <c r="AK61" s="1">
        <f t="shared" si="9"/>
        <v>0</v>
      </c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103</v>
      </c>
      <c r="B62" s="1" t="s">
        <v>42</v>
      </c>
      <c r="C62" s="1">
        <v>35</v>
      </c>
      <c r="D62" s="1">
        <v>38</v>
      </c>
      <c r="E62" s="1">
        <v>23</v>
      </c>
      <c r="F62" s="1">
        <v>34</v>
      </c>
      <c r="G62" s="7">
        <v>0.4</v>
      </c>
      <c r="H62" s="1">
        <v>50</v>
      </c>
      <c r="I62" s="1" t="s">
        <v>38</v>
      </c>
      <c r="J62" s="1"/>
      <c r="K62" s="1">
        <v>23</v>
      </c>
      <c r="L62" s="1">
        <f t="shared" si="14"/>
        <v>0</v>
      </c>
      <c r="M62" s="1"/>
      <c r="N62" s="1"/>
      <c r="O62" s="1">
        <v>28.199999999999989</v>
      </c>
      <c r="P62" s="17"/>
      <c r="Q62" s="1"/>
      <c r="R62" s="1"/>
      <c r="S62" s="1">
        <v>0</v>
      </c>
      <c r="T62" s="17"/>
      <c r="U62" s="1">
        <f t="shared" si="15"/>
        <v>4.5999999999999996</v>
      </c>
      <c r="V62" s="5"/>
      <c r="W62" s="5">
        <f t="shared" si="10"/>
        <v>0</v>
      </c>
      <c r="X62" s="1">
        <f t="shared" si="7"/>
        <v>13.521739130434781</v>
      </c>
      <c r="Y62" s="1">
        <f t="shared" si="8"/>
        <v>13.521739130434781</v>
      </c>
      <c r="Z62" s="1">
        <v>6</v>
      </c>
      <c r="AA62" s="1">
        <v>7.6</v>
      </c>
      <c r="AB62" s="1">
        <v>7</v>
      </c>
      <c r="AC62" s="1">
        <v>4.4000000000000004</v>
      </c>
      <c r="AD62" s="1">
        <v>3.6</v>
      </c>
      <c r="AE62" s="1">
        <v>7.6</v>
      </c>
      <c r="AF62" s="1">
        <v>8.8000000000000007</v>
      </c>
      <c r="AG62" s="1">
        <v>4</v>
      </c>
      <c r="AH62" s="1">
        <v>4</v>
      </c>
      <c r="AI62" s="1">
        <v>3.6</v>
      </c>
      <c r="AJ62" s="1"/>
      <c r="AK62" s="1">
        <f t="shared" si="9"/>
        <v>0</v>
      </c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104</v>
      </c>
      <c r="B63" s="1" t="s">
        <v>37</v>
      </c>
      <c r="C63" s="1">
        <v>1.796</v>
      </c>
      <c r="D63" s="1">
        <v>290.851</v>
      </c>
      <c r="E63" s="1">
        <v>58.798000000000002</v>
      </c>
      <c r="F63" s="1">
        <v>149.386</v>
      </c>
      <c r="G63" s="7">
        <v>1</v>
      </c>
      <c r="H63" s="1">
        <v>40</v>
      </c>
      <c r="I63" s="9" t="s">
        <v>49</v>
      </c>
      <c r="J63" s="1"/>
      <c r="K63" s="1">
        <v>59.7</v>
      </c>
      <c r="L63" s="1">
        <f t="shared" si="14"/>
        <v>-0.90200000000000102</v>
      </c>
      <c r="M63" s="1"/>
      <c r="N63" s="1"/>
      <c r="O63" s="1">
        <v>20</v>
      </c>
      <c r="P63" s="17"/>
      <c r="Q63" s="1"/>
      <c r="R63" s="1"/>
      <c r="S63" s="1">
        <v>100</v>
      </c>
      <c r="T63" s="17"/>
      <c r="U63" s="1">
        <f t="shared" si="15"/>
        <v>11.759600000000001</v>
      </c>
      <c r="V63" s="5"/>
      <c r="W63" s="5">
        <f t="shared" si="10"/>
        <v>0</v>
      </c>
      <c r="X63" s="1">
        <f t="shared" si="7"/>
        <v>22.907751964352524</v>
      </c>
      <c r="Y63" s="1">
        <f t="shared" si="8"/>
        <v>22.907751964352524</v>
      </c>
      <c r="Z63" s="1">
        <v>9.4784000000000006</v>
      </c>
      <c r="AA63" s="1">
        <v>14.47</v>
      </c>
      <c r="AB63" s="1">
        <v>20.325600000000001</v>
      </c>
      <c r="AC63" s="1">
        <v>13.4848</v>
      </c>
      <c r="AD63" s="1">
        <v>5.4063999999999997</v>
      </c>
      <c r="AE63" s="1">
        <v>11.4124</v>
      </c>
      <c r="AF63" s="1">
        <v>15.1564</v>
      </c>
      <c r="AG63" s="1">
        <v>9.6504000000000012</v>
      </c>
      <c r="AH63" s="1">
        <v>0</v>
      </c>
      <c r="AI63" s="1">
        <v>13.583600000000001</v>
      </c>
      <c r="AJ63" s="1"/>
      <c r="AK63" s="1">
        <f t="shared" si="9"/>
        <v>0</v>
      </c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105</v>
      </c>
      <c r="B64" s="1" t="s">
        <v>37</v>
      </c>
      <c r="C64" s="1">
        <v>44.587000000000003</v>
      </c>
      <c r="D64" s="1">
        <v>426.81200000000001</v>
      </c>
      <c r="E64" s="1">
        <v>45.463999999999999</v>
      </c>
      <c r="F64" s="1">
        <v>317.745</v>
      </c>
      <c r="G64" s="7">
        <v>1</v>
      </c>
      <c r="H64" s="1">
        <v>40</v>
      </c>
      <c r="I64" s="9" t="s">
        <v>49</v>
      </c>
      <c r="J64" s="1"/>
      <c r="K64" s="1">
        <v>84.55</v>
      </c>
      <c r="L64" s="1">
        <f t="shared" si="14"/>
        <v>-39.085999999999999</v>
      </c>
      <c r="M64" s="1"/>
      <c r="N64" s="1"/>
      <c r="O64" s="1">
        <v>240.19900000000001</v>
      </c>
      <c r="P64" s="17"/>
      <c r="Q64" s="1"/>
      <c r="R64" s="1"/>
      <c r="S64" s="1">
        <v>50</v>
      </c>
      <c r="T64" s="17"/>
      <c r="U64" s="1">
        <f t="shared" si="15"/>
        <v>9.0928000000000004</v>
      </c>
      <c r="V64" s="5"/>
      <c r="W64" s="5">
        <f t="shared" si="10"/>
        <v>0</v>
      </c>
      <c r="X64" s="1">
        <f t="shared" si="7"/>
        <v>66.859933133908143</v>
      </c>
      <c r="Y64" s="1">
        <f t="shared" si="8"/>
        <v>66.859933133908143</v>
      </c>
      <c r="Z64" s="1">
        <v>26.732800000000001</v>
      </c>
      <c r="AA64" s="1">
        <v>50.743400000000001</v>
      </c>
      <c r="AB64" s="1">
        <v>44.511800000000001</v>
      </c>
      <c r="AC64" s="1">
        <v>13.555400000000001</v>
      </c>
      <c r="AD64" s="1">
        <v>7.0035999999999996</v>
      </c>
      <c r="AE64" s="1">
        <v>20.619199999999999</v>
      </c>
      <c r="AF64" s="1">
        <v>34.844000000000001</v>
      </c>
      <c r="AG64" s="1">
        <v>21.790600000000001</v>
      </c>
      <c r="AH64" s="1">
        <v>3.8224</v>
      </c>
      <c r="AI64" s="1">
        <v>16.229199999999999</v>
      </c>
      <c r="AJ64" s="1"/>
      <c r="AK64" s="1">
        <f t="shared" si="9"/>
        <v>0</v>
      </c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106</v>
      </c>
      <c r="B65" s="1" t="s">
        <v>42</v>
      </c>
      <c r="C65" s="1">
        <v>323</v>
      </c>
      <c r="D65" s="1">
        <v>387</v>
      </c>
      <c r="E65" s="1">
        <v>252</v>
      </c>
      <c r="F65" s="1">
        <v>296</v>
      </c>
      <c r="G65" s="7">
        <v>0.4</v>
      </c>
      <c r="H65" s="1">
        <v>40</v>
      </c>
      <c r="I65" s="9" t="s">
        <v>49</v>
      </c>
      <c r="J65" s="1"/>
      <c r="K65" s="1">
        <v>705</v>
      </c>
      <c r="L65" s="1">
        <f t="shared" si="14"/>
        <v>-453</v>
      </c>
      <c r="M65" s="1"/>
      <c r="N65" s="1"/>
      <c r="O65" s="1">
        <v>250</v>
      </c>
      <c r="P65" s="17"/>
      <c r="Q65" s="1"/>
      <c r="R65" s="1"/>
      <c r="S65" s="1">
        <v>0</v>
      </c>
      <c r="T65" s="17"/>
      <c r="U65" s="1">
        <f t="shared" si="15"/>
        <v>50.4</v>
      </c>
      <c r="V65" s="5">
        <v>300</v>
      </c>
      <c r="W65" s="5">
        <f t="shared" si="10"/>
        <v>300</v>
      </c>
      <c r="X65" s="1">
        <f t="shared" si="7"/>
        <v>16.785714285714285</v>
      </c>
      <c r="Y65" s="1">
        <f t="shared" si="8"/>
        <v>10.833333333333334</v>
      </c>
      <c r="Z65" s="1">
        <v>19.2</v>
      </c>
      <c r="AA65" s="1">
        <v>0</v>
      </c>
      <c r="AB65" s="1">
        <v>46.2</v>
      </c>
      <c r="AC65" s="1">
        <v>50.4</v>
      </c>
      <c r="AD65" s="1">
        <v>4</v>
      </c>
      <c r="AE65" s="1">
        <v>2.4</v>
      </c>
      <c r="AF65" s="1">
        <v>49</v>
      </c>
      <c r="AG65" s="1">
        <v>58</v>
      </c>
      <c r="AH65" s="1">
        <v>10</v>
      </c>
      <c r="AI65" s="1">
        <v>24.8</v>
      </c>
      <c r="AJ65" s="1"/>
      <c r="AK65" s="1">
        <f t="shared" si="9"/>
        <v>120</v>
      </c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107</v>
      </c>
      <c r="B66" s="1" t="s">
        <v>42</v>
      </c>
      <c r="C66" s="1">
        <v>32</v>
      </c>
      <c r="D66" s="1">
        <v>768</v>
      </c>
      <c r="E66" s="1">
        <v>218</v>
      </c>
      <c r="F66" s="1">
        <v>322</v>
      </c>
      <c r="G66" s="7">
        <v>0.4</v>
      </c>
      <c r="H66" s="1">
        <v>40</v>
      </c>
      <c r="I66" s="1" t="s">
        <v>38</v>
      </c>
      <c r="J66" s="1"/>
      <c r="K66" s="1">
        <v>305</v>
      </c>
      <c r="L66" s="1">
        <f t="shared" si="14"/>
        <v>-87</v>
      </c>
      <c r="M66" s="1"/>
      <c r="N66" s="1"/>
      <c r="O66" s="1">
        <v>172.58879999999999</v>
      </c>
      <c r="P66" s="17"/>
      <c r="Q66" s="1"/>
      <c r="R66" s="1">
        <v>254.6112</v>
      </c>
      <c r="S66" s="1">
        <v>0</v>
      </c>
      <c r="T66" s="17"/>
      <c r="U66" s="1">
        <f t="shared" si="15"/>
        <v>43.6</v>
      </c>
      <c r="V66" s="5"/>
      <c r="W66" s="5">
        <f t="shared" si="10"/>
        <v>0</v>
      </c>
      <c r="X66" s="1">
        <f t="shared" si="7"/>
        <v>17.183486238532112</v>
      </c>
      <c r="Y66" s="1">
        <f t="shared" si="8"/>
        <v>17.183486238532112</v>
      </c>
      <c r="Z66" s="1">
        <v>59</v>
      </c>
      <c r="AA66" s="1">
        <v>88</v>
      </c>
      <c r="AB66" s="1">
        <v>78.8</v>
      </c>
      <c r="AC66" s="1">
        <v>41.4</v>
      </c>
      <c r="AD66" s="1">
        <v>17.2</v>
      </c>
      <c r="AE66" s="1">
        <v>65.599999999999994</v>
      </c>
      <c r="AF66" s="1">
        <v>94.4</v>
      </c>
      <c r="AG66" s="1">
        <v>46.4</v>
      </c>
      <c r="AH66" s="1">
        <v>4</v>
      </c>
      <c r="AI66" s="1">
        <v>-0.2</v>
      </c>
      <c r="AJ66" s="1"/>
      <c r="AK66" s="1">
        <f t="shared" si="9"/>
        <v>0</v>
      </c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108</v>
      </c>
      <c r="B67" s="1" t="s">
        <v>37</v>
      </c>
      <c r="C67" s="1">
        <v>-4.1779999999999999</v>
      </c>
      <c r="D67" s="1">
        <v>116.43600000000001</v>
      </c>
      <c r="E67" s="1">
        <v>63.136000000000003</v>
      </c>
      <c r="F67" s="1">
        <v>-8.5999999999999993E-2</v>
      </c>
      <c r="G67" s="7">
        <v>1</v>
      </c>
      <c r="H67" s="1">
        <v>40</v>
      </c>
      <c r="I67" s="9" t="s">
        <v>49</v>
      </c>
      <c r="J67" s="1"/>
      <c r="K67" s="1">
        <v>80.8</v>
      </c>
      <c r="L67" s="1">
        <f t="shared" si="14"/>
        <v>-17.663999999999994</v>
      </c>
      <c r="M67" s="1"/>
      <c r="N67" s="1"/>
      <c r="O67" s="1">
        <v>0</v>
      </c>
      <c r="P67" s="17"/>
      <c r="Q67" s="1"/>
      <c r="R67" s="1"/>
      <c r="S67" s="1">
        <v>70</v>
      </c>
      <c r="T67" s="17"/>
      <c r="U67" s="1">
        <f t="shared" si="15"/>
        <v>12.6272</v>
      </c>
      <c r="V67" s="5">
        <v>100</v>
      </c>
      <c r="W67" s="5">
        <f t="shared" si="10"/>
        <v>100</v>
      </c>
      <c r="X67" s="1">
        <f t="shared" si="7"/>
        <v>13.45618981246832</v>
      </c>
      <c r="Y67" s="1">
        <f t="shared" si="8"/>
        <v>5.5367777496198682</v>
      </c>
      <c r="Z67" s="1">
        <v>2.1669999999999998</v>
      </c>
      <c r="AA67" s="1">
        <v>9.2682000000000002</v>
      </c>
      <c r="AB67" s="1">
        <v>13.442399999999999</v>
      </c>
      <c r="AC67" s="1">
        <v>3.0853999999999999</v>
      </c>
      <c r="AD67" s="1">
        <v>12.965400000000001</v>
      </c>
      <c r="AE67" s="1">
        <v>26.226199999999999</v>
      </c>
      <c r="AF67" s="1">
        <v>32.113799999999998</v>
      </c>
      <c r="AG67" s="1">
        <v>30.863199999999999</v>
      </c>
      <c r="AH67" s="1">
        <v>28.920999999999999</v>
      </c>
      <c r="AI67" s="1">
        <v>27.451000000000001</v>
      </c>
      <c r="AJ67" s="1"/>
      <c r="AK67" s="1">
        <f t="shared" si="9"/>
        <v>100</v>
      </c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109</v>
      </c>
      <c r="B68" s="1" t="s">
        <v>37</v>
      </c>
      <c r="C68" s="1">
        <v>-0.71</v>
      </c>
      <c r="D68" s="1">
        <v>70.284999999999997</v>
      </c>
      <c r="E68" s="1">
        <v>-0.90200000000000002</v>
      </c>
      <c r="F68" s="1"/>
      <c r="G68" s="7">
        <v>1</v>
      </c>
      <c r="H68" s="1">
        <v>40</v>
      </c>
      <c r="I68" s="9" t="s">
        <v>49</v>
      </c>
      <c r="J68" s="1"/>
      <c r="K68" s="1">
        <v>1.6</v>
      </c>
      <c r="L68" s="1">
        <f t="shared" si="14"/>
        <v>-2.5020000000000002</v>
      </c>
      <c r="M68" s="1"/>
      <c r="N68" s="1"/>
      <c r="O68" s="1">
        <v>50</v>
      </c>
      <c r="P68" s="17"/>
      <c r="Q68" s="1">
        <v>-54</v>
      </c>
      <c r="R68" s="1"/>
      <c r="S68" s="1">
        <v>100</v>
      </c>
      <c r="T68" s="17"/>
      <c r="U68" s="1">
        <f t="shared" si="15"/>
        <v>-0.1804</v>
      </c>
      <c r="V68" s="5">
        <v>50</v>
      </c>
      <c r="W68" s="5">
        <f t="shared" si="10"/>
        <v>50</v>
      </c>
      <c r="X68" s="1">
        <f t="shared" si="7"/>
        <v>-809.31263858093121</v>
      </c>
      <c r="Y68" s="1">
        <f t="shared" si="8"/>
        <v>-532.15077605321505</v>
      </c>
      <c r="Z68" s="1">
        <v>0</v>
      </c>
      <c r="AA68" s="1">
        <v>9.9068000000000005</v>
      </c>
      <c r="AB68" s="1">
        <v>13.321</v>
      </c>
      <c r="AC68" s="1">
        <v>3.2414000000000001</v>
      </c>
      <c r="AD68" s="1">
        <v>-0.35539999999999999</v>
      </c>
      <c r="AE68" s="1">
        <v>0.54620000000000002</v>
      </c>
      <c r="AF68" s="1">
        <v>13.5738</v>
      </c>
      <c r="AG68" s="1">
        <v>26.236799999999999</v>
      </c>
      <c r="AH68" s="1">
        <v>30.546399999999998</v>
      </c>
      <c r="AI68" s="1">
        <v>28.173400000000001</v>
      </c>
      <c r="AJ68" s="1"/>
      <c r="AK68" s="1">
        <f t="shared" si="9"/>
        <v>50</v>
      </c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110</v>
      </c>
      <c r="B69" s="1" t="s">
        <v>37</v>
      </c>
      <c r="C69" s="1">
        <v>3.7759999999999998</v>
      </c>
      <c r="D69" s="1">
        <v>178.89500000000001</v>
      </c>
      <c r="E69" s="1">
        <v>-5.7370000000000001</v>
      </c>
      <c r="F69" s="1"/>
      <c r="G69" s="7">
        <v>1</v>
      </c>
      <c r="H69" s="1">
        <v>40</v>
      </c>
      <c r="I69" s="9" t="s">
        <v>49</v>
      </c>
      <c r="J69" s="1"/>
      <c r="K69" s="1">
        <v>10.3</v>
      </c>
      <c r="L69" s="1">
        <f t="shared" si="14"/>
        <v>-16.036999999999999</v>
      </c>
      <c r="M69" s="1"/>
      <c r="N69" s="1"/>
      <c r="O69" s="1">
        <v>80</v>
      </c>
      <c r="P69" s="17"/>
      <c r="Q69" s="1"/>
      <c r="R69" s="1"/>
      <c r="S69" s="1">
        <v>100</v>
      </c>
      <c r="T69" s="17"/>
      <c r="U69" s="1">
        <f t="shared" si="15"/>
        <v>-1.1474</v>
      </c>
      <c r="V69" s="5">
        <v>50</v>
      </c>
      <c r="W69" s="5">
        <f t="shared" si="10"/>
        <v>50</v>
      </c>
      <c r="X69" s="1">
        <f t="shared" si="7"/>
        <v>-200.45319853582012</v>
      </c>
      <c r="Y69" s="1">
        <f t="shared" si="8"/>
        <v>-156.87641624542445</v>
      </c>
      <c r="Z69" s="1">
        <v>-1.9256</v>
      </c>
      <c r="AA69" s="1">
        <v>12.2172</v>
      </c>
      <c r="AB69" s="1">
        <v>26.985199999999999</v>
      </c>
      <c r="AC69" s="1">
        <v>13.568199999999999</v>
      </c>
      <c r="AD69" s="1">
        <v>13.93</v>
      </c>
      <c r="AE69" s="1">
        <v>51.272399999999998</v>
      </c>
      <c r="AF69" s="1">
        <v>69.817999999999998</v>
      </c>
      <c r="AG69" s="1">
        <v>64.147799999999989</v>
      </c>
      <c r="AH69" s="1">
        <v>64.944199999999995</v>
      </c>
      <c r="AI69" s="1">
        <v>60.923400000000001</v>
      </c>
      <c r="AJ69" s="1"/>
      <c r="AK69" s="1">
        <f t="shared" si="9"/>
        <v>50</v>
      </c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111</v>
      </c>
      <c r="B70" s="1" t="s">
        <v>37</v>
      </c>
      <c r="C70" s="1">
        <v>5.5129999999999999</v>
      </c>
      <c r="D70" s="1">
        <v>202.84899999999999</v>
      </c>
      <c r="E70" s="1">
        <v>59.776000000000003</v>
      </c>
      <c r="F70" s="1">
        <v>-0.89700000000000002</v>
      </c>
      <c r="G70" s="7">
        <v>1</v>
      </c>
      <c r="H70" s="1">
        <v>40</v>
      </c>
      <c r="I70" s="9" t="s">
        <v>49</v>
      </c>
      <c r="J70" s="1"/>
      <c r="K70" s="1">
        <v>70.5</v>
      </c>
      <c r="L70" s="1">
        <f t="shared" ref="L70:L101" si="17">E70-K70</f>
        <v>-10.723999999999997</v>
      </c>
      <c r="M70" s="1"/>
      <c r="N70" s="1"/>
      <c r="O70" s="1">
        <v>20</v>
      </c>
      <c r="P70" s="17"/>
      <c r="Q70" s="1">
        <v>-21.6</v>
      </c>
      <c r="R70" s="1"/>
      <c r="S70" s="1">
        <v>40</v>
      </c>
      <c r="T70" s="17"/>
      <c r="U70" s="1">
        <f t="shared" ref="U70:U101" si="18">E70/5</f>
        <v>11.955200000000001</v>
      </c>
      <c r="V70" s="5">
        <v>50</v>
      </c>
      <c r="W70" s="5">
        <f t="shared" si="10"/>
        <v>50</v>
      </c>
      <c r="X70" s="1">
        <f t="shared" si="7"/>
        <v>7.3192418361884357</v>
      </c>
      <c r="Y70" s="1">
        <f t="shared" si="8"/>
        <v>3.1369613222698067</v>
      </c>
      <c r="Z70" s="1">
        <v>1.9862</v>
      </c>
      <c r="AA70" s="1">
        <v>-0.36220000000000002</v>
      </c>
      <c r="AB70" s="1">
        <v>13.0686</v>
      </c>
      <c r="AC70" s="1">
        <v>12.698600000000001</v>
      </c>
      <c r="AD70" s="1">
        <v>15.569800000000001</v>
      </c>
      <c r="AE70" s="1">
        <v>33.192999999999998</v>
      </c>
      <c r="AF70" s="1">
        <v>31.08</v>
      </c>
      <c r="AG70" s="1">
        <v>25.4434</v>
      </c>
      <c r="AH70" s="1">
        <v>23.120999999999999</v>
      </c>
      <c r="AI70" s="1">
        <v>23.457599999999999</v>
      </c>
      <c r="AJ70" s="1"/>
      <c r="AK70" s="1">
        <f t="shared" si="9"/>
        <v>50</v>
      </c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112</v>
      </c>
      <c r="B71" s="1" t="s">
        <v>42</v>
      </c>
      <c r="C71" s="1">
        <v>9</v>
      </c>
      <c r="D71" s="1">
        <v>34</v>
      </c>
      <c r="E71" s="1">
        <v>9</v>
      </c>
      <c r="F71" s="1">
        <v>18</v>
      </c>
      <c r="G71" s="7">
        <v>0.6</v>
      </c>
      <c r="H71" s="1">
        <v>70</v>
      </c>
      <c r="I71" s="1" t="s">
        <v>38</v>
      </c>
      <c r="J71" s="1"/>
      <c r="K71" s="1">
        <v>9</v>
      </c>
      <c r="L71" s="1">
        <f t="shared" si="17"/>
        <v>0</v>
      </c>
      <c r="M71" s="1"/>
      <c r="N71" s="1"/>
      <c r="O71" s="1">
        <v>30.2</v>
      </c>
      <c r="P71" s="17"/>
      <c r="Q71" s="1"/>
      <c r="R71" s="1"/>
      <c r="S71" s="1">
        <v>0</v>
      </c>
      <c r="T71" s="17"/>
      <c r="U71" s="1">
        <f t="shared" si="18"/>
        <v>1.8</v>
      </c>
      <c r="V71" s="5"/>
      <c r="W71" s="5">
        <f t="shared" ref="W71:W134" si="19">V71</f>
        <v>0</v>
      </c>
      <c r="X71" s="1">
        <f t="shared" ref="X71:X134" si="20">(F71+O71+P71+Q71+R71+S71+W71)/U71</f>
        <v>26.777777777777779</v>
      </c>
      <c r="Y71" s="1">
        <f t="shared" ref="Y71:Y134" si="21">(F71+O71+P71+Q71+R71+S71)/U71</f>
        <v>26.777777777777779</v>
      </c>
      <c r="Z71" s="1">
        <v>2.6</v>
      </c>
      <c r="AA71" s="1">
        <v>4.5999999999999996</v>
      </c>
      <c r="AB71" s="1">
        <v>3.8</v>
      </c>
      <c r="AC71" s="1">
        <v>0</v>
      </c>
      <c r="AD71" s="1">
        <v>0</v>
      </c>
      <c r="AE71" s="1">
        <v>2.2000000000000002</v>
      </c>
      <c r="AF71" s="1">
        <v>2.8</v>
      </c>
      <c r="AG71" s="1">
        <v>2.2000000000000002</v>
      </c>
      <c r="AH71" s="1">
        <v>1.6</v>
      </c>
      <c r="AI71" s="1">
        <v>1.6</v>
      </c>
      <c r="AJ71" s="1"/>
      <c r="AK71" s="1">
        <f t="shared" ref="AK71:AK134" si="22">ROUND(G71*W71,0)</f>
        <v>0</v>
      </c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113</v>
      </c>
      <c r="B72" s="1" t="s">
        <v>37</v>
      </c>
      <c r="C72" s="1">
        <v>128.11199999999999</v>
      </c>
      <c r="D72" s="1">
        <v>694.67</v>
      </c>
      <c r="E72" s="1">
        <v>84.849000000000004</v>
      </c>
      <c r="F72" s="1">
        <v>434.44</v>
      </c>
      <c r="G72" s="7">
        <v>1</v>
      </c>
      <c r="H72" s="1">
        <v>30</v>
      </c>
      <c r="I72" s="9" t="s">
        <v>49</v>
      </c>
      <c r="J72" s="1"/>
      <c r="K72" s="1">
        <v>193.66</v>
      </c>
      <c r="L72" s="1">
        <f t="shared" si="17"/>
        <v>-108.81099999999999</v>
      </c>
      <c r="M72" s="1"/>
      <c r="N72" s="1"/>
      <c r="O72" s="1">
        <v>500</v>
      </c>
      <c r="P72" s="17"/>
      <c r="Q72" s="1"/>
      <c r="R72" s="1">
        <v>200</v>
      </c>
      <c r="S72" s="1">
        <v>0</v>
      </c>
      <c r="T72" s="17"/>
      <c r="U72" s="1">
        <f t="shared" si="18"/>
        <v>16.969799999999999</v>
      </c>
      <c r="V72" s="5"/>
      <c r="W72" s="5">
        <f t="shared" si="19"/>
        <v>0</v>
      </c>
      <c r="X72" s="1">
        <f t="shared" si="20"/>
        <v>66.850522693255087</v>
      </c>
      <c r="Y72" s="1">
        <f t="shared" si="21"/>
        <v>66.850522693255087</v>
      </c>
      <c r="Z72" s="1">
        <v>56.541999999999987</v>
      </c>
      <c r="AA72" s="1">
        <v>106.08499999999999</v>
      </c>
      <c r="AB72" s="1">
        <v>87.413399999999996</v>
      </c>
      <c r="AC72" s="1">
        <v>25.441199999999998</v>
      </c>
      <c r="AD72" s="1">
        <v>47.512</v>
      </c>
      <c r="AE72" s="1">
        <v>93.200599999999994</v>
      </c>
      <c r="AF72" s="1">
        <v>88.773200000000003</v>
      </c>
      <c r="AG72" s="1">
        <v>43.605600000000003</v>
      </c>
      <c r="AH72" s="1">
        <v>12.5822</v>
      </c>
      <c r="AI72" s="1">
        <v>49.552399999999999</v>
      </c>
      <c r="AJ72" s="1"/>
      <c r="AK72" s="1">
        <f t="shared" si="22"/>
        <v>0</v>
      </c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0" t="s">
        <v>114</v>
      </c>
      <c r="B73" s="10" t="s">
        <v>42</v>
      </c>
      <c r="C73" s="10"/>
      <c r="D73" s="10"/>
      <c r="E73" s="10"/>
      <c r="F73" s="10"/>
      <c r="G73" s="11">
        <v>0</v>
      </c>
      <c r="H73" s="10"/>
      <c r="I73" s="10" t="s">
        <v>38</v>
      </c>
      <c r="J73" s="10"/>
      <c r="K73" s="10"/>
      <c r="L73" s="10">
        <f t="shared" si="17"/>
        <v>0</v>
      </c>
      <c r="M73" s="10"/>
      <c r="N73" s="10"/>
      <c r="O73" s="10">
        <v>0</v>
      </c>
      <c r="P73" s="20"/>
      <c r="Q73" s="10"/>
      <c r="R73" s="10"/>
      <c r="S73" s="10">
        <v>0</v>
      </c>
      <c r="T73" s="20"/>
      <c r="U73" s="10">
        <f t="shared" si="18"/>
        <v>0</v>
      </c>
      <c r="V73" s="12"/>
      <c r="W73" s="5">
        <f t="shared" si="19"/>
        <v>0</v>
      </c>
      <c r="X73" s="1" t="e">
        <f t="shared" si="20"/>
        <v>#DIV/0!</v>
      </c>
      <c r="Y73" s="1" t="e">
        <f t="shared" si="21"/>
        <v>#DIV/0!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 t="s">
        <v>47</v>
      </c>
      <c r="AK73" s="1">
        <f t="shared" si="22"/>
        <v>0</v>
      </c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115</v>
      </c>
      <c r="B74" s="1" t="s">
        <v>42</v>
      </c>
      <c r="C74" s="1">
        <v>255</v>
      </c>
      <c r="D74" s="1">
        <v>51</v>
      </c>
      <c r="E74" s="1">
        <v>62</v>
      </c>
      <c r="F74" s="1">
        <v>184</v>
      </c>
      <c r="G74" s="7">
        <v>0.6</v>
      </c>
      <c r="H74" s="1">
        <v>60</v>
      </c>
      <c r="I74" s="1" t="s">
        <v>38</v>
      </c>
      <c r="J74" s="1"/>
      <c r="K74" s="1">
        <v>58</v>
      </c>
      <c r="L74" s="1">
        <f t="shared" si="17"/>
        <v>4</v>
      </c>
      <c r="M74" s="1"/>
      <c r="N74" s="1"/>
      <c r="O74" s="1">
        <v>0</v>
      </c>
      <c r="P74" s="17"/>
      <c r="Q74" s="1"/>
      <c r="R74" s="1"/>
      <c r="S74" s="1">
        <v>0</v>
      </c>
      <c r="T74" s="17"/>
      <c r="U74" s="1">
        <f t="shared" si="18"/>
        <v>12.4</v>
      </c>
      <c r="V74" s="5"/>
      <c r="W74" s="5">
        <f t="shared" si="19"/>
        <v>0</v>
      </c>
      <c r="X74" s="1">
        <f t="shared" si="20"/>
        <v>14.838709677419354</v>
      </c>
      <c r="Y74" s="1">
        <f t="shared" si="21"/>
        <v>14.838709677419354</v>
      </c>
      <c r="Z74" s="1">
        <v>9.4</v>
      </c>
      <c r="AA74" s="1">
        <v>10.4</v>
      </c>
      <c r="AB74" s="1">
        <v>2.4</v>
      </c>
      <c r="AC74" s="1">
        <v>6.8</v>
      </c>
      <c r="AD74" s="1">
        <v>12.6</v>
      </c>
      <c r="AE74" s="1">
        <v>8.1999999999999993</v>
      </c>
      <c r="AF74" s="1">
        <v>22.4</v>
      </c>
      <c r="AG74" s="1">
        <v>22.4</v>
      </c>
      <c r="AH74" s="1">
        <v>1.8</v>
      </c>
      <c r="AI74" s="1">
        <v>12</v>
      </c>
      <c r="AJ74" s="14" t="s">
        <v>56</v>
      </c>
      <c r="AK74" s="1">
        <f t="shared" si="22"/>
        <v>0</v>
      </c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116</v>
      </c>
      <c r="B75" s="1" t="s">
        <v>42</v>
      </c>
      <c r="C75" s="1">
        <v>200</v>
      </c>
      <c r="D75" s="1">
        <v>38</v>
      </c>
      <c r="E75" s="1">
        <v>114</v>
      </c>
      <c r="F75" s="1">
        <v>66</v>
      </c>
      <c r="G75" s="7">
        <v>0.4</v>
      </c>
      <c r="H75" s="1">
        <v>90</v>
      </c>
      <c r="I75" s="1" t="s">
        <v>38</v>
      </c>
      <c r="J75" s="1"/>
      <c r="K75" s="1">
        <v>103</v>
      </c>
      <c r="L75" s="1">
        <f t="shared" si="17"/>
        <v>11</v>
      </c>
      <c r="M75" s="1"/>
      <c r="N75" s="1"/>
      <c r="O75" s="1">
        <v>15.200000000000021</v>
      </c>
      <c r="P75" s="17"/>
      <c r="Q75" s="1"/>
      <c r="R75" s="1"/>
      <c r="S75" s="1">
        <v>150</v>
      </c>
      <c r="T75" s="17"/>
      <c r="U75" s="1">
        <f t="shared" si="18"/>
        <v>22.8</v>
      </c>
      <c r="V75" s="5">
        <f t="shared" ref="V75" si="23">12*U75-S75-R75-Q75-O75-F75</f>
        <v>42.400000000000006</v>
      </c>
      <c r="W75" s="5">
        <f t="shared" si="19"/>
        <v>42.400000000000006</v>
      </c>
      <c r="X75" s="1">
        <f t="shared" si="20"/>
        <v>12</v>
      </c>
      <c r="Y75" s="1">
        <f t="shared" si="21"/>
        <v>10.140350877192983</v>
      </c>
      <c r="Z75" s="1">
        <v>20</v>
      </c>
      <c r="AA75" s="1">
        <v>17.600000000000001</v>
      </c>
      <c r="AB75" s="1">
        <v>21</v>
      </c>
      <c r="AC75" s="1">
        <v>10.4</v>
      </c>
      <c r="AD75" s="1">
        <v>8.1999999999999993</v>
      </c>
      <c r="AE75" s="1">
        <v>16</v>
      </c>
      <c r="AF75" s="1">
        <v>19</v>
      </c>
      <c r="AG75" s="1">
        <v>17.600000000000001</v>
      </c>
      <c r="AH75" s="1">
        <v>16.600000000000001</v>
      </c>
      <c r="AI75" s="1">
        <v>13.6</v>
      </c>
      <c r="AJ75" s="1"/>
      <c r="AK75" s="1">
        <f t="shared" si="22"/>
        <v>17</v>
      </c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117</v>
      </c>
      <c r="B76" s="1" t="s">
        <v>42</v>
      </c>
      <c r="C76" s="1">
        <v>229</v>
      </c>
      <c r="D76" s="1">
        <v>199</v>
      </c>
      <c r="E76" s="1">
        <v>225</v>
      </c>
      <c r="F76" s="1">
        <v>76</v>
      </c>
      <c r="G76" s="7">
        <v>0.33</v>
      </c>
      <c r="H76" s="1">
        <v>60</v>
      </c>
      <c r="I76" s="9" t="s">
        <v>49</v>
      </c>
      <c r="J76" s="1"/>
      <c r="K76" s="1">
        <v>241</v>
      </c>
      <c r="L76" s="1">
        <f t="shared" si="17"/>
        <v>-16</v>
      </c>
      <c r="M76" s="1"/>
      <c r="N76" s="1"/>
      <c r="O76" s="1">
        <v>120.4</v>
      </c>
      <c r="P76" s="17"/>
      <c r="Q76" s="1">
        <v>-128</v>
      </c>
      <c r="R76" s="1"/>
      <c r="S76" s="1">
        <v>200</v>
      </c>
      <c r="T76" s="17"/>
      <c r="U76" s="1">
        <f t="shared" si="18"/>
        <v>45</v>
      </c>
      <c r="V76" s="5">
        <v>200</v>
      </c>
      <c r="W76" s="5">
        <f t="shared" si="19"/>
        <v>200</v>
      </c>
      <c r="X76" s="1">
        <f t="shared" si="20"/>
        <v>10.408888888888889</v>
      </c>
      <c r="Y76" s="1">
        <f t="shared" si="21"/>
        <v>5.9644444444444442</v>
      </c>
      <c r="Z76" s="1">
        <v>41.8</v>
      </c>
      <c r="AA76" s="1">
        <v>36</v>
      </c>
      <c r="AB76" s="1">
        <v>37.6</v>
      </c>
      <c r="AC76" s="1">
        <v>21.4</v>
      </c>
      <c r="AD76" s="1">
        <v>11.8</v>
      </c>
      <c r="AE76" s="1">
        <v>27.4</v>
      </c>
      <c r="AF76" s="1">
        <v>37.6</v>
      </c>
      <c r="AG76" s="1">
        <v>36</v>
      </c>
      <c r="AH76" s="1">
        <v>29.6</v>
      </c>
      <c r="AI76" s="1">
        <v>26.2</v>
      </c>
      <c r="AJ76" s="1"/>
      <c r="AK76" s="1">
        <f t="shared" si="22"/>
        <v>66</v>
      </c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118</v>
      </c>
      <c r="B77" s="1" t="s">
        <v>42</v>
      </c>
      <c r="C77" s="1">
        <v>114</v>
      </c>
      <c r="D77" s="1">
        <v>193</v>
      </c>
      <c r="E77" s="1">
        <v>112</v>
      </c>
      <c r="F77" s="1">
        <v>124</v>
      </c>
      <c r="G77" s="7">
        <v>0.35</v>
      </c>
      <c r="H77" s="1">
        <v>90</v>
      </c>
      <c r="I77" s="9" t="s">
        <v>49</v>
      </c>
      <c r="J77" s="1"/>
      <c r="K77" s="1">
        <v>105</v>
      </c>
      <c r="L77" s="1">
        <f t="shared" si="17"/>
        <v>7</v>
      </c>
      <c r="M77" s="1"/>
      <c r="N77" s="1"/>
      <c r="O77" s="1">
        <v>10</v>
      </c>
      <c r="P77" s="17"/>
      <c r="Q77" s="1">
        <v>-16</v>
      </c>
      <c r="R77" s="1"/>
      <c r="S77" s="1">
        <v>200</v>
      </c>
      <c r="T77" s="17"/>
      <c r="U77" s="1">
        <f t="shared" si="18"/>
        <v>22.4</v>
      </c>
      <c r="V77" s="5">
        <v>50</v>
      </c>
      <c r="W77" s="5">
        <f t="shared" si="19"/>
        <v>50</v>
      </c>
      <c r="X77" s="1">
        <f t="shared" si="20"/>
        <v>16.428571428571431</v>
      </c>
      <c r="Y77" s="1">
        <f t="shared" si="21"/>
        <v>14.196428571428573</v>
      </c>
      <c r="Z77" s="1">
        <v>23.8</v>
      </c>
      <c r="AA77" s="1">
        <v>20.399999999999999</v>
      </c>
      <c r="AB77" s="1">
        <v>25.2</v>
      </c>
      <c r="AC77" s="1">
        <v>11.8</v>
      </c>
      <c r="AD77" s="1">
        <v>10.4</v>
      </c>
      <c r="AE77" s="1">
        <v>13.6</v>
      </c>
      <c r="AF77" s="1">
        <v>7.8</v>
      </c>
      <c r="AG77" s="1">
        <v>18.399999999999999</v>
      </c>
      <c r="AH77" s="1">
        <v>25</v>
      </c>
      <c r="AI77" s="1">
        <v>13</v>
      </c>
      <c r="AJ77" s="1"/>
      <c r="AK77" s="1">
        <f t="shared" si="22"/>
        <v>18</v>
      </c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119</v>
      </c>
      <c r="B78" s="1" t="s">
        <v>42</v>
      </c>
      <c r="C78" s="1">
        <v>623</v>
      </c>
      <c r="D78" s="1">
        <v>115</v>
      </c>
      <c r="E78" s="1">
        <v>139</v>
      </c>
      <c r="F78" s="1">
        <v>488</v>
      </c>
      <c r="G78" s="7">
        <v>0.37</v>
      </c>
      <c r="H78" s="1">
        <v>50</v>
      </c>
      <c r="I78" s="1" t="s">
        <v>38</v>
      </c>
      <c r="J78" s="1"/>
      <c r="K78" s="1">
        <v>139</v>
      </c>
      <c r="L78" s="1">
        <f t="shared" si="17"/>
        <v>0</v>
      </c>
      <c r="M78" s="1"/>
      <c r="N78" s="1"/>
      <c r="O78" s="1">
        <v>0</v>
      </c>
      <c r="P78" s="17"/>
      <c r="Q78" s="1"/>
      <c r="R78" s="1"/>
      <c r="S78" s="1">
        <v>0</v>
      </c>
      <c r="T78" s="17"/>
      <c r="U78" s="1">
        <f t="shared" si="18"/>
        <v>27.8</v>
      </c>
      <c r="V78" s="5"/>
      <c r="W78" s="5">
        <f t="shared" si="19"/>
        <v>0</v>
      </c>
      <c r="X78" s="1">
        <f t="shared" si="20"/>
        <v>17.553956834532375</v>
      </c>
      <c r="Y78" s="1">
        <f t="shared" si="21"/>
        <v>17.553956834532375</v>
      </c>
      <c r="Z78" s="1">
        <v>18.2</v>
      </c>
      <c r="AA78" s="1">
        <v>13</v>
      </c>
      <c r="AB78" s="1">
        <v>3.6</v>
      </c>
      <c r="AC78" s="1">
        <v>1</v>
      </c>
      <c r="AD78" s="1">
        <v>8.1999999999999993</v>
      </c>
      <c r="AE78" s="1">
        <v>13.4</v>
      </c>
      <c r="AF78" s="1">
        <v>43.8</v>
      </c>
      <c r="AG78" s="1">
        <v>44.4</v>
      </c>
      <c r="AH78" s="1">
        <v>11.8</v>
      </c>
      <c r="AI78" s="1">
        <v>23.6</v>
      </c>
      <c r="AJ78" s="14" t="s">
        <v>56</v>
      </c>
      <c r="AK78" s="1">
        <f t="shared" si="22"/>
        <v>0</v>
      </c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0" t="s">
        <v>120</v>
      </c>
      <c r="B79" s="10" t="s">
        <v>42</v>
      </c>
      <c r="C79" s="10"/>
      <c r="D79" s="10"/>
      <c r="E79" s="10"/>
      <c r="F79" s="10"/>
      <c r="G79" s="11">
        <v>0</v>
      </c>
      <c r="H79" s="10"/>
      <c r="I79" s="10" t="s">
        <v>38</v>
      </c>
      <c r="J79" s="10"/>
      <c r="K79" s="10"/>
      <c r="L79" s="10">
        <f t="shared" si="17"/>
        <v>0</v>
      </c>
      <c r="M79" s="10"/>
      <c r="N79" s="10"/>
      <c r="O79" s="10">
        <v>0</v>
      </c>
      <c r="P79" s="20"/>
      <c r="Q79" s="10"/>
      <c r="R79" s="10"/>
      <c r="S79" s="10">
        <v>0</v>
      </c>
      <c r="T79" s="20"/>
      <c r="U79" s="10">
        <f t="shared" si="18"/>
        <v>0</v>
      </c>
      <c r="V79" s="12"/>
      <c r="W79" s="5">
        <f t="shared" si="19"/>
        <v>0</v>
      </c>
      <c r="X79" s="1" t="e">
        <f t="shared" si="20"/>
        <v>#DIV/0!</v>
      </c>
      <c r="Y79" s="1" t="e">
        <f t="shared" si="21"/>
        <v>#DIV/0!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 t="s">
        <v>47</v>
      </c>
      <c r="AK79" s="1">
        <f t="shared" si="22"/>
        <v>0</v>
      </c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121</v>
      </c>
      <c r="B80" s="1" t="s">
        <v>42</v>
      </c>
      <c r="C80" s="1">
        <v>2</v>
      </c>
      <c r="D80" s="1">
        <v>210</v>
      </c>
      <c r="E80" s="1">
        <v>1</v>
      </c>
      <c r="F80" s="1">
        <v>98</v>
      </c>
      <c r="G80" s="7">
        <v>0.33</v>
      </c>
      <c r="H80" s="1">
        <v>40</v>
      </c>
      <c r="I80" s="1" t="s">
        <v>38</v>
      </c>
      <c r="J80" s="1"/>
      <c r="K80" s="1">
        <v>20</v>
      </c>
      <c r="L80" s="1">
        <f t="shared" si="17"/>
        <v>-19</v>
      </c>
      <c r="M80" s="1"/>
      <c r="N80" s="1"/>
      <c r="O80" s="1">
        <v>85.001599999999996</v>
      </c>
      <c r="P80" s="17"/>
      <c r="Q80" s="1"/>
      <c r="R80" s="1">
        <v>125.3984</v>
      </c>
      <c r="S80" s="1">
        <v>0</v>
      </c>
      <c r="T80" s="17"/>
      <c r="U80" s="1">
        <f t="shared" si="18"/>
        <v>0.2</v>
      </c>
      <c r="V80" s="5"/>
      <c r="W80" s="5">
        <f t="shared" si="19"/>
        <v>0</v>
      </c>
      <c r="X80" s="1">
        <f t="shared" si="20"/>
        <v>1541.9999999999998</v>
      </c>
      <c r="Y80" s="1">
        <f t="shared" si="21"/>
        <v>1541.9999999999998</v>
      </c>
      <c r="Z80" s="1">
        <v>11.2</v>
      </c>
      <c r="AA80" s="1">
        <v>29.2</v>
      </c>
      <c r="AB80" s="1">
        <v>26</v>
      </c>
      <c r="AC80" s="1">
        <v>7.6</v>
      </c>
      <c r="AD80" s="1">
        <v>4.5999999999999996</v>
      </c>
      <c r="AE80" s="1">
        <v>8.8000000000000007</v>
      </c>
      <c r="AF80" s="1">
        <v>16.600000000000001</v>
      </c>
      <c r="AG80" s="1">
        <v>15.4</v>
      </c>
      <c r="AH80" s="1">
        <v>6.4</v>
      </c>
      <c r="AI80" s="1">
        <v>8.6</v>
      </c>
      <c r="AJ80" s="1"/>
      <c r="AK80" s="1">
        <f t="shared" si="22"/>
        <v>0</v>
      </c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122</v>
      </c>
      <c r="B81" s="1" t="s">
        <v>42</v>
      </c>
      <c r="C81" s="1">
        <v>135</v>
      </c>
      <c r="D81" s="1">
        <v>97</v>
      </c>
      <c r="E81" s="1">
        <v>77</v>
      </c>
      <c r="F81" s="1"/>
      <c r="G81" s="7">
        <v>0.4</v>
      </c>
      <c r="H81" s="1">
        <v>55</v>
      </c>
      <c r="I81" s="1" t="s">
        <v>38</v>
      </c>
      <c r="J81" s="1"/>
      <c r="K81" s="1">
        <v>133</v>
      </c>
      <c r="L81" s="1">
        <f t="shared" si="17"/>
        <v>-56</v>
      </c>
      <c r="M81" s="1"/>
      <c r="N81" s="1"/>
      <c r="O81" s="1">
        <v>0</v>
      </c>
      <c r="P81" s="17"/>
      <c r="Q81" s="1"/>
      <c r="R81" s="1"/>
      <c r="S81" s="1">
        <v>7.5999999999999943</v>
      </c>
      <c r="T81" s="17"/>
      <c r="U81" s="1">
        <f t="shared" si="18"/>
        <v>15.4</v>
      </c>
      <c r="V81" s="5">
        <f>8*U81-S81-R81-Q81-O81-F81</f>
        <v>115.60000000000001</v>
      </c>
      <c r="W81" s="5">
        <f t="shared" si="19"/>
        <v>115.60000000000001</v>
      </c>
      <c r="X81" s="1">
        <f t="shared" si="20"/>
        <v>8</v>
      </c>
      <c r="Y81" s="1">
        <f t="shared" si="21"/>
        <v>0.49350649350649312</v>
      </c>
      <c r="Z81" s="1">
        <v>12.6</v>
      </c>
      <c r="AA81" s="1">
        <v>11.8</v>
      </c>
      <c r="AB81" s="1">
        <v>3.6</v>
      </c>
      <c r="AC81" s="1">
        <v>18.600000000000001</v>
      </c>
      <c r="AD81" s="1">
        <v>21.2</v>
      </c>
      <c r="AE81" s="1">
        <v>8.8000000000000007</v>
      </c>
      <c r="AF81" s="1">
        <v>14.8</v>
      </c>
      <c r="AG81" s="1">
        <v>11</v>
      </c>
      <c r="AH81" s="1">
        <v>4.4000000000000004</v>
      </c>
      <c r="AI81" s="1">
        <v>12.2</v>
      </c>
      <c r="AJ81" s="16" t="s">
        <v>180</v>
      </c>
      <c r="AK81" s="1">
        <f t="shared" si="22"/>
        <v>46</v>
      </c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123</v>
      </c>
      <c r="B82" s="1" t="s">
        <v>42</v>
      </c>
      <c r="C82" s="1">
        <v>5</v>
      </c>
      <c r="D82" s="1">
        <v>3</v>
      </c>
      <c r="E82" s="1">
        <v>-1</v>
      </c>
      <c r="F82" s="1"/>
      <c r="G82" s="7">
        <v>0.35</v>
      </c>
      <c r="H82" s="1">
        <v>40</v>
      </c>
      <c r="I82" s="9" t="s">
        <v>49</v>
      </c>
      <c r="J82" s="1"/>
      <c r="K82" s="1">
        <v>3</v>
      </c>
      <c r="L82" s="1">
        <f t="shared" si="17"/>
        <v>-4</v>
      </c>
      <c r="M82" s="1"/>
      <c r="N82" s="1"/>
      <c r="O82" s="1">
        <v>10</v>
      </c>
      <c r="P82" s="17"/>
      <c r="Q82" s="1">
        <v>-12</v>
      </c>
      <c r="R82" s="1"/>
      <c r="S82" s="1">
        <v>20</v>
      </c>
      <c r="T82" s="17"/>
      <c r="U82" s="1">
        <f t="shared" si="18"/>
        <v>-0.2</v>
      </c>
      <c r="V82" s="5">
        <v>10</v>
      </c>
      <c r="W82" s="5">
        <f t="shared" si="19"/>
        <v>10</v>
      </c>
      <c r="X82" s="1">
        <f t="shared" si="20"/>
        <v>-140</v>
      </c>
      <c r="Y82" s="1">
        <f t="shared" si="21"/>
        <v>-90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2</v>
      </c>
      <c r="AG82" s="1">
        <v>2</v>
      </c>
      <c r="AH82" s="1">
        <v>0</v>
      </c>
      <c r="AI82" s="1">
        <v>0</v>
      </c>
      <c r="AJ82" s="1"/>
      <c r="AK82" s="1">
        <f t="shared" si="22"/>
        <v>4</v>
      </c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124</v>
      </c>
      <c r="B83" s="1" t="s">
        <v>42</v>
      </c>
      <c r="C83" s="1">
        <v>3</v>
      </c>
      <c r="D83" s="1">
        <v>86</v>
      </c>
      <c r="E83" s="1">
        <v>14</v>
      </c>
      <c r="F83" s="1">
        <v>46</v>
      </c>
      <c r="G83" s="7">
        <v>0.35</v>
      </c>
      <c r="H83" s="1">
        <v>45</v>
      </c>
      <c r="I83" s="9" t="s">
        <v>49</v>
      </c>
      <c r="J83" s="1"/>
      <c r="K83" s="1">
        <v>16</v>
      </c>
      <c r="L83" s="1">
        <f t="shared" si="17"/>
        <v>-2</v>
      </c>
      <c r="M83" s="1"/>
      <c r="N83" s="1"/>
      <c r="O83" s="1">
        <v>10</v>
      </c>
      <c r="P83" s="17"/>
      <c r="Q83" s="1"/>
      <c r="R83" s="1"/>
      <c r="S83" s="1">
        <v>0</v>
      </c>
      <c r="T83" s="17"/>
      <c r="U83" s="1">
        <f t="shared" si="18"/>
        <v>2.8</v>
      </c>
      <c r="V83" s="5">
        <v>10</v>
      </c>
      <c r="W83" s="5">
        <f t="shared" si="19"/>
        <v>10</v>
      </c>
      <c r="X83" s="1">
        <f t="shared" si="20"/>
        <v>23.571428571428573</v>
      </c>
      <c r="Y83" s="1">
        <f t="shared" si="21"/>
        <v>20</v>
      </c>
      <c r="Z83" s="1">
        <v>2.6</v>
      </c>
      <c r="AA83" s="1">
        <v>5.2</v>
      </c>
      <c r="AB83" s="1">
        <v>6.2</v>
      </c>
      <c r="AC83" s="1">
        <v>3.6</v>
      </c>
      <c r="AD83" s="1">
        <v>2</v>
      </c>
      <c r="AE83" s="1">
        <v>8</v>
      </c>
      <c r="AF83" s="1">
        <v>9.4</v>
      </c>
      <c r="AG83" s="1">
        <v>3.4</v>
      </c>
      <c r="AH83" s="1">
        <v>0</v>
      </c>
      <c r="AI83" s="1">
        <v>0</v>
      </c>
      <c r="AJ83" s="1"/>
      <c r="AK83" s="1">
        <f t="shared" si="22"/>
        <v>4</v>
      </c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0" t="s">
        <v>125</v>
      </c>
      <c r="B84" s="10" t="s">
        <v>42</v>
      </c>
      <c r="C84" s="10"/>
      <c r="D84" s="10"/>
      <c r="E84" s="10"/>
      <c r="F84" s="10"/>
      <c r="G84" s="11">
        <v>0</v>
      </c>
      <c r="H84" s="10"/>
      <c r="I84" s="10" t="s">
        <v>38</v>
      </c>
      <c r="J84" s="10"/>
      <c r="K84" s="10"/>
      <c r="L84" s="10">
        <f t="shared" si="17"/>
        <v>0</v>
      </c>
      <c r="M84" s="10"/>
      <c r="N84" s="10"/>
      <c r="O84" s="10">
        <v>0</v>
      </c>
      <c r="P84" s="20"/>
      <c r="Q84" s="10"/>
      <c r="R84" s="10"/>
      <c r="S84" s="10">
        <v>0</v>
      </c>
      <c r="T84" s="20"/>
      <c r="U84" s="10">
        <f t="shared" si="18"/>
        <v>0</v>
      </c>
      <c r="V84" s="12"/>
      <c r="W84" s="5">
        <f t="shared" si="19"/>
        <v>0</v>
      </c>
      <c r="X84" s="1" t="e">
        <f t="shared" si="20"/>
        <v>#DIV/0!</v>
      </c>
      <c r="Y84" s="1" t="e">
        <f t="shared" si="21"/>
        <v>#DIV/0!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 t="s">
        <v>47</v>
      </c>
      <c r="AK84" s="1">
        <f t="shared" si="22"/>
        <v>0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0" t="s">
        <v>126</v>
      </c>
      <c r="B85" s="10" t="s">
        <v>37</v>
      </c>
      <c r="C85" s="10"/>
      <c r="D85" s="10"/>
      <c r="E85" s="10"/>
      <c r="F85" s="10"/>
      <c r="G85" s="11">
        <v>0</v>
      </c>
      <c r="H85" s="10"/>
      <c r="I85" s="10" t="s">
        <v>38</v>
      </c>
      <c r="J85" s="10"/>
      <c r="K85" s="10"/>
      <c r="L85" s="10">
        <f t="shared" si="17"/>
        <v>0</v>
      </c>
      <c r="M85" s="10"/>
      <c r="N85" s="10"/>
      <c r="O85" s="10">
        <v>0</v>
      </c>
      <c r="P85" s="20"/>
      <c r="Q85" s="10"/>
      <c r="R85" s="10"/>
      <c r="S85" s="10">
        <v>0</v>
      </c>
      <c r="T85" s="20"/>
      <c r="U85" s="10">
        <f t="shared" si="18"/>
        <v>0</v>
      </c>
      <c r="V85" s="12"/>
      <c r="W85" s="5">
        <f t="shared" si="19"/>
        <v>0</v>
      </c>
      <c r="X85" s="1" t="e">
        <f t="shared" si="20"/>
        <v>#DIV/0!</v>
      </c>
      <c r="Y85" s="1" t="e">
        <f t="shared" si="21"/>
        <v>#DIV/0!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 t="s">
        <v>47</v>
      </c>
      <c r="AK85" s="1">
        <f t="shared" si="22"/>
        <v>0</v>
      </c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0" t="s">
        <v>127</v>
      </c>
      <c r="B86" s="10" t="s">
        <v>42</v>
      </c>
      <c r="C86" s="10">
        <v>-5</v>
      </c>
      <c r="D86" s="10">
        <v>38</v>
      </c>
      <c r="E86" s="10"/>
      <c r="F86" s="10"/>
      <c r="G86" s="11">
        <v>0</v>
      </c>
      <c r="H86" s="10">
        <v>55</v>
      </c>
      <c r="I86" s="10" t="s">
        <v>64</v>
      </c>
      <c r="J86" s="10"/>
      <c r="K86" s="10"/>
      <c r="L86" s="10">
        <f t="shared" si="17"/>
        <v>0</v>
      </c>
      <c r="M86" s="10"/>
      <c r="N86" s="10"/>
      <c r="O86" s="10">
        <v>0</v>
      </c>
      <c r="P86" s="20"/>
      <c r="Q86" s="10"/>
      <c r="R86" s="10"/>
      <c r="S86" s="10">
        <v>0</v>
      </c>
      <c r="T86" s="20"/>
      <c r="U86" s="10">
        <f t="shared" si="18"/>
        <v>0</v>
      </c>
      <c r="V86" s="12"/>
      <c r="W86" s="5">
        <f t="shared" si="19"/>
        <v>0</v>
      </c>
      <c r="X86" s="1" t="e">
        <f t="shared" si="20"/>
        <v>#DIV/0!</v>
      </c>
      <c r="Y86" s="1" t="e">
        <f t="shared" si="21"/>
        <v>#DIV/0!</v>
      </c>
      <c r="Z86" s="10">
        <v>0</v>
      </c>
      <c r="AA86" s="10">
        <v>-0.2</v>
      </c>
      <c r="AB86" s="10">
        <v>-0.2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/>
      <c r="AK86" s="1">
        <f t="shared" si="22"/>
        <v>0</v>
      </c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128</v>
      </c>
      <c r="B87" s="1" t="s">
        <v>37</v>
      </c>
      <c r="C87" s="1">
        <v>8.5549999999999997</v>
      </c>
      <c r="D87" s="1">
        <v>35.993000000000002</v>
      </c>
      <c r="E87" s="1">
        <v>5.7290000000000001</v>
      </c>
      <c r="F87" s="1">
        <v>21.539000000000001</v>
      </c>
      <c r="G87" s="7">
        <v>1</v>
      </c>
      <c r="H87" s="1">
        <v>55</v>
      </c>
      <c r="I87" s="1" t="s">
        <v>38</v>
      </c>
      <c r="J87" s="1"/>
      <c r="K87" s="1">
        <v>4.8</v>
      </c>
      <c r="L87" s="1">
        <f t="shared" si="17"/>
        <v>0.92900000000000027</v>
      </c>
      <c r="M87" s="1"/>
      <c r="N87" s="1"/>
      <c r="O87" s="1">
        <v>18.08819999999999</v>
      </c>
      <c r="P87" s="17"/>
      <c r="Q87" s="1"/>
      <c r="R87" s="1"/>
      <c r="S87" s="1">
        <v>12.474800000000011</v>
      </c>
      <c r="T87" s="17"/>
      <c r="U87" s="1">
        <f t="shared" si="18"/>
        <v>1.1457999999999999</v>
      </c>
      <c r="V87" s="5"/>
      <c r="W87" s="5">
        <f t="shared" si="19"/>
        <v>0</v>
      </c>
      <c r="X87" s="1">
        <f t="shared" si="20"/>
        <v>45.472159190085527</v>
      </c>
      <c r="Y87" s="1">
        <f t="shared" si="21"/>
        <v>45.472159190085527</v>
      </c>
      <c r="Z87" s="1">
        <v>4.5876000000000001</v>
      </c>
      <c r="AA87" s="1">
        <v>4.5953999999999997</v>
      </c>
      <c r="AB87" s="1">
        <v>4.0216000000000003</v>
      </c>
      <c r="AC87" s="1">
        <v>0.86240000000000006</v>
      </c>
      <c r="AD87" s="1">
        <v>0</v>
      </c>
      <c r="AE87" s="1">
        <v>2.0213999999999999</v>
      </c>
      <c r="AF87" s="1">
        <v>3.1659999999999999</v>
      </c>
      <c r="AG87" s="1">
        <v>2.0042</v>
      </c>
      <c r="AH87" s="1">
        <v>1.1472</v>
      </c>
      <c r="AI87" s="1">
        <v>0.57320000000000004</v>
      </c>
      <c r="AJ87" s="1"/>
      <c r="AK87" s="1">
        <f t="shared" si="22"/>
        <v>0</v>
      </c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129</v>
      </c>
      <c r="B88" s="1" t="s">
        <v>37</v>
      </c>
      <c r="C88" s="1">
        <v>-5.8920000000000003</v>
      </c>
      <c r="D88" s="1">
        <v>622.30200000000002</v>
      </c>
      <c r="E88" s="1">
        <v>122.197</v>
      </c>
      <c r="F88" s="1">
        <v>240.34800000000001</v>
      </c>
      <c r="G88" s="7">
        <v>1</v>
      </c>
      <c r="H88" s="1">
        <v>60</v>
      </c>
      <c r="I88" s="1" t="s">
        <v>38</v>
      </c>
      <c r="J88" s="1"/>
      <c r="K88" s="1">
        <v>125.96</v>
      </c>
      <c r="L88" s="1">
        <f t="shared" si="17"/>
        <v>-3.762999999999991</v>
      </c>
      <c r="M88" s="1"/>
      <c r="N88" s="1"/>
      <c r="O88" s="1">
        <v>60.996162399999967</v>
      </c>
      <c r="P88" s="17"/>
      <c r="Q88" s="1"/>
      <c r="R88" s="1">
        <v>89.98443759999995</v>
      </c>
      <c r="S88" s="1">
        <v>0</v>
      </c>
      <c r="T88" s="17"/>
      <c r="U88" s="1">
        <f t="shared" si="18"/>
        <v>24.439399999999999</v>
      </c>
      <c r="V88" s="5"/>
      <c r="W88" s="5">
        <f t="shared" si="19"/>
        <v>0</v>
      </c>
      <c r="X88" s="1">
        <f t="shared" si="20"/>
        <v>16.012201608877465</v>
      </c>
      <c r="Y88" s="1">
        <f t="shared" si="21"/>
        <v>16.012201608877465</v>
      </c>
      <c r="Z88" s="1">
        <v>27.4984</v>
      </c>
      <c r="AA88" s="1">
        <v>46.795000000000002</v>
      </c>
      <c r="AB88" s="1">
        <v>43.2684</v>
      </c>
      <c r="AC88" s="1">
        <v>40.822800000000001</v>
      </c>
      <c r="AD88" s="1">
        <v>37.770800000000001</v>
      </c>
      <c r="AE88" s="1">
        <v>33.010000000000012</v>
      </c>
      <c r="AF88" s="1">
        <v>40.011200000000002</v>
      </c>
      <c r="AG88" s="1">
        <v>37.158999999999999</v>
      </c>
      <c r="AH88" s="1">
        <v>27.297799999999999</v>
      </c>
      <c r="AI88" s="1">
        <v>35.398400000000002</v>
      </c>
      <c r="AJ88" s="1"/>
      <c r="AK88" s="1">
        <f t="shared" si="22"/>
        <v>0</v>
      </c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0" t="s">
        <v>130</v>
      </c>
      <c r="B89" s="10" t="s">
        <v>42</v>
      </c>
      <c r="C89" s="10"/>
      <c r="D89" s="10"/>
      <c r="E89" s="10"/>
      <c r="F89" s="10"/>
      <c r="G89" s="11">
        <v>0</v>
      </c>
      <c r="H89" s="10"/>
      <c r="I89" s="10" t="s">
        <v>38</v>
      </c>
      <c r="J89" s="10"/>
      <c r="K89" s="10"/>
      <c r="L89" s="10">
        <f t="shared" si="17"/>
        <v>0</v>
      </c>
      <c r="M89" s="10"/>
      <c r="N89" s="10"/>
      <c r="O89" s="10">
        <v>0</v>
      </c>
      <c r="P89" s="20"/>
      <c r="Q89" s="10"/>
      <c r="R89" s="10"/>
      <c r="S89" s="10">
        <v>0</v>
      </c>
      <c r="T89" s="20"/>
      <c r="U89" s="10">
        <f t="shared" si="18"/>
        <v>0</v>
      </c>
      <c r="V89" s="12"/>
      <c r="W89" s="5">
        <f t="shared" si="19"/>
        <v>0</v>
      </c>
      <c r="X89" s="1" t="e">
        <f t="shared" si="20"/>
        <v>#DIV/0!</v>
      </c>
      <c r="Y89" s="1" t="e">
        <f t="shared" si="21"/>
        <v>#DIV/0!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 t="s">
        <v>47</v>
      </c>
      <c r="AK89" s="1">
        <f t="shared" si="22"/>
        <v>0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131</v>
      </c>
      <c r="B90" s="1" t="s">
        <v>37</v>
      </c>
      <c r="C90" s="1">
        <v>744.71400000000006</v>
      </c>
      <c r="D90" s="1">
        <v>4394.6289999999999</v>
      </c>
      <c r="E90" s="1">
        <v>1626.5050000000001</v>
      </c>
      <c r="F90" s="1">
        <v>1621.3230000000001</v>
      </c>
      <c r="G90" s="7">
        <v>1</v>
      </c>
      <c r="H90" s="1">
        <v>60</v>
      </c>
      <c r="I90" s="1" t="s">
        <v>38</v>
      </c>
      <c r="J90" s="1"/>
      <c r="K90" s="1">
        <v>1607</v>
      </c>
      <c r="L90" s="1">
        <f t="shared" si="17"/>
        <v>19.505000000000109</v>
      </c>
      <c r="M90" s="1"/>
      <c r="N90" s="1"/>
      <c r="O90" s="1">
        <v>134.29630639999991</v>
      </c>
      <c r="P90" s="17">
        <v>700</v>
      </c>
      <c r="Q90" s="1"/>
      <c r="R90" s="1">
        <v>198.12029359999991</v>
      </c>
      <c r="S90" s="1">
        <v>744.12392800000032</v>
      </c>
      <c r="T90" s="17">
        <v>690</v>
      </c>
      <c r="U90" s="1">
        <f t="shared" si="18"/>
        <v>325.30100000000004</v>
      </c>
      <c r="V90" s="5">
        <f>12*U90-S90-R90-Q90-O90-F90-P90</f>
        <v>505.74847199999999</v>
      </c>
      <c r="W90" s="5">
        <f t="shared" si="19"/>
        <v>505.74847199999999</v>
      </c>
      <c r="X90" s="1">
        <f t="shared" si="20"/>
        <v>11.999999999999998</v>
      </c>
      <c r="Y90" s="1">
        <f t="shared" si="21"/>
        <v>10.445290755331216</v>
      </c>
      <c r="Z90" s="1">
        <v>326.5376</v>
      </c>
      <c r="AA90" s="1">
        <v>312.88479999999998</v>
      </c>
      <c r="AB90" s="1">
        <v>368.565</v>
      </c>
      <c r="AC90" s="1">
        <v>303.18119999999999</v>
      </c>
      <c r="AD90" s="1">
        <v>264.67619999999999</v>
      </c>
      <c r="AE90" s="1">
        <v>304.95080000000002</v>
      </c>
      <c r="AF90" s="1">
        <v>256.99919999999997</v>
      </c>
      <c r="AG90" s="1">
        <v>231.32480000000001</v>
      </c>
      <c r="AH90" s="1">
        <v>263.76119999999997</v>
      </c>
      <c r="AI90" s="1">
        <v>305.51940000000002</v>
      </c>
      <c r="AJ90" s="1"/>
      <c r="AK90" s="1">
        <f t="shared" si="22"/>
        <v>506</v>
      </c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132</v>
      </c>
      <c r="B91" s="1" t="s">
        <v>37</v>
      </c>
      <c r="C91" s="1">
        <v>956.89599999999996</v>
      </c>
      <c r="D91" s="1">
        <v>4527.59</v>
      </c>
      <c r="E91" s="1">
        <v>1068.0050000000001</v>
      </c>
      <c r="F91" s="1">
        <v>1799.6220000000001</v>
      </c>
      <c r="G91" s="7">
        <v>1</v>
      </c>
      <c r="H91" s="1">
        <v>60</v>
      </c>
      <c r="I91" s="1" t="s">
        <v>38</v>
      </c>
      <c r="J91" s="1"/>
      <c r="K91" s="1">
        <v>1324</v>
      </c>
      <c r="L91" s="1">
        <f t="shared" si="17"/>
        <v>-255.99499999999989</v>
      </c>
      <c r="M91" s="1"/>
      <c r="N91" s="1"/>
      <c r="O91" s="1">
        <v>752.55560000000037</v>
      </c>
      <c r="P91" s="17"/>
      <c r="Q91" s="1"/>
      <c r="R91" s="1">
        <v>1000</v>
      </c>
      <c r="S91" s="1">
        <v>583.53759999999909</v>
      </c>
      <c r="T91" s="17"/>
      <c r="U91" s="1">
        <f t="shared" si="18"/>
        <v>213.60100000000003</v>
      </c>
      <c r="V91" s="5"/>
      <c r="W91" s="5">
        <f t="shared" si="19"/>
        <v>0</v>
      </c>
      <c r="X91" s="1">
        <f t="shared" si="20"/>
        <v>19.361871901348771</v>
      </c>
      <c r="Y91" s="1">
        <f t="shared" si="21"/>
        <v>19.361871901348771</v>
      </c>
      <c r="Z91" s="1">
        <v>424.48739999999998</v>
      </c>
      <c r="AA91" s="1">
        <v>393.61340000000001</v>
      </c>
      <c r="AB91" s="1">
        <v>331.94720000000001</v>
      </c>
      <c r="AC91" s="1">
        <v>257.45100000000002</v>
      </c>
      <c r="AD91" s="1">
        <v>207.36179999999999</v>
      </c>
      <c r="AE91" s="1">
        <v>301.77659999999997</v>
      </c>
      <c r="AF91" s="1">
        <v>293.72859999999997</v>
      </c>
      <c r="AG91" s="1">
        <v>213.80719999999999</v>
      </c>
      <c r="AH91" s="1">
        <v>230.60740000000001</v>
      </c>
      <c r="AI91" s="1">
        <v>267.38240000000002</v>
      </c>
      <c r="AJ91" s="1"/>
      <c r="AK91" s="1">
        <f t="shared" si="22"/>
        <v>0</v>
      </c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133</v>
      </c>
      <c r="B92" s="1" t="s">
        <v>37</v>
      </c>
      <c r="C92" s="1">
        <v>1473.423</v>
      </c>
      <c r="D92" s="1">
        <v>6160.89</v>
      </c>
      <c r="E92" s="1">
        <v>2088.1210000000001</v>
      </c>
      <c r="F92" s="1">
        <v>2367.0340000000001</v>
      </c>
      <c r="G92" s="7">
        <v>1</v>
      </c>
      <c r="H92" s="1">
        <v>60</v>
      </c>
      <c r="I92" s="1" t="s">
        <v>38</v>
      </c>
      <c r="J92" s="1"/>
      <c r="K92" s="1">
        <v>2165</v>
      </c>
      <c r="L92" s="1">
        <f t="shared" si="17"/>
        <v>-76.878999999999905</v>
      </c>
      <c r="M92" s="1"/>
      <c r="N92" s="1"/>
      <c r="O92" s="1">
        <v>1113.4534000000001</v>
      </c>
      <c r="P92" s="17"/>
      <c r="Q92" s="1"/>
      <c r="R92" s="1">
        <v>700</v>
      </c>
      <c r="S92" s="1">
        <v>1030.2483999999999</v>
      </c>
      <c r="T92" s="17">
        <v>900</v>
      </c>
      <c r="U92" s="1">
        <f t="shared" si="18"/>
        <v>417.62420000000003</v>
      </c>
      <c r="V92" s="5"/>
      <c r="W92" s="5">
        <f t="shared" si="19"/>
        <v>0</v>
      </c>
      <c r="X92" s="1">
        <f t="shared" si="20"/>
        <v>12.47709256312254</v>
      </c>
      <c r="Y92" s="1">
        <f t="shared" si="21"/>
        <v>12.47709256312254</v>
      </c>
      <c r="Z92" s="1">
        <v>559.40539999999999</v>
      </c>
      <c r="AA92" s="1">
        <v>523.61300000000006</v>
      </c>
      <c r="AB92" s="1">
        <v>494.76659999999998</v>
      </c>
      <c r="AC92" s="1">
        <v>402.2328</v>
      </c>
      <c r="AD92" s="1">
        <v>356.45299999999997</v>
      </c>
      <c r="AE92" s="1">
        <v>435.99239999999998</v>
      </c>
      <c r="AF92" s="1">
        <v>464.71859999999998</v>
      </c>
      <c r="AG92" s="1">
        <v>390.34859999999998</v>
      </c>
      <c r="AH92" s="1">
        <v>377.59100000000001</v>
      </c>
      <c r="AI92" s="1">
        <v>432.98239999999998</v>
      </c>
      <c r="AJ92" s="1"/>
      <c r="AK92" s="1">
        <f t="shared" si="22"/>
        <v>0</v>
      </c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0" t="s">
        <v>134</v>
      </c>
      <c r="B93" s="10" t="s">
        <v>37</v>
      </c>
      <c r="C93" s="10"/>
      <c r="D93" s="10"/>
      <c r="E93" s="10"/>
      <c r="F93" s="10"/>
      <c r="G93" s="11">
        <v>0</v>
      </c>
      <c r="H93" s="10"/>
      <c r="I93" s="10" t="s">
        <v>38</v>
      </c>
      <c r="J93" s="10"/>
      <c r="K93" s="10"/>
      <c r="L93" s="10">
        <f t="shared" si="17"/>
        <v>0</v>
      </c>
      <c r="M93" s="10"/>
      <c r="N93" s="10"/>
      <c r="O93" s="10">
        <v>0</v>
      </c>
      <c r="P93" s="20"/>
      <c r="Q93" s="10"/>
      <c r="R93" s="10"/>
      <c r="S93" s="10">
        <v>0</v>
      </c>
      <c r="T93" s="20"/>
      <c r="U93" s="10">
        <f t="shared" si="18"/>
        <v>0</v>
      </c>
      <c r="V93" s="12"/>
      <c r="W93" s="5">
        <f t="shared" si="19"/>
        <v>0</v>
      </c>
      <c r="X93" s="1" t="e">
        <f t="shared" si="20"/>
        <v>#DIV/0!</v>
      </c>
      <c r="Y93" s="1" t="e">
        <f t="shared" si="21"/>
        <v>#DIV/0!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 t="s">
        <v>47</v>
      </c>
      <c r="AK93" s="1">
        <f t="shared" si="22"/>
        <v>0</v>
      </c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135</v>
      </c>
      <c r="B94" s="1" t="s">
        <v>42</v>
      </c>
      <c r="C94" s="1">
        <v>-11</v>
      </c>
      <c r="D94" s="1">
        <v>47</v>
      </c>
      <c r="E94" s="1">
        <v>-1</v>
      </c>
      <c r="F94" s="1"/>
      <c r="G94" s="7">
        <v>0.3</v>
      </c>
      <c r="H94" s="1">
        <v>40</v>
      </c>
      <c r="I94" s="9" t="s">
        <v>49</v>
      </c>
      <c r="J94" s="1"/>
      <c r="K94" s="1">
        <v>3</v>
      </c>
      <c r="L94" s="1">
        <f t="shared" si="17"/>
        <v>-4</v>
      </c>
      <c r="M94" s="1"/>
      <c r="N94" s="1"/>
      <c r="O94" s="1">
        <v>50</v>
      </c>
      <c r="P94" s="17"/>
      <c r="Q94" s="1"/>
      <c r="R94" s="1"/>
      <c r="S94" s="1">
        <v>130</v>
      </c>
      <c r="T94" s="17"/>
      <c r="U94" s="1">
        <f t="shared" si="18"/>
        <v>-0.2</v>
      </c>
      <c r="V94" s="5">
        <v>50</v>
      </c>
      <c r="W94" s="5">
        <f t="shared" si="19"/>
        <v>50</v>
      </c>
      <c r="X94" s="1">
        <f t="shared" si="20"/>
        <v>-1150</v>
      </c>
      <c r="Y94" s="1">
        <f t="shared" si="21"/>
        <v>-900</v>
      </c>
      <c r="Z94" s="1">
        <v>0</v>
      </c>
      <c r="AA94" s="1">
        <v>-0.6</v>
      </c>
      <c r="AB94" s="1">
        <v>-1</v>
      </c>
      <c r="AC94" s="1">
        <v>-0.8</v>
      </c>
      <c r="AD94" s="1">
        <v>-1</v>
      </c>
      <c r="AE94" s="1">
        <v>-1.2</v>
      </c>
      <c r="AF94" s="1">
        <v>-1</v>
      </c>
      <c r="AG94" s="1">
        <v>5.4</v>
      </c>
      <c r="AH94" s="1">
        <v>28.6</v>
      </c>
      <c r="AI94" s="1">
        <v>48.6</v>
      </c>
      <c r="AJ94" s="1"/>
      <c r="AK94" s="1">
        <f t="shared" si="22"/>
        <v>15</v>
      </c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136</v>
      </c>
      <c r="B95" s="1" t="s">
        <v>42</v>
      </c>
      <c r="C95" s="1">
        <v>1</v>
      </c>
      <c r="D95" s="1"/>
      <c r="E95" s="1"/>
      <c r="F95" s="1"/>
      <c r="G95" s="7">
        <v>0.3</v>
      </c>
      <c r="H95" s="1"/>
      <c r="I95" s="1" t="s">
        <v>38</v>
      </c>
      <c r="J95" s="1"/>
      <c r="K95" s="1">
        <v>14</v>
      </c>
      <c r="L95" s="1">
        <f t="shared" si="17"/>
        <v>-14</v>
      </c>
      <c r="M95" s="1"/>
      <c r="N95" s="1"/>
      <c r="O95" s="1">
        <v>46.540799999999997</v>
      </c>
      <c r="P95" s="17"/>
      <c r="Q95" s="1"/>
      <c r="R95" s="1">
        <v>68.659200000000013</v>
      </c>
      <c r="S95" s="1">
        <v>125</v>
      </c>
      <c r="T95" s="17"/>
      <c r="U95" s="1">
        <f t="shared" si="18"/>
        <v>0</v>
      </c>
      <c r="V95" s="5"/>
      <c r="W95" s="5">
        <f t="shared" si="19"/>
        <v>0</v>
      </c>
      <c r="X95" s="1" t="e">
        <f t="shared" si="20"/>
        <v>#DIV/0!</v>
      </c>
      <c r="Y95" s="1" t="e">
        <f t="shared" si="21"/>
        <v>#DIV/0!</v>
      </c>
      <c r="Z95" s="1">
        <v>15.4</v>
      </c>
      <c r="AA95" s="1">
        <v>16.600000000000001</v>
      </c>
      <c r="AB95" s="1">
        <v>1.2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 t="s">
        <v>137</v>
      </c>
      <c r="AK95" s="1">
        <f t="shared" si="22"/>
        <v>0</v>
      </c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138</v>
      </c>
      <c r="B96" s="1" t="s">
        <v>42</v>
      </c>
      <c r="C96" s="1">
        <v>4</v>
      </c>
      <c r="D96" s="1">
        <v>86</v>
      </c>
      <c r="E96" s="1"/>
      <c r="F96" s="1">
        <v>49</v>
      </c>
      <c r="G96" s="7">
        <v>7.0000000000000007E-2</v>
      </c>
      <c r="H96" s="1">
        <v>90</v>
      </c>
      <c r="I96" s="9" t="s">
        <v>49</v>
      </c>
      <c r="J96" s="1"/>
      <c r="K96" s="1">
        <v>13</v>
      </c>
      <c r="L96" s="1">
        <f t="shared" si="17"/>
        <v>-13</v>
      </c>
      <c r="M96" s="1"/>
      <c r="N96" s="1"/>
      <c r="O96" s="1">
        <v>30</v>
      </c>
      <c r="P96" s="17"/>
      <c r="Q96" s="1">
        <v>-36</v>
      </c>
      <c r="R96" s="1"/>
      <c r="S96" s="1">
        <v>50</v>
      </c>
      <c r="T96" s="17"/>
      <c r="U96" s="1">
        <f t="shared" si="18"/>
        <v>0</v>
      </c>
      <c r="V96" s="5"/>
      <c r="W96" s="5">
        <f t="shared" si="19"/>
        <v>0</v>
      </c>
      <c r="X96" s="1" t="e">
        <f t="shared" si="20"/>
        <v>#DIV/0!</v>
      </c>
      <c r="Y96" s="1" t="e">
        <f t="shared" si="21"/>
        <v>#DIV/0!</v>
      </c>
      <c r="Z96" s="1">
        <v>3.6</v>
      </c>
      <c r="AA96" s="1">
        <v>10</v>
      </c>
      <c r="AB96" s="1">
        <v>9.4</v>
      </c>
      <c r="AC96" s="1">
        <v>5.2</v>
      </c>
      <c r="AD96" s="1">
        <v>7.6</v>
      </c>
      <c r="AE96" s="1">
        <v>16</v>
      </c>
      <c r="AF96" s="1">
        <v>18.2</v>
      </c>
      <c r="AG96" s="1">
        <v>15.2</v>
      </c>
      <c r="AH96" s="1">
        <v>12.6</v>
      </c>
      <c r="AI96" s="1">
        <v>7</v>
      </c>
      <c r="AJ96" s="1"/>
      <c r="AK96" s="1">
        <f t="shared" si="22"/>
        <v>0</v>
      </c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139</v>
      </c>
      <c r="B97" s="1" t="s">
        <v>42</v>
      </c>
      <c r="C97" s="1">
        <v>24</v>
      </c>
      <c r="D97" s="1">
        <v>61</v>
      </c>
      <c r="E97" s="1">
        <v>23</v>
      </c>
      <c r="F97" s="1">
        <v>51</v>
      </c>
      <c r="G97" s="7">
        <v>7.0000000000000007E-2</v>
      </c>
      <c r="H97" s="1">
        <v>90</v>
      </c>
      <c r="I97" s="9" t="s">
        <v>49</v>
      </c>
      <c r="J97" s="1"/>
      <c r="K97" s="1">
        <v>23</v>
      </c>
      <c r="L97" s="1">
        <f t="shared" si="17"/>
        <v>0</v>
      </c>
      <c r="M97" s="1"/>
      <c r="N97" s="1"/>
      <c r="O97" s="1">
        <v>42.400000000000013</v>
      </c>
      <c r="P97" s="17"/>
      <c r="Q97" s="1">
        <v>-53.999999999999993</v>
      </c>
      <c r="R97" s="1"/>
      <c r="S97" s="1">
        <v>50</v>
      </c>
      <c r="T97" s="17"/>
      <c r="U97" s="1">
        <f t="shared" si="18"/>
        <v>4.5999999999999996</v>
      </c>
      <c r="V97" s="5">
        <v>10</v>
      </c>
      <c r="W97" s="5">
        <f t="shared" si="19"/>
        <v>10</v>
      </c>
      <c r="X97" s="1">
        <f t="shared" si="20"/>
        <v>21.608695652173918</v>
      </c>
      <c r="Y97" s="1">
        <f t="shared" si="21"/>
        <v>19.434782608695656</v>
      </c>
      <c r="Z97" s="1">
        <v>8.1999999999999993</v>
      </c>
      <c r="AA97" s="1">
        <v>9</v>
      </c>
      <c r="AB97" s="1">
        <v>8.6</v>
      </c>
      <c r="AC97" s="1">
        <v>4.2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/>
      <c r="AK97" s="1">
        <f t="shared" si="22"/>
        <v>1</v>
      </c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140</v>
      </c>
      <c r="B98" s="1" t="s">
        <v>42</v>
      </c>
      <c r="C98" s="1">
        <v>211</v>
      </c>
      <c r="D98" s="1">
        <v>23</v>
      </c>
      <c r="E98" s="1">
        <v>51</v>
      </c>
      <c r="F98" s="1">
        <v>142</v>
      </c>
      <c r="G98" s="7">
        <v>7.0000000000000007E-2</v>
      </c>
      <c r="H98" s="1">
        <v>90</v>
      </c>
      <c r="I98" s="9" t="s">
        <v>49</v>
      </c>
      <c r="J98" s="1"/>
      <c r="K98" s="1">
        <v>51</v>
      </c>
      <c r="L98" s="1">
        <f t="shared" si="17"/>
        <v>0</v>
      </c>
      <c r="M98" s="1"/>
      <c r="N98" s="1"/>
      <c r="O98" s="1">
        <v>0</v>
      </c>
      <c r="P98" s="17"/>
      <c r="Q98" s="1"/>
      <c r="R98" s="1"/>
      <c r="S98" s="1">
        <v>0</v>
      </c>
      <c r="T98" s="17"/>
      <c r="U98" s="1">
        <f t="shared" si="18"/>
        <v>10.199999999999999</v>
      </c>
      <c r="V98" s="5"/>
      <c r="W98" s="5">
        <f t="shared" si="19"/>
        <v>0</v>
      </c>
      <c r="X98" s="1">
        <f t="shared" si="20"/>
        <v>13.921568627450981</v>
      </c>
      <c r="Y98" s="1">
        <f t="shared" si="21"/>
        <v>13.921568627450981</v>
      </c>
      <c r="Z98" s="1">
        <v>13.6</v>
      </c>
      <c r="AA98" s="1">
        <v>13.6</v>
      </c>
      <c r="AB98" s="1">
        <v>14.2</v>
      </c>
      <c r="AC98" s="1">
        <v>7</v>
      </c>
      <c r="AD98" s="1">
        <v>-0.2</v>
      </c>
      <c r="AE98" s="1">
        <v>10</v>
      </c>
      <c r="AF98" s="1">
        <v>17.2</v>
      </c>
      <c r="AG98" s="1">
        <v>13</v>
      </c>
      <c r="AH98" s="1">
        <v>12.2</v>
      </c>
      <c r="AI98" s="1">
        <v>9.1999999999999993</v>
      </c>
      <c r="AJ98" s="1"/>
      <c r="AK98" s="1">
        <f t="shared" si="22"/>
        <v>0</v>
      </c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0" t="s">
        <v>141</v>
      </c>
      <c r="B99" s="10" t="s">
        <v>42</v>
      </c>
      <c r="C99" s="10">
        <v>7</v>
      </c>
      <c r="D99" s="10">
        <v>1</v>
      </c>
      <c r="E99" s="10">
        <v>-2</v>
      </c>
      <c r="F99" s="10"/>
      <c r="G99" s="11">
        <v>0</v>
      </c>
      <c r="H99" s="10">
        <v>90</v>
      </c>
      <c r="I99" s="10" t="s">
        <v>64</v>
      </c>
      <c r="J99" s="10"/>
      <c r="K99" s="10">
        <v>9</v>
      </c>
      <c r="L99" s="10">
        <f t="shared" si="17"/>
        <v>-11</v>
      </c>
      <c r="M99" s="10"/>
      <c r="N99" s="10"/>
      <c r="O99" s="10">
        <v>0</v>
      </c>
      <c r="P99" s="20"/>
      <c r="Q99" s="10"/>
      <c r="R99" s="10"/>
      <c r="S99" s="10">
        <v>0</v>
      </c>
      <c r="T99" s="20"/>
      <c r="U99" s="10">
        <f t="shared" si="18"/>
        <v>-0.4</v>
      </c>
      <c r="V99" s="12"/>
      <c r="W99" s="5">
        <f t="shared" si="19"/>
        <v>0</v>
      </c>
      <c r="X99" s="1">
        <f t="shared" si="20"/>
        <v>0</v>
      </c>
      <c r="Y99" s="1">
        <f t="shared" si="21"/>
        <v>0</v>
      </c>
      <c r="Z99" s="10">
        <v>-0.6</v>
      </c>
      <c r="AA99" s="10">
        <v>-0.2</v>
      </c>
      <c r="AB99" s="10">
        <v>0</v>
      </c>
      <c r="AC99" s="10">
        <v>0</v>
      </c>
      <c r="AD99" s="10">
        <v>0</v>
      </c>
      <c r="AE99" s="10">
        <v>-0.2</v>
      </c>
      <c r="AF99" s="10">
        <v>-0.2</v>
      </c>
      <c r="AG99" s="10">
        <v>-0.2</v>
      </c>
      <c r="AH99" s="10">
        <v>-0.6</v>
      </c>
      <c r="AI99" s="10">
        <v>-0.4</v>
      </c>
      <c r="AJ99" s="10"/>
      <c r="AK99" s="1">
        <f t="shared" si="22"/>
        <v>0</v>
      </c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0" t="s">
        <v>142</v>
      </c>
      <c r="B100" s="10" t="s">
        <v>42</v>
      </c>
      <c r="C100" s="10">
        <v>1</v>
      </c>
      <c r="D100" s="10">
        <v>1</v>
      </c>
      <c r="E100" s="10">
        <v>-2</v>
      </c>
      <c r="F100" s="10"/>
      <c r="G100" s="11">
        <v>0</v>
      </c>
      <c r="H100" s="10"/>
      <c r="I100" s="10" t="s">
        <v>64</v>
      </c>
      <c r="J100" s="10"/>
      <c r="K100" s="10">
        <v>10</v>
      </c>
      <c r="L100" s="10">
        <f t="shared" si="17"/>
        <v>-12</v>
      </c>
      <c r="M100" s="10"/>
      <c r="N100" s="10"/>
      <c r="O100" s="10">
        <v>0</v>
      </c>
      <c r="P100" s="20"/>
      <c r="Q100" s="10"/>
      <c r="R100" s="10"/>
      <c r="S100" s="10">
        <v>0</v>
      </c>
      <c r="T100" s="20"/>
      <c r="U100" s="10">
        <f t="shared" si="18"/>
        <v>-0.4</v>
      </c>
      <c r="V100" s="12"/>
      <c r="W100" s="5">
        <f t="shared" si="19"/>
        <v>0</v>
      </c>
      <c r="X100" s="1">
        <f t="shared" si="20"/>
        <v>0</v>
      </c>
      <c r="Y100" s="1">
        <f t="shared" si="21"/>
        <v>0</v>
      </c>
      <c r="Z100" s="10">
        <v>-0.6</v>
      </c>
      <c r="AA100" s="10">
        <v>-0.2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-0.2</v>
      </c>
      <c r="AH100" s="10">
        <v>-0.2</v>
      </c>
      <c r="AI100" s="10">
        <v>-0.2</v>
      </c>
      <c r="AJ100" s="10" t="s">
        <v>143</v>
      </c>
      <c r="AK100" s="1">
        <f t="shared" si="22"/>
        <v>0</v>
      </c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144</v>
      </c>
      <c r="B101" s="1" t="s">
        <v>42</v>
      </c>
      <c r="C101" s="1">
        <v>1</v>
      </c>
      <c r="D101" s="1"/>
      <c r="E101" s="1"/>
      <c r="F101" s="1"/>
      <c r="G101" s="7">
        <v>0.3</v>
      </c>
      <c r="H101" s="1"/>
      <c r="I101" s="1" t="s">
        <v>38</v>
      </c>
      <c r="J101" s="1"/>
      <c r="K101" s="1">
        <v>14</v>
      </c>
      <c r="L101" s="1">
        <f t="shared" si="17"/>
        <v>-14</v>
      </c>
      <c r="M101" s="1"/>
      <c r="N101" s="1"/>
      <c r="O101" s="1">
        <v>46.540799999999997</v>
      </c>
      <c r="P101" s="17"/>
      <c r="Q101" s="1"/>
      <c r="R101" s="1">
        <v>68.659200000000013</v>
      </c>
      <c r="S101" s="1">
        <v>125</v>
      </c>
      <c r="T101" s="17"/>
      <c r="U101" s="1">
        <f t="shared" si="18"/>
        <v>0</v>
      </c>
      <c r="V101" s="5"/>
      <c r="W101" s="5">
        <f t="shared" si="19"/>
        <v>0</v>
      </c>
      <c r="X101" s="1" t="e">
        <f t="shared" si="20"/>
        <v>#DIV/0!</v>
      </c>
      <c r="Y101" s="1" t="e">
        <f t="shared" si="21"/>
        <v>#DIV/0!</v>
      </c>
      <c r="Z101" s="1">
        <v>15.4</v>
      </c>
      <c r="AA101" s="1">
        <v>16.600000000000001</v>
      </c>
      <c r="AB101" s="1">
        <v>1.2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 t="s">
        <v>137</v>
      </c>
      <c r="AK101" s="1">
        <f t="shared" si="22"/>
        <v>0</v>
      </c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0" t="s">
        <v>145</v>
      </c>
      <c r="B102" s="10" t="s">
        <v>37</v>
      </c>
      <c r="C102" s="10">
        <v>-3.173</v>
      </c>
      <c r="D102" s="10">
        <v>4.8179999999999996</v>
      </c>
      <c r="E102" s="10"/>
      <c r="F102" s="10"/>
      <c r="G102" s="11">
        <v>0</v>
      </c>
      <c r="H102" s="10"/>
      <c r="I102" s="10" t="s">
        <v>38</v>
      </c>
      <c r="J102" s="10"/>
      <c r="K102" s="10"/>
      <c r="L102" s="10">
        <f t="shared" ref="L102:L133" si="24">E102-K102</f>
        <v>0</v>
      </c>
      <c r="M102" s="10"/>
      <c r="N102" s="10"/>
      <c r="O102" s="10">
        <v>0</v>
      </c>
      <c r="P102" s="20"/>
      <c r="Q102" s="10"/>
      <c r="R102" s="10"/>
      <c r="S102" s="10">
        <v>0</v>
      </c>
      <c r="T102" s="20"/>
      <c r="U102" s="10">
        <f t="shared" ref="U102:U134" si="25">E102/5</f>
        <v>0</v>
      </c>
      <c r="V102" s="12"/>
      <c r="W102" s="5">
        <f t="shared" si="19"/>
        <v>0</v>
      </c>
      <c r="X102" s="1" t="e">
        <f t="shared" si="20"/>
        <v>#DIV/0!</v>
      </c>
      <c r="Y102" s="1" t="e">
        <f t="shared" si="21"/>
        <v>#DIV/0!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-0.32</v>
      </c>
      <c r="AI102" s="10">
        <v>-0.32</v>
      </c>
      <c r="AJ102" s="10" t="s">
        <v>47</v>
      </c>
      <c r="AK102" s="1">
        <f t="shared" si="22"/>
        <v>0</v>
      </c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0" t="s">
        <v>146</v>
      </c>
      <c r="B103" s="10" t="s">
        <v>42</v>
      </c>
      <c r="C103" s="10"/>
      <c r="D103" s="10"/>
      <c r="E103" s="10"/>
      <c r="F103" s="10"/>
      <c r="G103" s="11">
        <v>0</v>
      </c>
      <c r="H103" s="10"/>
      <c r="I103" s="10" t="s">
        <v>38</v>
      </c>
      <c r="J103" s="10"/>
      <c r="K103" s="10"/>
      <c r="L103" s="10">
        <f t="shared" si="24"/>
        <v>0</v>
      </c>
      <c r="M103" s="10"/>
      <c r="N103" s="10"/>
      <c r="O103" s="10">
        <v>0</v>
      </c>
      <c r="P103" s="20"/>
      <c r="Q103" s="10"/>
      <c r="R103" s="10"/>
      <c r="S103" s="10">
        <v>0</v>
      </c>
      <c r="T103" s="20"/>
      <c r="U103" s="10">
        <f t="shared" si="25"/>
        <v>0</v>
      </c>
      <c r="V103" s="12"/>
      <c r="W103" s="5">
        <f t="shared" si="19"/>
        <v>0</v>
      </c>
      <c r="X103" s="1" t="e">
        <f t="shared" si="20"/>
        <v>#DIV/0!</v>
      </c>
      <c r="Y103" s="1" t="e">
        <f t="shared" si="21"/>
        <v>#DIV/0!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 t="s">
        <v>47</v>
      </c>
      <c r="AK103" s="1">
        <f t="shared" si="22"/>
        <v>0</v>
      </c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0" t="s">
        <v>147</v>
      </c>
      <c r="B104" s="10" t="s">
        <v>42</v>
      </c>
      <c r="C104" s="10"/>
      <c r="D104" s="10"/>
      <c r="E104" s="10"/>
      <c r="F104" s="10"/>
      <c r="G104" s="11">
        <v>0</v>
      </c>
      <c r="H104" s="10"/>
      <c r="I104" s="10" t="s">
        <v>38</v>
      </c>
      <c r="J104" s="10"/>
      <c r="K104" s="10"/>
      <c r="L104" s="10">
        <f t="shared" si="24"/>
        <v>0</v>
      </c>
      <c r="M104" s="10"/>
      <c r="N104" s="10"/>
      <c r="O104" s="10">
        <v>0</v>
      </c>
      <c r="P104" s="20"/>
      <c r="Q104" s="10"/>
      <c r="R104" s="10"/>
      <c r="S104" s="10">
        <v>0</v>
      </c>
      <c r="T104" s="20"/>
      <c r="U104" s="10">
        <f t="shared" si="25"/>
        <v>0</v>
      </c>
      <c r="V104" s="12"/>
      <c r="W104" s="5">
        <f t="shared" si="19"/>
        <v>0</v>
      </c>
      <c r="X104" s="1" t="e">
        <f t="shared" si="20"/>
        <v>#DIV/0!</v>
      </c>
      <c r="Y104" s="1" t="e">
        <f t="shared" si="21"/>
        <v>#DIV/0!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 t="s">
        <v>47</v>
      </c>
      <c r="AK104" s="1">
        <f t="shared" si="22"/>
        <v>0</v>
      </c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148</v>
      </c>
      <c r="B105" s="1" t="s">
        <v>42</v>
      </c>
      <c r="C105" s="1">
        <v>172</v>
      </c>
      <c r="D105" s="1">
        <v>112</v>
      </c>
      <c r="E105" s="1">
        <v>63</v>
      </c>
      <c r="F105" s="1">
        <v>135</v>
      </c>
      <c r="G105" s="7">
        <v>0.08</v>
      </c>
      <c r="H105" s="1">
        <v>45</v>
      </c>
      <c r="I105" s="1" t="s">
        <v>38</v>
      </c>
      <c r="J105" s="1"/>
      <c r="K105" s="1">
        <v>61</v>
      </c>
      <c r="L105" s="1">
        <f t="shared" si="24"/>
        <v>2</v>
      </c>
      <c r="M105" s="1"/>
      <c r="N105" s="1"/>
      <c r="O105" s="1">
        <v>42.824000000000026</v>
      </c>
      <c r="P105" s="17"/>
      <c r="Q105" s="1"/>
      <c r="R105" s="1">
        <v>63.17600000000003</v>
      </c>
      <c r="S105" s="1">
        <v>100</v>
      </c>
      <c r="T105" s="17"/>
      <c r="U105" s="1">
        <f t="shared" si="25"/>
        <v>12.6</v>
      </c>
      <c r="V105" s="5"/>
      <c r="W105" s="5">
        <f t="shared" si="19"/>
        <v>0</v>
      </c>
      <c r="X105" s="1">
        <f t="shared" si="20"/>
        <v>27.06349206349207</v>
      </c>
      <c r="Y105" s="1">
        <f t="shared" si="21"/>
        <v>27.06349206349207</v>
      </c>
      <c r="Z105" s="1">
        <v>23.2</v>
      </c>
      <c r="AA105" s="1">
        <v>25.6</v>
      </c>
      <c r="AB105" s="1">
        <v>25.2</v>
      </c>
      <c r="AC105" s="1">
        <v>14</v>
      </c>
      <c r="AD105" s="1">
        <v>0.6</v>
      </c>
      <c r="AE105" s="1">
        <v>11.2</v>
      </c>
      <c r="AF105" s="1">
        <v>23.6</v>
      </c>
      <c r="AG105" s="1">
        <v>19</v>
      </c>
      <c r="AH105" s="1">
        <v>14.6</v>
      </c>
      <c r="AI105" s="1">
        <v>11.6</v>
      </c>
      <c r="AJ105" s="14" t="s">
        <v>56</v>
      </c>
      <c r="AK105" s="1">
        <f t="shared" si="22"/>
        <v>0</v>
      </c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149</v>
      </c>
      <c r="B106" s="1" t="s">
        <v>42</v>
      </c>
      <c r="C106" s="1">
        <v>163</v>
      </c>
      <c r="D106" s="1">
        <v>202</v>
      </c>
      <c r="E106" s="1">
        <v>106</v>
      </c>
      <c r="F106" s="1">
        <v>153</v>
      </c>
      <c r="G106" s="7">
        <v>0.08</v>
      </c>
      <c r="H106" s="1">
        <v>45</v>
      </c>
      <c r="I106" s="1" t="s">
        <v>38</v>
      </c>
      <c r="J106" s="1"/>
      <c r="K106" s="1">
        <v>101</v>
      </c>
      <c r="L106" s="1">
        <f t="shared" si="24"/>
        <v>5</v>
      </c>
      <c r="M106" s="1"/>
      <c r="N106" s="1"/>
      <c r="O106" s="1">
        <v>98.600000000000023</v>
      </c>
      <c r="P106" s="17"/>
      <c r="Q106" s="1"/>
      <c r="R106" s="1"/>
      <c r="S106" s="1">
        <v>50.399999999999977</v>
      </c>
      <c r="T106" s="17"/>
      <c r="U106" s="1">
        <f t="shared" si="25"/>
        <v>21.2</v>
      </c>
      <c r="V106" s="5"/>
      <c r="W106" s="5">
        <f t="shared" si="19"/>
        <v>0</v>
      </c>
      <c r="X106" s="1">
        <f t="shared" si="20"/>
        <v>14.245283018867925</v>
      </c>
      <c r="Y106" s="1">
        <f t="shared" si="21"/>
        <v>14.245283018867925</v>
      </c>
      <c r="Z106" s="1">
        <v>28</v>
      </c>
      <c r="AA106" s="1">
        <v>29.8</v>
      </c>
      <c r="AB106" s="1">
        <v>31</v>
      </c>
      <c r="AC106" s="1">
        <v>18.2</v>
      </c>
      <c r="AD106" s="1">
        <v>11</v>
      </c>
      <c r="AE106" s="1">
        <v>21</v>
      </c>
      <c r="AF106" s="1">
        <v>22.2</v>
      </c>
      <c r="AG106" s="1">
        <v>14.4</v>
      </c>
      <c r="AH106" s="1">
        <v>15.6</v>
      </c>
      <c r="AI106" s="1">
        <v>9.8000000000000007</v>
      </c>
      <c r="AJ106" s="1" t="s">
        <v>81</v>
      </c>
      <c r="AK106" s="1">
        <f t="shared" si="22"/>
        <v>0</v>
      </c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0" t="s">
        <v>150</v>
      </c>
      <c r="B107" s="10" t="s">
        <v>42</v>
      </c>
      <c r="C107" s="10"/>
      <c r="D107" s="10"/>
      <c r="E107" s="10"/>
      <c r="F107" s="10"/>
      <c r="G107" s="11">
        <v>0</v>
      </c>
      <c r="H107" s="10"/>
      <c r="I107" s="10" t="s">
        <v>38</v>
      </c>
      <c r="J107" s="10"/>
      <c r="K107" s="10"/>
      <c r="L107" s="10">
        <f t="shared" si="24"/>
        <v>0</v>
      </c>
      <c r="M107" s="10"/>
      <c r="N107" s="10"/>
      <c r="O107" s="10">
        <v>0</v>
      </c>
      <c r="P107" s="20"/>
      <c r="Q107" s="10"/>
      <c r="R107" s="10"/>
      <c r="S107" s="10">
        <v>0</v>
      </c>
      <c r="T107" s="20"/>
      <c r="U107" s="10">
        <f t="shared" si="25"/>
        <v>0</v>
      </c>
      <c r="V107" s="12"/>
      <c r="W107" s="5">
        <f t="shared" si="19"/>
        <v>0</v>
      </c>
      <c r="X107" s="1" t="e">
        <f t="shared" si="20"/>
        <v>#DIV/0!</v>
      </c>
      <c r="Y107" s="1" t="e">
        <f t="shared" si="21"/>
        <v>#DIV/0!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 t="s">
        <v>47</v>
      </c>
      <c r="AK107" s="1">
        <f t="shared" si="22"/>
        <v>0</v>
      </c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151</v>
      </c>
      <c r="B108" s="1" t="s">
        <v>37</v>
      </c>
      <c r="C108" s="1">
        <v>4.3920000000000003</v>
      </c>
      <c r="D108" s="1">
        <v>120.426</v>
      </c>
      <c r="E108" s="1">
        <v>3.5870000000000002</v>
      </c>
      <c r="F108" s="1"/>
      <c r="G108" s="7">
        <v>1</v>
      </c>
      <c r="H108" s="1">
        <v>40</v>
      </c>
      <c r="I108" s="9" t="s">
        <v>49</v>
      </c>
      <c r="J108" s="1"/>
      <c r="K108" s="1">
        <v>29.8</v>
      </c>
      <c r="L108" s="1">
        <f t="shared" si="24"/>
        <v>-26.213000000000001</v>
      </c>
      <c r="M108" s="1"/>
      <c r="N108" s="1"/>
      <c r="O108" s="1">
        <v>100</v>
      </c>
      <c r="P108" s="17"/>
      <c r="Q108" s="1"/>
      <c r="R108" s="1"/>
      <c r="S108" s="1">
        <v>250</v>
      </c>
      <c r="T108" s="17"/>
      <c r="U108" s="1">
        <f t="shared" si="25"/>
        <v>0.71740000000000004</v>
      </c>
      <c r="V108" s="5"/>
      <c r="W108" s="5">
        <f t="shared" si="19"/>
        <v>0</v>
      </c>
      <c r="X108" s="1">
        <f t="shared" si="20"/>
        <v>487.87287426819069</v>
      </c>
      <c r="Y108" s="1">
        <f t="shared" si="21"/>
        <v>487.87287426819069</v>
      </c>
      <c r="Z108" s="1">
        <v>13.458399999999999</v>
      </c>
      <c r="AA108" s="1">
        <v>17.5322</v>
      </c>
      <c r="AB108" s="1">
        <v>21.331199999999999</v>
      </c>
      <c r="AC108" s="1">
        <v>16.2516</v>
      </c>
      <c r="AD108" s="1">
        <v>0.43880000000000002</v>
      </c>
      <c r="AE108" s="1">
        <v>18.152000000000001</v>
      </c>
      <c r="AF108" s="1">
        <v>37.6066</v>
      </c>
      <c r="AG108" s="1">
        <v>48.525799999999997</v>
      </c>
      <c r="AH108" s="1">
        <v>48.293199999999999</v>
      </c>
      <c r="AI108" s="1">
        <v>40.6768</v>
      </c>
      <c r="AJ108" s="1"/>
      <c r="AK108" s="1">
        <f t="shared" si="22"/>
        <v>0</v>
      </c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152</v>
      </c>
      <c r="B109" s="1" t="s">
        <v>37</v>
      </c>
      <c r="C109" s="1">
        <v>-0.28399999999999997</v>
      </c>
      <c r="D109" s="1">
        <v>270.29000000000002</v>
      </c>
      <c r="E109" s="1">
        <v>155.828</v>
      </c>
      <c r="F109" s="1">
        <v>-1.4159999999999999</v>
      </c>
      <c r="G109" s="7">
        <v>1</v>
      </c>
      <c r="H109" s="1">
        <v>40</v>
      </c>
      <c r="I109" s="9" t="s">
        <v>49</v>
      </c>
      <c r="J109" s="1"/>
      <c r="K109" s="1">
        <v>236.9</v>
      </c>
      <c r="L109" s="1">
        <f t="shared" si="24"/>
        <v>-81.072000000000003</v>
      </c>
      <c r="M109" s="1"/>
      <c r="N109" s="1"/>
      <c r="O109" s="1">
        <v>100</v>
      </c>
      <c r="P109" s="17"/>
      <c r="Q109" s="1"/>
      <c r="R109" s="1"/>
      <c r="S109" s="1">
        <v>250</v>
      </c>
      <c r="T109" s="17"/>
      <c r="U109" s="1">
        <f t="shared" si="25"/>
        <v>31.165600000000001</v>
      </c>
      <c r="V109" s="5">
        <v>60</v>
      </c>
      <c r="W109" s="5">
        <f t="shared" si="19"/>
        <v>60</v>
      </c>
      <c r="X109" s="1">
        <f t="shared" si="20"/>
        <v>13.110095746592396</v>
      </c>
      <c r="Y109" s="1">
        <f t="shared" si="21"/>
        <v>11.18489616756937</v>
      </c>
      <c r="Z109" s="1">
        <v>32.430599999999998</v>
      </c>
      <c r="AA109" s="1">
        <v>18.595400000000001</v>
      </c>
      <c r="AB109" s="1">
        <v>14.566599999999999</v>
      </c>
      <c r="AC109" s="1">
        <v>10.164199999999999</v>
      </c>
      <c r="AD109" s="1">
        <v>1.1066</v>
      </c>
      <c r="AE109" s="1">
        <v>18.8582</v>
      </c>
      <c r="AF109" s="1">
        <v>41.940399999999997</v>
      </c>
      <c r="AG109" s="1">
        <v>51.450800000000001</v>
      </c>
      <c r="AH109" s="1">
        <v>46.6586</v>
      </c>
      <c r="AI109" s="1">
        <v>38.007399999999997</v>
      </c>
      <c r="AJ109" s="1"/>
      <c r="AK109" s="1">
        <f t="shared" si="22"/>
        <v>60</v>
      </c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153</v>
      </c>
      <c r="B110" s="1" t="s">
        <v>37</v>
      </c>
      <c r="C110" s="1">
        <v>8.0519999999999996</v>
      </c>
      <c r="D110" s="1">
        <v>108.69199999999999</v>
      </c>
      <c r="E110" s="1">
        <v>-2.1150000000000002</v>
      </c>
      <c r="F110" s="1"/>
      <c r="G110" s="7">
        <v>1</v>
      </c>
      <c r="H110" s="1">
        <v>40</v>
      </c>
      <c r="I110" s="9" t="s">
        <v>49</v>
      </c>
      <c r="J110" s="1"/>
      <c r="K110" s="1">
        <v>34.299999999999997</v>
      </c>
      <c r="L110" s="1">
        <f t="shared" si="24"/>
        <v>-36.414999999999999</v>
      </c>
      <c r="M110" s="1"/>
      <c r="N110" s="1"/>
      <c r="O110" s="1">
        <v>150</v>
      </c>
      <c r="P110" s="17"/>
      <c r="Q110" s="1">
        <v>-150.5</v>
      </c>
      <c r="R110" s="1"/>
      <c r="S110" s="1">
        <v>250</v>
      </c>
      <c r="T110" s="17"/>
      <c r="U110" s="1">
        <f t="shared" si="25"/>
        <v>-0.42300000000000004</v>
      </c>
      <c r="V110" s="5">
        <v>50</v>
      </c>
      <c r="W110" s="5">
        <f t="shared" si="19"/>
        <v>50</v>
      </c>
      <c r="X110" s="1">
        <f t="shared" si="20"/>
        <v>-708.03782505910158</v>
      </c>
      <c r="Y110" s="1">
        <f t="shared" si="21"/>
        <v>-589.8345153664302</v>
      </c>
      <c r="Z110" s="1">
        <v>-0.71120000000000005</v>
      </c>
      <c r="AA110" s="1">
        <v>-0.85540000000000005</v>
      </c>
      <c r="AB110" s="1">
        <v>-0.56600000000000006</v>
      </c>
      <c r="AC110" s="1">
        <v>-0.42</v>
      </c>
      <c r="AD110" s="1">
        <v>-0.42220000000000002</v>
      </c>
      <c r="AE110" s="1">
        <v>-1.1372</v>
      </c>
      <c r="AF110" s="1">
        <v>-1.2682</v>
      </c>
      <c r="AG110" s="1">
        <v>29.753599999999999</v>
      </c>
      <c r="AH110" s="1">
        <v>60.248199999999997</v>
      </c>
      <c r="AI110" s="1">
        <v>61.4514</v>
      </c>
      <c r="AJ110" s="1"/>
      <c r="AK110" s="1">
        <f t="shared" si="22"/>
        <v>50</v>
      </c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0" t="s">
        <v>154</v>
      </c>
      <c r="B111" s="10" t="s">
        <v>42</v>
      </c>
      <c r="C111" s="10"/>
      <c r="D111" s="10"/>
      <c r="E111" s="10"/>
      <c r="F111" s="10"/>
      <c r="G111" s="11">
        <v>0</v>
      </c>
      <c r="H111" s="10"/>
      <c r="I111" s="10" t="s">
        <v>38</v>
      </c>
      <c r="J111" s="10"/>
      <c r="K111" s="10"/>
      <c r="L111" s="10">
        <f t="shared" si="24"/>
        <v>0</v>
      </c>
      <c r="M111" s="10"/>
      <c r="N111" s="10"/>
      <c r="O111" s="10">
        <v>0</v>
      </c>
      <c r="P111" s="20"/>
      <c r="Q111" s="10"/>
      <c r="R111" s="10"/>
      <c r="S111" s="10">
        <v>0</v>
      </c>
      <c r="T111" s="20"/>
      <c r="U111" s="10">
        <f t="shared" si="25"/>
        <v>0</v>
      </c>
      <c r="V111" s="12"/>
      <c r="W111" s="5">
        <f t="shared" si="19"/>
        <v>0</v>
      </c>
      <c r="X111" s="1" t="e">
        <f t="shared" si="20"/>
        <v>#DIV/0!</v>
      </c>
      <c r="Y111" s="1" t="e">
        <f t="shared" si="21"/>
        <v>#DIV/0!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 t="s">
        <v>47</v>
      </c>
      <c r="AK111" s="1">
        <f t="shared" si="22"/>
        <v>0</v>
      </c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0" t="s">
        <v>155</v>
      </c>
      <c r="B112" s="10" t="s">
        <v>42</v>
      </c>
      <c r="C112" s="10"/>
      <c r="D112" s="10"/>
      <c r="E112" s="10"/>
      <c r="F112" s="10"/>
      <c r="G112" s="11">
        <v>0</v>
      </c>
      <c r="H112" s="10"/>
      <c r="I112" s="10" t="s">
        <v>38</v>
      </c>
      <c r="J112" s="10"/>
      <c r="K112" s="10"/>
      <c r="L112" s="10">
        <f t="shared" si="24"/>
        <v>0</v>
      </c>
      <c r="M112" s="10"/>
      <c r="N112" s="10"/>
      <c r="O112" s="10">
        <v>0</v>
      </c>
      <c r="P112" s="20"/>
      <c r="Q112" s="10"/>
      <c r="R112" s="10"/>
      <c r="S112" s="10">
        <v>0</v>
      </c>
      <c r="T112" s="20"/>
      <c r="U112" s="10">
        <f t="shared" si="25"/>
        <v>0</v>
      </c>
      <c r="V112" s="12"/>
      <c r="W112" s="5">
        <f t="shared" si="19"/>
        <v>0</v>
      </c>
      <c r="X112" s="1" t="e">
        <f t="shared" si="20"/>
        <v>#DIV/0!</v>
      </c>
      <c r="Y112" s="1" t="e">
        <f t="shared" si="21"/>
        <v>#DIV/0!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 t="s">
        <v>47</v>
      </c>
      <c r="AK112" s="1">
        <f t="shared" si="22"/>
        <v>0</v>
      </c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156</v>
      </c>
      <c r="B113" s="1" t="s">
        <v>42</v>
      </c>
      <c r="C113" s="1">
        <v>7</v>
      </c>
      <c r="D113" s="1">
        <v>242</v>
      </c>
      <c r="E113" s="1"/>
      <c r="F113" s="1">
        <v>30</v>
      </c>
      <c r="G113" s="7">
        <v>0.28000000000000003</v>
      </c>
      <c r="H113" s="1">
        <v>40</v>
      </c>
      <c r="I113" s="9" t="s">
        <v>49</v>
      </c>
      <c r="J113" s="1"/>
      <c r="K113" s="1">
        <v>19</v>
      </c>
      <c r="L113" s="1">
        <f t="shared" si="24"/>
        <v>-19</v>
      </c>
      <c r="M113" s="1"/>
      <c r="N113" s="1"/>
      <c r="O113" s="1">
        <v>80</v>
      </c>
      <c r="P113" s="17"/>
      <c r="Q113" s="1"/>
      <c r="R113" s="1"/>
      <c r="S113" s="1">
        <v>250</v>
      </c>
      <c r="T113" s="17"/>
      <c r="U113" s="1">
        <f t="shared" si="25"/>
        <v>0</v>
      </c>
      <c r="V113" s="5"/>
      <c r="W113" s="5">
        <f t="shared" si="19"/>
        <v>0</v>
      </c>
      <c r="X113" s="1" t="e">
        <f t="shared" si="20"/>
        <v>#DIV/0!</v>
      </c>
      <c r="Y113" s="1" t="e">
        <f t="shared" si="21"/>
        <v>#DIV/0!</v>
      </c>
      <c r="Z113" s="1">
        <v>7.6</v>
      </c>
      <c r="AA113" s="1">
        <v>22.8</v>
      </c>
      <c r="AB113" s="1">
        <v>33.799999999999997</v>
      </c>
      <c r="AC113" s="1">
        <v>17.8</v>
      </c>
      <c r="AD113" s="1">
        <v>-1.2</v>
      </c>
      <c r="AE113" s="1">
        <v>19.2</v>
      </c>
      <c r="AF113" s="1">
        <v>56.6</v>
      </c>
      <c r="AG113" s="1">
        <v>41</v>
      </c>
      <c r="AH113" s="1">
        <v>1</v>
      </c>
      <c r="AI113" s="1">
        <v>-2</v>
      </c>
      <c r="AJ113" s="1"/>
      <c r="AK113" s="1">
        <f t="shared" si="22"/>
        <v>0</v>
      </c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157</v>
      </c>
      <c r="B114" s="1" t="s">
        <v>42</v>
      </c>
      <c r="C114" s="1">
        <v>5</v>
      </c>
      <c r="D114" s="1">
        <v>48</v>
      </c>
      <c r="E114" s="1">
        <v>-3</v>
      </c>
      <c r="F114" s="1"/>
      <c r="G114" s="7">
        <v>0.28000000000000003</v>
      </c>
      <c r="H114" s="1">
        <v>40</v>
      </c>
      <c r="I114" s="9" t="s">
        <v>49</v>
      </c>
      <c r="J114" s="1"/>
      <c r="K114" s="1">
        <v>19</v>
      </c>
      <c r="L114" s="1">
        <f t="shared" si="24"/>
        <v>-22</v>
      </c>
      <c r="M114" s="1"/>
      <c r="N114" s="1"/>
      <c r="O114" s="1">
        <v>150</v>
      </c>
      <c r="P114" s="17"/>
      <c r="Q114" s="1"/>
      <c r="R114" s="1"/>
      <c r="S114" s="1">
        <v>250</v>
      </c>
      <c r="T114" s="17"/>
      <c r="U114" s="1">
        <f t="shared" si="25"/>
        <v>-0.6</v>
      </c>
      <c r="V114" s="5"/>
      <c r="W114" s="5">
        <f t="shared" si="19"/>
        <v>0</v>
      </c>
      <c r="X114" s="1">
        <f t="shared" si="20"/>
        <v>-666.66666666666674</v>
      </c>
      <c r="Y114" s="1">
        <f t="shared" si="21"/>
        <v>-666.66666666666674</v>
      </c>
      <c r="Z114" s="1">
        <v>12.2</v>
      </c>
      <c r="AA114" s="1">
        <v>19.2</v>
      </c>
      <c r="AB114" s="1">
        <v>21.2</v>
      </c>
      <c r="AC114" s="1">
        <v>13.8</v>
      </c>
      <c r="AD114" s="1">
        <v>-0.6</v>
      </c>
      <c r="AE114" s="1">
        <v>-1</v>
      </c>
      <c r="AF114" s="1">
        <v>-2.4</v>
      </c>
      <c r="AG114" s="1">
        <v>-2.4</v>
      </c>
      <c r="AH114" s="1">
        <v>1</v>
      </c>
      <c r="AI114" s="1">
        <v>22.4</v>
      </c>
      <c r="AJ114" s="1"/>
      <c r="AK114" s="1">
        <f t="shared" si="22"/>
        <v>0</v>
      </c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158</v>
      </c>
      <c r="B115" s="1" t="s">
        <v>42</v>
      </c>
      <c r="C115" s="1">
        <v>-4</v>
      </c>
      <c r="D115" s="1">
        <v>291</v>
      </c>
      <c r="E115" s="1">
        <v>2</v>
      </c>
      <c r="F115" s="1">
        <v>57</v>
      </c>
      <c r="G115" s="7">
        <v>0.28000000000000003</v>
      </c>
      <c r="H115" s="1">
        <v>40</v>
      </c>
      <c r="I115" s="9" t="s">
        <v>49</v>
      </c>
      <c r="J115" s="1"/>
      <c r="K115" s="1">
        <v>6</v>
      </c>
      <c r="L115" s="1">
        <f t="shared" si="24"/>
        <v>-4</v>
      </c>
      <c r="M115" s="1"/>
      <c r="N115" s="1"/>
      <c r="O115" s="1">
        <v>100</v>
      </c>
      <c r="P115" s="17"/>
      <c r="Q115" s="1"/>
      <c r="R115" s="1"/>
      <c r="S115" s="1">
        <v>250</v>
      </c>
      <c r="T115" s="17"/>
      <c r="U115" s="1">
        <f t="shared" si="25"/>
        <v>0.4</v>
      </c>
      <c r="V115" s="5"/>
      <c r="W115" s="5">
        <f t="shared" si="19"/>
        <v>0</v>
      </c>
      <c r="X115" s="1">
        <f t="shared" si="20"/>
        <v>1017.5</v>
      </c>
      <c r="Y115" s="1">
        <f t="shared" si="21"/>
        <v>1017.5</v>
      </c>
      <c r="Z115" s="1">
        <v>10.6</v>
      </c>
      <c r="AA115" s="1">
        <v>15.2</v>
      </c>
      <c r="AB115" s="1">
        <v>19</v>
      </c>
      <c r="AC115" s="1">
        <v>13.2</v>
      </c>
      <c r="AD115" s="1">
        <v>8</v>
      </c>
      <c r="AE115" s="1">
        <v>42.2</v>
      </c>
      <c r="AF115" s="1">
        <v>68.2</v>
      </c>
      <c r="AG115" s="1">
        <v>49.2</v>
      </c>
      <c r="AH115" s="1">
        <v>33</v>
      </c>
      <c r="AI115" s="1">
        <v>39.200000000000003</v>
      </c>
      <c r="AJ115" s="1"/>
      <c r="AK115" s="1">
        <f t="shared" si="22"/>
        <v>0</v>
      </c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0" t="s">
        <v>159</v>
      </c>
      <c r="B116" s="10" t="s">
        <v>42</v>
      </c>
      <c r="C116" s="10"/>
      <c r="D116" s="10"/>
      <c r="E116" s="10"/>
      <c r="F116" s="10"/>
      <c r="G116" s="11">
        <v>0</v>
      </c>
      <c r="H116" s="10"/>
      <c r="I116" s="10" t="s">
        <v>38</v>
      </c>
      <c r="J116" s="10"/>
      <c r="K116" s="10"/>
      <c r="L116" s="10">
        <f t="shared" si="24"/>
        <v>0</v>
      </c>
      <c r="M116" s="10"/>
      <c r="N116" s="10"/>
      <c r="O116" s="10">
        <v>0</v>
      </c>
      <c r="P116" s="20"/>
      <c r="Q116" s="10"/>
      <c r="R116" s="10"/>
      <c r="S116" s="10">
        <v>0</v>
      </c>
      <c r="T116" s="20"/>
      <c r="U116" s="10">
        <f t="shared" si="25"/>
        <v>0</v>
      </c>
      <c r="V116" s="12"/>
      <c r="W116" s="5">
        <f t="shared" si="19"/>
        <v>0</v>
      </c>
      <c r="X116" s="1" t="e">
        <f t="shared" si="20"/>
        <v>#DIV/0!</v>
      </c>
      <c r="Y116" s="1" t="e">
        <f t="shared" si="21"/>
        <v>#DIV/0!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 t="s">
        <v>47</v>
      </c>
      <c r="AK116" s="1">
        <f t="shared" si="22"/>
        <v>0</v>
      </c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160</v>
      </c>
      <c r="B117" s="1" t="s">
        <v>37</v>
      </c>
      <c r="C117" s="1">
        <v>109.346</v>
      </c>
      <c r="D117" s="1">
        <v>8.7629999999999999</v>
      </c>
      <c r="E117" s="1">
        <v>67.703999999999994</v>
      </c>
      <c r="F117" s="1">
        <v>12.601000000000001</v>
      </c>
      <c r="G117" s="7">
        <v>1</v>
      </c>
      <c r="H117" s="1">
        <v>60</v>
      </c>
      <c r="I117" s="1" t="s">
        <v>38</v>
      </c>
      <c r="J117" s="1"/>
      <c r="K117" s="1">
        <v>70</v>
      </c>
      <c r="L117" s="1">
        <f t="shared" si="24"/>
        <v>-2.2960000000000065</v>
      </c>
      <c r="M117" s="1"/>
      <c r="N117" s="1"/>
      <c r="O117" s="1">
        <v>0</v>
      </c>
      <c r="P117" s="17"/>
      <c r="Q117" s="1"/>
      <c r="R117" s="1"/>
      <c r="S117" s="1">
        <v>0</v>
      </c>
      <c r="T117" s="17"/>
      <c r="U117" s="1">
        <f t="shared" si="25"/>
        <v>13.540799999999999</v>
      </c>
      <c r="V117" s="5">
        <f>8*U117-S117-R117-Q117-O117-F117</f>
        <v>95.725399999999993</v>
      </c>
      <c r="W117" s="5">
        <f t="shared" si="19"/>
        <v>95.725399999999993</v>
      </c>
      <c r="X117" s="1">
        <f t="shared" si="20"/>
        <v>8</v>
      </c>
      <c r="Y117" s="1">
        <f t="shared" si="21"/>
        <v>0.93059494269171705</v>
      </c>
      <c r="Z117" s="1">
        <v>6.0069999999999997</v>
      </c>
      <c r="AA117" s="1">
        <v>6.8293999999999997</v>
      </c>
      <c r="AB117" s="1">
        <v>5.8517999999999999</v>
      </c>
      <c r="AC117" s="1">
        <v>3.0104000000000002</v>
      </c>
      <c r="AD117" s="1">
        <v>7.0028000000000006</v>
      </c>
      <c r="AE117" s="1">
        <v>11.0334</v>
      </c>
      <c r="AF117" s="1">
        <v>6.3334000000000001</v>
      </c>
      <c r="AG117" s="1">
        <v>3.678199999999999</v>
      </c>
      <c r="AH117" s="1">
        <v>4.3917999999999999</v>
      </c>
      <c r="AI117" s="1">
        <v>9.8704000000000001</v>
      </c>
      <c r="AJ117" s="1"/>
      <c r="AK117" s="1">
        <f t="shared" si="22"/>
        <v>96</v>
      </c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161</v>
      </c>
      <c r="B118" s="1" t="s">
        <v>37</v>
      </c>
      <c r="C118" s="1">
        <v>72.566000000000003</v>
      </c>
      <c r="D118" s="1">
        <v>44.392000000000003</v>
      </c>
      <c r="E118" s="1">
        <v>52.277999999999999</v>
      </c>
      <c r="F118" s="1">
        <v>20.387</v>
      </c>
      <c r="G118" s="7">
        <v>1</v>
      </c>
      <c r="H118" s="1">
        <v>50</v>
      </c>
      <c r="I118" s="1" t="s">
        <v>38</v>
      </c>
      <c r="J118" s="1"/>
      <c r="K118" s="1">
        <v>52.1</v>
      </c>
      <c r="L118" s="1">
        <f t="shared" si="24"/>
        <v>0.17799999999999727</v>
      </c>
      <c r="M118" s="1"/>
      <c r="N118" s="1"/>
      <c r="O118" s="1">
        <v>9.0224000000000117</v>
      </c>
      <c r="P118" s="17"/>
      <c r="Q118" s="1"/>
      <c r="R118" s="1"/>
      <c r="S118" s="1">
        <v>0</v>
      </c>
      <c r="T118" s="17"/>
      <c r="U118" s="1">
        <f t="shared" si="25"/>
        <v>10.4556</v>
      </c>
      <c r="V118" s="5">
        <f>10*U118-S118-R118-Q118-O118-F118</f>
        <v>75.146600000000007</v>
      </c>
      <c r="W118" s="5">
        <f t="shared" si="19"/>
        <v>75.146600000000007</v>
      </c>
      <c r="X118" s="1">
        <f t="shared" si="20"/>
        <v>10</v>
      </c>
      <c r="Y118" s="1">
        <f t="shared" si="21"/>
        <v>2.8127893186426425</v>
      </c>
      <c r="Z118" s="1">
        <v>3.9902000000000002</v>
      </c>
      <c r="AA118" s="1">
        <v>5.9682000000000004</v>
      </c>
      <c r="AB118" s="1">
        <v>6.4512</v>
      </c>
      <c r="AC118" s="1">
        <v>3.9742000000000002</v>
      </c>
      <c r="AD118" s="1">
        <v>4.4668000000000001</v>
      </c>
      <c r="AE118" s="1">
        <v>8.9374000000000002</v>
      </c>
      <c r="AF118" s="1">
        <v>6.4590000000000014</v>
      </c>
      <c r="AG118" s="1">
        <v>1.9887999999999999</v>
      </c>
      <c r="AH118" s="1">
        <v>5.2645999999999997</v>
      </c>
      <c r="AI118" s="1">
        <v>7.7645999999999997</v>
      </c>
      <c r="AJ118" s="1"/>
      <c r="AK118" s="1">
        <f t="shared" si="22"/>
        <v>75</v>
      </c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162</v>
      </c>
      <c r="B119" s="1" t="s">
        <v>42</v>
      </c>
      <c r="C119" s="1">
        <v>7</v>
      </c>
      <c r="D119" s="1">
        <v>7</v>
      </c>
      <c r="E119" s="1">
        <v>14</v>
      </c>
      <c r="F119" s="1"/>
      <c r="G119" s="7">
        <v>0.09</v>
      </c>
      <c r="H119" s="1"/>
      <c r="I119" s="1" t="s">
        <v>38</v>
      </c>
      <c r="J119" s="1"/>
      <c r="K119" s="1">
        <v>16</v>
      </c>
      <c r="L119" s="1">
        <f t="shared" si="24"/>
        <v>-2</v>
      </c>
      <c r="M119" s="1"/>
      <c r="N119" s="1"/>
      <c r="O119" s="1">
        <v>66.399999999999991</v>
      </c>
      <c r="P119" s="17"/>
      <c r="Q119" s="1"/>
      <c r="R119" s="1"/>
      <c r="S119" s="1">
        <v>48.2</v>
      </c>
      <c r="T119" s="17"/>
      <c r="U119" s="1">
        <f t="shared" si="25"/>
        <v>2.8</v>
      </c>
      <c r="V119" s="5"/>
      <c r="W119" s="5">
        <f t="shared" si="19"/>
        <v>0</v>
      </c>
      <c r="X119" s="1">
        <f t="shared" si="20"/>
        <v>40.928571428571431</v>
      </c>
      <c r="Y119" s="1">
        <f t="shared" si="21"/>
        <v>40.928571428571431</v>
      </c>
      <c r="Z119" s="1">
        <v>10.6</v>
      </c>
      <c r="AA119" s="1">
        <v>10.199999999999999</v>
      </c>
      <c r="AB119" s="1">
        <v>1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 t="s">
        <v>137</v>
      </c>
      <c r="AK119" s="1">
        <f t="shared" si="22"/>
        <v>0</v>
      </c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0" t="s">
        <v>163</v>
      </c>
      <c r="B120" s="10" t="s">
        <v>42</v>
      </c>
      <c r="C120" s="10"/>
      <c r="D120" s="10"/>
      <c r="E120" s="10"/>
      <c r="F120" s="10"/>
      <c r="G120" s="11">
        <v>0</v>
      </c>
      <c r="H120" s="10"/>
      <c r="I120" s="10" t="s">
        <v>38</v>
      </c>
      <c r="J120" s="10"/>
      <c r="K120" s="10"/>
      <c r="L120" s="10">
        <f t="shared" si="24"/>
        <v>0</v>
      </c>
      <c r="M120" s="10"/>
      <c r="N120" s="10"/>
      <c r="O120" s="10">
        <v>0</v>
      </c>
      <c r="P120" s="20"/>
      <c r="Q120" s="10"/>
      <c r="R120" s="10"/>
      <c r="S120" s="10">
        <v>0</v>
      </c>
      <c r="T120" s="20"/>
      <c r="U120" s="10">
        <f t="shared" si="25"/>
        <v>0</v>
      </c>
      <c r="V120" s="12"/>
      <c r="W120" s="5">
        <f t="shared" si="19"/>
        <v>0</v>
      </c>
      <c r="X120" s="1" t="e">
        <f t="shared" si="20"/>
        <v>#DIV/0!</v>
      </c>
      <c r="Y120" s="1" t="e">
        <f t="shared" si="21"/>
        <v>#DIV/0!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 t="s">
        <v>47</v>
      </c>
      <c r="AK120" s="1">
        <f t="shared" si="22"/>
        <v>0</v>
      </c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164</v>
      </c>
      <c r="B121" s="1" t="s">
        <v>37</v>
      </c>
      <c r="C121" s="1">
        <v>52.356000000000002</v>
      </c>
      <c r="D121" s="1">
        <v>360.87</v>
      </c>
      <c r="E121" s="1">
        <v>119.82</v>
      </c>
      <c r="F121" s="1">
        <v>216.928</v>
      </c>
      <c r="G121" s="7">
        <v>1</v>
      </c>
      <c r="H121" s="1">
        <v>60</v>
      </c>
      <c r="I121" s="1" t="s">
        <v>38</v>
      </c>
      <c r="J121" s="1"/>
      <c r="K121" s="1">
        <v>117.05</v>
      </c>
      <c r="L121" s="1">
        <f t="shared" si="24"/>
        <v>2.769999999999996</v>
      </c>
      <c r="M121" s="1"/>
      <c r="N121" s="1"/>
      <c r="O121" s="1">
        <v>43.122071200000001</v>
      </c>
      <c r="P121" s="17"/>
      <c r="Q121" s="1"/>
      <c r="R121" s="1">
        <v>63.615728799999992</v>
      </c>
      <c r="S121" s="1">
        <v>0</v>
      </c>
      <c r="T121" s="17"/>
      <c r="U121" s="1">
        <f t="shared" si="25"/>
        <v>23.963999999999999</v>
      </c>
      <c r="V121" s="5"/>
      <c r="W121" s="5">
        <f t="shared" si="19"/>
        <v>0</v>
      </c>
      <c r="X121" s="1">
        <f t="shared" si="20"/>
        <v>13.50633450175263</v>
      </c>
      <c r="Y121" s="1">
        <f t="shared" si="21"/>
        <v>13.50633450175263</v>
      </c>
      <c r="Z121" s="1">
        <v>24.394400000000001</v>
      </c>
      <c r="AA121" s="1">
        <v>36.898000000000003</v>
      </c>
      <c r="AB121" s="1">
        <v>36.700200000000002</v>
      </c>
      <c r="AC121" s="1">
        <v>21.813800000000001</v>
      </c>
      <c r="AD121" s="1">
        <v>19.250399999999999</v>
      </c>
      <c r="AE121" s="1">
        <v>20.642199999999999</v>
      </c>
      <c r="AF121" s="1">
        <v>20.875599999999999</v>
      </c>
      <c r="AG121" s="1">
        <v>23.84</v>
      </c>
      <c r="AH121" s="1">
        <v>21.065799999999999</v>
      </c>
      <c r="AI121" s="1">
        <v>20.172000000000001</v>
      </c>
      <c r="AJ121" s="1" t="s">
        <v>81</v>
      </c>
      <c r="AK121" s="1">
        <f t="shared" si="22"/>
        <v>0</v>
      </c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 t="s">
        <v>165</v>
      </c>
      <c r="B122" s="1" t="s">
        <v>37</v>
      </c>
      <c r="C122" s="1">
        <v>401.23</v>
      </c>
      <c r="D122" s="1">
        <v>196.55600000000001</v>
      </c>
      <c r="E122" s="1">
        <v>196.101</v>
      </c>
      <c r="F122" s="1">
        <v>155.71899999999999</v>
      </c>
      <c r="G122" s="7">
        <v>1</v>
      </c>
      <c r="H122" s="1">
        <v>60</v>
      </c>
      <c r="I122" s="1" t="s">
        <v>38</v>
      </c>
      <c r="J122" s="1"/>
      <c r="K122" s="1">
        <v>192.78399999999999</v>
      </c>
      <c r="L122" s="1">
        <f t="shared" si="24"/>
        <v>3.3170000000000073</v>
      </c>
      <c r="M122" s="1"/>
      <c r="N122" s="1"/>
      <c r="O122" s="1">
        <v>72.213303199999999</v>
      </c>
      <c r="P122" s="17"/>
      <c r="Q122" s="1"/>
      <c r="R122" s="1">
        <v>106.5324968</v>
      </c>
      <c r="S122" s="1">
        <v>85.709200000000081</v>
      </c>
      <c r="T122" s="17"/>
      <c r="U122" s="1">
        <f t="shared" si="25"/>
        <v>39.220199999999998</v>
      </c>
      <c r="V122" s="5">
        <f t="shared" ref="V122" si="26">12*U122-S122-R122-Q122-O122-F122</f>
        <v>50.468399999999917</v>
      </c>
      <c r="W122" s="5">
        <f>V122+U122</f>
        <v>89.688599999999923</v>
      </c>
      <c r="X122" s="1">
        <f t="shared" si="20"/>
        <v>12.999999999999998</v>
      </c>
      <c r="Y122" s="1">
        <f t="shared" si="21"/>
        <v>10.713203910229934</v>
      </c>
      <c r="Z122" s="1">
        <v>45.087000000000003</v>
      </c>
      <c r="AA122" s="1">
        <v>46.735399999999998</v>
      </c>
      <c r="AB122" s="1">
        <v>35.391800000000003</v>
      </c>
      <c r="AC122" s="1">
        <v>16.724399999999999</v>
      </c>
      <c r="AD122" s="1">
        <v>15.421799999999999</v>
      </c>
      <c r="AE122" s="1">
        <v>46.654200000000003</v>
      </c>
      <c r="AF122" s="1">
        <v>57.178999999999988</v>
      </c>
      <c r="AG122" s="1">
        <v>41.480200000000004</v>
      </c>
      <c r="AH122" s="1">
        <v>28.829000000000001</v>
      </c>
      <c r="AI122" s="1">
        <v>33.867400000000004</v>
      </c>
      <c r="AJ122" s="1" t="s">
        <v>81</v>
      </c>
      <c r="AK122" s="1">
        <f t="shared" si="22"/>
        <v>90</v>
      </c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 t="s">
        <v>166</v>
      </c>
      <c r="B123" s="1" t="s">
        <v>37</v>
      </c>
      <c r="C123" s="1">
        <v>25.815999999999999</v>
      </c>
      <c r="D123" s="1">
        <v>100.566</v>
      </c>
      <c r="E123" s="1">
        <v>39.341000000000001</v>
      </c>
      <c r="F123" s="1">
        <v>44.88</v>
      </c>
      <c r="G123" s="7">
        <v>1</v>
      </c>
      <c r="H123" s="1">
        <v>60</v>
      </c>
      <c r="I123" s="1" t="s">
        <v>38</v>
      </c>
      <c r="J123" s="1"/>
      <c r="K123" s="1">
        <v>38.5</v>
      </c>
      <c r="L123" s="1">
        <f t="shared" si="24"/>
        <v>0.84100000000000108</v>
      </c>
      <c r="M123" s="1"/>
      <c r="N123" s="1"/>
      <c r="O123" s="1">
        <v>41.339623199999977</v>
      </c>
      <c r="P123" s="17"/>
      <c r="Q123" s="1"/>
      <c r="R123" s="1">
        <v>60.986176799999967</v>
      </c>
      <c r="S123" s="1">
        <v>0</v>
      </c>
      <c r="T123" s="17"/>
      <c r="U123" s="1">
        <f t="shared" si="25"/>
        <v>7.8681999999999999</v>
      </c>
      <c r="V123" s="5"/>
      <c r="W123" s="5">
        <f t="shared" si="19"/>
        <v>0</v>
      </c>
      <c r="X123" s="1">
        <f t="shared" si="20"/>
        <v>18.708955034188246</v>
      </c>
      <c r="Y123" s="1">
        <f t="shared" si="21"/>
        <v>18.708955034188246</v>
      </c>
      <c r="Z123" s="1">
        <v>14.795</v>
      </c>
      <c r="AA123" s="1">
        <v>14.6974</v>
      </c>
      <c r="AB123" s="1">
        <v>11.095000000000001</v>
      </c>
      <c r="AC123" s="1">
        <v>8.4111999999999991</v>
      </c>
      <c r="AD123" s="1">
        <v>7.3227999999999991</v>
      </c>
      <c r="AE123" s="1">
        <v>10.3934</v>
      </c>
      <c r="AF123" s="1">
        <v>13.385199999999999</v>
      </c>
      <c r="AG123" s="1">
        <v>14.412599999999999</v>
      </c>
      <c r="AH123" s="1">
        <v>11.468</v>
      </c>
      <c r="AI123" s="1">
        <v>9.6209999999999987</v>
      </c>
      <c r="AJ123" s="1"/>
      <c r="AK123" s="1">
        <f t="shared" si="22"/>
        <v>0</v>
      </c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167</v>
      </c>
      <c r="B124" s="1" t="s">
        <v>37</v>
      </c>
      <c r="C124" s="1">
        <v>823.12599999999998</v>
      </c>
      <c r="D124" s="1">
        <v>1403.221</v>
      </c>
      <c r="E124" s="1">
        <v>740.96400000000006</v>
      </c>
      <c r="F124" s="1">
        <v>558.05799999999999</v>
      </c>
      <c r="G124" s="7">
        <v>1</v>
      </c>
      <c r="H124" s="1">
        <v>60</v>
      </c>
      <c r="I124" s="1" t="s">
        <v>38</v>
      </c>
      <c r="J124" s="1"/>
      <c r="K124" s="1">
        <v>808.9</v>
      </c>
      <c r="L124" s="1">
        <f t="shared" si="24"/>
        <v>-67.935999999999922</v>
      </c>
      <c r="M124" s="1"/>
      <c r="N124" s="1"/>
      <c r="O124" s="1">
        <v>400</v>
      </c>
      <c r="P124" s="17"/>
      <c r="Q124" s="1"/>
      <c r="R124" s="1">
        <v>388.36289760000011</v>
      </c>
      <c r="S124" s="1">
        <v>562.90710239999999</v>
      </c>
      <c r="T124" s="17"/>
      <c r="U124" s="1">
        <f t="shared" si="25"/>
        <v>148.19280000000001</v>
      </c>
      <c r="V124" s="5"/>
      <c r="W124" s="5">
        <v>100</v>
      </c>
      <c r="X124" s="1">
        <f t="shared" si="20"/>
        <v>13.558877354365393</v>
      </c>
      <c r="Y124" s="1">
        <f t="shared" si="21"/>
        <v>12.884080738065546</v>
      </c>
      <c r="Z124" s="1">
        <v>178.65039999999999</v>
      </c>
      <c r="AA124" s="1">
        <v>173.5172</v>
      </c>
      <c r="AB124" s="1">
        <v>165.2568</v>
      </c>
      <c r="AC124" s="1">
        <v>112.7216</v>
      </c>
      <c r="AD124" s="1">
        <v>127.8082</v>
      </c>
      <c r="AE124" s="1">
        <v>160.60159999999999</v>
      </c>
      <c r="AF124" s="1">
        <v>163.82</v>
      </c>
      <c r="AG124" s="1">
        <v>131.39340000000001</v>
      </c>
      <c r="AH124" s="1">
        <v>135.7192</v>
      </c>
      <c r="AI124" s="1">
        <v>165.4958</v>
      </c>
      <c r="AJ124" s="1"/>
      <c r="AK124" s="1">
        <f t="shared" si="22"/>
        <v>100</v>
      </c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168</v>
      </c>
      <c r="B125" s="1" t="s">
        <v>42</v>
      </c>
      <c r="C125" s="1">
        <v>101</v>
      </c>
      <c r="D125" s="1">
        <v>252</v>
      </c>
      <c r="E125" s="1">
        <v>182</v>
      </c>
      <c r="F125" s="1">
        <v>113</v>
      </c>
      <c r="G125" s="7">
        <v>0.25</v>
      </c>
      <c r="H125" s="1">
        <v>1096</v>
      </c>
      <c r="I125" s="1" t="s">
        <v>38</v>
      </c>
      <c r="J125" s="1"/>
      <c r="K125" s="1">
        <v>169</v>
      </c>
      <c r="L125" s="1">
        <f t="shared" si="24"/>
        <v>13</v>
      </c>
      <c r="M125" s="1"/>
      <c r="N125" s="1"/>
      <c r="O125" s="1">
        <v>50.399999999999977</v>
      </c>
      <c r="P125" s="17"/>
      <c r="Q125" s="1"/>
      <c r="R125" s="1"/>
      <c r="S125" s="1">
        <v>306.39999999999998</v>
      </c>
      <c r="T125" s="17"/>
      <c r="U125" s="1">
        <f t="shared" si="25"/>
        <v>36.4</v>
      </c>
      <c r="V125" s="5"/>
      <c r="W125" s="5">
        <f t="shared" si="19"/>
        <v>0</v>
      </c>
      <c r="X125" s="1">
        <f t="shared" si="20"/>
        <v>12.906593406593405</v>
      </c>
      <c r="Y125" s="1">
        <f t="shared" si="21"/>
        <v>12.906593406593405</v>
      </c>
      <c r="Z125" s="1">
        <v>43.4</v>
      </c>
      <c r="AA125" s="1">
        <v>26.2</v>
      </c>
      <c r="AB125" s="1">
        <v>23</v>
      </c>
      <c r="AC125" s="1">
        <v>14.4</v>
      </c>
      <c r="AD125" s="1">
        <v>0.6</v>
      </c>
      <c r="AE125" s="1">
        <v>0</v>
      </c>
      <c r="AF125" s="1">
        <v>0</v>
      </c>
      <c r="AG125" s="1">
        <v>0</v>
      </c>
      <c r="AH125" s="1">
        <v>1.6</v>
      </c>
      <c r="AI125" s="1">
        <v>3.6</v>
      </c>
      <c r="AJ125" s="1" t="s">
        <v>81</v>
      </c>
      <c r="AK125" s="1">
        <f t="shared" si="22"/>
        <v>0</v>
      </c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 t="s">
        <v>169</v>
      </c>
      <c r="B126" s="1" t="s">
        <v>42</v>
      </c>
      <c r="C126" s="1">
        <v>344</v>
      </c>
      <c r="D126" s="1">
        <v>228</v>
      </c>
      <c r="E126" s="1">
        <v>105</v>
      </c>
      <c r="F126" s="13">
        <f>426+F134</f>
        <v>476</v>
      </c>
      <c r="G126" s="7">
        <v>0.32500000000000001</v>
      </c>
      <c r="H126" s="1">
        <v>1096</v>
      </c>
      <c r="I126" s="1" t="s">
        <v>38</v>
      </c>
      <c r="J126" s="1"/>
      <c r="K126" s="1">
        <v>104</v>
      </c>
      <c r="L126" s="1">
        <f t="shared" si="24"/>
        <v>1</v>
      </c>
      <c r="M126" s="1"/>
      <c r="N126" s="1"/>
      <c r="O126" s="1">
        <v>0</v>
      </c>
      <c r="P126" s="17"/>
      <c r="Q126" s="1"/>
      <c r="R126" s="1"/>
      <c r="S126" s="1">
        <v>0</v>
      </c>
      <c r="T126" s="17"/>
      <c r="U126" s="1">
        <f t="shared" si="25"/>
        <v>21</v>
      </c>
      <c r="V126" s="5"/>
      <c r="W126" s="5">
        <f t="shared" si="19"/>
        <v>0</v>
      </c>
      <c r="X126" s="1">
        <f t="shared" si="20"/>
        <v>22.666666666666668</v>
      </c>
      <c r="Y126" s="1">
        <f t="shared" si="21"/>
        <v>22.666666666666668</v>
      </c>
      <c r="Z126" s="1">
        <v>27.8</v>
      </c>
      <c r="AA126" s="1">
        <v>16.2</v>
      </c>
      <c r="AB126" s="1">
        <v>15.6</v>
      </c>
      <c r="AC126" s="1">
        <v>12</v>
      </c>
      <c r="AD126" s="1">
        <v>0</v>
      </c>
      <c r="AE126" s="1">
        <v>0</v>
      </c>
      <c r="AF126" s="1">
        <v>0.4</v>
      </c>
      <c r="AG126" s="1">
        <v>6.2</v>
      </c>
      <c r="AH126" s="1">
        <v>11</v>
      </c>
      <c r="AI126" s="1">
        <v>8</v>
      </c>
      <c r="AJ126" s="1" t="s">
        <v>81</v>
      </c>
      <c r="AK126" s="1">
        <f t="shared" si="22"/>
        <v>0</v>
      </c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170</v>
      </c>
      <c r="B127" s="1" t="s">
        <v>42</v>
      </c>
      <c r="C127" s="1">
        <v>206</v>
      </c>
      <c r="D127" s="1">
        <v>338</v>
      </c>
      <c r="E127" s="1">
        <v>190</v>
      </c>
      <c r="F127" s="1">
        <v>305</v>
      </c>
      <c r="G127" s="7">
        <v>0.25</v>
      </c>
      <c r="H127" s="1">
        <v>1096</v>
      </c>
      <c r="I127" s="1" t="s">
        <v>38</v>
      </c>
      <c r="J127" s="1"/>
      <c r="K127" s="1">
        <v>181</v>
      </c>
      <c r="L127" s="1">
        <f t="shared" si="24"/>
        <v>9</v>
      </c>
      <c r="M127" s="1"/>
      <c r="N127" s="1"/>
      <c r="O127" s="1">
        <v>13.400000000000031</v>
      </c>
      <c r="P127" s="17"/>
      <c r="Q127" s="1"/>
      <c r="R127" s="1"/>
      <c r="S127" s="1">
        <v>300</v>
      </c>
      <c r="T127" s="17"/>
      <c r="U127" s="1">
        <f t="shared" si="25"/>
        <v>38</v>
      </c>
      <c r="V127" s="5"/>
      <c r="W127" s="5">
        <f t="shared" si="19"/>
        <v>0</v>
      </c>
      <c r="X127" s="1">
        <f t="shared" si="20"/>
        <v>16.273684210526319</v>
      </c>
      <c r="Y127" s="1">
        <f t="shared" si="21"/>
        <v>16.273684210526319</v>
      </c>
      <c r="Z127" s="1">
        <v>49.6</v>
      </c>
      <c r="AA127" s="1">
        <v>42.2</v>
      </c>
      <c r="AB127" s="1">
        <v>40</v>
      </c>
      <c r="AC127" s="1">
        <v>24.2</v>
      </c>
      <c r="AD127" s="1">
        <v>18.399999999999999</v>
      </c>
      <c r="AE127" s="1">
        <v>43.2</v>
      </c>
      <c r="AF127" s="1">
        <v>52.6</v>
      </c>
      <c r="AG127" s="1">
        <v>20.399999999999999</v>
      </c>
      <c r="AH127" s="1">
        <v>3</v>
      </c>
      <c r="AI127" s="1">
        <v>5.2</v>
      </c>
      <c r="AJ127" s="1"/>
      <c r="AK127" s="1">
        <f t="shared" si="22"/>
        <v>0</v>
      </c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 t="s">
        <v>171</v>
      </c>
      <c r="B128" s="1" t="s">
        <v>42</v>
      </c>
      <c r="C128" s="1"/>
      <c r="D128" s="1">
        <v>87</v>
      </c>
      <c r="E128" s="1"/>
      <c r="F128" s="1"/>
      <c r="G128" s="7">
        <v>0.3</v>
      </c>
      <c r="H128" s="1">
        <v>40</v>
      </c>
      <c r="I128" s="9" t="s">
        <v>49</v>
      </c>
      <c r="J128" s="1"/>
      <c r="K128" s="1">
        <v>3</v>
      </c>
      <c r="L128" s="1">
        <f t="shared" si="24"/>
        <v>-3</v>
      </c>
      <c r="M128" s="1"/>
      <c r="N128" s="1"/>
      <c r="O128" s="1">
        <v>30</v>
      </c>
      <c r="P128" s="17"/>
      <c r="Q128" s="1"/>
      <c r="R128" s="1"/>
      <c r="S128" s="1">
        <v>120</v>
      </c>
      <c r="T128" s="17"/>
      <c r="U128" s="1">
        <f t="shared" si="25"/>
        <v>0</v>
      </c>
      <c r="V128" s="5"/>
      <c r="W128" s="5">
        <f t="shared" si="19"/>
        <v>0</v>
      </c>
      <c r="X128" s="1" t="e">
        <f t="shared" si="20"/>
        <v>#DIV/0!</v>
      </c>
      <c r="Y128" s="1" t="e">
        <f t="shared" si="21"/>
        <v>#DIV/0!</v>
      </c>
      <c r="Z128" s="1">
        <v>0</v>
      </c>
      <c r="AA128" s="1">
        <v>-0.8</v>
      </c>
      <c r="AB128" s="1">
        <v>-1.4</v>
      </c>
      <c r="AC128" s="1">
        <v>-0.6</v>
      </c>
      <c r="AD128" s="1">
        <v>0</v>
      </c>
      <c r="AE128" s="1">
        <v>0</v>
      </c>
      <c r="AF128" s="1">
        <v>0</v>
      </c>
      <c r="AG128" s="1">
        <v>-0.2</v>
      </c>
      <c r="AH128" s="1">
        <v>-0.4</v>
      </c>
      <c r="AI128" s="1">
        <v>-1</v>
      </c>
      <c r="AJ128" s="1"/>
      <c r="AK128" s="1">
        <f t="shared" si="22"/>
        <v>0</v>
      </c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 t="s">
        <v>172</v>
      </c>
      <c r="B129" s="1" t="s">
        <v>42</v>
      </c>
      <c r="C129" s="1">
        <v>1</v>
      </c>
      <c r="D129" s="1">
        <v>10</v>
      </c>
      <c r="E129" s="1"/>
      <c r="F129" s="1"/>
      <c r="G129" s="7">
        <v>0.3</v>
      </c>
      <c r="H129" s="1">
        <v>40</v>
      </c>
      <c r="I129" s="9" t="s">
        <v>49</v>
      </c>
      <c r="J129" s="1"/>
      <c r="K129" s="1">
        <v>3</v>
      </c>
      <c r="L129" s="1">
        <f t="shared" si="24"/>
        <v>-3</v>
      </c>
      <c r="M129" s="1"/>
      <c r="N129" s="1"/>
      <c r="O129" s="1">
        <v>30</v>
      </c>
      <c r="P129" s="17"/>
      <c r="Q129" s="1">
        <v>-30</v>
      </c>
      <c r="R129" s="1"/>
      <c r="S129" s="1">
        <v>120</v>
      </c>
      <c r="T129" s="17"/>
      <c r="U129" s="1">
        <f t="shared" si="25"/>
        <v>0</v>
      </c>
      <c r="V129" s="5">
        <v>30</v>
      </c>
      <c r="W129" s="5">
        <f t="shared" si="19"/>
        <v>30</v>
      </c>
      <c r="X129" s="1" t="e">
        <f t="shared" si="20"/>
        <v>#DIV/0!</v>
      </c>
      <c r="Y129" s="1" t="e">
        <f t="shared" si="21"/>
        <v>#DIV/0!</v>
      </c>
      <c r="Z129" s="1">
        <v>0</v>
      </c>
      <c r="AA129" s="1">
        <v>-0.2</v>
      </c>
      <c r="AB129" s="1">
        <v>-0.2</v>
      </c>
      <c r="AC129" s="1">
        <v>0</v>
      </c>
      <c r="AD129" s="1">
        <v>0</v>
      </c>
      <c r="AE129" s="1">
        <v>0</v>
      </c>
      <c r="AF129" s="1">
        <v>-0.8</v>
      </c>
      <c r="AG129" s="1">
        <v>-0.2</v>
      </c>
      <c r="AH129" s="1">
        <v>0</v>
      </c>
      <c r="AI129" s="1">
        <v>0.6</v>
      </c>
      <c r="AJ129" s="1" t="s">
        <v>173</v>
      </c>
      <c r="AK129" s="1">
        <f t="shared" si="22"/>
        <v>9</v>
      </c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 t="s">
        <v>174</v>
      </c>
      <c r="B130" s="1" t="s">
        <v>37</v>
      </c>
      <c r="C130" s="1">
        <v>33.276000000000003</v>
      </c>
      <c r="D130" s="1">
        <v>37.298000000000002</v>
      </c>
      <c r="E130" s="1">
        <v>15.484</v>
      </c>
      <c r="F130" s="1">
        <v>16.509</v>
      </c>
      <c r="G130" s="7">
        <v>1</v>
      </c>
      <c r="H130" s="1">
        <v>50</v>
      </c>
      <c r="I130" s="1" t="s">
        <v>38</v>
      </c>
      <c r="J130" s="1"/>
      <c r="K130" s="1">
        <v>18.850000000000001</v>
      </c>
      <c r="L130" s="1">
        <f t="shared" si="24"/>
        <v>-3.3660000000000014</v>
      </c>
      <c r="M130" s="1"/>
      <c r="N130" s="1"/>
      <c r="O130" s="1">
        <v>24.260200000000001</v>
      </c>
      <c r="P130" s="17"/>
      <c r="Q130" s="1"/>
      <c r="R130" s="1"/>
      <c r="S130" s="1">
        <v>4</v>
      </c>
      <c r="T130" s="17"/>
      <c r="U130" s="1">
        <f t="shared" si="25"/>
        <v>3.0968</v>
      </c>
      <c r="V130" s="5"/>
      <c r="W130" s="5">
        <f t="shared" si="19"/>
        <v>0</v>
      </c>
      <c r="X130" s="1">
        <f t="shared" si="20"/>
        <v>14.456600361663652</v>
      </c>
      <c r="Y130" s="1">
        <f t="shared" si="21"/>
        <v>14.456600361663652</v>
      </c>
      <c r="Z130" s="1">
        <v>4.5128000000000004</v>
      </c>
      <c r="AA130" s="1">
        <v>4.6745999999999999</v>
      </c>
      <c r="AB130" s="1">
        <v>3.2343999999999999</v>
      </c>
      <c r="AC130" s="1">
        <v>1.3575999999999999</v>
      </c>
      <c r="AD130" s="1">
        <v>0.81319999999999992</v>
      </c>
      <c r="AE130" s="1">
        <v>4.306</v>
      </c>
      <c r="AF130" s="1">
        <v>5.1116000000000001</v>
      </c>
      <c r="AG130" s="1">
        <v>2.4276</v>
      </c>
      <c r="AH130" s="1">
        <v>2.9628000000000001</v>
      </c>
      <c r="AI130" s="1">
        <v>2.1503999999999999</v>
      </c>
      <c r="AJ130" s="1"/>
      <c r="AK130" s="1">
        <f t="shared" si="22"/>
        <v>0</v>
      </c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 t="s">
        <v>175</v>
      </c>
      <c r="B131" s="1" t="s">
        <v>42</v>
      </c>
      <c r="C131" s="1">
        <v>12</v>
      </c>
      <c r="D131" s="1">
        <v>41</v>
      </c>
      <c r="E131" s="1"/>
      <c r="F131" s="1"/>
      <c r="G131" s="7">
        <v>0.3</v>
      </c>
      <c r="H131" s="1">
        <v>40</v>
      </c>
      <c r="I131" s="9" t="s">
        <v>49</v>
      </c>
      <c r="J131" s="1"/>
      <c r="K131" s="1">
        <v>12</v>
      </c>
      <c r="L131" s="1">
        <f t="shared" si="24"/>
        <v>-12</v>
      </c>
      <c r="M131" s="1"/>
      <c r="N131" s="1"/>
      <c r="O131" s="1">
        <v>60</v>
      </c>
      <c r="P131" s="17"/>
      <c r="Q131" s="1">
        <v>-60</v>
      </c>
      <c r="R131" s="1"/>
      <c r="S131" s="1">
        <v>60</v>
      </c>
      <c r="T131" s="17"/>
      <c r="U131" s="1">
        <f t="shared" si="25"/>
        <v>0</v>
      </c>
      <c r="V131" s="5">
        <v>60</v>
      </c>
      <c r="W131" s="5">
        <f t="shared" si="19"/>
        <v>60</v>
      </c>
      <c r="X131" s="1" t="e">
        <f t="shared" si="20"/>
        <v>#DIV/0!</v>
      </c>
      <c r="Y131" s="1" t="e">
        <f t="shared" si="21"/>
        <v>#DIV/0!</v>
      </c>
      <c r="Z131" s="1">
        <v>-0.4</v>
      </c>
      <c r="AA131" s="1">
        <v>-0.8</v>
      </c>
      <c r="AB131" s="1">
        <v>-0.8</v>
      </c>
      <c r="AC131" s="1">
        <v>-0.4</v>
      </c>
      <c r="AD131" s="1">
        <v>-0.2</v>
      </c>
      <c r="AE131" s="1">
        <v>1</v>
      </c>
      <c r="AF131" s="1">
        <v>20.8</v>
      </c>
      <c r="AG131" s="1">
        <v>23.4</v>
      </c>
      <c r="AH131" s="1">
        <v>2.4</v>
      </c>
      <c r="AI131" s="1">
        <v>4</v>
      </c>
      <c r="AJ131" s="1"/>
      <c r="AK131" s="1">
        <f t="shared" si="22"/>
        <v>18</v>
      </c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 t="s">
        <v>176</v>
      </c>
      <c r="B132" s="1" t="s">
        <v>42</v>
      </c>
      <c r="C132" s="1">
        <v>7</v>
      </c>
      <c r="D132" s="1">
        <v>86</v>
      </c>
      <c r="E132" s="1">
        <v>-1</v>
      </c>
      <c r="F132" s="1">
        <v>40</v>
      </c>
      <c r="G132" s="7">
        <v>0.12</v>
      </c>
      <c r="H132" s="1">
        <v>45</v>
      </c>
      <c r="I132" s="9" t="s">
        <v>49</v>
      </c>
      <c r="J132" s="1"/>
      <c r="K132" s="1">
        <v>12</v>
      </c>
      <c r="L132" s="1">
        <f t="shared" si="24"/>
        <v>-13</v>
      </c>
      <c r="M132" s="1"/>
      <c r="N132" s="1"/>
      <c r="O132" s="1">
        <v>20</v>
      </c>
      <c r="P132" s="17"/>
      <c r="Q132" s="1"/>
      <c r="R132" s="1"/>
      <c r="S132" s="1">
        <v>20</v>
      </c>
      <c r="T132" s="17"/>
      <c r="U132" s="1">
        <f t="shared" si="25"/>
        <v>-0.2</v>
      </c>
      <c r="V132" s="5"/>
      <c r="W132" s="5">
        <f t="shared" si="19"/>
        <v>0</v>
      </c>
      <c r="X132" s="1">
        <f t="shared" si="20"/>
        <v>-400</v>
      </c>
      <c r="Y132" s="1">
        <f t="shared" si="21"/>
        <v>-400</v>
      </c>
      <c r="Z132" s="1">
        <v>-0.2</v>
      </c>
      <c r="AA132" s="1">
        <v>1.2</v>
      </c>
      <c r="AB132" s="1">
        <v>11</v>
      </c>
      <c r="AC132" s="1">
        <v>9</v>
      </c>
      <c r="AD132" s="1">
        <v>-0.6</v>
      </c>
      <c r="AE132" s="1">
        <v>3.4</v>
      </c>
      <c r="AF132" s="1">
        <v>9.6</v>
      </c>
      <c r="AG132" s="1">
        <v>9.8000000000000007</v>
      </c>
      <c r="AH132" s="1">
        <v>6</v>
      </c>
      <c r="AI132" s="1">
        <v>8.6</v>
      </c>
      <c r="AJ132" s="1"/>
      <c r="AK132" s="1">
        <f t="shared" si="22"/>
        <v>0</v>
      </c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0" t="s">
        <v>177</v>
      </c>
      <c r="B133" s="10" t="s">
        <v>42</v>
      </c>
      <c r="C133" s="10">
        <v>60</v>
      </c>
      <c r="D133" s="10">
        <v>305</v>
      </c>
      <c r="E133" s="13">
        <v>165</v>
      </c>
      <c r="F133" s="13">
        <v>155</v>
      </c>
      <c r="G133" s="11">
        <v>0</v>
      </c>
      <c r="H133" s="10"/>
      <c r="I133" s="10" t="s">
        <v>178</v>
      </c>
      <c r="J133" s="10" t="s">
        <v>99</v>
      </c>
      <c r="K133" s="10">
        <v>180</v>
      </c>
      <c r="L133" s="10">
        <f t="shared" si="24"/>
        <v>-15</v>
      </c>
      <c r="M133" s="10"/>
      <c r="N133" s="10"/>
      <c r="O133" s="10">
        <v>0</v>
      </c>
      <c r="P133" s="20"/>
      <c r="Q133" s="10"/>
      <c r="R133" s="10"/>
      <c r="S133" s="10">
        <v>0</v>
      </c>
      <c r="T133" s="20"/>
      <c r="U133" s="10">
        <f t="shared" si="25"/>
        <v>33</v>
      </c>
      <c r="V133" s="12"/>
      <c r="W133" s="5">
        <f t="shared" si="19"/>
        <v>0</v>
      </c>
      <c r="X133" s="1">
        <f t="shared" si="20"/>
        <v>4.6969696969696972</v>
      </c>
      <c r="Y133" s="1">
        <f t="shared" si="21"/>
        <v>4.6969696969696972</v>
      </c>
      <c r="Z133" s="10">
        <v>41.6</v>
      </c>
      <c r="AA133" s="10">
        <v>38.4</v>
      </c>
      <c r="AB133" s="10">
        <v>29.4</v>
      </c>
      <c r="AC133" s="10">
        <v>9.6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/>
      <c r="AK133" s="1">
        <f t="shared" si="22"/>
        <v>0</v>
      </c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0" t="s">
        <v>179</v>
      </c>
      <c r="B134" s="10" t="s">
        <v>42</v>
      </c>
      <c r="C134" s="10">
        <v>2</v>
      </c>
      <c r="D134" s="10">
        <v>48</v>
      </c>
      <c r="E134" s="10"/>
      <c r="F134" s="13">
        <v>50</v>
      </c>
      <c r="G134" s="11">
        <v>0</v>
      </c>
      <c r="H134" s="10"/>
      <c r="I134" s="10" t="s">
        <v>178</v>
      </c>
      <c r="J134" s="10" t="s">
        <v>169</v>
      </c>
      <c r="K134" s="10"/>
      <c r="L134" s="10">
        <f t="shared" ref="L134" si="27">E134-K134</f>
        <v>0</v>
      </c>
      <c r="M134" s="10"/>
      <c r="N134" s="10"/>
      <c r="O134" s="10">
        <v>0</v>
      </c>
      <c r="P134" s="20"/>
      <c r="Q134" s="10"/>
      <c r="R134" s="10"/>
      <c r="S134" s="10">
        <v>0</v>
      </c>
      <c r="T134" s="20"/>
      <c r="U134" s="10">
        <f t="shared" si="25"/>
        <v>0</v>
      </c>
      <c r="V134" s="12"/>
      <c r="W134" s="5">
        <f t="shared" si="19"/>
        <v>0</v>
      </c>
      <c r="X134" s="1" t="e">
        <f t="shared" si="20"/>
        <v>#DIV/0!</v>
      </c>
      <c r="Y134" s="1" t="e">
        <f t="shared" si="21"/>
        <v>#DIV/0!</v>
      </c>
      <c r="Z134" s="10">
        <v>0</v>
      </c>
      <c r="AA134" s="10">
        <v>0</v>
      </c>
      <c r="AB134" s="10">
        <v>1</v>
      </c>
      <c r="AC134" s="10">
        <v>1</v>
      </c>
      <c r="AD134" s="10">
        <v>0</v>
      </c>
      <c r="AE134" s="10">
        <v>0</v>
      </c>
      <c r="AF134" s="10">
        <v>0.4</v>
      </c>
      <c r="AG134" s="10">
        <v>5.2</v>
      </c>
      <c r="AH134" s="10">
        <v>5.2</v>
      </c>
      <c r="AI134" s="10">
        <v>1.4</v>
      </c>
      <c r="AJ134" s="10"/>
      <c r="AK134" s="1">
        <f t="shared" si="22"/>
        <v>0</v>
      </c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7"/>
      <c r="Q135" s="1"/>
      <c r="R135" s="1"/>
      <c r="S135" s="1"/>
      <c r="T135" s="17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7"/>
      <c r="Q136" s="1"/>
      <c r="R136" s="1"/>
      <c r="S136" s="1"/>
      <c r="T136" s="17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7"/>
      <c r="Q137" s="1"/>
      <c r="R137" s="1"/>
      <c r="S137" s="1"/>
      <c r="T137" s="17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7"/>
      <c r="Q138" s="1"/>
      <c r="R138" s="1"/>
      <c r="S138" s="1"/>
      <c r="T138" s="17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7"/>
      <c r="Q139" s="1"/>
      <c r="R139" s="1"/>
      <c r="S139" s="1"/>
      <c r="T139" s="17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7"/>
      <c r="Q140" s="1"/>
      <c r="R140" s="1"/>
      <c r="S140" s="1"/>
      <c r="T140" s="17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7"/>
      <c r="Q141" s="1"/>
      <c r="R141" s="1"/>
      <c r="S141" s="1"/>
      <c r="T141" s="17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7"/>
      <c r="Q142" s="1"/>
      <c r="R142" s="1"/>
      <c r="S142" s="1"/>
      <c r="T142" s="17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7"/>
      <c r="Q143" s="1"/>
      <c r="R143" s="1"/>
      <c r="S143" s="1"/>
      <c r="T143" s="17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7"/>
      <c r="Q144" s="1"/>
      <c r="R144" s="1"/>
      <c r="S144" s="1"/>
      <c r="T144" s="17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7"/>
      <c r="Q145" s="1"/>
      <c r="R145" s="1"/>
      <c r="S145" s="1"/>
      <c r="T145" s="17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7"/>
      <c r="Q146" s="1"/>
      <c r="R146" s="1"/>
      <c r="S146" s="1"/>
      <c r="T146" s="17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7"/>
      <c r="Q147" s="1"/>
      <c r="R147" s="1"/>
      <c r="S147" s="1"/>
      <c r="T147" s="17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7"/>
      <c r="Q148" s="1"/>
      <c r="R148" s="1"/>
      <c r="S148" s="1"/>
      <c r="T148" s="17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7"/>
      <c r="Q149" s="1"/>
      <c r="R149" s="1"/>
      <c r="S149" s="1"/>
      <c r="T149" s="17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7"/>
      <c r="Q150" s="1"/>
      <c r="R150" s="1"/>
      <c r="S150" s="1"/>
      <c r="T150" s="17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7"/>
      <c r="Q151" s="1"/>
      <c r="R151" s="1"/>
      <c r="S151" s="1"/>
      <c r="T151" s="17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7"/>
      <c r="Q152" s="1"/>
      <c r="R152" s="1"/>
      <c r="S152" s="1"/>
      <c r="T152" s="17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7"/>
      <c r="Q153" s="1"/>
      <c r="R153" s="1"/>
      <c r="S153" s="1"/>
      <c r="T153" s="17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7"/>
      <c r="Q154" s="1"/>
      <c r="R154" s="1"/>
      <c r="S154" s="1"/>
      <c r="T154" s="17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7"/>
      <c r="Q155" s="1"/>
      <c r="R155" s="1"/>
      <c r="S155" s="1"/>
      <c r="T155" s="17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7"/>
      <c r="Q156" s="1"/>
      <c r="R156" s="1"/>
      <c r="S156" s="1"/>
      <c r="T156" s="17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7"/>
      <c r="Q157" s="1"/>
      <c r="R157" s="1"/>
      <c r="S157" s="1"/>
      <c r="T157" s="17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7"/>
      <c r="Q158" s="1"/>
      <c r="R158" s="1"/>
      <c r="S158" s="1"/>
      <c r="T158" s="17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7"/>
      <c r="Q159" s="1"/>
      <c r="R159" s="1"/>
      <c r="S159" s="1"/>
      <c r="T159" s="17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7"/>
      <c r="Q160" s="1"/>
      <c r="R160" s="1"/>
      <c r="S160" s="1"/>
      <c r="T160" s="17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7"/>
      <c r="Q161" s="1"/>
      <c r="R161" s="1"/>
      <c r="S161" s="1"/>
      <c r="T161" s="17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7"/>
      <c r="Q162" s="1"/>
      <c r="R162" s="1"/>
      <c r="S162" s="1"/>
      <c r="T162" s="17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7"/>
      <c r="Q163" s="1"/>
      <c r="R163" s="1"/>
      <c r="S163" s="1"/>
      <c r="T163" s="17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7"/>
      <c r="Q164" s="1"/>
      <c r="R164" s="1"/>
      <c r="S164" s="1"/>
      <c r="T164" s="17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7"/>
      <c r="Q165" s="1"/>
      <c r="R165" s="1"/>
      <c r="S165" s="1"/>
      <c r="T165" s="17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7"/>
      <c r="Q166" s="1"/>
      <c r="R166" s="1"/>
      <c r="S166" s="1"/>
      <c r="T166" s="17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7"/>
      <c r="Q167" s="1"/>
      <c r="R167" s="1"/>
      <c r="S167" s="1"/>
      <c r="T167" s="17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7"/>
      <c r="Q168" s="1"/>
      <c r="R168" s="1"/>
      <c r="S168" s="1"/>
      <c r="T168" s="17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7"/>
      <c r="Q169" s="1"/>
      <c r="R169" s="1"/>
      <c r="S169" s="1"/>
      <c r="T169" s="17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7"/>
      <c r="Q170" s="1"/>
      <c r="R170" s="1"/>
      <c r="S170" s="1"/>
      <c r="T170" s="17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7"/>
      <c r="Q171" s="1"/>
      <c r="R171" s="1"/>
      <c r="S171" s="1"/>
      <c r="T171" s="17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7"/>
      <c r="Q172" s="1"/>
      <c r="R172" s="1"/>
      <c r="S172" s="1"/>
      <c r="T172" s="17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7"/>
      <c r="Q173" s="1"/>
      <c r="R173" s="1"/>
      <c r="S173" s="1"/>
      <c r="T173" s="17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7"/>
      <c r="Q174" s="1"/>
      <c r="R174" s="1"/>
      <c r="S174" s="1"/>
      <c r="T174" s="17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7"/>
      <c r="Q175" s="1"/>
      <c r="R175" s="1"/>
      <c r="S175" s="1"/>
      <c r="T175" s="17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7"/>
      <c r="Q176" s="1"/>
      <c r="R176" s="1"/>
      <c r="S176" s="1"/>
      <c r="T176" s="17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7"/>
      <c r="Q177" s="1"/>
      <c r="R177" s="1"/>
      <c r="S177" s="1"/>
      <c r="T177" s="17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7"/>
      <c r="Q178" s="1"/>
      <c r="R178" s="1"/>
      <c r="S178" s="1"/>
      <c r="T178" s="17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7"/>
      <c r="Q179" s="1"/>
      <c r="R179" s="1"/>
      <c r="S179" s="1"/>
      <c r="T179" s="17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7"/>
      <c r="Q180" s="1"/>
      <c r="R180" s="1"/>
      <c r="S180" s="1"/>
      <c r="T180" s="17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7"/>
      <c r="Q181" s="1"/>
      <c r="R181" s="1"/>
      <c r="S181" s="1"/>
      <c r="T181" s="17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7"/>
      <c r="Q182" s="1"/>
      <c r="R182" s="1"/>
      <c r="S182" s="1"/>
      <c r="T182" s="17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7"/>
      <c r="Q183" s="1"/>
      <c r="R183" s="1"/>
      <c r="S183" s="1"/>
      <c r="T183" s="17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7"/>
      <c r="Q184" s="1"/>
      <c r="R184" s="1"/>
      <c r="S184" s="1"/>
      <c r="T184" s="17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7"/>
      <c r="Q185" s="1"/>
      <c r="R185" s="1"/>
      <c r="S185" s="1"/>
      <c r="T185" s="17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7"/>
      <c r="Q186" s="1"/>
      <c r="R186" s="1"/>
      <c r="S186" s="1"/>
      <c r="T186" s="17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7"/>
      <c r="Q187" s="1"/>
      <c r="R187" s="1"/>
      <c r="S187" s="1"/>
      <c r="T187" s="17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7"/>
      <c r="Q188" s="1"/>
      <c r="R188" s="1"/>
      <c r="S188" s="1"/>
      <c r="T188" s="17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7"/>
      <c r="Q189" s="1"/>
      <c r="R189" s="1"/>
      <c r="S189" s="1"/>
      <c r="T189" s="17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7"/>
      <c r="Q190" s="1"/>
      <c r="R190" s="1"/>
      <c r="S190" s="1"/>
      <c r="T190" s="17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7"/>
      <c r="Q191" s="1"/>
      <c r="R191" s="1"/>
      <c r="S191" s="1"/>
      <c r="T191" s="17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7"/>
      <c r="Q192" s="1"/>
      <c r="R192" s="1"/>
      <c r="S192" s="1"/>
      <c r="T192" s="17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7"/>
      <c r="Q193" s="1"/>
      <c r="R193" s="1"/>
      <c r="S193" s="1"/>
      <c r="T193" s="17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7"/>
      <c r="Q194" s="1"/>
      <c r="R194" s="1"/>
      <c r="S194" s="1"/>
      <c r="T194" s="17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7"/>
      <c r="Q195" s="1"/>
      <c r="R195" s="1"/>
      <c r="S195" s="1"/>
      <c r="T195" s="17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7"/>
      <c r="Q196" s="1"/>
      <c r="R196" s="1"/>
      <c r="S196" s="1"/>
      <c r="T196" s="17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7"/>
      <c r="Q197" s="1"/>
      <c r="R197" s="1"/>
      <c r="S197" s="1"/>
      <c r="T197" s="17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7"/>
      <c r="Q198" s="1"/>
      <c r="R198" s="1"/>
      <c r="S198" s="1"/>
      <c r="T198" s="17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7"/>
      <c r="Q199" s="1"/>
      <c r="R199" s="1"/>
      <c r="S199" s="1"/>
      <c r="T199" s="17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7"/>
      <c r="Q200" s="1"/>
      <c r="R200" s="1"/>
      <c r="S200" s="1"/>
      <c r="T200" s="17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7"/>
      <c r="Q201" s="1"/>
      <c r="R201" s="1"/>
      <c r="S201" s="1"/>
      <c r="T201" s="17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7"/>
      <c r="Q202" s="1"/>
      <c r="R202" s="1"/>
      <c r="S202" s="1"/>
      <c r="T202" s="17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7"/>
      <c r="Q203" s="1"/>
      <c r="R203" s="1"/>
      <c r="S203" s="1"/>
      <c r="T203" s="17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7"/>
      <c r="Q204" s="1"/>
      <c r="R204" s="1"/>
      <c r="S204" s="1"/>
      <c r="T204" s="17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7"/>
      <c r="Q205" s="1"/>
      <c r="R205" s="1"/>
      <c r="S205" s="1"/>
      <c r="T205" s="17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7"/>
      <c r="Q206" s="1"/>
      <c r="R206" s="1"/>
      <c r="S206" s="1"/>
      <c r="T206" s="17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7"/>
      <c r="Q207" s="1"/>
      <c r="R207" s="1"/>
      <c r="S207" s="1"/>
      <c r="T207" s="17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7"/>
      <c r="Q208" s="1"/>
      <c r="R208" s="1"/>
      <c r="S208" s="1"/>
      <c r="T208" s="17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7"/>
      <c r="Q209" s="1"/>
      <c r="R209" s="1"/>
      <c r="S209" s="1"/>
      <c r="T209" s="17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7"/>
      <c r="Q210" s="1"/>
      <c r="R210" s="1"/>
      <c r="S210" s="1"/>
      <c r="T210" s="17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7"/>
      <c r="Q211" s="1"/>
      <c r="R211" s="1"/>
      <c r="S211" s="1"/>
      <c r="T211" s="17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7"/>
      <c r="Q212" s="1"/>
      <c r="R212" s="1"/>
      <c r="S212" s="1"/>
      <c r="T212" s="17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7"/>
      <c r="Q213" s="1"/>
      <c r="R213" s="1"/>
      <c r="S213" s="1"/>
      <c r="T213" s="17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7"/>
      <c r="Q214" s="1"/>
      <c r="R214" s="1"/>
      <c r="S214" s="1"/>
      <c r="T214" s="17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7"/>
      <c r="Q215" s="1"/>
      <c r="R215" s="1"/>
      <c r="S215" s="1"/>
      <c r="T215" s="17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7"/>
      <c r="Q216" s="1"/>
      <c r="R216" s="1"/>
      <c r="S216" s="1"/>
      <c r="T216" s="17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7"/>
      <c r="Q217" s="1"/>
      <c r="R217" s="1"/>
      <c r="S217" s="1"/>
      <c r="T217" s="17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7"/>
      <c r="Q218" s="1"/>
      <c r="R218" s="1"/>
      <c r="S218" s="1"/>
      <c r="T218" s="17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7"/>
      <c r="Q219" s="1"/>
      <c r="R219" s="1"/>
      <c r="S219" s="1"/>
      <c r="T219" s="17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7"/>
      <c r="Q220" s="1"/>
      <c r="R220" s="1"/>
      <c r="S220" s="1"/>
      <c r="T220" s="17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7"/>
      <c r="Q221" s="1"/>
      <c r="R221" s="1"/>
      <c r="S221" s="1"/>
      <c r="T221" s="17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7"/>
      <c r="Q222" s="1"/>
      <c r="R222" s="1"/>
      <c r="S222" s="1"/>
      <c r="T222" s="17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7"/>
      <c r="Q223" s="1"/>
      <c r="R223" s="1"/>
      <c r="S223" s="1"/>
      <c r="T223" s="17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7"/>
      <c r="Q224" s="1"/>
      <c r="R224" s="1"/>
      <c r="S224" s="1"/>
      <c r="T224" s="17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7"/>
      <c r="Q225" s="1"/>
      <c r="R225" s="1"/>
      <c r="S225" s="1"/>
      <c r="T225" s="17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7"/>
      <c r="Q226" s="1"/>
      <c r="R226" s="1"/>
      <c r="S226" s="1"/>
      <c r="T226" s="17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7"/>
      <c r="Q227" s="1"/>
      <c r="R227" s="1"/>
      <c r="S227" s="1"/>
      <c r="T227" s="17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7"/>
      <c r="Q228" s="1"/>
      <c r="R228" s="1"/>
      <c r="S228" s="1"/>
      <c r="T228" s="17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7"/>
      <c r="Q229" s="1"/>
      <c r="R229" s="1"/>
      <c r="S229" s="1"/>
      <c r="T229" s="17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7"/>
      <c r="Q230" s="1"/>
      <c r="R230" s="1"/>
      <c r="S230" s="1"/>
      <c r="T230" s="17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7"/>
      <c r="Q231" s="1"/>
      <c r="R231" s="1"/>
      <c r="S231" s="1"/>
      <c r="T231" s="17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7"/>
      <c r="Q232" s="1"/>
      <c r="R232" s="1"/>
      <c r="S232" s="1"/>
      <c r="T232" s="17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7"/>
      <c r="Q233" s="1"/>
      <c r="R233" s="1"/>
      <c r="S233" s="1"/>
      <c r="T233" s="17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7"/>
      <c r="Q234" s="1"/>
      <c r="R234" s="1"/>
      <c r="S234" s="1"/>
      <c r="T234" s="17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7"/>
      <c r="Q235" s="1"/>
      <c r="R235" s="1"/>
      <c r="S235" s="1"/>
      <c r="T235" s="17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7"/>
      <c r="Q236" s="1"/>
      <c r="R236" s="1"/>
      <c r="S236" s="1"/>
      <c r="T236" s="17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7"/>
      <c r="Q237" s="1"/>
      <c r="R237" s="1"/>
      <c r="S237" s="1"/>
      <c r="T237" s="17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7"/>
      <c r="Q238" s="1"/>
      <c r="R238" s="1"/>
      <c r="S238" s="1"/>
      <c r="T238" s="17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7"/>
      <c r="Q239" s="1"/>
      <c r="R239" s="1"/>
      <c r="S239" s="1"/>
      <c r="T239" s="17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7"/>
      <c r="Q240" s="1"/>
      <c r="R240" s="1"/>
      <c r="S240" s="1"/>
      <c r="T240" s="17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7"/>
      <c r="Q241" s="1"/>
      <c r="R241" s="1"/>
      <c r="S241" s="1"/>
      <c r="T241" s="17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7"/>
      <c r="Q242" s="1"/>
      <c r="R242" s="1"/>
      <c r="S242" s="1"/>
      <c r="T242" s="17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7"/>
      <c r="Q243" s="1"/>
      <c r="R243" s="1"/>
      <c r="S243" s="1"/>
      <c r="T243" s="17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7"/>
      <c r="Q244" s="1"/>
      <c r="R244" s="1"/>
      <c r="S244" s="1"/>
      <c r="T244" s="17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7"/>
      <c r="Q245" s="1"/>
      <c r="R245" s="1"/>
      <c r="S245" s="1"/>
      <c r="T245" s="17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7"/>
      <c r="Q246" s="1"/>
      <c r="R246" s="1"/>
      <c r="S246" s="1"/>
      <c r="T246" s="17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7"/>
      <c r="Q247" s="1"/>
      <c r="R247" s="1"/>
      <c r="S247" s="1"/>
      <c r="T247" s="17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7"/>
      <c r="Q248" s="1"/>
      <c r="R248" s="1"/>
      <c r="S248" s="1"/>
      <c r="T248" s="17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7"/>
      <c r="Q249" s="1"/>
      <c r="R249" s="1"/>
      <c r="S249" s="1"/>
      <c r="T249" s="17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7"/>
      <c r="Q250" s="1"/>
      <c r="R250" s="1"/>
      <c r="S250" s="1"/>
      <c r="T250" s="17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7"/>
      <c r="Q251" s="1"/>
      <c r="R251" s="1"/>
      <c r="S251" s="1"/>
      <c r="T251" s="17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7"/>
      <c r="Q252" s="1"/>
      <c r="R252" s="1"/>
      <c r="S252" s="1"/>
      <c r="T252" s="17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7"/>
      <c r="Q253" s="1"/>
      <c r="R253" s="1"/>
      <c r="S253" s="1"/>
      <c r="T253" s="17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7"/>
      <c r="Q254" s="1"/>
      <c r="R254" s="1"/>
      <c r="S254" s="1"/>
      <c r="T254" s="17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7"/>
      <c r="Q255" s="1"/>
      <c r="R255" s="1"/>
      <c r="S255" s="1"/>
      <c r="T255" s="17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7"/>
      <c r="Q256" s="1"/>
      <c r="R256" s="1"/>
      <c r="S256" s="1"/>
      <c r="T256" s="17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7"/>
      <c r="Q257" s="1"/>
      <c r="R257" s="1"/>
      <c r="S257" s="1"/>
      <c r="T257" s="17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7"/>
      <c r="Q258" s="1"/>
      <c r="R258" s="1"/>
      <c r="S258" s="1"/>
      <c r="T258" s="17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7"/>
      <c r="Q259" s="1"/>
      <c r="R259" s="1"/>
      <c r="S259" s="1"/>
      <c r="T259" s="17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7"/>
      <c r="Q260" s="1"/>
      <c r="R260" s="1"/>
      <c r="S260" s="1"/>
      <c r="T260" s="17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7"/>
      <c r="Q261" s="1"/>
      <c r="R261" s="1"/>
      <c r="S261" s="1"/>
      <c r="T261" s="17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7"/>
      <c r="Q262" s="1"/>
      <c r="R262" s="1"/>
      <c r="S262" s="1"/>
      <c r="T262" s="17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7"/>
      <c r="Q263" s="1"/>
      <c r="R263" s="1"/>
      <c r="S263" s="1"/>
      <c r="T263" s="17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7"/>
      <c r="Q264" s="1"/>
      <c r="R264" s="1"/>
      <c r="S264" s="1"/>
      <c r="T264" s="17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7"/>
      <c r="Q265" s="1"/>
      <c r="R265" s="1"/>
      <c r="S265" s="1"/>
      <c r="T265" s="17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7"/>
      <c r="Q266" s="1"/>
      <c r="R266" s="1"/>
      <c r="S266" s="1"/>
      <c r="T266" s="17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7"/>
      <c r="Q267" s="1"/>
      <c r="R267" s="1"/>
      <c r="S267" s="1"/>
      <c r="T267" s="17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7"/>
      <c r="Q268" s="1"/>
      <c r="R268" s="1"/>
      <c r="S268" s="1"/>
      <c r="T268" s="17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7"/>
      <c r="Q269" s="1"/>
      <c r="R269" s="1"/>
      <c r="S269" s="1"/>
      <c r="T269" s="17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7"/>
      <c r="Q270" s="1"/>
      <c r="R270" s="1"/>
      <c r="S270" s="1"/>
      <c r="T270" s="17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7"/>
      <c r="Q271" s="1"/>
      <c r="R271" s="1"/>
      <c r="S271" s="1"/>
      <c r="T271" s="17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7"/>
      <c r="Q272" s="1"/>
      <c r="R272" s="1"/>
      <c r="S272" s="1"/>
      <c r="T272" s="17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7"/>
      <c r="Q273" s="1"/>
      <c r="R273" s="1"/>
      <c r="S273" s="1"/>
      <c r="T273" s="17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7"/>
      <c r="Q274" s="1"/>
      <c r="R274" s="1"/>
      <c r="S274" s="1"/>
      <c r="T274" s="17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7"/>
      <c r="Q275" s="1"/>
      <c r="R275" s="1"/>
      <c r="S275" s="1"/>
      <c r="T275" s="17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7"/>
      <c r="Q276" s="1"/>
      <c r="R276" s="1"/>
      <c r="S276" s="1"/>
      <c r="T276" s="17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7"/>
      <c r="Q277" s="1"/>
      <c r="R277" s="1"/>
      <c r="S277" s="1"/>
      <c r="T277" s="17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7"/>
      <c r="Q278" s="1"/>
      <c r="R278" s="1"/>
      <c r="S278" s="1"/>
      <c r="T278" s="17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7"/>
      <c r="Q279" s="1"/>
      <c r="R279" s="1"/>
      <c r="S279" s="1"/>
      <c r="T279" s="17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7"/>
      <c r="Q280" s="1"/>
      <c r="R280" s="1"/>
      <c r="S280" s="1"/>
      <c r="T280" s="17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7"/>
      <c r="Q281" s="1"/>
      <c r="R281" s="1"/>
      <c r="S281" s="1"/>
      <c r="T281" s="17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7"/>
      <c r="Q282" s="1"/>
      <c r="R282" s="1"/>
      <c r="S282" s="1"/>
      <c r="T282" s="17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7"/>
      <c r="Q283" s="1"/>
      <c r="R283" s="1"/>
      <c r="S283" s="1"/>
      <c r="T283" s="17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7"/>
      <c r="Q284" s="1"/>
      <c r="R284" s="1"/>
      <c r="S284" s="1"/>
      <c r="T284" s="17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7"/>
      <c r="Q285" s="1"/>
      <c r="R285" s="1"/>
      <c r="S285" s="1"/>
      <c r="T285" s="17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7"/>
      <c r="Q286" s="1"/>
      <c r="R286" s="1"/>
      <c r="S286" s="1"/>
      <c r="T286" s="17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7"/>
      <c r="Q287" s="1"/>
      <c r="R287" s="1"/>
      <c r="S287" s="1"/>
      <c r="T287" s="17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7"/>
      <c r="Q288" s="1"/>
      <c r="R288" s="1"/>
      <c r="S288" s="1"/>
      <c r="T288" s="17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7"/>
      <c r="Q289" s="1"/>
      <c r="R289" s="1"/>
      <c r="S289" s="1"/>
      <c r="T289" s="17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7"/>
      <c r="Q290" s="1"/>
      <c r="R290" s="1"/>
      <c r="S290" s="1"/>
      <c r="T290" s="17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7"/>
      <c r="Q291" s="1"/>
      <c r="R291" s="1"/>
      <c r="S291" s="1"/>
      <c r="T291" s="17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7"/>
      <c r="Q292" s="1"/>
      <c r="R292" s="1"/>
      <c r="S292" s="1"/>
      <c r="T292" s="17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7"/>
      <c r="Q293" s="1"/>
      <c r="R293" s="1"/>
      <c r="S293" s="1"/>
      <c r="T293" s="17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7"/>
      <c r="Q294" s="1"/>
      <c r="R294" s="1"/>
      <c r="S294" s="1"/>
      <c r="T294" s="17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7"/>
      <c r="Q295" s="1"/>
      <c r="R295" s="1"/>
      <c r="S295" s="1"/>
      <c r="T295" s="17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7"/>
      <c r="Q296" s="1"/>
      <c r="R296" s="1"/>
      <c r="S296" s="1"/>
      <c r="T296" s="17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7"/>
      <c r="Q297" s="1"/>
      <c r="R297" s="1"/>
      <c r="S297" s="1"/>
      <c r="T297" s="17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7"/>
      <c r="Q298" s="1"/>
      <c r="R298" s="1"/>
      <c r="S298" s="1"/>
      <c r="T298" s="17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7"/>
      <c r="Q299" s="1"/>
      <c r="R299" s="1"/>
      <c r="S299" s="1"/>
      <c r="T299" s="17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7"/>
      <c r="Q300" s="1"/>
      <c r="R300" s="1"/>
      <c r="S300" s="1"/>
      <c r="T300" s="17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7"/>
      <c r="Q301" s="1"/>
      <c r="R301" s="1"/>
      <c r="S301" s="1"/>
      <c r="T301" s="17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7"/>
      <c r="Q302" s="1"/>
      <c r="R302" s="1"/>
      <c r="S302" s="1"/>
      <c r="T302" s="17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7"/>
      <c r="Q303" s="1"/>
      <c r="R303" s="1"/>
      <c r="S303" s="1"/>
      <c r="T303" s="17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7"/>
      <c r="Q304" s="1"/>
      <c r="R304" s="1"/>
      <c r="S304" s="1"/>
      <c r="T304" s="17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7"/>
      <c r="Q305" s="1"/>
      <c r="R305" s="1"/>
      <c r="S305" s="1"/>
      <c r="T305" s="17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7"/>
      <c r="Q306" s="1"/>
      <c r="R306" s="1"/>
      <c r="S306" s="1"/>
      <c r="T306" s="17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7"/>
      <c r="Q307" s="1"/>
      <c r="R307" s="1"/>
      <c r="S307" s="1"/>
      <c r="T307" s="17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7"/>
      <c r="Q308" s="1"/>
      <c r="R308" s="1"/>
      <c r="S308" s="1"/>
      <c r="T308" s="17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7"/>
      <c r="Q309" s="1"/>
      <c r="R309" s="1"/>
      <c r="S309" s="1"/>
      <c r="T309" s="17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7"/>
      <c r="Q310" s="1"/>
      <c r="R310" s="1"/>
      <c r="S310" s="1"/>
      <c r="T310" s="17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7"/>
      <c r="Q311" s="1"/>
      <c r="R311" s="1"/>
      <c r="S311" s="1"/>
      <c r="T311" s="17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7"/>
      <c r="Q312" s="1"/>
      <c r="R312" s="1"/>
      <c r="S312" s="1"/>
      <c r="T312" s="17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7"/>
      <c r="Q313" s="1"/>
      <c r="R313" s="1"/>
      <c r="S313" s="1"/>
      <c r="T313" s="17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7"/>
      <c r="Q314" s="1"/>
      <c r="R314" s="1"/>
      <c r="S314" s="1"/>
      <c r="T314" s="17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7"/>
      <c r="Q315" s="1"/>
      <c r="R315" s="1"/>
      <c r="S315" s="1"/>
      <c r="T315" s="17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7"/>
      <c r="Q316" s="1"/>
      <c r="R316" s="1"/>
      <c r="S316" s="1"/>
      <c r="T316" s="17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7"/>
      <c r="Q317" s="1"/>
      <c r="R317" s="1"/>
      <c r="S317" s="1"/>
      <c r="T317" s="17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7"/>
      <c r="Q318" s="1"/>
      <c r="R318" s="1"/>
      <c r="S318" s="1"/>
      <c r="T318" s="17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7"/>
      <c r="Q319" s="1"/>
      <c r="R319" s="1"/>
      <c r="S319" s="1"/>
      <c r="T319" s="17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7"/>
      <c r="Q320" s="1"/>
      <c r="R320" s="1"/>
      <c r="S320" s="1"/>
      <c r="T320" s="17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7"/>
      <c r="Q321" s="1"/>
      <c r="R321" s="1"/>
      <c r="S321" s="1"/>
      <c r="T321" s="17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7"/>
      <c r="Q322" s="1"/>
      <c r="R322" s="1"/>
      <c r="S322" s="1"/>
      <c r="T322" s="17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7"/>
      <c r="Q323" s="1"/>
      <c r="R323" s="1"/>
      <c r="S323" s="1"/>
      <c r="T323" s="17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7"/>
      <c r="Q324" s="1"/>
      <c r="R324" s="1"/>
      <c r="S324" s="1"/>
      <c r="T324" s="17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7"/>
      <c r="Q325" s="1"/>
      <c r="R325" s="1"/>
      <c r="S325" s="1"/>
      <c r="T325" s="17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7"/>
      <c r="Q326" s="1"/>
      <c r="R326" s="1"/>
      <c r="S326" s="1"/>
      <c r="T326" s="17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7"/>
      <c r="Q327" s="1"/>
      <c r="R327" s="1"/>
      <c r="S327" s="1"/>
      <c r="T327" s="17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7"/>
      <c r="Q328" s="1"/>
      <c r="R328" s="1"/>
      <c r="S328" s="1"/>
      <c r="T328" s="17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7"/>
      <c r="Q329" s="1"/>
      <c r="R329" s="1"/>
      <c r="S329" s="1"/>
      <c r="T329" s="17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7"/>
      <c r="Q330" s="1"/>
      <c r="R330" s="1"/>
      <c r="S330" s="1"/>
      <c r="T330" s="17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7"/>
      <c r="Q331" s="1"/>
      <c r="R331" s="1"/>
      <c r="S331" s="1"/>
      <c r="T331" s="17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7"/>
      <c r="Q332" s="1"/>
      <c r="R332" s="1"/>
      <c r="S332" s="1"/>
      <c r="T332" s="17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7"/>
      <c r="Q333" s="1"/>
      <c r="R333" s="1"/>
      <c r="S333" s="1"/>
      <c r="T333" s="17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7"/>
      <c r="Q334" s="1"/>
      <c r="R334" s="1"/>
      <c r="S334" s="1"/>
      <c r="T334" s="17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7"/>
      <c r="Q335" s="1"/>
      <c r="R335" s="1"/>
      <c r="S335" s="1"/>
      <c r="T335" s="17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7"/>
      <c r="Q336" s="1"/>
      <c r="R336" s="1"/>
      <c r="S336" s="1"/>
      <c r="T336" s="17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7"/>
      <c r="Q337" s="1"/>
      <c r="R337" s="1"/>
      <c r="S337" s="1"/>
      <c r="T337" s="17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7"/>
      <c r="Q338" s="1"/>
      <c r="R338" s="1"/>
      <c r="S338" s="1"/>
      <c r="T338" s="17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7"/>
      <c r="Q339" s="1"/>
      <c r="R339" s="1"/>
      <c r="S339" s="1"/>
      <c r="T339" s="17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7"/>
      <c r="Q340" s="1"/>
      <c r="R340" s="1"/>
      <c r="S340" s="1"/>
      <c r="T340" s="17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7"/>
      <c r="Q341" s="1"/>
      <c r="R341" s="1"/>
      <c r="S341" s="1"/>
      <c r="T341" s="17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7"/>
      <c r="Q342" s="1"/>
      <c r="R342" s="1"/>
      <c r="S342" s="1"/>
      <c r="T342" s="17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7"/>
      <c r="Q343" s="1"/>
      <c r="R343" s="1"/>
      <c r="S343" s="1"/>
      <c r="T343" s="17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7"/>
      <c r="Q344" s="1"/>
      <c r="R344" s="1"/>
      <c r="S344" s="1"/>
      <c r="T344" s="17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7"/>
      <c r="Q345" s="1"/>
      <c r="R345" s="1"/>
      <c r="S345" s="1"/>
      <c r="T345" s="17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7"/>
      <c r="Q346" s="1"/>
      <c r="R346" s="1"/>
      <c r="S346" s="1"/>
      <c r="T346" s="17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7"/>
      <c r="Q347" s="1"/>
      <c r="R347" s="1"/>
      <c r="S347" s="1"/>
      <c r="T347" s="17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7"/>
      <c r="Q348" s="1"/>
      <c r="R348" s="1"/>
      <c r="S348" s="1"/>
      <c r="T348" s="17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7"/>
      <c r="Q349" s="1"/>
      <c r="R349" s="1"/>
      <c r="S349" s="1"/>
      <c r="T349" s="17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7"/>
      <c r="Q350" s="1"/>
      <c r="R350" s="1"/>
      <c r="S350" s="1"/>
      <c r="T350" s="17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7"/>
      <c r="Q351" s="1"/>
      <c r="R351" s="1"/>
      <c r="S351" s="1"/>
      <c r="T351" s="17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7"/>
      <c r="Q352" s="1"/>
      <c r="R352" s="1"/>
      <c r="S352" s="1"/>
      <c r="T352" s="17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7"/>
      <c r="Q353" s="1"/>
      <c r="R353" s="1"/>
      <c r="S353" s="1"/>
      <c r="T353" s="17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7"/>
      <c r="Q354" s="1"/>
      <c r="R354" s="1"/>
      <c r="S354" s="1"/>
      <c r="T354" s="17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7"/>
      <c r="Q355" s="1"/>
      <c r="R355" s="1"/>
      <c r="S355" s="1"/>
      <c r="T355" s="17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7"/>
      <c r="Q356" s="1"/>
      <c r="R356" s="1"/>
      <c r="S356" s="1"/>
      <c r="T356" s="17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7"/>
      <c r="Q357" s="1"/>
      <c r="R357" s="1"/>
      <c r="S357" s="1"/>
      <c r="T357" s="17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7"/>
      <c r="Q358" s="1"/>
      <c r="R358" s="1"/>
      <c r="S358" s="1"/>
      <c r="T358" s="17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7"/>
      <c r="Q359" s="1"/>
      <c r="R359" s="1"/>
      <c r="S359" s="1"/>
      <c r="T359" s="17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7"/>
      <c r="Q360" s="1"/>
      <c r="R360" s="1"/>
      <c r="S360" s="1"/>
      <c r="T360" s="17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7"/>
      <c r="Q361" s="1"/>
      <c r="R361" s="1"/>
      <c r="S361" s="1"/>
      <c r="T361" s="17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7"/>
      <c r="Q362" s="1"/>
      <c r="R362" s="1"/>
      <c r="S362" s="1"/>
      <c r="T362" s="17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7"/>
      <c r="Q363" s="1"/>
      <c r="R363" s="1"/>
      <c r="S363" s="1"/>
      <c r="T363" s="17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7"/>
      <c r="Q364" s="1"/>
      <c r="R364" s="1"/>
      <c r="S364" s="1"/>
      <c r="T364" s="17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7"/>
      <c r="Q365" s="1"/>
      <c r="R365" s="1"/>
      <c r="S365" s="1"/>
      <c r="T365" s="17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7"/>
      <c r="Q366" s="1"/>
      <c r="R366" s="1"/>
      <c r="S366" s="1"/>
      <c r="T366" s="17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7"/>
      <c r="Q367" s="1"/>
      <c r="R367" s="1"/>
      <c r="S367" s="1"/>
      <c r="T367" s="17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7"/>
      <c r="Q368" s="1"/>
      <c r="R368" s="1"/>
      <c r="S368" s="1"/>
      <c r="T368" s="17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7"/>
      <c r="Q369" s="1"/>
      <c r="R369" s="1"/>
      <c r="S369" s="1"/>
      <c r="T369" s="17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7"/>
      <c r="Q370" s="1"/>
      <c r="R370" s="1"/>
      <c r="S370" s="1"/>
      <c r="T370" s="17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7"/>
      <c r="Q371" s="1"/>
      <c r="R371" s="1"/>
      <c r="S371" s="1"/>
      <c r="T371" s="17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7"/>
      <c r="Q372" s="1"/>
      <c r="R372" s="1"/>
      <c r="S372" s="1"/>
      <c r="T372" s="17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7"/>
      <c r="Q373" s="1"/>
      <c r="R373" s="1"/>
      <c r="S373" s="1"/>
      <c r="T373" s="17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7"/>
      <c r="Q374" s="1"/>
      <c r="R374" s="1"/>
      <c r="S374" s="1"/>
      <c r="T374" s="17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7"/>
      <c r="Q375" s="1"/>
      <c r="R375" s="1"/>
      <c r="S375" s="1"/>
      <c r="T375" s="17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7"/>
      <c r="Q376" s="1"/>
      <c r="R376" s="1"/>
      <c r="S376" s="1"/>
      <c r="T376" s="17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7"/>
      <c r="Q377" s="1"/>
      <c r="R377" s="1"/>
      <c r="S377" s="1"/>
      <c r="T377" s="17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7"/>
      <c r="Q378" s="1"/>
      <c r="R378" s="1"/>
      <c r="S378" s="1"/>
      <c r="T378" s="17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7"/>
      <c r="Q379" s="1"/>
      <c r="R379" s="1"/>
      <c r="S379" s="1"/>
      <c r="T379" s="17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7"/>
      <c r="Q380" s="1"/>
      <c r="R380" s="1"/>
      <c r="S380" s="1"/>
      <c r="T380" s="17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7"/>
      <c r="Q381" s="1"/>
      <c r="R381" s="1"/>
      <c r="S381" s="1"/>
      <c r="T381" s="17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7"/>
      <c r="Q382" s="1"/>
      <c r="R382" s="1"/>
      <c r="S382" s="1"/>
      <c r="T382" s="17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7"/>
      <c r="Q383" s="1"/>
      <c r="R383" s="1"/>
      <c r="S383" s="1"/>
      <c r="T383" s="17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7"/>
      <c r="Q384" s="1"/>
      <c r="R384" s="1"/>
      <c r="S384" s="1"/>
      <c r="T384" s="17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7"/>
      <c r="Q385" s="1"/>
      <c r="R385" s="1"/>
      <c r="S385" s="1"/>
      <c r="T385" s="17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7"/>
      <c r="Q386" s="1"/>
      <c r="R386" s="1"/>
      <c r="S386" s="1"/>
      <c r="T386" s="17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7"/>
      <c r="Q387" s="1"/>
      <c r="R387" s="1"/>
      <c r="S387" s="1"/>
      <c r="T387" s="17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7"/>
      <c r="Q388" s="1"/>
      <c r="R388" s="1"/>
      <c r="S388" s="1"/>
      <c r="T388" s="17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7"/>
      <c r="Q389" s="1"/>
      <c r="R389" s="1"/>
      <c r="S389" s="1"/>
      <c r="T389" s="17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7"/>
      <c r="Q390" s="1"/>
      <c r="R390" s="1"/>
      <c r="S390" s="1"/>
      <c r="T390" s="17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7"/>
      <c r="Q391" s="1"/>
      <c r="R391" s="1"/>
      <c r="S391" s="1"/>
      <c r="T391" s="17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7"/>
      <c r="Q392" s="1"/>
      <c r="R392" s="1"/>
      <c r="S392" s="1"/>
      <c r="T392" s="17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7"/>
      <c r="Q393" s="1"/>
      <c r="R393" s="1"/>
      <c r="S393" s="1"/>
      <c r="T393" s="17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7"/>
      <c r="Q394" s="1"/>
      <c r="R394" s="1"/>
      <c r="S394" s="1"/>
      <c r="T394" s="17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7"/>
      <c r="Q395" s="1"/>
      <c r="R395" s="1"/>
      <c r="S395" s="1"/>
      <c r="T395" s="17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7"/>
      <c r="Q396" s="1"/>
      <c r="R396" s="1"/>
      <c r="S396" s="1"/>
      <c r="T396" s="17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7"/>
      <c r="Q397" s="1"/>
      <c r="R397" s="1"/>
      <c r="S397" s="1"/>
      <c r="T397" s="17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7"/>
      <c r="Q398" s="1"/>
      <c r="R398" s="1"/>
      <c r="S398" s="1"/>
      <c r="T398" s="17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7"/>
      <c r="Q399" s="1"/>
      <c r="R399" s="1"/>
      <c r="S399" s="1"/>
      <c r="T399" s="17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7"/>
      <c r="Q400" s="1"/>
      <c r="R400" s="1"/>
      <c r="S400" s="1"/>
      <c r="T400" s="17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7"/>
      <c r="Q401" s="1"/>
      <c r="R401" s="1"/>
      <c r="S401" s="1"/>
      <c r="T401" s="17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7"/>
      <c r="Q402" s="1"/>
      <c r="R402" s="1"/>
      <c r="S402" s="1"/>
      <c r="T402" s="17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7"/>
      <c r="Q403" s="1"/>
      <c r="R403" s="1"/>
      <c r="S403" s="1"/>
      <c r="T403" s="17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7"/>
      <c r="Q404" s="1"/>
      <c r="R404" s="1"/>
      <c r="S404" s="1"/>
      <c r="T404" s="17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7"/>
      <c r="Q405" s="1"/>
      <c r="R405" s="1"/>
      <c r="S405" s="1"/>
      <c r="T405" s="17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7"/>
      <c r="Q406" s="1"/>
      <c r="R406" s="1"/>
      <c r="S406" s="1"/>
      <c r="T406" s="17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7"/>
      <c r="Q407" s="1"/>
      <c r="R407" s="1"/>
      <c r="S407" s="1"/>
      <c r="T407" s="17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7"/>
      <c r="Q408" s="1"/>
      <c r="R408" s="1"/>
      <c r="S408" s="1"/>
      <c r="T408" s="17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7"/>
      <c r="Q409" s="1"/>
      <c r="R409" s="1"/>
      <c r="S409" s="1"/>
      <c r="T409" s="17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7"/>
      <c r="Q410" s="1"/>
      <c r="R410" s="1"/>
      <c r="S410" s="1"/>
      <c r="T410" s="17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7"/>
      <c r="Q411" s="1"/>
      <c r="R411" s="1"/>
      <c r="S411" s="1"/>
      <c r="T411" s="17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7"/>
      <c r="Q412" s="1"/>
      <c r="R412" s="1"/>
      <c r="S412" s="1"/>
      <c r="T412" s="17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7"/>
      <c r="Q413" s="1"/>
      <c r="R413" s="1"/>
      <c r="S413" s="1"/>
      <c r="T413" s="17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7"/>
      <c r="Q414" s="1"/>
      <c r="R414" s="1"/>
      <c r="S414" s="1"/>
      <c r="T414" s="17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7"/>
      <c r="Q415" s="1"/>
      <c r="R415" s="1"/>
      <c r="S415" s="1"/>
      <c r="T415" s="17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7"/>
      <c r="Q416" s="1"/>
      <c r="R416" s="1"/>
      <c r="S416" s="1"/>
      <c r="T416" s="17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7"/>
      <c r="Q417" s="1"/>
      <c r="R417" s="1"/>
      <c r="S417" s="1"/>
      <c r="T417" s="17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7"/>
      <c r="Q418" s="1"/>
      <c r="R418" s="1"/>
      <c r="S418" s="1"/>
      <c r="T418" s="17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7"/>
      <c r="Q419" s="1"/>
      <c r="R419" s="1"/>
      <c r="S419" s="1"/>
      <c r="T419" s="17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7"/>
      <c r="Q420" s="1"/>
      <c r="R420" s="1"/>
      <c r="S420" s="1"/>
      <c r="T420" s="17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7"/>
      <c r="Q421" s="1"/>
      <c r="R421" s="1"/>
      <c r="S421" s="1"/>
      <c r="T421" s="17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7"/>
      <c r="Q422" s="1"/>
      <c r="R422" s="1"/>
      <c r="S422" s="1"/>
      <c r="T422" s="17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7"/>
      <c r="Q423" s="1"/>
      <c r="R423" s="1"/>
      <c r="S423" s="1"/>
      <c r="T423" s="17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7"/>
      <c r="Q424" s="1"/>
      <c r="R424" s="1"/>
      <c r="S424" s="1"/>
      <c r="T424" s="17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7"/>
      <c r="Q425" s="1"/>
      <c r="R425" s="1"/>
      <c r="S425" s="1"/>
      <c r="T425" s="17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7"/>
      <c r="Q426" s="1"/>
      <c r="R426" s="1"/>
      <c r="S426" s="1"/>
      <c r="T426" s="17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7"/>
      <c r="Q427" s="1"/>
      <c r="R427" s="1"/>
      <c r="S427" s="1"/>
      <c r="T427" s="17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7"/>
      <c r="Q428" s="1"/>
      <c r="R428" s="1"/>
      <c r="S428" s="1"/>
      <c r="T428" s="17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7"/>
      <c r="Q429" s="1"/>
      <c r="R429" s="1"/>
      <c r="S429" s="1"/>
      <c r="T429" s="17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7"/>
      <c r="Q430" s="1"/>
      <c r="R430" s="1"/>
      <c r="S430" s="1"/>
      <c r="T430" s="17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7"/>
      <c r="Q431" s="1"/>
      <c r="R431" s="1"/>
      <c r="S431" s="1"/>
      <c r="T431" s="17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7"/>
      <c r="Q432" s="1"/>
      <c r="R432" s="1"/>
      <c r="S432" s="1"/>
      <c r="T432" s="17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7"/>
      <c r="Q433" s="1"/>
      <c r="R433" s="1"/>
      <c r="S433" s="1"/>
      <c r="T433" s="17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7"/>
      <c r="Q434" s="1"/>
      <c r="R434" s="1"/>
      <c r="S434" s="1"/>
      <c r="T434" s="17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7"/>
      <c r="Q435" s="1"/>
      <c r="R435" s="1"/>
      <c r="S435" s="1"/>
      <c r="T435" s="17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7"/>
      <c r="Q436" s="1"/>
      <c r="R436" s="1"/>
      <c r="S436" s="1"/>
      <c r="T436" s="17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7"/>
      <c r="Q437" s="1"/>
      <c r="R437" s="1"/>
      <c r="S437" s="1"/>
      <c r="T437" s="17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7"/>
      <c r="Q438" s="1"/>
      <c r="R438" s="1"/>
      <c r="S438" s="1"/>
      <c r="T438" s="17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7"/>
      <c r="Q439" s="1"/>
      <c r="R439" s="1"/>
      <c r="S439" s="1"/>
      <c r="T439" s="17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7"/>
      <c r="Q440" s="1"/>
      <c r="R440" s="1"/>
      <c r="S440" s="1"/>
      <c r="T440" s="17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7"/>
      <c r="Q441" s="1"/>
      <c r="R441" s="1"/>
      <c r="S441" s="1"/>
      <c r="T441" s="17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7"/>
      <c r="Q442" s="1"/>
      <c r="R442" s="1"/>
      <c r="S442" s="1"/>
      <c r="T442" s="17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7"/>
      <c r="Q443" s="1"/>
      <c r="R443" s="1"/>
      <c r="S443" s="1"/>
      <c r="T443" s="17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7"/>
      <c r="Q444" s="1"/>
      <c r="R444" s="1"/>
      <c r="S444" s="1"/>
      <c r="T444" s="17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7"/>
      <c r="Q445" s="1"/>
      <c r="R445" s="1"/>
      <c r="S445" s="1"/>
      <c r="T445" s="17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7"/>
      <c r="Q446" s="1"/>
      <c r="R446" s="1"/>
      <c r="S446" s="1"/>
      <c r="T446" s="17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7"/>
      <c r="Q447" s="1"/>
      <c r="R447" s="1"/>
      <c r="S447" s="1"/>
      <c r="T447" s="17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7"/>
      <c r="Q448" s="1"/>
      <c r="R448" s="1"/>
      <c r="S448" s="1"/>
      <c r="T448" s="17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7"/>
      <c r="Q449" s="1"/>
      <c r="R449" s="1"/>
      <c r="S449" s="1"/>
      <c r="T449" s="17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7"/>
      <c r="Q450" s="1"/>
      <c r="R450" s="1"/>
      <c r="S450" s="1"/>
      <c r="T450" s="17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7"/>
      <c r="Q451" s="1"/>
      <c r="R451" s="1"/>
      <c r="S451" s="1"/>
      <c r="T451" s="17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7"/>
      <c r="Q452" s="1"/>
      <c r="R452" s="1"/>
      <c r="S452" s="1"/>
      <c r="T452" s="17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7"/>
      <c r="Q453" s="1"/>
      <c r="R453" s="1"/>
      <c r="S453" s="1"/>
      <c r="T453" s="17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7"/>
      <c r="Q454" s="1"/>
      <c r="R454" s="1"/>
      <c r="S454" s="1"/>
      <c r="T454" s="17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7"/>
      <c r="Q455" s="1"/>
      <c r="R455" s="1"/>
      <c r="S455" s="1"/>
      <c r="T455" s="17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7"/>
      <c r="Q456" s="1"/>
      <c r="R456" s="1"/>
      <c r="S456" s="1"/>
      <c r="T456" s="17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7"/>
      <c r="Q457" s="1"/>
      <c r="R457" s="1"/>
      <c r="S457" s="1"/>
      <c r="T457" s="17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7"/>
      <c r="Q458" s="1"/>
      <c r="R458" s="1"/>
      <c r="S458" s="1"/>
      <c r="T458" s="17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7"/>
      <c r="Q459" s="1"/>
      <c r="R459" s="1"/>
      <c r="S459" s="1"/>
      <c r="T459" s="17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7"/>
      <c r="Q460" s="1"/>
      <c r="R460" s="1"/>
      <c r="S460" s="1"/>
      <c r="T460" s="17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7"/>
      <c r="Q461" s="1"/>
      <c r="R461" s="1"/>
      <c r="S461" s="1"/>
      <c r="T461" s="17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7"/>
      <c r="Q462" s="1"/>
      <c r="R462" s="1"/>
      <c r="S462" s="1"/>
      <c r="T462" s="17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7"/>
      <c r="Q463" s="1"/>
      <c r="R463" s="1"/>
      <c r="S463" s="1"/>
      <c r="T463" s="17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7"/>
      <c r="Q464" s="1"/>
      <c r="R464" s="1"/>
      <c r="S464" s="1"/>
      <c r="T464" s="17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7"/>
      <c r="Q465" s="1"/>
      <c r="R465" s="1"/>
      <c r="S465" s="1"/>
      <c r="T465" s="17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7"/>
      <c r="Q466" s="1"/>
      <c r="R466" s="1"/>
      <c r="S466" s="1"/>
      <c r="T466" s="17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7"/>
      <c r="Q467" s="1"/>
      <c r="R467" s="1"/>
      <c r="S467" s="1"/>
      <c r="T467" s="17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7"/>
      <c r="Q468" s="1"/>
      <c r="R468" s="1"/>
      <c r="S468" s="1"/>
      <c r="T468" s="17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7"/>
      <c r="Q469" s="1"/>
      <c r="R469" s="1"/>
      <c r="S469" s="1"/>
      <c r="T469" s="17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7"/>
      <c r="Q470" s="1"/>
      <c r="R470" s="1"/>
      <c r="S470" s="1"/>
      <c r="T470" s="17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7"/>
      <c r="Q471" s="1"/>
      <c r="R471" s="1"/>
      <c r="S471" s="1"/>
      <c r="T471" s="17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7"/>
      <c r="Q472" s="1"/>
      <c r="R472" s="1"/>
      <c r="S472" s="1"/>
      <c r="T472" s="17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7"/>
      <c r="Q473" s="1"/>
      <c r="R473" s="1"/>
      <c r="S473" s="1"/>
      <c r="T473" s="17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7"/>
      <c r="Q474" s="1"/>
      <c r="R474" s="1"/>
      <c r="S474" s="1"/>
      <c r="T474" s="17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7"/>
      <c r="Q475" s="1"/>
      <c r="R475" s="1"/>
      <c r="S475" s="1"/>
      <c r="T475" s="17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7"/>
      <c r="Q476" s="1"/>
      <c r="R476" s="1"/>
      <c r="S476" s="1"/>
      <c r="T476" s="17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7"/>
      <c r="Q477" s="1"/>
      <c r="R477" s="1"/>
      <c r="S477" s="1"/>
      <c r="T477" s="17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7"/>
      <c r="Q478" s="1"/>
      <c r="R478" s="1"/>
      <c r="S478" s="1"/>
      <c r="T478" s="17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7"/>
      <c r="Q479" s="1"/>
      <c r="R479" s="1"/>
      <c r="S479" s="1"/>
      <c r="T479" s="17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7"/>
      <c r="Q480" s="1"/>
      <c r="R480" s="1"/>
      <c r="S480" s="1"/>
      <c r="T480" s="17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7"/>
      <c r="Q481" s="1"/>
      <c r="R481" s="1"/>
      <c r="S481" s="1"/>
      <c r="T481" s="17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7"/>
      <c r="Q482" s="1"/>
      <c r="R482" s="1"/>
      <c r="S482" s="1"/>
      <c r="T482" s="17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7"/>
      <c r="Q483" s="1"/>
      <c r="R483" s="1"/>
      <c r="S483" s="1"/>
      <c r="T483" s="17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7"/>
      <c r="Q484" s="1"/>
      <c r="R484" s="1"/>
      <c r="S484" s="1"/>
      <c r="T484" s="17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7"/>
      <c r="Q485" s="1"/>
      <c r="R485" s="1"/>
      <c r="S485" s="1"/>
      <c r="T485" s="17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7"/>
      <c r="Q486" s="1"/>
      <c r="R486" s="1"/>
      <c r="S486" s="1"/>
      <c r="T486" s="17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7"/>
      <c r="Q487" s="1"/>
      <c r="R487" s="1"/>
      <c r="S487" s="1"/>
      <c r="T487" s="17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7"/>
      <c r="Q488" s="1"/>
      <c r="R488" s="1"/>
      <c r="S488" s="1"/>
      <c r="T488" s="17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7"/>
      <c r="Q489" s="1"/>
      <c r="R489" s="1"/>
      <c r="S489" s="1"/>
      <c r="T489" s="17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7"/>
      <c r="Q490" s="1"/>
      <c r="R490" s="1"/>
      <c r="S490" s="1"/>
      <c r="T490" s="17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7"/>
      <c r="Q491" s="1"/>
      <c r="R491" s="1"/>
      <c r="S491" s="1"/>
      <c r="T491" s="17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7"/>
      <c r="Q492" s="1"/>
      <c r="R492" s="1"/>
      <c r="S492" s="1"/>
      <c r="T492" s="17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7"/>
      <c r="Q493" s="1"/>
      <c r="R493" s="1"/>
      <c r="S493" s="1"/>
      <c r="T493" s="17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7"/>
      <c r="Q494" s="1"/>
      <c r="R494" s="1"/>
      <c r="S494" s="1"/>
      <c r="T494" s="17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7"/>
      <c r="Q495" s="1"/>
      <c r="R495" s="1"/>
      <c r="S495" s="1"/>
      <c r="T495" s="17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7"/>
      <c r="Q496" s="1"/>
      <c r="R496" s="1"/>
      <c r="S496" s="1"/>
      <c r="T496" s="17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7"/>
      <c r="Q497" s="1"/>
      <c r="R497" s="1"/>
      <c r="S497" s="1"/>
      <c r="T497" s="17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7"/>
      <c r="Q498" s="1"/>
      <c r="R498" s="1"/>
      <c r="S498" s="1"/>
      <c r="T498" s="17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</sheetData>
  <autoFilter ref="A3:AK134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2026-09-17T16:43:25Z</dcterms:created>
  <dcterms:modified xsi:type="dcterms:W3CDTF">2026-09-21T07:49:17Z</dcterms:modified>
</cp:coreProperties>
</file>