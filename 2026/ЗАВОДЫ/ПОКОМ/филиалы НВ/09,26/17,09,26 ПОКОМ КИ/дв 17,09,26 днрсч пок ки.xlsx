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9,26\17,09,26 ПОКОМ КИ\"/>
    </mc:Choice>
  </mc:AlternateContent>
  <xr:revisionPtr revIDLastSave="0" documentId="13_ncr:1_{CFEC611C-80BE-41B1-9568-00AC6583E3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Sheet!$A$3:$AI$138</definedName>
  </definedNames>
  <calcPr calcId="191029"/>
</workbook>
</file>

<file path=xl/calcChain.xml><?xml version="1.0" encoding="utf-8"?>
<calcChain xmlns="http://schemas.openxmlformats.org/spreadsheetml/2006/main">
  <c r="Q5" i="1" l="1"/>
  <c r="P5" i="1"/>
  <c r="AJ9" i="1"/>
  <c r="AJ13" i="1"/>
  <c r="AJ15" i="1"/>
  <c r="AJ18" i="1"/>
  <c r="AJ19" i="1"/>
  <c r="AJ20" i="1"/>
  <c r="AJ21" i="1"/>
  <c r="AJ23" i="1"/>
  <c r="AJ24" i="1"/>
  <c r="AJ26" i="1"/>
  <c r="AJ28" i="1"/>
  <c r="AJ29" i="1"/>
  <c r="AJ30" i="1"/>
  <c r="AJ31" i="1"/>
  <c r="AJ33" i="1"/>
  <c r="AJ35" i="1"/>
  <c r="AJ36" i="1"/>
  <c r="AJ37" i="1"/>
  <c r="AJ38" i="1"/>
  <c r="AJ42" i="1"/>
  <c r="AJ43" i="1"/>
  <c r="AJ44" i="1"/>
  <c r="AJ45" i="1"/>
  <c r="AJ46" i="1"/>
  <c r="AJ47" i="1"/>
  <c r="AJ48" i="1"/>
  <c r="AJ49" i="1"/>
  <c r="AJ50" i="1"/>
  <c r="AJ51" i="1"/>
  <c r="AJ53" i="1"/>
  <c r="AJ54" i="1"/>
  <c r="AJ57" i="1"/>
  <c r="AJ58" i="1"/>
  <c r="AJ60" i="1"/>
  <c r="AJ63" i="1"/>
  <c r="AJ64" i="1"/>
  <c r="AJ65" i="1"/>
  <c r="AJ66" i="1"/>
  <c r="AJ67" i="1"/>
  <c r="AJ68" i="1"/>
  <c r="AJ69" i="1"/>
  <c r="AJ70" i="1"/>
  <c r="AJ72" i="1"/>
  <c r="AJ73" i="1"/>
  <c r="AJ74" i="1"/>
  <c r="AJ75" i="1"/>
  <c r="AJ76" i="1"/>
  <c r="AJ78" i="1"/>
  <c r="AJ79" i="1"/>
  <c r="AJ80" i="1"/>
  <c r="AJ81" i="1"/>
  <c r="AJ84" i="1"/>
  <c r="AJ85" i="1"/>
  <c r="AJ86" i="1"/>
  <c r="AJ87" i="1"/>
  <c r="AJ88" i="1"/>
  <c r="AJ89" i="1"/>
  <c r="AJ91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7" i="1"/>
  <c r="AJ129" i="1"/>
  <c r="AJ130" i="1"/>
  <c r="AJ131" i="1"/>
  <c r="AJ132" i="1"/>
  <c r="AJ133" i="1"/>
  <c r="AJ134" i="1"/>
  <c r="AJ135" i="1"/>
  <c r="AJ136" i="1"/>
  <c r="AJ137" i="1"/>
  <c r="AJ138" i="1"/>
  <c r="U9" i="1"/>
  <c r="V9" i="1" s="1"/>
  <c r="U13" i="1"/>
  <c r="V13" i="1" s="1"/>
  <c r="U15" i="1"/>
  <c r="V15" i="1" s="1"/>
  <c r="U19" i="1"/>
  <c r="V19" i="1" s="1"/>
  <c r="U20" i="1"/>
  <c r="V20" i="1" s="1"/>
  <c r="U21" i="1"/>
  <c r="V21" i="1" s="1"/>
  <c r="AI21" i="1" s="1"/>
  <c r="U23" i="1"/>
  <c r="V23" i="1" s="1"/>
  <c r="U24" i="1"/>
  <c r="V24" i="1" s="1"/>
  <c r="U26" i="1"/>
  <c r="V26" i="1" s="1"/>
  <c r="U28" i="1"/>
  <c r="V28" i="1" s="1"/>
  <c r="U29" i="1"/>
  <c r="V29" i="1" s="1"/>
  <c r="AI29" i="1" s="1"/>
  <c r="U30" i="1"/>
  <c r="V30" i="1" s="1"/>
  <c r="U31" i="1"/>
  <c r="V31" i="1" s="1"/>
  <c r="U33" i="1"/>
  <c r="V33" i="1" s="1"/>
  <c r="AI33" i="1" s="1"/>
  <c r="U35" i="1"/>
  <c r="V35" i="1" s="1"/>
  <c r="U36" i="1"/>
  <c r="V36" i="1" s="1"/>
  <c r="U37" i="1"/>
  <c r="V37" i="1" s="1"/>
  <c r="AI37" i="1" s="1"/>
  <c r="U38" i="1"/>
  <c r="V38" i="1" s="1"/>
  <c r="U42" i="1"/>
  <c r="V42" i="1" s="1"/>
  <c r="U43" i="1"/>
  <c r="V43" i="1" s="1"/>
  <c r="U44" i="1"/>
  <c r="V44" i="1" s="1"/>
  <c r="U48" i="1"/>
  <c r="V48" i="1" s="1"/>
  <c r="U53" i="1"/>
  <c r="V53" i="1" s="1"/>
  <c r="AI53" i="1" s="1"/>
  <c r="U54" i="1"/>
  <c r="V54" i="1" s="1"/>
  <c r="U57" i="1"/>
  <c r="V57" i="1" s="1"/>
  <c r="AI57" i="1" s="1"/>
  <c r="U58" i="1"/>
  <c r="V58" i="1" s="1"/>
  <c r="U59" i="1"/>
  <c r="U60" i="1"/>
  <c r="V60" i="1" s="1"/>
  <c r="AI60" i="1" s="1"/>
  <c r="U63" i="1"/>
  <c r="V63" i="1" s="1"/>
  <c r="AI63" i="1" s="1"/>
  <c r="U64" i="1"/>
  <c r="V64" i="1" s="1"/>
  <c r="U65" i="1"/>
  <c r="U66" i="1"/>
  <c r="V66" i="1" s="1"/>
  <c r="U67" i="1"/>
  <c r="U68" i="1"/>
  <c r="V68" i="1" s="1"/>
  <c r="U70" i="1"/>
  <c r="V70" i="1" s="1"/>
  <c r="U71" i="1"/>
  <c r="V71" i="1" s="1"/>
  <c r="U72" i="1"/>
  <c r="V72" i="1" s="1"/>
  <c r="U73" i="1"/>
  <c r="V73" i="1" s="1"/>
  <c r="AI73" i="1" s="1"/>
  <c r="U75" i="1"/>
  <c r="V75" i="1" s="1"/>
  <c r="AI75" i="1" s="1"/>
  <c r="U76" i="1"/>
  <c r="V76" i="1" s="1"/>
  <c r="U79" i="1"/>
  <c r="V79" i="1" s="1"/>
  <c r="AI79" i="1" s="1"/>
  <c r="U80" i="1"/>
  <c r="V80" i="1" s="1"/>
  <c r="U85" i="1"/>
  <c r="U86" i="1"/>
  <c r="V86" i="1" s="1"/>
  <c r="U87" i="1"/>
  <c r="V87" i="1" s="1"/>
  <c r="AI87" i="1" s="1"/>
  <c r="U88" i="1"/>
  <c r="V88" i="1" s="1"/>
  <c r="U89" i="1"/>
  <c r="V89" i="1" s="1"/>
  <c r="AI89" i="1" s="1"/>
  <c r="U91" i="1"/>
  <c r="V91" i="1" s="1"/>
  <c r="AI91" i="1" s="1"/>
  <c r="U95" i="1"/>
  <c r="V95" i="1" s="1"/>
  <c r="AI95" i="1" s="1"/>
  <c r="U96" i="1"/>
  <c r="V96" i="1" s="1"/>
  <c r="U97" i="1"/>
  <c r="V97" i="1" s="1"/>
  <c r="AI97" i="1" s="1"/>
  <c r="U98" i="1"/>
  <c r="U99" i="1"/>
  <c r="V99" i="1" s="1"/>
  <c r="AI99" i="1" s="1"/>
  <c r="U103" i="1"/>
  <c r="V103" i="1" s="1"/>
  <c r="AI103" i="1" s="1"/>
  <c r="U105" i="1"/>
  <c r="U107" i="1"/>
  <c r="V107" i="1" s="1"/>
  <c r="AI107" i="1" s="1"/>
  <c r="U109" i="1"/>
  <c r="V109" i="1" s="1"/>
  <c r="AI109" i="1" s="1"/>
  <c r="U111" i="1"/>
  <c r="V111" i="1" s="1"/>
  <c r="U112" i="1"/>
  <c r="V112" i="1" s="1"/>
  <c r="U113" i="1"/>
  <c r="V113" i="1" s="1"/>
  <c r="U115" i="1"/>
  <c r="V115" i="1" s="1"/>
  <c r="AI115" i="1" s="1"/>
  <c r="U116" i="1"/>
  <c r="U117" i="1"/>
  <c r="U119" i="1"/>
  <c r="V119" i="1" s="1"/>
  <c r="AI119" i="1" s="1"/>
  <c r="U120" i="1"/>
  <c r="V120" i="1" s="1"/>
  <c r="U121" i="1"/>
  <c r="V121" i="1" s="1"/>
  <c r="AI121" i="1" s="1"/>
  <c r="U123" i="1"/>
  <c r="V123" i="1" s="1"/>
  <c r="AI123" i="1" s="1"/>
  <c r="U125" i="1"/>
  <c r="V125" i="1" s="1"/>
  <c r="AI125" i="1" s="1"/>
  <c r="U129" i="1"/>
  <c r="V129" i="1" s="1"/>
  <c r="AI129" i="1" s="1"/>
  <c r="U130" i="1"/>
  <c r="V130" i="1" s="1"/>
  <c r="AI130" i="1" s="1"/>
  <c r="U131" i="1"/>
  <c r="V131" i="1" s="1"/>
  <c r="AI131" i="1" s="1"/>
  <c r="U132" i="1"/>
  <c r="V132" i="1" s="1"/>
  <c r="U135" i="1"/>
  <c r="U136" i="1"/>
  <c r="V136" i="1" s="1"/>
  <c r="U137" i="1"/>
  <c r="V137" i="1" s="1"/>
  <c r="AI137" i="1" s="1"/>
  <c r="U138" i="1"/>
  <c r="V138" i="1" s="1"/>
  <c r="AI138" i="1" s="1"/>
  <c r="W59" i="1" l="1"/>
  <c r="AJ59" i="1" s="1"/>
  <c r="V117" i="1"/>
  <c r="AI117" i="1" s="1"/>
  <c r="V135" i="1"/>
  <c r="AI135" i="1" s="1"/>
  <c r="V65" i="1"/>
  <c r="AI65" i="1" s="1"/>
  <c r="V67" i="1"/>
  <c r="AI67" i="1" s="1"/>
  <c r="V85" i="1"/>
  <c r="AI85" i="1" s="1"/>
  <c r="V98" i="1"/>
  <c r="AI98" i="1" s="1"/>
  <c r="V105" i="1"/>
  <c r="AI105" i="1" s="1"/>
  <c r="V116" i="1"/>
  <c r="AI116" i="1" s="1"/>
  <c r="AI132" i="1"/>
  <c r="AI113" i="1"/>
  <c r="AI111" i="1"/>
  <c r="W71" i="1"/>
  <c r="AI120" i="1"/>
  <c r="AI112" i="1"/>
  <c r="AI96" i="1"/>
  <c r="AI76" i="1"/>
  <c r="AI72" i="1"/>
  <c r="AI70" i="1"/>
  <c r="AI58" i="1"/>
  <c r="AI15" i="1"/>
  <c r="AI136" i="1"/>
  <c r="AI88" i="1"/>
  <c r="AI86" i="1"/>
  <c r="AI80" i="1"/>
  <c r="AI68" i="1"/>
  <c r="AI66" i="1"/>
  <c r="AI64" i="1"/>
  <c r="AI54" i="1"/>
  <c r="AI48" i="1"/>
  <c r="AI13" i="1"/>
  <c r="AI9" i="1"/>
  <c r="AI43" i="1"/>
  <c r="AI35" i="1"/>
  <c r="AI31" i="1"/>
  <c r="AI23" i="1"/>
  <c r="AI19" i="1"/>
  <c r="AI44" i="1"/>
  <c r="AI42" i="1"/>
  <c r="AI38" i="1"/>
  <c r="AI36" i="1"/>
  <c r="AI30" i="1"/>
  <c r="AI28" i="1"/>
  <c r="AI26" i="1"/>
  <c r="AI24" i="1"/>
  <c r="AI20" i="1"/>
  <c r="M138" i="1"/>
  <c r="S138" i="1" s="1"/>
  <c r="X138" i="1" s="1"/>
  <c r="L138" i="1"/>
  <c r="M137" i="1"/>
  <c r="S137" i="1" s="1"/>
  <c r="X137" i="1" s="1"/>
  <c r="L137" i="1"/>
  <c r="M136" i="1"/>
  <c r="S136" i="1" s="1"/>
  <c r="X136" i="1" s="1"/>
  <c r="L136" i="1"/>
  <c r="M135" i="1"/>
  <c r="S135" i="1" s="1"/>
  <c r="L135" i="1"/>
  <c r="M134" i="1"/>
  <c r="S134" i="1" s="1"/>
  <c r="T134" i="1" s="1"/>
  <c r="U134" i="1" s="1"/>
  <c r="V134" i="1" s="1"/>
  <c r="L134" i="1"/>
  <c r="M133" i="1"/>
  <c r="S133" i="1" s="1"/>
  <c r="U133" i="1" s="1"/>
  <c r="V133" i="1" s="1"/>
  <c r="L133" i="1"/>
  <c r="M132" i="1"/>
  <c r="S132" i="1" s="1"/>
  <c r="X132" i="1" s="1"/>
  <c r="L132" i="1"/>
  <c r="M131" i="1"/>
  <c r="S131" i="1" s="1"/>
  <c r="L131" i="1"/>
  <c r="M130" i="1"/>
  <c r="S130" i="1" s="1"/>
  <c r="L130" i="1"/>
  <c r="F130" i="1"/>
  <c r="M129" i="1"/>
  <c r="S129" i="1" s="1"/>
  <c r="X129" i="1" s="1"/>
  <c r="L129" i="1"/>
  <c r="F128" i="1"/>
  <c r="E128" i="1"/>
  <c r="L128" i="1" s="1"/>
  <c r="M127" i="1"/>
  <c r="S127" i="1" s="1"/>
  <c r="L127" i="1"/>
  <c r="M126" i="1"/>
  <c r="S126" i="1" s="1"/>
  <c r="T126" i="1" s="1"/>
  <c r="U126" i="1" s="1"/>
  <c r="L126" i="1"/>
  <c r="M125" i="1"/>
  <c r="S125" i="1" s="1"/>
  <c r="X125" i="1" s="1"/>
  <c r="L125" i="1"/>
  <c r="M124" i="1"/>
  <c r="S124" i="1" s="1"/>
  <c r="T124" i="1" s="1"/>
  <c r="U124" i="1" s="1"/>
  <c r="V124" i="1" s="1"/>
  <c r="L124" i="1"/>
  <c r="M123" i="1"/>
  <c r="S123" i="1" s="1"/>
  <c r="X123" i="1" s="1"/>
  <c r="L123" i="1"/>
  <c r="M122" i="1"/>
  <c r="S122" i="1" s="1"/>
  <c r="Y122" i="1" s="1"/>
  <c r="L122" i="1"/>
  <c r="M121" i="1"/>
  <c r="S121" i="1" s="1"/>
  <c r="Y121" i="1" s="1"/>
  <c r="L121" i="1"/>
  <c r="M120" i="1"/>
  <c r="S120" i="1" s="1"/>
  <c r="Y120" i="1" s="1"/>
  <c r="L120" i="1"/>
  <c r="M119" i="1"/>
  <c r="S119" i="1" s="1"/>
  <c r="X119" i="1" s="1"/>
  <c r="L119" i="1"/>
  <c r="M118" i="1"/>
  <c r="S118" i="1" s="1"/>
  <c r="Y118" i="1" s="1"/>
  <c r="L118" i="1"/>
  <c r="M117" i="1"/>
  <c r="S117" i="1" s="1"/>
  <c r="X117" i="1" s="1"/>
  <c r="L117" i="1"/>
  <c r="M116" i="1"/>
  <c r="S116" i="1" s="1"/>
  <c r="L116" i="1"/>
  <c r="M115" i="1"/>
  <c r="S115" i="1" s="1"/>
  <c r="X115" i="1" s="1"/>
  <c r="L115" i="1"/>
  <c r="M114" i="1"/>
  <c r="S114" i="1" s="1"/>
  <c r="L114" i="1"/>
  <c r="M113" i="1"/>
  <c r="S113" i="1" s="1"/>
  <c r="X113" i="1" s="1"/>
  <c r="L113" i="1"/>
  <c r="M112" i="1"/>
  <c r="S112" i="1" s="1"/>
  <c r="X112" i="1" s="1"/>
  <c r="L112" i="1"/>
  <c r="M111" i="1"/>
  <c r="S111" i="1" s="1"/>
  <c r="X111" i="1" s="1"/>
  <c r="L111" i="1"/>
  <c r="M110" i="1"/>
  <c r="S110" i="1" s="1"/>
  <c r="T110" i="1" s="1"/>
  <c r="U110" i="1" s="1"/>
  <c r="L110" i="1"/>
  <c r="M109" i="1"/>
  <c r="S109" i="1" s="1"/>
  <c r="X109" i="1" s="1"/>
  <c r="L109" i="1"/>
  <c r="M108" i="1"/>
  <c r="S108" i="1" s="1"/>
  <c r="Y108" i="1" s="1"/>
  <c r="L108" i="1"/>
  <c r="M107" i="1"/>
  <c r="S107" i="1" s="1"/>
  <c r="X107" i="1" s="1"/>
  <c r="L107" i="1"/>
  <c r="M106" i="1"/>
  <c r="S106" i="1" s="1"/>
  <c r="T106" i="1" s="1"/>
  <c r="U106" i="1" s="1"/>
  <c r="V106" i="1" s="1"/>
  <c r="L106" i="1"/>
  <c r="M105" i="1"/>
  <c r="S105" i="1" s="1"/>
  <c r="X105" i="1" s="1"/>
  <c r="L105" i="1"/>
  <c r="M104" i="1"/>
  <c r="S104" i="1" s="1"/>
  <c r="Y104" i="1" s="1"/>
  <c r="L104" i="1"/>
  <c r="M103" i="1"/>
  <c r="S103" i="1" s="1"/>
  <c r="X103" i="1" s="1"/>
  <c r="L103" i="1"/>
  <c r="M102" i="1"/>
  <c r="S102" i="1" s="1"/>
  <c r="T102" i="1" s="1"/>
  <c r="U102" i="1" s="1"/>
  <c r="V102" i="1" s="1"/>
  <c r="L102" i="1"/>
  <c r="M101" i="1"/>
  <c r="S101" i="1" s="1"/>
  <c r="Y101" i="1" s="1"/>
  <c r="L101" i="1"/>
  <c r="M100" i="1"/>
  <c r="S100" i="1" s="1"/>
  <c r="T100" i="1" s="1"/>
  <c r="U100" i="1" s="1"/>
  <c r="V100" i="1" s="1"/>
  <c r="L100" i="1"/>
  <c r="M99" i="1"/>
  <c r="S99" i="1" s="1"/>
  <c r="X99" i="1" s="1"/>
  <c r="L99" i="1"/>
  <c r="M98" i="1"/>
  <c r="S98" i="1" s="1"/>
  <c r="L98" i="1"/>
  <c r="M97" i="1"/>
  <c r="S97" i="1" s="1"/>
  <c r="Y97" i="1" s="1"/>
  <c r="L97" i="1"/>
  <c r="M96" i="1"/>
  <c r="S96" i="1" s="1"/>
  <c r="Y96" i="1" s="1"/>
  <c r="L96" i="1"/>
  <c r="M95" i="1"/>
  <c r="S95" i="1" s="1"/>
  <c r="X95" i="1" s="1"/>
  <c r="L95" i="1"/>
  <c r="M94" i="1"/>
  <c r="S94" i="1" s="1"/>
  <c r="L94" i="1"/>
  <c r="F94" i="1"/>
  <c r="M93" i="1"/>
  <c r="S93" i="1" s="1"/>
  <c r="L93" i="1"/>
  <c r="M92" i="1"/>
  <c r="S92" i="1" s="1"/>
  <c r="T92" i="1" s="1"/>
  <c r="U92" i="1" s="1"/>
  <c r="L92" i="1"/>
  <c r="M91" i="1"/>
  <c r="S91" i="1" s="1"/>
  <c r="X91" i="1" s="1"/>
  <c r="L91" i="1"/>
  <c r="M90" i="1"/>
  <c r="S90" i="1" s="1"/>
  <c r="L90" i="1"/>
  <c r="M89" i="1"/>
  <c r="S89" i="1" s="1"/>
  <c r="X89" i="1" s="1"/>
  <c r="L89" i="1"/>
  <c r="M88" i="1"/>
  <c r="S88" i="1" s="1"/>
  <c r="X88" i="1" s="1"/>
  <c r="L88" i="1"/>
  <c r="M87" i="1"/>
  <c r="S87" i="1" s="1"/>
  <c r="X87" i="1" s="1"/>
  <c r="L87" i="1"/>
  <c r="M86" i="1"/>
  <c r="S86" i="1" s="1"/>
  <c r="X86" i="1" s="1"/>
  <c r="L86" i="1"/>
  <c r="M85" i="1"/>
  <c r="S85" i="1" s="1"/>
  <c r="L85" i="1"/>
  <c r="M84" i="1"/>
  <c r="S84" i="1" s="1"/>
  <c r="Y84" i="1" s="1"/>
  <c r="L84" i="1"/>
  <c r="M83" i="1"/>
  <c r="S83" i="1" s="1"/>
  <c r="T83" i="1" s="1"/>
  <c r="U83" i="1" s="1"/>
  <c r="L83" i="1"/>
  <c r="M82" i="1"/>
  <c r="S82" i="1" s="1"/>
  <c r="T82" i="1" s="1"/>
  <c r="U82" i="1" s="1"/>
  <c r="L82" i="1"/>
  <c r="M81" i="1"/>
  <c r="S81" i="1" s="1"/>
  <c r="T81" i="1" s="1"/>
  <c r="U81" i="1" s="1"/>
  <c r="V81" i="1" s="1"/>
  <c r="L81" i="1"/>
  <c r="M80" i="1"/>
  <c r="S80" i="1" s="1"/>
  <c r="X80" i="1" s="1"/>
  <c r="L80" i="1"/>
  <c r="M79" i="1"/>
  <c r="S79" i="1" s="1"/>
  <c r="X79" i="1" s="1"/>
  <c r="L79" i="1"/>
  <c r="M78" i="1"/>
  <c r="S78" i="1" s="1"/>
  <c r="T78" i="1" s="1"/>
  <c r="U78" i="1" s="1"/>
  <c r="V78" i="1" s="1"/>
  <c r="L78" i="1"/>
  <c r="M77" i="1"/>
  <c r="S77" i="1" s="1"/>
  <c r="T77" i="1" s="1"/>
  <c r="U77" i="1" s="1"/>
  <c r="L77" i="1"/>
  <c r="M76" i="1"/>
  <c r="S76" i="1" s="1"/>
  <c r="X76" i="1" s="1"/>
  <c r="L76" i="1"/>
  <c r="M75" i="1"/>
  <c r="S75" i="1" s="1"/>
  <c r="X75" i="1" s="1"/>
  <c r="L75" i="1"/>
  <c r="M74" i="1"/>
  <c r="S74" i="1" s="1"/>
  <c r="T74" i="1" s="1"/>
  <c r="U74" i="1" s="1"/>
  <c r="V74" i="1" s="1"/>
  <c r="L74" i="1"/>
  <c r="M73" i="1"/>
  <c r="S73" i="1" s="1"/>
  <c r="L73" i="1"/>
  <c r="M72" i="1"/>
  <c r="S72" i="1" s="1"/>
  <c r="X72" i="1" s="1"/>
  <c r="L72" i="1"/>
  <c r="M71" i="1"/>
  <c r="S71" i="1" s="1"/>
  <c r="L71" i="1"/>
  <c r="M70" i="1"/>
  <c r="S70" i="1" s="1"/>
  <c r="X70" i="1" s="1"/>
  <c r="L70" i="1"/>
  <c r="M69" i="1"/>
  <c r="S69" i="1" s="1"/>
  <c r="T69" i="1" s="1"/>
  <c r="U69" i="1" s="1"/>
  <c r="V69" i="1" s="1"/>
  <c r="L69" i="1"/>
  <c r="M68" i="1"/>
  <c r="S68" i="1" s="1"/>
  <c r="X68" i="1" s="1"/>
  <c r="L68" i="1"/>
  <c r="M67" i="1"/>
  <c r="S67" i="1" s="1"/>
  <c r="X67" i="1" s="1"/>
  <c r="L67" i="1"/>
  <c r="M66" i="1"/>
  <c r="S66" i="1" s="1"/>
  <c r="X66" i="1" s="1"/>
  <c r="L66" i="1"/>
  <c r="M65" i="1"/>
  <c r="S65" i="1" s="1"/>
  <c r="L65" i="1"/>
  <c r="M64" i="1"/>
  <c r="S64" i="1" s="1"/>
  <c r="X64" i="1" s="1"/>
  <c r="L64" i="1"/>
  <c r="M63" i="1"/>
  <c r="S63" i="1" s="1"/>
  <c r="L63" i="1"/>
  <c r="M62" i="1"/>
  <c r="S62" i="1" s="1"/>
  <c r="T62" i="1" s="1"/>
  <c r="U62" i="1" s="1"/>
  <c r="L62" i="1"/>
  <c r="M61" i="1"/>
  <c r="S61" i="1" s="1"/>
  <c r="T61" i="1" s="1"/>
  <c r="U61" i="1" s="1"/>
  <c r="L61" i="1"/>
  <c r="F60" i="1"/>
  <c r="E60" i="1"/>
  <c r="M60" i="1" s="1"/>
  <c r="S60" i="1" s="1"/>
  <c r="M59" i="1"/>
  <c r="S59" i="1" s="1"/>
  <c r="L59" i="1"/>
  <c r="M58" i="1"/>
  <c r="S58" i="1" s="1"/>
  <c r="X58" i="1" s="1"/>
  <c r="L58" i="1"/>
  <c r="M57" i="1"/>
  <c r="S57" i="1" s="1"/>
  <c r="L57" i="1"/>
  <c r="M56" i="1"/>
  <c r="S56" i="1" s="1"/>
  <c r="T56" i="1" s="1"/>
  <c r="U56" i="1" s="1"/>
  <c r="L56" i="1"/>
  <c r="M55" i="1"/>
  <c r="S55" i="1" s="1"/>
  <c r="T55" i="1" s="1"/>
  <c r="U55" i="1" s="1"/>
  <c r="L55" i="1"/>
  <c r="M54" i="1"/>
  <c r="S54" i="1" s="1"/>
  <c r="X54" i="1" s="1"/>
  <c r="L54" i="1"/>
  <c r="M53" i="1"/>
  <c r="S53" i="1" s="1"/>
  <c r="L53" i="1"/>
  <c r="M52" i="1"/>
  <c r="S52" i="1" s="1"/>
  <c r="T52" i="1" s="1"/>
  <c r="U52" i="1" s="1"/>
  <c r="L52" i="1"/>
  <c r="M51" i="1"/>
  <c r="S51" i="1" s="1"/>
  <c r="T51" i="1" s="1"/>
  <c r="U51" i="1" s="1"/>
  <c r="V51" i="1" s="1"/>
  <c r="L51" i="1"/>
  <c r="M50" i="1"/>
  <c r="S50" i="1" s="1"/>
  <c r="T50" i="1" s="1"/>
  <c r="U50" i="1" s="1"/>
  <c r="V50" i="1" s="1"/>
  <c r="L50" i="1"/>
  <c r="M49" i="1"/>
  <c r="S49" i="1" s="1"/>
  <c r="T49" i="1" s="1"/>
  <c r="U49" i="1" s="1"/>
  <c r="V49" i="1" s="1"/>
  <c r="L49" i="1"/>
  <c r="M48" i="1"/>
  <c r="S48" i="1" s="1"/>
  <c r="X48" i="1" s="1"/>
  <c r="L48" i="1"/>
  <c r="M47" i="1"/>
  <c r="S47" i="1" s="1"/>
  <c r="T47" i="1" s="1"/>
  <c r="U47" i="1" s="1"/>
  <c r="V47" i="1" s="1"/>
  <c r="L47" i="1"/>
  <c r="M46" i="1"/>
  <c r="S46" i="1" s="1"/>
  <c r="L46" i="1"/>
  <c r="M45" i="1"/>
  <c r="S45" i="1" s="1"/>
  <c r="T45" i="1" s="1"/>
  <c r="U45" i="1" s="1"/>
  <c r="V45" i="1" s="1"/>
  <c r="L45" i="1"/>
  <c r="M44" i="1"/>
  <c r="S44" i="1" s="1"/>
  <c r="X44" i="1" s="1"/>
  <c r="L44" i="1"/>
  <c r="M43" i="1"/>
  <c r="S43" i="1" s="1"/>
  <c r="Y43" i="1" s="1"/>
  <c r="L43" i="1"/>
  <c r="M42" i="1"/>
  <c r="S42" i="1" s="1"/>
  <c r="X42" i="1" s="1"/>
  <c r="L42" i="1"/>
  <c r="M41" i="1"/>
  <c r="S41" i="1" s="1"/>
  <c r="T41" i="1" s="1"/>
  <c r="U41" i="1" s="1"/>
  <c r="V41" i="1" s="1"/>
  <c r="L41" i="1"/>
  <c r="M40" i="1"/>
  <c r="S40" i="1" s="1"/>
  <c r="Y40" i="1" s="1"/>
  <c r="L40" i="1"/>
  <c r="M39" i="1"/>
  <c r="S39" i="1" s="1"/>
  <c r="T39" i="1" s="1"/>
  <c r="U39" i="1" s="1"/>
  <c r="V39" i="1" s="1"/>
  <c r="L39" i="1"/>
  <c r="M38" i="1"/>
  <c r="S38" i="1" s="1"/>
  <c r="X38" i="1" s="1"/>
  <c r="L38" i="1"/>
  <c r="M37" i="1"/>
  <c r="S37" i="1" s="1"/>
  <c r="L37" i="1"/>
  <c r="M36" i="1"/>
  <c r="S36" i="1" s="1"/>
  <c r="X36" i="1" s="1"/>
  <c r="L36" i="1"/>
  <c r="M35" i="1"/>
  <c r="S35" i="1" s="1"/>
  <c r="X35" i="1" s="1"/>
  <c r="L35" i="1"/>
  <c r="M34" i="1"/>
  <c r="S34" i="1" s="1"/>
  <c r="T34" i="1" s="1"/>
  <c r="U34" i="1" s="1"/>
  <c r="V34" i="1" s="1"/>
  <c r="L34" i="1"/>
  <c r="M33" i="1"/>
  <c r="S33" i="1" s="1"/>
  <c r="X33" i="1" s="1"/>
  <c r="L33" i="1"/>
  <c r="M32" i="1"/>
  <c r="S32" i="1" s="1"/>
  <c r="T32" i="1" s="1"/>
  <c r="U32" i="1" s="1"/>
  <c r="V32" i="1" s="1"/>
  <c r="L32" i="1"/>
  <c r="M31" i="1"/>
  <c r="S31" i="1" s="1"/>
  <c r="X31" i="1" s="1"/>
  <c r="L31" i="1"/>
  <c r="M30" i="1"/>
  <c r="S30" i="1" s="1"/>
  <c r="X30" i="1" s="1"/>
  <c r="L30" i="1"/>
  <c r="M29" i="1"/>
  <c r="S29" i="1" s="1"/>
  <c r="X29" i="1" s="1"/>
  <c r="L29" i="1"/>
  <c r="M28" i="1"/>
  <c r="S28" i="1" s="1"/>
  <c r="X28" i="1" s="1"/>
  <c r="L28" i="1"/>
  <c r="M27" i="1"/>
  <c r="S27" i="1" s="1"/>
  <c r="T27" i="1" s="1"/>
  <c r="U27" i="1" s="1"/>
  <c r="L27" i="1"/>
  <c r="M26" i="1"/>
  <c r="S26" i="1" s="1"/>
  <c r="X26" i="1" s="1"/>
  <c r="L26" i="1"/>
  <c r="M25" i="1"/>
  <c r="S25" i="1" s="1"/>
  <c r="T25" i="1" s="1"/>
  <c r="U25" i="1" s="1"/>
  <c r="L25" i="1"/>
  <c r="M24" i="1"/>
  <c r="S24" i="1" s="1"/>
  <c r="X24" i="1" s="1"/>
  <c r="L24" i="1"/>
  <c r="M23" i="1"/>
  <c r="S23" i="1" s="1"/>
  <c r="X23" i="1" s="1"/>
  <c r="L23" i="1"/>
  <c r="M22" i="1"/>
  <c r="S22" i="1" s="1"/>
  <c r="T22" i="1" s="1"/>
  <c r="U22" i="1" s="1"/>
  <c r="L22" i="1"/>
  <c r="M21" i="1"/>
  <c r="S21" i="1" s="1"/>
  <c r="X21" i="1" s="1"/>
  <c r="L21" i="1"/>
  <c r="M20" i="1"/>
  <c r="S20" i="1" s="1"/>
  <c r="X20" i="1" s="1"/>
  <c r="L20" i="1"/>
  <c r="M19" i="1"/>
  <c r="S19" i="1" s="1"/>
  <c r="X19" i="1" s="1"/>
  <c r="L19" i="1"/>
  <c r="M18" i="1"/>
  <c r="S18" i="1" s="1"/>
  <c r="T18" i="1" s="1"/>
  <c r="U18" i="1" s="1"/>
  <c r="V18" i="1" s="1"/>
  <c r="AI18" i="1" s="1"/>
  <c r="L18" i="1"/>
  <c r="M17" i="1"/>
  <c r="S17" i="1" s="1"/>
  <c r="T17" i="1" s="1"/>
  <c r="U17" i="1" s="1"/>
  <c r="L17" i="1"/>
  <c r="M16" i="1"/>
  <c r="S16" i="1" s="1"/>
  <c r="T16" i="1" s="1"/>
  <c r="U16" i="1" s="1"/>
  <c r="V16" i="1" s="1"/>
  <c r="L16" i="1"/>
  <c r="M15" i="1"/>
  <c r="S15" i="1" s="1"/>
  <c r="X15" i="1" s="1"/>
  <c r="L15" i="1"/>
  <c r="M14" i="1"/>
  <c r="S14" i="1" s="1"/>
  <c r="T14" i="1" s="1"/>
  <c r="U14" i="1" s="1"/>
  <c r="L14" i="1"/>
  <c r="M13" i="1"/>
  <c r="S13" i="1" s="1"/>
  <c r="X13" i="1" s="1"/>
  <c r="L13" i="1"/>
  <c r="M12" i="1"/>
  <c r="S12" i="1" s="1"/>
  <c r="T12" i="1" s="1"/>
  <c r="U12" i="1" s="1"/>
  <c r="L12" i="1"/>
  <c r="M11" i="1"/>
  <c r="S11" i="1" s="1"/>
  <c r="T11" i="1" s="1"/>
  <c r="U11" i="1" s="1"/>
  <c r="L11" i="1"/>
  <c r="M10" i="1"/>
  <c r="S10" i="1" s="1"/>
  <c r="L10" i="1"/>
  <c r="M9" i="1"/>
  <c r="S9" i="1" s="1"/>
  <c r="X9" i="1" s="1"/>
  <c r="L9" i="1"/>
  <c r="M8" i="1"/>
  <c r="S8" i="1" s="1"/>
  <c r="Y8" i="1" s="1"/>
  <c r="L8" i="1"/>
  <c r="M7" i="1"/>
  <c r="S7" i="1" s="1"/>
  <c r="T7" i="1" s="1"/>
  <c r="U7" i="1" s="1"/>
  <c r="L7" i="1"/>
  <c r="M6" i="1"/>
  <c r="L6" i="1"/>
  <c r="AG5" i="1"/>
  <c r="AF5" i="1"/>
  <c r="AE5" i="1"/>
  <c r="AD5" i="1"/>
  <c r="AC5" i="1"/>
  <c r="AB5" i="1"/>
  <c r="AA5" i="1"/>
  <c r="Z5" i="1"/>
  <c r="R5" i="1"/>
  <c r="O5" i="1"/>
  <c r="N5" i="1"/>
  <c r="K5" i="1"/>
  <c r="X135" i="1" l="1"/>
  <c r="X130" i="1"/>
  <c r="W7" i="1"/>
  <c r="AJ7" i="1" s="1"/>
  <c r="W11" i="1"/>
  <c r="AJ11" i="1" s="1"/>
  <c r="W12" i="1"/>
  <c r="AJ12" i="1" s="1"/>
  <c r="W14" i="1"/>
  <c r="AJ14" i="1" s="1"/>
  <c r="W17" i="1"/>
  <c r="AJ17" i="1" s="1"/>
  <c r="W22" i="1"/>
  <c r="AJ22" i="1" s="1"/>
  <c r="W52" i="1"/>
  <c r="AJ52" i="1" s="1"/>
  <c r="W55" i="1"/>
  <c r="AJ55" i="1" s="1"/>
  <c r="W56" i="1"/>
  <c r="AJ56" i="1" s="1"/>
  <c r="W61" i="1"/>
  <c r="AJ61" i="1" s="1"/>
  <c r="W62" i="1"/>
  <c r="AJ62" i="1" s="1"/>
  <c r="W77" i="1"/>
  <c r="AJ77" i="1" s="1"/>
  <c r="W82" i="1"/>
  <c r="AJ82" i="1" s="1"/>
  <c r="W83" i="1"/>
  <c r="AJ83" i="1" s="1"/>
  <c r="W92" i="1"/>
  <c r="AJ92" i="1" s="1"/>
  <c r="W110" i="1"/>
  <c r="AJ110" i="1" s="1"/>
  <c r="W126" i="1"/>
  <c r="AJ126" i="1" s="1"/>
  <c r="V59" i="1"/>
  <c r="AI59" i="1" s="1"/>
  <c r="X65" i="1"/>
  <c r="X85" i="1"/>
  <c r="W25" i="1"/>
  <c r="AJ25" i="1" s="1"/>
  <c r="V25" i="1"/>
  <c r="W27" i="1"/>
  <c r="AJ27" i="1" s="1"/>
  <c r="V27" i="1"/>
  <c r="X98" i="1"/>
  <c r="X116" i="1"/>
  <c r="AI71" i="1"/>
  <c r="AJ71" i="1"/>
  <c r="W32" i="1"/>
  <c r="AJ32" i="1" s="1"/>
  <c r="W34" i="1"/>
  <c r="AJ34" i="1" s="1"/>
  <c r="W39" i="1"/>
  <c r="AJ39" i="1" s="1"/>
  <c r="W41" i="1"/>
  <c r="AJ41" i="1" s="1"/>
  <c r="X71" i="1"/>
  <c r="W16" i="1"/>
  <c r="AJ16" i="1" s="1"/>
  <c r="X60" i="1"/>
  <c r="X97" i="1"/>
  <c r="Y37" i="1"/>
  <c r="X37" i="1"/>
  <c r="AI45" i="1"/>
  <c r="X45" i="1"/>
  <c r="AI47" i="1"/>
  <c r="X47" i="1"/>
  <c r="AI49" i="1"/>
  <c r="X49" i="1"/>
  <c r="AI50" i="1"/>
  <c r="X50" i="1"/>
  <c r="AI51" i="1"/>
  <c r="X51" i="1"/>
  <c r="Y53" i="1"/>
  <c r="X53" i="1"/>
  <c r="Y57" i="1"/>
  <c r="X57" i="1"/>
  <c r="Y63" i="1"/>
  <c r="X63" i="1"/>
  <c r="AI69" i="1"/>
  <c r="X69" i="1"/>
  <c r="Y73" i="1"/>
  <c r="X73" i="1"/>
  <c r="AI74" i="1"/>
  <c r="X74" i="1"/>
  <c r="X78" i="1"/>
  <c r="AI78" i="1"/>
  <c r="AI81" i="1"/>
  <c r="X81" i="1"/>
  <c r="Y131" i="1"/>
  <c r="X131" i="1"/>
  <c r="AI133" i="1"/>
  <c r="X133" i="1"/>
  <c r="AI134" i="1"/>
  <c r="X134" i="1"/>
  <c r="X18" i="1"/>
  <c r="X43" i="1"/>
  <c r="AI100" i="1"/>
  <c r="X100" i="1"/>
  <c r="AI102" i="1"/>
  <c r="X102" i="1"/>
  <c r="AI106" i="1"/>
  <c r="X106" i="1"/>
  <c r="AI124" i="1"/>
  <c r="X124" i="1"/>
  <c r="X121" i="1"/>
  <c r="X96" i="1"/>
  <c r="X120" i="1"/>
  <c r="T40" i="1"/>
  <c r="U40" i="1" s="1"/>
  <c r="T114" i="1"/>
  <c r="U114" i="1" s="1"/>
  <c r="V114" i="1" s="1"/>
  <c r="T94" i="1"/>
  <c r="U94" i="1" s="1"/>
  <c r="Y13" i="1"/>
  <c r="Y42" i="1"/>
  <c r="T93" i="1"/>
  <c r="U93" i="1" s="1"/>
  <c r="T46" i="1"/>
  <c r="U46" i="1" s="1"/>
  <c r="V46" i="1" s="1"/>
  <c r="Y135" i="1"/>
  <c r="Y86" i="1"/>
  <c r="Y10" i="1"/>
  <c r="T10" i="1"/>
  <c r="U10" i="1" s="1"/>
  <c r="T127" i="1"/>
  <c r="U127" i="1" s="1"/>
  <c r="V127" i="1" s="1"/>
  <c r="T118" i="1"/>
  <c r="U118" i="1" s="1"/>
  <c r="V118" i="1" s="1"/>
  <c r="T122" i="1"/>
  <c r="U122" i="1" s="1"/>
  <c r="V122" i="1" s="1"/>
  <c r="T101" i="1"/>
  <c r="U101" i="1" s="1"/>
  <c r="V101" i="1" s="1"/>
  <c r="T104" i="1"/>
  <c r="U104" i="1" s="1"/>
  <c r="V104" i="1" s="1"/>
  <c r="T108" i="1"/>
  <c r="U108" i="1" s="1"/>
  <c r="V108" i="1" s="1"/>
  <c r="T84" i="1"/>
  <c r="U84" i="1" s="1"/>
  <c r="V84" i="1" s="1"/>
  <c r="T8" i="1"/>
  <c r="U8" i="1" s="1"/>
  <c r="T90" i="1"/>
  <c r="U90" i="1" s="1"/>
  <c r="Y133" i="1"/>
  <c r="Y20" i="1"/>
  <c r="Y35" i="1"/>
  <c r="Y62" i="1"/>
  <c r="Y49" i="1"/>
  <c r="Y69" i="1"/>
  <c r="Y50" i="1"/>
  <c r="Y103" i="1"/>
  <c r="Y110" i="1"/>
  <c r="Y39" i="1"/>
  <c r="Y18" i="1"/>
  <c r="Y124" i="1"/>
  <c r="Y70" i="1"/>
  <c r="Y31" i="1"/>
  <c r="Y52" i="1"/>
  <c r="Y77" i="1"/>
  <c r="Y59" i="1"/>
  <c r="Y17" i="1"/>
  <c r="Y72" i="1"/>
  <c r="Y79" i="1"/>
  <c r="Y127" i="1"/>
  <c r="Y107" i="1"/>
  <c r="Y130" i="1"/>
  <c r="Y24" i="1"/>
  <c r="Y76" i="1"/>
  <c r="Y93" i="1"/>
  <c r="Y94" i="1"/>
  <c r="Y68" i="1"/>
  <c r="Y100" i="1"/>
  <c r="Y12" i="1"/>
  <c r="Y36" i="1"/>
  <c r="Y47" i="1"/>
  <c r="Y83" i="1"/>
  <c r="Y58" i="1"/>
  <c r="Y89" i="1"/>
  <c r="Y117" i="1"/>
  <c r="Y78" i="1"/>
  <c r="Y9" i="1"/>
  <c r="Y95" i="1"/>
  <c r="Y106" i="1"/>
  <c r="Y111" i="1"/>
  <c r="Y32" i="1"/>
  <c r="Y123" i="1"/>
  <c r="Y74" i="1"/>
  <c r="Y85" i="1"/>
  <c r="Y112" i="1"/>
  <c r="Y129" i="1"/>
  <c r="Y134" i="1"/>
  <c r="Y19" i="1"/>
  <c r="Y25" i="1"/>
  <c r="Y91" i="1"/>
  <c r="Y102" i="1"/>
  <c r="Y33" i="1"/>
  <c r="Y119" i="1"/>
  <c r="Y14" i="1"/>
  <c r="Y15" i="1"/>
  <c r="Y65" i="1"/>
  <c r="Y80" i="1"/>
  <c r="Y92" i="1"/>
  <c r="Y27" i="1"/>
  <c r="Y75" i="1"/>
  <c r="Y113" i="1"/>
  <c r="Y34" i="1"/>
  <c r="Y38" i="1"/>
  <c r="Y45" i="1"/>
  <c r="Y55" i="1"/>
  <c r="Y114" i="1"/>
  <c r="Y125" i="1"/>
  <c r="Y48" i="1"/>
  <c r="Y26" i="1"/>
  <c r="Y16" i="1"/>
  <c r="Y60" i="1"/>
  <c r="Y11" i="1"/>
  <c r="Y22" i="1"/>
  <c r="Y61" i="1"/>
  <c r="Y81" i="1"/>
  <c r="Y136" i="1"/>
  <c r="Y71" i="1"/>
  <c r="Y98" i="1"/>
  <c r="Y109" i="1"/>
  <c r="Y41" i="1"/>
  <c r="Y56" i="1"/>
  <c r="Y87" i="1"/>
  <c r="Y115" i="1"/>
  <c r="Y126" i="1"/>
  <c r="Y7" i="1"/>
  <c r="Y23" i="1"/>
  <c r="Y29" i="1"/>
  <c r="Y51" i="1"/>
  <c r="Y82" i="1"/>
  <c r="Y137" i="1"/>
  <c r="Y99" i="1"/>
  <c r="Y67" i="1"/>
  <c r="Y132" i="1"/>
  <c r="Y30" i="1"/>
  <c r="Y88" i="1"/>
  <c r="Y116" i="1"/>
  <c r="Y138" i="1"/>
  <c r="Y90" i="1"/>
  <c r="L60" i="1"/>
  <c r="L5" i="1" s="1"/>
  <c r="M128" i="1"/>
  <c r="S128" i="1" s="1"/>
  <c r="T128" i="1" s="1"/>
  <c r="U128" i="1" s="1"/>
  <c r="Y44" i="1"/>
  <c r="Y21" i="1"/>
  <c r="Y46" i="1"/>
  <c r="Y64" i="1"/>
  <c r="E5" i="1"/>
  <c r="Y54" i="1"/>
  <c r="Y105" i="1"/>
  <c r="F5" i="1"/>
  <c r="S6" i="1"/>
  <c r="T6" i="1" s="1"/>
  <c r="U6" i="1" s="1"/>
  <c r="W6" i="1" s="1"/>
  <c r="AJ6" i="1" s="1"/>
  <c r="Y28" i="1"/>
  <c r="Y66" i="1"/>
  <c r="V126" i="1" l="1"/>
  <c r="V110" i="1"/>
  <c r="AI110" i="1" s="1"/>
  <c r="V92" i="1"/>
  <c r="AI92" i="1" s="1"/>
  <c r="V83" i="1"/>
  <c r="AI83" i="1" s="1"/>
  <c r="V82" i="1"/>
  <c r="V77" i="1"/>
  <c r="AI77" i="1" s="1"/>
  <c r="V62" i="1"/>
  <c r="AI62" i="1" s="1"/>
  <c r="V61" i="1"/>
  <c r="AI61" i="1" s="1"/>
  <c r="X92" i="1"/>
  <c r="X110" i="1"/>
  <c r="W90" i="1"/>
  <c r="AJ90" i="1" s="1"/>
  <c r="W93" i="1"/>
  <c r="AJ93" i="1" s="1"/>
  <c r="W128" i="1"/>
  <c r="AJ128" i="1" s="1"/>
  <c r="W8" i="1"/>
  <c r="AJ8" i="1" s="1"/>
  <c r="W10" i="1"/>
  <c r="AJ10" i="1" s="1"/>
  <c r="W94" i="1"/>
  <c r="AJ94" i="1" s="1"/>
  <c r="W40" i="1"/>
  <c r="AJ40" i="1" s="1"/>
  <c r="X59" i="1"/>
  <c r="V56" i="1"/>
  <c r="V55" i="1"/>
  <c r="V52" i="1"/>
  <c r="V22" i="1"/>
  <c r="V17" i="1"/>
  <c r="V14" i="1"/>
  <c r="V12" i="1"/>
  <c r="V11" i="1"/>
  <c r="V7" i="1"/>
  <c r="AI41" i="1"/>
  <c r="AI34" i="1"/>
  <c r="AI32" i="1"/>
  <c r="X41" i="1"/>
  <c r="X34" i="1"/>
  <c r="X27" i="1"/>
  <c r="AI27" i="1"/>
  <c r="X25" i="1"/>
  <c r="AI25" i="1"/>
  <c r="AI108" i="1"/>
  <c r="X108" i="1"/>
  <c r="AI101" i="1"/>
  <c r="X101" i="1"/>
  <c r="AI118" i="1"/>
  <c r="X118" i="1"/>
  <c r="X46" i="1"/>
  <c r="AI46" i="1"/>
  <c r="V6" i="1"/>
  <c r="U5" i="1"/>
  <c r="AI84" i="1"/>
  <c r="X84" i="1"/>
  <c r="AI104" i="1"/>
  <c r="X104" i="1"/>
  <c r="AI122" i="1"/>
  <c r="X122" i="1"/>
  <c r="AI127" i="1"/>
  <c r="X127" i="1"/>
  <c r="AI114" i="1"/>
  <c r="X114" i="1"/>
  <c r="M5" i="1"/>
  <c r="T5" i="1"/>
  <c r="Y128" i="1"/>
  <c r="S5" i="1"/>
  <c r="Y6" i="1"/>
  <c r="X77" i="1" l="1"/>
  <c r="X61" i="1"/>
  <c r="X83" i="1"/>
  <c r="AI82" i="1"/>
  <c r="X82" i="1"/>
  <c r="X126" i="1"/>
  <c r="AI126" i="1"/>
  <c r="X62" i="1"/>
  <c r="AJ5" i="1"/>
  <c r="AJ1" i="1" s="1"/>
  <c r="AI7" i="1"/>
  <c r="X7" i="1"/>
  <c r="AI12" i="1"/>
  <c r="X12" i="1"/>
  <c r="AI17" i="1"/>
  <c r="X17" i="1"/>
  <c r="AI52" i="1"/>
  <c r="X52" i="1"/>
  <c r="AI56" i="1"/>
  <c r="X56" i="1"/>
  <c r="W5" i="1"/>
  <c r="AI11" i="1"/>
  <c r="X11" i="1"/>
  <c r="AI14" i="1"/>
  <c r="X14" i="1"/>
  <c r="AI22" i="1"/>
  <c r="X22" i="1"/>
  <c r="AI55" i="1"/>
  <c r="X55" i="1"/>
  <c r="V40" i="1"/>
  <c r="V94" i="1"/>
  <c r="V10" i="1"/>
  <c r="V8" i="1"/>
  <c r="V128" i="1"/>
  <c r="V93" i="1"/>
  <c r="V90" i="1"/>
  <c r="X39" i="1"/>
  <c r="AI39" i="1"/>
  <c r="X32" i="1"/>
  <c r="AI16" i="1"/>
  <c r="X16" i="1"/>
  <c r="AI6" i="1"/>
  <c r="X6" i="1"/>
  <c r="V5" i="1" l="1"/>
  <c r="AI90" i="1"/>
  <c r="X90" i="1"/>
  <c r="AI128" i="1"/>
  <c r="X128" i="1"/>
  <c r="X10" i="1"/>
  <c r="AI10" i="1"/>
  <c r="X40" i="1"/>
  <c r="AI40" i="1"/>
  <c r="AI93" i="1"/>
  <c r="X93" i="1"/>
  <c r="X8" i="1"/>
  <c r="AI8" i="1"/>
  <c r="AI94" i="1"/>
  <c r="X94" i="1"/>
  <c r="AI5" i="1" l="1"/>
  <c r="AI1" i="1" s="1"/>
</calcChain>
</file>

<file path=xl/sharedStrings.xml><?xml version="1.0" encoding="utf-8"?>
<sst xmlns="http://schemas.openxmlformats.org/spreadsheetml/2006/main" count="501" uniqueCount="189">
  <si>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</si>
  <si>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</si>
  <si>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</si>
  <si>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</si>
  <si>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</si>
  <si>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</si>
  <si>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</si>
  <si>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</si>
  <si>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</si>
  <si>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</si>
  <si>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</si>
  <si>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</si>
  <si>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</si>
  <si>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</si>
  <si>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</si>
  <si>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</si>
  <si>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</si>
  <si>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</si>
  <si>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</si>
  <si>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</si>
  <si>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</si>
  <si>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</si>
  <si>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19,09,</t>
  </si>
  <si>
    <t>20,09,</t>
  </si>
  <si>
    <t>17,09,</t>
  </si>
  <si>
    <t>15,09,</t>
  </si>
  <si>
    <t>10,09,</t>
  </si>
  <si>
    <t>08,09,</t>
  </si>
  <si>
    <t>03,09,</t>
  </si>
  <si>
    <t>01,09,</t>
  </si>
  <si>
    <t>27,08,</t>
  </si>
  <si>
    <t>25,08,</t>
  </si>
  <si>
    <t>20,08,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</si>
  <si>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</si>
  <si>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</si>
  <si>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</si>
  <si>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</si>
  <si>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ПРОМО сентябрь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</si>
  <si>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</si>
  <si>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</si>
  <si>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</si>
  <si>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</si>
  <si>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</si>
  <si>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</si>
  <si>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</si>
  <si>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</si>
  <si>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</si>
  <si>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</si>
  <si>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</si>
  <si>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Продукция для ПРС!!!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</si>
  <si>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</si>
  <si>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</si>
  <si>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</si>
  <si>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</si>
  <si>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дубль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</si>
  <si>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</si>
  <si>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</si>
  <si>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</si>
  <si>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</si>
  <si>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</si>
  <si>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</si>
  <si>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</si>
  <si>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</si>
  <si>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>нужно увеличить продажи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</si>
  <si>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</si>
  <si>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</si>
  <si>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</si>
  <si>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</si>
  <si>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</si>
  <si>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</si>
  <si>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</si>
  <si>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</si>
  <si>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</si>
  <si>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</si>
  <si>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</si>
  <si>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</si>
  <si>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</si>
  <si>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</si>
  <si>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</si>
  <si>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ПРОМО сентябрь / 2600шт отгрузили на ЮгТехЛогистика (28,08,26)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</si>
  <si>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</si>
  <si>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</si>
  <si>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</si>
  <si>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</si>
  <si>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</si>
  <si>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</si>
  <si>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</si>
  <si>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</si>
  <si>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</si>
  <si>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</si>
  <si>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</si>
  <si>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1000шт под сети (Хмель 01,09,26)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</si>
  <si>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</si>
  <si>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</si>
  <si>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</si>
  <si>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</si>
  <si>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</si>
  <si>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</si>
  <si>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</si>
  <si>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</si>
  <si>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</si>
  <si>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</si>
  <si>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</si>
  <si>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</si>
  <si>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</si>
  <si>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</si>
  <si>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нужно увеличить продажи!!!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</si>
  <si>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</si>
  <si>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</si>
  <si>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</si>
  <si>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</si>
  <si>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</si>
  <si>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</si>
  <si>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</si>
  <si>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</si>
  <si>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</si>
  <si>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</si>
  <si>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</si>
  <si>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</si>
  <si>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</si>
  <si>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</si>
  <si>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</si>
  <si>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</si>
  <si>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</si>
  <si>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</si>
  <si>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</si>
  <si>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</si>
  <si>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</si>
  <si>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</si>
  <si>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</si>
  <si>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</si>
  <si>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</si>
  <si>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</si>
  <si>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</si>
  <si>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</si>
  <si>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</si>
  <si>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</si>
  <si>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</si>
  <si>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</si>
  <si>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</si>
  <si>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</si>
  <si>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</si>
  <si>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</si>
  <si>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</si>
  <si>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</si>
  <si>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</si>
  <si>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</si>
  <si>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</si>
  <si>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</si>
  <si>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</si>
  <si>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</si>
  <si>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</si>
  <si>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</si>
  <si>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</si>
  <si>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</si>
  <si>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</si>
  <si>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</si>
  <si>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</si>
  <si>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</si>
  <si>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</si>
  <si>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</si>
  <si>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</si>
  <si>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</si>
  <si>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</si>
  <si>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</si>
  <si>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</si>
  <si>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</si>
  <si>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</si>
  <si>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</si>
  <si>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</si>
  <si>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</si>
  <si>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</si>
  <si>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</si>
  <si>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</si>
  <si>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</si>
  <si>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</si>
  <si>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</si>
  <si>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</si>
  <si>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</si>
  <si>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</si>
  <si>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19 шт списано (12,07,26)</t>
    </r>
  </si>
  <si>
    <t>нужно увеличить продажи!!! / ПРОМО сентябрь</t>
  </si>
  <si>
    <t>итого</t>
  </si>
  <si>
    <t>заказ</t>
  </si>
  <si>
    <t>21,09,</t>
  </si>
  <si>
    <t>22,09,</t>
  </si>
  <si>
    <t>%</t>
  </si>
  <si>
    <t>19,09,доз</t>
  </si>
  <si>
    <t>19,09,доз2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</si>
</sst>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4" fontId="6" fillId="0" borderId="1" xfId="1" applyNumberFormat="1" applyFont="1"/>
    <xf numFmtId="165" fontId="1" fillId="0" borderId="1" xfId="1" applyNumberFormat="1"/>
    <xf numFmtId="164" fontId="8" fillId="0" borderId="1" xfId="1" applyNumberFormat="1" applyFont="1"/>
    <xf numFmtId="164" fontId="8" fillId="3" borderId="1" xfId="1" applyNumberFormat="1" applyFont="1" applyFill="1"/>
    <xf numFmtId="164" fontId="8" fillId="5" borderId="1" xfId="1" applyNumberFormat="1" applyFont="1" applyFill="1"/>
    <xf numFmtId="0" fontId="7" fillId="0" borderId="1" xfId="0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00"/>
  <sheetViews>
    <sheetView tabSelected="1" zoomScale="85" workbookViewId="0">
      <pane xSplit="2" ySplit="5" topLeftCell="C72" activePane="bottomRight" state="frozen"/>
      <selection pane="topRight"/>
      <selection pane="bottomLeft"/>
      <selection pane="bottomRight" activeCell="AH83" sqref="AH83"/>
    </sheetView>
  </sheetViews>
  <sheetFormatPr defaultRowHeight="15" x14ac:dyDescent="0.25"/>
  <cols>
    <col min="1" max="1" width="56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15" width="7" customWidth="1"/>
    <col min="16" max="17" width="7" style="22" customWidth="1"/>
    <col min="18" max="23" width="7" customWidth="1"/>
    <col min="24" max="25" width="5" customWidth="1"/>
    <col min="26" max="29" width="6.5703125" customWidth="1"/>
    <col min="30" max="30" width="6" customWidth="1"/>
    <col min="31" max="33" width="6.5703125" customWidth="1"/>
    <col min="34" max="34" width="36.7109375" customWidth="1"/>
    <col min="35" max="36" width="7" customWidth="1"/>
    <col min="37" max="47" width="8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9"/>
      <c r="Q1" s="19"/>
      <c r="R1" s="1"/>
      <c r="S1" s="1"/>
      <c r="T1" s="1"/>
      <c r="U1" s="1"/>
      <c r="V1" s="1"/>
      <c r="W1" s="18">
        <v>0.64929999999999999</v>
      </c>
      <c r="X1" s="1"/>
      <c r="Y1" s="1"/>
      <c r="Z1" s="18">
        <v>0.46</v>
      </c>
      <c r="AA1" s="1"/>
      <c r="AB1" s="1"/>
      <c r="AC1" s="1"/>
      <c r="AD1" s="1"/>
      <c r="AE1" s="1"/>
      <c r="AF1" s="1"/>
      <c r="AG1" s="1"/>
      <c r="AH1" s="1"/>
      <c r="AI1" s="1">
        <f>AI2-AI5</f>
        <v>48</v>
      </c>
      <c r="AJ1" s="1">
        <f>AJ2-AJ5</f>
        <v>-2</v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9">
        <v>600</v>
      </c>
      <c r="Q2" s="19">
        <v>900</v>
      </c>
      <c r="R2" s="1"/>
      <c r="S2" s="1"/>
      <c r="T2" s="1"/>
      <c r="U2" s="1"/>
      <c r="V2" s="1"/>
      <c r="W2" s="1" t="s">
        <v>186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>
        <v>16700</v>
      </c>
      <c r="AJ2" s="1">
        <v>17600</v>
      </c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182</v>
      </c>
      <c r="V3" s="3" t="s">
        <v>183</v>
      </c>
      <c r="W3" s="3" t="s">
        <v>183</v>
      </c>
      <c r="X3" s="2" t="s">
        <v>17</v>
      </c>
      <c r="Y3" s="2" t="s">
        <v>18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2" t="s">
        <v>21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9" t="s">
        <v>187</v>
      </c>
      <c r="Q4" s="19" t="s">
        <v>188</v>
      </c>
      <c r="R4" s="1" t="s">
        <v>23</v>
      </c>
      <c r="S4" s="1" t="s">
        <v>24</v>
      </c>
      <c r="T4" s="1"/>
      <c r="U4" s="1"/>
      <c r="V4" s="1" t="s">
        <v>184</v>
      </c>
      <c r="W4" s="1" t="s">
        <v>185</v>
      </c>
      <c r="X4" s="1"/>
      <c r="Y4" s="1"/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/>
      <c r="AI4" s="1" t="s">
        <v>184</v>
      </c>
      <c r="AJ4" s="1" t="s">
        <v>185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SUM(E6:E500)</f>
        <v>69488.910999999993</v>
      </c>
      <c r="F5" s="4">
        <f>SUM(F6:F500)</f>
        <v>76461.058999999979</v>
      </c>
      <c r="G5" s="7"/>
      <c r="H5" s="1"/>
      <c r="I5" s="1"/>
      <c r="J5" s="1"/>
      <c r="K5" s="4">
        <f t="shared" ref="K5:V5" si="0">SUM(K6:K500)</f>
        <v>78076.429000000004</v>
      </c>
      <c r="L5" s="4">
        <f t="shared" si="0"/>
        <v>-8587.5179999999982</v>
      </c>
      <c r="M5" s="4">
        <f t="shared" si="0"/>
        <v>62472.903000000006</v>
      </c>
      <c r="N5" s="4">
        <f t="shared" si="0"/>
        <v>7016.0079999999998</v>
      </c>
      <c r="O5" s="4">
        <f t="shared" si="0"/>
        <v>17696.971046004477</v>
      </c>
      <c r="P5" s="20">
        <f t="shared" ref="P5:Q5" si="1">SUM(P6:P500)</f>
        <v>600</v>
      </c>
      <c r="Q5" s="20">
        <f t="shared" si="1"/>
        <v>900</v>
      </c>
      <c r="R5" s="4">
        <f t="shared" si="0"/>
        <v>20081.834976395523</v>
      </c>
      <c r="S5" s="4">
        <f t="shared" si="0"/>
        <v>12494.580600000001</v>
      </c>
      <c r="T5" s="4">
        <f t="shared" si="0"/>
        <v>41028.272600000004</v>
      </c>
      <c r="U5" s="4">
        <f t="shared" si="0"/>
        <v>39723.787000000004</v>
      </c>
      <c r="V5" s="4">
        <f t="shared" si="0"/>
        <v>21967.918299560006</v>
      </c>
      <c r="W5" s="4">
        <f t="shared" ref="W5" si="2">SUM(W6:W500)</f>
        <v>22442.49564844001</v>
      </c>
      <c r="X5" s="1"/>
      <c r="Y5" s="1"/>
      <c r="Z5" s="4">
        <f t="shared" ref="Z5:AG5" si="3">SUM(Z6:Z500)</f>
        <v>12634.5728</v>
      </c>
      <c r="AA5" s="4">
        <f t="shared" si="3"/>
        <v>13008.235999999999</v>
      </c>
      <c r="AB5" s="4">
        <f t="shared" si="3"/>
        <v>13739.648800000001</v>
      </c>
      <c r="AC5" s="4">
        <f t="shared" si="3"/>
        <v>10910.368200000003</v>
      </c>
      <c r="AD5" s="4">
        <f t="shared" si="3"/>
        <v>9135.7952000000078</v>
      </c>
      <c r="AE5" s="4">
        <f t="shared" si="3"/>
        <v>10198.597200000002</v>
      </c>
      <c r="AF5" s="4">
        <f t="shared" si="3"/>
        <v>11150.824600000005</v>
      </c>
      <c r="AG5" s="4">
        <f t="shared" si="3"/>
        <v>11727.188200000004</v>
      </c>
      <c r="AH5" s="1"/>
      <c r="AI5" s="4">
        <f>SUM(AI6:AI500)</f>
        <v>16652</v>
      </c>
      <c r="AJ5" s="4">
        <f>SUM(AJ6:AJ500)</f>
        <v>17602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33</v>
      </c>
      <c r="B6" s="1" t="s">
        <v>34</v>
      </c>
      <c r="C6" s="1">
        <v>2646.375</v>
      </c>
      <c r="D6" s="1">
        <v>2344.7530000000002</v>
      </c>
      <c r="E6" s="1">
        <v>2443.259</v>
      </c>
      <c r="F6" s="1">
        <v>1137.655</v>
      </c>
      <c r="G6" s="7">
        <v>1</v>
      </c>
      <c r="H6" s="1">
        <v>50</v>
      </c>
      <c r="I6" s="1" t="s">
        <v>35</v>
      </c>
      <c r="J6" s="1"/>
      <c r="K6" s="1">
        <v>2509.9760000000001</v>
      </c>
      <c r="L6" s="1">
        <f t="shared" ref="L6:L37" si="4">E6-K6</f>
        <v>-66.717000000000098</v>
      </c>
      <c r="M6" s="1">
        <f t="shared" ref="M6:M37" si="5">E6-N6</f>
        <v>1572.5329999999999</v>
      </c>
      <c r="N6" s="1">
        <v>870.726</v>
      </c>
      <c r="O6" s="1">
        <v>765.36000000000013</v>
      </c>
      <c r="P6" s="19"/>
      <c r="Q6" s="19"/>
      <c r="R6" s="1">
        <v>1034.6400000000001</v>
      </c>
      <c r="S6" s="1">
        <f t="shared" ref="S6:S37" si="6">M6/5</f>
        <v>314.50659999999999</v>
      </c>
      <c r="T6" s="5">
        <f>12*S6-R6-O6-F6</f>
        <v>836.4241999999997</v>
      </c>
      <c r="U6" s="5">
        <f>T6</f>
        <v>836.4241999999997</v>
      </c>
      <c r="V6" s="5">
        <f>U6-W6</f>
        <v>293.33396693999987</v>
      </c>
      <c r="W6" s="5">
        <f>U6*$W$1</f>
        <v>543.09023305999983</v>
      </c>
      <c r="X6" s="1">
        <f>(F6+O6+R6+V6+W6)/S6</f>
        <v>12</v>
      </c>
      <c r="Y6" s="1">
        <f t="shared" ref="Y6:Y37" si="7">(F6+O6+R6)/S6</f>
        <v>9.3405194040443043</v>
      </c>
      <c r="Z6" s="1">
        <v>330.37540000000001</v>
      </c>
      <c r="AA6" s="1">
        <v>323.59899999999999</v>
      </c>
      <c r="AB6" s="1">
        <v>328.35</v>
      </c>
      <c r="AC6" s="1">
        <v>238.09880000000001</v>
      </c>
      <c r="AD6" s="1">
        <v>226.9384</v>
      </c>
      <c r="AE6" s="1">
        <v>306.53539999999998</v>
      </c>
      <c r="AF6" s="1">
        <v>373.97739999999999</v>
      </c>
      <c r="AG6" s="1">
        <v>325.6216</v>
      </c>
      <c r="AH6" s="1"/>
      <c r="AI6" s="1">
        <f>ROUND(G6*V6,0)</f>
        <v>293</v>
      </c>
      <c r="AJ6" s="1">
        <f>ROUND(G6*W6,0)</f>
        <v>543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36</v>
      </c>
      <c r="B7" s="1" t="s">
        <v>34</v>
      </c>
      <c r="C7" s="1">
        <v>2181.848</v>
      </c>
      <c r="D7" s="1">
        <v>1753.788</v>
      </c>
      <c r="E7" s="1">
        <v>1650.2149999999999</v>
      </c>
      <c r="F7" s="1">
        <v>1551.1420000000001</v>
      </c>
      <c r="G7" s="7">
        <v>1</v>
      </c>
      <c r="H7" s="1">
        <v>45</v>
      </c>
      <c r="I7" s="1" t="s">
        <v>35</v>
      </c>
      <c r="J7" s="1"/>
      <c r="K7" s="1">
        <v>1644.162</v>
      </c>
      <c r="L7" s="1">
        <f t="shared" si="4"/>
        <v>6.0529999999998836</v>
      </c>
      <c r="M7" s="1">
        <f t="shared" si="5"/>
        <v>1650.2149999999999</v>
      </c>
      <c r="N7" s="1"/>
      <c r="O7" s="1">
        <v>825.88722000000007</v>
      </c>
      <c r="P7" s="19"/>
      <c r="Q7" s="19"/>
      <c r="R7" s="1">
        <v>1116.4627800000001</v>
      </c>
      <c r="S7" s="1">
        <f t="shared" si="6"/>
        <v>330.04300000000001</v>
      </c>
      <c r="T7" s="5">
        <f t="shared" ref="T7:T14" si="8">12*S7-R7-O7-F7</f>
        <v>467.02399999999966</v>
      </c>
      <c r="U7" s="5">
        <f t="shared" ref="U7:V70" si="9">T7</f>
        <v>467.02399999999966</v>
      </c>
      <c r="V7" s="5">
        <f t="shared" ref="V7:V64" si="10">U7-W7</f>
        <v>163.78531679999986</v>
      </c>
      <c r="W7" s="5">
        <f t="shared" ref="W7:W8" si="11">U7*$W$1</f>
        <v>303.2386831999998</v>
      </c>
      <c r="X7" s="1">
        <f t="shared" ref="X7:X70" si="12">(F7+O7+R7+V7+W7)/S7</f>
        <v>11.999999999999998</v>
      </c>
      <c r="Y7" s="1">
        <f t="shared" si="7"/>
        <v>10.584960141557312</v>
      </c>
      <c r="Z7" s="1">
        <v>367.75</v>
      </c>
      <c r="AA7" s="1">
        <v>250.43219999999999</v>
      </c>
      <c r="AB7" s="1">
        <v>253.25299999999999</v>
      </c>
      <c r="AC7" s="1">
        <v>222.0264</v>
      </c>
      <c r="AD7" s="1">
        <v>176.40700000000001</v>
      </c>
      <c r="AE7" s="1">
        <v>267.92</v>
      </c>
      <c r="AF7" s="1">
        <v>195.1114</v>
      </c>
      <c r="AG7" s="1">
        <v>216.3058</v>
      </c>
      <c r="AH7" s="1" t="s">
        <v>37</v>
      </c>
      <c r="AI7" s="1">
        <f t="shared" ref="AI7:AI70" si="13">ROUND(G7*V7,0)</f>
        <v>164</v>
      </c>
      <c r="AJ7" s="1">
        <f t="shared" ref="AJ7:AJ70" si="14">ROUND(G7*W7,0)</f>
        <v>303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38</v>
      </c>
      <c r="B8" s="1" t="s">
        <v>34</v>
      </c>
      <c r="C8" s="1">
        <v>2480.4899999999998</v>
      </c>
      <c r="D8" s="1">
        <v>7687.1719999999996</v>
      </c>
      <c r="E8" s="1">
        <v>4004.42</v>
      </c>
      <c r="F8" s="1">
        <v>4328.4629999999997</v>
      </c>
      <c r="G8" s="7">
        <v>1</v>
      </c>
      <c r="H8" s="1">
        <v>45</v>
      </c>
      <c r="I8" s="1" t="s">
        <v>35</v>
      </c>
      <c r="J8" s="1"/>
      <c r="K8" s="1">
        <v>4080.6889999999999</v>
      </c>
      <c r="L8" s="1">
        <f t="shared" si="4"/>
        <v>-76.268999999999778</v>
      </c>
      <c r="M8" s="1">
        <f t="shared" si="5"/>
        <v>4004.42</v>
      </c>
      <c r="N8" s="1"/>
      <c r="O8" s="1">
        <v>1328.768878880001</v>
      </c>
      <c r="P8" s="19"/>
      <c r="Q8" s="19"/>
      <c r="R8" s="1">
        <v>1796.275521120001</v>
      </c>
      <c r="S8" s="1">
        <f t="shared" si="6"/>
        <v>800.88400000000001</v>
      </c>
      <c r="T8" s="5">
        <f t="shared" si="8"/>
        <v>2157.1005999999979</v>
      </c>
      <c r="U8" s="5">
        <f t="shared" si="9"/>
        <v>2157.1005999999979</v>
      </c>
      <c r="V8" s="5">
        <f t="shared" si="10"/>
        <v>756.49518041999931</v>
      </c>
      <c r="W8" s="5">
        <f t="shared" si="11"/>
        <v>1400.6054195799986</v>
      </c>
      <c r="X8" s="1">
        <f t="shared" si="12"/>
        <v>12</v>
      </c>
      <c r="Y8" s="1">
        <f t="shared" si="7"/>
        <v>9.3066004564955733</v>
      </c>
      <c r="Z8" s="1">
        <v>833.0154</v>
      </c>
      <c r="AA8" s="1">
        <v>751.53280000000007</v>
      </c>
      <c r="AB8" s="1">
        <v>847.03899999999999</v>
      </c>
      <c r="AC8" s="1">
        <v>565.60299999999995</v>
      </c>
      <c r="AD8" s="1">
        <v>418.56079999999997</v>
      </c>
      <c r="AE8" s="1">
        <v>617.84820000000002</v>
      </c>
      <c r="AF8" s="1">
        <v>615.27340000000004</v>
      </c>
      <c r="AG8" s="1">
        <v>546.42439999999988</v>
      </c>
      <c r="AH8" s="1" t="s">
        <v>37</v>
      </c>
      <c r="AI8" s="1">
        <f t="shared" si="13"/>
        <v>756</v>
      </c>
      <c r="AJ8" s="1">
        <f t="shared" si="14"/>
        <v>1401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39</v>
      </c>
      <c r="B9" s="1" t="s">
        <v>40</v>
      </c>
      <c r="C9" s="1">
        <v>20</v>
      </c>
      <c r="D9" s="1">
        <v>10</v>
      </c>
      <c r="E9" s="1"/>
      <c r="F9" s="1">
        <v>27</v>
      </c>
      <c r="G9" s="7">
        <v>0.4</v>
      </c>
      <c r="H9" s="1">
        <v>50</v>
      </c>
      <c r="I9" s="1" t="s">
        <v>35</v>
      </c>
      <c r="J9" s="1"/>
      <c r="K9" s="1">
        <v>9</v>
      </c>
      <c r="L9" s="1">
        <f t="shared" si="4"/>
        <v>-9</v>
      </c>
      <c r="M9" s="1">
        <f t="shared" si="5"/>
        <v>0</v>
      </c>
      <c r="N9" s="1"/>
      <c r="O9" s="1">
        <v>0</v>
      </c>
      <c r="P9" s="19"/>
      <c r="Q9" s="19"/>
      <c r="R9" s="1"/>
      <c r="S9" s="1">
        <f t="shared" si="6"/>
        <v>0</v>
      </c>
      <c r="T9" s="5"/>
      <c r="U9" s="5">
        <f t="shared" si="9"/>
        <v>0</v>
      </c>
      <c r="V9" s="5">
        <f t="shared" si="10"/>
        <v>0</v>
      </c>
      <c r="W9" s="5"/>
      <c r="X9" s="1" t="e">
        <f t="shared" si="12"/>
        <v>#DIV/0!</v>
      </c>
      <c r="Y9" s="1" t="e">
        <f t="shared" si="7"/>
        <v>#DIV/0!</v>
      </c>
      <c r="Z9" s="1">
        <v>0.2</v>
      </c>
      <c r="AA9" s="1">
        <v>2.4</v>
      </c>
      <c r="AB9" s="1">
        <v>1.8</v>
      </c>
      <c r="AC9" s="1">
        <v>-0.2</v>
      </c>
      <c r="AD9" s="1">
        <v>0.2</v>
      </c>
      <c r="AE9" s="1">
        <v>1.2</v>
      </c>
      <c r="AF9" s="1">
        <v>2.8</v>
      </c>
      <c r="AG9" s="1">
        <v>1.4</v>
      </c>
      <c r="AH9" s="16" t="s">
        <v>180</v>
      </c>
      <c r="AI9" s="1">
        <f t="shared" si="13"/>
        <v>0</v>
      </c>
      <c r="AJ9" s="1">
        <f t="shared" si="14"/>
        <v>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41</v>
      </c>
      <c r="B10" s="1" t="s">
        <v>40</v>
      </c>
      <c r="C10" s="1">
        <v>1084.04</v>
      </c>
      <c r="D10" s="1">
        <v>5323</v>
      </c>
      <c r="E10" s="1">
        <v>2905</v>
      </c>
      <c r="F10" s="1">
        <v>2848.04</v>
      </c>
      <c r="G10" s="7">
        <v>0.45</v>
      </c>
      <c r="H10" s="1">
        <v>45</v>
      </c>
      <c r="I10" s="1" t="s">
        <v>35</v>
      </c>
      <c r="J10" s="1"/>
      <c r="K10" s="1">
        <v>2993</v>
      </c>
      <c r="L10" s="1">
        <f t="shared" si="4"/>
        <v>-88</v>
      </c>
      <c r="M10" s="1">
        <f t="shared" si="5"/>
        <v>2845</v>
      </c>
      <c r="N10" s="1">
        <v>60</v>
      </c>
      <c r="O10" s="1">
        <v>299.83675327999998</v>
      </c>
      <c r="P10" s="19"/>
      <c r="Q10" s="19"/>
      <c r="R10" s="1">
        <v>405.32964672000003</v>
      </c>
      <c r="S10" s="1">
        <f t="shared" si="6"/>
        <v>569</v>
      </c>
      <c r="T10" s="5">
        <f t="shared" si="8"/>
        <v>3274.7936</v>
      </c>
      <c r="U10" s="5">
        <f t="shared" si="9"/>
        <v>3274.7936</v>
      </c>
      <c r="V10" s="5">
        <f t="shared" si="10"/>
        <v>1148.47011552</v>
      </c>
      <c r="W10" s="5">
        <f t="shared" ref="W10:W12" si="15">U10*$W$1</f>
        <v>2126.3234844799999</v>
      </c>
      <c r="X10" s="1">
        <f t="shared" si="12"/>
        <v>12</v>
      </c>
      <c r="Y10" s="1">
        <f t="shared" si="7"/>
        <v>6.2446509666080843</v>
      </c>
      <c r="Z10" s="1">
        <v>530.86719999999991</v>
      </c>
      <c r="AA10" s="1">
        <v>514.46719999999993</v>
      </c>
      <c r="AB10" s="1">
        <v>409.86599999999999</v>
      </c>
      <c r="AC10" s="1">
        <v>437.2</v>
      </c>
      <c r="AD10" s="1">
        <v>412</v>
      </c>
      <c r="AE10" s="1">
        <v>405</v>
      </c>
      <c r="AF10" s="1">
        <v>449</v>
      </c>
      <c r="AG10" s="1">
        <v>492.83479999999997</v>
      </c>
      <c r="AH10" s="1"/>
      <c r="AI10" s="1">
        <f t="shared" si="13"/>
        <v>517</v>
      </c>
      <c r="AJ10" s="1">
        <f t="shared" si="14"/>
        <v>957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42</v>
      </c>
      <c r="B11" s="1" t="s">
        <v>40</v>
      </c>
      <c r="C11" s="1">
        <v>3464.2739999999999</v>
      </c>
      <c r="D11" s="1">
        <v>4158</v>
      </c>
      <c r="E11" s="1">
        <v>3399</v>
      </c>
      <c r="F11" s="1">
        <v>3050.2739999999999</v>
      </c>
      <c r="G11" s="7">
        <v>0.45</v>
      </c>
      <c r="H11" s="1">
        <v>45</v>
      </c>
      <c r="I11" s="1" t="s">
        <v>35</v>
      </c>
      <c r="J11" s="1"/>
      <c r="K11" s="1">
        <v>3525</v>
      </c>
      <c r="L11" s="1">
        <f t="shared" si="4"/>
        <v>-126</v>
      </c>
      <c r="M11" s="1">
        <f t="shared" si="5"/>
        <v>3303</v>
      </c>
      <c r="N11" s="1">
        <v>96</v>
      </c>
      <c r="O11" s="1">
        <v>255.18981783999971</v>
      </c>
      <c r="P11" s="19"/>
      <c r="Q11" s="19"/>
      <c r="R11" s="1">
        <v>344.97438215999949</v>
      </c>
      <c r="S11" s="1">
        <f t="shared" si="6"/>
        <v>660.6</v>
      </c>
      <c r="T11" s="5">
        <f t="shared" si="8"/>
        <v>4276.761800000002</v>
      </c>
      <c r="U11" s="5">
        <f t="shared" si="9"/>
        <v>4276.761800000002</v>
      </c>
      <c r="V11" s="5">
        <f t="shared" si="10"/>
        <v>1499.8603632600007</v>
      </c>
      <c r="W11" s="5">
        <f t="shared" si="15"/>
        <v>2776.9014367400014</v>
      </c>
      <c r="X11" s="1">
        <f t="shared" si="12"/>
        <v>12</v>
      </c>
      <c r="Y11" s="1">
        <f t="shared" si="7"/>
        <v>5.5259433848016943</v>
      </c>
      <c r="Z11" s="1">
        <v>572.67619999999999</v>
      </c>
      <c r="AA11" s="1">
        <v>553.87619999999993</v>
      </c>
      <c r="AB11" s="1">
        <v>632.423</v>
      </c>
      <c r="AC11" s="1">
        <v>674.2</v>
      </c>
      <c r="AD11" s="1">
        <v>625.20000000000005</v>
      </c>
      <c r="AE11" s="1">
        <v>641.4</v>
      </c>
      <c r="AF11" s="1">
        <v>650</v>
      </c>
      <c r="AG11" s="1">
        <v>684.8732</v>
      </c>
      <c r="AH11" s="1"/>
      <c r="AI11" s="1">
        <f t="shared" si="13"/>
        <v>675</v>
      </c>
      <c r="AJ11" s="1">
        <f t="shared" si="14"/>
        <v>1250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43</v>
      </c>
      <c r="B12" s="1" t="s">
        <v>40</v>
      </c>
      <c r="C12" s="1">
        <v>44</v>
      </c>
      <c r="D12" s="1">
        <v>240</v>
      </c>
      <c r="E12" s="1">
        <v>132</v>
      </c>
      <c r="F12" s="1">
        <v>108</v>
      </c>
      <c r="G12" s="7">
        <v>0.17</v>
      </c>
      <c r="H12" s="1">
        <v>180</v>
      </c>
      <c r="I12" s="1" t="s">
        <v>35</v>
      </c>
      <c r="J12" s="1"/>
      <c r="K12" s="1">
        <v>139</v>
      </c>
      <c r="L12" s="1">
        <f t="shared" si="4"/>
        <v>-7</v>
      </c>
      <c r="M12" s="1">
        <f t="shared" si="5"/>
        <v>102</v>
      </c>
      <c r="N12" s="1">
        <v>30</v>
      </c>
      <c r="O12" s="1">
        <v>0</v>
      </c>
      <c r="P12" s="19"/>
      <c r="Q12" s="19"/>
      <c r="R12" s="1"/>
      <c r="S12" s="1">
        <f t="shared" si="6"/>
        <v>20.399999999999999</v>
      </c>
      <c r="T12" s="5">
        <f t="shared" si="8"/>
        <v>136.79999999999998</v>
      </c>
      <c r="U12" s="5">
        <f t="shared" si="9"/>
        <v>136.79999999999998</v>
      </c>
      <c r="V12" s="5">
        <f t="shared" si="10"/>
        <v>47.975759999999994</v>
      </c>
      <c r="W12" s="5">
        <f t="shared" si="15"/>
        <v>88.824239999999989</v>
      </c>
      <c r="X12" s="1">
        <f t="shared" si="12"/>
        <v>11.999999999999998</v>
      </c>
      <c r="Y12" s="1">
        <f t="shared" si="7"/>
        <v>5.2941176470588243</v>
      </c>
      <c r="Z12" s="1">
        <v>9.4</v>
      </c>
      <c r="AA12" s="1">
        <v>17.2</v>
      </c>
      <c r="AB12" s="1">
        <v>19.600000000000001</v>
      </c>
      <c r="AC12" s="1">
        <v>12.4</v>
      </c>
      <c r="AD12" s="1">
        <v>8.6</v>
      </c>
      <c r="AE12" s="1">
        <v>13.8</v>
      </c>
      <c r="AF12" s="1">
        <v>19</v>
      </c>
      <c r="AG12" s="1">
        <v>17.8</v>
      </c>
      <c r="AH12" s="1"/>
      <c r="AI12" s="1">
        <f t="shared" si="13"/>
        <v>8</v>
      </c>
      <c r="AJ12" s="1">
        <f t="shared" si="14"/>
        <v>15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44</v>
      </c>
      <c r="B13" s="1" t="s">
        <v>40</v>
      </c>
      <c r="C13" s="1">
        <v>57</v>
      </c>
      <c r="D13" s="1">
        <v>56</v>
      </c>
      <c r="E13" s="1">
        <v>29</v>
      </c>
      <c r="F13" s="1">
        <v>77</v>
      </c>
      <c r="G13" s="7">
        <v>0.3</v>
      </c>
      <c r="H13" s="1">
        <v>40</v>
      </c>
      <c r="I13" s="9" t="s">
        <v>45</v>
      </c>
      <c r="J13" s="1"/>
      <c r="K13" s="1">
        <v>34</v>
      </c>
      <c r="L13" s="1">
        <f t="shared" si="4"/>
        <v>-5</v>
      </c>
      <c r="M13" s="1">
        <f t="shared" si="5"/>
        <v>29</v>
      </c>
      <c r="N13" s="1"/>
      <c r="O13" s="1">
        <v>18.3</v>
      </c>
      <c r="P13" s="19"/>
      <c r="Q13" s="19"/>
      <c r="R13" s="1"/>
      <c r="S13" s="1">
        <f t="shared" si="6"/>
        <v>5.8</v>
      </c>
      <c r="T13" s="5"/>
      <c r="U13" s="5">
        <f t="shared" si="9"/>
        <v>0</v>
      </c>
      <c r="V13" s="5">
        <f>U13</f>
        <v>0</v>
      </c>
      <c r="W13" s="5"/>
      <c r="X13" s="1">
        <f t="shared" si="12"/>
        <v>16.431034482758619</v>
      </c>
      <c r="Y13" s="1">
        <f t="shared" si="7"/>
        <v>16.431034482758619</v>
      </c>
      <c r="Z13" s="1">
        <v>9.1999999999999993</v>
      </c>
      <c r="AA13" s="1">
        <v>8.6</v>
      </c>
      <c r="AB13" s="1">
        <v>7</v>
      </c>
      <c r="AC13" s="1">
        <v>4</v>
      </c>
      <c r="AD13" s="1">
        <v>3</v>
      </c>
      <c r="AE13" s="1">
        <v>6.2</v>
      </c>
      <c r="AF13" s="1">
        <v>11.6</v>
      </c>
      <c r="AG13" s="1">
        <v>12</v>
      </c>
      <c r="AH13" s="1"/>
      <c r="AI13" s="1">
        <f t="shared" si="13"/>
        <v>0</v>
      </c>
      <c r="AJ13" s="1">
        <f t="shared" si="14"/>
        <v>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46</v>
      </c>
      <c r="B14" s="1" t="s">
        <v>40</v>
      </c>
      <c r="C14" s="1">
        <v>253</v>
      </c>
      <c r="D14" s="1">
        <v>167</v>
      </c>
      <c r="E14" s="1">
        <v>193</v>
      </c>
      <c r="F14" s="1">
        <v>187</v>
      </c>
      <c r="G14" s="7">
        <v>0.17</v>
      </c>
      <c r="H14" s="1">
        <v>180</v>
      </c>
      <c r="I14" s="1" t="s">
        <v>35</v>
      </c>
      <c r="J14" s="1"/>
      <c r="K14" s="1">
        <v>195</v>
      </c>
      <c r="L14" s="1">
        <f t="shared" si="4"/>
        <v>-2</v>
      </c>
      <c r="M14" s="1">
        <f t="shared" si="5"/>
        <v>193</v>
      </c>
      <c r="N14" s="1"/>
      <c r="O14" s="1">
        <v>59.039999999999743</v>
      </c>
      <c r="P14" s="19"/>
      <c r="Q14" s="19"/>
      <c r="R14" s="1"/>
      <c r="S14" s="1">
        <f t="shared" si="6"/>
        <v>38.6</v>
      </c>
      <c r="T14" s="5">
        <f t="shared" si="8"/>
        <v>217.16000000000031</v>
      </c>
      <c r="U14" s="5">
        <f t="shared" si="9"/>
        <v>217.16000000000031</v>
      </c>
      <c r="V14" s="5">
        <f t="shared" si="10"/>
        <v>76.158012000000099</v>
      </c>
      <c r="W14" s="5">
        <f>U14*$W$1</f>
        <v>141.00198800000021</v>
      </c>
      <c r="X14" s="1">
        <f t="shared" si="12"/>
        <v>12</v>
      </c>
      <c r="Y14" s="1">
        <f t="shared" si="7"/>
        <v>6.3740932642486978</v>
      </c>
      <c r="Z14" s="1">
        <v>32.799999999999997</v>
      </c>
      <c r="AA14" s="1">
        <v>33.200000000000003</v>
      </c>
      <c r="AB14" s="1">
        <v>32.799999999999997</v>
      </c>
      <c r="AC14" s="1">
        <v>30.2</v>
      </c>
      <c r="AD14" s="1">
        <v>29.8</v>
      </c>
      <c r="AE14" s="1">
        <v>18.600000000000001</v>
      </c>
      <c r="AF14" s="1">
        <v>19.600000000000001</v>
      </c>
      <c r="AG14" s="1">
        <v>17.399999999999999</v>
      </c>
      <c r="AH14" s="1"/>
      <c r="AI14" s="1">
        <f t="shared" si="13"/>
        <v>13</v>
      </c>
      <c r="AJ14" s="1">
        <f t="shared" si="14"/>
        <v>24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0" t="s">
        <v>47</v>
      </c>
      <c r="B15" s="10" t="s">
        <v>40</v>
      </c>
      <c r="C15" s="10">
        <v>237</v>
      </c>
      <c r="D15" s="10"/>
      <c r="E15" s="10">
        <v>-1</v>
      </c>
      <c r="F15" s="10">
        <v>-7</v>
      </c>
      <c r="G15" s="11">
        <v>0</v>
      </c>
      <c r="H15" s="10"/>
      <c r="I15" s="10" t="s">
        <v>48</v>
      </c>
      <c r="J15" s="10"/>
      <c r="K15" s="10">
        <v>7</v>
      </c>
      <c r="L15" s="10">
        <f t="shared" si="4"/>
        <v>-8</v>
      </c>
      <c r="M15" s="10">
        <f t="shared" si="5"/>
        <v>-1</v>
      </c>
      <c r="N15" s="10"/>
      <c r="O15" s="10">
        <v>0</v>
      </c>
      <c r="P15" s="21"/>
      <c r="Q15" s="21"/>
      <c r="R15" s="10"/>
      <c r="S15" s="10">
        <f t="shared" si="6"/>
        <v>-0.2</v>
      </c>
      <c r="T15" s="12"/>
      <c r="U15" s="5">
        <f t="shared" si="9"/>
        <v>0</v>
      </c>
      <c r="V15" s="5">
        <f t="shared" si="10"/>
        <v>0</v>
      </c>
      <c r="W15" s="5"/>
      <c r="X15" s="1">
        <f t="shared" si="12"/>
        <v>35</v>
      </c>
      <c r="Y15" s="10">
        <f t="shared" si="7"/>
        <v>35</v>
      </c>
      <c r="Z15" s="10">
        <v>0</v>
      </c>
      <c r="AA15" s="10">
        <v>0.4</v>
      </c>
      <c r="AB15" s="10">
        <v>0</v>
      </c>
      <c r="AC15" s="10">
        <v>0.4</v>
      </c>
      <c r="AD15" s="10">
        <v>1.8</v>
      </c>
      <c r="AE15" s="10">
        <v>7.8</v>
      </c>
      <c r="AF15" s="10">
        <v>16</v>
      </c>
      <c r="AG15" s="10">
        <v>1</v>
      </c>
      <c r="AH15" s="10" t="s">
        <v>49</v>
      </c>
      <c r="AI15" s="1">
        <f t="shared" si="13"/>
        <v>0</v>
      </c>
      <c r="AJ15" s="1">
        <f t="shared" si="14"/>
        <v>0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50</v>
      </c>
      <c r="B16" s="1" t="s">
        <v>34</v>
      </c>
      <c r="C16" s="1">
        <v>4149.8450000000003</v>
      </c>
      <c r="D16" s="1">
        <v>7552.0020000000004</v>
      </c>
      <c r="E16" s="1">
        <v>4366.402</v>
      </c>
      <c r="F16" s="1">
        <v>5050.5129999999999</v>
      </c>
      <c r="G16" s="7">
        <v>1</v>
      </c>
      <c r="H16" s="1">
        <v>70</v>
      </c>
      <c r="I16" s="9" t="s">
        <v>45</v>
      </c>
      <c r="J16" s="1"/>
      <c r="K16" s="1">
        <v>4387.3429999999998</v>
      </c>
      <c r="L16" s="1">
        <f t="shared" si="4"/>
        <v>-20.940999999999804</v>
      </c>
      <c r="M16" s="1">
        <f t="shared" si="5"/>
        <v>4366.402</v>
      </c>
      <c r="N16" s="1"/>
      <c r="O16" s="1">
        <v>1538.8022016</v>
      </c>
      <c r="P16" s="19"/>
      <c r="Q16" s="19"/>
      <c r="R16" s="1">
        <v>2080.2057983999989</v>
      </c>
      <c r="S16" s="1">
        <f t="shared" si="6"/>
        <v>873.28039999999999</v>
      </c>
      <c r="T16" s="5">
        <f t="shared" ref="T16:T18" si="16">12*S16-R16-O16-F16</f>
        <v>1809.8438000000015</v>
      </c>
      <c r="U16" s="5">
        <f t="shared" si="9"/>
        <v>1809.8438000000015</v>
      </c>
      <c r="V16" s="5">
        <f>U16</f>
        <v>1809.8438000000015</v>
      </c>
      <c r="W16" s="5">
        <f>U16*$Z$1</f>
        <v>832.52814800000067</v>
      </c>
      <c r="X16" s="1">
        <f t="shared" si="12"/>
        <v>12.953334287589646</v>
      </c>
      <c r="Y16" s="1">
        <f t="shared" si="7"/>
        <v>9.927534157413815</v>
      </c>
      <c r="Z16" s="1">
        <v>934.93299999999999</v>
      </c>
      <c r="AA16" s="1">
        <v>830.74639999999999</v>
      </c>
      <c r="AB16" s="1">
        <v>811.17699999999991</v>
      </c>
      <c r="AC16" s="1">
        <v>526.53639999999996</v>
      </c>
      <c r="AD16" s="1">
        <v>424.87459999999999</v>
      </c>
      <c r="AE16" s="1">
        <v>573.029</v>
      </c>
      <c r="AF16" s="1">
        <v>558.35879999999997</v>
      </c>
      <c r="AG16" s="1">
        <v>576.6604000000001</v>
      </c>
      <c r="AH16" s="1" t="s">
        <v>37</v>
      </c>
      <c r="AI16" s="1">
        <f t="shared" si="13"/>
        <v>1810</v>
      </c>
      <c r="AJ16" s="1">
        <f t="shared" si="14"/>
        <v>833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51</v>
      </c>
      <c r="B17" s="1" t="s">
        <v>34</v>
      </c>
      <c r="C17" s="1">
        <v>4159.1549999999997</v>
      </c>
      <c r="D17" s="1">
        <v>5882.7849999999999</v>
      </c>
      <c r="E17" s="1">
        <v>3804.1750000000002</v>
      </c>
      <c r="F17" s="1">
        <v>4071.8040000000001</v>
      </c>
      <c r="G17" s="7">
        <v>1</v>
      </c>
      <c r="H17" s="1">
        <v>50</v>
      </c>
      <c r="I17" s="1" t="s">
        <v>35</v>
      </c>
      <c r="J17" s="1"/>
      <c r="K17" s="1">
        <v>3904.9409999999998</v>
      </c>
      <c r="L17" s="1">
        <f t="shared" si="4"/>
        <v>-100.76599999999962</v>
      </c>
      <c r="M17" s="1">
        <f t="shared" si="5"/>
        <v>3804.1750000000002</v>
      </c>
      <c r="N17" s="1"/>
      <c r="O17" s="1">
        <v>595.28000000000009</v>
      </c>
      <c r="P17" s="19"/>
      <c r="Q17" s="19"/>
      <c r="R17" s="1">
        <v>804.71999999999991</v>
      </c>
      <c r="S17" s="1">
        <f t="shared" si="6"/>
        <v>760.83500000000004</v>
      </c>
      <c r="T17" s="5">
        <f t="shared" si="16"/>
        <v>3658.2160000000013</v>
      </c>
      <c r="U17" s="5">
        <f>T17</f>
        <v>3658.2160000000013</v>
      </c>
      <c r="V17" s="5">
        <f t="shared" si="10"/>
        <v>1282.9363512000004</v>
      </c>
      <c r="W17" s="5">
        <f>U17*$W$1</f>
        <v>2375.2796488000008</v>
      </c>
      <c r="X17" s="1">
        <f t="shared" si="12"/>
        <v>12</v>
      </c>
      <c r="Y17" s="1">
        <f t="shared" si="7"/>
        <v>7.1918405436132664</v>
      </c>
      <c r="Z17" s="1">
        <v>778.13599999999997</v>
      </c>
      <c r="AA17" s="1">
        <v>651.7174</v>
      </c>
      <c r="AB17" s="1">
        <v>634.69460000000004</v>
      </c>
      <c r="AC17" s="1">
        <v>404.84399999999988</v>
      </c>
      <c r="AD17" s="1">
        <v>323.94799999999998</v>
      </c>
      <c r="AE17" s="1">
        <v>431.13780000000008</v>
      </c>
      <c r="AF17" s="1">
        <v>436.02780000000001</v>
      </c>
      <c r="AG17" s="1">
        <v>283.60739999999998</v>
      </c>
      <c r="AH17" s="1" t="s">
        <v>37</v>
      </c>
      <c r="AI17" s="1">
        <f t="shared" si="13"/>
        <v>1283</v>
      </c>
      <c r="AJ17" s="1">
        <f t="shared" si="14"/>
        <v>2375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52</v>
      </c>
      <c r="B18" s="1" t="s">
        <v>34</v>
      </c>
      <c r="C18" s="1">
        <v>579.572</v>
      </c>
      <c r="D18" s="1">
        <v>259.935</v>
      </c>
      <c r="E18" s="1">
        <v>223.51900000000001</v>
      </c>
      <c r="F18" s="1">
        <v>516.83900000000006</v>
      </c>
      <c r="G18" s="7">
        <v>1</v>
      </c>
      <c r="H18" s="1">
        <v>60</v>
      </c>
      <c r="I18" s="1" t="s">
        <v>35</v>
      </c>
      <c r="J18" s="1"/>
      <c r="K18" s="1">
        <v>245.58099999999999</v>
      </c>
      <c r="L18" s="1">
        <f t="shared" si="4"/>
        <v>-22.061999999999983</v>
      </c>
      <c r="M18" s="1">
        <f t="shared" si="5"/>
        <v>223.51900000000001</v>
      </c>
      <c r="N18" s="1"/>
      <c r="O18" s="1">
        <v>0</v>
      </c>
      <c r="P18" s="19"/>
      <c r="Q18" s="19"/>
      <c r="R18" s="1"/>
      <c r="S18" s="1">
        <f t="shared" si="6"/>
        <v>44.703800000000001</v>
      </c>
      <c r="T18" s="5">
        <f t="shared" si="16"/>
        <v>19.606599999999958</v>
      </c>
      <c r="U18" s="5">
        <f t="shared" si="9"/>
        <v>19.606599999999958</v>
      </c>
      <c r="V18" s="5">
        <f t="shared" si="10"/>
        <v>19.606599999999958</v>
      </c>
      <c r="W18" s="5"/>
      <c r="X18" s="1">
        <f t="shared" si="12"/>
        <v>12</v>
      </c>
      <c r="Y18" s="1">
        <f t="shared" si="7"/>
        <v>11.561410886770252</v>
      </c>
      <c r="Z18" s="1">
        <v>25.674399999999999</v>
      </c>
      <c r="AA18" s="1">
        <v>21.1402</v>
      </c>
      <c r="AB18" s="1">
        <v>46.889800000000001</v>
      </c>
      <c r="AC18" s="1">
        <v>48.151600000000002</v>
      </c>
      <c r="AD18" s="1">
        <v>42.8626</v>
      </c>
      <c r="AE18" s="1">
        <v>21.7056</v>
      </c>
      <c r="AF18" s="1">
        <v>0.70620000000000005</v>
      </c>
      <c r="AG18" s="1">
        <v>29.232199999999992</v>
      </c>
      <c r="AH18" s="1"/>
      <c r="AI18" s="1">
        <f t="shared" si="13"/>
        <v>20</v>
      </c>
      <c r="AJ18" s="1">
        <f t="shared" si="14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0" t="s">
        <v>53</v>
      </c>
      <c r="B19" s="10" t="s">
        <v>34</v>
      </c>
      <c r="C19" s="10"/>
      <c r="D19" s="10"/>
      <c r="E19" s="13">
        <v>2.125</v>
      </c>
      <c r="F19" s="13">
        <v>-2.4849999999999999</v>
      </c>
      <c r="G19" s="11">
        <v>0</v>
      </c>
      <c r="H19" s="10"/>
      <c r="I19" s="10" t="s">
        <v>54</v>
      </c>
      <c r="J19" s="10" t="s">
        <v>55</v>
      </c>
      <c r="K19" s="10"/>
      <c r="L19" s="10">
        <f t="shared" si="4"/>
        <v>2.125</v>
      </c>
      <c r="M19" s="10">
        <f t="shared" si="5"/>
        <v>2.125</v>
      </c>
      <c r="N19" s="10"/>
      <c r="O19" s="10">
        <v>0</v>
      </c>
      <c r="P19" s="21"/>
      <c r="Q19" s="21"/>
      <c r="R19" s="10"/>
      <c r="S19" s="10">
        <f t="shared" si="6"/>
        <v>0.42499999999999999</v>
      </c>
      <c r="T19" s="12"/>
      <c r="U19" s="5">
        <f t="shared" si="9"/>
        <v>0</v>
      </c>
      <c r="V19" s="5">
        <f t="shared" si="10"/>
        <v>0</v>
      </c>
      <c r="W19" s="5"/>
      <c r="X19" s="1">
        <f t="shared" si="12"/>
        <v>-5.8470588235294114</v>
      </c>
      <c r="Y19" s="10">
        <f t="shared" si="7"/>
        <v>-5.8470588235294114</v>
      </c>
      <c r="Z19" s="10">
        <v>0.42499999999999999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/>
      <c r="AI19" s="1">
        <f t="shared" si="13"/>
        <v>0</v>
      </c>
      <c r="AJ19" s="1">
        <f t="shared" si="14"/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0" t="s">
        <v>56</v>
      </c>
      <c r="B20" s="10" t="s">
        <v>34</v>
      </c>
      <c r="C20" s="10"/>
      <c r="D20" s="10"/>
      <c r="E20" s="10"/>
      <c r="F20" s="10"/>
      <c r="G20" s="11">
        <v>0</v>
      </c>
      <c r="H20" s="10"/>
      <c r="I20" s="10" t="s">
        <v>35</v>
      </c>
      <c r="J20" s="10"/>
      <c r="K20" s="10"/>
      <c r="L20" s="10">
        <f t="shared" si="4"/>
        <v>0</v>
      </c>
      <c r="M20" s="10">
        <f t="shared" si="5"/>
        <v>0</v>
      </c>
      <c r="N20" s="10"/>
      <c r="O20" s="10">
        <v>0</v>
      </c>
      <c r="P20" s="21"/>
      <c r="Q20" s="21"/>
      <c r="R20" s="10"/>
      <c r="S20" s="10">
        <f t="shared" si="6"/>
        <v>0</v>
      </c>
      <c r="T20" s="12"/>
      <c r="U20" s="5">
        <f t="shared" si="9"/>
        <v>0</v>
      </c>
      <c r="V20" s="5">
        <f t="shared" si="10"/>
        <v>0</v>
      </c>
      <c r="W20" s="5"/>
      <c r="X20" s="1" t="e">
        <f t="shared" si="12"/>
        <v>#DIV/0!</v>
      </c>
      <c r="Y20" s="10" t="e">
        <f t="shared" si="7"/>
        <v>#DIV/0!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 t="s">
        <v>57</v>
      </c>
      <c r="AI20" s="1">
        <f t="shared" si="13"/>
        <v>0</v>
      </c>
      <c r="AJ20" s="1">
        <f t="shared" si="14"/>
        <v>0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58</v>
      </c>
      <c r="B21" s="1" t="s">
        <v>34</v>
      </c>
      <c r="C21" s="1">
        <v>7.2770000000000001</v>
      </c>
      <c r="D21" s="1">
        <v>13.153</v>
      </c>
      <c r="E21" s="1">
        <v>2.0950000000000002</v>
      </c>
      <c r="F21" s="1">
        <v>15.896000000000001</v>
      </c>
      <c r="G21" s="7">
        <v>1</v>
      </c>
      <c r="H21" s="1">
        <v>180</v>
      </c>
      <c r="I21" s="1" t="s">
        <v>35</v>
      </c>
      <c r="J21" s="1"/>
      <c r="K21" s="1">
        <v>3.718</v>
      </c>
      <c r="L21" s="1">
        <f t="shared" si="4"/>
        <v>-1.6229999999999998</v>
      </c>
      <c r="M21" s="1">
        <f t="shared" si="5"/>
        <v>2.0950000000000002</v>
      </c>
      <c r="N21" s="1"/>
      <c r="O21" s="1">
        <v>0</v>
      </c>
      <c r="P21" s="19"/>
      <c r="Q21" s="19"/>
      <c r="R21" s="1"/>
      <c r="S21" s="1">
        <f t="shared" si="6"/>
        <v>0.41900000000000004</v>
      </c>
      <c r="T21" s="5"/>
      <c r="U21" s="5">
        <f t="shared" si="9"/>
        <v>0</v>
      </c>
      <c r="V21" s="5">
        <f t="shared" si="10"/>
        <v>0</v>
      </c>
      <c r="W21" s="5"/>
      <c r="X21" s="1">
        <f t="shared" si="12"/>
        <v>37.937947494033409</v>
      </c>
      <c r="Y21" s="1">
        <f t="shared" si="7"/>
        <v>37.937947494033409</v>
      </c>
      <c r="Z21" s="1">
        <v>0.92219999999999991</v>
      </c>
      <c r="AA21" s="1">
        <v>1.4359999999999999</v>
      </c>
      <c r="AB21" s="1">
        <v>1.0902000000000001</v>
      </c>
      <c r="AC21" s="1">
        <v>0.64900000000000002</v>
      </c>
      <c r="AD21" s="1">
        <v>0.70140000000000002</v>
      </c>
      <c r="AE21" s="1">
        <v>0.75480000000000003</v>
      </c>
      <c r="AF21" s="1">
        <v>0.4748</v>
      </c>
      <c r="AG21" s="1">
        <v>0.88339999999999996</v>
      </c>
      <c r="AH21" s="14" t="s">
        <v>63</v>
      </c>
      <c r="AI21" s="1">
        <f t="shared" si="13"/>
        <v>0</v>
      </c>
      <c r="AJ21" s="1">
        <f t="shared" si="14"/>
        <v>0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59</v>
      </c>
      <c r="B22" s="1" t="s">
        <v>34</v>
      </c>
      <c r="C22" s="1">
        <v>6431.6459999999997</v>
      </c>
      <c r="D22" s="1">
        <v>4799.8509999999997</v>
      </c>
      <c r="E22" s="1">
        <v>4400.32</v>
      </c>
      <c r="F22" s="1">
        <v>5194.8940000000002</v>
      </c>
      <c r="G22" s="7">
        <v>1</v>
      </c>
      <c r="H22" s="1">
        <v>60</v>
      </c>
      <c r="I22" s="1" t="s">
        <v>35</v>
      </c>
      <c r="J22" s="1"/>
      <c r="K22" s="1">
        <v>4470.183</v>
      </c>
      <c r="L22" s="1">
        <f t="shared" si="4"/>
        <v>-69.863000000000284</v>
      </c>
      <c r="M22" s="1">
        <f t="shared" si="5"/>
        <v>3664.857</v>
      </c>
      <c r="N22" s="1">
        <v>735.46299999999997</v>
      </c>
      <c r="O22" s="1">
        <v>850.40000000000009</v>
      </c>
      <c r="P22" s="19"/>
      <c r="Q22" s="19"/>
      <c r="R22" s="1">
        <v>1149.5999999999999</v>
      </c>
      <c r="S22" s="1">
        <f t="shared" si="6"/>
        <v>732.97140000000002</v>
      </c>
      <c r="T22" s="5">
        <f t="shared" ref="T22" si="17">12*S22-R22-O22-F22</f>
        <v>1600.7628000000004</v>
      </c>
      <c r="U22" s="5">
        <f t="shared" si="9"/>
        <v>1600.7628000000004</v>
      </c>
      <c r="V22" s="5">
        <f t="shared" si="10"/>
        <v>561.38751396000021</v>
      </c>
      <c r="W22" s="5">
        <f>U22*$W$1</f>
        <v>1039.3752860400002</v>
      </c>
      <c r="X22" s="1">
        <f t="shared" si="12"/>
        <v>12</v>
      </c>
      <c r="Y22" s="1">
        <f t="shared" si="7"/>
        <v>9.8160637645616191</v>
      </c>
      <c r="Z22" s="1">
        <v>804.43240000000003</v>
      </c>
      <c r="AA22" s="1">
        <v>875.02719999999988</v>
      </c>
      <c r="AB22" s="1">
        <v>948.69040000000007</v>
      </c>
      <c r="AC22" s="1">
        <v>609.16740000000004</v>
      </c>
      <c r="AD22" s="1">
        <v>570.25739999999996</v>
      </c>
      <c r="AE22" s="1">
        <v>752.91139999999996</v>
      </c>
      <c r="AF22" s="1">
        <v>757.01940000000002</v>
      </c>
      <c r="AG22" s="1">
        <v>1194.5776000000001</v>
      </c>
      <c r="AH22" s="1"/>
      <c r="AI22" s="1">
        <f t="shared" si="13"/>
        <v>561</v>
      </c>
      <c r="AJ22" s="1">
        <f t="shared" si="14"/>
        <v>1039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0" t="s">
        <v>60</v>
      </c>
      <c r="B23" s="10" t="s">
        <v>34</v>
      </c>
      <c r="C23" s="10">
        <v>-14.984</v>
      </c>
      <c r="D23" s="10"/>
      <c r="E23" s="10"/>
      <c r="F23" s="13">
        <v>-14.984</v>
      </c>
      <c r="G23" s="11">
        <v>0</v>
      </c>
      <c r="H23" s="10"/>
      <c r="I23" s="10" t="s">
        <v>48</v>
      </c>
      <c r="J23" s="10" t="s">
        <v>61</v>
      </c>
      <c r="K23" s="10"/>
      <c r="L23" s="10">
        <f t="shared" si="4"/>
        <v>0</v>
      </c>
      <c r="M23" s="10">
        <f t="shared" si="5"/>
        <v>0</v>
      </c>
      <c r="N23" s="10"/>
      <c r="O23" s="10">
        <v>0</v>
      </c>
      <c r="P23" s="21"/>
      <c r="Q23" s="21"/>
      <c r="R23" s="10"/>
      <c r="S23" s="10">
        <f t="shared" si="6"/>
        <v>0</v>
      </c>
      <c r="T23" s="12"/>
      <c r="U23" s="5">
        <f t="shared" si="9"/>
        <v>0</v>
      </c>
      <c r="V23" s="5">
        <f t="shared" si="10"/>
        <v>0</v>
      </c>
      <c r="W23" s="5"/>
      <c r="X23" s="1" t="e">
        <f t="shared" si="12"/>
        <v>#DIV/0!</v>
      </c>
      <c r="Y23" s="10" t="e">
        <f t="shared" si="7"/>
        <v>#DIV/0!</v>
      </c>
      <c r="Z23" s="10">
        <v>0</v>
      </c>
      <c r="AA23" s="10">
        <v>0.50419999999999998</v>
      </c>
      <c r="AB23" s="10">
        <v>0.50419999999999998</v>
      </c>
      <c r="AC23" s="10">
        <v>0</v>
      </c>
      <c r="AD23" s="10">
        <v>0</v>
      </c>
      <c r="AE23" s="10">
        <v>0</v>
      </c>
      <c r="AF23" s="10">
        <v>0</v>
      </c>
      <c r="AG23" s="10">
        <v>0.99399999999999999</v>
      </c>
      <c r="AH23" s="10"/>
      <c r="AI23" s="1">
        <f t="shared" si="13"/>
        <v>0</v>
      </c>
      <c r="AJ23" s="1">
        <f t="shared" si="14"/>
        <v>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62</v>
      </c>
      <c r="B24" s="1" t="s">
        <v>34</v>
      </c>
      <c r="C24" s="1">
        <v>557.53099999999995</v>
      </c>
      <c r="D24" s="1">
        <v>893.03200000000004</v>
      </c>
      <c r="E24" s="1">
        <v>302.96199999999999</v>
      </c>
      <c r="F24" s="1">
        <v>939.80899999999997</v>
      </c>
      <c r="G24" s="7">
        <v>1</v>
      </c>
      <c r="H24" s="1">
        <v>70</v>
      </c>
      <c r="I24" s="1" t="s">
        <v>35</v>
      </c>
      <c r="J24" s="1"/>
      <c r="K24" s="1">
        <v>515.23</v>
      </c>
      <c r="L24" s="1">
        <f t="shared" si="4"/>
        <v>-212.26800000000003</v>
      </c>
      <c r="M24" s="1">
        <f t="shared" si="5"/>
        <v>165.78199999999998</v>
      </c>
      <c r="N24" s="1">
        <v>137.18</v>
      </c>
      <c r="O24" s="1">
        <v>0</v>
      </c>
      <c r="P24" s="19"/>
      <c r="Q24" s="19"/>
      <c r="R24" s="1"/>
      <c r="S24" s="1">
        <f t="shared" si="6"/>
        <v>33.156399999999998</v>
      </c>
      <c r="T24" s="5"/>
      <c r="U24" s="5">
        <f t="shared" si="9"/>
        <v>0</v>
      </c>
      <c r="V24" s="5">
        <f t="shared" si="10"/>
        <v>0</v>
      </c>
      <c r="W24" s="5"/>
      <c r="X24" s="1">
        <f t="shared" si="12"/>
        <v>28.344723793898012</v>
      </c>
      <c r="Y24" s="1">
        <f t="shared" si="7"/>
        <v>28.344723793898012</v>
      </c>
      <c r="Z24" s="1">
        <v>51.611800000000002</v>
      </c>
      <c r="AA24" s="1">
        <v>86.94680000000001</v>
      </c>
      <c r="AB24" s="1">
        <v>92.600200000000001</v>
      </c>
      <c r="AC24" s="1">
        <v>51.805600000000013</v>
      </c>
      <c r="AD24" s="1">
        <v>47.665999999999997</v>
      </c>
      <c r="AE24" s="1">
        <v>84.481799999999993</v>
      </c>
      <c r="AF24" s="1">
        <v>134.7364</v>
      </c>
      <c r="AG24" s="1">
        <v>21.680199999999999</v>
      </c>
      <c r="AH24" s="14" t="s">
        <v>63</v>
      </c>
      <c r="AI24" s="1">
        <f t="shared" si="13"/>
        <v>0</v>
      </c>
      <c r="AJ24" s="1">
        <f t="shared" si="14"/>
        <v>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64</v>
      </c>
      <c r="B25" s="1" t="s">
        <v>34</v>
      </c>
      <c r="C25" s="1">
        <v>1846.1579999999999</v>
      </c>
      <c r="D25" s="1">
        <v>1612.9690000000001</v>
      </c>
      <c r="E25" s="1">
        <v>1333.684</v>
      </c>
      <c r="F25" s="1">
        <v>1650.4680000000001</v>
      </c>
      <c r="G25" s="7">
        <v>1</v>
      </c>
      <c r="H25" s="1">
        <v>70</v>
      </c>
      <c r="I25" s="9" t="s">
        <v>45</v>
      </c>
      <c r="J25" s="1"/>
      <c r="K25" s="1">
        <v>1331.2650000000001</v>
      </c>
      <c r="L25" s="1">
        <f t="shared" si="4"/>
        <v>2.418999999999869</v>
      </c>
      <c r="M25" s="1">
        <f t="shared" si="5"/>
        <v>1333.684</v>
      </c>
      <c r="N25" s="1"/>
      <c r="O25" s="1">
        <v>403.62101495999991</v>
      </c>
      <c r="P25" s="19"/>
      <c r="Q25" s="19"/>
      <c r="R25" s="1">
        <v>545.62878503999991</v>
      </c>
      <c r="S25" s="1">
        <f t="shared" si="6"/>
        <v>266.73680000000002</v>
      </c>
      <c r="T25" s="5">
        <f t="shared" ref="T25" si="18">12*S25-R25-O25-F25</f>
        <v>601.12380000000007</v>
      </c>
      <c r="U25" s="5">
        <f t="shared" si="9"/>
        <v>601.12380000000007</v>
      </c>
      <c r="V25" s="5">
        <f>U25</f>
        <v>601.12380000000007</v>
      </c>
      <c r="W25" s="5">
        <f>U25*$Z$1</f>
        <v>276.51694800000007</v>
      </c>
      <c r="X25" s="1">
        <f t="shared" si="12"/>
        <v>13.036665911865178</v>
      </c>
      <c r="Y25" s="1">
        <f t="shared" si="7"/>
        <v>9.7463784524670007</v>
      </c>
      <c r="Z25" s="1">
        <v>285.91019999999997</v>
      </c>
      <c r="AA25" s="1">
        <v>266.63159999999999</v>
      </c>
      <c r="AB25" s="1">
        <v>281.76</v>
      </c>
      <c r="AC25" s="1">
        <v>176.75880000000001</v>
      </c>
      <c r="AD25" s="1">
        <v>148.90860000000001</v>
      </c>
      <c r="AE25" s="1">
        <v>205.9836</v>
      </c>
      <c r="AF25" s="1">
        <v>205.86320000000001</v>
      </c>
      <c r="AG25" s="1">
        <v>212.68279999999999</v>
      </c>
      <c r="AH25" s="1" t="s">
        <v>37</v>
      </c>
      <c r="AI25" s="1">
        <f t="shared" si="13"/>
        <v>601</v>
      </c>
      <c r="AJ25" s="1">
        <f t="shared" si="14"/>
        <v>277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0" t="s">
        <v>65</v>
      </c>
      <c r="B26" s="10" t="s">
        <v>34</v>
      </c>
      <c r="C26" s="10"/>
      <c r="D26" s="10"/>
      <c r="E26" s="10"/>
      <c r="F26" s="10"/>
      <c r="G26" s="11">
        <v>0</v>
      </c>
      <c r="H26" s="10"/>
      <c r="I26" s="10" t="s">
        <v>35</v>
      </c>
      <c r="J26" s="10"/>
      <c r="K26" s="10"/>
      <c r="L26" s="10">
        <f t="shared" si="4"/>
        <v>0</v>
      </c>
      <c r="M26" s="10">
        <f t="shared" si="5"/>
        <v>0</v>
      </c>
      <c r="N26" s="10"/>
      <c r="O26" s="10">
        <v>0</v>
      </c>
      <c r="P26" s="21"/>
      <c r="Q26" s="21"/>
      <c r="R26" s="10"/>
      <c r="S26" s="10">
        <f t="shared" si="6"/>
        <v>0</v>
      </c>
      <c r="T26" s="12"/>
      <c r="U26" s="5">
        <f t="shared" si="9"/>
        <v>0</v>
      </c>
      <c r="V26" s="5">
        <f t="shared" si="10"/>
        <v>0</v>
      </c>
      <c r="W26" s="5"/>
      <c r="X26" s="1" t="e">
        <f t="shared" si="12"/>
        <v>#DIV/0!</v>
      </c>
      <c r="Y26" s="10" t="e">
        <f t="shared" si="7"/>
        <v>#DIV/0!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 t="s">
        <v>57</v>
      </c>
      <c r="AI26" s="1">
        <f t="shared" si="13"/>
        <v>0</v>
      </c>
      <c r="AJ26" s="1">
        <f t="shared" si="14"/>
        <v>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66</v>
      </c>
      <c r="B27" s="1" t="s">
        <v>34</v>
      </c>
      <c r="C27" s="1">
        <v>2838.299</v>
      </c>
      <c r="D27" s="1">
        <v>3585.57</v>
      </c>
      <c r="E27" s="1">
        <v>2621.5340000000001</v>
      </c>
      <c r="F27" s="1">
        <v>2606.6280000000002</v>
      </c>
      <c r="G27" s="7">
        <v>1</v>
      </c>
      <c r="H27" s="1">
        <v>70</v>
      </c>
      <c r="I27" s="9" t="s">
        <v>45</v>
      </c>
      <c r="J27" s="1"/>
      <c r="K27" s="1">
        <v>2621.6149999999998</v>
      </c>
      <c r="L27" s="1">
        <f t="shared" si="4"/>
        <v>-8.099999999967622E-2</v>
      </c>
      <c r="M27" s="1">
        <f t="shared" si="5"/>
        <v>2621.5340000000001</v>
      </c>
      <c r="N27" s="1"/>
      <c r="O27" s="1">
        <v>973.36911559999976</v>
      </c>
      <c r="P27" s="19"/>
      <c r="Q27" s="19"/>
      <c r="R27" s="1">
        <v>1315.8338843999991</v>
      </c>
      <c r="S27" s="1">
        <f t="shared" si="6"/>
        <v>524.30680000000007</v>
      </c>
      <c r="T27" s="5">
        <f t="shared" ref="T27" si="19">12*S27-R27-O27-F27</f>
        <v>1395.850600000002</v>
      </c>
      <c r="U27" s="5">
        <f t="shared" si="9"/>
        <v>1395.850600000002</v>
      </c>
      <c r="V27" s="5">
        <f t="shared" si="9"/>
        <v>1395.850600000002</v>
      </c>
      <c r="W27" s="5">
        <f>U27*$Z$1</f>
        <v>642.09127600000102</v>
      </c>
      <c r="X27" s="1">
        <f t="shared" si="12"/>
        <v>13.224648003802358</v>
      </c>
      <c r="Y27" s="1">
        <f t="shared" si="7"/>
        <v>9.3377217308644447</v>
      </c>
      <c r="Z27" s="1">
        <v>537.15940000000001</v>
      </c>
      <c r="AA27" s="1">
        <v>473.22160000000002</v>
      </c>
      <c r="AB27" s="1">
        <v>516.05320000000006</v>
      </c>
      <c r="AC27" s="1">
        <v>310.26479999999998</v>
      </c>
      <c r="AD27" s="1">
        <v>281.95979999999997</v>
      </c>
      <c r="AE27" s="1">
        <v>381.11340000000001</v>
      </c>
      <c r="AF27" s="1">
        <v>357.56240000000003</v>
      </c>
      <c r="AG27" s="1">
        <v>356.4468</v>
      </c>
      <c r="AH27" s="1" t="s">
        <v>37</v>
      </c>
      <c r="AI27" s="1">
        <f t="shared" si="13"/>
        <v>1396</v>
      </c>
      <c r="AJ27" s="1">
        <f t="shared" si="14"/>
        <v>642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67</v>
      </c>
      <c r="B28" s="1" t="s">
        <v>34</v>
      </c>
      <c r="C28" s="1">
        <v>33.465000000000003</v>
      </c>
      <c r="D28" s="1">
        <v>22.504999999999999</v>
      </c>
      <c r="E28" s="1">
        <v>-1.4650000000000001</v>
      </c>
      <c r="F28" s="1">
        <v>53.05</v>
      </c>
      <c r="G28" s="7">
        <v>1</v>
      </c>
      <c r="H28" s="1">
        <v>40</v>
      </c>
      <c r="I28" s="9" t="s">
        <v>45</v>
      </c>
      <c r="J28" s="1"/>
      <c r="K28" s="1">
        <v>22.6</v>
      </c>
      <c r="L28" s="1">
        <f t="shared" si="4"/>
        <v>-24.065000000000001</v>
      </c>
      <c r="M28" s="1">
        <f t="shared" si="5"/>
        <v>-1.4650000000000001</v>
      </c>
      <c r="N28" s="1"/>
      <c r="O28" s="1">
        <v>0</v>
      </c>
      <c r="P28" s="19"/>
      <c r="Q28" s="19"/>
      <c r="R28" s="1"/>
      <c r="S28" s="1">
        <f t="shared" si="6"/>
        <v>-0.29300000000000004</v>
      </c>
      <c r="T28" s="5"/>
      <c r="U28" s="5">
        <f t="shared" si="9"/>
        <v>0</v>
      </c>
      <c r="V28" s="5">
        <f t="shared" si="9"/>
        <v>0</v>
      </c>
      <c r="W28" s="5"/>
      <c r="X28" s="1">
        <f t="shared" si="12"/>
        <v>-181.05802047781566</v>
      </c>
      <c r="Y28" s="1">
        <f t="shared" si="7"/>
        <v>-181.05802047781566</v>
      </c>
      <c r="Z28" s="1">
        <v>1.601</v>
      </c>
      <c r="AA28" s="1">
        <v>4.3630000000000004</v>
      </c>
      <c r="AB28" s="1">
        <v>3.4885999999999999</v>
      </c>
      <c r="AC28" s="1">
        <v>2.0396000000000001</v>
      </c>
      <c r="AD28" s="1">
        <v>1.6052</v>
      </c>
      <c r="AE28" s="1">
        <v>2.1873999999999998</v>
      </c>
      <c r="AF28" s="1">
        <v>2.1844000000000001</v>
      </c>
      <c r="AG28" s="1">
        <v>1.3022</v>
      </c>
      <c r="AH28" s="15" t="s">
        <v>106</v>
      </c>
      <c r="AI28" s="1">
        <f t="shared" si="13"/>
        <v>0</v>
      </c>
      <c r="AJ28" s="1">
        <f t="shared" si="14"/>
        <v>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0" t="s">
        <v>68</v>
      </c>
      <c r="B29" s="10" t="s">
        <v>34</v>
      </c>
      <c r="C29" s="10">
        <v>-1.6950000000000001</v>
      </c>
      <c r="D29" s="10"/>
      <c r="E29" s="10"/>
      <c r="F29" s="10">
        <v>-1.6950000000000001</v>
      </c>
      <c r="G29" s="11">
        <v>0</v>
      </c>
      <c r="H29" s="10"/>
      <c r="I29" s="10" t="s">
        <v>48</v>
      </c>
      <c r="J29" s="10"/>
      <c r="K29" s="10"/>
      <c r="L29" s="10">
        <f t="shared" si="4"/>
        <v>0</v>
      </c>
      <c r="M29" s="10">
        <f t="shared" si="5"/>
        <v>0</v>
      </c>
      <c r="N29" s="10"/>
      <c r="O29" s="10">
        <v>0</v>
      </c>
      <c r="P29" s="21"/>
      <c r="Q29" s="21"/>
      <c r="R29" s="10"/>
      <c r="S29" s="10">
        <f t="shared" si="6"/>
        <v>0</v>
      </c>
      <c r="T29" s="12"/>
      <c r="U29" s="5">
        <f t="shared" si="9"/>
        <v>0</v>
      </c>
      <c r="V29" s="5">
        <f t="shared" si="10"/>
        <v>0</v>
      </c>
      <c r="W29" s="5"/>
      <c r="X29" s="1" t="e">
        <f t="shared" si="12"/>
        <v>#DIV/0!</v>
      </c>
      <c r="Y29" s="10" t="e">
        <f t="shared" si="7"/>
        <v>#DIV/0!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0.33900000000000002</v>
      </c>
      <c r="AG29" s="10">
        <v>0</v>
      </c>
      <c r="AH29" s="10"/>
      <c r="AI29" s="1">
        <f t="shared" si="13"/>
        <v>0</v>
      </c>
      <c r="AJ29" s="1">
        <f t="shared" si="14"/>
        <v>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0" t="s">
        <v>69</v>
      </c>
      <c r="B30" s="10" t="s">
        <v>34</v>
      </c>
      <c r="C30" s="10"/>
      <c r="D30" s="10"/>
      <c r="E30" s="10"/>
      <c r="F30" s="10"/>
      <c r="G30" s="11">
        <v>0</v>
      </c>
      <c r="H30" s="10"/>
      <c r="I30" s="10" t="s">
        <v>35</v>
      </c>
      <c r="J30" s="10"/>
      <c r="K30" s="10"/>
      <c r="L30" s="10">
        <f t="shared" si="4"/>
        <v>0</v>
      </c>
      <c r="M30" s="10">
        <f t="shared" si="5"/>
        <v>0</v>
      </c>
      <c r="N30" s="10"/>
      <c r="O30" s="10">
        <v>0</v>
      </c>
      <c r="P30" s="21"/>
      <c r="Q30" s="21"/>
      <c r="R30" s="10"/>
      <c r="S30" s="10">
        <f t="shared" si="6"/>
        <v>0</v>
      </c>
      <c r="T30" s="12"/>
      <c r="U30" s="5">
        <f t="shared" si="9"/>
        <v>0</v>
      </c>
      <c r="V30" s="5">
        <f t="shared" si="10"/>
        <v>0</v>
      </c>
      <c r="W30" s="5"/>
      <c r="X30" s="1" t="e">
        <f t="shared" si="12"/>
        <v>#DIV/0!</v>
      </c>
      <c r="Y30" s="10" t="e">
        <f t="shared" si="7"/>
        <v>#DIV/0!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 t="s">
        <v>57</v>
      </c>
      <c r="AI30" s="1">
        <f t="shared" si="13"/>
        <v>0</v>
      </c>
      <c r="AJ30" s="1">
        <f t="shared" si="14"/>
        <v>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0" t="s">
        <v>70</v>
      </c>
      <c r="B31" s="10" t="s">
        <v>34</v>
      </c>
      <c r="C31" s="10"/>
      <c r="D31" s="10"/>
      <c r="E31" s="10"/>
      <c r="F31" s="10"/>
      <c r="G31" s="11">
        <v>0</v>
      </c>
      <c r="H31" s="10"/>
      <c r="I31" s="10" t="s">
        <v>35</v>
      </c>
      <c r="J31" s="10"/>
      <c r="K31" s="10"/>
      <c r="L31" s="10">
        <f t="shared" si="4"/>
        <v>0</v>
      </c>
      <c r="M31" s="10">
        <f t="shared" si="5"/>
        <v>0</v>
      </c>
      <c r="N31" s="10"/>
      <c r="O31" s="10">
        <v>0</v>
      </c>
      <c r="P31" s="21"/>
      <c r="Q31" s="21"/>
      <c r="R31" s="10"/>
      <c r="S31" s="10">
        <f t="shared" si="6"/>
        <v>0</v>
      </c>
      <c r="T31" s="12"/>
      <c r="U31" s="5">
        <f t="shared" si="9"/>
        <v>0</v>
      </c>
      <c r="V31" s="5">
        <f t="shared" si="10"/>
        <v>0</v>
      </c>
      <c r="W31" s="5"/>
      <c r="X31" s="1" t="e">
        <f t="shared" si="12"/>
        <v>#DIV/0!</v>
      </c>
      <c r="Y31" s="10" t="e">
        <f t="shared" si="7"/>
        <v>#DIV/0!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 t="s">
        <v>57</v>
      </c>
      <c r="AI31" s="1">
        <f t="shared" si="13"/>
        <v>0</v>
      </c>
      <c r="AJ31" s="1">
        <f t="shared" si="14"/>
        <v>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71</v>
      </c>
      <c r="B32" s="1" t="s">
        <v>34</v>
      </c>
      <c r="C32" s="1">
        <v>1184.886</v>
      </c>
      <c r="D32" s="1">
        <v>1805.4670000000001</v>
      </c>
      <c r="E32" s="1">
        <v>1455.4169999999999</v>
      </c>
      <c r="F32" s="1">
        <v>861.59500000000003</v>
      </c>
      <c r="G32" s="7">
        <v>1</v>
      </c>
      <c r="H32" s="1">
        <v>30</v>
      </c>
      <c r="I32" s="9" t="s">
        <v>45</v>
      </c>
      <c r="J32" s="1"/>
      <c r="K32" s="1">
        <v>1545.2170000000001</v>
      </c>
      <c r="L32" s="1">
        <f t="shared" si="4"/>
        <v>-89.800000000000182</v>
      </c>
      <c r="M32" s="1">
        <f t="shared" si="5"/>
        <v>1125.2269999999999</v>
      </c>
      <c r="N32" s="1">
        <v>330.19</v>
      </c>
      <c r="O32" s="1">
        <v>552.76</v>
      </c>
      <c r="P32" s="19"/>
      <c r="Q32" s="19"/>
      <c r="R32" s="1">
        <v>747.24</v>
      </c>
      <c r="S32" s="1">
        <f t="shared" si="6"/>
        <v>225.04539999999997</v>
      </c>
      <c r="T32" s="5">
        <f>12*S32-R32-O32-F32</f>
        <v>538.94979999999964</v>
      </c>
      <c r="U32" s="5">
        <f t="shared" si="9"/>
        <v>538.94979999999964</v>
      </c>
      <c r="V32" s="5">
        <f>U32</f>
        <v>538.94979999999964</v>
      </c>
      <c r="W32" s="5">
        <f>U32*$Z$1</f>
        <v>247.91690799999984</v>
      </c>
      <c r="X32" s="1">
        <f t="shared" si="12"/>
        <v>13.101630639862</v>
      </c>
      <c r="Y32" s="1">
        <f t="shared" si="7"/>
        <v>9.6051507829086962</v>
      </c>
      <c r="Z32" s="1">
        <v>231.65860000000001</v>
      </c>
      <c r="AA32" s="1">
        <v>235.7996</v>
      </c>
      <c r="AB32" s="1">
        <v>278.0154</v>
      </c>
      <c r="AC32" s="1">
        <v>227.65520000000001</v>
      </c>
      <c r="AD32" s="1">
        <v>207.39060000000001</v>
      </c>
      <c r="AE32" s="1">
        <v>290.8818</v>
      </c>
      <c r="AF32" s="1">
        <v>248.68559999999999</v>
      </c>
      <c r="AG32" s="1">
        <v>440.64760000000001</v>
      </c>
      <c r="AH32" s="1"/>
      <c r="AI32" s="1">
        <f t="shared" si="13"/>
        <v>539</v>
      </c>
      <c r="AJ32" s="1">
        <f t="shared" si="14"/>
        <v>248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0" t="s">
        <v>72</v>
      </c>
      <c r="B33" s="10" t="s">
        <v>34</v>
      </c>
      <c r="C33" s="10">
        <v>-0.23</v>
      </c>
      <c r="D33" s="10"/>
      <c r="E33" s="10"/>
      <c r="F33" s="10">
        <v>-0.23</v>
      </c>
      <c r="G33" s="11">
        <v>0</v>
      </c>
      <c r="H33" s="10">
        <v>40</v>
      </c>
      <c r="I33" s="10" t="s">
        <v>48</v>
      </c>
      <c r="J33" s="10"/>
      <c r="K33" s="10">
        <v>10</v>
      </c>
      <c r="L33" s="10">
        <f t="shared" si="4"/>
        <v>-10</v>
      </c>
      <c r="M33" s="10">
        <f t="shared" si="5"/>
        <v>0</v>
      </c>
      <c r="N33" s="10"/>
      <c r="O33" s="10">
        <v>0</v>
      </c>
      <c r="P33" s="21"/>
      <c r="Q33" s="21"/>
      <c r="R33" s="10"/>
      <c r="S33" s="10">
        <f t="shared" si="6"/>
        <v>0</v>
      </c>
      <c r="T33" s="12"/>
      <c r="U33" s="5">
        <f t="shared" si="9"/>
        <v>0</v>
      </c>
      <c r="V33" s="5">
        <f t="shared" si="10"/>
        <v>0</v>
      </c>
      <c r="W33" s="5"/>
      <c r="X33" s="1" t="e">
        <f t="shared" si="12"/>
        <v>#DIV/0!</v>
      </c>
      <c r="Y33" s="10" t="e">
        <f t="shared" si="7"/>
        <v>#DIV/0!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/>
      <c r="AI33" s="1">
        <f t="shared" si="13"/>
        <v>0</v>
      </c>
      <c r="AJ33" s="1">
        <f t="shared" si="14"/>
        <v>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73</v>
      </c>
      <c r="B34" s="1" t="s">
        <v>34</v>
      </c>
      <c r="C34" s="1">
        <v>67.682000000000002</v>
      </c>
      <c r="D34" s="1">
        <v>5646.9669999999996</v>
      </c>
      <c r="E34" s="1">
        <v>2515.7060000000001</v>
      </c>
      <c r="F34" s="1">
        <v>1892.569</v>
      </c>
      <c r="G34" s="7">
        <v>1</v>
      </c>
      <c r="H34" s="1">
        <v>40</v>
      </c>
      <c r="I34" s="9" t="s">
        <v>45</v>
      </c>
      <c r="J34" s="1"/>
      <c r="K34" s="1">
        <v>3685.3409999999999</v>
      </c>
      <c r="L34" s="1">
        <f t="shared" si="4"/>
        <v>-1169.6349999999998</v>
      </c>
      <c r="M34" s="1">
        <f t="shared" si="5"/>
        <v>2064.9270000000001</v>
      </c>
      <c r="N34" s="1">
        <v>450.779</v>
      </c>
      <c r="O34" s="1">
        <v>850.40000000000009</v>
      </c>
      <c r="P34" s="19"/>
      <c r="Q34" s="19"/>
      <c r="R34" s="1">
        <v>1149.5999999999999</v>
      </c>
      <c r="S34" s="1">
        <f t="shared" si="6"/>
        <v>412.98540000000003</v>
      </c>
      <c r="T34" s="5">
        <f>12*S34-R34-O34-F34</f>
        <v>1063.2558000000004</v>
      </c>
      <c r="U34" s="5">
        <f t="shared" si="9"/>
        <v>1063.2558000000004</v>
      </c>
      <c r="V34" s="5">
        <f>U34</f>
        <v>1063.2558000000004</v>
      </c>
      <c r="W34" s="5">
        <f>U34*$Z$1</f>
        <v>489.09766800000017</v>
      </c>
      <c r="X34" s="1">
        <f t="shared" si="12"/>
        <v>13.184297720936382</v>
      </c>
      <c r="Y34" s="1">
        <f t="shared" si="7"/>
        <v>9.4254397370948215</v>
      </c>
      <c r="Z34" s="1">
        <v>192.2834</v>
      </c>
      <c r="AA34" s="1">
        <v>374.25259999999997</v>
      </c>
      <c r="AB34" s="1">
        <v>576.91759999999999</v>
      </c>
      <c r="AC34" s="1">
        <v>427.83499999999998</v>
      </c>
      <c r="AD34" s="1">
        <v>330.09280000000001</v>
      </c>
      <c r="AE34" s="1">
        <v>221.54920000000001</v>
      </c>
      <c r="AF34" s="1">
        <v>91.550399999999996</v>
      </c>
      <c r="AG34" s="1">
        <v>656.28039999999999</v>
      </c>
      <c r="AH34" s="1"/>
      <c r="AI34" s="1">
        <f t="shared" si="13"/>
        <v>1063</v>
      </c>
      <c r="AJ34" s="1">
        <f t="shared" si="14"/>
        <v>489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0" t="s">
        <v>74</v>
      </c>
      <c r="B35" s="10" t="s">
        <v>34</v>
      </c>
      <c r="C35" s="10"/>
      <c r="D35" s="10"/>
      <c r="E35" s="10"/>
      <c r="F35" s="10"/>
      <c r="G35" s="11">
        <v>0</v>
      </c>
      <c r="H35" s="10"/>
      <c r="I35" s="10" t="s">
        <v>35</v>
      </c>
      <c r="J35" s="10"/>
      <c r="K35" s="10"/>
      <c r="L35" s="10">
        <f t="shared" si="4"/>
        <v>0</v>
      </c>
      <c r="M35" s="10">
        <f t="shared" si="5"/>
        <v>0</v>
      </c>
      <c r="N35" s="10"/>
      <c r="O35" s="10">
        <v>0</v>
      </c>
      <c r="P35" s="21"/>
      <c r="Q35" s="21"/>
      <c r="R35" s="10"/>
      <c r="S35" s="10">
        <f t="shared" si="6"/>
        <v>0</v>
      </c>
      <c r="T35" s="12"/>
      <c r="U35" s="5">
        <f t="shared" si="9"/>
        <v>0</v>
      </c>
      <c r="V35" s="5">
        <f t="shared" si="10"/>
        <v>0</v>
      </c>
      <c r="W35" s="5"/>
      <c r="X35" s="1" t="e">
        <f t="shared" si="12"/>
        <v>#DIV/0!</v>
      </c>
      <c r="Y35" s="10" t="e">
        <f t="shared" si="7"/>
        <v>#DIV/0!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 t="s">
        <v>57</v>
      </c>
      <c r="AI35" s="1">
        <f t="shared" si="13"/>
        <v>0</v>
      </c>
      <c r="AJ35" s="1">
        <f t="shared" si="14"/>
        <v>0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0" t="s">
        <v>75</v>
      </c>
      <c r="B36" s="10" t="s">
        <v>34</v>
      </c>
      <c r="C36" s="10"/>
      <c r="D36" s="10"/>
      <c r="E36" s="10"/>
      <c r="F36" s="10"/>
      <c r="G36" s="11">
        <v>0</v>
      </c>
      <c r="H36" s="10"/>
      <c r="I36" s="10" t="s">
        <v>35</v>
      </c>
      <c r="J36" s="10"/>
      <c r="K36" s="10"/>
      <c r="L36" s="10">
        <f t="shared" si="4"/>
        <v>0</v>
      </c>
      <c r="M36" s="10">
        <f t="shared" si="5"/>
        <v>0</v>
      </c>
      <c r="N36" s="10"/>
      <c r="O36" s="10">
        <v>0</v>
      </c>
      <c r="P36" s="21"/>
      <c r="Q36" s="21"/>
      <c r="R36" s="10"/>
      <c r="S36" s="10">
        <f t="shared" si="6"/>
        <v>0</v>
      </c>
      <c r="T36" s="12"/>
      <c r="U36" s="5">
        <f t="shared" si="9"/>
        <v>0</v>
      </c>
      <c r="V36" s="5">
        <f t="shared" si="10"/>
        <v>0</v>
      </c>
      <c r="W36" s="5"/>
      <c r="X36" s="1" t="e">
        <f t="shared" si="12"/>
        <v>#DIV/0!</v>
      </c>
      <c r="Y36" s="10" t="e">
        <f t="shared" si="7"/>
        <v>#DIV/0!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 t="s">
        <v>57</v>
      </c>
      <c r="AI36" s="1">
        <f t="shared" si="13"/>
        <v>0</v>
      </c>
      <c r="AJ36" s="1">
        <f t="shared" si="14"/>
        <v>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0" t="s">
        <v>76</v>
      </c>
      <c r="B37" s="10" t="s">
        <v>34</v>
      </c>
      <c r="C37" s="10"/>
      <c r="D37" s="10"/>
      <c r="E37" s="10"/>
      <c r="F37" s="10"/>
      <c r="G37" s="11">
        <v>0</v>
      </c>
      <c r="H37" s="10"/>
      <c r="I37" s="10" t="s">
        <v>35</v>
      </c>
      <c r="J37" s="10"/>
      <c r="K37" s="10"/>
      <c r="L37" s="10">
        <f t="shared" si="4"/>
        <v>0</v>
      </c>
      <c r="M37" s="10">
        <f t="shared" si="5"/>
        <v>0</v>
      </c>
      <c r="N37" s="10"/>
      <c r="O37" s="10">
        <v>0</v>
      </c>
      <c r="P37" s="21"/>
      <c r="Q37" s="21"/>
      <c r="R37" s="10"/>
      <c r="S37" s="10">
        <f t="shared" si="6"/>
        <v>0</v>
      </c>
      <c r="T37" s="12"/>
      <c r="U37" s="5">
        <f t="shared" si="9"/>
        <v>0</v>
      </c>
      <c r="V37" s="5">
        <f t="shared" si="10"/>
        <v>0</v>
      </c>
      <c r="W37" s="5"/>
      <c r="X37" s="1" t="e">
        <f t="shared" si="12"/>
        <v>#DIV/0!</v>
      </c>
      <c r="Y37" s="10" t="e">
        <f t="shared" si="7"/>
        <v>#DIV/0!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 t="s">
        <v>57</v>
      </c>
      <c r="AI37" s="1">
        <f t="shared" si="13"/>
        <v>0</v>
      </c>
      <c r="AJ37" s="1">
        <f t="shared" si="14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0" t="s">
        <v>77</v>
      </c>
      <c r="B38" s="10" t="s">
        <v>34</v>
      </c>
      <c r="C38" s="10"/>
      <c r="D38" s="10"/>
      <c r="E38" s="10"/>
      <c r="F38" s="10"/>
      <c r="G38" s="11">
        <v>0</v>
      </c>
      <c r="H38" s="10"/>
      <c r="I38" s="10" t="s">
        <v>35</v>
      </c>
      <c r="J38" s="10"/>
      <c r="K38" s="10"/>
      <c r="L38" s="10">
        <f t="shared" ref="L38:L69" si="20">E38-K38</f>
        <v>0</v>
      </c>
      <c r="M38" s="10">
        <f t="shared" ref="M38:M69" si="21">E38-N38</f>
        <v>0</v>
      </c>
      <c r="N38" s="10"/>
      <c r="O38" s="10">
        <v>0</v>
      </c>
      <c r="P38" s="21"/>
      <c r="Q38" s="21"/>
      <c r="R38" s="10"/>
      <c r="S38" s="10">
        <f t="shared" ref="S38:S69" si="22">M38/5</f>
        <v>0</v>
      </c>
      <c r="T38" s="12"/>
      <c r="U38" s="5">
        <f t="shared" si="9"/>
        <v>0</v>
      </c>
      <c r="V38" s="5">
        <f t="shared" si="10"/>
        <v>0</v>
      </c>
      <c r="W38" s="5"/>
      <c r="X38" s="1" t="e">
        <f t="shared" si="12"/>
        <v>#DIV/0!</v>
      </c>
      <c r="Y38" s="10" t="e">
        <f t="shared" ref="Y38:Y69" si="23">(F38+O38+R38)/S38</f>
        <v>#DIV/0!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 t="s">
        <v>57</v>
      </c>
      <c r="AI38" s="1">
        <f t="shared" si="13"/>
        <v>0</v>
      </c>
      <c r="AJ38" s="1">
        <f t="shared" si="14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78</v>
      </c>
      <c r="B39" s="1" t="s">
        <v>40</v>
      </c>
      <c r="C39" s="1">
        <v>-392</v>
      </c>
      <c r="D39" s="1">
        <v>8453</v>
      </c>
      <c r="E39" s="1">
        <v>3442</v>
      </c>
      <c r="F39" s="1">
        <v>3482</v>
      </c>
      <c r="G39" s="7">
        <v>0.4</v>
      </c>
      <c r="H39" s="1">
        <v>45</v>
      </c>
      <c r="I39" s="9" t="s">
        <v>45</v>
      </c>
      <c r="J39" s="1"/>
      <c r="K39" s="1">
        <v>3974</v>
      </c>
      <c r="L39" s="1">
        <f t="shared" si="20"/>
        <v>-532</v>
      </c>
      <c r="M39" s="1">
        <f t="shared" si="21"/>
        <v>3274</v>
      </c>
      <c r="N39" s="1">
        <v>168</v>
      </c>
      <c r="O39" s="1">
        <v>1275.5999999999999</v>
      </c>
      <c r="P39" s="19"/>
      <c r="Q39" s="19"/>
      <c r="R39" s="1">
        <v>1724.4</v>
      </c>
      <c r="S39" s="1">
        <f t="shared" si="22"/>
        <v>654.79999999999995</v>
      </c>
      <c r="T39" s="5">
        <f t="shared" ref="T39:T52" si="24">12*S39-R39-O39-F39</f>
        <v>1375.5999999999985</v>
      </c>
      <c r="U39" s="5">
        <f t="shared" si="9"/>
        <v>1375.5999999999985</v>
      </c>
      <c r="V39" s="5">
        <f>U39</f>
        <v>1375.5999999999985</v>
      </c>
      <c r="W39" s="5">
        <f>U39*$Z$1</f>
        <v>632.77599999999939</v>
      </c>
      <c r="X39" s="1">
        <f t="shared" si="12"/>
        <v>12.966365302382405</v>
      </c>
      <c r="Y39" s="1">
        <f t="shared" si="23"/>
        <v>9.8992058643860723</v>
      </c>
      <c r="Z39" s="1">
        <v>869.4</v>
      </c>
      <c r="AA39" s="1">
        <v>631</v>
      </c>
      <c r="AB39" s="1">
        <v>648.4</v>
      </c>
      <c r="AC39" s="1">
        <v>1337.6</v>
      </c>
      <c r="AD39" s="1">
        <v>1183.5999999999999</v>
      </c>
      <c r="AE39" s="1">
        <v>579.79999999999995</v>
      </c>
      <c r="AF39" s="1">
        <v>402.6</v>
      </c>
      <c r="AG39" s="1">
        <v>815</v>
      </c>
      <c r="AH39" s="1" t="s">
        <v>79</v>
      </c>
      <c r="AI39" s="1">
        <f t="shared" si="13"/>
        <v>550</v>
      </c>
      <c r="AJ39" s="1">
        <f t="shared" si="14"/>
        <v>253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80</v>
      </c>
      <c r="B40" s="1" t="s">
        <v>40</v>
      </c>
      <c r="C40" s="1">
        <v>27.75</v>
      </c>
      <c r="D40" s="1">
        <v>1275</v>
      </c>
      <c r="E40" s="1">
        <v>645</v>
      </c>
      <c r="F40" s="1">
        <v>535.75</v>
      </c>
      <c r="G40" s="7">
        <v>0.45</v>
      </c>
      <c r="H40" s="1">
        <v>50</v>
      </c>
      <c r="I40" s="17" t="s">
        <v>35</v>
      </c>
      <c r="J40" s="1"/>
      <c r="K40" s="1">
        <v>707</v>
      </c>
      <c r="L40" s="1">
        <f t="shared" si="20"/>
        <v>-62</v>
      </c>
      <c r="M40" s="1">
        <f t="shared" si="21"/>
        <v>645</v>
      </c>
      <c r="N40" s="1"/>
      <c r="O40" s="1">
        <v>0</v>
      </c>
      <c r="P40" s="19"/>
      <c r="Q40" s="19"/>
      <c r="R40" s="1"/>
      <c r="S40" s="1">
        <f t="shared" si="22"/>
        <v>129</v>
      </c>
      <c r="T40" s="5">
        <f>11*S40-R40-O40-F40</f>
        <v>883.25</v>
      </c>
      <c r="U40" s="5">
        <f t="shared" si="9"/>
        <v>883.25</v>
      </c>
      <c r="V40" s="5">
        <f t="shared" si="10"/>
        <v>309.75577499999997</v>
      </c>
      <c r="W40" s="5">
        <f>U40*$W$1</f>
        <v>573.49422500000003</v>
      </c>
      <c r="X40" s="1">
        <f t="shared" si="12"/>
        <v>11</v>
      </c>
      <c r="Y40" s="1">
        <f t="shared" si="23"/>
        <v>4.1531007751937983</v>
      </c>
      <c r="Z40" s="1">
        <v>84</v>
      </c>
      <c r="AA40" s="1">
        <v>83.2</v>
      </c>
      <c r="AB40" s="1">
        <v>183.328</v>
      </c>
      <c r="AC40" s="1">
        <v>310.8</v>
      </c>
      <c r="AD40" s="1">
        <v>224.2</v>
      </c>
      <c r="AE40" s="1">
        <v>94</v>
      </c>
      <c r="AF40" s="1">
        <v>102.6</v>
      </c>
      <c r="AG40" s="1">
        <v>147</v>
      </c>
      <c r="AH40" s="1"/>
      <c r="AI40" s="1">
        <f t="shared" si="13"/>
        <v>139</v>
      </c>
      <c r="AJ40" s="1">
        <f t="shared" si="14"/>
        <v>258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81</v>
      </c>
      <c r="B41" s="1" t="s">
        <v>40</v>
      </c>
      <c r="C41" s="1">
        <v>111</v>
      </c>
      <c r="D41" s="1">
        <v>1798</v>
      </c>
      <c r="E41" s="1">
        <v>960</v>
      </c>
      <c r="F41" s="1">
        <v>653</v>
      </c>
      <c r="G41" s="7">
        <v>0.4</v>
      </c>
      <c r="H41" s="1">
        <v>45</v>
      </c>
      <c r="I41" s="9" t="s">
        <v>45</v>
      </c>
      <c r="J41" s="1"/>
      <c r="K41" s="1">
        <v>1335</v>
      </c>
      <c r="L41" s="1">
        <f t="shared" si="20"/>
        <v>-375</v>
      </c>
      <c r="M41" s="1">
        <f t="shared" si="21"/>
        <v>960</v>
      </c>
      <c r="N41" s="1"/>
      <c r="O41" s="1">
        <v>108.85120000000011</v>
      </c>
      <c r="P41" s="19"/>
      <c r="Q41" s="19"/>
      <c r="R41" s="1">
        <v>147.14880000000011</v>
      </c>
      <c r="S41" s="1">
        <f t="shared" si="22"/>
        <v>192</v>
      </c>
      <c r="T41" s="5">
        <f t="shared" si="24"/>
        <v>1395</v>
      </c>
      <c r="U41" s="5">
        <f t="shared" si="9"/>
        <v>1395</v>
      </c>
      <c r="V41" s="5">
        <f t="shared" si="9"/>
        <v>1395</v>
      </c>
      <c r="W41" s="5">
        <f>U41*$Z$1</f>
        <v>641.70000000000005</v>
      </c>
      <c r="X41" s="1">
        <f t="shared" si="12"/>
        <v>15.3421875</v>
      </c>
      <c r="Y41" s="1">
        <f t="shared" si="23"/>
        <v>4.7343750000000009</v>
      </c>
      <c r="Z41" s="1">
        <v>152.4</v>
      </c>
      <c r="AA41" s="1">
        <v>151.6</v>
      </c>
      <c r="AB41" s="1">
        <v>137</v>
      </c>
      <c r="AC41" s="1">
        <v>55.2</v>
      </c>
      <c r="AD41" s="1">
        <v>16.600000000000001</v>
      </c>
      <c r="AE41" s="1">
        <v>46.2</v>
      </c>
      <c r="AF41" s="1">
        <v>45.4</v>
      </c>
      <c r="AG41" s="1">
        <v>148.4</v>
      </c>
      <c r="AH41" s="1"/>
      <c r="AI41" s="1">
        <f t="shared" si="13"/>
        <v>558</v>
      </c>
      <c r="AJ41" s="1">
        <f t="shared" si="14"/>
        <v>257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82</v>
      </c>
      <c r="B42" s="1" t="s">
        <v>40</v>
      </c>
      <c r="C42" s="1">
        <v>-7</v>
      </c>
      <c r="D42" s="1"/>
      <c r="E42" s="1">
        <v>9</v>
      </c>
      <c r="F42" s="1">
        <v>-16</v>
      </c>
      <c r="G42" s="7">
        <v>0.4</v>
      </c>
      <c r="H42" s="1">
        <v>40</v>
      </c>
      <c r="I42" s="9" t="s">
        <v>45</v>
      </c>
      <c r="J42" s="1"/>
      <c r="K42" s="1">
        <v>680</v>
      </c>
      <c r="L42" s="1">
        <f t="shared" si="20"/>
        <v>-671</v>
      </c>
      <c r="M42" s="1">
        <f t="shared" si="21"/>
        <v>9</v>
      </c>
      <c r="N42" s="1"/>
      <c r="O42" s="1">
        <v>100</v>
      </c>
      <c r="P42" s="19"/>
      <c r="Q42" s="19"/>
      <c r="R42" s="1"/>
      <c r="S42" s="1">
        <f t="shared" si="22"/>
        <v>1.8</v>
      </c>
      <c r="T42" s="5">
        <v>100</v>
      </c>
      <c r="U42" s="5">
        <f t="shared" si="9"/>
        <v>100</v>
      </c>
      <c r="V42" s="5">
        <f t="shared" si="9"/>
        <v>100</v>
      </c>
      <c r="W42" s="5">
        <v>50</v>
      </c>
      <c r="X42" s="1">
        <f t="shared" si="12"/>
        <v>130</v>
      </c>
      <c r="Y42" s="1">
        <f t="shared" si="23"/>
        <v>46.666666666666664</v>
      </c>
      <c r="Z42" s="1">
        <v>13.6</v>
      </c>
      <c r="AA42" s="1">
        <v>18.8</v>
      </c>
      <c r="AB42" s="1">
        <v>7.4</v>
      </c>
      <c r="AC42" s="1">
        <v>-0.2</v>
      </c>
      <c r="AD42" s="1">
        <v>-0.2</v>
      </c>
      <c r="AE42" s="1">
        <v>0</v>
      </c>
      <c r="AF42" s="1">
        <v>-0.4</v>
      </c>
      <c r="AG42" s="1">
        <v>2.6</v>
      </c>
      <c r="AH42" s="1"/>
      <c r="AI42" s="1">
        <f t="shared" si="13"/>
        <v>40</v>
      </c>
      <c r="AJ42" s="1">
        <f t="shared" si="14"/>
        <v>20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83</v>
      </c>
      <c r="B43" s="1" t="s">
        <v>34</v>
      </c>
      <c r="C43" s="1">
        <v>94</v>
      </c>
      <c r="D43" s="1">
        <v>137.672</v>
      </c>
      <c r="E43" s="1">
        <v>23.241</v>
      </c>
      <c r="F43" s="1">
        <v>206.13800000000001</v>
      </c>
      <c r="G43" s="7">
        <v>1</v>
      </c>
      <c r="H43" s="1"/>
      <c r="I43" s="9" t="s">
        <v>45</v>
      </c>
      <c r="J43" s="1"/>
      <c r="K43" s="1">
        <v>24.1</v>
      </c>
      <c r="L43" s="1">
        <f t="shared" si="20"/>
        <v>-0.85900000000000176</v>
      </c>
      <c r="M43" s="1">
        <f t="shared" si="21"/>
        <v>23.241</v>
      </c>
      <c r="N43" s="1"/>
      <c r="O43" s="1">
        <v>0</v>
      </c>
      <c r="P43" s="19"/>
      <c r="Q43" s="19"/>
      <c r="R43" s="1"/>
      <c r="S43" s="1">
        <f t="shared" si="22"/>
        <v>4.6482000000000001</v>
      </c>
      <c r="T43" s="5"/>
      <c r="U43" s="5">
        <f t="shared" si="9"/>
        <v>0</v>
      </c>
      <c r="V43" s="5">
        <f t="shared" si="9"/>
        <v>0</v>
      </c>
      <c r="W43" s="5"/>
      <c r="X43" s="1">
        <f t="shared" si="12"/>
        <v>44.347919624801001</v>
      </c>
      <c r="Y43" s="1">
        <f t="shared" si="23"/>
        <v>44.347919624801001</v>
      </c>
      <c r="Z43" s="1">
        <v>6.3221999999999996</v>
      </c>
      <c r="AA43" s="1">
        <v>11.244199999999999</v>
      </c>
      <c r="AB43" s="1">
        <v>18.956</v>
      </c>
      <c r="AC43" s="1">
        <v>4.8393999999999986</v>
      </c>
      <c r="AD43" s="1">
        <v>5.6033999999999997</v>
      </c>
      <c r="AE43" s="1">
        <v>14.360799999999999</v>
      </c>
      <c r="AF43" s="1">
        <v>9.3544</v>
      </c>
      <c r="AG43" s="1">
        <v>0</v>
      </c>
      <c r="AH43" s="15" t="s">
        <v>106</v>
      </c>
      <c r="AI43" s="1">
        <f t="shared" si="13"/>
        <v>0</v>
      </c>
      <c r="AJ43" s="1">
        <f t="shared" si="14"/>
        <v>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84</v>
      </c>
      <c r="B44" s="1" t="s">
        <v>40</v>
      </c>
      <c r="C44" s="1">
        <v>14</v>
      </c>
      <c r="D44" s="1">
        <v>999</v>
      </c>
      <c r="E44" s="1">
        <v>304</v>
      </c>
      <c r="F44" s="1">
        <v>646</v>
      </c>
      <c r="G44" s="7">
        <v>0.1</v>
      </c>
      <c r="H44" s="1">
        <v>731</v>
      </c>
      <c r="I44" s="1" t="s">
        <v>35</v>
      </c>
      <c r="J44" s="1"/>
      <c r="K44" s="1">
        <v>332</v>
      </c>
      <c r="L44" s="1">
        <f t="shared" si="20"/>
        <v>-28</v>
      </c>
      <c r="M44" s="1">
        <f t="shared" si="21"/>
        <v>304</v>
      </c>
      <c r="N44" s="1"/>
      <c r="O44" s="1">
        <v>200</v>
      </c>
      <c r="P44" s="19"/>
      <c r="Q44" s="19"/>
      <c r="R44" s="1"/>
      <c r="S44" s="1">
        <f t="shared" si="22"/>
        <v>60.8</v>
      </c>
      <c r="T44" s="5"/>
      <c r="U44" s="5">
        <f t="shared" si="9"/>
        <v>0</v>
      </c>
      <c r="V44" s="5">
        <f t="shared" si="10"/>
        <v>0</v>
      </c>
      <c r="W44" s="5"/>
      <c r="X44" s="1">
        <f t="shared" si="12"/>
        <v>13.914473684210527</v>
      </c>
      <c r="Y44" s="1">
        <f t="shared" si="23"/>
        <v>13.914473684210527</v>
      </c>
      <c r="Z44" s="1">
        <v>56</v>
      </c>
      <c r="AA44" s="1">
        <v>60</v>
      </c>
      <c r="AB44" s="1">
        <v>69.400000000000006</v>
      </c>
      <c r="AC44" s="1">
        <v>43</v>
      </c>
      <c r="AD44" s="1">
        <v>24</v>
      </c>
      <c r="AE44" s="1">
        <v>35.6</v>
      </c>
      <c r="AF44" s="1">
        <v>42.4</v>
      </c>
      <c r="AG44" s="1">
        <v>42.4</v>
      </c>
      <c r="AH44" s="1"/>
      <c r="AI44" s="1">
        <f t="shared" si="13"/>
        <v>0</v>
      </c>
      <c r="AJ44" s="1">
        <f t="shared" si="14"/>
        <v>0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85</v>
      </c>
      <c r="B45" s="1" t="s">
        <v>40</v>
      </c>
      <c r="C45" s="1">
        <v>36</v>
      </c>
      <c r="D45" s="1">
        <v>55</v>
      </c>
      <c r="E45" s="1">
        <v>87</v>
      </c>
      <c r="F45" s="1">
        <v>-2</v>
      </c>
      <c r="G45" s="7">
        <v>0.35</v>
      </c>
      <c r="H45" s="1">
        <v>40</v>
      </c>
      <c r="I45" s="9" t="s">
        <v>45</v>
      </c>
      <c r="J45" s="1"/>
      <c r="K45" s="1">
        <v>103</v>
      </c>
      <c r="L45" s="1">
        <f t="shared" si="20"/>
        <v>-16</v>
      </c>
      <c r="M45" s="1">
        <f t="shared" si="21"/>
        <v>87</v>
      </c>
      <c r="N45" s="1"/>
      <c r="O45" s="1">
        <v>120</v>
      </c>
      <c r="P45" s="19"/>
      <c r="Q45" s="19"/>
      <c r="R45" s="1"/>
      <c r="S45" s="1">
        <f t="shared" si="22"/>
        <v>17.399999999999999</v>
      </c>
      <c r="T45" s="5">
        <f t="shared" si="24"/>
        <v>90.799999999999983</v>
      </c>
      <c r="U45" s="5">
        <f t="shared" si="9"/>
        <v>90.799999999999983</v>
      </c>
      <c r="V45" s="5">
        <f t="shared" si="9"/>
        <v>90.799999999999983</v>
      </c>
      <c r="W45" s="5"/>
      <c r="X45" s="1">
        <f t="shared" si="12"/>
        <v>12</v>
      </c>
      <c r="Y45" s="1">
        <f t="shared" si="23"/>
        <v>6.7816091954022992</v>
      </c>
      <c r="Z45" s="1">
        <v>18.2</v>
      </c>
      <c r="AA45" s="1">
        <v>0.4</v>
      </c>
      <c r="AB45" s="1">
        <v>0.6</v>
      </c>
      <c r="AC45" s="1">
        <v>-0.8</v>
      </c>
      <c r="AD45" s="1">
        <v>-1.8</v>
      </c>
      <c r="AE45" s="1">
        <v>-2.4</v>
      </c>
      <c r="AF45" s="1">
        <v>-1.2</v>
      </c>
      <c r="AG45" s="1">
        <v>4.2</v>
      </c>
      <c r="AH45" s="1"/>
      <c r="AI45" s="1">
        <f t="shared" si="13"/>
        <v>32</v>
      </c>
      <c r="AJ45" s="1">
        <f t="shared" si="14"/>
        <v>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86</v>
      </c>
      <c r="B46" s="1" t="s">
        <v>34</v>
      </c>
      <c r="C46" s="1">
        <v>34.286000000000001</v>
      </c>
      <c r="D46" s="1">
        <v>0.72599999999999998</v>
      </c>
      <c r="E46" s="1">
        <v>23.922999999999998</v>
      </c>
      <c r="F46" s="1">
        <v>8.91</v>
      </c>
      <c r="G46" s="7">
        <v>1</v>
      </c>
      <c r="H46" s="1">
        <v>40</v>
      </c>
      <c r="I46" s="9" t="s">
        <v>45</v>
      </c>
      <c r="J46" s="1"/>
      <c r="K46" s="1">
        <v>45.6</v>
      </c>
      <c r="L46" s="1">
        <f t="shared" si="20"/>
        <v>-21.677000000000003</v>
      </c>
      <c r="M46" s="1">
        <f t="shared" si="21"/>
        <v>23.922999999999998</v>
      </c>
      <c r="N46" s="1"/>
      <c r="O46" s="1">
        <v>26.244399999999999</v>
      </c>
      <c r="P46" s="19"/>
      <c r="Q46" s="19"/>
      <c r="R46" s="1"/>
      <c r="S46" s="1">
        <f t="shared" si="22"/>
        <v>4.7845999999999993</v>
      </c>
      <c r="T46" s="5">
        <f t="shared" si="24"/>
        <v>22.260799999999993</v>
      </c>
      <c r="U46" s="5">
        <f t="shared" si="9"/>
        <v>22.260799999999993</v>
      </c>
      <c r="V46" s="5">
        <f t="shared" si="9"/>
        <v>22.260799999999993</v>
      </c>
      <c r="W46" s="5"/>
      <c r="X46" s="1">
        <f t="shared" si="12"/>
        <v>11.999999999999998</v>
      </c>
      <c r="Y46" s="1">
        <f t="shared" si="23"/>
        <v>7.3474062617564684</v>
      </c>
      <c r="Z46" s="1">
        <v>3.8283999999999998</v>
      </c>
      <c r="AA46" s="1">
        <v>1.671</v>
      </c>
      <c r="AB46" s="1">
        <v>2.0398000000000001</v>
      </c>
      <c r="AC46" s="1">
        <v>3.0230000000000001</v>
      </c>
      <c r="AD46" s="1">
        <v>3.0924</v>
      </c>
      <c r="AE46" s="1">
        <v>2.1831999999999998</v>
      </c>
      <c r="AF46" s="1">
        <v>2.4698000000000002</v>
      </c>
      <c r="AG46" s="1">
        <v>2.9312</v>
      </c>
      <c r="AH46" s="1"/>
      <c r="AI46" s="1">
        <f t="shared" si="13"/>
        <v>22</v>
      </c>
      <c r="AJ46" s="1">
        <f t="shared" si="14"/>
        <v>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87</v>
      </c>
      <c r="B47" s="1" t="s">
        <v>40</v>
      </c>
      <c r="C47" s="1">
        <v>1</v>
      </c>
      <c r="D47" s="1">
        <v>491</v>
      </c>
      <c r="E47" s="1">
        <v>285</v>
      </c>
      <c r="F47" s="1">
        <v>81</v>
      </c>
      <c r="G47" s="7">
        <v>0.4</v>
      </c>
      <c r="H47" s="1">
        <v>40</v>
      </c>
      <c r="I47" s="9" t="s">
        <v>45</v>
      </c>
      <c r="J47" s="1"/>
      <c r="K47" s="1">
        <v>362</v>
      </c>
      <c r="L47" s="1">
        <f t="shared" si="20"/>
        <v>-77</v>
      </c>
      <c r="M47" s="1">
        <f t="shared" si="21"/>
        <v>285</v>
      </c>
      <c r="N47" s="1"/>
      <c r="O47" s="1">
        <v>95.499920000000003</v>
      </c>
      <c r="P47" s="19"/>
      <c r="Q47" s="19"/>
      <c r="R47" s="1">
        <v>129.10007999999999</v>
      </c>
      <c r="S47" s="1">
        <f t="shared" si="22"/>
        <v>57</v>
      </c>
      <c r="T47" s="5">
        <f t="shared" si="24"/>
        <v>378.40000000000009</v>
      </c>
      <c r="U47" s="5">
        <f t="shared" si="9"/>
        <v>378.40000000000009</v>
      </c>
      <c r="V47" s="5">
        <f t="shared" si="9"/>
        <v>378.40000000000009</v>
      </c>
      <c r="W47" s="5"/>
      <c r="X47" s="1">
        <f t="shared" si="12"/>
        <v>12.000000000000002</v>
      </c>
      <c r="Y47" s="1">
        <f t="shared" si="23"/>
        <v>5.3614035087719305</v>
      </c>
      <c r="Z47" s="1">
        <v>51.2</v>
      </c>
      <c r="AA47" s="1">
        <v>38.4</v>
      </c>
      <c r="AB47" s="1">
        <v>34.6</v>
      </c>
      <c r="AC47" s="1">
        <v>39.4</v>
      </c>
      <c r="AD47" s="1">
        <v>36.6</v>
      </c>
      <c r="AE47" s="1">
        <v>26.8</v>
      </c>
      <c r="AF47" s="1">
        <v>24.8</v>
      </c>
      <c r="AG47" s="1">
        <v>30.8</v>
      </c>
      <c r="AH47" s="1"/>
      <c r="AI47" s="1">
        <f t="shared" si="13"/>
        <v>151</v>
      </c>
      <c r="AJ47" s="1">
        <f t="shared" si="14"/>
        <v>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88</v>
      </c>
      <c r="B48" s="1" t="s">
        <v>40</v>
      </c>
      <c r="C48" s="1">
        <v>42</v>
      </c>
      <c r="D48" s="1">
        <v>604</v>
      </c>
      <c r="E48" s="1">
        <v>206</v>
      </c>
      <c r="F48" s="1">
        <v>302</v>
      </c>
      <c r="G48" s="7">
        <v>0.4</v>
      </c>
      <c r="H48" s="1">
        <v>45</v>
      </c>
      <c r="I48" s="9" t="s">
        <v>45</v>
      </c>
      <c r="J48" s="1"/>
      <c r="K48" s="1">
        <v>615</v>
      </c>
      <c r="L48" s="1">
        <f t="shared" si="20"/>
        <v>-409</v>
      </c>
      <c r="M48" s="1">
        <f t="shared" si="21"/>
        <v>206</v>
      </c>
      <c r="N48" s="1"/>
      <c r="O48" s="1">
        <v>127.56</v>
      </c>
      <c r="P48" s="19"/>
      <c r="Q48" s="19"/>
      <c r="R48" s="1">
        <v>172.44</v>
      </c>
      <c r="S48" s="1">
        <f t="shared" si="22"/>
        <v>41.2</v>
      </c>
      <c r="T48" s="5">
        <v>100</v>
      </c>
      <c r="U48" s="5">
        <f t="shared" si="9"/>
        <v>100</v>
      </c>
      <c r="V48" s="5">
        <f t="shared" si="9"/>
        <v>100</v>
      </c>
      <c r="W48" s="5">
        <v>50</v>
      </c>
      <c r="X48" s="1">
        <f t="shared" si="12"/>
        <v>18.252427184466018</v>
      </c>
      <c r="Y48" s="1">
        <f t="shared" si="23"/>
        <v>14.611650485436892</v>
      </c>
      <c r="Z48" s="1">
        <v>60.8</v>
      </c>
      <c r="AA48" s="1">
        <v>91.6</v>
      </c>
      <c r="AB48" s="1">
        <v>61.8</v>
      </c>
      <c r="AC48" s="1">
        <v>53.8</v>
      </c>
      <c r="AD48" s="1">
        <v>28.6</v>
      </c>
      <c r="AE48" s="1">
        <v>35.200000000000003</v>
      </c>
      <c r="AF48" s="1">
        <v>45.6</v>
      </c>
      <c r="AG48" s="1">
        <v>29.2</v>
      </c>
      <c r="AH48" s="1"/>
      <c r="AI48" s="1">
        <f t="shared" si="13"/>
        <v>40</v>
      </c>
      <c r="AJ48" s="1">
        <f t="shared" si="14"/>
        <v>20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89</v>
      </c>
      <c r="B49" s="1" t="s">
        <v>34</v>
      </c>
      <c r="C49" s="1">
        <v>27.67</v>
      </c>
      <c r="D49" s="1">
        <v>116.095</v>
      </c>
      <c r="E49" s="1">
        <v>77.62</v>
      </c>
      <c r="F49" s="1">
        <v>24.622</v>
      </c>
      <c r="G49" s="7">
        <v>1</v>
      </c>
      <c r="H49" s="1">
        <v>40</v>
      </c>
      <c r="I49" s="9" t="s">
        <v>45</v>
      </c>
      <c r="J49" s="1"/>
      <c r="K49" s="1">
        <v>166.7</v>
      </c>
      <c r="L49" s="1">
        <f t="shared" si="20"/>
        <v>-89.079999999999984</v>
      </c>
      <c r="M49" s="1">
        <f t="shared" si="21"/>
        <v>77.62</v>
      </c>
      <c r="N49" s="1"/>
      <c r="O49" s="1">
        <v>40.441199999999988</v>
      </c>
      <c r="P49" s="19"/>
      <c r="Q49" s="19"/>
      <c r="R49" s="1"/>
      <c r="S49" s="1">
        <f t="shared" si="22"/>
        <v>15.524000000000001</v>
      </c>
      <c r="T49" s="5">
        <f t="shared" si="24"/>
        <v>121.22480000000003</v>
      </c>
      <c r="U49" s="5">
        <f t="shared" si="9"/>
        <v>121.22480000000003</v>
      </c>
      <c r="V49" s="5">
        <f t="shared" si="9"/>
        <v>121.22480000000003</v>
      </c>
      <c r="W49" s="5"/>
      <c r="X49" s="1">
        <f t="shared" si="12"/>
        <v>12</v>
      </c>
      <c r="Y49" s="1">
        <f t="shared" si="23"/>
        <v>4.1911363050760109</v>
      </c>
      <c r="Z49" s="1">
        <v>12.8612</v>
      </c>
      <c r="AA49" s="1">
        <v>9.6170000000000009</v>
      </c>
      <c r="AB49" s="1">
        <v>3.972</v>
      </c>
      <c r="AC49" s="1">
        <v>4.1012000000000004</v>
      </c>
      <c r="AD49" s="1">
        <v>4.9813999999999998</v>
      </c>
      <c r="AE49" s="1">
        <v>0.87859999999999994</v>
      </c>
      <c r="AF49" s="1">
        <v>0</v>
      </c>
      <c r="AG49" s="1">
        <v>5.8158000000000003</v>
      </c>
      <c r="AH49" s="1" t="s">
        <v>37</v>
      </c>
      <c r="AI49" s="1">
        <f t="shared" si="13"/>
        <v>121</v>
      </c>
      <c r="AJ49" s="1">
        <f t="shared" si="14"/>
        <v>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90</v>
      </c>
      <c r="B50" s="1" t="s">
        <v>40</v>
      </c>
      <c r="C50" s="1">
        <v>-29</v>
      </c>
      <c r="D50" s="1">
        <v>572</v>
      </c>
      <c r="E50" s="1">
        <v>392</v>
      </c>
      <c r="F50" s="1">
        <v>-8.15</v>
      </c>
      <c r="G50" s="7">
        <v>0.35</v>
      </c>
      <c r="H50" s="1">
        <v>40</v>
      </c>
      <c r="I50" s="9" t="s">
        <v>45</v>
      </c>
      <c r="J50" s="1"/>
      <c r="K50" s="1">
        <v>442</v>
      </c>
      <c r="L50" s="1">
        <f t="shared" si="20"/>
        <v>-50</v>
      </c>
      <c r="M50" s="1">
        <f t="shared" si="21"/>
        <v>392</v>
      </c>
      <c r="N50" s="1"/>
      <c r="O50" s="1">
        <v>382.68000000000012</v>
      </c>
      <c r="P50" s="19"/>
      <c r="Q50" s="19"/>
      <c r="R50" s="1">
        <v>517.31999999999994</v>
      </c>
      <c r="S50" s="1">
        <f t="shared" si="22"/>
        <v>78.400000000000006</v>
      </c>
      <c r="T50" s="5">
        <f t="shared" si="24"/>
        <v>48.95000000000001</v>
      </c>
      <c r="U50" s="5">
        <f t="shared" si="9"/>
        <v>48.95000000000001</v>
      </c>
      <c r="V50" s="5">
        <f t="shared" si="9"/>
        <v>48.95000000000001</v>
      </c>
      <c r="W50" s="5"/>
      <c r="X50" s="1">
        <f t="shared" si="12"/>
        <v>12.000000000000002</v>
      </c>
      <c r="Y50" s="1">
        <f t="shared" si="23"/>
        <v>11.375637755102042</v>
      </c>
      <c r="Z50" s="1">
        <v>297.39999999999998</v>
      </c>
      <c r="AA50" s="1">
        <v>286.60000000000002</v>
      </c>
      <c r="AB50" s="1">
        <v>77.599999999999994</v>
      </c>
      <c r="AC50" s="1">
        <v>42.2</v>
      </c>
      <c r="AD50" s="1">
        <v>3.4</v>
      </c>
      <c r="AE50" s="1">
        <v>3.8</v>
      </c>
      <c r="AF50" s="1">
        <v>49.6</v>
      </c>
      <c r="AG50" s="1">
        <v>98.8</v>
      </c>
      <c r="AH50" s="1" t="s">
        <v>91</v>
      </c>
      <c r="AI50" s="1">
        <f t="shared" si="13"/>
        <v>17</v>
      </c>
      <c r="AJ50" s="1">
        <f t="shared" si="14"/>
        <v>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92</v>
      </c>
      <c r="B51" s="1" t="s">
        <v>40</v>
      </c>
      <c r="C51" s="1">
        <v>153</v>
      </c>
      <c r="D51" s="1">
        <v>1154</v>
      </c>
      <c r="E51" s="1">
        <v>377</v>
      </c>
      <c r="F51" s="1">
        <v>839</v>
      </c>
      <c r="G51" s="7">
        <v>0.4</v>
      </c>
      <c r="H51" s="1">
        <v>40</v>
      </c>
      <c r="I51" s="9" t="s">
        <v>45</v>
      </c>
      <c r="J51" s="1"/>
      <c r="K51" s="1">
        <v>466</v>
      </c>
      <c r="L51" s="1">
        <f t="shared" si="20"/>
        <v>-89</v>
      </c>
      <c r="M51" s="1">
        <f t="shared" si="21"/>
        <v>377</v>
      </c>
      <c r="N51" s="1"/>
      <c r="O51" s="1">
        <v>50</v>
      </c>
      <c r="P51" s="19"/>
      <c r="Q51" s="19"/>
      <c r="R51" s="1"/>
      <c r="S51" s="1">
        <f t="shared" si="22"/>
        <v>75.400000000000006</v>
      </c>
      <c r="T51" s="5">
        <f t="shared" si="24"/>
        <v>15.800000000000068</v>
      </c>
      <c r="U51" s="5">
        <f t="shared" si="9"/>
        <v>15.800000000000068</v>
      </c>
      <c r="V51" s="5">
        <f t="shared" si="9"/>
        <v>15.800000000000068</v>
      </c>
      <c r="W51" s="5"/>
      <c r="X51" s="1">
        <f t="shared" si="12"/>
        <v>12</v>
      </c>
      <c r="Y51" s="1">
        <f t="shared" si="23"/>
        <v>11.790450928381961</v>
      </c>
      <c r="Z51" s="1">
        <v>92</v>
      </c>
      <c r="AA51" s="1">
        <v>107</v>
      </c>
      <c r="AB51" s="1">
        <v>103</v>
      </c>
      <c r="AC51" s="1">
        <v>65.599999999999994</v>
      </c>
      <c r="AD51" s="1">
        <v>59</v>
      </c>
      <c r="AE51" s="1">
        <v>80.2</v>
      </c>
      <c r="AF51" s="1">
        <v>84.2</v>
      </c>
      <c r="AG51" s="1">
        <v>30.8</v>
      </c>
      <c r="AH51" s="1"/>
      <c r="AI51" s="1">
        <f t="shared" si="13"/>
        <v>6</v>
      </c>
      <c r="AJ51" s="1">
        <f t="shared" si="14"/>
        <v>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93</v>
      </c>
      <c r="B52" s="1" t="s">
        <v>34</v>
      </c>
      <c r="C52" s="1">
        <v>157.328</v>
      </c>
      <c r="D52" s="1">
        <v>136.92500000000001</v>
      </c>
      <c r="E52" s="1">
        <v>149.90700000000001</v>
      </c>
      <c r="F52" s="1">
        <v>66.152000000000001</v>
      </c>
      <c r="G52" s="7">
        <v>1</v>
      </c>
      <c r="H52" s="1">
        <v>50</v>
      </c>
      <c r="I52" s="1" t="s">
        <v>35</v>
      </c>
      <c r="J52" s="1"/>
      <c r="K52" s="1">
        <v>157.92400000000001</v>
      </c>
      <c r="L52" s="1">
        <f t="shared" si="20"/>
        <v>-8.0169999999999959</v>
      </c>
      <c r="M52" s="1">
        <f t="shared" si="21"/>
        <v>149.90700000000001</v>
      </c>
      <c r="N52" s="1"/>
      <c r="O52" s="1">
        <v>175.0985</v>
      </c>
      <c r="P52" s="19"/>
      <c r="Q52" s="19"/>
      <c r="R52" s="1"/>
      <c r="S52" s="1">
        <f t="shared" si="22"/>
        <v>29.981400000000001</v>
      </c>
      <c r="T52" s="5">
        <f t="shared" si="24"/>
        <v>118.52629999999998</v>
      </c>
      <c r="U52" s="5">
        <f t="shared" si="9"/>
        <v>118.52629999999998</v>
      </c>
      <c r="V52" s="5">
        <f t="shared" si="10"/>
        <v>41.567173409999995</v>
      </c>
      <c r="W52" s="5">
        <f>U52*$W$1</f>
        <v>76.959126589999983</v>
      </c>
      <c r="X52" s="1">
        <f t="shared" si="12"/>
        <v>11.999999999999998</v>
      </c>
      <c r="Y52" s="1">
        <f t="shared" si="23"/>
        <v>8.0466722701408209</v>
      </c>
      <c r="Z52" s="1">
        <v>29.677399999999999</v>
      </c>
      <c r="AA52" s="1">
        <v>19.035</v>
      </c>
      <c r="AB52" s="1">
        <v>16.658200000000001</v>
      </c>
      <c r="AC52" s="1">
        <v>12.968</v>
      </c>
      <c r="AD52" s="1">
        <v>15.1008</v>
      </c>
      <c r="AE52" s="1">
        <v>23.822600000000001</v>
      </c>
      <c r="AF52" s="1">
        <v>13.5672</v>
      </c>
      <c r="AG52" s="1">
        <v>-10.742599999999999</v>
      </c>
      <c r="AH52" s="1"/>
      <c r="AI52" s="1">
        <f t="shared" si="13"/>
        <v>42</v>
      </c>
      <c r="AJ52" s="1">
        <f t="shared" si="14"/>
        <v>77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94</v>
      </c>
      <c r="B53" s="1" t="s">
        <v>34</v>
      </c>
      <c r="C53" s="1">
        <v>307.87900000000002</v>
      </c>
      <c r="D53" s="1">
        <v>1931.1189999999999</v>
      </c>
      <c r="E53" s="1">
        <v>806.35599999999999</v>
      </c>
      <c r="F53" s="1">
        <v>900.34799999999996</v>
      </c>
      <c r="G53" s="7">
        <v>1</v>
      </c>
      <c r="H53" s="1">
        <v>50</v>
      </c>
      <c r="I53" s="1" t="s">
        <v>35</v>
      </c>
      <c r="J53" s="1"/>
      <c r="K53" s="1">
        <v>811.54700000000003</v>
      </c>
      <c r="L53" s="1">
        <f t="shared" si="20"/>
        <v>-5.1910000000000309</v>
      </c>
      <c r="M53" s="1">
        <f t="shared" si="21"/>
        <v>403.07400000000001</v>
      </c>
      <c r="N53" s="1">
        <v>403.28199999999998</v>
      </c>
      <c r="O53" s="1">
        <v>191.34</v>
      </c>
      <c r="P53" s="19"/>
      <c r="Q53" s="19"/>
      <c r="R53" s="1">
        <v>258.66000000000003</v>
      </c>
      <c r="S53" s="1">
        <f t="shared" si="22"/>
        <v>80.614800000000002</v>
      </c>
      <c r="T53" s="5"/>
      <c r="U53" s="5">
        <f t="shared" si="9"/>
        <v>0</v>
      </c>
      <c r="V53" s="5">
        <f t="shared" si="10"/>
        <v>0</v>
      </c>
      <c r="W53" s="5"/>
      <c r="X53" s="1">
        <f t="shared" si="12"/>
        <v>16.750621473972519</v>
      </c>
      <c r="Y53" s="1">
        <f t="shared" si="23"/>
        <v>16.750621473972519</v>
      </c>
      <c r="Z53" s="1">
        <v>94.964200000000005</v>
      </c>
      <c r="AA53" s="1">
        <v>153.36920000000001</v>
      </c>
      <c r="AB53" s="1">
        <v>161.00640000000001</v>
      </c>
      <c r="AC53" s="1">
        <v>71.831199999999995</v>
      </c>
      <c r="AD53" s="1">
        <v>69.209599999999995</v>
      </c>
      <c r="AE53" s="1">
        <v>101.32680000000001</v>
      </c>
      <c r="AF53" s="1">
        <v>163.22460000000001</v>
      </c>
      <c r="AG53" s="1">
        <v>103.4038</v>
      </c>
      <c r="AH53" s="1" t="s">
        <v>37</v>
      </c>
      <c r="AI53" s="1">
        <f t="shared" si="13"/>
        <v>0</v>
      </c>
      <c r="AJ53" s="1">
        <f t="shared" si="14"/>
        <v>0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0" t="s">
        <v>95</v>
      </c>
      <c r="B54" s="10" t="s">
        <v>34</v>
      </c>
      <c r="C54" s="10"/>
      <c r="D54" s="10"/>
      <c r="E54" s="10"/>
      <c r="F54" s="10"/>
      <c r="G54" s="11">
        <v>0</v>
      </c>
      <c r="H54" s="10"/>
      <c r="I54" s="10" t="s">
        <v>35</v>
      </c>
      <c r="J54" s="10"/>
      <c r="K54" s="10"/>
      <c r="L54" s="10">
        <f t="shared" si="20"/>
        <v>0</v>
      </c>
      <c r="M54" s="10">
        <f t="shared" si="21"/>
        <v>0</v>
      </c>
      <c r="N54" s="10"/>
      <c r="O54" s="10">
        <v>0</v>
      </c>
      <c r="P54" s="21"/>
      <c r="Q54" s="21"/>
      <c r="R54" s="10"/>
      <c r="S54" s="10">
        <f t="shared" si="22"/>
        <v>0</v>
      </c>
      <c r="T54" s="12"/>
      <c r="U54" s="5">
        <f t="shared" si="9"/>
        <v>0</v>
      </c>
      <c r="V54" s="5">
        <f t="shared" si="10"/>
        <v>0</v>
      </c>
      <c r="W54" s="5"/>
      <c r="X54" s="1" t="e">
        <f t="shared" si="12"/>
        <v>#DIV/0!</v>
      </c>
      <c r="Y54" s="10" t="e">
        <f t="shared" si="23"/>
        <v>#DIV/0!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 t="s">
        <v>57</v>
      </c>
      <c r="AI54" s="1">
        <f t="shared" si="13"/>
        <v>0</v>
      </c>
      <c r="AJ54" s="1">
        <f t="shared" si="14"/>
        <v>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96</v>
      </c>
      <c r="B55" s="1" t="s">
        <v>40</v>
      </c>
      <c r="C55" s="1">
        <v>973</v>
      </c>
      <c r="D55" s="1">
        <v>11</v>
      </c>
      <c r="E55" s="1">
        <v>362</v>
      </c>
      <c r="F55" s="1">
        <v>575</v>
      </c>
      <c r="G55" s="7">
        <v>0.45</v>
      </c>
      <c r="H55" s="1">
        <v>50</v>
      </c>
      <c r="I55" s="1" t="s">
        <v>35</v>
      </c>
      <c r="J55" s="1"/>
      <c r="K55" s="1">
        <v>381</v>
      </c>
      <c r="L55" s="1">
        <f t="shared" si="20"/>
        <v>-19</v>
      </c>
      <c r="M55" s="1">
        <f t="shared" si="21"/>
        <v>362</v>
      </c>
      <c r="N55" s="1"/>
      <c r="O55" s="1">
        <v>0</v>
      </c>
      <c r="P55" s="19"/>
      <c r="Q55" s="19"/>
      <c r="R55" s="1"/>
      <c r="S55" s="1">
        <f t="shared" si="22"/>
        <v>72.400000000000006</v>
      </c>
      <c r="T55" s="5">
        <f t="shared" ref="T55:T56" si="25">12*S55-R55-O55-F55</f>
        <v>293.80000000000007</v>
      </c>
      <c r="U55" s="5">
        <f t="shared" si="9"/>
        <v>293.80000000000007</v>
      </c>
      <c r="V55" s="5">
        <f t="shared" si="10"/>
        <v>103.03566000000004</v>
      </c>
      <c r="W55" s="5">
        <f t="shared" ref="W55:W56" si="26">U55*$W$1</f>
        <v>190.76434000000003</v>
      </c>
      <c r="X55" s="1">
        <f t="shared" si="12"/>
        <v>12</v>
      </c>
      <c r="Y55" s="1">
        <f t="shared" si="23"/>
        <v>7.9419889502762429</v>
      </c>
      <c r="Z55" s="1">
        <v>68</v>
      </c>
      <c r="AA55" s="1">
        <v>63</v>
      </c>
      <c r="AB55" s="1">
        <v>61</v>
      </c>
      <c r="AC55" s="1">
        <v>62.8</v>
      </c>
      <c r="AD55" s="1">
        <v>62.4</v>
      </c>
      <c r="AE55" s="1">
        <v>49.2</v>
      </c>
      <c r="AF55" s="1">
        <v>43.6</v>
      </c>
      <c r="AG55" s="1">
        <v>69.2</v>
      </c>
      <c r="AH55" s="1"/>
      <c r="AI55" s="1">
        <f t="shared" si="13"/>
        <v>46</v>
      </c>
      <c r="AJ55" s="1">
        <f t="shared" si="14"/>
        <v>86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97</v>
      </c>
      <c r="B56" s="1" t="s">
        <v>40</v>
      </c>
      <c r="C56" s="1">
        <v>839</v>
      </c>
      <c r="D56" s="1">
        <v>561</v>
      </c>
      <c r="E56" s="1">
        <v>487</v>
      </c>
      <c r="F56" s="1">
        <v>850</v>
      </c>
      <c r="G56" s="7">
        <v>0.45</v>
      </c>
      <c r="H56" s="1">
        <v>50</v>
      </c>
      <c r="I56" s="1" t="s">
        <v>35</v>
      </c>
      <c r="J56" s="1"/>
      <c r="K56" s="1">
        <v>507</v>
      </c>
      <c r="L56" s="1">
        <f t="shared" si="20"/>
        <v>-20</v>
      </c>
      <c r="M56" s="1">
        <f t="shared" si="21"/>
        <v>487</v>
      </c>
      <c r="N56" s="1"/>
      <c r="O56" s="1">
        <v>0</v>
      </c>
      <c r="P56" s="19"/>
      <c r="Q56" s="19"/>
      <c r="R56" s="1"/>
      <c r="S56" s="1">
        <f t="shared" si="22"/>
        <v>97.4</v>
      </c>
      <c r="T56" s="5">
        <f t="shared" si="25"/>
        <v>318.80000000000018</v>
      </c>
      <c r="U56" s="5">
        <f t="shared" si="9"/>
        <v>318.80000000000018</v>
      </c>
      <c r="V56" s="5">
        <f t="shared" si="10"/>
        <v>111.80316000000008</v>
      </c>
      <c r="W56" s="5">
        <f t="shared" si="26"/>
        <v>206.99684000000011</v>
      </c>
      <c r="X56" s="1">
        <f t="shared" si="12"/>
        <v>12.000000000000002</v>
      </c>
      <c r="Y56" s="1">
        <f t="shared" si="23"/>
        <v>8.7268993839835716</v>
      </c>
      <c r="Z56" s="1">
        <v>85.4</v>
      </c>
      <c r="AA56" s="1">
        <v>118.6</v>
      </c>
      <c r="AB56" s="1">
        <v>121</v>
      </c>
      <c r="AC56" s="1">
        <v>89.2</v>
      </c>
      <c r="AD56" s="1">
        <v>85.2</v>
      </c>
      <c r="AE56" s="1">
        <v>83.8</v>
      </c>
      <c r="AF56" s="1">
        <v>97.4</v>
      </c>
      <c r="AG56" s="1">
        <v>138.80000000000001</v>
      </c>
      <c r="AH56" s="1"/>
      <c r="AI56" s="1">
        <f t="shared" si="13"/>
        <v>50</v>
      </c>
      <c r="AJ56" s="1">
        <f t="shared" si="14"/>
        <v>93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0" t="s">
        <v>98</v>
      </c>
      <c r="B57" s="10" t="s">
        <v>40</v>
      </c>
      <c r="C57" s="10"/>
      <c r="D57" s="10"/>
      <c r="E57" s="10"/>
      <c r="F57" s="10"/>
      <c r="G57" s="11">
        <v>0</v>
      </c>
      <c r="H57" s="10"/>
      <c r="I57" s="10" t="s">
        <v>35</v>
      </c>
      <c r="J57" s="10"/>
      <c r="K57" s="10"/>
      <c r="L57" s="10">
        <f t="shared" si="20"/>
        <v>0</v>
      </c>
      <c r="M57" s="10">
        <f t="shared" si="21"/>
        <v>0</v>
      </c>
      <c r="N57" s="10"/>
      <c r="O57" s="10">
        <v>0</v>
      </c>
      <c r="P57" s="21"/>
      <c r="Q57" s="21"/>
      <c r="R57" s="10"/>
      <c r="S57" s="10">
        <f t="shared" si="22"/>
        <v>0</v>
      </c>
      <c r="T57" s="12"/>
      <c r="U57" s="5">
        <f t="shared" si="9"/>
        <v>0</v>
      </c>
      <c r="V57" s="5">
        <f t="shared" si="10"/>
        <v>0</v>
      </c>
      <c r="W57" s="5"/>
      <c r="X57" s="1" t="e">
        <f t="shared" si="12"/>
        <v>#DIV/0!</v>
      </c>
      <c r="Y57" s="10" t="e">
        <f t="shared" si="23"/>
        <v>#DIV/0!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 t="s">
        <v>57</v>
      </c>
      <c r="AI57" s="1">
        <f t="shared" si="13"/>
        <v>0</v>
      </c>
      <c r="AJ57" s="1">
        <f t="shared" si="14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99</v>
      </c>
      <c r="B58" s="1" t="s">
        <v>40</v>
      </c>
      <c r="C58" s="1">
        <v>124</v>
      </c>
      <c r="D58" s="1">
        <v>6</v>
      </c>
      <c r="E58" s="1">
        <v>27</v>
      </c>
      <c r="F58" s="1">
        <v>97</v>
      </c>
      <c r="G58" s="7">
        <v>0.4</v>
      </c>
      <c r="H58" s="1">
        <v>40</v>
      </c>
      <c r="I58" s="9" t="s">
        <v>45</v>
      </c>
      <c r="J58" s="1"/>
      <c r="K58" s="1">
        <v>38</v>
      </c>
      <c r="L58" s="1">
        <f t="shared" si="20"/>
        <v>-11</v>
      </c>
      <c r="M58" s="1">
        <f t="shared" si="21"/>
        <v>27</v>
      </c>
      <c r="N58" s="1"/>
      <c r="O58" s="1">
        <v>0</v>
      </c>
      <c r="P58" s="19"/>
      <c r="Q58" s="19"/>
      <c r="R58" s="1"/>
      <c r="S58" s="1">
        <f t="shared" si="22"/>
        <v>5.4</v>
      </c>
      <c r="T58" s="5"/>
      <c r="U58" s="5">
        <f t="shared" si="9"/>
        <v>0</v>
      </c>
      <c r="V58" s="5">
        <f>U58</f>
        <v>0</v>
      </c>
      <c r="W58" s="5"/>
      <c r="X58" s="1">
        <f t="shared" si="12"/>
        <v>17.962962962962962</v>
      </c>
      <c r="Y58" s="1">
        <f t="shared" si="23"/>
        <v>17.962962962962962</v>
      </c>
      <c r="Z58" s="1">
        <v>6</v>
      </c>
      <c r="AA58" s="1">
        <v>5.2</v>
      </c>
      <c r="AB58" s="1">
        <v>6.6</v>
      </c>
      <c r="AC58" s="1">
        <v>2.6</v>
      </c>
      <c r="AD58" s="1">
        <v>2.8</v>
      </c>
      <c r="AE58" s="1">
        <v>8.1999999999999993</v>
      </c>
      <c r="AF58" s="1">
        <v>6.6</v>
      </c>
      <c r="AG58" s="1">
        <v>2.4</v>
      </c>
      <c r="AH58" s="14" t="s">
        <v>63</v>
      </c>
      <c r="AI58" s="1">
        <f t="shared" si="13"/>
        <v>0</v>
      </c>
      <c r="AJ58" s="1">
        <f t="shared" si="14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100</v>
      </c>
      <c r="B59" s="1" t="s">
        <v>34</v>
      </c>
      <c r="C59" s="1">
        <v>6.0910000000000002</v>
      </c>
      <c r="D59" s="1">
        <v>1944.816</v>
      </c>
      <c r="E59" s="1">
        <v>616.00800000000004</v>
      </c>
      <c r="F59" s="1">
        <v>1013.165</v>
      </c>
      <c r="G59" s="7">
        <v>1</v>
      </c>
      <c r="H59" s="1">
        <v>50</v>
      </c>
      <c r="I59" s="1" t="s">
        <v>35</v>
      </c>
      <c r="J59" s="1"/>
      <c r="K59" s="1">
        <v>708.22199999999998</v>
      </c>
      <c r="L59" s="1">
        <f t="shared" si="20"/>
        <v>-92.213999999999942</v>
      </c>
      <c r="M59" s="1">
        <f t="shared" si="21"/>
        <v>616.00800000000004</v>
      </c>
      <c r="N59" s="1"/>
      <c r="O59" s="1">
        <v>140.64779308448001</v>
      </c>
      <c r="P59" s="19"/>
      <c r="Q59" s="19"/>
      <c r="R59" s="1">
        <v>190.13252931552009</v>
      </c>
      <c r="S59" s="1">
        <f t="shared" si="22"/>
        <v>123.20160000000001</v>
      </c>
      <c r="T59" s="5">
        <v>200</v>
      </c>
      <c r="U59" s="5">
        <f t="shared" si="9"/>
        <v>200</v>
      </c>
      <c r="V59" s="5">
        <f t="shared" si="10"/>
        <v>70.140000000000015</v>
      </c>
      <c r="W59" s="5">
        <f>U59*$W$1</f>
        <v>129.85999999999999</v>
      </c>
      <c r="X59" s="1">
        <f t="shared" si="12"/>
        <v>12.53186096933806</v>
      </c>
      <c r="Y59" s="1">
        <f t="shared" si="23"/>
        <v>10.908505428500929</v>
      </c>
      <c r="Z59" s="1">
        <v>136.36320000000001</v>
      </c>
      <c r="AA59" s="1">
        <v>140.7388</v>
      </c>
      <c r="AB59" s="1">
        <v>154.60720000000001</v>
      </c>
      <c r="AC59" s="1">
        <v>64.628200000000007</v>
      </c>
      <c r="AD59" s="1">
        <v>46.284599999999998</v>
      </c>
      <c r="AE59" s="1">
        <v>73.507800000000003</v>
      </c>
      <c r="AF59" s="1">
        <v>80.846599999999995</v>
      </c>
      <c r="AG59" s="1">
        <v>58.027799999999999</v>
      </c>
      <c r="AH59" s="1"/>
      <c r="AI59" s="1">
        <f t="shared" si="13"/>
        <v>70</v>
      </c>
      <c r="AJ59" s="1">
        <f t="shared" si="14"/>
        <v>130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101</v>
      </c>
      <c r="B60" s="1" t="s">
        <v>40</v>
      </c>
      <c r="C60" s="1">
        <v>89</v>
      </c>
      <c r="D60" s="1">
        <v>1270</v>
      </c>
      <c r="E60" s="13">
        <f>228+E137</f>
        <v>327</v>
      </c>
      <c r="F60" s="13">
        <f>932+F137</f>
        <v>976</v>
      </c>
      <c r="G60" s="7">
        <v>0.1</v>
      </c>
      <c r="H60" s="1">
        <v>731</v>
      </c>
      <c r="I60" s="1" t="s">
        <v>35</v>
      </c>
      <c r="J60" s="1"/>
      <c r="K60" s="1">
        <v>246</v>
      </c>
      <c r="L60" s="1">
        <f t="shared" si="20"/>
        <v>81</v>
      </c>
      <c r="M60" s="1">
        <f t="shared" si="21"/>
        <v>327</v>
      </c>
      <c r="N60" s="1"/>
      <c r="O60" s="1">
        <v>50</v>
      </c>
      <c r="P60" s="19"/>
      <c r="Q60" s="19"/>
      <c r="R60" s="1"/>
      <c r="S60" s="1">
        <f t="shared" si="22"/>
        <v>65.400000000000006</v>
      </c>
      <c r="T60" s="5"/>
      <c r="U60" s="5">
        <f t="shared" si="9"/>
        <v>0</v>
      </c>
      <c r="V60" s="5">
        <f t="shared" si="10"/>
        <v>0</v>
      </c>
      <c r="W60" s="5"/>
      <c r="X60" s="1">
        <f t="shared" si="12"/>
        <v>15.688073394495412</v>
      </c>
      <c r="Y60" s="1">
        <f t="shared" si="23"/>
        <v>15.688073394495412</v>
      </c>
      <c r="Z60" s="1">
        <v>33.4</v>
      </c>
      <c r="AA60" s="1">
        <v>37</v>
      </c>
      <c r="AB60" s="1">
        <v>62.6</v>
      </c>
      <c r="AC60" s="1">
        <v>35.200000000000003</v>
      </c>
      <c r="AD60" s="1">
        <v>18.2</v>
      </c>
      <c r="AE60" s="1">
        <v>21.2</v>
      </c>
      <c r="AF60" s="1">
        <v>26.6</v>
      </c>
      <c r="AG60" s="1">
        <v>27.2</v>
      </c>
      <c r="AH60" s="1"/>
      <c r="AI60" s="1">
        <f t="shared" si="13"/>
        <v>0</v>
      </c>
      <c r="AJ60" s="1">
        <f t="shared" si="14"/>
        <v>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102</v>
      </c>
      <c r="B61" s="1" t="s">
        <v>34</v>
      </c>
      <c r="C61" s="1">
        <v>870.13199999999995</v>
      </c>
      <c r="D61" s="1">
        <v>621.88599999999997</v>
      </c>
      <c r="E61" s="1">
        <v>834.85299999999995</v>
      </c>
      <c r="F61" s="1">
        <v>280.78500000000003</v>
      </c>
      <c r="G61" s="7">
        <v>1</v>
      </c>
      <c r="H61" s="1">
        <v>50</v>
      </c>
      <c r="I61" s="1" t="s">
        <v>35</v>
      </c>
      <c r="J61" s="1"/>
      <c r="K61" s="1">
        <v>845.91700000000003</v>
      </c>
      <c r="L61" s="1">
        <f t="shared" si="20"/>
        <v>-11.064000000000078</v>
      </c>
      <c r="M61" s="1">
        <f t="shared" si="21"/>
        <v>576.43599999999992</v>
      </c>
      <c r="N61" s="1">
        <v>258.41699999999997</v>
      </c>
      <c r="O61" s="1">
        <v>152.58144676000001</v>
      </c>
      <c r="P61" s="19"/>
      <c r="Q61" s="19"/>
      <c r="R61" s="1">
        <v>206.26485324000001</v>
      </c>
      <c r="S61" s="1">
        <f t="shared" si="22"/>
        <v>115.28719999999998</v>
      </c>
      <c r="T61" s="5">
        <f t="shared" ref="T61:T69" si="27">12*S61-R61-O61-F61</f>
        <v>743.81509999999957</v>
      </c>
      <c r="U61" s="5">
        <f t="shared" si="9"/>
        <v>743.81509999999957</v>
      </c>
      <c r="V61" s="5">
        <f t="shared" si="10"/>
        <v>260.85595556999988</v>
      </c>
      <c r="W61" s="5">
        <f t="shared" ref="W61:W62" si="28">U61*$W$1</f>
        <v>482.9591444299997</v>
      </c>
      <c r="X61" s="1">
        <f t="shared" si="12"/>
        <v>11.999999999999998</v>
      </c>
      <c r="Y61" s="1">
        <f t="shared" si="23"/>
        <v>5.5481553893233606</v>
      </c>
      <c r="Z61" s="1">
        <v>98.024599999999992</v>
      </c>
      <c r="AA61" s="1">
        <v>102.12820000000001</v>
      </c>
      <c r="AB61" s="1">
        <v>92.134600000000006</v>
      </c>
      <c r="AC61" s="1">
        <v>28.6614</v>
      </c>
      <c r="AD61" s="1">
        <v>42.103200000000001</v>
      </c>
      <c r="AE61" s="1">
        <v>122.72580000000001</v>
      </c>
      <c r="AF61" s="1">
        <v>148.85560000000001</v>
      </c>
      <c r="AG61" s="1">
        <v>72.963200000000001</v>
      </c>
      <c r="AH61" s="1"/>
      <c r="AI61" s="1">
        <f t="shared" si="13"/>
        <v>261</v>
      </c>
      <c r="AJ61" s="1">
        <f t="shared" si="14"/>
        <v>483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103</v>
      </c>
      <c r="B62" s="1" t="s">
        <v>34</v>
      </c>
      <c r="C62" s="1">
        <v>121.483</v>
      </c>
      <c r="D62" s="1">
        <v>61.381999999999998</v>
      </c>
      <c r="E62" s="1">
        <v>103.795</v>
      </c>
      <c r="F62" s="1">
        <v>12.289</v>
      </c>
      <c r="G62" s="7">
        <v>1</v>
      </c>
      <c r="H62" s="1">
        <v>55</v>
      </c>
      <c r="I62" s="1" t="s">
        <v>35</v>
      </c>
      <c r="J62" s="1"/>
      <c r="K62" s="1">
        <v>104.746</v>
      </c>
      <c r="L62" s="1">
        <f t="shared" si="20"/>
        <v>-0.95099999999999341</v>
      </c>
      <c r="M62" s="1">
        <f t="shared" si="21"/>
        <v>103.795</v>
      </c>
      <c r="N62" s="1"/>
      <c r="O62" s="1">
        <v>109.2462</v>
      </c>
      <c r="P62" s="19"/>
      <c r="Q62" s="19"/>
      <c r="R62" s="1"/>
      <c r="S62" s="1">
        <f t="shared" si="22"/>
        <v>20.759</v>
      </c>
      <c r="T62" s="5">
        <f t="shared" si="27"/>
        <v>127.57280000000002</v>
      </c>
      <c r="U62" s="5">
        <f t="shared" si="9"/>
        <v>127.57280000000002</v>
      </c>
      <c r="V62" s="5">
        <f t="shared" si="10"/>
        <v>44.739780960000004</v>
      </c>
      <c r="W62" s="5">
        <f t="shared" si="28"/>
        <v>82.833019040000011</v>
      </c>
      <c r="X62" s="1">
        <f t="shared" si="12"/>
        <v>12</v>
      </c>
      <c r="Y62" s="1">
        <f t="shared" si="23"/>
        <v>5.8545787369333784</v>
      </c>
      <c r="Z62" s="1">
        <v>17.7484</v>
      </c>
      <c r="AA62" s="1">
        <v>2.9815999999999998</v>
      </c>
      <c r="AB62" s="1">
        <v>5.4039999999999999</v>
      </c>
      <c r="AC62" s="1">
        <v>9.4480000000000004</v>
      </c>
      <c r="AD62" s="1">
        <v>7.5763999999999996</v>
      </c>
      <c r="AE62" s="1">
        <v>5.4626000000000001</v>
      </c>
      <c r="AF62" s="1">
        <v>6.831999999999999</v>
      </c>
      <c r="AG62" s="1">
        <v>4.8714000000000004</v>
      </c>
      <c r="AH62" s="1"/>
      <c r="AI62" s="1">
        <f t="shared" si="13"/>
        <v>45</v>
      </c>
      <c r="AJ62" s="1">
        <f t="shared" si="14"/>
        <v>83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104</v>
      </c>
      <c r="B63" s="1" t="s">
        <v>40</v>
      </c>
      <c r="C63" s="1">
        <v>97</v>
      </c>
      <c r="D63" s="1">
        <v>826</v>
      </c>
      <c r="E63" s="1">
        <v>201</v>
      </c>
      <c r="F63" s="1">
        <v>700</v>
      </c>
      <c r="G63" s="7">
        <v>0.1</v>
      </c>
      <c r="H63" s="1">
        <v>731</v>
      </c>
      <c r="I63" s="1" t="s">
        <v>35</v>
      </c>
      <c r="J63" s="1"/>
      <c r="K63" s="1">
        <v>216</v>
      </c>
      <c r="L63" s="1">
        <f t="shared" si="20"/>
        <v>-15</v>
      </c>
      <c r="M63" s="1">
        <f t="shared" si="21"/>
        <v>201</v>
      </c>
      <c r="N63" s="1"/>
      <c r="O63" s="1">
        <v>50</v>
      </c>
      <c r="P63" s="19"/>
      <c r="Q63" s="19"/>
      <c r="R63" s="1"/>
      <c r="S63" s="1">
        <f t="shared" si="22"/>
        <v>40.200000000000003</v>
      </c>
      <c r="T63" s="5"/>
      <c r="U63" s="5">
        <f t="shared" si="9"/>
        <v>0</v>
      </c>
      <c r="V63" s="5">
        <f t="shared" si="10"/>
        <v>0</v>
      </c>
      <c r="W63" s="5"/>
      <c r="X63" s="1">
        <f t="shared" si="12"/>
        <v>18.656716417910445</v>
      </c>
      <c r="Y63" s="1">
        <f t="shared" si="23"/>
        <v>18.656716417910445</v>
      </c>
      <c r="Z63" s="1">
        <v>25.8</v>
      </c>
      <c r="AA63" s="1">
        <v>29</v>
      </c>
      <c r="AB63" s="1">
        <v>47</v>
      </c>
      <c r="AC63" s="1">
        <v>28.2</v>
      </c>
      <c r="AD63" s="1">
        <v>12</v>
      </c>
      <c r="AE63" s="1">
        <v>17.2</v>
      </c>
      <c r="AF63" s="1">
        <v>18.600000000000001</v>
      </c>
      <c r="AG63" s="1">
        <v>23.6</v>
      </c>
      <c r="AH63" s="1"/>
      <c r="AI63" s="1">
        <f t="shared" si="13"/>
        <v>0</v>
      </c>
      <c r="AJ63" s="1">
        <f t="shared" si="14"/>
        <v>0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105</v>
      </c>
      <c r="B64" s="1" t="s">
        <v>40</v>
      </c>
      <c r="C64" s="1">
        <v>24</v>
      </c>
      <c r="D64" s="1"/>
      <c r="E64" s="1">
        <v>5</v>
      </c>
      <c r="F64" s="1">
        <v>19</v>
      </c>
      <c r="G64" s="7">
        <v>0.4</v>
      </c>
      <c r="H64" s="1">
        <v>50</v>
      </c>
      <c r="I64" s="1" t="s">
        <v>35</v>
      </c>
      <c r="J64" s="1"/>
      <c r="K64" s="1">
        <v>15</v>
      </c>
      <c r="L64" s="1">
        <f t="shared" si="20"/>
        <v>-10</v>
      </c>
      <c r="M64" s="1">
        <f t="shared" si="21"/>
        <v>5</v>
      </c>
      <c r="N64" s="1"/>
      <c r="O64" s="1">
        <v>0</v>
      </c>
      <c r="P64" s="19"/>
      <c r="Q64" s="19"/>
      <c r="R64" s="1"/>
      <c r="S64" s="1">
        <f t="shared" si="22"/>
        <v>1</v>
      </c>
      <c r="T64" s="5"/>
      <c r="U64" s="5">
        <f t="shared" si="9"/>
        <v>0</v>
      </c>
      <c r="V64" s="5">
        <f t="shared" si="10"/>
        <v>0</v>
      </c>
      <c r="W64" s="5"/>
      <c r="X64" s="1">
        <f t="shared" si="12"/>
        <v>19</v>
      </c>
      <c r="Y64" s="1">
        <f t="shared" si="23"/>
        <v>19</v>
      </c>
      <c r="Z64" s="1">
        <v>0.6</v>
      </c>
      <c r="AA64" s="1">
        <v>0.2</v>
      </c>
      <c r="AB64" s="1">
        <v>0.2</v>
      </c>
      <c r="AC64" s="1">
        <v>0.2</v>
      </c>
      <c r="AD64" s="1">
        <v>0.2</v>
      </c>
      <c r="AE64" s="1">
        <v>0.2</v>
      </c>
      <c r="AF64" s="1">
        <v>0</v>
      </c>
      <c r="AG64" s="1">
        <v>0.2</v>
      </c>
      <c r="AH64" s="15" t="s">
        <v>106</v>
      </c>
      <c r="AI64" s="1">
        <f t="shared" si="13"/>
        <v>0</v>
      </c>
      <c r="AJ64" s="1">
        <f t="shared" si="14"/>
        <v>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107</v>
      </c>
      <c r="B65" s="1" t="s">
        <v>34</v>
      </c>
      <c r="C65" s="1">
        <v>-83.001999999999995</v>
      </c>
      <c r="D65" s="1">
        <v>999.89300000000003</v>
      </c>
      <c r="E65" s="1">
        <v>151.28700000000001</v>
      </c>
      <c r="F65" s="1">
        <v>531.96900000000005</v>
      </c>
      <c r="G65" s="7">
        <v>1</v>
      </c>
      <c r="H65" s="1">
        <v>40</v>
      </c>
      <c r="I65" s="9" t="s">
        <v>45</v>
      </c>
      <c r="J65" s="1"/>
      <c r="K65" s="1">
        <v>199.434</v>
      </c>
      <c r="L65" s="1">
        <f t="shared" si="20"/>
        <v>-48.146999999999991</v>
      </c>
      <c r="M65" s="1">
        <f t="shared" si="21"/>
        <v>95.453000000000003</v>
      </c>
      <c r="N65" s="1">
        <v>55.834000000000003</v>
      </c>
      <c r="O65" s="1">
        <v>200</v>
      </c>
      <c r="P65" s="19"/>
      <c r="Q65" s="19"/>
      <c r="R65" s="1"/>
      <c r="S65" s="1">
        <f t="shared" si="22"/>
        <v>19.090600000000002</v>
      </c>
      <c r="T65" s="5"/>
      <c r="U65" s="5">
        <f t="shared" si="9"/>
        <v>0</v>
      </c>
      <c r="V65" s="5">
        <f t="shared" si="9"/>
        <v>0</v>
      </c>
      <c r="W65" s="5"/>
      <c r="X65" s="1">
        <f t="shared" si="12"/>
        <v>38.34185410620934</v>
      </c>
      <c r="Y65" s="1">
        <f t="shared" si="23"/>
        <v>38.34185410620934</v>
      </c>
      <c r="Z65" s="1">
        <v>23.803599999999999</v>
      </c>
      <c r="AA65" s="1">
        <v>71.302800000000005</v>
      </c>
      <c r="AB65" s="1">
        <v>74.102599999999995</v>
      </c>
      <c r="AC65" s="1">
        <v>40.983999999999988</v>
      </c>
      <c r="AD65" s="1">
        <v>8.3099999999999987</v>
      </c>
      <c r="AE65" s="1">
        <v>26.265000000000001</v>
      </c>
      <c r="AF65" s="1">
        <v>55.605400000000003</v>
      </c>
      <c r="AG65" s="1">
        <v>1.9778</v>
      </c>
      <c r="AH65" s="1" t="s">
        <v>37</v>
      </c>
      <c r="AI65" s="1">
        <f t="shared" si="13"/>
        <v>0</v>
      </c>
      <c r="AJ65" s="1">
        <f t="shared" si="14"/>
        <v>0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108</v>
      </c>
      <c r="B66" s="1" t="s">
        <v>34</v>
      </c>
      <c r="C66" s="1">
        <v>-27.998000000000001</v>
      </c>
      <c r="D66" s="1">
        <v>362.25799999999998</v>
      </c>
      <c r="E66" s="1">
        <v>324.56299999999999</v>
      </c>
      <c r="F66" s="1">
        <v>-166.54400000000001</v>
      </c>
      <c r="G66" s="7">
        <v>1</v>
      </c>
      <c r="H66" s="1">
        <v>40</v>
      </c>
      <c r="I66" s="9" t="s">
        <v>45</v>
      </c>
      <c r="J66" s="1"/>
      <c r="K66" s="1">
        <v>633.4</v>
      </c>
      <c r="L66" s="1">
        <f t="shared" si="20"/>
        <v>-308.83699999999999</v>
      </c>
      <c r="M66" s="1">
        <f t="shared" si="21"/>
        <v>324.56299999999999</v>
      </c>
      <c r="N66" s="1"/>
      <c r="O66" s="1">
        <v>100</v>
      </c>
      <c r="P66" s="19"/>
      <c r="Q66" s="19"/>
      <c r="R66" s="1"/>
      <c r="S66" s="1">
        <f t="shared" si="22"/>
        <v>64.912599999999998</v>
      </c>
      <c r="T66" s="5">
        <v>400</v>
      </c>
      <c r="U66" s="5">
        <f t="shared" si="9"/>
        <v>400</v>
      </c>
      <c r="V66" s="5">
        <f t="shared" si="9"/>
        <v>400</v>
      </c>
      <c r="W66" s="5">
        <v>200</v>
      </c>
      <c r="X66" s="1">
        <f t="shared" si="12"/>
        <v>8.2180655219479739</v>
      </c>
      <c r="Y66" s="1">
        <f t="shared" si="23"/>
        <v>-1.0251322547548551</v>
      </c>
      <c r="Z66" s="1">
        <v>19.1128</v>
      </c>
      <c r="AA66" s="1">
        <v>32.8048</v>
      </c>
      <c r="AB66" s="1">
        <v>35.227999999999987</v>
      </c>
      <c r="AC66" s="1">
        <v>10.414</v>
      </c>
      <c r="AD66" s="1">
        <v>0.26600000000000001</v>
      </c>
      <c r="AE66" s="1">
        <v>12.8588</v>
      </c>
      <c r="AF66" s="1">
        <v>32.803199999999997</v>
      </c>
      <c r="AG66" s="1">
        <v>19.798400000000001</v>
      </c>
      <c r="AH66" s="1" t="s">
        <v>37</v>
      </c>
      <c r="AI66" s="1">
        <f t="shared" si="13"/>
        <v>400</v>
      </c>
      <c r="AJ66" s="1">
        <f t="shared" si="14"/>
        <v>200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109</v>
      </c>
      <c r="B67" s="1" t="s">
        <v>40</v>
      </c>
      <c r="C67" s="1">
        <v>-14</v>
      </c>
      <c r="D67" s="1">
        <v>2561</v>
      </c>
      <c r="E67" s="1">
        <v>571</v>
      </c>
      <c r="F67" s="1">
        <v>1846</v>
      </c>
      <c r="G67" s="7">
        <v>0.4</v>
      </c>
      <c r="H67" s="1">
        <v>40</v>
      </c>
      <c r="I67" s="9" t="s">
        <v>45</v>
      </c>
      <c r="J67" s="1"/>
      <c r="K67" s="1">
        <v>611</v>
      </c>
      <c r="L67" s="1">
        <f t="shared" si="20"/>
        <v>-40</v>
      </c>
      <c r="M67" s="1">
        <f t="shared" si="21"/>
        <v>571</v>
      </c>
      <c r="N67" s="1"/>
      <c r="O67" s="1">
        <v>150</v>
      </c>
      <c r="P67" s="19"/>
      <c r="Q67" s="19"/>
      <c r="R67" s="1"/>
      <c r="S67" s="1">
        <f t="shared" si="22"/>
        <v>114.2</v>
      </c>
      <c r="T67" s="5"/>
      <c r="U67" s="5">
        <f t="shared" si="9"/>
        <v>0</v>
      </c>
      <c r="V67" s="5">
        <f t="shared" si="9"/>
        <v>0</v>
      </c>
      <c r="W67" s="5"/>
      <c r="X67" s="1">
        <f t="shared" si="12"/>
        <v>17.478108581436075</v>
      </c>
      <c r="Y67" s="1">
        <f t="shared" si="23"/>
        <v>17.478108581436075</v>
      </c>
      <c r="Z67" s="1">
        <v>94.8</v>
      </c>
      <c r="AA67" s="1">
        <v>209</v>
      </c>
      <c r="AB67" s="1">
        <v>283.39999999999998</v>
      </c>
      <c r="AC67" s="1">
        <v>167</v>
      </c>
      <c r="AD67" s="1">
        <v>155.6</v>
      </c>
      <c r="AE67" s="1">
        <v>157.4</v>
      </c>
      <c r="AF67" s="1">
        <v>200.4</v>
      </c>
      <c r="AG67" s="1">
        <v>164</v>
      </c>
      <c r="AH67" s="1"/>
      <c r="AI67" s="1">
        <f t="shared" si="13"/>
        <v>0</v>
      </c>
      <c r="AJ67" s="1">
        <f t="shared" si="14"/>
        <v>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110</v>
      </c>
      <c r="B68" s="1" t="s">
        <v>40</v>
      </c>
      <c r="C68" s="1">
        <v>17</v>
      </c>
      <c r="D68" s="1">
        <v>817</v>
      </c>
      <c r="E68" s="1">
        <v>269</v>
      </c>
      <c r="F68" s="1">
        <v>471</v>
      </c>
      <c r="G68" s="7">
        <v>0.4</v>
      </c>
      <c r="H68" s="1">
        <v>40</v>
      </c>
      <c r="I68" s="9" t="s">
        <v>45</v>
      </c>
      <c r="J68" s="1"/>
      <c r="K68" s="1">
        <v>484</v>
      </c>
      <c r="L68" s="1">
        <f t="shared" si="20"/>
        <v>-215</v>
      </c>
      <c r="M68" s="1">
        <f t="shared" si="21"/>
        <v>269</v>
      </c>
      <c r="N68" s="1"/>
      <c r="O68" s="1">
        <v>106.3</v>
      </c>
      <c r="P68" s="19"/>
      <c r="Q68" s="19"/>
      <c r="R68" s="1">
        <v>143.69999999999999</v>
      </c>
      <c r="S68" s="1">
        <f t="shared" si="22"/>
        <v>53.8</v>
      </c>
      <c r="T68" s="5"/>
      <c r="U68" s="5">
        <f t="shared" si="9"/>
        <v>0</v>
      </c>
      <c r="V68" s="5">
        <f t="shared" si="9"/>
        <v>0</v>
      </c>
      <c r="W68" s="5"/>
      <c r="X68" s="1">
        <f t="shared" si="12"/>
        <v>13.401486988847584</v>
      </c>
      <c r="Y68" s="1">
        <f t="shared" si="23"/>
        <v>13.401486988847584</v>
      </c>
      <c r="Z68" s="1">
        <v>26.4</v>
      </c>
      <c r="AA68" s="1">
        <v>52.6</v>
      </c>
      <c r="AB68" s="1">
        <v>97</v>
      </c>
      <c r="AC68" s="1">
        <v>65.8</v>
      </c>
      <c r="AD68" s="1">
        <v>20</v>
      </c>
      <c r="AE68" s="1">
        <v>15.6</v>
      </c>
      <c r="AF68" s="1">
        <v>37.799999999999997</v>
      </c>
      <c r="AG68" s="1">
        <v>26.6</v>
      </c>
      <c r="AH68" s="1"/>
      <c r="AI68" s="1">
        <f t="shared" si="13"/>
        <v>0</v>
      </c>
      <c r="AJ68" s="1">
        <f t="shared" si="14"/>
        <v>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 t="s">
        <v>111</v>
      </c>
      <c r="B69" s="1" t="s">
        <v>34</v>
      </c>
      <c r="C69" s="1">
        <v>60.286999999999999</v>
      </c>
      <c r="D69" s="1">
        <v>73.762</v>
      </c>
      <c r="E69" s="1">
        <v>145.90700000000001</v>
      </c>
      <c r="F69" s="1">
        <v>-41.924999999999997</v>
      </c>
      <c r="G69" s="7">
        <v>1</v>
      </c>
      <c r="H69" s="1">
        <v>40</v>
      </c>
      <c r="I69" s="9" t="s">
        <v>45</v>
      </c>
      <c r="J69" s="1"/>
      <c r="K69" s="1">
        <v>198.99199999999999</v>
      </c>
      <c r="L69" s="1">
        <f t="shared" si="20"/>
        <v>-53.08499999999998</v>
      </c>
      <c r="M69" s="1">
        <f t="shared" si="21"/>
        <v>145.90700000000001</v>
      </c>
      <c r="N69" s="1"/>
      <c r="O69" s="1">
        <v>200</v>
      </c>
      <c r="P69" s="19"/>
      <c r="Q69" s="19"/>
      <c r="R69" s="1"/>
      <c r="S69" s="1">
        <f t="shared" si="22"/>
        <v>29.181400000000004</v>
      </c>
      <c r="T69" s="5">
        <f t="shared" si="27"/>
        <v>192.10180000000008</v>
      </c>
      <c r="U69" s="5">
        <f t="shared" si="9"/>
        <v>192.10180000000008</v>
      </c>
      <c r="V69" s="5">
        <f t="shared" si="9"/>
        <v>192.10180000000008</v>
      </c>
      <c r="W69" s="5"/>
      <c r="X69" s="1">
        <f t="shared" si="12"/>
        <v>12.000000000000002</v>
      </c>
      <c r="Y69" s="1">
        <f t="shared" si="23"/>
        <v>5.4169779380016028</v>
      </c>
      <c r="Z69" s="1">
        <v>13.0938</v>
      </c>
      <c r="AA69" s="1">
        <v>1.0998000000000001</v>
      </c>
      <c r="AB69" s="1">
        <v>6.0128000000000004</v>
      </c>
      <c r="AC69" s="1">
        <v>19.421600000000002</v>
      </c>
      <c r="AD69" s="1">
        <v>9.282</v>
      </c>
      <c r="AE69" s="1">
        <v>10.1296</v>
      </c>
      <c r="AF69" s="1">
        <v>11.0182</v>
      </c>
      <c r="AG69" s="1">
        <v>11.1456</v>
      </c>
      <c r="AH69" s="1"/>
      <c r="AI69" s="1">
        <f t="shared" si="13"/>
        <v>192</v>
      </c>
      <c r="AJ69" s="1">
        <f t="shared" si="14"/>
        <v>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 t="s">
        <v>112</v>
      </c>
      <c r="B70" s="1" t="s">
        <v>34</v>
      </c>
      <c r="C70" s="1">
        <v>14.375999999999999</v>
      </c>
      <c r="D70" s="1">
        <v>159.60300000000001</v>
      </c>
      <c r="E70" s="1">
        <v>88.587999999999994</v>
      </c>
      <c r="F70" s="1">
        <v>2.484</v>
      </c>
      <c r="G70" s="7">
        <v>1</v>
      </c>
      <c r="H70" s="1">
        <v>40</v>
      </c>
      <c r="I70" s="9" t="s">
        <v>45</v>
      </c>
      <c r="J70" s="1"/>
      <c r="K70" s="1">
        <v>165.28299999999999</v>
      </c>
      <c r="L70" s="1">
        <f t="shared" ref="L70:L101" si="29">E70-K70</f>
        <v>-76.694999999999993</v>
      </c>
      <c r="M70" s="1">
        <f t="shared" ref="M70:M101" si="30">E70-N70</f>
        <v>45.304999999999993</v>
      </c>
      <c r="N70" s="1">
        <v>43.283000000000001</v>
      </c>
      <c r="O70" s="1">
        <v>100</v>
      </c>
      <c r="P70" s="19"/>
      <c r="Q70" s="19"/>
      <c r="R70" s="1"/>
      <c r="S70" s="1">
        <f t="shared" ref="S70:S101" si="31">M70/5</f>
        <v>9.0609999999999982</v>
      </c>
      <c r="T70" s="5">
        <v>60</v>
      </c>
      <c r="U70" s="5">
        <f t="shared" si="9"/>
        <v>60</v>
      </c>
      <c r="V70" s="5">
        <f t="shared" si="9"/>
        <v>60</v>
      </c>
      <c r="W70" s="5">
        <v>30</v>
      </c>
      <c r="X70" s="1">
        <f t="shared" si="12"/>
        <v>21.243129897362323</v>
      </c>
      <c r="Y70" s="1">
        <f t="shared" ref="Y70:Y101" si="32">(F70+O70+R70)/S70</f>
        <v>11.310451385056838</v>
      </c>
      <c r="Z70" s="1">
        <v>10.6732</v>
      </c>
      <c r="AA70" s="1">
        <v>19.827200000000001</v>
      </c>
      <c r="AB70" s="1">
        <v>18.578600000000002</v>
      </c>
      <c r="AC70" s="1">
        <v>13.1068</v>
      </c>
      <c r="AD70" s="1">
        <v>10.066800000000001</v>
      </c>
      <c r="AE70" s="1">
        <v>14.335800000000001</v>
      </c>
      <c r="AF70" s="1">
        <v>32.4208</v>
      </c>
      <c r="AG70" s="1">
        <v>3.311199999999999</v>
      </c>
      <c r="AH70" s="1"/>
      <c r="AI70" s="1">
        <f t="shared" si="13"/>
        <v>60</v>
      </c>
      <c r="AJ70" s="1">
        <f t="shared" si="14"/>
        <v>30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 t="s">
        <v>113</v>
      </c>
      <c r="B71" s="1" t="s">
        <v>34</v>
      </c>
      <c r="C71" s="1">
        <v>-75.799000000000007</v>
      </c>
      <c r="D71" s="1">
        <v>1526.9349999999999</v>
      </c>
      <c r="E71" s="1">
        <v>753.32600000000002</v>
      </c>
      <c r="F71" s="1">
        <v>-43.302999999999997</v>
      </c>
      <c r="G71" s="7">
        <v>1</v>
      </c>
      <c r="H71" s="1">
        <v>40</v>
      </c>
      <c r="I71" s="9" t="s">
        <v>45</v>
      </c>
      <c r="J71" s="1"/>
      <c r="K71" s="1">
        <v>909.34699999999998</v>
      </c>
      <c r="L71" s="1">
        <f t="shared" si="29"/>
        <v>-156.02099999999996</v>
      </c>
      <c r="M71" s="1">
        <f t="shared" si="30"/>
        <v>753.32600000000002</v>
      </c>
      <c r="N71" s="1"/>
      <c r="O71" s="1">
        <v>106.3</v>
      </c>
      <c r="P71" s="19"/>
      <c r="Q71" s="19"/>
      <c r="R71" s="1">
        <v>143.69999999999999</v>
      </c>
      <c r="S71" s="1">
        <f t="shared" si="31"/>
        <v>150.6652</v>
      </c>
      <c r="T71" s="5">
        <v>900</v>
      </c>
      <c r="U71" s="5">
        <f t="shared" ref="U71:V134" si="33">T71</f>
        <v>900</v>
      </c>
      <c r="V71" s="5">
        <f t="shared" si="33"/>
        <v>900</v>
      </c>
      <c r="W71" s="5">
        <f>U71*$Z$1</f>
        <v>414</v>
      </c>
      <c r="X71" s="1">
        <f t="shared" ref="X71:X134" si="34">(F71+O71+R71+V71+W71)/S71</f>
        <v>10.093219933999359</v>
      </c>
      <c r="Y71" s="1">
        <f t="shared" si="32"/>
        <v>1.3718960981036099</v>
      </c>
      <c r="Z71" s="1">
        <v>10.826000000000001</v>
      </c>
      <c r="AA71" s="1">
        <v>108.81619999999999</v>
      </c>
      <c r="AB71" s="1">
        <v>142.37799999999999</v>
      </c>
      <c r="AC71" s="1">
        <v>60.96</v>
      </c>
      <c r="AD71" s="1">
        <v>40.290599999999998</v>
      </c>
      <c r="AE71" s="1">
        <v>85.263000000000005</v>
      </c>
      <c r="AF71" s="1">
        <v>100.748</v>
      </c>
      <c r="AG71" s="1">
        <v>83.455400000000012</v>
      </c>
      <c r="AH71" s="1" t="s">
        <v>37</v>
      </c>
      <c r="AI71" s="1">
        <f t="shared" ref="AI71:AI134" si="35">ROUND(G71*V71,0)</f>
        <v>900</v>
      </c>
      <c r="AJ71" s="1">
        <f t="shared" ref="AJ71:AJ134" si="36">ROUND(G71*W71,0)</f>
        <v>414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114</v>
      </c>
      <c r="B72" s="1" t="s">
        <v>34</v>
      </c>
      <c r="C72" s="1">
        <v>-17.405000000000001</v>
      </c>
      <c r="D72" s="1">
        <v>1.825</v>
      </c>
      <c r="E72" s="1">
        <v>18.116</v>
      </c>
      <c r="F72" s="1">
        <v>-40.078000000000003</v>
      </c>
      <c r="G72" s="7">
        <v>1</v>
      </c>
      <c r="H72" s="1">
        <v>40</v>
      </c>
      <c r="I72" s="9" t="s">
        <v>45</v>
      </c>
      <c r="J72" s="1"/>
      <c r="K72" s="1">
        <v>52.603000000000002</v>
      </c>
      <c r="L72" s="1">
        <f t="shared" si="29"/>
        <v>-34.487000000000002</v>
      </c>
      <c r="M72" s="1">
        <f t="shared" si="30"/>
        <v>18.116</v>
      </c>
      <c r="N72" s="1"/>
      <c r="O72" s="1">
        <v>100</v>
      </c>
      <c r="P72" s="19"/>
      <c r="Q72" s="19"/>
      <c r="R72" s="1"/>
      <c r="S72" s="1">
        <f t="shared" si="31"/>
        <v>3.6231999999999998</v>
      </c>
      <c r="T72" s="5">
        <v>50</v>
      </c>
      <c r="U72" s="5">
        <f t="shared" si="33"/>
        <v>50</v>
      </c>
      <c r="V72" s="5">
        <f t="shared" si="33"/>
        <v>50</v>
      </c>
      <c r="W72" s="5"/>
      <c r="X72" s="1">
        <f t="shared" si="34"/>
        <v>30.338374917200266</v>
      </c>
      <c r="Y72" s="1">
        <f t="shared" si="32"/>
        <v>16.538419077058954</v>
      </c>
      <c r="Z72" s="1">
        <v>4.3747999999999996</v>
      </c>
      <c r="AA72" s="1">
        <v>13.090400000000001</v>
      </c>
      <c r="AB72" s="1">
        <v>12.855399999999999</v>
      </c>
      <c r="AC72" s="1">
        <v>3.5981999999999998</v>
      </c>
      <c r="AD72" s="1">
        <v>1.6362000000000001</v>
      </c>
      <c r="AE72" s="1">
        <v>3.9883999999999999</v>
      </c>
      <c r="AF72" s="1">
        <v>20.392199999999999</v>
      </c>
      <c r="AG72" s="1">
        <v>17.112400000000001</v>
      </c>
      <c r="AH72" s="1"/>
      <c r="AI72" s="1">
        <f t="shared" si="35"/>
        <v>50</v>
      </c>
      <c r="AJ72" s="1">
        <f t="shared" si="36"/>
        <v>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0" t="s">
        <v>115</v>
      </c>
      <c r="B73" s="10" t="s">
        <v>40</v>
      </c>
      <c r="C73" s="10"/>
      <c r="D73" s="10"/>
      <c r="E73" s="10"/>
      <c r="F73" s="10"/>
      <c r="G73" s="11">
        <v>0</v>
      </c>
      <c r="H73" s="10"/>
      <c r="I73" s="10" t="s">
        <v>35</v>
      </c>
      <c r="J73" s="10"/>
      <c r="K73" s="10"/>
      <c r="L73" s="10">
        <f t="shared" si="29"/>
        <v>0</v>
      </c>
      <c r="M73" s="10">
        <f t="shared" si="30"/>
        <v>0</v>
      </c>
      <c r="N73" s="10"/>
      <c r="O73" s="10">
        <v>0</v>
      </c>
      <c r="P73" s="21"/>
      <c r="Q73" s="21"/>
      <c r="R73" s="10"/>
      <c r="S73" s="10">
        <f t="shared" si="31"/>
        <v>0</v>
      </c>
      <c r="T73" s="12"/>
      <c r="U73" s="5">
        <f t="shared" si="33"/>
        <v>0</v>
      </c>
      <c r="V73" s="5">
        <f t="shared" ref="V73:V134" si="37">U73-W73</f>
        <v>0</v>
      </c>
      <c r="W73" s="5"/>
      <c r="X73" s="1" t="e">
        <f t="shared" si="34"/>
        <v>#DIV/0!</v>
      </c>
      <c r="Y73" s="10" t="e">
        <f t="shared" si="32"/>
        <v>#DIV/0!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 t="s">
        <v>57</v>
      </c>
      <c r="AI73" s="1">
        <f t="shared" si="35"/>
        <v>0</v>
      </c>
      <c r="AJ73" s="1">
        <f t="shared" si="36"/>
        <v>0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116</v>
      </c>
      <c r="B74" s="1" t="s">
        <v>34</v>
      </c>
      <c r="C74" s="1">
        <v>517.17899999999997</v>
      </c>
      <c r="D74" s="1">
        <v>12.563000000000001</v>
      </c>
      <c r="E74" s="1">
        <v>201.93600000000001</v>
      </c>
      <c r="F74" s="1">
        <v>233.60300000000001</v>
      </c>
      <c r="G74" s="7">
        <v>1</v>
      </c>
      <c r="H74" s="1">
        <v>30</v>
      </c>
      <c r="I74" s="9" t="s">
        <v>45</v>
      </c>
      <c r="J74" s="1"/>
      <c r="K74" s="1">
        <v>242.71600000000001</v>
      </c>
      <c r="L74" s="1">
        <f t="shared" si="29"/>
        <v>-40.78</v>
      </c>
      <c r="M74" s="1">
        <f t="shared" si="30"/>
        <v>199.47</v>
      </c>
      <c r="N74" s="1">
        <v>2.4660000000000002</v>
      </c>
      <c r="O74" s="1">
        <v>57.487799999999993</v>
      </c>
      <c r="P74" s="19"/>
      <c r="Q74" s="19"/>
      <c r="R74" s="1"/>
      <c r="S74" s="1">
        <f t="shared" si="31"/>
        <v>39.893999999999998</v>
      </c>
      <c r="T74" s="5">
        <f>12*S74-R74-O74-F74</f>
        <v>187.63719999999995</v>
      </c>
      <c r="U74" s="5">
        <f t="shared" si="33"/>
        <v>187.63719999999995</v>
      </c>
      <c r="V74" s="5">
        <f>U74</f>
        <v>187.63719999999995</v>
      </c>
      <c r="W74" s="5"/>
      <c r="X74" s="1">
        <f t="shared" si="34"/>
        <v>12</v>
      </c>
      <c r="Y74" s="1">
        <f t="shared" si="32"/>
        <v>7.2966060059156765</v>
      </c>
      <c r="Z74" s="1">
        <v>36.8568</v>
      </c>
      <c r="AA74" s="1">
        <v>31.719799999999999</v>
      </c>
      <c r="AB74" s="1">
        <v>39.7896</v>
      </c>
      <c r="AC74" s="1">
        <v>33.502800000000001</v>
      </c>
      <c r="AD74" s="1">
        <v>31.885400000000001</v>
      </c>
      <c r="AE74" s="1">
        <v>80.1066</v>
      </c>
      <c r="AF74" s="1">
        <v>96.989400000000003</v>
      </c>
      <c r="AG74" s="1">
        <v>46.159199999999998</v>
      </c>
      <c r="AH74" s="1"/>
      <c r="AI74" s="1">
        <f t="shared" si="35"/>
        <v>188</v>
      </c>
      <c r="AJ74" s="1">
        <f t="shared" si="36"/>
        <v>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0" t="s">
        <v>117</v>
      </c>
      <c r="B75" s="10" t="s">
        <v>40</v>
      </c>
      <c r="C75" s="10">
        <v>-1</v>
      </c>
      <c r="D75" s="10"/>
      <c r="E75" s="10"/>
      <c r="F75" s="10">
        <v>-1</v>
      </c>
      <c r="G75" s="11">
        <v>0</v>
      </c>
      <c r="H75" s="10"/>
      <c r="I75" s="10" t="s">
        <v>48</v>
      </c>
      <c r="J75" s="10"/>
      <c r="K75" s="10"/>
      <c r="L75" s="10">
        <f t="shared" si="29"/>
        <v>0</v>
      </c>
      <c r="M75" s="10">
        <f t="shared" si="30"/>
        <v>0</v>
      </c>
      <c r="N75" s="10"/>
      <c r="O75" s="10">
        <v>0</v>
      </c>
      <c r="P75" s="21"/>
      <c r="Q75" s="21"/>
      <c r="R75" s="10"/>
      <c r="S75" s="10">
        <f t="shared" si="31"/>
        <v>0</v>
      </c>
      <c r="T75" s="12"/>
      <c r="U75" s="5">
        <f t="shared" si="33"/>
        <v>0</v>
      </c>
      <c r="V75" s="5">
        <f t="shared" si="37"/>
        <v>0</v>
      </c>
      <c r="W75" s="5"/>
      <c r="X75" s="1" t="e">
        <f t="shared" si="34"/>
        <v>#DIV/0!</v>
      </c>
      <c r="Y75" s="10" t="e">
        <f t="shared" si="32"/>
        <v>#DIV/0!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0.2</v>
      </c>
      <c r="AH75" s="10"/>
      <c r="AI75" s="1">
        <f t="shared" si="35"/>
        <v>0</v>
      </c>
      <c r="AJ75" s="1">
        <f t="shared" si="36"/>
        <v>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 t="s">
        <v>118</v>
      </c>
      <c r="B76" s="1" t="s">
        <v>40</v>
      </c>
      <c r="C76" s="1">
        <v>391</v>
      </c>
      <c r="D76" s="1">
        <v>3177</v>
      </c>
      <c r="E76" s="1">
        <v>889</v>
      </c>
      <c r="F76" s="1">
        <v>2509</v>
      </c>
      <c r="G76" s="7">
        <v>0.6</v>
      </c>
      <c r="H76" s="1">
        <v>60</v>
      </c>
      <c r="I76" s="1" t="s">
        <v>35</v>
      </c>
      <c r="J76" s="1"/>
      <c r="K76" s="1">
        <v>934</v>
      </c>
      <c r="L76" s="1">
        <f t="shared" si="29"/>
        <v>-45</v>
      </c>
      <c r="M76" s="1">
        <f t="shared" si="30"/>
        <v>889</v>
      </c>
      <c r="N76" s="1"/>
      <c r="O76" s="1">
        <v>0</v>
      </c>
      <c r="P76" s="19"/>
      <c r="Q76" s="19"/>
      <c r="R76" s="1"/>
      <c r="S76" s="1">
        <f t="shared" si="31"/>
        <v>177.8</v>
      </c>
      <c r="T76" s="5"/>
      <c r="U76" s="5">
        <f t="shared" si="33"/>
        <v>0</v>
      </c>
      <c r="V76" s="5">
        <f t="shared" si="37"/>
        <v>0</v>
      </c>
      <c r="W76" s="5"/>
      <c r="X76" s="1">
        <f t="shared" si="34"/>
        <v>14.111361079865016</v>
      </c>
      <c r="Y76" s="1">
        <f t="shared" si="32"/>
        <v>14.111361079865016</v>
      </c>
      <c r="Z76" s="1">
        <v>262.60000000000002</v>
      </c>
      <c r="AA76" s="1">
        <v>297.60000000000002</v>
      </c>
      <c r="AB76" s="1">
        <v>160.4</v>
      </c>
      <c r="AC76" s="1">
        <v>152</v>
      </c>
      <c r="AD76" s="1">
        <v>139</v>
      </c>
      <c r="AE76" s="1">
        <v>114.6</v>
      </c>
      <c r="AF76" s="1">
        <v>82</v>
      </c>
      <c r="AG76" s="1">
        <v>127.8</v>
      </c>
      <c r="AH76" s="1"/>
      <c r="AI76" s="1">
        <f t="shared" si="35"/>
        <v>0</v>
      </c>
      <c r="AJ76" s="1">
        <f t="shared" si="36"/>
        <v>0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 t="s">
        <v>119</v>
      </c>
      <c r="B77" s="1" t="s">
        <v>40</v>
      </c>
      <c r="C77" s="1">
        <v>883</v>
      </c>
      <c r="D77" s="1">
        <v>1023</v>
      </c>
      <c r="E77" s="1">
        <v>659</v>
      </c>
      <c r="F77" s="1">
        <v>1004</v>
      </c>
      <c r="G77" s="7">
        <v>0.6</v>
      </c>
      <c r="H77" s="1">
        <v>60</v>
      </c>
      <c r="I77" s="1" t="s">
        <v>35</v>
      </c>
      <c r="J77" s="1"/>
      <c r="K77" s="1">
        <v>666</v>
      </c>
      <c r="L77" s="1">
        <f t="shared" si="29"/>
        <v>-7</v>
      </c>
      <c r="M77" s="1">
        <f t="shared" si="30"/>
        <v>659</v>
      </c>
      <c r="N77" s="1"/>
      <c r="O77" s="1">
        <v>0</v>
      </c>
      <c r="P77" s="19"/>
      <c r="Q77" s="19"/>
      <c r="R77" s="1"/>
      <c r="S77" s="1">
        <f t="shared" si="31"/>
        <v>131.80000000000001</v>
      </c>
      <c r="T77" s="5">
        <f t="shared" ref="T77:T78" si="38">12*S77-R77-O77-F77</f>
        <v>577.60000000000014</v>
      </c>
      <c r="U77" s="5">
        <f t="shared" si="33"/>
        <v>577.60000000000014</v>
      </c>
      <c r="V77" s="5">
        <f t="shared" si="37"/>
        <v>202.56432000000007</v>
      </c>
      <c r="W77" s="5">
        <f>U77*$W$1</f>
        <v>375.03568000000007</v>
      </c>
      <c r="X77" s="1">
        <f t="shared" si="34"/>
        <v>11.999999999999998</v>
      </c>
      <c r="Y77" s="1">
        <f t="shared" si="32"/>
        <v>7.6176024279210921</v>
      </c>
      <c r="Z77" s="1">
        <v>116.8</v>
      </c>
      <c r="AA77" s="1">
        <v>156.80000000000001</v>
      </c>
      <c r="AB77" s="1">
        <v>202.8</v>
      </c>
      <c r="AC77" s="1">
        <v>171.6</v>
      </c>
      <c r="AD77" s="1">
        <v>133.80000000000001</v>
      </c>
      <c r="AE77" s="1">
        <v>123.8</v>
      </c>
      <c r="AF77" s="1">
        <v>92.2</v>
      </c>
      <c r="AG77" s="1">
        <v>129.19999999999999</v>
      </c>
      <c r="AH77" s="1"/>
      <c r="AI77" s="1">
        <f t="shared" si="35"/>
        <v>122</v>
      </c>
      <c r="AJ77" s="1">
        <f t="shared" si="36"/>
        <v>225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 t="s">
        <v>120</v>
      </c>
      <c r="B78" s="1" t="s">
        <v>40</v>
      </c>
      <c r="C78" s="1">
        <v>-1</v>
      </c>
      <c r="D78" s="1">
        <v>88</v>
      </c>
      <c r="E78" s="1">
        <v>33</v>
      </c>
      <c r="F78" s="1">
        <v>31</v>
      </c>
      <c r="G78" s="7">
        <v>0.4</v>
      </c>
      <c r="H78" s="1"/>
      <c r="I78" s="1" t="s">
        <v>35</v>
      </c>
      <c r="J78" s="1"/>
      <c r="K78" s="1">
        <v>45</v>
      </c>
      <c r="L78" s="1">
        <f t="shared" si="29"/>
        <v>-12</v>
      </c>
      <c r="M78" s="1">
        <f t="shared" si="30"/>
        <v>33</v>
      </c>
      <c r="N78" s="1"/>
      <c r="O78" s="1">
        <v>0</v>
      </c>
      <c r="P78" s="19"/>
      <c r="Q78" s="19"/>
      <c r="R78" s="1"/>
      <c r="S78" s="1">
        <f t="shared" si="31"/>
        <v>6.6</v>
      </c>
      <c r="T78" s="5">
        <f t="shared" si="38"/>
        <v>48.199999999999989</v>
      </c>
      <c r="U78" s="5">
        <f t="shared" si="33"/>
        <v>48.199999999999989</v>
      </c>
      <c r="V78" s="5">
        <f t="shared" si="37"/>
        <v>48.199999999999989</v>
      </c>
      <c r="W78" s="5"/>
      <c r="X78" s="1">
        <f t="shared" si="34"/>
        <v>11.999999999999998</v>
      </c>
      <c r="Y78" s="1">
        <f t="shared" si="32"/>
        <v>4.6969696969696972</v>
      </c>
      <c r="Z78" s="1">
        <v>5</v>
      </c>
      <c r="AA78" s="1">
        <v>4</v>
      </c>
      <c r="AB78" s="1">
        <v>7.6</v>
      </c>
      <c r="AC78" s="1">
        <v>6.6</v>
      </c>
      <c r="AD78" s="1">
        <v>3.8</v>
      </c>
      <c r="AE78" s="1">
        <v>4</v>
      </c>
      <c r="AF78" s="1">
        <v>1</v>
      </c>
      <c r="AG78" s="1">
        <v>0</v>
      </c>
      <c r="AH78" s="1"/>
      <c r="AI78" s="1">
        <f t="shared" si="35"/>
        <v>19</v>
      </c>
      <c r="AJ78" s="1">
        <f t="shared" si="36"/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0" t="s">
        <v>121</v>
      </c>
      <c r="B79" s="10" t="s">
        <v>40</v>
      </c>
      <c r="C79" s="10">
        <v>1</v>
      </c>
      <c r="D79" s="10"/>
      <c r="E79" s="10"/>
      <c r="F79" s="10">
        <v>1</v>
      </c>
      <c r="G79" s="11">
        <v>0</v>
      </c>
      <c r="H79" s="10"/>
      <c r="I79" s="10" t="s">
        <v>35</v>
      </c>
      <c r="J79" s="10"/>
      <c r="K79" s="10"/>
      <c r="L79" s="10">
        <f t="shared" si="29"/>
        <v>0</v>
      </c>
      <c r="M79" s="10">
        <f t="shared" si="30"/>
        <v>0</v>
      </c>
      <c r="N79" s="10"/>
      <c r="O79" s="10">
        <v>0</v>
      </c>
      <c r="P79" s="21"/>
      <c r="Q79" s="21"/>
      <c r="R79" s="10"/>
      <c r="S79" s="10">
        <f t="shared" si="31"/>
        <v>0</v>
      </c>
      <c r="T79" s="12"/>
      <c r="U79" s="5">
        <f t="shared" si="33"/>
        <v>0</v>
      </c>
      <c r="V79" s="5">
        <f t="shared" si="37"/>
        <v>0</v>
      </c>
      <c r="W79" s="5"/>
      <c r="X79" s="1" t="e">
        <f t="shared" si="34"/>
        <v>#DIV/0!</v>
      </c>
      <c r="Y79" s="10" t="e">
        <f t="shared" si="32"/>
        <v>#DIV/0!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 t="s">
        <v>57</v>
      </c>
      <c r="AI79" s="1">
        <f t="shared" si="35"/>
        <v>0</v>
      </c>
      <c r="AJ79" s="1">
        <f t="shared" si="36"/>
        <v>0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 t="s">
        <v>122</v>
      </c>
      <c r="B80" s="1" t="s">
        <v>40</v>
      </c>
      <c r="C80" s="1">
        <v>42</v>
      </c>
      <c r="D80" s="1"/>
      <c r="E80" s="1">
        <v>23</v>
      </c>
      <c r="F80" s="1">
        <v>19</v>
      </c>
      <c r="G80" s="7">
        <v>0.35</v>
      </c>
      <c r="H80" s="1">
        <v>90</v>
      </c>
      <c r="I80" s="9" t="s">
        <v>45</v>
      </c>
      <c r="J80" s="1"/>
      <c r="K80" s="1">
        <v>66</v>
      </c>
      <c r="L80" s="1">
        <f t="shared" si="29"/>
        <v>-43</v>
      </c>
      <c r="M80" s="1">
        <f t="shared" si="30"/>
        <v>23</v>
      </c>
      <c r="N80" s="1"/>
      <c r="O80" s="1">
        <v>40</v>
      </c>
      <c r="P80" s="19"/>
      <c r="Q80" s="19"/>
      <c r="R80" s="1"/>
      <c r="S80" s="1">
        <f t="shared" si="31"/>
        <v>4.5999999999999996</v>
      </c>
      <c r="T80" s="5"/>
      <c r="U80" s="5">
        <f t="shared" si="33"/>
        <v>0</v>
      </c>
      <c r="V80" s="5">
        <f>U80</f>
        <v>0</v>
      </c>
      <c r="W80" s="5"/>
      <c r="X80" s="1">
        <f t="shared" si="34"/>
        <v>12.82608695652174</v>
      </c>
      <c r="Y80" s="1">
        <f t="shared" si="32"/>
        <v>12.82608695652174</v>
      </c>
      <c r="Z80" s="1">
        <v>8.6</v>
      </c>
      <c r="AA80" s="1">
        <v>6.4</v>
      </c>
      <c r="AB80" s="1">
        <v>3.4</v>
      </c>
      <c r="AC80" s="1">
        <v>2</v>
      </c>
      <c r="AD80" s="1">
        <v>5.6</v>
      </c>
      <c r="AE80" s="1">
        <v>7.2</v>
      </c>
      <c r="AF80" s="1">
        <v>5.2</v>
      </c>
      <c r="AG80" s="1">
        <v>4</v>
      </c>
      <c r="AH80" s="1"/>
      <c r="AI80" s="1">
        <f t="shared" si="35"/>
        <v>0</v>
      </c>
      <c r="AJ80" s="1">
        <f t="shared" si="36"/>
        <v>0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 t="s">
        <v>123</v>
      </c>
      <c r="B81" s="1" t="s">
        <v>40</v>
      </c>
      <c r="C81" s="1">
        <v>198</v>
      </c>
      <c r="D81" s="1">
        <v>186</v>
      </c>
      <c r="E81" s="1">
        <v>116</v>
      </c>
      <c r="F81" s="1">
        <v>244</v>
      </c>
      <c r="G81" s="7">
        <v>0.37</v>
      </c>
      <c r="H81" s="1">
        <v>50</v>
      </c>
      <c r="I81" s="1" t="s">
        <v>35</v>
      </c>
      <c r="J81" s="1"/>
      <c r="K81" s="1">
        <v>127</v>
      </c>
      <c r="L81" s="1">
        <f t="shared" si="29"/>
        <v>-11</v>
      </c>
      <c r="M81" s="1">
        <f t="shared" si="30"/>
        <v>116</v>
      </c>
      <c r="N81" s="1"/>
      <c r="O81" s="1">
        <v>0</v>
      </c>
      <c r="P81" s="19"/>
      <c r="Q81" s="19"/>
      <c r="R81" s="1"/>
      <c r="S81" s="1">
        <f t="shared" si="31"/>
        <v>23.2</v>
      </c>
      <c r="T81" s="5">
        <f t="shared" ref="T81:T84" si="39">12*S81-R81-O81-F81</f>
        <v>34.399999999999977</v>
      </c>
      <c r="U81" s="5">
        <f t="shared" si="33"/>
        <v>34.399999999999977</v>
      </c>
      <c r="V81" s="5">
        <f t="shared" si="37"/>
        <v>34.399999999999977</v>
      </c>
      <c r="W81" s="5"/>
      <c r="X81" s="1">
        <f t="shared" si="34"/>
        <v>12</v>
      </c>
      <c r="Y81" s="1">
        <f t="shared" si="32"/>
        <v>10.517241379310345</v>
      </c>
      <c r="Z81" s="1">
        <v>23.8</v>
      </c>
      <c r="AA81" s="1">
        <v>28.6</v>
      </c>
      <c r="AB81" s="1">
        <v>31.4</v>
      </c>
      <c r="AC81" s="1">
        <v>34.200000000000003</v>
      </c>
      <c r="AD81" s="1">
        <v>25.6</v>
      </c>
      <c r="AE81" s="1">
        <v>18.2</v>
      </c>
      <c r="AF81" s="1">
        <v>21.2</v>
      </c>
      <c r="AG81" s="1">
        <v>30.6</v>
      </c>
      <c r="AH81" s="1"/>
      <c r="AI81" s="1">
        <f t="shared" si="35"/>
        <v>13</v>
      </c>
      <c r="AJ81" s="1">
        <f t="shared" si="36"/>
        <v>0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 t="s">
        <v>124</v>
      </c>
      <c r="B82" s="1" t="s">
        <v>40</v>
      </c>
      <c r="C82" s="1">
        <v>288</v>
      </c>
      <c r="D82" s="1">
        <v>330</v>
      </c>
      <c r="E82" s="1">
        <v>259</v>
      </c>
      <c r="F82" s="1">
        <v>330</v>
      </c>
      <c r="G82" s="7">
        <v>0.6</v>
      </c>
      <c r="H82" s="1">
        <v>70</v>
      </c>
      <c r="I82" s="1" t="s">
        <v>35</v>
      </c>
      <c r="J82" s="1"/>
      <c r="K82" s="1">
        <v>262</v>
      </c>
      <c r="L82" s="1">
        <f t="shared" si="29"/>
        <v>-3</v>
      </c>
      <c r="M82" s="1">
        <f t="shared" si="30"/>
        <v>259</v>
      </c>
      <c r="N82" s="1"/>
      <c r="O82" s="1">
        <v>0</v>
      </c>
      <c r="P82" s="19"/>
      <c r="Q82" s="19"/>
      <c r="R82" s="1"/>
      <c r="S82" s="1">
        <f t="shared" si="31"/>
        <v>51.8</v>
      </c>
      <c r="T82" s="5">
        <f t="shared" si="39"/>
        <v>291.59999999999991</v>
      </c>
      <c r="U82" s="5">
        <f t="shared" si="33"/>
        <v>291.59999999999991</v>
      </c>
      <c r="V82" s="5">
        <f t="shared" si="37"/>
        <v>102.26411999999996</v>
      </c>
      <c r="W82" s="5">
        <f t="shared" ref="W82:W83" si="40">U82*$W$1</f>
        <v>189.33587999999995</v>
      </c>
      <c r="X82" s="1">
        <f t="shared" si="34"/>
        <v>11.999999999999998</v>
      </c>
      <c r="Y82" s="1">
        <f t="shared" si="32"/>
        <v>6.3706563706563708</v>
      </c>
      <c r="Z82" s="1">
        <v>45.2</v>
      </c>
      <c r="AA82" s="1">
        <v>52</v>
      </c>
      <c r="AB82" s="1">
        <v>67.8</v>
      </c>
      <c r="AC82" s="1">
        <v>63.6</v>
      </c>
      <c r="AD82" s="1">
        <v>44.6</v>
      </c>
      <c r="AE82" s="1">
        <v>41.8</v>
      </c>
      <c r="AF82" s="1">
        <v>40.799999999999997</v>
      </c>
      <c r="AG82" s="1">
        <v>61.8</v>
      </c>
      <c r="AH82" s="1"/>
      <c r="AI82" s="1">
        <f t="shared" si="35"/>
        <v>61</v>
      </c>
      <c r="AJ82" s="1">
        <f t="shared" si="36"/>
        <v>114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 t="s">
        <v>125</v>
      </c>
      <c r="B83" s="1" t="s">
        <v>40</v>
      </c>
      <c r="C83" s="1">
        <v>788</v>
      </c>
      <c r="D83" s="1">
        <v>12</v>
      </c>
      <c r="E83" s="1">
        <v>402</v>
      </c>
      <c r="F83" s="1">
        <v>277</v>
      </c>
      <c r="G83" s="7">
        <v>0.33</v>
      </c>
      <c r="H83" s="1">
        <v>40</v>
      </c>
      <c r="I83" s="1" t="s">
        <v>35</v>
      </c>
      <c r="J83" s="1"/>
      <c r="K83" s="1">
        <v>430</v>
      </c>
      <c r="L83" s="1">
        <f t="shared" si="29"/>
        <v>-28</v>
      </c>
      <c r="M83" s="1">
        <f t="shared" si="30"/>
        <v>402</v>
      </c>
      <c r="N83" s="1"/>
      <c r="O83" s="1">
        <v>107.83072</v>
      </c>
      <c r="P83" s="19"/>
      <c r="Q83" s="19"/>
      <c r="R83" s="1">
        <v>145.76928000000001</v>
      </c>
      <c r="S83" s="1">
        <f t="shared" si="31"/>
        <v>80.400000000000006</v>
      </c>
      <c r="T83" s="5">
        <f t="shared" si="39"/>
        <v>434.20000000000005</v>
      </c>
      <c r="U83" s="5">
        <f t="shared" si="33"/>
        <v>434.20000000000005</v>
      </c>
      <c r="V83" s="5">
        <f t="shared" si="37"/>
        <v>152.27394000000004</v>
      </c>
      <c r="W83" s="5">
        <f t="shared" si="40"/>
        <v>281.92606000000001</v>
      </c>
      <c r="X83" s="1">
        <f t="shared" si="34"/>
        <v>12</v>
      </c>
      <c r="Y83" s="1">
        <f t="shared" si="32"/>
        <v>6.599502487562189</v>
      </c>
      <c r="Z83" s="1">
        <v>78.599999999999994</v>
      </c>
      <c r="AA83" s="1">
        <v>60.2</v>
      </c>
      <c r="AB83" s="1">
        <v>23.2</v>
      </c>
      <c r="AC83" s="1">
        <v>35.4</v>
      </c>
      <c r="AD83" s="1">
        <v>69.599999999999994</v>
      </c>
      <c r="AE83" s="1">
        <v>62</v>
      </c>
      <c r="AF83" s="1">
        <v>50.8</v>
      </c>
      <c r="AG83" s="1">
        <v>41.2</v>
      </c>
      <c r="AH83" s="1"/>
      <c r="AI83" s="1">
        <f t="shared" si="35"/>
        <v>50</v>
      </c>
      <c r="AJ83" s="1">
        <f t="shared" si="36"/>
        <v>93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 t="s">
        <v>126</v>
      </c>
      <c r="B84" s="1" t="s">
        <v>40</v>
      </c>
      <c r="C84" s="1">
        <v>44</v>
      </c>
      <c r="D84" s="1">
        <v>85</v>
      </c>
      <c r="E84" s="1">
        <v>38</v>
      </c>
      <c r="F84" s="1">
        <v>77</v>
      </c>
      <c r="G84" s="7">
        <v>0.4</v>
      </c>
      <c r="H84" s="1">
        <v>55</v>
      </c>
      <c r="I84" s="1" t="s">
        <v>35</v>
      </c>
      <c r="J84" s="1"/>
      <c r="K84" s="1">
        <v>52</v>
      </c>
      <c r="L84" s="1">
        <f t="shared" si="29"/>
        <v>-14</v>
      </c>
      <c r="M84" s="1">
        <f t="shared" si="30"/>
        <v>38</v>
      </c>
      <c r="N84" s="1"/>
      <c r="O84" s="1">
        <v>0</v>
      </c>
      <c r="P84" s="19"/>
      <c r="Q84" s="19"/>
      <c r="R84" s="1"/>
      <c r="S84" s="1">
        <f t="shared" si="31"/>
        <v>7.6</v>
      </c>
      <c r="T84" s="5">
        <f t="shared" si="39"/>
        <v>14.199999999999989</v>
      </c>
      <c r="U84" s="5">
        <f t="shared" si="33"/>
        <v>14.199999999999989</v>
      </c>
      <c r="V84" s="5">
        <f t="shared" si="37"/>
        <v>14.199999999999989</v>
      </c>
      <c r="W84" s="5"/>
      <c r="X84" s="1">
        <f t="shared" si="34"/>
        <v>11.999999999999998</v>
      </c>
      <c r="Y84" s="1">
        <f t="shared" si="32"/>
        <v>10.131578947368421</v>
      </c>
      <c r="Z84" s="1">
        <v>7.6</v>
      </c>
      <c r="AA84" s="1">
        <v>10.199999999999999</v>
      </c>
      <c r="AB84" s="1">
        <v>12.6</v>
      </c>
      <c r="AC84" s="1">
        <v>9.4</v>
      </c>
      <c r="AD84" s="1">
        <v>11</v>
      </c>
      <c r="AE84" s="1">
        <v>11.2</v>
      </c>
      <c r="AF84" s="1">
        <v>5.8</v>
      </c>
      <c r="AG84" s="1">
        <v>13.2</v>
      </c>
      <c r="AH84" s="1"/>
      <c r="AI84" s="1">
        <f t="shared" si="35"/>
        <v>6</v>
      </c>
      <c r="AJ84" s="1">
        <f t="shared" si="36"/>
        <v>0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 t="s">
        <v>127</v>
      </c>
      <c r="B85" s="1" t="s">
        <v>40</v>
      </c>
      <c r="C85" s="1">
        <v>-6</v>
      </c>
      <c r="D85" s="1">
        <v>84</v>
      </c>
      <c r="E85" s="1">
        <v>42</v>
      </c>
      <c r="F85" s="1">
        <v>-14</v>
      </c>
      <c r="G85" s="7">
        <v>0.35</v>
      </c>
      <c r="H85" s="1">
        <v>40</v>
      </c>
      <c r="I85" s="9" t="s">
        <v>45</v>
      </c>
      <c r="J85" s="1"/>
      <c r="K85" s="1">
        <v>63</v>
      </c>
      <c r="L85" s="1">
        <f t="shared" si="29"/>
        <v>-21</v>
      </c>
      <c r="M85" s="1">
        <f t="shared" si="30"/>
        <v>42</v>
      </c>
      <c r="N85" s="1"/>
      <c r="O85" s="1">
        <v>100</v>
      </c>
      <c r="P85" s="19"/>
      <c r="Q85" s="19"/>
      <c r="R85" s="1"/>
      <c r="S85" s="1">
        <f t="shared" si="31"/>
        <v>8.4</v>
      </c>
      <c r="T85" s="5">
        <v>50</v>
      </c>
      <c r="U85" s="5">
        <f t="shared" si="33"/>
        <v>50</v>
      </c>
      <c r="V85" s="5">
        <f t="shared" si="33"/>
        <v>50</v>
      </c>
      <c r="W85" s="5">
        <v>50</v>
      </c>
      <c r="X85" s="1">
        <f t="shared" si="34"/>
        <v>22.142857142857142</v>
      </c>
      <c r="Y85" s="1">
        <f t="shared" si="32"/>
        <v>10.238095238095237</v>
      </c>
      <c r="Z85" s="1">
        <v>-0.6</v>
      </c>
      <c r="AA85" s="1">
        <v>-1.2</v>
      </c>
      <c r="AB85" s="1">
        <v>-0.4</v>
      </c>
      <c r="AC85" s="1">
        <v>14</v>
      </c>
      <c r="AD85" s="1">
        <v>31.6</v>
      </c>
      <c r="AE85" s="1">
        <v>57.2</v>
      </c>
      <c r="AF85" s="1">
        <v>52.2</v>
      </c>
      <c r="AG85" s="1">
        <v>19.600000000000001</v>
      </c>
      <c r="AH85" s="1"/>
      <c r="AI85" s="1">
        <f t="shared" si="35"/>
        <v>18</v>
      </c>
      <c r="AJ85" s="1">
        <f t="shared" si="36"/>
        <v>18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 t="s">
        <v>128</v>
      </c>
      <c r="B86" s="1" t="s">
        <v>40</v>
      </c>
      <c r="C86" s="1">
        <v>-11</v>
      </c>
      <c r="D86" s="1">
        <v>462</v>
      </c>
      <c r="E86" s="1">
        <v>93</v>
      </c>
      <c r="F86" s="1">
        <v>274</v>
      </c>
      <c r="G86" s="7">
        <v>0.35</v>
      </c>
      <c r="H86" s="1">
        <v>45</v>
      </c>
      <c r="I86" s="9" t="s">
        <v>45</v>
      </c>
      <c r="J86" s="1"/>
      <c r="K86" s="1">
        <v>130</v>
      </c>
      <c r="L86" s="1">
        <f t="shared" si="29"/>
        <v>-37</v>
      </c>
      <c r="M86" s="1">
        <f t="shared" si="30"/>
        <v>93</v>
      </c>
      <c r="N86" s="1"/>
      <c r="O86" s="1">
        <v>0</v>
      </c>
      <c r="P86" s="19"/>
      <c r="Q86" s="19"/>
      <c r="R86" s="1"/>
      <c r="S86" s="1">
        <f t="shared" si="31"/>
        <v>18.600000000000001</v>
      </c>
      <c r="T86" s="5">
        <v>40</v>
      </c>
      <c r="U86" s="5">
        <f t="shared" si="33"/>
        <v>40</v>
      </c>
      <c r="V86" s="5">
        <f t="shared" si="33"/>
        <v>40</v>
      </c>
      <c r="W86" s="5">
        <v>20</v>
      </c>
      <c r="X86" s="1">
        <f t="shared" si="34"/>
        <v>17.956989247311828</v>
      </c>
      <c r="Y86" s="1">
        <f t="shared" si="32"/>
        <v>14.731182795698924</v>
      </c>
      <c r="Z86" s="1">
        <v>1.2</v>
      </c>
      <c r="AA86" s="1">
        <v>24.8</v>
      </c>
      <c r="AB86" s="1">
        <v>57.2</v>
      </c>
      <c r="AC86" s="1">
        <v>41.6</v>
      </c>
      <c r="AD86" s="1">
        <v>37.4</v>
      </c>
      <c r="AE86" s="1">
        <v>49.2</v>
      </c>
      <c r="AF86" s="1">
        <v>41</v>
      </c>
      <c r="AG86" s="1">
        <v>-30.6</v>
      </c>
      <c r="AH86" s="1"/>
      <c r="AI86" s="1">
        <f t="shared" si="35"/>
        <v>14</v>
      </c>
      <c r="AJ86" s="1">
        <f t="shared" si="36"/>
        <v>7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 t="s">
        <v>129</v>
      </c>
      <c r="B87" s="1" t="s">
        <v>40</v>
      </c>
      <c r="C87" s="1">
        <v>60</v>
      </c>
      <c r="D87" s="1"/>
      <c r="E87" s="1">
        <v>10</v>
      </c>
      <c r="F87" s="1">
        <v>50</v>
      </c>
      <c r="G87" s="7">
        <v>0.4</v>
      </c>
      <c r="H87" s="1">
        <v>55</v>
      </c>
      <c r="I87" s="1" t="s">
        <v>35</v>
      </c>
      <c r="J87" s="1"/>
      <c r="K87" s="1">
        <v>10</v>
      </c>
      <c r="L87" s="1">
        <f t="shared" si="29"/>
        <v>0</v>
      </c>
      <c r="M87" s="1">
        <f t="shared" si="30"/>
        <v>10</v>
      </c>
      <c r="N87" s="1"/>
      <c r="O87" s="1">
        <v>12</v>
      </c>
      <c r="P87" s="19"/>
      <c r="Q87" s="19"/>
      <c r="R87" s="1"/>
      <c r="S87" s="1">
        <f t="shared" si="31"/>
        <v>2</v>
      </c>
      <c r="T87" s="5"/>
      <c r="U87" s="5">
        <f t="shared" si="33"/>
        <v>0</v>
      </c>
      <c r="V87" s="5">
        <f t="shared" si="37"/>
        <v>0</v>
      </c>
      <c r="W87" s="5"/>
      <c r="X87" s="1">
        <f t="shared" si="34"/>
        <v>31</v>
      </c>
      <c r="Y87" s="1">
        <f t="shared" si="32"/>
        <v>31</v>
      </c>
      <c r="Z87" s="1">
        <v>6.2</v>
      </c>
      <c r="AA87" s="1">
        <v>4.4000000000000004</v>
      </c>
      <c r="AB87" s="1">
        <v>0.2</v>
      </c>
      <c r="AC87" s="1">
        <v>4.2</v>
      </c>
      <c r="AD87" s="1">
        <v>4.2</v>
      </c>
      <c r="AE87" s="1">
        <v>0</v>
      </c>
      <c r="AF87" s="1">
        <v>0</v>
      </c>
      <c r="AG87" s="1">
        <v>0.4</v>
      </c>
      <c r="AH87" s="15" t="s">
        <v>106</v>
      </c>
      <c r="AI87" s="1">
        <f t="shared" si="35"/>
        <v>0</v>
      </c>
      <c r="AJ87" s="1">
        <f t="shared" si="36"/>
        <v>0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 t="s">
        <v>130</v>
      </c>
      <c r="B88" s="1" t="s">
        <v>34</v>
      </c>
      <c r="C88" s="1">
        <v>22.306000000000001</v>
      </c>
      <c r="D88" s="1"/>
      <c r="E88" s="1">
        <v>1.335</v>
      </c>
      <c r="F88" s="1">
        <v>20.971</v>
      </c>
      <c r="G88" s="7">
        <v>1</v>
      </c>
      <c r="H88" s="1">
        <v>55</v>
      </c>
      <c r="I88" s="1" t="s">
        <v>35</v>
      </c>
      <c r="J88" s="1"/>
      <c r="K88" s="1">
        <v>1.3</v>
      </c>
      <c r="L88" s="1">
        <f t="shared" si="29"/>
        <v>3.499999999999992E-2</v>
      </c>
      <c r="M88" s="1">
        <f t="shared" si="30"/>
        <v>1.335</v>
      </c>
      <c r="N88" s="1"/>
      <c r="O88" s="1">
        <v>0</v>
      </c>
      <c r="P88" s="19"/>
      <c r="Q88" s="19"/>
      <c r="R88" s="1"/>
      <c r="S88" s="1">
        <f t="shared" si="31"/>
        <v>0.26700000000000002</v>
      </c>
      <c r="T88" s="5"/>
      <c r="U88" s="5">
        <f t="shared" si="33"/>
        <v>0</v>
      </c>
      <c r="V88" s="5">
        <f t="shared" si="37"/>
        <v>0</v>
      </c>
      <c r="W88" s="5"/>
      <c r="X88" s="1">
        <f t="shared" si="34"/>
        <v>78.543071161048687</v>
      </c>
      <c r="Y88" s="1">
        <f t="shared" si="32"/>
        <v>78.543071161048687</v>
      </c>
      <c r="Z88" s="1">
        <v>0.26700000000000002</v>
      </c>
      <c r="AA88" s="1">
        <v>0.29099999999999998</v>
      </c>
      <c r="AB88" s="1">
        <v>0.59099999999999997</v>
      </c>
      <c r="AC88" s="1">
        <v>0.3</v>
      </c>
      <c r="AD88" s="1">
        <v>0.56580000000000008</v>
      </c>
      <c r="AE88" s="1">
        <v>0.85500000000000009</v>
      </c>
      <c r="AF88" s="1">
        <v>0.5796</v>
      </c>
      <c r="AG88" s="1">
        <v>0.81820000000000004</v>
      </c>
      <c r="AH88" s="15" t="s">
        <v>106</v>
      </c>
      <c r="AI88" s="1">
        <f t="shared" si="35"/>
        <v>0</v>
      </c>
      <c r="AJ88" s="1">
        <f t="shared" si="36"/>
        <v>0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0" t="s">
        <v>131</v>
      </c>
      <c r="B89" s="10" t="s">
        <v>34</v>
      </c>
      <c r="C89" s="10"/>
      <c r="D89" s="10"/>
      <c r="E89" s="10"/>
      <c r="F89" s="10"/>
      <c r="G89" s="11">
        <v>0</v>
      </c>
      <c r="H89" s="10"/>
      <c r="I89" s="10" t="s">
        <v>35</v>
      </c>
      <c r="J89" s="10"/>
      <c r="K89" s="10"/>
      <c r="L89" s="10">
        <f t="shared" si="29"/>
        <v>0</v>
      </c>
      <c r="M89" s="10">
        <f t="shared" si="30"/>
        <v>0</v>
      </c>
      <c r="N89" s="10"/>
      <c r="O89" s="10">
        <v>0</v>
      </c>
      <c r="P89" s="21"/>
      <c r="Q89" s="21"/>
      <c r="R89" s="10"/>
      <c r="S89" s="10">
        <f t="shared" si="31"/>
        <v>0</v>
      </c>
      <c r="T89" s="12"/>
      <c r="U89" s="5">
        <f t="shared" si="33"/>
        <v>0</v>
      </c>
      <c r="V89" s="5">
        <f t="shared" si="37"/>
        <v>0</v>
      </c>
      <c r="W89" s="5"/>
      <c r="X89" s="1" t="e">
        <f t="shared" si="34"/>
        <v>#DIV/0!</v>
      </c>
      <c r="Y89" s="10" t="e">
        <f t="shared" si="32"/>
        <v>#DIV/0!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 t="s">
        <v>57</v>
      </c>
      <c r="AI89" s="1">
        <f t="shared" si="35"/>
        <v>0</v>
      </c>
      <c r="AJ89" s="1">
        <f t="shared" si="36"/>
        <v>0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 t="s">
        <v>132</v>
      </c>
      <c r="B90" s="1" t="s">
        <v>34</v>
      </c>
      <c r="C90" s="1">
        <v>2595.5230000000001</v>
      </c>
      <c r="D90" s="1">
        <v>4858.7529999999997</v>
      </c>
      <c r="E90" s="1">
        <v>2743.3809999999999</v>
      </c>
      <c r="F90" s="1">
        <v>3789.5889999999999</v>
      </c>
      <c r="G90" s="7">
        <v>1</v>
      </c>
      <c r="H90" s="1">
        <v>60</v>
      </c>
      <c r="I90" s="1" t="s">
        <v>35</v>
      </c>
      <c r="J90" s="1"/>
      <c r="K90" s="1">
        <v>2820.741</v>
      </c>
      <c r="L90" s="1">
        <f t="shared" si="29"/>
        <v>-77.360000000000127</v>
      </c>
      <c r="M90" s="1">
        <f t="shared" si="30"/>
        <v>2585.1149999999998</v>
      </c>
      <c r="N90" s="1">
        <v>158.26599999999999</v>
      </c>
      <c r="O90" s="1">
        <v>348.8982426799999</v>
      </c>
      <c r="P90" s="19"/>
      <c r="Q90" s="19"/>
      <c r="R90" s="1">
        <v>471.65265731999978</v>
      </c>
      <c r="S90" s="1">
        <f t="shared" si="31"/>
        <v>517.02299999999991</v>
      </c>
      <c r="T90" s="5">
        <f t="shared" ref="T90:T94" si="41">12*S90-R90-O90-F90</f>
        <v>1594.1360999999988</v>
      </c>
      <c r="U90" s="5">
        <f t="shared" si="33"/>
        <v>1594.1360999999988</v>
      </c>
      <c r="V90" s="5">
        <f t="shared" si="37"/>
        <v>559.06353026999955</v>
      </c>
      <c r="W90" s="5">
        <f>U90*$W$1</f>
        <v>1035.0725697299993</v>
      </c>
      <c r="X90" s="1">
        <f t="shared" si="34"/>
        <v>12</v>
      </c>
      <c r="Y90" s="1">
        <f t="shared" si="32"/>
        <v>8.916701771487924</v>
      </c>
      <c r="Z90" s="1">
        <v>538.73500000000001</v>
      </c>
      <c r="AA90" s="1">
        <v>591.0634</v>
      </c>
      <c r="AB90" s="1">
        <v>673.63120000000004</v>
      </c>
      <c r="AC90" s="1">
        <v>428.86399999999998</v>
      </c>
      <c r="AD90" s="1">
        <v>368.13479999999998</v>
      </c>
      <c r="AE90" s="1">
        <v>482.79840000000002</v>
      </c>
      <c r="AF90" s="1">
        <v>547.7278</v>
      </c>
      <c r="AG90" s="1">
        <v>842.63180000000011</v>
      </c>
      <c r="AH90" s="1" t="s">
        <v>37</v>
      </c>
      <c r="AI90" s="1">
        <f t="shared" si="35"/>
        <v>559</v>
      </c>
      <c r="AJ90" s="1">
        <f t="shared" si="36"/>
        <v>1035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 t="s">
        <v>133</v>
      </c>
      <c r="B91" s="1" t="s">
        <v>40</v>
      </c>
      <c r="C91" s="1">
        <v>728</v>
      </c>
      <c r="D91" s="1">
        <v>188</v>
      </c>
      <c r="E91" s="1">
        <v>238</v>
      </c>
      <c r="F91" s="1">
        <v>627</v>
      </c>
      <c r="G91" s="7">
        <v>0.3</v>
      </c>
      <c r="H91" s="1">
        <v>40</v>
      </c>
      <c r="I91" s="1" t="s">
        <v>35</v>
      </c>
      <c r="J91" s="1"/>
      <c r="K91" s="1">
        <v>243</v>
      </c>
      <c r="L91" s="1">
        <f t="shared" si="29"/>
        <v>-5</v>
      </c>
      <c r="M91" s="1">
        <f t="shared" si="30"/>
        <v>238</v>
      </c>
      <c r="N91" s="1"/>
      <c r="O91" s="1">
        <v>0</v>
      </c>
      <c r="P91" s="19"/>
      <c r="Q91" s="19"/>
      <c r="R91" s="1"/>
      <c r="S91" s="1">
        <f t="shared" si="31"/>
        <v>47.6</v>
      </c>
      <c r="T91" s="5"/>
      <c r="U91" s="5">
        <f t="shared" si="33"/>
        <v>0</v>
      </c>
      <c r="V91" s="5">
        <f t="shared" si="37"/>
        <v>0</v>
      </c>
      <c r="W91" s="5"/>
      <c r="X91" s="1">
        <f t="shared" si="34"/>
        <v>13.172268907563025</v>
      </c>
      <c r="Y91" s="1">
        <f t="shared" si="32"/>
        <v>13.172268907563025</v>
      </c>
      <c r="Z91" s="1">
        <v>64.8</v>
      </c>
      <c r="AA91" s="1">
        <v>54.6</v>
      </c>
      <c r="AB91" s="1">
        <v>43.4</v>
      </c>
      <c r="AC91" s="1">
        <v>52.8</v>
      </c>
      <c r="AD91" s="1">
        <v>49.8</v>
      </c>
      <c r="AE91" s="1">
        <v>36.200000000000003</v>
      </c>
      <c r="AF91" s="1">
        <v>35.799999999999997</v>
      </c>
      <c r="AG91" s="1">
        <v>49</v>
      </c>
      <c r="AH91" s="1"/>
      <c r="AI91" s="1">
        <f t="shared" si="35"/>
        <v>0</v>
      </c>
      <c r="AJ91" s="1">
        <f t="shared" si="36"/>
        <v>0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 t="s">
        <v>134</v>
      </c>
      <c r="B92" s="1" t="s">
        <v>34</v>
      </c>
      <c r="C92" s="1">
        <v>2259.6529999999998</v>
      </c>
      <c r="D92" s="1">
        <v>1550.4079999999999</v>
      </c>
      <c r="E92" s="1">
        <v>1603.4480000000001</v>
      </c>
      <c r="F92" s="1">
        <v>1499.441</v>
      </c>
      <c r="G92" s="7">
        <v>1</v>
      </c>
      <c r="H92" s="1">
        <v>60</v>
      </c>
      <c r="I92" s="1" t="s">
        <v>35</v>
      </c>
      <c r="J92" s="1"/>
      <c r="K92" s="1">
        <v>1761.877</v>
      </c>
      <c r="L92" s="1">
        <f t="shared" si="29"/>
        <v>-158.42899999999986</v>
      </c>
      <c r="M92" s="1">
        <f t="shared" si="30"/>
        <v>1318.6510000000001</v>
      </c>
      <c r="N92" s="1">
        <v>284.79700000000003</v>
      </c>
      <c r="O92" s="1">
        <v>297.64</v>
      </c>
      <c r="P92" s="19"/>
      <c r="Q92" s="19">
        <v>300</v>
      </c>
      <c r="R92" s="1">
        <v>402.36</v>
      </c>
      <c r="S92" s="1">
        <f t="shared" si="31"/>
        <v>263.73020000000002</v>
      </c>
      <c r="T92" s="5">
        <f t="shared" si="41"/>
        <v>965.32140000000049</v>
      </c>
      <c r="U92" s="5">
        <f>T92-S92</f>
        <v>701.59120000000053</v>
      </c>
      <c r="V92" s="5">
        <f t="shared" si="37"/>
        <v>246.04803384000019</v>
      </c>
      <c r="W92" s="5">
        <f t="shared" ref="W92:W94" si="42">U92*$W$1</f>
        <v>455.54316616000034</v>
      </c>
      <c r="X92" s="1">
        <f t="shared" si="34"/>
        <v>11.000000000000004</v>
      </c>
      <c r="Y92" s="1">
        <f t="shared" si="32"/>
        <v>8.3397388694961752</v>
      </c>
      <c r="Z92" s="1">
        <v>277.47519999999997</v>
      </c>
      <c r="AA92" s="1">
        <v>257.95119999999997</v>
      </c>
      <c r="AB92" s="1">
        <v>283.8922</v>
      </c>
      <c r="AC92" s="1">
        <v>197.21299999999999</v>
      </c>
      <c r="AD92" s="1">
        <v>160.90700000000001</v>
      </c>
      <c r="AE92" s="1">
        <v>215.4</v>
      </c>
      <c r="AF92" s="1">
        <v>379.45499999999998</v>
      </c>
      <c r="AG92" s="1">
        <v>357.23480000000001</v>
      </c>
      <c r="AH92" s="1"/>
      <c r="AI92" s="1">
        <f t="shared" si="35"/>
        <v>246</v>
      </c>
      <c r="AJ92" s="1">
        <f t="shared" si="36"/>
        <v>456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 t="s">
        <v>135</v>
      </c>
      <c r="B93" s="1" t="s">
        <v>34</v>
      </c>
      <c r="C93" s="1">
        <v>5655.7879999999996</v>
      </c>
      <c r="D93" s="1">
        <v>2435.578</v>
      </c>
      <c r="E93" s="1">
        <v>3826.654</v>
      </c>
      <c r="F93" s="1">
        <v>1842.0029999999999</v>
      </c>
      <c r="G93" s="7">
        <v>1</v>
      </c>
      <c r="H93" s="1">
        <v>60</v>
      </c>
      <c r="I93" s="1" t="s">
        <v>35</v>
      </c>
      <c r="J93" s="1"/>
      <c r="K93" s="1">
        <v>3934.7629999999999</v>
      </c>
      <c r="L93" s="1">
        <f t="shared" si="29"/>
        <v>-108.10899999999992</v>
      </c>
      <c r="M93" s="1">
        <f t="shared" si="30"/>
        <v>2313.09</v>
      </c>
      <c r="N93" s="1">
        <v>1513.5640000000001</v>
      </c>
      <c r="O93" s="1">
        <v>765.36000000000013</v>
      </c>
      <c r="P93" s="19"/>
      <c r="Q93" s="19">
        <v>600</v>
      </c>
      <c r="R93" s="1">
        <v>1034.6400000000001</v>
      </c>
      <c r="S93" s="1">
        <f t="shared" si="31"/>
        <v>462.61800000000005</v>
      </c>
      <c r="T93" s="5">
        <f t="shared" si="41"/>
        <v>1909.4130000000007</v>
      </c>
      <c r="U93" s="5">
        <f t="shared" ref="U93:U94" si="43">T93-S93</f>
        <v>1446.7950000000005</v>
      </c>
      <c r="V93" s="5">
        <f t="shared" si="37"/>
        <v>507.39100650000023</v>
      </c>
      <c r="W93" s="5">
        <f t="shared" si="42"/>
        <v>939.4039935000003</v>
      </c>
      <c r="X93" s="1">
        <f t="shared" si="34"/>
        <v>11</v>
      </c>
      <c r="Y93" s="1">
        <f t="shared" si="32"/>
        <v>7.872592506128167</v>
      </c>
      <c r="Z93" s="1">
        <v>495.69220000000001</v>
      </c>
      <c r="AA93" s="1">
        <v>523.89400000000001</v>
      </c>
      <c r="AB93" s="1">
        <v>507.10120000000012</v>
      </c>
      <c r="AC93" s="1">
        <v>403.74220000000003</v>
      </c>
      <c r="AD93" s="1">
        <v>422.80460000000011</v>
      </c>
      <c r="AE93" s="1">
        <v>423.51899999999989</v>
      </c>
      <c r="AF93" s="1">
        <v>694.55039999999997</v>
      </c>
      <c r="AG93" s="1">
        <v>304.53539999999998</v>
      </c>
      <c r="AH93" s="1"/>
      <c r="AI93" s="1">
        <f t="shared" si="35"/>
        <v>507</v>
      </c>
      <c r="AJ93" s="1">
        <f t="shared" si="36"/>
        <v>939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 t="s">
        <v>61</v>
      </c>
      <c r="B94" s="1" t="s">
        <v>34</v>
      </c>
      <c r="C94" s="1">
        <v>5480.0039999999999</v>
      </c>
      <c r="D94" s="1">
        <v>3723.3389999999999</v>
      </c>
      <c r="E94" s="1">
        <v>4308.4480000000003</v>
      </c>
      <c r="F94" s="13">
        <f>2692.755+F23</f>
        <v>2677.7710000000002</v>
      </c>
      <c r="G94" s="7">
        <v>1</v>
      </c>
      <c r="H94" s="1">
        <v>60</v>
      </c>
      <c r="I94" s="1" t="s">
        <v>35</v>
      </c>
      <c r="J94" s="1"/>
      <c r="K94" s="1">
        <v>4402.4809999999998</v>
      </c>
      <c r="L94" s="1">
        <f t="shared" si="29"/>
        <v>-94.032999999999447</v>
      </c>
      <c r="M94" s="1">
        <f t="shared" si="30"/>
        <v>2890.6870000000004</v>
      </c>
      <c r="N94" s="1">
        <v>1417.761</v>
      </c>
      <c r="O94" s="1">
        <v>765.36000000000013</v>
      </c>
      <c r="P94" s="19">
        <v>600</v>
      </c>
      <c r="Q94" s="19"/>
      <c r="R94" s="1">
        <v>1034.6400000000001</v>
      </c>
      <c r="S94" s="1">
        <f t="shared" si="31"/>
        <v>578.13740000000007</v>
      </c>
      <c r="T94" s="5">
        <f t="shared" si="41"/>
        <v>2459.8778000000007</v>
      </c>
      <c r="U94" s="5">
        <f t="shared" si="43"/>
        <v>1881.7404000000006</v>
      </c>
      <c r="V94" s="5">
        <f t="shared" si="37"/>
        <v>659.92635828000016</v>
      </c>
      <c r="W94" s="5">
        <f t="shared" si="42"/>
        <v>1221.8140417200004</v>
      </c>
      <c r="X94" s="1">
        <f t="shared" si="34"/>
        <v>11</v>
      </c>
      <c r="Y94" s="1">
        <f t="shared" si="32"/>
        <v>7.7451674982452268</v>
      </c>
      <c r="Z94" s="1">
        <v>589.31639999999993</v>
      </c>
      <c r="AA94" s="1">
        <v>576.82039999999995</v>
      </c>
      <c r="AB94" s="1">
        <v>637.09520000000009</v>
      </c>
      <c r="AC94" s="1">
        <v>500.93239999999997</v>
      </c>
      <c r="AD94" s="1">
        <v>455.24059999999997</v>
      </c>
      <c r="AE94" s="1">
        <v>581.56139999999994</v>
      </c>
      <c r="AF94" s="1">
        <v>903.69920000000002</v>
      </c>
      <c r="AG94" s="1">
        <v>397.85039999999998</v>
      </c>
      <c r="AH94" s="1"/>
      <c r="AI94" s="1">
        <f t="shared" si="35"/>
        <v>660</v>
      </c>
      <c r="AJ94" s="1">
        <f t="shared" si="36"/>
        <v>1222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 t="s">
        <v>136</v>
      </c>
      <c r="B95" s="1" t="s">
        <v>34</v>
      </c>
      <c r="C95" s="1">
        <v>35.082999999999998</v>
      </c>
      <c r="D95" s="1">
        <v>22.709</v>
      </c>
      <c r="E95" s="1">
        <v>18.951000000000001</v>
      </c>
      <c r="F95" s="1">
        <v>30.797999999999998</v>
      </c>
      <c r="G95" s="7">
        <v>1</v>
      </c>
      <c r="H95" s="1">
        <v>55</v>
      </c>
      <c r="I95" s="1" t="s">
        <v>35</v>
      </c>
      <c r="J95" s="1"/>
      <c r="K95" s="1">
        <v>20.399999999999999</v>
      </c>
      <c r="L95" s="1">
        <f t="shared" si="29"/>
        <v>-1.4489999999999981</v>
      </c>
      <c r="M95" s="1">
        <f t="shared" si="30"/>
        <v>18.951000000000001</v>
      </c>
      <c r="N95" s="1"/>
      <c r="O95" s="1">
        <v>13.0763</v>
      </c>
      <c r="P95" s="19"/>
      <c r="Q95" s="19"/>
      <c r="R95" s="1"/>
      <c r="S95" s="1">
        <f t="shared" si="31"/>
        <v>3.7902</v>
      </c>
      <c r="T95" s="5">
        <v>4</v>
      </c>
      <c r="U95" s="5">
        <f t="shared" si="33"/>
        <v>4</v>
      </c>
      <c r="V95" s="5">
        <f t="shared" si="37"/>
        <v>4</v>
      </c>
      <c r="W95" s="5"/>
      <c r="X95" s="1">
        <f t="shared" si="34"/>
        <v>12.63107487731518</v>
      </c>
      <c r="Y95" s="1">
        <f t="shared" si="32"/>
        <v>11.575721597804865</v>
      </c>
      <c r="Z95" s="1">
        <v>4.0486000000000004</v>
      </c>
      <c r="AA95" s="1">
        <v>4.0282</v>
      </c>
      <c r="AB95" s="1">
        <v>3.492</v>
      </c>
      <c r="AC95" s="1">
        <v>1.6095999999999999</v>
      </c>
      <c r="AD95" s="1">
        <v>2.2846000000000002</v>
      </c>
      <c r="AE95" s="1">
        <v>4.4762000000000004</v>
      </c>
      <c r="AF95" s="1">
        <v>4.0706000000000007</v>
      </c>
      <c r="AG95" s="1">
        <v>5.3708</v>
      </c>
      <c r="AH95" s="1"/>
      <c r="AI95" s="1">
        <f t="shared" si="35"/>
        <v>4</v>
      </c>
      <c r="AJ95" s="1">
        <f t="shared" si="36"/>
        <v>0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0" t="s">
        <v>137</v>
      </c>
      <c r="B96" s="10" t="s">
        <v>34</v>
      </c>
      <c r="C96" s="10">
        <v>-1.36</v>
      </c>
      <c r="D96" s="10"/>
      <c r="E96" s="10"/>
      <c r="F96" s="10">
        <v>-1.36</v>
      </c>
      <c r="G96" s="11">
        <v>0</v>
      </c>
      <c r="H96" s="10"/>
      <c r="I96" s="10" t="s">
        <v>48</v>
      </c>
      <c r="J96" s="10"/>
      <c r="K96" s="10"/>
      <c r="L96" s="10">
        <f t="shared" si="29"/>
        <v>0</v>
      </c>
      <c r="M96" s="10">
        <f t="shared" si="30"/>
        <v>0</v>
      </c>
      <c r="N96" s="10"/>
      <c r="O96" s="10">
        <v>0</v>
      </c>
      <c r="P96" s="21"/>
      <c r="Q96" s="21"/>
      <c r="R96" s="10"/>
      <c r="S96" s="10">
        <f t="shared" si="31"/>
        <v>0</v>
      </c>
      <c r="T96" s="12"/>
      <c r="U96" s="5">
        <f t="shared" si="33"/>
        <v>0</v>
      </c>
      <c r="V96" s="5">
        <f t="shared" si="37"/>
        <v>0</v>
      </c>
      <c r="W96" s="5"/>
      <c r="X96" s="1" t="e">
        <f t="shared" si="34"/>
        <v>#DIV/0!</v>
      </c>
      <c r="Y96" s="10" t="e">
        <f t="shared" si="32"/>
        <v>#DIV/0!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/>
      <c r="AI96" s="1">
        <f t="shared" si="35"/>
        <v>0</v>
      </c>
      <c r="AJ96" s="1">
        <f t="shared" si="36"/>
        <v>0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0" t="s">
        <v>138</v>
      </c>
      <c r="B97" s="10" t="s">
        <v>34</v>
      </c>
      <c r="C97" s="10">
        <v>-2.5960000000000001</v>
      </c>
      <c r="D97" s="10"/>
      <c r="E97" s="10"/>
      <c r="F97" s="10">
        <v>-3.9460000000000002</v>
      </c>
      <c r="G97" s="11">
        <v>0</v>
      </c>
      <c r="H97" s="10"/>
      <c r="I97" s="10" t="s">
        <v>48</v>
      </c>
      <c r="J97" s="10"/>
      <c r="K97" s="10"/>
      <c r="L97" s="10">
        <f t="shared" si="29"/>
        <v>0</v>
      </c>
      <c r="M97" s="10">
        <f t="shared" si="30"/>
        <v>0</v>
      </c>
      <c r="N97" s="10"/>
      <c r="O97" s="10">
        <v>0</v>
      </c>
      <c r="P97" s="21"/>
      <c r="Q97" s="21"/>
      <c r="R97" s="10"/>
      <c r="S97" s="10">
        <f t="shared" si="31"/>
        <v>0</v>
      </c>
      <c r="T97" s="12"/>
      <c r="U97" s="5">
        <f t="shared" si="33"/>
        <v>0</v>
      </c>
      <c r="V97" s="5">
        <f t="shared" si="37"/>
        <v>0</v>
      </c>
      <c r="W97" s="5"/>
      <c r="X97" s="1" t="e">
        <f t="shared" si="34"/>
        <v>#DIV/0!</v>
      </c>
      <c r="Y97" s="10" t="e">
        <f t="shared" si="32"/>
        <v>#DIV/0!</v>
      </c>
      <c r="Z97" s="10">
        <v>0</v>
      </c>
      <c r="AA97" s="10">
        <v>-8.5999999999999993E-2</v>
      </c>
      <c r="AB97" s="10">
        <v>-8.5999999999999993E-2</v>
      </c>
      <c r="AC97" s="10">
        <v>0</v>
      </c>
      <c r="AD97" s="10">
        <v>-0.26900000000000002</v>
      </c>
      <c r="AE97" s="10">
        <v>-0.47220000000000012</v>
      </c>
      <c r="AF97" s="10">
        <v>-0.20319999999999999</v>
      </c>
      <c r="AG97" s="10">
        <v>0</v>
      </c>
      <c r="AH97" s="10"/>
      <c r="AI97" s="1">
        <f t="shared" si="35"/>
        <v>0</v>
      </c>
      <c r="AJ97" s="1">
        <f t="shared" si="36"/>
        <v>0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 t="s">
        <v>139</v>
      </c>
      <c r="B98" s="1" t="s">
        <v>40</v>
      </c>
      <c r="C98" s="1">
        <v>-3</v>
      </c>
      <c r="D98" s="1"/>
      <c r="E98" s="1"/>
      <c r="F98" s="1">
        <v>-5</v>
      </c>
      <c r="G98" s="7">
        <v>0.3</v>
      </c>
      <c r="H98" s="1">
        <v>40</v>
      </c>
      <c r="I98" s="9" t="s">
        <v>45</v>
      </c>
      <c r="J98" s="1"/>
      <c r="K98" s="1">
        <v>87</v>
      </c>
      <c r="L98" s="1">
        <f t="shared" si="29"/>
        <v>-87</v>
      </c>
      <c r="M98" s="1">
        <f t="shared" si="30"/>
        <v>0</v>
      </c>
      <c r="N98" s="1"/>
      <c r="O98" s="1">
        <v>100</v>
      </c>
      <c r="P98" s="19"/>
      <c r="Q98" s="19"/>
      <c r="R98" s="1"/>
      <c r="S98" s="1">
        <f t="shared" si="31"/>
        <v>0</v>
      </c>
      <c r="T98" s="5">
        <v>80</v>
      </c>
      <c r="U98" s="5">
        <f t="shared" si="33"/>
        <v>80</v>
      </c>
      <c r="V98" s="5">
        <f>U98</f>
        <v>80</v>
      </c>
      <c r="W98" s="5">
        <v>40</v>
      </c>
      <c r="X98" s="1" t="e">
        <f t="shared" si="34"/>
        <v>#DIV/0!</v>
      </c>
      <c r="Y98" s="1" t="e">
        <f t="shared" si="32"/>
        <v>#DIV/0!</v>
      </c>
      <c r="Z98" s="1">
        <v>-0.4</v>
      </c>
      <c r="AA98" s="1">
        <v>-0.4</v>
      </c>
      <c r="AB98" s="1">
        <v>0</v>
      </c>
      <c r="AC98" s="1">
        <v>-0.2</v>
      </c>
      <c r="AD98" s="1">
        <v>-0.6</v>
      </c>
      <c r="AE98" s="1">
        <v>-0.4</v>
      </c>
      <c r="AF98" s="1">
        <v>-0.8</v>
      </c>
      <c r="AG98" s="1">
        <v>0</v>
      </c>
      <c r="AH98" s="1"/>
      <c r="AI98" s="1">
        <f t="shared" si="35"/>
        <v>24</v>
      </c>
      <c r="AJ98" s="1">
        <f t="shared" si="36"/>
        <v>12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 t="s">
        <v>140</v>
      </c>
      <c r="B99" s="1" t="s">
        <v>40</v>
      </c>
      <c r="C99" s="1">
        <v>83</v>
      </c>
      <c r="D99" s="1">
        <v>19</v>
      </c>
      <c r="E99" s="1">
        <v>21</v>
      </c>
      <c r="F99" s="1">
        <v>73</v>
      </c>
      <c r="G99" s="7">
        <v>0.3</v>
      </c>
      <c r="H99" s="1">
        <v>40</v>
      </c>
      <c r="I99" s="1" t="s">
        <v>35</v>
      </c>
      <c r="J99" s="1"/>
      <c r="K99" s="1">
        <v>29</v>
      </c>
      <c r="L99" s="1">
        <f t="shared" si="29"/>
        <v>-8</v>
      </c>
      <c r="M99" s="1">
        <f t="shared" si="30"/>
        <v>21</v>
      </c>
      <c r="N99" s="1"/>
      <c r="O99" s="1">
        <v>0</v>
      </c>
      <c r="P99" s="19"/>
      <c r="Q99" s="19"/>
      <c r="R99" s="1"/>
      <c r="S99" s="1">
        <f t="shared" si="31"/>
        <v>4.2</v>
      </c>
      <c r="T99" s="5"/>
      <c r="U99" s="5">
        <f t="shared" si="33"/>
        <v>0</v>
      </c>
      <c r="V99" s="5">
        <f t="shared" si="37"/>
        <v>0</v>
      </c>
      <c r="W99" s="5"/>
      <c r="X99" s="1">
        <f t="shared" si="34"/>
        <v>17.38095238095238</v>
      </c>
      <c r="Y99" s="1">
        <f t="shared" si="32"/>
        <v>17.38095238095238</v>
      </c>
      <c r="Z99" s="1">
        <v>6.4</v>
      </c>
      <c r="AA99" s="1">
        <v>8.8000000000000007</v>
      </c>
      <c r="AB99" s="1">
        <v>6</v>
      </c>
      <c r="AC99" s="1">
        <v>1.6</v>
      </c>
      <c r="AD99" s="1">
        <v>2.2000000000000002</v>
      </c>
      <c r="AE99" s="1">
        <v>6.8</v>
      </c>
      <c r="AF99" s="1">
        <v>8.1999999999999993</v>
      </c>
      <c r="AG99" s="1">
        <v>7.8</v>
      </c>
      <c r="AH99" s="1"/>
      <c r="AI99" s="1">
        <f t="shared" si="35"/>
        <v>0</v>
      </c>
      <c r="AJ99" s="1">
        <f t="shared" si="36"/>
        <v>0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 t="s">
        <v>141</v>
      </c>
      <c r="B100" s="1" t="s">
        <v>40</v>
      </c>
      <c r="C100" s="1">
        <v>16</v>
      </c>
      <c r="D100" s="1">
        <v>119</v>
      </c>
      <c r="E100" s="1">
        <v>63</v>
      </c>
      <c r="F100" s="1">
        <v>61</v>
      </c>
      <c r="G100" s="7">
        <v>7.0000000000000007E-2</v>
      </c>
      <c r="H100" s="1">
        <v>90</v>
      </c>
      <c r="I100" s="9" t="s">
        <v>45</v>
      </c>
      <c r="J100" s="1"/>
      <c r="K100" s="1">
        <v>288</v>
      </c>
      <c r="L100" s="1">
        <f t="shared" si="29"/>
        <v>-225</v>
      </c>
      <c r="M100" s="1">
        <f t="shared" si="30"/>
        <v>63</v>
      </c>
      <c r="N100" s="1"/>
      <c r="O100" s="1">
        <v>0</v>
      </c>
      <c r="P100" s="19"/>
      <c r="Q100" s="19"/>
      <c r="R100" s="1"/>
      <c r="S100" s="1">
        <f t="shared" si="31"/>
        <v>12.6</v>
      </c>
      <c r="T100" s="5">
        <f t="shared" ref="T100:T102" si="44">12*S100-R100-O100-F100</f>
        <v>90.199999999999989</v>
      </c>
      <c r="U100" s="5">
        <f t="shared" si="33"/>
        <v>90.199999999999989</v>
      </c>
      <c r="V100" s="5">
        <f t="shared" si="33"/>
        <v>90.199999999999989</v>
      </c>
      <c r="W100" s="5">
        <v>50</v>
      </c>
      <c r="X100" s="1">
        <f t="shared" si="34"/>
        <v>15.968253968253968</v>
      </c>
      <c r="Y100" s="1">
        <f t="shared" si="32"/>
        <v>4.8412698412698418</v>
      </c>
      <c r="Z100" s="1">
        <v>0.4</v>
      </c>
      <c r="AA100" s="1">
        <v>3</v>
      </c>
      <c r="AB100" s="1">
        <v>4.8</v>
      </c>
      <c r="AC100" s="1">
        <v>17.399999999999999</v>
      </c>
      <c r="AD100" s="1">
        <v>32</v>
      </c>
      <c r="AE100" s="1">
        <v>45.8</v>
      </c>
      <c r="AF100" s="1">
        <v>47.2</v>
      </c>
      <c r="AG100" s="1">
        <v>25.4</v>
      </c>
      <c r="AH100" s="1"/>
      <c r="AI100" s="1">
        <f t="shared" si="35"/>
        <v>6</v>
      </c>
      <c r="AJ100" s="1">
        <f t="shared" si="36"/>
        <v>4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 t="s">
        <v>142</v>
      </c>
      <c r="B101" s="1" t="s">
        <v>40</v>
      </c>
      <c r="C101" s="1">
        <v>67</v>
      </c>
      <c r="D101" s="1">
        <v>282</v>
      </c>
      <c r="E101" s="1">
        <v>176</v>
      </c>
      <c r="F101" s="1">
        <v>123</v>
      </c>
      <c r="G101" s="7">
        <v>7.0000000000000007E-2</v>
      </c>
      <c r="H101" s="1">
        <v>90</v>
      </c>
      <c r="I101" s="9" t="s">
        <v>45</v>
      </c>
      <c r="J101" s="1"/>
      <c r="K101" s="1">
        <v>247</v>
      </c>
      <c r="L101" s="1">
        <f t="shared" si="29"/>
        <v>-71</v>
      </c>
      <c r="M101" s="1">
        <f t="shared" si="30"/>
        <v>176</v>
      </c>
      <c r="N101" s="1"/>
      <c r="O101" s="1">
        <v>154.3000000000001</v>
      </c>
      <c r="P101" s="19"/>
      <c r="Q101" s="19"/>
      <c r="R101" s="1"/>
      <c r="S101" s="1">
        <f t="shared" si="31"/>
        <v>35.200000000000003</v>
      </c>
      <c r="T101" s="5">
        <f t="shared" si="44"/>
        <v>145.09999999999991</v>
      </c>
      <c r="U101" s="5">
        <f t="shared" si="33"/>
        <v>145.09999999999991</v>
      </c>
      <c r="V101" s="5">
        <f t="shared" si="33"/>
        <v>145.09999999999991</v>
      </c>
      <c r="W101" s="5"/>
      <c r="X101" s="1">
        <f t="shared" si="34"/>
        <v>11.999999999999998</v>
      </c>
      <c r="Y101" s="1">
        <f t="shared" si="32"/>
        <v>7.8778409090909101</v>
      </c>
      <c r="Z101" s="1">
        <v>34.200000000000003</v>
      </c>
      <c r="AA101" s="1">
        <v>44.6</v>
      </c>
      <c r="AB101" s="1">
        <v>28.2</v>
      </c>
      <c r="AC101" s="1">
        <v>6.6</v>
      </c>
      <c r="AD101" s="1">
        <v>30</v>
      </c>
      <c r="AE101" s="1">
        <v>51.8</v>
      </c>
      <c r="AF101" s="1">
        <v>48</v>
      </c>
      <c r="AG101" s="1">
        <v>27.6</v>
      </c>
      <c r="AH101" s="1"/>
      <c r="AI101" s="1">
        <f t="shared" si="35"/>
        <v>10</v>
      </c>
      <c r="AJ101" s="1">
        <f t="shared" si="36"/>
        <v>0</v>
      </c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 t="s">
        <v>143</v>
      </c>
      <c r="B102" s="1" t="s">
        <v>40</v>
      </c>
      <c r="C102" s="1">
        <v>48</v>
      </c>
      <c r="D102" s="1">
        <v>286</v>
      </c>
      <c r="E102" s="1">
        <v>213</v>
      </c>
      <c r="F102" s="1">
        <v>78</v>
      </c>
      <c r="G102" s="7">
        <v>7.0000000000000007E-2</v>
      </c>
      <c r="H102" s="1">
        <v>90</v>
      </c>
      <c r="I102" s="9" t="s">
        <v>45</v>
      </c>
      <c r="J102" s="1"/>
      <c r="K102" s="1">
        <v>273</v>
      </c>
      <c r="L102" s="1">
        <f t="shared" ref="L102:L133" si="45">E102-K102</f>
        <v>-60</v>
      </c>
      <c r="M102" s="1">
        <f t="shared" ref="M102:M133" si="46">E102-N102</f>
        <v>213</v>
      </c>
      <c r="N102" s="1"/>
      <c r="O102" s="1">
        <v>50</v>
      </c>
      <c r="P102" s="19"/>
      <c r="Q102" s="19"/>
      <c r="R102" s="1"/>
      <c r="S102" s="1">
        <f t="shared" ref="S102:S138" si="47">M102/5</f>
        <v>42.6</v>
      </c>
      <c r="T102" s="5">
        <f t="shared" si="44"/>
        <v>383.20000000000005</v>
      </c>
      <c r="U102" s="5">
        <f t="shared" si="33"/>
        <v>383.20000000000005</v>
      </c>
      <c r="V102" s="5">
        <f t="shared" si="33"/>
        <v>383.20000000000005</v>
      </c>
      <c r="W102" s="5"/>
      <c r="X102" s="1">
        <f t="shared" si="34"/>
        <v>12</v>
      </c>
      <c r="Y102" s="1">
        <f t="shared" ref="Y102:Y138" si="48">(F102+O102+R102)/S102</f>
        <v>3.004694835680751</v>
      </c>
      <c r="Z102" s="1">
        <v>11.4</v>
      </c>
      <c r="AA102" s="1">
        <v>17.8</v>
      </c>
      <c r="AB102" s="1">
        <v>18.2</v>
      </c>
      <c r="AC102" s="1">
        <v>23</v>
      </c>
      <c r="AD102" s="1">
        <v>39.200000000000003</v>
      </c>
      <c r="AE102" s="1">
        <v>42</v>
      </c>
      <c r="AF102" s="1">
        <v>40.799999999999997</v>
      </c>
      <c r="AG102" s="1">
        <v>18.600000000000001</v>
      </c>
      <c r="AH102" s="1"/>
      <c r="AI102" s="1">
        <f t="shared" si="35"/>
        <v>27</v>
      </c>
      <c r="AJ102" s="1">
        <f t="shared" si="36"/>
        <v>0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0" t="s">
        <v>144</v>
      </c>
      <c r="B103" s="10" t="s">
        <v>40</v>
      </c>
      <c r="C103" s="10">
        <v>4</v>
      </c>
      <c r="D103" s="10"/>
      <c r="E103" s="10">
        <v>-2</v>
      </c>
      <c r="F103" s="10">
        <v>4</v>
      </c>
      <c r="G103" s="11">
        <v>0</v>
      </c>
      <c r="H103" s="10">
        <v>90</v>
      </c>
      <c r="I103" s="10" t="s">
        <v>48</v>
      </c>
      <c r="J103" s="10"/>
      <c r="K103" s="10">
        <v>86</v>
      </c>
      <c r="L103" s="10">
        <f t="shared" si="45"/>
        <v>-88</v>
      </c>
      <c r="M103" s="10">
        <f t="shared" si="46"/>
        <v>-2</v>
      </c>
      <c r="N103" s="10"/>
      <c r="O103" s="10">
        <v>0</v>
      </c>
      <c r="P103" s="21"/>
      <c r="Q103" s="21"/>
      <c r="R103" s="10"/>
      <c r="S103" s="10">
        <f t="shared" si="47"/>
        <v>-0.4</v>
      </c>
      <c r="T103" s="12"/>
      <c r="U103" s="5">
        <f t="shared" si="33"/>
        <v>0</v>
      </c>
      <c r="V103" s="5">
        <f t="shared" si="37"/>
        <v>0</v>
      </c>
      <c r="W103" s="5"/>
      <c r="X103" s="1">
        <f t="shared" si="34"/>
        <v>-10</v>
      </c>
      <c r="Y103" s="10">
        <f t="shared" si="48"/>
        <v>-10</v>
      </c>
      <c r="Z103" s="10">
        <v>-0.4</v>
      </c>
      <c r="AA103" s="10">
        <v>-0.6</v>
      </c>
      <c r="AB103" s="10">
        <v>-0.2</v>
      </c>
      <c r="AC103" s="10">
        <v>0</v>
      </c>
      <c r="AD103" s="10">
        <v>-0.2</v>
      </c>
      <c r="AE103" s="10">
        <v>-0.2</v>
      </c>
      <c r="AF103" s="10">
        <v>0</v>
      </c>
      <c r="AG103" s="10">
        <v>-0.6</v>
      </c>
      <c r="AH103" s="10"/>
      <c r="AI103" s="1">
        <f t="shared" si="35"/>
        <v>0</v>
      </c>
      <c r="AJ103" s="1">
        <f t="shared" si="36"/>
        <v>0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 t="s">
        <v>145</v>
      </c>
      <c r="B104" s="1" t="s">
        <v>40</v>
      </c>
      <c r="C104" s="1">
        <v>28</v>
      </c>
      <c r="D104" s="1">
        <v>42</v>
      </c>
      <c r="E104" s="1">
        <v>21</v>
      </c>
      <c r="F104" s="1">
        <v>46</v>
      </c>
      <c r="G104" s="7">
        <v>0.3</v>
      </c>
      <c r="H104" s="1">
        <v>40</v>
      </c>
      <c r="I104" s="1" t="s">
        <v>35</v>
      </c>
      <c r="J104" s="1"/>
      <c r="K104" s="1">
        <v>22</v>
      </c>
      <c r="L104" s="1">
        <f t="shared" si="45"/>
        <v>-1</v>
      </c>
      <c r="M104" s="1">
        <f t="shared" si="46"/>
        <v>21</v>
      </c>
      <c r="N104" s="1"/>
      <c r="O104" s="1">
        <v>0</v>
      </c>
      <c r="P104" s="19"/>
      <c r="Q104" s="19"/>
      <c r="R104" s="1"/>
      <c r="S104" s="1">
        <f t="shared" si="47"/>
        <v>4.2</v>
      </c>
      <c r="T104" s="5">
        <f t="shared" ref="T104:T106" si="49">12*S104-R104-O104-F104</f>
        <v>4.4000000000000057</v>
      </c>
      <c r="U104" s="5">
        <f t="shared" si="33"/>
        <v>4.4000000000000057</v>
      </c>
      <c r="V104" s="5">
        <f t="shared" si="37"/>
        <v>4.4000000000000057</v>
      </c>
      <c r="W104" s="5"/>
      <c r="X104" s="1">
        <f t="shared" si="34"/>
        <v>12</v>
      </c>
      <c r="Y104" s="1">
        <f t="shared" si="48"/>
        <v>10.952380952380953</v>
      </c>
      <c r="Z104" s="1">
        <v>4</v>
      </c>
      <c r="AA104" s="1">
        <v>2.4</v>
      </c>
      <c r="AB104" s="1">
        <v>2.4</v>
      </c>
      <c r="AC104" s="1">
        <v>6.8</v>
      </c>
      <c r="AD104" s="1">
        <v>4.2</v>
      </c>
      <c r="AE104" s="1">
        <v>1.2</v>
      </c>
      <c r="AF104" s="1">
        <v>3.4</v>
      </c>
      <c r="AG104" s="1">
        <v>3.8</v>
      </c>
      <c r="AH104" s="1"/>
      <c r="AI104" s="1">
        <f t="shared" si="35"/>
        <v>1</v>
      </c>
      <c r="AJ104" s="1">
        <f t="shared" si="36"/>
        <v>0</v>
      </c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 t="s">
        <v>146</v>
      </c>
      <c r="B105" s="1" t="s">
        <v>34</v>
      </c>
      <c r="C105" s="1">
        <v>4.5979999999999999</v>
      </c>
      <c r="D105" s="1">
        <v>43.26</v>
      </c>
      <c r="E105" s="1">
        <v>10.134</v>
      </c>
      <c r="F105" s="1">
        <v>33.33</v>
      </c>
      <c r="G105" s="7">
        <v>1</v>
      </c>
      <c r="H105" s="1">
        <v>55</v>
      </c>
      <c r="I105" s="9" t="s">
        <v>45</v>
      </c>
      <c r="J105" s="1"/>
      <c r="K105" s="1">
        <v>12.8</v>
      </c>
      <c r="L105" s="1">
        <f t="shared" si="45"/>
        <v>-2.6660000000000004</v>
      </c>
      <c r="M105" s="1">
        <f t="shared" si="46"/>
        <v>10.134</v>
      </c>
      <c r="N105" s="1"/>
      <c r="O105" s="1">
        <v>5</v>
      </c>
      <c r="P105" s="19"/>
      <c r="Q105" s="19"/>
      <c r="R105" s="1"/>
      <c r="S105" s="1">
        <f t="shared" si="47"/>
        <v>2.0268000000000002</v>
      </c>
      <c r="T105" s="5"/>
      <c r="U105" s="5">
        <f t="shared" si="33"/>
        <v>0</v>
      </c>
      <c r="V105" s="5">
        <f>U105</f>
        <v>0</v>
      </c>
      <c r="W105" s="5"/>
      <c r="X105" s="1">
        <f t="shared" si="34"/>
        <v>18.911584764160249</v>
      </c>
      <c r="Y105" s="1">
        <f t="shared" si="48"/>
        <v>18.911584764160249</v>
      </c>
      <c r="Z105" s="1">
        <v>3.2402000000000002</v>
      </c>
      <c r="AA105" s="1">
        <v>3.1644000000000001</v>
      </c>
      <c r="AB105" s="1">
        <v>1.3438000000000001</v>
      </c>
      <c r="AC105" s="1">
        <v>1.5089999999999999</v>
      </c>
      <c r="AD105" s="1">
        <v>4.0606</v>
      </c>
      <c r="AE105" s="1">
        <v>3.5045999999999999</v>
      </c>
      <c r="AF105" s="1">
        <v>1.7738</v>
      </c>
      <c r="AG105" s="1">
        <v>2.5558000000000001</v>
      </c>
      <c r="AH105" s="1"/>
      <c r="AI105" s="1">
        <f t="shared" si="35"/>
        <v>0</v>
      </c>
      <c r="AJ105" s="1">
        <f t="shared" si="36"/>
        <v>0</v>
      </c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 t="s">
        <v>147</v>
      </c>
      <c r="B106" s="1" t="s">
        <v>40</v>
      </c>
      <c r="C106" s="1">
        <v>334</v>
      </c>
      <c r="D106" s="1">
        <v>226</v>
      </c>
      <c r="E106" s="1">
        <v>165</v>
      </c>
      <c r="F106" s="1">
        <v>357</v>
      </c>
      <c r="G106" s="7">
        <v>0.11</v>
      </c>
      <c r="H106" s="1">
        <v>30</v>
      </c>
      <c r="I106" s="17" t="s">
        <v>35</v>
      </c>
      <c r="J106" s="1"/>
      <c r="K106" s="1">
        <v>331</v>
      </c>
      <c r="L106" s="1">
        <f t="shared" si="45"/>
        <v>-166</v>
      </c>
      <c r="M106" s="1">
        <f t="shared" si="46"/>
        <v>165</v>
      </c>
      <c r="N106" s="1"/>
      <c r="O106" s="1">
        <v>0</v>
      </c>
      <c r="P106" s="19"/>
      <c r="Q106" s="19"/>
      <c r="R106" s="1"/>
      <c r="S106" s="1">
        <f t="shared" si="47"/>
        <v>33</v>
      </c>
      <c r="T106" s="5">
        <f t="shared" si="49"/>
        <v>39</v>
      </c>
      <c r="U106" s="5">
        <f t="shared" si="33"/>
        <v>39</v>
      </c>
      <c r="V106" s="5">
        <f t="shared" si="37"/>
        <v>39</v>
      </c>
      <c r="W106" s="5"/>
      <c r="X106" s="1">
        <f t="shared" si="34"/>
        <v>12</v>
      </c>
      <c r="Y106" s="1">
        <f t="shared" si="48"/>
        <v>10.818181818181818</v>
      </c>
      <c r="Z106" s="1">
        <v>11.2</v>
      </c>
      <c r="AA106" s="1">
        <v>28.2</v>
      </c>
      <c r="AB106" s="1">
        <v>51.2</v>
      </c>
      <c r="AC106" s="1">
        <v>43.4</v>
      </c>
      <c r="AD106" s="1">
        <v>17</v>
      </c>
      <c r="AE106" s="1">
        <v>11.6</v>
      </c>
      <c r="AF106" s="1">
        <v>20.399999999999999</v>
      </c>
      <c r="AG106" s="1">
        <v>18.600000000000001</v>
      </c>
      <c r="AH106" s="1"/>
      <c r="AI106" s="1">
        <f t="shared" si="35"/>
        <v>4</v>
      </c>
      <c r="AJ106" s="1">
        <f t="shared" si="36"/>
        <v>0</v>
      </c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0" t="s">
        <v>148</v>
      </c>
      <c r="B107" s="10" t="s">
        <v>40</v>
      </c>
      <c r="C107" s="10"/>
      <c r="D107" s="10"/>
      <c r="E107" s="10"/>
      <c r="F107" s="10"/>
      <c r="G107" s="11">
        <v>0</v>
      </c>
      <c r="H107" s="10"/>
      <c r="I107" s="10" t="s">
        <v>35</v>
      </c>
      <c r="J107" s="10"/>
      <c r="K107" s="10"/>
      <c r="L107" s="10">
        <f t="shared" si="45"/>
        <v>0</v>
      </c>
      <c r="M107" s="10">
        <f t="shared" si="46"/>
        <v>0</v>
      </c>
      <c r="N107" s="10"/>
      <c r="O107" s="10">
        <v>0</v>
      </c>
      <c r="P107" s="21"/>
      <c r="Q107" s="21"/>
      <c r="R107" s="10"/>
      <c r="S107" s="10">
        <f t="shared" si="47"/>
        <v>0</v>
      </c>
      <c r="T107" s="12"/>
      <c r="U107" s="5">
        <f t="shared" si="33"/>
        <v>0</v>
      </c>
      <c r="V107" s="5">
        <f t="shared" si="37"/>
        <v>0</v>
      </c>
      <c r="W107" s="5"/>
      <c r="X107" s="1" t="e">
        <f t="shared" si="34"/>
        <v>#DIV/0!</v>
      </c>
      <c r="Y107" s="10" t="e">
        <f t="shared" si="48"/>
        <v>#DIV/0!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 t="s">
        <v>57</v>
      </c>
      <c r="AI107" s="1">
        <f t="shared" si="35"/>
        <v>0</v>
      </c>
      <c r="AJ107" s="1">
        <f t="shared" si="36"/>
        <v>0</v>
      </c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 t="s">
        <v>149</v>
      </c>
      <c r="B108" s="1" t="s">
        <v>40</v>
      </c>
      <c r="C108" s="1">
        <v>17</v>
      </c>
      <c r="D108" s="1">
        <v>1100</v>
      </c>
      <c r="E108" s="1">
        <v>336</v>
      </c>
      <c r="F108" s="1">
        <v>718</v>
      </c>
      <c r="G108" s="7">
        <v>0.08</v>
      </c>
      <c r="H108" s="1">
        <v>45</v>
      </c>
      <c r="I108" s="17" t="s">
        <v>35</v>
      </c>
      <c r="J108" s="1"/>
      <c r="K108" s="1">
        <v>427</v>
      </c>
      <c r="L108" s="1">
        <f t="shared" si="45"/>
        <v>-91</v>
      </c>
      <c r="M108" s="1">
        <f t="shared" si="46"/>
        <v>336</v>
      </c>
      <c r="N108" s="1"/>
      <c r="O108" s="1">
        <v>0</v>
      </c>
      <c r="P108" s="19"/>
      <c r="Q108" s="19"/>
      <c r="R108" s="1"/>
      <c r="S108" s="1">
        <f t="shared" si="47"/>
        <v>67.2</v>
      </c>
      <c r="T108" s="5">
        <f t="shared" ref="T108:T118" si="50">12*S108-R108-O108-F108</f>
        <v>88.400000000000091</v>
      </c>
      <c r="U108" s="5">
        <f t="shared" si="33"/>
        <v>88.400000000000091</v>
      </c>
      <c r="V108" s="5">
        <f t="shared" si="37"/>
        <v>88.400000000000091</v>
      </c>
      <c r="W108" s="5"/>
      <c r="X108" s="1">
        <f t="shared" si="34"/>
        <v>12</v>
      </c>
      <c r="Y108" s="1">
        <f t="shared" si="48"/>
        <v>10.684523809523808</v>
      </c>
      <c r="Z108" s="1">
        <v>78.400000000000006</v>
      </c>
      <c r="AA108" s="1">
        <v>93.4</v>
      </c>
      <c r="AB108" s="1">
        <v>89.4</v>
      </c>
      <c r="AC108" s="1">
        <v>91.2</v>
      </c>
      <c r="AD108" s="1">
        <v>65.8</v>
      </c>
      <c r="AE108" s="1">
        <v>55.2</v>
      </c>
      <c r="AF108" s="1">
        <v>52</v>
      </c>
      <c r="AG108" s="1">
        <v>41</v>
      </c>
      <c r="AH108" s="1"/>
      <c r="AI108" s="1">
        <f t="shared" si="35"/>
        <v>7</v>
      </c>
      <c r="AJ108" s="1">
        <f t="shared" si="36"/>
        <v>0</v>
      </c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 t="s">
        <v>150</v>
      </c>
      <c r="B109" s="1" t="s">
        <v>40</v>
      </c>
      <c r="C109" s="1">
        <v>138</v>
      </c>
      <c r="D109" s="1">
        <v>906</v>
      </c>
      <c r="E109" s="1">
        <v>253</v>
      </c>
      <c r="F109" s="1">
        <v>730</v>
      </c>
      <c r="G109" s="7">
        <v>0.08</v>
      </c>
      <c r="H109" s="1">
        <v>45</v>
      </c>
      <c r="I109" s="17" t="s">
        <v>35</v>
      </c>
      <c r="J109" s="1"/>
      <c r="K109" s="1">
        <v>340</v>
      </c>
      <c r="L109" s="1">
        <f t="shared" si="45"/>
        <v>-87</v>
      </c>
      <c r="M109" s="1">
        <f t="shared" si="46"/>
        <v>253</v>
      </c>
      <c r="N109" s="1"/>
      <c r="O109" s="1">
        <v>0</v>
      </c>
      <c r="P109" s="19"/>
      <c r="Q109" s="19"/>
      <c r="R109" s="1"/>
      <c r="S109" s="1">
        <f t="shared" si="47"/>
        <v>50.6</v>
      </c>
      <c r="T109" s="5"/>
      <c r="U109" s="5">
        <f t="shared" si="33"/>
        <v>0</v>
      </c>
      <c r="V109" s="5">
        <f t="shared" si="37"/>
        <v>0</v>
      </c>
      <c r="W109" s="5"/>
      <c r="X109" s="1">
        <f t="shared" si="34"/>
        <v>14.426877470355731</v>
      </c>
      <c r="Y109" s="1">
        <f t="shared" si="48"/>
        <v>14.426877470355731</v>
      </c>
      <c r="Z109" s="1">
        <v>60.4</v>
      </c>
      <c r="AA109" s="1">
        <v>86.8</v>
      </c>
      <c r="AB109" s="1">
        <v>88.8</v>
      </c>
      <c r="AC109" s="1">
        <v>80</v>
      </c>
      <c r="AD109" s="1">
        <v>44.6</v>
      </c>
      <c r="AE109" s="1">
        <v>42</v>
      </c>
      <c r="AF109" s="1">
        <v>44.6</v>
      </c>
      <c r="AG109" s="1">
        <v>41.6</v>
      </c>
      <c r="AH109" s="1"/>
      <c r="AI109" s="1">
        <f t="shared" si="35"/>
        <v>0</v>
      </c>
      <c r="AJ109" s="1">
        <f t="shared" si="36"/>
        <v>0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 t="s">
        <v>151</v>
      </c>
      <c r="B110" s="1" t="s">
        <v>40</v>
      </c>
      <c r="C110" s="1">
        <v>228</v>
      </c>
      <c r="D110" s="1">
        <v>299</v>
      </c>
      <c r="E110" s="1">
        <v>175</v>
      </c>
      <c r="F110" s="1">
        <v>304</v>
      </c>
      <c r="G110" s="7">
        <v>0.17</v>
      </c>
      <c r="H110" s="1">
        <v>30</v>
      </c>
      <c r="I110" s="17" t="s">
        <v>35</v>
      </c>
      <c r="J110" s="1"/>
      <c r="K110" s="1">
        <v>264</v>
      </c>
      <c r="L110" s="1">
        <f t="shared" si="45"/>
        <v>-89</v>
      </c>
      <c r="M110" s="1">
        <f t="shared" si="46"/>
        <v>175</v>
      </c>
      <c r="N110" s="1"/>
      <c r="O110" s="1">
        <v>0</v>
      </c>
      <c r="P110" s="19"/>
      <c r="Q110" s="19"/>
      <c r="R110" s="1"/>
      <c r="S110" s="1">
        <f t="shared" si="47"/>
        <v>35</v>
      </c>
      <c r="T110" s="5">
        <f t="shared" si="50"/>
        <v>116</v>
      </c>
      <c r="U110" s="5">
        <f t="shared" si="33"/>
        <v>116</v>
      </c>
      <c r="V110" s="5">
        <f t="shared" si="37"/>
        <v>40.681200000000004</v>
      </c>
      <c r="W110" s="5">
        <f>U110*$W$1</f>
        <v>75.318799999999996</v>
      </c>
      <c r="X110" s="1">
        <f t="shared" si="34"/>
        <v>12</v>
      </c>
      <c r="Y110" s="1">
        <f t="shared" si="48"/>
        <v>8.6857142857142851</v>
      </c>
      <c r="Z110" s="1">
        <v>11.4</v>
      </c>
      <c r="AA110" s="1">
        <v>28</v>
      </c>
      <c r="AB110" s="1">
        <v>48.4</v>
      </c>
      <c r="AC110" s="1">
        <v>49.4</v>
      </c>
      <c r="AD110" s="1">
        <v>25.6</v>
      </c>
      <c r="AE110" s="1">
        <v>19.2</v>
      </c>
      <c r="AF110" s="1">
        <v>25.8</v>
      </c>
      <c r="AG110" s="1">
        <v>16.2</v>
      </c>
      <c r="AH110" s="1"/>
      <c r="AI110" s="1">
        <f t="shared" si="35"/>
        <v>7</v>
      </c>
      <c r="AJ110" s="1">
        <f t="shared" si="36"/>
        <v>13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 t="s">
        <v>152</v>
      </c>
      <c r="B111" s="1" t="s">
        <v>34</v>
      </c>
      <c r="C111" s="1">
        <v>-16.021000000000001</v>
      </c>
      <c r="D111" s="1">
        <v>436.48700000000002</v>
      </c>
      <c r="E111" s="1">
        <v>57.598999999999997</v>
      </c>
      <c r="F111" s="1">
        <v>277.45800000000003</v>
      </c>
      <c r="G111" s="7">
        <v>1</v>
      </c>
      <c r="H111" s="1">
        <v>40</v>
      </c>
      <c r="I111" s="9" t="s">
        <v>45</v>
      </c>
      <c r="J111" s="1"/>
      <c r="K111" s="1">
        <v>133.37700000000001</v>
      </c>
      <c r="L111" s="1">
        <f t="shared" si="45"/>
        <v>-75.77800000000002</v>
      </c>
      <c r="M111" s="1">
        <f t="shared" si="46"/>
        <v>57.598999999999997</v>
      </c>
      <c r="N111" s="1"/>
      <c r="O111" s="1">
        <v>106.3</v>
      </c>
      <c r="P111" s="19"/>
      <c r="Q111" s="19"/>
      <c r="R111" s="1">
        <v>143.69999999999999</v>
      </c>
      <c r="S111" s="1">
        <f t="shared" si="47"/>
        <v>11.5198</v>
      </c>
      <c r="T111" s="5"/>
      <c r="U111" s="5">
        <f t="shared" si="33"/>
        <v>0</v>
      </c>
      <c r="V111" s="5">
        <f t="shared" si="33"/>
        <v>0</v>
      </c>
      <c r="W111" s="5"/>
      <c r="X111" s="1">
        <f t="shared" si="34"/>
        <v>45.787079636799255</v>
      </c>
      <c r="Y111" s="1">
        <f t="shared" si="48"/>
        <v>45.787079636799255</v>
      </c>
      <c r="Z111" s="1">
        <v>44.968600000000002</v>
      </c>
      <c r="AA111" s="1">
        <v>78.888000000000005</v>
      </c>
      <c r="AB111" s="1">
        <v>74.961399999999998</v>
      </c>
      <c r="AC111" s="1">
        <v>27.752199999999998</v>
      </c>
      <c r="AD111" s="1">
        <v>9.1273999999999997</v>
      </c>
      <c r="AE111" s="1">
        <v>22.7928</v>
      </c>
      <c r="AF111" s="1">
        <v>34.8264</v>
      </c>
      <c r="AG111" s="1">
        <v>42.7742</v>
      </c>
      <c r="AH111" s="1"/>
      <c r="AI111" s="1">
        <f t="shared" si="35"/>
        <v>0</v>
      </c>
      <c r="AJ111" s="1">
        <f t="shared" si="36"/>
        <v>0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 t="s">
        <v>153</v>
      </c>
      <c r="B112" s="1" t="s">
        <v>34</v>
      </c>
      <c r="C112" s="1">
        <v>139.51900000000001</v>
      </c>
      <c r="D112" s="1">
        <v>195.86099999999999</v>
      </c>
      <c r="E112" s="1">
        <v>140.44200000000001</v>
      </c>
      <c r="F112" s="1">
        <v>121.179</v>
      </c>
      <c r="G112" s="7">
        <v>1</v>
      </c>
      <c r="H112" s="1">
        <v>40</v>
      </c>
      <c r="I112" s="9" t="s">
        <v>45</v>
      </c>
      <c r="J112" s="1"/>
      <c r="K112" s="1">
        <v>229.816</v>
      </c>
      <c r="L112" s="1">
        <f t="shared" si="45"/>
        <v>-89.373999999999995</v>
      </c>
      <c r="M112" s="1">
        <f t="shared" si="46"/>
        <v>140.44200000000001</v>
      </c>
      <c r="N112" s="1"/>
      <c r="O112" s="1">
        <v>191.34</v>
      </c>
      <c r="P112" s="19"/>
      <c r="Q112" s="19"/>
      <c r="R112" s="1">
        <v>258.66000000000003</v>
      </c>
      <c r="S112" s="1">
        <f t="shared" si="47"/>
        <v>28.0884</v>
      </c>
      <c r="T112" s="5"/>
      <c r="U112" s="5">
        <f t="shared" si="33"/>
        <v>0</v>
      </c>
      <c r="V112" s="5">
        <f t="shared" si="33"/>
        <v>0</v>
      </c>
      <c r="W112" s="5"/>
      <c r="X112" s="1">
        <f t="shared" si="34"/>
        <v>20.335049344213271</v>
      </c>
      <c r="Y112" s="1">
        <f t="shared" si="48"/>
        <v>20.335049344213271</v>
      </c>
      <c r="Z112" s="1">
        <v>45.462800000000001</v>
      </c>
      <c r="AA112" s="1">
        <v>36.320399999999999</v>
      </c>
      <c r="AB112" s="1">
        <v>32.119199999999999</v>
      </c>
      <c r="AC112" s="1">
        <v>27.328199999999999</v>
      </c>
      <c r="AD112" s="1">
        <v>22.582599999999999</v>
      </c>
      <c r="AE112" s="1">
        <v>18.3916</v>
      </c>
      <c r="AF112" s="1">
        <v>16.235600000000002</v>
      </c>
      <c r="AG112" s="1">
        <v>17.161000000000001</v>
      </c>
      <c r="AH112" s="1"/>
      <c r="AI112" s="1">
        <f t="shared" si="35"/>
        <v>0</v>
      </c>
      <c r="AJ112" s="1">
        <f t="shared" si="36"/>
        <v>0</v>
      </c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 t="s">
        <v>154</v>
      </c>
      <c r="B113" s="1" t="s">
        <v>34</v>
      </c>
      <c r="C113" s="1">
        <v>-8.6039999999999992</v>
      </c>
      <c r="D113" s="1"/>
      <c r="E113" s="1">
        <v>-2.9409999999999998</v>
      </c>
      <c r="F113" s="1">
        <v>-8.6039999999999992</v>
      </c>
      <c r="G113" s="7">
        <v>1</v>
      </c>
      <c r="H113" s="1">
        <v>40</v>
      </c>
      <c r="I113" s="9" t="s">
        <v>45</v>
      </c>
      <c r="J113" s="1"/>
      <c r="K113" s="1">
        <v>16.5</v>
      </c>
      <c r="L113" s="1">
        <f t="shared" si="45"/>
        <v>-19.440999999999999</v>
      </c>
      <c r="M113" s="1">
        <f t="shared" si="46"/>
        <v>-2.9409999999999998</v>
      </c>
      <c r="N113" s="1"/>
      <c r="O113" s="1">
        <v>50</v>
      </c>
      <c r="P113" s="19"/>
      <c r="Q113" s="19"/>
      <c r="R113" s="1"/>
      <c r="S113" s="1">
        <f t="shared" si="47"/>
        <v>-0.58819999999999995</v>
      </c>
      <c r="T113" s="5">
        <v>40</v>
      </c>
      <c r="U113" s="5">
        <f t="shared" si="33"/>
        <v>40</v>
      </c>
      <c r="V113" s="5">
        <f t="shared" si="33"/>
        <v>40</v>
      </c>
      <c r="W113" s="5">
        <v>20</v>
      </c>
      <c r="X113" s="1">
        <f t="shared" si="34"/>
        <v>-172.38354301258076</v>
      </c>
      <c r="Y113" s="1">
        <f t="shared" si="48"/>
        <v>-70.377422645358735</v>
      </c>
      <c r="Z113" s="1">
        <v>-0.72819999999999996</v>
      </c>
      <c r="AA113" s="1">
        <v>-0.84860000000000002</v>
      </c>
      <c r="AB113" s="1">
        <v>-0.99199999999999999</v>
      </c>
      <c r="AC113" s="1">
        <v>-0.2918</v>
      </c>
      <c r="AD113" s="1">
        <v>0.2772</v>
      </c>
      <c r="AE113" s="1">
        <v>6.3255999999999997</v>
      </c>
      <c r="AF113" s="1">
        <v>28.129000000000001</v>
      </c>
      <c r="AG113" s="1">
        <v>43.2318</v>
      </c>
      <c r="AH113" s="1"/>
      <c r="AI113" s="1">
        <f t="shared" si="35"/>
        <v>40</v>
      </c>
      <c r="AJ113" s="1">
        <f t="shared" si="36"/>
        <v>20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 t="s">
        <v>155</v>
      </c>
      <c r="B114" s="1" t="s">
        <v>40</v>
      </c>
      <c r="C114" s="1">
        <v>6</v>
      </c>
      <c r="D114" s="1">
        <v>62</v>
      </c>
      <c r="E114" s="1">
        <v>36</v>
      </c>
      <c r="F114" s="1">
        <v>11</v>
      </c>
      <c r="G114" s="7">
        <v>0.3</v>
      </c>
      <c r="H114" s="1">
        <v>45</v>
      </c>
      <c r="I114" s="1" t="s">
        <v>35</v>
      </c>
      <c r="J114" s="1"/>
      <c r="K114" s="1">
        <v>71</v>
      </c>
      <c r="L114" s="1">
        <f t="shared" si="45"/>
        <v>-35</v>
      </c>
      <c r="M114" s="1">
        <f t="shared" si="46"/>
        <v>36</v>
      </c>
      <c r="N114" s="1"/>
      <c r="O114" s="1">
        <v>0</v>
      </c>
      <c r="P114" s="19"/>
      <c r="Q114" s="19"/>
      <c r="R114" s="1"/>
      <c r="S114" s="1">
        <f t="shared" si="47"/>
        <v>7.2</v>
      </c>
      <c r="T114" s="5">
        <f>9*S114-R114-O114-F114</f>
        <v>53.8</v>
      </c>
      <c r="U114" s="5">
        <f t="shared" si="33"/>
        <v>53.8</v>
      </c>
      <c r="V114" s="5">
        <f t="shared" si="37"/>
        <v>53.8</v>
      </c>
      <c r="W114" s="5"/>
      <c r="X114" s="1">
        <f t="shared" si="34"/>
        <v>9</v>
      </c>
      <c r="Y114" s="1">
        <f t="shared" si="48"/>
        <v>1.5277777777777777</v>
      </c>
      <c r="Z114" s="1">
        <v>2.2000000000000002</v>
      </c>
      <c r="AA114" s="1">
        <v>5</v>
      </c>
      <c r="AB114" s="1">
        <v>11.4</v>
      </c>
      <c r="AC114" s="1">
        <v>8.1999999999999993</v>
      </c>
      <c r="AD114" s="1">
        <v>0.4</v>
      </c>
      <c r="AE114" s="1">
        <v>1.2</v>
      </c>
      <c r="AF114" s="1">
        <v>8.4</v>
      </c>
      <c r="AG114" s="1">
        <v>2</v>
      </c>
      <c r="AH114" s="1"/>
      <c r="AI114" s="1">
        <f t="shared" si="35"/>
        <v>16</v>
      </c>
      <c r="AJ114" s="1">
        <f t="shared" si="36"/>
        <v>0</v>
      </c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 t="s">
        <v>156</v>
      </c>
      <c r="B115" s="1" t="s">
        <v>34</v>
      </c>
      <c r="C115" s="1">
        <v>9.9079999999999995</v>
      </c>
      <c r="D115" s="1">
        <v>10.85</v>
      </c>
      <c r="E115" s="1">
        <v>2.698</v>
      </c>
      <c r="F115" s="1">
        <v>14.015000000000001</v>
      </c>
      <c r="G115" s="7">
        <v>1</v>
      </c>
      <c r="H115" s="1">
        <v>55</v>
      </c>
      <c r="I115" s="1" t="s">
        <v>35</v>
      </c>
      <c r="J115" s="1"/>
      <c r="K115" s="1">
        <v>5.3</v>
      </c>
      <c r="L115" s="1">
        <f t="shared" si="45"/>
        <v>-2.6019999999999999</v>
      </c>
      <c r="M115" s="1">
        <f t="shared" si="46"/>
        <v>2.698</v>
      </c>
      <c r="N115" s="1"/>
      <c r="O115" s="1">
        <v>0</v>
      </c>
      <c r="P115" s="19"/>
      <c r="Q115" s="19"/>
      <c r="R115" s="1"/>
      <c r="S115" s="1">
        <f t="shared" si="47"/>
        <v>0.53959999999999997</v>
      </c>
      <c r="T115" s="5"/>
      <c r="U115" s="5">
        <f t="shared" si="33"/>
        <v>0</v>
      </c>
      <c r="V115" s="5">
        <f t="shared" si="37"/>
        <v>0</v>
      </c>
      <c r="W115" s="5"/>
      <c r="X115" s="1">
        <f t="shared" si="34"/>
        <v>25.972942920681991</v>
      </c>
      <c r="Y115" s="1">
        <f t="shared" si="48"/>
        <v>25.972942920681991</v>
      </c>
      <c r="Z115" s="1">
        <v>0.53959999999999997</v>
      </c>
      <c r="AA115" s="1">
        <v>0.54379999999999995</v>
      </c>
      <c r="AB115" s="1">
        <v>0.54379999999999995</v>
      </c>
      <c r="AC115" s="1">
        <v>1.0960000000000001</v>
      </c>
      <c r="AD115" s="1">
        <v>1.0960000000000001</v>
      </c>
      <c r="AE115" s="1">
        <v>0.27679999999999999</v>
      </c>
      <c r="AF115" s="1">
        <v>0.27679999999999999</v>
      </c>
      <c r="AG115" s="1">
        <v>0.55199999999999994</v>
      </c>
      <c r="AH115" s="15" t="s">
        <v>106</v>
      </c>
      <c r="AI115" s="1">
        <f t="shared" si="35"/>
        <v>0</v>
      </c>
      <c r="AJ115" s="1">
        <f t="shared" si="36"/>
        <v>0</v>
      </c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 t="s">
        <v>157</v>
      </c>
      <c r="B116" s="1" t="s">
        <v>40</v>
      </c>
      <c r="C116" s="1">
        <v>74</v>
      </c>
      <c r="D116" s="1">
        <v>1168</v>
      </c>
      <c r="E116" s="1">
        <v>184</v>
      </c>
      <c r="F116" s="1">
        <v>941</v>
      </c>
      <c r="G116" s="7">
        <v>0.28000000000000003</v>
      </c>
      <c r="H116" s="1">
        <v>40</v>
      </c>
      <c r="I116" s="9" t="s">
        <v>45</v>
      </c>
      <c r="J116" s="1"/>
      <c r="K116" s="1">
        <v>484</v>
      </c>
      <c r="L116" s="1">
        <f t="shared" si="45"/>
        <v>-300</v>
      </c>
      <c r="M116" s="1">
        <f t="shared" si="46"/>
        <v>184</v>
      </c>
      <c r="N116" s="1"/>
      <c r="O116" s="1">
        <v>0</v>
      </c>
      <c r="P116" s="19"/>
      <c r="Q116" s="19"/>
      <c r="R116" s="1"/>
      <c r="S116" s="1">
        <f t="shared" si="47"/>
        <v>36.799999999999997</v>
      </c>
      <c r="T116" s="5"/>
      <c r="U116" s="5">
        <f t="shared" si="33"/>
        <v>0</v>
      </c>
      <c r="V116" s="5">
        <f t="shared" si="33"/>
        <v>0</v>
      </c>
      <c r="W116" s="5"/>
      <c r="X116" s="1">
        <f t="shared" si="34"/>
        <v>25.570652173913047</v>
      </c>
      <c r="Y116" s="1">
        <f t="shared" si="48"/>
        <v>25.570652173913047</v>
      </c>
      <c r="Z116" s="1">
        <v>29.6</v>
      </c>
      <c r="AA116" s="1">
        <v>101</v>
      </c>
      <c r="AB116" s="1">
        <v>125.4</v>
      </c>
      <c r="AC116" s="1">
        <v>60.4</v>
      </c>
      <c r="AD116" s="1">
        <v>3.4</v>
      </c>
      <c r="AE116" s="1">
        <v>27.6</v>
      </c>
      <c r="AF116" s="1">
        <v>72.8</v>
      </c>
      <c r="AG116" s="1">
        <v>76.599999999999994</v>
      </c>
      <c r="AH116" s="1"/>
      <c r="AI116" s="1">
        <f t="shared" si="35"/>
        <v>0</v>
      </c>
      <c r="AJ116" s="1">
        <f t="shared" si="36"/>
        <v>0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 t="s">
        <v>158</v>
      </c>
      <c r="B117" s="1" t="s">
        <v>40</v>
      </c>
      <c r="C117" s="1">
        <v>-3.274</v>
      </c>
      <c r="D117" s="1">
        <v>292</v>
      </c>
      <c r="E117" s="1">
        <v>214</v>
      </c>
      <c r="F117" s="1">
        <v>66.725999999999999</v>
      </c>
      <c r="G117" s="7">
        <v>0.28000000000000003</v>
      </c>
      <c r="H117" s="1">
        <v>40</v>
      </c>
      <c r="I117" s="9" t="s">
        <v>45</v>
      </c>
      <c r="J117" s="1"/>
      <c r="K117" s="1">
        <v>468</v>
      </c>
      <c r="L117" s="1">
        <f t="shared" si="45"/>
        <v>-254</v>
      </c>
      <c r="M117" s="1">
        <f t="shared" si="46"/>
        <v>214</v>
      </c>
      <c r="N117" s="1"/>
      <c r="O117" s="1">
        <v>255.12</v>
      </c>
      <c r="P117" s="19"/>
      <c r="Q117" s="19"/>
      <c r="R117" s="1">
        <v>344.88</v>
      </c>
      <c r="S117" s="1">
        <f t="shared" si="47"/>
        <v>42.8</v>
      </c>
      <c r="T117" s="5"/>
      <c r="U117" s="5">
        <f t="shared" si="33"/>
        <v>0</v>
      </c>
      <c r="V117" s="5">
        <f t="shared" si="33"/>
        <v>0</v>
      </c>
      <c r="W117" s="5"/>
      <c r="X117" s="1">
        <f t="shared" si="34"/>
        <v>15.577710280373832</v>
      </c>
      <c r="Y117" s="1">
        <f t="shared" si="48"/>
        <v>15.577710280373832</v>
      </c>
      <c r="Z117" s="1">
        <v>71.2</v>
      </c>
      <c r="AA117" s="1">
        <v>36.799999999999997</v>
      </c>
      <c r="AB117" s="1">
        <v>31.8</v>
      </c>
      <c r="AC117" s="1">
        <v>27.2</v>
      </c>
      <c r="AD117" s="1">
        <v>0.6</v>
      </c>
      <c r="AE117" s="1">
        <v>0</v>
      </c>
      <c r="AF117" s="1">
        <v>-0.8</v>
      </c>
      <c r="AG117" s="1">
        <v>22.8</v>
      </c>
      <c r="AH117" s="1"/>
      <c r="AI117" s="1">
        <f t="shared" si="35"/>
        <v>0</v>
      </c>
      <c r="AJ117" s="1">
        <f t="shared" si="36"/>
        <v>0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 t="s">
        <v>159</v>
      </c>
      <c r="B118" s="1" t="s">
        <v>40</v>
      </c>
      <c r="C118" s="1">
        <v>114.5</v>
      </c>
      <c r="D118" s="1">
        <v>1010</v>
      </c>
      <c r="E118" s="1">
        <v>308</v>
      </c>
      <c r="F118" s="1">
        <v>601.5</v>
      </c>
      <c r="G118" s="7">
        <v>0.28000000000000003</v>
      </c>
      <c r="H118" s="1">
        <v>40</v>
      </c>
      <c r="I118" s="9" t="s">
        <v>45</v>
      </c>
      <c r="J118" s="1"/>
      <c r="K118" s="1">
        <v>419</v>
      </c>
      <c r="L118" s="1">
        <f t="shared" si="45"/>
        <v>-111</v>
      </c>
      <c r="M118" s="1">
        <f t="shared" si="46"/>
        <v>308</v>
      </c>
      <c r="N118" s="1"/>
      <c r="O118" s="1">
        <v>0</v>
      </c>
      <c r="P118" s="19"/>
      <c r="Q118" s="19"/>
      <c r="R118" s="1"/>
      <c r="S118" s="1">
        <f t="shared" si="47"/>
        <v>61.6</v>
      </c>
      <c r="T118" s="5">
        <f t="shared" si="50"/>
        <v>137.70000000000005</v>
      </c>
      <c r="U118" s="5">
        <f t="shared" si="33"/>
        <v>137.70000000000005</v>
      </c>
      <c r="V118" s="5">
        <f t="shared" si="33"/>
        <v>137.70000000000005</v>
      </c>
      <c r="W118" s="5"/>
      <c r="X118" s="1">
        <f t="shared" si="34"/>
        <v>12</v>
      </c>
      <c r="Y118" s="1">
        <f t="shared" si="48"/>
        <v>9.7646103896103895</v>
      </c>
      <c r="Z118" s="1">
        <v>65.400000000000006</v>
      </c>
      <c r="AA118" s="1">
        <v>102</v>
      </c>
      <c r="AB118" s="1">
        <v>112.2</v>
      </c>
      <c r="AC118" s="1">
        <v>55.2</v>
      </c>
      <c r="AD118" s="1">
        <v>0.2</v>
      </c>
      <c r="AE118" s="1">
        <v>26</v>
      </c>
      <c r="AF118" s="1">
        <v>100.4</v>
      </c>
      <c r="AG118" s="1">
        <v>109.2</v>
      </c>
      <c r="AH118" s="1"/>
      <c r="AI118" s="1">
        <f t="shared" si="35"/>
        <v>39</v>
      </c>
      <c r="AJ118" s="1">
        <f t="shared" si="36"/>
        <v>0</v>
      </c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 t="s">
        <v>160</v>
      </c>
      <c r="B119" s="1" t="s">
        <v>40</v>
      </c>
      <c r="C119" s="1">
        <v>170</v>
      </c>
      <c r="D119" s="1">
        <v>738</v>
      </c>
      <c r="E119" s="1">
        <v>228</v>
      </c>
      <c r="F119" s="1">
        <v>609</v>
      </c>
      <c r="G119" s="7">
        <v>0.09</v>
      </c>
      <c r="H119" s="1">
        <v>45</v>
      </c>
      <c r="I119" s="1" t="s">
        <v>35</v>
      </c>
      <c r="J119" s="1"/>
      <c r="K119" s="1">
        <v>308</v>
      </c>
      <c r="L119" s="1">
        <f t="shared" si="45"/>
        <v>-80</v>
      </c>
      <c r="M119" s="1">
        <f t="shared" si="46"/>
        <v>228</v>
      </c>
      <c r="N119" s="1"/>
      <c r="O119" s="1">
        <v>0</v>
      </c>
      <c r="P119" s="19"/>
      <c r="Q119" s="19"/>
      <c r="R119" s="1"/>
      <c r="S119" s="1">
        <f t="shared" si="47"/>
        <v>45.6</v>
      </c>
      <c r="T119" s="5"/>
      <c r="U119" s="5">
        <f t="shared" si="33"/>
        <v>0</v>
      </c>
      <c r="V119" s="5">
        <f t="shared" si="37"/>
        <v>0</v>
      </c>
      <c r="W119" s="5"/>
      <c r="X119" s="1">
        <f t="shared" si="34"/>
        <v>13.355263157894736</v>
      </c>
      <c r="Y119" s="1">
        <f t="shared" si="48"/>
        <v>13.355263157894736</v>
      </c>
      <c r="Z119" s="1">
        <v>44.2</v>
      </c>
      <c r="AA119" s="1">
        <v>73.2</v>
      </c>
      <c r="AB119" s="1">
        <v>85.6</v>
      </c>
      <c r="AC119" s="1">
        <v>59.6</v>
      </c>
      <c r="AD119" s="1">
        <v>28.2</v>
      </c>
      <c r="AE119" s="1">
        <v>32.6</v>
      </c>
      <c r="AF119" s="1">
        <v>32.799999999999997</v>
      </c>
      <c r="AG119" s="1">
        <v>20.2</v>
      </c>
      <c r="AH119" s="1"/>
      <c r="AI119" s="1">
        <f t="shared" si="35"/>
        <v>0</v>
      </c>
      <c r="AJ119" s="1">
        <f t="shared" si="36"/>
        <v>0</v>
      </c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0" t="s">
        <v>161</v>
      </c>
      <c r="B120" s="10" t="s">
        <v>34</v>
      </c>
      <c r="C120" s="10">
        <v>-0.09</v>
      </c>
      <c r="D120" s="10"/>
      <c r="E120" s="10">
        <v>-1.345</v>
      </c>
      <c r="F120" s="10">
        <v>-2.8069999999999999</v>
      </c>
      <c r="G120" s="11">
        <v>0</v>
      </c>
      <c r="H120" s="10">
        <v>55</v>
      </c>
      <c r="I120" s="10" t="s">
        <v>48</v>
      </c>
      <c r="J120" s="10"/>
      <c r="K120" s="10"/>
      <c r="L120" s="10">
        <f t="shared" si="45"/>
        <v>-1.345</v>
      </c>
      <c r="M120" s="10">
        <f t="shared" si="46"/>
        <v>-1.345</v>
      </c>
      <c r="N120" s="10"/>
      <c r="O120" s="10">
        <v>0</v>
      </c>
      <c r="P120" s="21"/>
      <c r="Q120" s="21"/>
      <c r="R120" s="10"/>
      <c r="S120" s="10">
        <f t="shared" si="47"/>
        <v>-0.26900000000000002</v>
      </c>
      <c r="T120" s="12"/>
      <c r="U120" s="5">
        <f t="shared" si="33"/>
        <v>0</v>
      </c>
      <c r="V120" s="5">
        <f t="shared" si="37"/>
        <v>0</v>
      </c>
      <c r="W120" s="5"/>
      <c r="X120" s="1">
        <f t="shared" si="34"/>
        <v>10.434944237918215</v>
      </c>
      <c r="Y120" s="10">
        <f t="shared" si="48"/>
        <v>10.434944237918215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/>
      <c r="AI120" s="1">
        <f t="shared" si="35"/>
        <v>0</v>
      </c>
      <c r="AJ120" s="1">
        <f t="shared" si="36"/>
        <v>0</v>
      </c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 t="s">
        <v>162</v>
      </c>
      <c r="B121" s="1" t="s">
        <v>34</v>
      </c>
      <c r="C121" s="1">
        <v>54.456000000000003</v>
      </c>
      <c r="D121" s="1">
        <v>29.238</v>
      </c>
      <c r="E121" s="1">
        <v>36.844000000000001</v>
      </c>
      <c r="F121" s="1">
        <v>46.85</v>
      </c>
      <c r="G121" s="7">
        <v>1</v>
      </c>
      <c r="H121" s="1">
        <v>60</v>
      </c>
      <c r="I121" s="1" t="s">
        <v>35</v>
      </c>
      <c r="J121" s="1"/>
      <c r="K121" s="1">
        <v>37.344000000000001</v>
      </c>
      <c r="L121" s="1">
        <f t="shared" si="45"/>
        <v>-0.5</v>
      </c>
      <c r="M121" s="1">
        <f t="shared" si="46"/>
        <v>36.844000000000001</v>
      </c>
      <c r="N121" s="1"/>
      <c r="O121" s="1">
        <v>42.582399999999993</v>
      </c>
      <c r="P121" s="19"/>
      <c r="Q121" s="19"/>
      <c r="R121" s="1"/>
      <c r="S121" s="1">
        <f t="shared" si="47"/>
        <v>7.3688000000000002</v>
      </c>
      <c r="T121" s="5"/>
      <c r="U121" s="5">
        <f t="shared" si="33"/>
        <v>0</v>
      </c>
      <c r="V121" s="5">
        <f t="shared" si="37"/>
        <v>0</v>
      </c>
      <c r="W121" s="5"/>
      <c r="X121" s="1">
        <f t="shared" si="34"/>
        <v>12.136630116165454</v>
      </c>
      <c r="Y121" s="1">
        <f t="shared" si="48"/>
        <v>12.136630116165454</v>
      </c>
      <c r="Z121" s="1">
        <v>7.8537999999999997</v>
      </c>
      <c r="AA121" s="1">
        <v>6.3715999999999999</v>
      </c>
      <c r="AB121" s="1">
        <v>5.3945999999999996</v>
      </c>
      <c r="AC121" s="1">
        <v>5.0279999999999996</v>
      </c>
      <c r="AD121" s="1">
        <v>5.5289999999999999</v>
      </c>
      <c r="AE121" s="1">
        <v>6.0906000000000002</v>
      </c>
      <c r="AF121" s="1">
        <v>9.970600000000001</v>
      </c>
      <c r="AG121" s="1">
        <v>5.4567999999999994</v>
      </c>
      <c r="AH121" s="1"/>
      <c r="AI121" s="1">
        <f t="shared" si="35"/>
        <v>0</v>
      </c>
      <c r="AJ121" s="1">
        <f t="shared" si="36"/>
        <v>0</v>
      </c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 t="s">
        <v>163</v>
      </c>
      <c r="B122" s="1" t="s">
        <v>34</v>
      </c>
      <c r="C122" s="1">
        <v>46.542000000000002</v>
      </c>
      <c r="D122" s="1">
        <v>2.4460000000000002</v>
      </c>
      <c r="E122" s="1">
        <v>29.608000000000001</v>
      </c>
      <c r="F122" s="1">
        <v>14.459</v>
      </c>
      <c r="G122" s="7">
        <v>1</v>
      </c>
      <c r="H122" s="1">
        <v>50</v>
      </c>
      <c r="I122" s="1" t="s">
        <v>35</v>
      </c>
      <c r="J122" s="1"/>
      <c r="K122" s="1">
        <v>32.393999999999998</v>
      </c>
      <c r="L122" s="1">
        <f t="shared" si="45"/>
        <v>-2.7859999999999978</v>
      </c>
      <c r="M122" s="1">
        <f t="shared" si="46"/>
        <v>29.608000000000001</v>
      </c>
      <c r="N122" s="1"/>
      <c r="O122" s="1">
        <v>29.239000000000001</v>
      </c>
      <c r="P122" s="19"/>
      <c r="Q122" s="19"/>
      <c r="R122" s="1"/>
      <c r="S122" s="1">
        <f t="shared" si="47"/>
        <v>5.9215999999999998</v>
      </c>
      <c r="T122" s="5">
        <f t="shared" ref="T122:T134" si="51">12*S122-R122-O122-F122</f>
        <v>27.3612</v>
      </c>
      <c r="U122" s="5">
        <f t="shared" si="33"/>
        <v>27.3612</v>
      </c>
      <c r="V122" s="5">
        <f t="shared" si="37"/>
        <v>27.3612</v>
      </c>
      <c r="W122" s="5"/>
      <c r="X122" s="1">
        <f t="shared" si="34"/>
        <v>12.000000000000002</v>
      </c>
      <c r="Y122" s="1">
        <f t="shared" si="48"/>
        <v>7.3794244798703055</v>
      </c>
      <c r="Z122" s="1">
        <v>5.3567999999999998</v>
      </c>
      <c r="AA122" s="1">
        <v>2.4121999999999999</v>
      </c>
      <c r="AB122" s="1">
        <v>1.9867999999999999</v>
      </c>
      <c r="AC122" s="1">
        <v>1.4796</v>
      </c>
      <c r="AD122" s="1">
        <v>0.99480000000000002</v>
      </c>
      <c r="AE122" s="1">
        <v>3.9885999999999999</v>
      </c>
      <c r="AF122" s="1">
        <v>3.4885999999999999</v>
      </c>
      <c r="AG122" s="1">
        <v>2.4849999999999999</v>
      </c>
      <c r="AH122" s="1"/>
      <c r="AI122" s="1">
        <f t="shared" si="35"/>
        <v>27</v>
      </c>
      <c r="AJ122" s="1">
        <f t="shared" si="36"/>
        <v>0</v>
      </c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 t="s">
        <v>164</v>
      </c>
      <c r="B123" s="1" t="s">
        <v>40</v>
      </c>
      <c r="C123" s="1">
        <v>-33</v>
      </c>
      <c r="D123" s="1">
        <v>758</v>
      </c>
      <c r="E123" s="1">
        <v>200</v>
      </c>
      <c r="F123" s="1">
        <v>486</v>
      </c>
      <c r="G123" s="7">
        <v>0.09</v>
      </c>
      <c r="H123" s="1">
        <v>45</v>
      </c>
      <c r="I123" s="1" t="s">
        <v>35</v>
      </c>
      <c r="J123" s="1"/>
      <c r="K123" s="1">
        <v>237</v>
      </c>
      <c r="L123" s="1">
        <f t="shared" si="45"/>
        <v>-37</v>
      </c>
      <c r="M123" s="1">
        <f t="shared" si="46"/>
        <v>200</v>
      </c>
      <c r="N123" s="1"/>
      <c r="O123" s="1">
        <v>0</v>
      </c>
      <c r="P123" s="19"/>
      <c r="Q123" s="19"/>
      <c r="R123" s="1"/>
      <c r="S123" s="1">
        <f t="shared" si="47"/>
        <v>40</v>
      </c>
      <c r="T123" s="5"/>
      <c r="U123" s="5">
        <f t="shared" si="33"/>
        <v>0</v>
      </c>
      <c r="V123" s="5">
        <f t="shared" si="37"/>
        <v>0</v>
      </c>
      <c r="W123" s="5"/>
      <c r="X123" s="1">
        <f t="shared" si="34"/>
        <v>12.15</v>
      </c>
      <c r="Y123" s="1">
        <f t="shared" si="48"/>
        <v>12.15</v>
      </c>
      <c r="Z123" s="1">
        <v>17.2</v>
      </c>
      <c r="AA123" s="1">
        <v>42.6</v>
      </c>
      <c r="AB123" s="1">
        <v>84.4</v>
      </c>
      <c r="AC123" s="1">
        <v>65.2</v>
      </c>
      <c r="AD123" s="1">
        <v>29</v>
      </c>
      <c r="AE123" s="1">
        <v>42.4</v>
      </c>
      <c r="AF123" s="1">
        <v>38.6</v>
      </c>
      <c r="AG123" s="1">
        <v>11</v>
      </c>
      <c r="AH123" s="1"/>
      <c r="AI123" s="1">
        <f t="shared" si="35"/>
        <v>0</v>
      </c>
      <c r="AJ123" s="1">
        <f t="shared" si="36"/>
        <v>0</v>
      </c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 t="s">
        <v>165</v>
      </c>
      <c r="B124" s="1" t="s">
        <v>40</v>
      </c>
      <c r="C124" s="1">
        <v>-15</v>
      </c>
      <c r="D124" s="1">
        <v>689</v>
      </c>
      <c r="E124" s="1">
        <v>197</v>
      </c>
      <c r="F124" s="1">
        <v>448</v>
      </c>
      <c r="G124" s="7">
        <v>0.09</v>
      </c>
      <c r="H124" s="1">
        <v>45</v>
      </c>
      <c r="I124" s="17" t="s">
        <v>35</v>
      </c>
      <c r="J124" s="1"/>
      <c r="K124" s="1">
        <v>223</v>
      </c>
      <c r="L124" s="1">
        <f t="shared" si="45"/>
        <v>-26</v>
      </c>
      <c r="M124" s="1">
        <f t="shared" si="46"/>
        <v>197</v>
      </c>
      <c r="N124" s="1"/>
      <c r="O124" s="1">
        <v>0</v>
      </c>
      <c r="P124" s="19"/>
      <c r="Q124" s="19"/>
      <c r="R124" s="1"/>
      <c r="S124" s="1">
        <f t="shared" si="47"/>
        <v>39.4</v>
      </c>
      <c r="T124" s="5">
        <f t="shared" si="51"/>
        <v>24.799999999999955</v>
      </c>
      <c r="U124" s="5">
        <f t="shared" si="33"/>
        <v>24.799999999999955</v>
      </c>
      <c r="V124" s="5">
        <f t="shared" si="37"/>
        <v>24.799999999999955</v>
      </c>
      <c r="W124" s="5"/>
      <c r="X124" s="1">
        <f t="shared" si="34"/>
        <v>12</v>
      </c>
      <c r="Y124" s="1">
        <f t="shared" si="48"/>
        <v>11.370558375634518</v>
      </c>
      <c r="Z124" s="1">
        <v>27.8</v>
      </c>
      <c r="AA124" s="1">
        <v>52.8</v>
      </c>
      <c r="AB124" s="1">
        <v>83</v>
      </c>
      <c r="AC124" s="1">
        <v>59</v>
      </c>
      <c r="AD124" s="1">
        <v>24</v>
      </c>
      <c r="AE124" s="1">
        <v>39.799999999999997</v>
      </c>
      <c r="AF124" s="1">
        <v>38.200000000000003</v>
      </c>
      <c r="AG124" s="1">
        <v>16.399999999999999</v>
      </c>
      <c r="AH124" s="1"/>
      <c r="AI124" s="1">
        <f t="shared" si="35"/>
        <v>2</v>
      </c>
      <c r="AJ124" s="1">
        <f t="shared" si="36"/>
        <v>0</v>
      </c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 t="s">
        <v>166</v>
      </c>
      <c r="B125" s="1" t="s">
        <v>34</v>
      </c>
      <c r="C125" s="1">
        <v>135.45400000000001</v>
      </c>
      <c r="D125" s="1">
        <v>239.12100000000001</v>
      </c>
      <c r="E125" s="1">
        <v>98.418999999999997</v>
      </c>
      <c r="F125" s="1">
        <v>256.50299999999999</v>
      </c>
      <c r="G125" s="7">
        <v>1</v>
      </c>
      <c r="H125" s="1">
        <v>60</v>
      </c>
      <c r="I125" s="1" t="s">
        <v>35</v>
      </c>
      <c r="J125" s="1"/>
      <c r="K125" s="1">
        <v>104.6</v>
      </c>
      <c r="L125" s="1">
        <f t="shared" si="45"/>
        <v>-6.1809999999999974</v>
      </c>
      <c r="M125" s="1">
        <f t="shared" si="46"/>
        <v>98.418999999999997</v>
      </c>
      <c r="N125" s="1"/>
      <c r="O125" s="1">
        <v>0</v>
      </c>
      <c r="P125" s="19"/>
      <c r="Q125" s="19"/>
      <c r="R125" s="1"/>
      <c r="S125" s="1">
        <f t="shared" si="47"/>
        <v>19.683799999999998</v>
      </c>
      <c r="T125" s="5"/>
      <c r="U125" s="5">
        <f t="shared" si="33"/>
        <v>0</v>
      </c>
      <c r="V125" s="5">
        <f t="shared" si="37"/>
        <v>0</v>
      </c>
      <c r="W125" s="5"/>
      <c r="X125" s="1">
        <f t="shared" si="34"/>
        <v>13.031172842642173</v>
      </c>
      <c r="Y125" s="1">
        <f t="shared" si="48"/>
        <v>13.031172842642173</v>
      </c>
      <c r="Z125" s="1">
        <v>23.858799999999999</v>
      </c>
      <c r="AA125" s="1">
        <v>30.072199999999999</v>
      </c>
      <c r="AB125" s="1">
        <v>28.821999999999999</v>
      </c>
      <c r="AC125" s="1">
        <v>19.371600000000001</v>
      </c>
      <c r="AD125" s="1">
        <v>16.9956</v>
      </c>
      <c r="AE125" s="1">
        <v>23.003799999999998</v>
      </c>
      <c r="AF125" s="1">
        <v>24.015000000000001</v>
      </c>
      <c r="AG125" s="1">
        <v>15.4374</v>
      </c>
      <c r="AH125" s="1" t="s">
        <v>37</v>
      </c>
      <c r="AI125" s="1">
        <f t="shared" si="35"/>
        <v>0</v>
      </c>
      <c r="AJ125" s="1">
        <f t="shared" si="36"/>
        <v>0</v>
      </c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 t="s">
        <v>167</v>
      </c>
      <c r="B126" s="1" t="s">
        <v>34</v>
      </c>
      <c r="C126" s="1">
        <v>865.94899999999996</v>
      </c>
      <c r="D126" s="1">
        <v>1291.2449999999999</v>
      </c>
      <c r="E126" s="1">
        <v>703.70399999999995</v>
      </c>
      <c r="F126" s="1">
        <v>1267.4760000000001</v>
      </c>
      <c r="G126" s="7">
        <v>1</v>
      </c>
      <c r="H126" s="1">
        <v>60</v>
      </c>
      <c r="I126" s="1" t="s">
        <v>35</v>
      </c>
      <c r="J126" s="1"/>
      <c r="K126" s="1">
        <v>721.90899999999999</v>
      </c>
      <c r="L126" s="1">
        <f t="shared" si="45"/>
        <v>-18.205000000000041</v>
      </c>
      <c r="M126" s="1">
        <f t="shared" si="46"/>
        <v>703.70399999999995</v>
      </c>
      <c r="N126" s="1"/>
      <c r="O126" s="1">
        <v>200</v>
      </c>
      <c r="P126" s="19"/>
      <c r="Q126" s="19"/>
      <c r="R126" s="1"/>
      <c r="S126" s="1">
        <f t="shared" si="47"/>
        <v>140.74079999999998</v>
      </c>
      <c r="T126" s="5">
        <f t="shared" si="51"/>
        <v>221.41359999999963</v>
      </c>
      <c r="U126" s="5">
        <f t="shared" si="33"/>
        <v>221.41359999999963</v>
      </c>
      <c r="V126" s="5">
        <f t="shared" si="37"/>
        <v>77.649749519999887</v>
      </c>
      <c r="W126" s="5">
        <f>U126*$W$1</f>
        <v>143.76385047999975</v>
      </c>
      <c r="X126" s="1">
        <f t="shared" si="34"/>
        <v>12</v>
      </c>
      <c r="Y126" s="1">
        <f t="shared" si="48"/>
        <v>10.42679876766368</v>
      </c>
      <c r="Z126" s="1">
        <v>154.98939999999999</v>
      </c>
      <c r="AA126" s="1">
        <v>181.70920000000001</v>
      </c>
      <c r="AB126" s="1">
        <v>175.9854</v>
      </c>
      <c r="AC126" s="1">
        <v>98.486199999999997</v>
      </c>
      <c r="AD126" s="1">
        <v>89.586800000000011</v>
      </c>
      <c r="AE126" s="1">
        <v>117.7424</v>
      </c>
      <c r="AF126" s="1">
        <v>113.4314</v>
      </c>
      <c r="AG126" s="1">
        <v>129.72380000000001</v>
      </c>
      <c r="AH126" s="1" t="s">
        <v>37</v>
      </c>
      <c r="AI126" s="1">
        <f t="shared" si="35"/>
        <v>78</v>
      </c>
      <c r="AJ126" s="1">
        <f t="shared" si="36"/>
        <v>144</v>
      </c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 t="s">
        <v>168</v>
      </c>
      <c r="B127" s="1" t="s">
        <v>34</v>
      </c>
      <c r="C127" s="1">
        <v>97.096999999999994</v>
      </c>
      <c r="D127" s="1">
        <v>98.265000000000001</v>
      </c>
      <c r="E127" s="1">
        <v>64.515000000000001</v>
      </c>
      <c r="F127" s="1">
        <v>107.14</v>
      </c>
      <c r="G127" s="7">
        <v>1</v>
      </c>
      <c r="H127" s="1">
        <v>60</v>
      </c>
      <c r="I127" s="1" t="s">
        <v>35</v>
      </c>
      <c r="J127" s="1"/>
      <c r="K127" s="1">
        <v>75.8</v>
      </c>
      <c r="L127" s="1">
        <f t="shared" si="45"/>
        <v>-11.284999999999997</v>
      </c>
      <c r="M127" s="1">
        <f t="shared" si="46"/>
        <v>64.515000000000001</v>
      </c>
      <c r="N127" s="1"/>
      <c r="O127" s="1">
        <v>10.690400000000009</v>
      </c>
      <c r="P127" s="19"/>
      <c r="Q127" s="19"/>
      <c r="R127" s="1"/>
      <c r="S127" s="1">
        <f t="shared" si="47"/>
        <v>12.903</v>
      </c>
      <c r="T127" s="5">
        <f t="shared" si="51"/>
        <v>37.005600000000001</v>
      </c>
      <c r="U127" s="5">
        <f t="shared" si="33"/>
        <v>37.005600000000001</v>
      </c>
      <c r="V127" s="5">
        <f t="shared" si="37"/>
        <v>37.005600000000001</v>
      </c>
      <c r="W127" s="5"/>
      <c r="X127" s="1">
        <f t="shared" si="34"/>
        <v>12</v>
      </c>
      <c r="Y127" s="1">
        <f t="shared" si="48"/>
        <v>9.1320158102766804</v>
      </c>
      <c r="Z127" s="1">
        <v>13.724600000000001</v>
      </c>
      <c r="AA127" s="1">
        <v>13.781000000000001</v>
      </c>
      <c r="AB127" s="1">
        <v>13.204599999999999</v>
      </c>
      <c r="AC127" s="1">
        <v>10.835599999999999</v>
      </c>
      <c r="AD127" s="1">
        <v>10.377000000000001</v>
      </c>
      <c r="AE127" s="1">
        <v>15.2936</v>
      </c>
      <c r="AF127" s="1">
        <v>14.958</v>
      </c>
      <c r="AG127" s="1">
        <v>9.2240000000000002</v>
      </c>
      <c r="AH127" s="1"/>
      <c r="AI127" s="1">
        <f t="shared" si="35"/>
        <v>37</v>
      </c>
      <c r="AJ127" s="1">
        <f t="shared" si="36"/>
        <v>0</v>
      </c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 t="s">
        <v>55</v>
      </c>
      <c r="B128" s="1" t="s">
        <v>34</v>
      </c>
      <c r="C128" s="1">
        <v>1444.2239999999999</v>
      </c>
      <c r="D128" s="1">
        <v>1071.961</v>
      </c>
      <c r="E128" s="13">
        <f>975.156+E19</f>
        <v>977.28099999999995</v>
      </c>
      <c r="F128" s="13">
        <f>1365.153+F19</f>
        <v>1362.6680000000001</v>
      </c>
      <c r="G128" s="7">
        <v>1</v>
      </c>
      <c r="H128" s="1">
        <v>60</v>
      </c>
      <c r="I128" s="1" t="s">
        <v>35</v>
      </c>
      <c r="J128" s="1"/>
      <c r="K128" s="1">
        <v>995.98500000000001</v>
      </c>
      <c r="L128" s="1">
        <f t="shared" si="45"/>
        <v>-18.704000000000065</v>
      </c>
      <c r="M128" s="1">
        <f t="shared" si="46"/>
        <v>977.28099999999995</v>
      </c>
      <c r="N128" s="1"/>
      <c r="O128" s="1">
        <v>90.363121320000047</v>
      </c>
      <c r="P128" s="19"/>
      <c r="Q128" s="19"/>
      <c r="R128" s="1">
        <v>122.15597868</v>
      </c>
      <c r="S128" s="1">
        <f t="shared" si="47"/>
        <v>195.4562</v>
      </c>
      <c r="T128" s="5">
        <f t="shared" si="51"/>
        <v>770.28729999999996</v>
      </c>
      <c r="U128" s="5">
        <f t="shared" si="33"/>
        <v>770.28729999999996</v>
      </c>
      <c r="V128" s="5">
        <f t="shared" si="37"/>
        <v>270.13975611000001</v>
      </c>
      <c r="W128" s="5">
        <f>U128*$W$1</f>
        <v>500.14754388999995</v>
      </c>
      <c r="X128" s="1">
        <f t="shared" si="34"/>
        <v>12</v>
      </c>
      <c r="Y128" s="1">
        <f t="shared" si="48"/>
        <v>8.0590285700837345</v>
      </c>
      <c r="Z128" s="1">
        <v>194.12459999999999</v>
      </c>
      <c r="AA128" s="1">
        <v>210.81899999999999</v>
      </c>
      <c r="AB128" s="1">
        <v>218.63480000000001</v>
      </c>
      <c r="AC128" s="1">
        <v>145.69720000000001</v>
      </c>
      <c r="AD128" s="1">
        <v>131.56319999999999</v>
      </c>
      <c r="AE128" s="1">
        <v>184.21879999999999</v>
      </c>
      <c r="AF128" s="1">
        <v>182.80520000000001</v>
      </c>
      <c r="AG128" s="1">
        <v>261.65699999999998</v>
      </c>
      <c r="AH128" s="1"/>
      <c r="AI128" s="1">
        <f t="shared" si="35"/>
        <v>270</v>
      </c>
      <c r="AJ128" s="1">
        <f t="shared" si="36"/>
        <v>500</v>
      </c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 t="s">
        <v>169</v>
      </c>
      <c r="B129" s="1" t="s">
        <v>40</v>
      </c>
      <c r="C129" s="1">
        <v>38</v>
      </c>
      <c r="D129" s="1">
        <v>156</v>
      </c>
      <c r="E129" s="1">
        <v>4</v>
      </c>
      <c r="F129" s="1">
        <v>190</v>
      </c>
      <c r="G129" s="7">
        <v>0.25</v>
      </c>
      <c r="H129" s="1">
        <v>1096</v>
      </c>
      <c r="I129" s="1" t="s">
        <v>35</v>
      </c>
      <c r="J129" s="1"/>
      <c r="K129" s="1">
        <v>4</v>
      </c>
      <c r="L129" s="1">
        <f t="shared" si="45"/>
        <v>0</v>
      </c>
      <c r="M129" s="1">
        <f t="shared" si="46"/>
        <v>4</v>
      </c>
      <c r="N129" s="1"/>
      <c r="O129" s="1">
        <v>0</v>
      </c>
      <c r="P129" s="19"/>
      <c r="Q129" s="19"/>
      <c r="R129" s="1"/>
      <c r="S129" s="1">
        <f t="shared" si="47"/>
        <v>0.8</v>
      </c>
      <c r="T129" s="5"/>
      <c r="U129" s="5">
        <f t="shared" si="33"/>
        <v>0</v>
      </c>
      <c r="V129" s="5">
        <f t="shared" si="37"/>
        <v>0</v>
      </c>
      <c r="W129" s="5"/>
      <c r="X129" s="1">
        <f t="shared" si="34"/>
        <v>237.5</v>
      </c>
      <c r="Y129" s="1">
        <f t="shared" si="48"/>
        <v>237.5</v>
      </c>
      <c r="Z129" s="1">
        <v>1</v>
      </c>
      <c r="AA129" s="1">
        <v>5.6</v>
      </c>
      <c r="AB129" s="1">
        <v>10</v>
      </c>
      <c r="AC129" s="1">
        <v>6</v>
      </c>
      <c r="AD129" s="1">
        <v>1.2</v>
      </c>
      <c r="AE129" s="1">
        <v>3.6</v>
      </c>
      <c r="AF129" s="1">
        <v>4.2</v>
      </c>
      <c r="AG129" s="1">
        <v>6.2</v>
      </c>
      <c r="AH129" s="15" t="s">
        <v>181</v>
      </c>
      <c r="AI129" s="1">
        <f t="shared" si="35"/>
        <v>0</v>
      </c>
      <c r="AJ129" s="1">
        <f t="shared" si="36"/>
        <v>0</v>
      </c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 t="s">
        <v>170</v>
      </c>
      <c r="B130" s="1" t="s">
        <v>40</v>
      </c>
      <c r="C130" s="1">
        <v>9</v>
      </c>
      <c r="D130" s="1">
        <v>108</v>
      </c>
      <c r="E130" s="1">
        <v>5</v>
      </c>
      <c r="F130" s="13">
        <f>112+F138</f>
        <v>142</v>
      </c>
      <c r="G130" s="7">
        <v>0.32500000000000001</v>
      </c>
      <c r="H130" s="1">
        <v>1096</v>
      </c>
      <c r="I130" s="1" t="s">
        <v>35</v>
      </c>
      <c r="J130" s="1"/>
      <c r="K130" s="1">
        <v>5</v>
      </c>
      <c r="L130" s="1">
        <f t="shared" si="45"/>
        <v>0</v>
      </c>
      <c r="M130" s="1">
        <f t="shared" si="46"/>
        <v>5</v>
      </c>
      <c r="N130" s="1"/>
      <c r="O130" s="1">
        <v>0</v>
      </c>
      <c r="P130" s="19"/>
      <c r="Q130" s="19"/>
      <c r="R130" s="1"/>
      <c r="S130" s="1">
        <f t="shared" si="47"/>
        <v>1</v>
      </c>
      <c r="T130" s="5"/>
      <c r="U130" s="5">
        <f t="shared" si="33"/>
        <v>0</v>
      </c>
      <c r="V130" s="5">
        <f t="shared" si="37"/>
        <v>0</v>
      </c>
      <c r="W130" s="5"/>
      <c r="X130" s="1">
        <f t="shared" si="34"/>
        <v>142</v>
      </c>
      <c r="Y130" s="1">
        <f t="shared" si="48"/>
        <v>142</v>
      </c>
      <c r="Z130" s="1">
        <v>1</v>
      </c>
      <c r="AA130" s="1">
        <v>5.2</v>
      </c>
      <c r="AB130" s="1">
        <v>7.2</v>
      </c>
      <c r="AC130" s="1">
        <v>3.8</v>
      </c>
      <c r="AD130" s="1">
        <v>1</v>
      </c>
      <c r="AE130" s="1">
        <v>2.8</v>
      </c>
      <c r="AF130" s="1">
        <v>3.6</v>
      </c>
      <c r="AG130" s="1">
        <v>7.6</v>
      </c>
      <c r="AH130" s="15" t="s">
        <v>181</v>
      </c>
      <c r="AI130" s="1">
        <f t="shared" si="35"/>
        <v>0</v>
      </c>
      <c r="AJ130" s="1">
        <f t="shared" si="36"/>
        <v>0</v>
      </c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 t="s">
        <v>171</v>
      </c>
      <c r="B131" s="1" t="s">
        <v>40</v>
      </c>
      <c r="C131" s="1">
        <v>32</v>
      </c>
      <c r="D131" s="1">
        <v>192</v>
      </c>
      <c r="E131" s="1">
        <v>9</v>
      </c>
      <c r="F131" s="1">
        <v>200</v>
      </c>
      <c r="G131" s="7">
        <v>0.25</v>
      </c>
      <c r="H131" s="1">
        <v>1096</v>
      </c>
      <c r="I131" s="1" t="s">
        <v>35</v>
      </c>
      <c r="J131" s="1"/>
      <c r="K131" s="1">
        <v>9</v>
      </c>
      <c r="L131" s="1">
        <f t="shared" si="45"/>
        <v>0</v>
      </c>
      <c r="M131" s="1">
        <f t="shared" si="46"/>
        <v>9</v>
      </c>
      <c r="N131" s="1"/>
      <c r="O131" s="1">
        <v>0</v>
      </c>
      <c r="P131" s="19"/>
      <c r="Q131" s="19"/>
      <c r="R131" s="1"/>
      <c r="S131" s="1">
        <f t="shared" si="47"/>
        <v>1.8</v>
      </c>
      <c r="T131" s="5"/>
      <c r="U131" s="5">
        <f t="shared" si="33"/>
        <v>0</v>
      </c>
      <c r="V131" s="5">
        <f t="shared" si="37"/>
        <v>0</v>
      </c>
      <c r="W131" s="5"/>
      <c r="X131" s="1">
        <f t="shared" si="34"/>
        <v>111.11111111111111</v>
      </c>
      <c r="Y131" s="1">
        <f t="shared" si="48"/>
        <v>111.11111111111111</v>
      </c>
      <c r="Z131" s="1">
        <v>2</v>
      </c>
      <c r="AA131" s="1">
        <v>6.4</v>
      </c>
      <c r="AB131" s="1">
        <v>12.4</v>
      </c>
      <c r="AC131" s="1">
        <v>8.6</v>
      </c>
      <c r="AD131" s="1">
        <v>2</v>
      </c>
      <c r="AE131" s="1">
        <v>8</v>
      </c>
      <c r="AF131" s="1">
        <v>9.8000000000000007</v>
      </c>
      <c r="AG131" s="1">
        <v>6.2</v>
      </c>
      <c r="AH131" s="15" t="s">
        <v>181</v>
      </c>
      <c r="AI131" s="1">
        <f t="shared" si="35"/>
        <v>0</v>
      </c>
      <c r="AJ131" s="1">
        <f t="shared" si="36"/>
        <v>0</v>
      </c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 t="s">
        <v>172</v>
      </c>
      <c r="B132" s="1" t="s">
        <v>40</v>
      </c>
      <c r="C132" s="1">
        <v>32</v>
      </c>
      <c r="D132" s="1">
        <v>18</v>
      </c>
      <c r="E132" s="1">
        <v>-1</v>
      </c>
      <c r="F132" s="1">
        <v>35</v>
      </c>
      <c r="G132" s="7">
        <v>0.3</v>
      </c>
      <c r="H132" s="1">
        <v>40</v>
      </c>
      <c r="I132" s="9" t="s">
        <v>45</v>
      </c>
      <c r="J132" s="1"/>
      <c r="K132" s="1">
        <v>183</v>
      </c>
      <c r="L132" s="1">
        <f t="shared" si="45"/>
        <v>-184</v>
      </c>
      <c r="M132" s="1">
        <f t="shared" si="46"/>
        <v>-1</v>
      </c>
      <c r="N132" s="1"/>
      <c r="O132" s="1">
        <v>30</v>
      </c>
      <c r="P132" s="19"/>
      <c r="Q132" s="19"/>
      <c r="R132" s="1"/>
      <c r="S132" s="1">
        <f t="shared" si="47"/>
        <v>-0.2</v>
      </c>
      <c r="T132" s="5">
        <v>30</v>
      </c>
      <c r="U132" s="5">
        <f t="shared" si="33"/>
        <v>30</v>
      </c>
      <c r="V132" s="5">
        <f t="shared" si="33"/>
        <v>30</v>
      </c>
      <c r="W132" s="5"/>
      <c r="X132" s="1">
        <f t="shared" si="34"/>
        <v>-475</v>
      </c>
      <c r="Y132" s="1">
        <f t="shared" si="48"/>
        <v>-325</v>
      </c>
      <c r="Z132" s="1">
        <v>13.2</v>
      </c>
      <c r="AA132" s="1">
        <v>28.8</v>
      </c>
      <c r="AB132" s="1">
        <v>16.8</v>
      </c>
      <c r="AC132" s="1">
        <v>0</v>
      </c>
      <c r="AD132" s="1">
        <v>-0.4</v>
      </c>
      <c r="AE132" s="1">
        <v>-0.4</v>
      </c>
      <c r="AF132" s="1">
        <v>-0.6</v>
      </c>
      <c r="AG132" s="1">
        <v>13.2</v>
      </c>
      <c r="AH132" s="1"/>
      <c r="AI132" s="1">
        <f t="shared" si="35"/>
        <v>9</v>
      </c>
      <c r="AJ132" s="1">
        <f t="shared" si="36"/>
        <v>0</v>
      </c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 t="s">
        <v>173</v>
      </c>
      <c r="B133" s="1" t="s">
        <v>40</v>
      </c>
      <c r="C133" s="1">
        <v>-6</v>
      </c>
      <c r="D133" s="1">
        <v>1</v>
      </c>
      <c r="E133" s="1">
        <v>3</v>
      </c>
      <c r="F133" s="1">
        <v>-15</v>
      </c>
      <c r="G133" s="7">
        <v>0.3</v>
      </c>
      <c r="H133" s="1">
        <v>40</v>
      </c>
      <c r="I133" s="9" t="s">
        <v>45</v>
      </c>
      <c r="J133" s="1"/>
      <c r="K133" s="1">
        <v>18</v>
      </c>
      <c r="L133" s="1">
        <f t="shared" si="45"/>
        <v>-15</v>
      </c>
      <c r="M133" s="1">
        <f t="shared" si="46"/>
        <v>3</v>
      </c>
      <c r="N133" s="1"/>
      <c r="O133" s="1">
        <v>50</v>
      </c>
      <c r="P133" s="19"/>
      <c r="Q133" s="19"/>
      <c r="R133" s="1"/>
      <c r="S133" s="1">
        <f t="shared" si="47"/>
        <v>0.6</v>
      </c>
      <c r="T133" s="5">
        <v>50</v>
      </c>
      <c r="U133" s="5">
        <f t="shared" si="33"/>
        <v>50</v>
      </c>
      <c r="V133" s="5">
        <f t="shared" si="33"/>
        <v>50</v>
      </c>
      <c r="W133" s="5"/>
      <c r="X133" s="1">
        <f t="shared" si="34"/>
        <v>141.66666666666669</v>
      </c>
      <c r="Y133" s="1">
        <f t="shared" si="48"/>
        <v>58.333333333333336</v>
      </c>
      <c r="Z133" s="1">
        <v>9.1999999999999993</v>
      </c>
      <c r="AA133" s="1">
        <v>8</v>
      </c>
      <c r="AB133" s="1">
        <v>0</v>
      </c>
      <c r="AC133" s="1">
        <v>-0.2</v>
      </c>
      <c r="AD133" s="1">
        <v>-1.2</v>
      </c>
      <c r="AE133" s="1">
        <v>-0.2</v>
      </c>
      <c r="AF133" s="1">
        <v>0</v>
      </c>
      <c r="AG133" s="1">
        <v>0.4</v>
      </c>
      <c r="AH133" s="1"/>
      <c r="AI133" s="1">
        <f t="shared" si="35"/>
        <v>15</v>
      </c>
      <c r="AJ133" s="1">
        <f t="shared" si="36"/>
        <v>0</v>
      </c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 t="s">
        <v>174</v>
      </c>
      <c r="B134" s="1" t="s">
        <v>34</v>
      </c>
      <c r="C134" s="1">
        <v>69.739000000000004</v>
      </c>
      <c r="D134" s="1">
        <v>83.311000000000007</v>
      </c>
      <c r="E134" s="1">
        <v>69.941999999999993</v>
      </c>
      <c r="F134" s="1">
        <v>69.438999999999993</v>
      </c>
      <c r="G134" s="7">
        <v>1</v>
      </c>
      <c r="H134" s="1">
        <v>50</v>
      </c>
      <c r="I134" s="1" t="s">
        <v>35</v>
      </c>
      <c r="J134" s="1"/>
      <c r="K134" s="1">
        <v>78.650000000000006</v>
      </c>
      <c r="L134" s="1">
        <f t="shared" ref="L134:L138" si="52">E134-K134</f>
        <v>-8.7080000000000126</v>
      </c>
      <c r="M134" s="1">
        <f t="shared" ref="M134:M138" si="53">E134-N134</f>
        <v>69.941999999999993</v>
      </c>
      <c r="N134" s="1"/>
      <c r="O134" s="1">
        <v>28.977399999999971</v>
      </c>
      <c r="P134" s="19"/>
      <c r="Q134" s="19"/>
      <c r="R134" s="1"/>
      <c r="S134" s="1">
        <f t="shared" si="47"/>
        <v>13.988399999999999</v>
      </c>
      <c r="T134" s="5">
        <f t="shared" si="51"/>
        <v>69.44440000000003</v>
      </c>
      <c r="U134" s="5">
        <f t="shared" si="33"/>
        <v>69.44440000000003</v>
      </c>
      <c r="V134" s="5">
        <f t="shared" si="37"/>
        <v>69.44440000000003</v>
      </c>
      <c r="W134" s="5"/>
      <c r="X134" s="1">
        <f t="shared" si="34"/>
        <v>12</v>
      </c>
      <c r="Y134" s="1">
        <f t="shared" si="48"/>
        <v>7.0355723313602683</v>
      </c>
      <c r="Z134" s="1">
        <v>11.2852</v>
      </c>
      <c r="AA134" s="1">
        <v>10.900600000000001</v>
      </c>
      <c r="AB134" s="1">
        <v>11.664199999999999</v>
      </c>
      <c r="AC134" s="1">
        <v>8.6918000000000006</v>
      </c>
      <c r="AD134" s="1">
        <v>8.6745999999999999</v>
      </c>
      <c r="AE134" s="1">
        <v>10.775399999999999</v>
      </c>
      <c r="AF134" s="1">
        <v>8.8368000000000002</v>
      </c>
      <c r="AG134" s="1">
        <v>11.002599999999999</v>
      </c>
      <c r="AH134" s="1"/>
      <c r="AI134" s="1">
        <f t="shared" si="35"/>
        <v>69</v>
      </c>
      <c r="AJ134" s="1">
        <f t="shared" si="36"/>
        <v>0</v>
      </c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 t="s">
        <v>175</v>
      </c>
      <c r="B135" s="1" t="s">
        <v>40</v>
      </c>
      <c r="C135" s="1">
        <v>3</v>
      </c>
      <c r="D135" s="1"/>
      <c r="E135" s="1">
        <v>1</v>
      </c>
      <c r="F135" s="1">
        <v>1</v>
      </c>
      <c r="G135" s="7">
        <v>0.3</v>
      </c>
      <c r="H135" s="1">
        <v>40</v>
      </c>
      <c r="I135" s="9" t="s">
        <v>45</v>
      </c>
      <c r="J135" s="1"/>
      <c r="K135" s="1">
        <v>27</v>
      </c>
      <c r="L135" s="1">
        <f t="shared" si="52"/>
        <v>-26</v>
      </c>
      <c r="M135" s="1">
        <f t="shared" si="53"/>
        <v>1</v>
      </c>
      <c r="N135" s="1"/>
      <c r="O135" s="1">
        <v>20</v>
      </c>
      <c r="P135" s="19"/>
      <c r="Q135" s="19"/>
      <c r="R135" s="1"/>
      <c r="S135" s="1">
        <f t="shared" si="47"/>
        <v>0.2</v>
      </c>
      <c r="T135" s="5">
        <v>20</v>
      </c>
      <c r="U135" s="5">
        <f t="shared" ref="U135:V138" si="54">T135</f>
        <v>20</v>
      </c>
      <c r="V135" s="5">
        <f t="shared" si="54"/>
        <v>20</v>
      </c>
      <c r="W135" s="5"/>
      <c r="X135" s="1">
        <f t="shared" ref="X135:X138" si="55">(F135+O135+R135+V135+W135)/S135</f>
        <v>205</v>
      </c>
      <c r="Y135" s="1">
        <f t="shared" si="48"/>
        <v>105</v>
      </c>
      <c r="Z135" s="1">
        <v>-0.2</v>
      </c>
      <c r="AA135" s="1">
        <v>0.6</v>
      </c>
      <c r="AB135" s="1">
        <v>5.8</v>
      </c>
      <c r="AC135" s="1">
        <v>7.2</v>
      </c>
      <c r="AD135" s="1">
        <v>4.5999999999999996</v>
      </c>
      <c r="AE135" s="1">
        <v>2.6</v>
      </c>
      <c r="AF135" s="1">
        <v>0</v>
      </c>
      <c r="AG135" s="1">
        <v>9.8000000000000007</v>
      </c>
      <c r="AH135" s="1"/>
      <c r="AI135" s="1">
        <f t="shared" ref="AI135:AI138" si="56">ROUND(G135*V135,0)</f>
        <v>6</v>
      </c>
      <c r="AJ135" s="1">
        <f t="shared" ref="AJ135:AJ138" si="57">ROUND(G135*W135,0)</f>
        <v>0</v>
      </c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 t="s">
        <v>176</v>
      </c>
      <c r="B136" s="1" t="s">
        <v>40</v>
      </c>
      <c r="C136" s="1">
        <v>28</v>
      </c>
      <c r="D136" s="1">
        <v>188</v>
      </c>
      <c r="E136" s="1">
        <v>33</v>
      </c>
      <c r="F136" s="1">
        <v>162</v>
      </c>
      <c r="G136" s="7">
        <v>0.12</v>
      </c>
      <c r="H136" s="1">
        <v>45</v>
      </c>
      <c r="I136" s="9" t="s">
        <v>45</v>
      </c>
      <c r="J136" s="1"/>
      <c r="K136" s="1">
        <v>46</v>
      </c>
      <c r="L136" s="1">
        <f t="shared" si="52"/>
        <v>-13</v>
      </c>
      <c r="M136" s="1">
        <f t="shared" si="53"/>
        <v>33</v>
      </c>
      <c r="N136" s="1"/>
      <c r="O136" s="1">
        <v>0</v>
      </c>
      <c r="P136" s="19"/>
      <c r="Q136" s="19"/>
      <c r="R136" s="1"/>
      <c r="S136" s="1">
        <f t="shared" si="47"/>
        <v>6.6</v>
      </c>
      <c r="T136" s="5"/>
      <c r="U136" s="5">
        <f t="shared" si="54"/>
        <v>0</v>
      </c>
      <c r="V136" s="5">
        <f t="shared" si="54"/>
        <v>0</v>
      </c>
      <c r="W136" s="5"/>
      <c r="X136" s="1">
        <f t="shared" si="55"/>
        <v>24.545454545454547</v>
      </c>
      <c r="Y136" s="1">
        <f t="shared" si="48"/>
        <v>24.545454545454547</v>
      </c>
      <c r="Z136" s="1">
        <v>8.4</v>
      </c>
      <c r="AA136" s="1">
        <v>10.4</v>
      </c>
      <c r="AB136" s="1">
        <v>13.2</v>
      </c>
      <c r="AC136" s="1">
        <v>9.8000000000000007</v>
      </c>
      <c r="AD136" s="1">
        <v>7.2</v>
      </c>
      <c r="AE136" s="1">
        <v>8</v>
      </c>
      <c r="AF136" s="1">
        <v>7</v>
      </c>
      <c r="AG136" s="1">
        <v>13.8</v>
      </c>
      <c r="AH136" s="1"/>
      <c r="AI136" s="1">
        <f t="shared" si="56"/>
        <v>0</v>
      </c>
      <c r="AJ136" s="1">
        <f t="shared" si="57"/>
        <v>0</v>
      </c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0" t="s">
        <v>177</v>
      </c>
      <c r="B137" s="10" t="s">
        <v>40</v>
      </c>
      <c r="C137" s="10">
        <v>10</v>
      </c>
      <c r="D137" s="10">
        <v>152</v>
      </c>
      <c r="E137" s="13">
        <v>99</v>
      </c>
      <c r="F137" s="13">
        <v>44</v>
      </c>
      <c r="G137" s="11">
        <v>0</v>
      </c>
      <c r="H137" s="10"/>
      <c r="I137" s="10" t="s">
        <v>178</v>
      </c>
      <c r="J137" s="10" t="s">
        <v>101</v>
      </c>
      <c r="K137" s="10">
        <v>104</v>
      </c>
      <c r="L137" s="10">
        <f t="shared" si="52"/>
        <v>-5</v>
      </c>
      <c r="M137" s="10">
        <f t="shared" si="53"/>
        <v>99</v>
      </c>
      <c r="N137" s="10"/>
      <c r="O137" s="10">
        <v>0</v>
      </c>
      <c r="P137" s="21"/>
      <c r="Q137" s="21"/>
      <c r="R137" s="10"/>
      <c r="S137" s="10">
        <f t="shared" si="47"/>
        <v>19.8</v>
      </c>
      <c r="T137" s="12"/>
      <c r="U137" s="5">
        <f t="shared" si="54"/>
        <v>0</v>
      </c>
      <c r="V137" s="5">
        <f t="shared" ref="V137:V138" si="58">U137-W137</f>
        <v>0</v>
      </c>
      <c r="W137" s="5"/>
      <c r="X137" s="1">
        <f t="shared" si="55"/>
        <v>2.2222222222222223</v>
      </c>
      <c r="Y137" s="10">
        <f t="shared" si="48"/>
        <v>2.2222222222222223</v>
      </c>
      <c r="Z137" s="10">
        <v>10.4</v>
      </c>
      <c r="AA137" s="10">
        <v>11.2</v>
      </c>
      <c r="AB137" s="10">
        <v>14.6</v>
      </c>
      <c r="AC137" s="10">
        <v>5.2</v>
      </c>
      <c r="AD137" s="10">
        <v>0</v>
      </c>
      <c r="AE137" s="10">
        <v>0</v>
      </c>
      <c r="AF137" s="10">
        <v>0</v>
      </c>
      <c r="AG137" s="10">
        <v>0</v>
      </c>
      <c r="AH137" s="10"/>
      <c r="AI137" s="1">
        <f t="shared" si="56"/>
        <v>0</v>
      </c>
      <c r="AJ137" s="1">
        <f t="shared" si="57"/>
        <v>0</v>
      </c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0" t="s">
        <v>179</v>
      </c>
      <c r="B138" s="10" t="s">
        <v>40</v>
      </c>
      <c r="C138" s="10">
        <v>30</v>
      </c>
      <c r="D138" s="10"/>
      <c r="E138" s="10"/>
      <c r="F138" s="13">
        <v>30</v>
      </c>
      <c r="G138" s="11">
        <v>0</v>
      </c>
      <c r="H138" s="10"/>
      <c r="I138" s="10" t="s">
        <v>178</v>
      </c>
      <c r="J138" s="10" t="s">
        <v>170</v>
      </c>
      <c r="K138" s="10">
        <v>2</v>
      </c>
      <c r="L138" s="10">
        <f t="shared" si="52"/>
        <v>-2</v>
      </c>
      <c r="M138" s="10">
        <f t="shared" si="53"/>
        <v>0</v>
      </c>
      <c r="N138" s="10"/>
      <c r="O138" s="10">
        <v>0</v>
      </c>
      <c r="P138" s="21"/>
      <c r="Q138" s="21"/>
      <c r="R138" s="10"/>
      <c r="S138" s="10">
        <f t="shared" si="47"/>
        <v>0</v>
      </c>
      <c r="T138" s="12"/>
      <c r="U138" s="5">
        <f t="shared" si="54"/>
        <v>0</v>
      </c>
      <c r="V138" s="5">
        <f t="shared" si="58"/>
        <v>0</v>
      </c>
      <c r="W138" s="5"/>
      <c r="X138" s="1" t="e">
        <f t="shared" si="55"/>
        <v>#DIV/0!</v>
      </c>
      <c r="Y138" s="10" t="e">
        <f t="shared" si="48"/>
        <v>#DIV/0!</v>
      </c>
      <c r="Z138" s="10">
        <v>0</v>
      </c>
      <c r="AA138" s="10">
        <v>0</v>
      </c>
      <c r="AB138" s="10">
        <v>0</v>
      </c>
      <c r="AC138" s="10">
        <v>0.2</v>
      </c>
      <c r="AD138" s="10">
        <v>0.4</v>
      </c>
      <c r="AE138" s="10">
        <v>2.4</v>
      </c>
      <c r="AF138" s="10">
        <v>2.6</v>
      </c>
      <c r="AG138" s="10">
        <v>3.6</v>
      </c>
      <c r="AH138" s="10"/>
      <c r="AI138" s="1">
        <f t="shared" si="56"/>
        <v>0</v>
      </c>
      <c r="AJ138" s="1">
        <f t="shared" si="57"/>
        <v>0</v>
      </c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9"/>
      <c r="Q139" s="19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9"/>
      <c r="Q140" s="19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9"/>
      <c r="Q141" s="19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9"/>
      <c r="Q142" s="19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9"/>
      <c r="Q143" s="19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9"/>
      <c r="Q144" s="19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9"/>
      <c r="Q145" s="19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9"/>
      <c r="Q146" s="19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9"/>
      <c r="Q147" s="19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9"/>
      <c r="Q148" s="19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9"/>
      <c r="Q149" s="19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9"/>
      <c r="Q150" s="19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9"/>
      <c r="Q151" s="19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9"/>
      <c r="Q152" s="19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9"/>
      <c r="Q153" s="19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9"/>
      <c r="Q154" s="19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9"/>
      <c r="Q155" s="19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9"/>
      <c r="Q156" s="19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9"/>
      <c r="Q157" s="19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9"/>
      <c r="Q158" s="19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9"/>
      <c r="Q159" s="19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9"/>
      <c r="Q160" s="19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9"/>
      <c r="Q161" s="19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9"/>
      <c r="Q162" s="19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9"/>
      <c r="Q163" s="19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9"/>
      <c r="Q164" s="19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9"/>
      <c r="Q165" s="19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9"/>
      <c r="Q166" s="19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9"/>
      <c r="Q167" s="19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9"/>
      <c r="Q168" s="19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9"/>
      <c r="Q169" s="19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9"/>
      <c r="Q170" s="19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9"/>
      <c r="Q171" s="19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9"/>
      <c r="Q172" s="19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9"/>
      <c r="Q173" s="19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9"/>
      <c r="Q174" s="19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9"/>
      <c r="Q175" s="19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9"/>
      <c r="Q176" s="19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9"/>
      <c r="Q177" s="19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9"/>
      <c r="Q178" s="19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9"/>
      <c r="Q179" s="19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9"/>
      <c r="Q180" s="19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9"/>
      <c r="Q181" s="19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9"/>
      <c r="Q182" s="19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9"/>
      <c r="Q183" s="19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9"/>
      <c r="Q184" s="19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9"/>
      <c r="Q185" s="19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9"/>
      <c r="Q186" s="19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9"/>
      <c r="Q187" s="19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9"/>
      <c r="Q188" s="19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9"/>
      <c r="Q189" s="19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9"/>
      <c r="Q190" s="19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9"/>
      <c r="Q191" s="19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9"/>
      <c r="Q192" s="19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9"/>
      <c r="Q193" s="19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9"/>
      <c r="Q194" s="19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9"/>
      <c r="Q195" s="19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9"/>
      <c r="Q196" s="19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9"/>
      <c r="Q197" s="19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9"/>
      <c r="Q198" s="19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9"/>
      <c r="Q199" s="19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9"/>
      <c r="Q200" s="19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9"/>
      <c r="Q201" s="19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9"/>
      <c r="Q202" s="19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9"/>
      <c r="Q203" s="19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9"/>
      <c r="Q204" s="19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9"/>
      <c r="Q205" s="19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9"/>
      <c r="Q206" s="19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9"/>
      <c r="Q207" s="19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9"/>
      <c r="Q208" s="19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9"/>
      <c r="Q209" s="19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9"/>
      <c r="Q210" s="19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9"/>
      <c r="Q211" s="19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9"/>
      <c r="Q212" s="19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9"/>
      <c r="Q213" s="19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9"/>
      <c r="Q214" s="19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9"/>
      <c r="Q215" s="19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9"/>
      <c r="Q216" s="19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9"/>
      <c r="Q217" s="19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9"/>
      <c r="Q218" s="19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9"/>
      <c r="Q219" s="19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9"/>
      <c r="Q220" s="19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9"/>
      <c r="Q221" s="19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9"/>
      <c r="Q222" s="19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9"/>
      <c r="Q223" s="19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9"/>
      <c r="Q224" s="19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9"/>
      <c r="Q225" s="19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9"/>
      <c r="Q226" s="19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9"/>
      <c r="Q227" s="19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9"/>
      <c r="Q228" s="19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9"/>
      <c r="Q229" s="19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9"/>
      <c r="Q230" s="19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9"/>
      <c r="Q231" s="19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9"/>
      <c r="Q232" s="19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9"/>
      <c r="Q233" s="19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9"/>
      <c r="Q234" s="19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9"/>
      <c r="Q235" s="19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9"/>
      <c r="Q236" s="19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9"/>
      <c r="Q237" s="19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9"/>
      <c r="Q238" s="19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9"/>
      <c r="Q239" s="19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9"/>
      <c r="Q240" s="19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9"/>
      <c r="Q241" s="19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9"/>
      <c r="Q242" s="19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9"/>
      <c r="Q243" s="19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9"/>
      <c r="Q244" s="19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9"/>
      <c r="Q245" s="19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9"/>
      <c r="Q246" s="19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9"/>
      <c r="Q247" s="19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9"/>
      <c r="Q248" s="19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9"/>
      <c r="Q249" s="19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9"/>
      <c r="Q250" s="19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9"/>
      <c r="Q251" s="19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9"/>
      <c r="Q252" s="19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9"/>
      <c r="Q253" s="19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9"/>
      <c r="Q254" s="19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9"/>
      <c r="Q255" s="19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9"/>
      <c r="Q256" s="19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9"/>
      <c r="Q257" s="19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9"/>
      <c r="Q258" s="19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9"/>
      <c r="Q259" s="19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9"/>
      <c r="Q260" s="19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9"/>
      <c r="Q261" s="19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9"/>
      <c r="Q262" s="19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9"/>
      <c r="Q263" s="19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9"/>
      <c r="Q264" s="19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9"/>
      <c r="Q265" s="19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9"/>
      <c r="Q266" s="19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9"/>
      <c r="Q267" s="19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9"/>
      <c r="Q268" s="19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9"/>
      <c r="Q269" s="19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9"/>
      <c r="Q270" s="19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9"/>
      <c r="Q271" s="19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9"/>
      <c r="Q272" s="19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9"/>
      <c r="Q273" s="19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9"/>
      <c r="Q274" s="19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9"/>
      <c r="Q275" s="19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9"/>
      <c r="Q276" s="19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9"/>
      <c r="Q277" s="19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9"/>
      <c r="Q278" s="19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9"/>
      <c r="Q279" s="19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9"/>
      <c r="Q280" s="19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9"/>
      <c r="Q281" s="19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9"/>
      <c r="Q282" s="19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9"/>
      <c r="Q283" s="19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9"/>
      <c r="Q284" s="19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9"/>
      <c r="Q285" s="19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9"/>
      <c r="Q286" s="19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9"/>
      <c r="Q287" s="19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9"/>
      <c r="Q288" s="19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9"/>
      <c r="Q289" s="19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9"/>
      <c r="Q290" s="19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9"/>
      <c r="Q291" s="19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9"/>
      <c r="Q292" s="19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9"/>
      <c r="Q293" s="19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9"/>
      <c r="Q294" s="19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9"/>
      <c r="Q295" s="19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9"/>
      <c r="Q296" s="19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9"/>
      <c r="Q297" s="19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9"/>
      <c r="Q298" s="19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9"/>
      <c r="Q299" s="19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9"/>
      <c r="Q300" s="19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9"/>
      <c r="Q301" s="19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9"/>
      <c r="Q302" s="19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9"/>
      <c r="Q303" s="19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9"/>
      <c r="Q304" s="19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9"/>
      <c r="Q305" s="19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9"/>
      <c r="Q306" s="19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9"/>
      <c r="Q307" s="19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9"/>
      <c r="Q308" s="19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9"/>
      <c r="Q309" s="19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9"/>
      <c r="Q310" s="19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9"/>
      <c r="Q311" s="19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9"/>
      <c r="Q312" s="19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9"/>
      <c r="Q313" s="19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9"/>
      <c r="Q314" s="19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9"/>
      <c r="Q315" s="19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9"/>
      <c r="Q316" s="19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9"/>
      <c r="Q317" s="19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9"/>
      <c r="Q318" s="19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9"/>
      <c r="Q319" s="19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9"/>
      <c r="Q320" s="19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9"/>
      <c r="Q321" s="19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9"/>
      <c r="Q322" s="19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9"/>
      <c r="Q323" s="19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9"/>
      <c r="Q324" s="19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9"/>
      <c r="Q325" s="19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9"/>
      <c r="Q326" s="19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9"/>
      <c r="Q327" s="19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9"/>
      <c r="Q328" s="19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9"/>
      <c r="Q329" s="19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9"/>
      <c r="Q330" s="19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9"/>
      <c r="Q331" s="19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9"/>
      <c r="Q332" s="19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9"/>
      <c r="Q333" s="19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9"/>
      <c r="Q334" s="19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9"/>
      <c r="Q335" s="19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9"/>
      <c r="Q336" s="19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9"/>
      <c r="Q337" s="19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9"/>
      <c r="Q338" s="19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9"/>
      <c r="Q339" s="19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9"/>
      <c r="Q340" s="19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9"/>
      <c r="Q341" s="19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9"/>
      <c r="Q342" s="19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9"/>
      <c r="Q343" s="19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9"/>
      <c r="Q344" s="19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9"/>
      <c r="Q345" s="19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9"/>
      <c r="Q346" s="19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9"/>
      <c r="Q347" s="19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9"/>
      <c r="Q348" s="19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9"/>
      <c r="Q349" s="19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9"/>
      <c r="Q350" s="19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9"/>
      <c r="Q351" s="19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9"/>
      <c r="Q352" s="19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9"/>
      <c r="Q353" s="19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9"/>
      <c r="Q354" s="19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9"/>
      <c r="Q355" s="19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9"/>
      <c r="Q356" s="19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9"/>
      <c r="Q357" s="19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9"/>
      <c r="Q358" s="19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9"/>
      <c r="Q359" s="19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9"/>
      <c r="Q360" s="19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9"/>
      <c r="Q361" s="19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9"/>
      <c r="Q362" s="19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9"/>
      <c r="Q363" s="19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9"/>
      <c r="Q364" s="19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9"/>
      <c r="Q365" s="19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9"/>
      <c r="Q366" s="19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9"/>
      <c r="Q367" s="19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9"/>
      <c r="Q368" s="19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9"/>
      <c r="Q369" s="19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9"/>
      <c r="Q370" s="19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9"/>
      <c r="Q371" s="19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9"/>
      <c r="Q372" s="19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9"/>
      <c r="Q373" s="19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9"/>
      <c r="Q374" s="19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9"/>
      <c r="Q375" s="19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9"/>
      <c r="Q376" s="19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9"/>
      <c r="Q377" s="19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9"/>
      <c r="Q378" s="19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9"/>
      <c r="Q379" s="19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9"/>
      <c r="Q380" s="19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9"/>
      <c r="Q381" s="19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9"/>
      <c r="Q382" s="19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9"/>
      <c r="Q383" s="19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9"/>
      <c r="Q384" s="19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9"/>
      <c r="Q385" s="19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9"/>
      <c r="Q386" s="19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9"/>
      <c r="Q387" s="19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9"/>
      <c r="Q388" s="19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9"/>
      <c r="Q389" s="19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9"/>
      <c r="Q390" s="19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9"/>
      <c r="Q391" s="19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9"/>
      <c r="Q392" s="19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9"/>
      <c r="Q393" s="19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9"/>
      <c r="Q394" s="19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9"/>
      <c r="Q395" s="19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9"/>
      <c r="Q396" s="19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9"/>
      <c r="Q397" s="19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9"/>
      <c r="Q398" s="19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9"/>
      <c r="Q399" s="19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9"/>
      <c r="Q400" s="19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9"/>
      <c r="Q401" s="19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9"/>
      <c r="Q402" s="19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9"/>
      <c r="Q403" s="19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9"/>
      <c r="Q404" s="19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9"/>
      <c r="Q405" s="19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9"/>
      <c r="Q406" s="19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9"/>
      <c r="Q407" s="19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9"/>
      <c r="Q408" s="19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9"/>
      <c r="Q409" s="19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9"/>
      <c r="Q410" s="19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9"/>
      <c r="Q411" s="19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9"/>
      <c r="Q412" s="19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9"/>
      <c r="Q413" s="19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9"/>
      <c r="Q414" s="19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9"/>
      <c r="Q415" s="19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9"/>
      <c r="Q416" s="19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9"/>
      <c r="Q417" s="19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9"/>
      <c r="Q418" s="19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9"/>
      <c r="Q419" s="19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9"/>
      <c r="Q420" s="19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9"/>
      <c r="Q421" s="19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9"/>
      <c r="Q422" s="19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9"/>
      <c r="Q423" s="19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9"/>
      <c r="Q424" s="19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9"/>
      <c r="Q425" s="19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9"/>
      <c r="Q426" s="19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9"/>
      <c r="Q427" s="19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9"/>
      <c r="Q428" s="19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9"/>
      <c r="Q429" s="19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9"/>
      <c r="Q430" s="19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9"/>
      <c r="Q431" s="19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9"/>
      <c r="Q432" s="19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9"/>
      <c r="Q433" s="19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9"/>
      <c r="Q434" s="19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9"/>
      <c r="Q435" s="19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9"/>
      <c r="Q436" s="19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9"/>
      <c r="Q437" s="19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9"/>
      <c r="Q438" s="19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9"/>
      <c r="Q439" s="19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9"/>
      <c r="Q440" s="19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9"/>
      <c r="Q441" s="19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9"/>
      <c r="Q442" s="19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9"/>
      <c r="Q443" s="19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9"/>
      <c r="Q444" s="19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9"/>
      <c r="Q445" s="19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9"/>
      <c r="Q446" s="19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9"/>
      <c r="Q447" s="19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9"/>
      <c r="Q448" s="19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9"/>
      <c r="Q449" s="19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9"/>
      <c r="Q450" s="19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9"/>
      <c r="Q451" s="19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9"/>
      <c r="Q452" s="19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9"/>
      <c r="Q453" s="19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9"/>
      <c r="Q454" s="19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9"/>
      <c r="Q455" s="19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9"/>
      <c r="Q456" s="19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9"/>
      <c r="Q457" s="19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9"/>
      <c r="Q458" s="19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9"/>
      <c r="Q459" s="19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9"/>
      <c r="Q460" s="19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9"/>
      <c r="Q461" s="19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9"/>
      <c r="Q462" s="19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9"/>
      <c r="Q463" s="19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9"/>
      <c r="Q464" s="19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9"/>
      <c r="Q465" s="19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9"/>
      <c r="Q466" s="19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9"/>
      <c r="Q467" s="19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9"/>
      <c r="Q468" s="19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9"/>
      <c r="Q469" s="19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9"/>
      <c r="Q470" s="19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9"/>
      <c r="Q471" s="19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9"/>
      <c r="Q472" s="19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9"/>
      <c r="Q473" s="19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9"/>
      <c r="Q474" s="19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9"/>
      <c r="Q475" s="19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9"/>
      <c r="Q476" s="19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9"/>
      <c r="Q477" s="19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9"/>
      <c r="Q478" s="19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9"/>
      <c r="Q479" s="19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9"/>
      <c r="Q480" s="19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9"/>
      <c r="Q481" s="19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9"/>
      <c r="Q482" s="19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9"/>
      <c r="Q483" s="19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9"/>
      <c r="Q484" s="19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9"/>
      <c r="Q485" s="19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9"/>
      <c r="Q486" s="19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9"/>
      <c r="Q487" s="19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9"/>
      <c r="Q488" s="19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9"/>
      <c r="Q489" s="19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9"/>
      <c r="Q490" s="19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9"/>
      <c r="Q491" s="19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9"/>
      <c r="Q492" s="19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9"/>
      <c r="Q493" s="19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9"/>
      <c r="Q494" s="19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9"/>
      <c r="Q495" s="19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9"/>
      <c r="Q496" s="19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9"/>
      <c r="Q497" s="19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9"/>
      <c r="Q498" s="19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9"/>
      <c r="Q499" s="19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spans="1:47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9"/>
      <c r="Q500" s="19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</sheetData>
  <autoFilter ref="A3:AI138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2026-09-17T15:56:58Z</dcterms:created>
  <dcterms:modified xsi:type="dcterms:W3CDTF">2026-09-20T06:19:36Z</dcterms:modified>
</cp:coreProperties>
</file>