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422BCB8-11BC-4AD1-97C9-253969D11A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3" i="1" l="1"/>
  <c r="T24" i="1"/>
  <c r="T25" i="1"/>
  <c r="T26" i="1"/>
  <c r="T2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3" i="1"/>
  <c r="S20" i="1" l="1"/>
  <c r="R20" i="1"/>
  <c r="Q20" i="1"/>
  <c r="Q27" i="1" s="1"/>
  <c r="P20" i="1"/>
  <c r="O20" i="1"/>
  <c r="N20" i="1"/>
  <c r="N27" i="1" s="1"/>
  <c r="C20" i="1" l="1"/>
  <c r="D20" i="1"/>
  <c r="E20" i="1" l="1"/>
  <c r="E27" i="1" s="1"/>
  <c r="F20" i="1" l="1"/>
  <c r="G20" i="1"/>
  <c r="H20" i="1"/>
  <c r="H27" i="1" s="1"/>
  <c r="I20" i="1"/>
  <c r="J20" i="1"/>
  <c r="K20" i="1"/>
  <c r="K27" i="1" s="1"/>
  <c r="L20" i="1"/>
  <c r="M20" i="1"/>
  <c r="B20" i="1" l="1"/>
  <c r="T20" i="1"/>
</calcChain>
</file>

<file path=xl/sharedStrings.xml><?xml version="1.0" encoding="utf-8"?>
<sst xmlns="http://schemas.openxmlformats.org/spreadsheetml/2006/main" count="54" uniqueCount="35">
  <si>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</si>
  <si>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</si>
  <si>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</si>
  <si>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</si>
  <si>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</si>
  <si>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</si>
  <si>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</si>
  <si>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</si>
  <si>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</si>
  <si>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</si>
  <si>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</si>
  <si>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</si>
  <si>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</si>
  <si>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</si>
  <si>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</si>
  <si>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</si>
  <si>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</si>
  <si>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</si>
  <si>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</si>
  <si>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</si>
  <si>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</si>
  <si>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</si>
  <si>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</si>
  <si>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</si>
  <si>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</si>
  <si>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21,09</t>
  </si>
  <si>
    <t>Сыры</t>
  </si>
  <si>
    <t>Мясной Выбор (Мелитополь)</t>
  </si>
  <si>
    <t>Убийконь</t>
  </si>
  <si>
    <t>1 машина на 22,09</t>
  </si>
  <si>
    <t>2 машина на 21,09</t>
  </si>
  <si>
    <t>2 машина на 22,09</t>
  </si>
  <si>
    <t>3 машина на 22,09</t>
  </si>
  <si>
    <t>НВ</t>
  </si>
  <si>
    <t>КСК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</si>
</sst>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6" xfId="0" applyFill="1" applyBorder="1"/>
    <xf numFmtId="0" fontId="0" fillId="3" borderId="6" xfId="0" applyFill="1" applyBorder="1"/>
    <xf numFmtId="0" fontId="0" fillId="4" borderId="11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6" xfId="0" applyFill="1" applyBorder="1"/>
    <xf numFmtId="164" fontId="0" fillId="0" borderId="27" xfId="0" applyNumberFormat="1" applyBorder="1"/>
    <xf numFmtId="164" fontId="0" fillId="0" borderId="1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0" fontId="0" fillId="4" borderId="3" xfId="0" applyFill="1" applyBorder="1"/>
    <xf numFmtId="164" fontId="0" fillId="0" borderId="4" xfId="0" applyNumberFormat="1" applyBorder="1"/>
    <xf numFmtId="0" fontId="0" fillId="0" borderId="4" xfId="0" applyBorder="1"/>
    <xf numFmtId="0" fontId="0" fillId="4" borderId="8" xfId="0" applyFill="1" applyBorder="1"/>
    <xf numFmtId="164" fontId="0" fillId="0" borderId="9" xfId="0" applyNumberFormat="1" applyBorder="1"/>
    <xf numFmtId="0" fontId="0" fillId="0" borderId="9" xfId="0" applyBorder="1"/>
    <xf numFmtId="0" fontId="0" fillId="0" borderId="13" xfId="0" applyBorder="1"/>
    <xf numFmtId="0" fontId="0" fillId="0" borderId="30" xfId="0" applyBorder="1"/>
    <xf numFmtId="0" fontId="0" fillId="0" borderId="14" xfId="0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zoomScale="115" zoomScaleNormal="115" workbookViewId="0">
      <selection activeCell="V28" sqref="V2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50" t="s">
        <v>4</v>
      </c>
      <c r="B1" s="52" t="s">
        <v>18</v>
      </c>
      <c r="C1" s="52" t="s">
        <v>19</v>
      </c>
      <c r="D1" s="52" t="s">
        <v>20</v>
      </c>
      <c r="E1" s="50" t="s">
        <v>25</v>
      </c>
      <c r="F1" s="54"/>
      <c r="G1" s="55"/>
      <c r="H1" s="50" t="s">
        <v>30</v>
      </c>
      <c r="I1" s="54"/>
      <c r="J1" s="55"/>
      <c r="K1" s="50" t="s">
        <v>29</v>
      </c>
      <c r="L1" s="54"/>
      <c r="M1" s="55"/>
      <c r="N1" s="50" t="s">
        <v>31</v>
      </c>
      <c r="O1" s="54"/>
      <c r="P1" s="55"/>
      <c r="Q1" s="50" t="s">
        <v>32</v>
      </c>
      <c r="R1" s="54"/>
      <c r="S1" s="55"/>
      <c r="T1" s="48" t="s">
        <v>5</v>
      </c>
    </row>
    <row r="2" spans="1:20" ht="30.75" thickBot="1" x14ac:dyDescent="0.3">
      <c r="A2" s="51"/>
      <c r="B2" s="53"/>
      <c r="C2" s="53"/>
      <c r="D2" s="53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17" t="s">
        <v>9</v>
      </c>
      <c r="R2" s="18" t="s">
        <v>10</v>
      </c>
      <c r="S2" s="19" t="s">
        <v>11</v>
      </c>
      <c r="T2" s="49"/>
    </row>
    <row r="3" spans="1:20" x14ac:dyDescent="0.25">
      <c r="A3" s="31" t="s">
        <v>0</v>
      </c>
      <c r="B3" s="20">
        <v>7912</v>
      </c>
      <c r="C3" s="21"/>
      <c r="D3" s="22"/>
      <c r="E3" s="20">
        <v>7912</v>
      </c>
      <c r="F3" s="21">
        <v>8894</v>
      </c>
      <c r="G3" s="22">
        <v>14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8">
        <f>B3-E3-H3-K3-N3-Q3</f>
        <v>0</v>
      </c>
    </row>
    <row r="4" spans="1:20" x14ac:dyDescent="0.25">
      <c r="A4" s="30" t="s">
        <v>1</v>
      </c>
      <c r="B4" s="23">
        <v>34254</v>
      </c>
      <c r="C4" s="24"/>
      <c r="D4" s="25"/>
      <c r="E4" s="23"/>
      <c r="F4" s="24"/>
      <c r="G4" s="25"/>
      <c r="H4" s="4">
        <v>16652</v>
      </c>
      <c r="I4" s="2">
        <v>18669</v>
      </c>
      <c r="J4" s="5">
        <v>30</v>
      </c>
      <c r="K4" s="4">
        <v>17602</v>
      </c>
      <c r="L4" s="2">
        <v>19634</v>
      </c>
      <c r="M4" s="5">
        <v>31</v>
      </c>
      <c r="N4" s="4"/>
      <c r="O4" s="2"/>
      <c r="P4" s="5"/>
      <c r="Q4" s="4"/>
      <c r="R4" s="2"/>
      <c r="S4" s="5"/>
      <c r="T4" s="8">
        <f t="shared" ref="T4:T19" si="0">B4-E4-H4-K4-N4-Q4</f>
        <v>0</v>
      </c>
    </row>
    <row r="5" spans="1:20" x14ac:dyDescent="0.25">
      <c r="A5" s="33" t="s">
        <v>2</v>
      </c>
      <c r="B5" s="23">
        <v>16656</v>
      </c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>
        <v>16656</v>
      </c>
      <c r="O5" s="2">
        <v>18597</v>
      </c>
      <c r="P5" s="5">
        <v>30</v>
      </c>
      <c r="Q5" s="4"/>
      <c r="R5" s="2"/>
      <c r="S5" s="5"/>
      <c r="T5" s="8">
        <f t="shared" si="0"/>
        <v>0</v>
      </c>
    </row>
    <row r="6" spans="1:20" x14ac:dyDescent="0.25">
      <c r="A6" s="32" t="s">
        <v>3</v>
      </c>
      <c r="B6" s="23">
        <v>5555</v>
      </c>
      <c r="C6" s="24"/>
      <c r="D6" s="25"/>
      <c r="E6" s="23">
        <v>5555</v>
      </c>
      <c r="F6" s="24">
        <v>6286</v>
      </c>
      <c r="G6" s="25">
        <v>11</v>
      </c>
      <c r="H6" s="4"/>
      <c r="I6" s="2"/>
      <c r="J6" s="5"/>
      <c r="K6" s="4"/>
      <c r="L6" s="2"/>
      <c r="M6" s="5"/>
      <c r="N6" s="4"/>
      <c r="O6" s="2"/>
      <c r="P6" s="5"/>
      <c r="Q6" s="4"/>
      <c r="R6" s="2"/>
      <c r="S6" s="5"/>
      <c r="T6" s="8">
        <f t="shared" si="0"/>
        <v>0</v>
      </c>
    </row>
    <row r="7" spans="1:20" hidden="1" x14ac:dyDescent="0.25">
      <c r="A7" s="4" t="s">
        <v>7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8">
        <f t="shared" si="0"/>
        <v>0</v>
      </c>
    </row>
    <row r="8" spans="1:20" hidden="1" x14ac:dyDescent="0.25">
      <c r="A8" s="4" t="s">
        <v>13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8">
        <f t="shared" si="0"/>
        <v>0</v>
      </c>
    </row>
    <row r="9" spans="1:20" ht="15.75" thickBot="1" x14ac:dyDescent="0.3">
      <c r="A9" s="34" t="s">
        <v>28</v>
      </c>
      <c r="B9" s="23">
        <v>18163</v>
      </c>
      <c r="C9" s="24">
        <v>19791</v>
      </c>
      <c r="D9" s="25">
        <v>29</v>
      </c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23">
        <v>18163</v>
      </c>
      <c r="R9" s="24">
        <v>19791</v>
      </c>
      <c r="S9" s="25">
        <v>29</v>
      </c>
      <c r="T9" s="8">
        <f t="shared" si="0"/>
        <v>0</v>
      </c>
    </row>
    <row r="10" spans="1:20" hidden="1" x14ac:dyDescent="0.25">
      <c r="A10" s="9" t="s">
        <v>21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9"/>
      <c r="R10" s="10"/>
      <c r="S10" s="11"/>
      <c r="T10" s="8">
        <f t="shared" si="0"/>
        <v>0</v>
      </c>
    </row>
    <row r="11" spans="1:20" hidden="1" x14ac:dyDescent="0.25">
      <c r="A11" s="9" t="s">
        <v>12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8">
        <f t="shared" si="0"/>
        <v>0</v>
      </c>
    </row>
    <row r="12" spans="1:20" hidden="1" x14ac:dyDescent="0.25">
      <c r="A12" s="9" t="s">
        <v>24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0" hidden="1" x14ac:dyDescent="0.25">
      <c r="A13" s="9" t="s">
        <v>15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0" hidden="1" x14ac:dyDescent="0.25">
      <c r="A14" s="9" t="s">
        <v>16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8">
        <f t="shared" si="0"/>
        <v>0</v>
      </c>
    </row>
    <row r="15" spans="1:20" hidden="1" x14ac:dyDescent="0.25">
      <c r="A15" s="9" t="s">
        <v>17</v>
      </c>
      <c r="B15" s="23"/>
      <c r="C15" s="24"/>
      <c r="D15" s="25"/>
      <c r="E15" s="23"/>
      <c r="F15" s="24"/>
      <c r="G15" s="25"/>
      <c r="H15" s="4"/>
      <c r="I15" s="2"/>
      <c r="J15" s="5"/>
      <c r="K15" s="9"/>
      <c r="L15" s="10"/>
      <c r="M15" s="11"/>
      <c r="N15" s="9"/>
      <c r="O15" s="10"/>
      <c r="P15" s="11"/>
      <c r="Q15" s="9"/>
      <c r="R15" s="10"/>
      <c r="S15" s="11"/>
      <c r="T15" s="8">
        <f t="shared" si="0"/>
        <v>0</v>
      </c>
    </row>
    <row r="16" spans="1:20" hidden="1" x14ac:dyDescent="0.25">
      <c r="A16" s="9" t="s">
        <v>8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hidden="1" x14ac:dyDescent="0.25">
      <c r="A17" s="9" t="s">
        <v>14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8">
        <f t="shared" si="0"/>
        <v>0</v>
      </c>
    </row>
    <row r="18" spans="1:20" hidden="1" x14ac:dyDescent="0.25">
      <c r="A18" s="9" t="s">
        <v>23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8">
        <f t="shared" si="0"/>
        <v>0</v>
      </c>
    </row>
    <row r="19" spans="1:20" ht="15.75" hidden="1" thickBot="1" x14ac:dyDescent="0.3">
      <c r="A19" s="9" t="s">
        <v>22</v>
      </c>
      <c r="B19" s="23"/>
      <c r="C19" s="27"/>
      <c r="D19" s="28"/>
      <c r="E19" s="23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8">
        <f t="shared" si="0"/>
        <v>0</v>
      </c>
    </row>
    <row r="20" spans="1:20" s="1" customFormat="1" ht="15.75" thickBot="1" x14ac:dyDescent="0.3">
      <c r="A20" s="12" t="s">
        <v>6</v>
      </c>
      <c r="B20" s="13">
        <f t="shared" ref="B20:P20" si="1">SUM(B3:B19)</f>
        <v>82540</v>
      </c>
      <c r="C20" s="13">
        <f t="shared" si="1"/>
        <v>19791</v>
      </c>
      <c r="D20" s="13">
        <f t="shared" si="1"/>
        <v>29</v>
      </c>
      <c r="E20" s="12">
        <f t="shared" si="1"/>
        <v>13467</v>
      </c>
      <c r="F20" s="14">
        <f t="shared" si="1"/>
        <v>15180</v>
      </c>
      <c r="G20" s="15">
        <f t="shared" si="1"/>
        <v>25</v>
      </c>
      <c r="H20" s="12">
        <f t="shared" si="1"/>
        <v>16652</v>
      </c>
      <c r="I20" s="14">
        <f t="shared" si="1"/>
        <v>18669</v>
      </c>
      <c r="J20" s="15">
        <f t="shared" si="1"/>
        <v>30</v>
      </c>
      <c r="K20" s="12">
        <f t="shared" si="1"/>
        <v>17602</v>
      </c>
      <c r="L20" s="14">
        <f t="shared" si="1"/>
        <v>19634</v>
      </c>
      <c r="M20" s="15">
        <f t="shared" si="1"/>
        <v>31</v>
      </c>
      <c r="N20" s="12">
        <f t="shared" si="1"/>
        <v>16656</v>
      </c>
      <c r="O20" s="14">
        <f t="shared" si="1"/>
        <v>18597</v>
      </c>
      <c r="P20" s="15">
        <f t="shared" si="1"/>
        <v>30</v>
      </c>
      <c r="Q20" s="12">
        <f t="shared" ref="Q20:S20" si="2">SUM(Q3:Q19)</f>
        <v>18163</v>
      </c>
      <c r="R20" s="14">
        <f t="shared" si="2"/>
        <v>19791</v>
      </c>
      <c r="S20" s="15">
        <f t="shared" si="2"/>
        <v>29</v>
      </c>
      <c r="T20" s="16">
        <f>SUM(T3:T19)</f>
        <v>0</v>
      </c>
    </row>
    <row r="21" spans="1:20" ht="15.75" thickBot="1" x14ac:dyDescent="0.3">
      <c r="A21" s="29" t="s">
        <v>26</v>
      </c>
      <c r="E21">
        <v>13500</v>
      </c>
      <c r="G21">
        <v>23</v>
      </c>
      <c r="J21">
        <v>30</v>
      </c>
      <c r="P21">
        <v>30</v>
      </c>
    </row>
    <row r="22" spans="1:20" x14ac:dyDescent="0.25">
      <c r="A22" s="39" t="s">
        <v>0</v>
      </c>
      <c r="B22" s="40">
        <v>2143</v>
      </c>
      <c r="C22" s="41"/>
      <c r="D22" s="41">
        <v>4</v>
      </c>
      <c r="E22" s="40">
        <v>2143</v>
      </c>
      <c r="F22" s="41"/>
      <c r="G22" s="41">
        <v>4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5"/>
      <c r="T22" s="35">
        <f>B22-E22-H22-K22-N22-Q22</f>
        <v>0</v>
      </c>
    </row>
    <row r="23" spans="1:20" x14ac:dyDescent="0.25">
      <c r="A23" s="32" t="s">
        <v>3</v>
      </c>
      <c r="B23" s="36">
        <v>1144</v>
      </c>
      <c r="C23" s="2"/>
      <c r="D23" s="2">
        <v>3</v>
      </c>
      <c r="E23" s="36">
        <v>1144</v>
      </c>
      <c r="F23" s="2"/>
      <c r="G23" s="2">
        <v>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46"/>
      <c r="T23" s="37">
        <f t="shared" ref="T23:T26" si="3">B23-E23-H23-K23-N23-Q23</f>
        <v>0</v>
      </c>
    </row>
    <row r="24" spans="1:20" x14ac:dyDescent="0.25">
      <c r="A24" s="30" t="s">
        <v>1</v>
      </c>
      <c r="B24" s="36">
        <v>857</v>
      </c>
      <c r="C24" s="2"/>
      <c r="D24" s="2">
        <v>2</v>
      </c>
      <c r="E24" s="2"/>
      <c r="F24" s="2"/>
      <c r="G24" s="2"/>
      <c r="H24" s="36">
        <v>857</v>
      </c>
      <c r="I24" s="2"/>
      <c r="J24" s="2">
        <v>2</v>
      </c>
      <c r="K24" s="2"/>
      <c r="L24" s="2"/>
      <c r="M24" s="2"/>
      <c r="N24" s="2"/>
      <c r="O24" s="2"/>
      <c r="P24" s="2"/>
      <c r="Q24" s="2"/>
      <c r="R24" s="2"/>
      <c r="S24" s="46"/>
      <c r="T24" s="37">
        <f t="shared" si="3"/>
        <v>0</v>
      </c>
    </row>
    <row r="25" spans="1:20" x14ac:dyDescent="0.25">
      <c r="A25" s="33" t="s">
        <v>2</v>
      </c>
      <c r="B25" s="36">
        <v>851</v>
      </c>
      <c r="C25" s="2"/>
      <c r="D25" s="2">
        <v>2</v>
      </c>
      <c r="E25" s="2"/>
      <c r="F25" s="2"/>
      <c r="G25" s="2"/>
      <c r="H25" s="2"/>
      <c r="I25" s="2"/>
      <c r="J25" s="2"/>
      <c r="K25" s="2"/>
      <c r="L25" s="2"/>
      <c r="M25" s="2"/>
      <c r="N25" s="36">
        <v>851</v>
      </c>
      <c r="O25" s="2"/>
      <c r="P25" s="2">
        <v>2</v>
      </c>
      <c r="Q25" s="2"/>
      <c r="R25" s="2"/>
      <c r="S25" s="46"/>
      <c r="T25" s="37">
        <f t="shared" si="3"/>
        <v>0</v>
      </c>
    </row>
    <row r="26" spans="1:20" ht="15.75" thickBot="1" x14ac:dyDescent="0.3">
      <c r="A26" s="42" t="s">
        <v>27</v>
      </c>
      <c r="B26" s="43">
        <v>780</v>
      </c>
      <c r="C26" s="44"/>
      <c r="D26" s="44">
        <v>2</v>
      </c>
      <c r="E26" s="43">
        <v>780</v>
      </c>
      <c r="F26" s="44"/>
      <c r="G26" s="44">
        <v>2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7"/>
      <c r="T26" s="38">
        <f t="shared" si="3"/>
        <v>0</v>
      </c>
    </row>
    <row r="27" spans="1:20" x14ac:dyDescent="0.25">
      <c r="E27">
        <f>SUM(E22:E26)+E20</f>
        <v>17534</v>
      </c>
      <c r="H27">
        <f>SUM(H22:H26)+H20</f>
        <v>17509</v>
      </c>
      <c r="K27">
        <f>SUM(K22:K26)+K20</f>
        <v>17602</v>
      </c>
      <c r="N27">
        <f>SUM(N22:N26)+N20</f>
        <v>17507</v>
      </c>
      <c r="Q27">
        <f>SUM(Q22:Q26)+Q20</f>
        <v>18163</v>
      </c>
    </row>
    <row r="28" spans="1:20" x14ac:dyDescent="0.25">
      <c r="E28" t="s">
        <v>33</v>
      </c>
      <c r="H28" t="s">
        <v>33</v>
      </c>
      <c r="K28" t="s">
        <v>33</v>
      </c>
      <c r="N28" t="s">
        <v>33</v>
      </c>
      <c r="Q28" t="s">
        <v>34</v>
      </c>
    </row>
  </sheetData>
  <mergeCells count="10">
    <mergeCell ref="T1:T2"/>
    <mergeCell ref="A1:A2"/>
    <mergeCell ref="B1:B2"/>
    <mergeCell ref="E1:G1"/>
    <mergeCell ref="H1:J1"/>
    <mergeCell ref="K1:M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2026-09-18T08:51:33Z</dcterms:modified>
</cp:coreProperties>
</file>