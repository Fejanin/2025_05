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7,09,26 ПОКОМ КИ\дозаказы 19-21,09,26\"/>
    </mc:Choice>
  </mc:AlternateContent>
  <xr:revisionPtr revIDLastSave="0" documentId="13_ncr:1_{4E531305-744F-417C-BB97-338843C6D2F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Z460" i="2"/>
  <c r="Z461" i="2" s="1"/>
  <c r="Y460" i="2"/>
  <c r="BN460" i="2" s="1"/>
  <c r="P460" i="2"/>
  <c r="X458" i="2"/>
  <c r="X457" i="2"/>
  <c r="BO456" i="2"/>
  <c r="BM456" i="2"/>
  <c r="Y456" i="2"/>
  <c r="BN456" i="2" s="1"/>
  <c r="P456" i="2"/>
  <c r="BO455" i="2"/>
  <c r="BN455" i="2"/>
  <c r="BM455" i="2"/>
  <c r="Z455" i="2"/>
  <c r="Y455" i="2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P323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P88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68" i="2" l="1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355" i="2" s="1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440" i="2" l="1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<sst xmlns="http://schemas.openxmlformats.org/spreadsheetml/2006/main" count="4296" uniqueCount="915">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</sst>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360</v>
      </c>
      <c r="Y427" s="53">
        <f t="shared" si="68"/>
        <v>360</v>
      </c>
      <c r="Z427" s="39">
        <f>IFERROR(IF(Y427=0,"",ROUNDUP(Y427/H427,0)*0.02175),"")</f>
        <v>0.52200000000000002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371.28</v>
      </c>
      <c r="BN427" s="75">
        <f t="shared" si="70"/>
        <v>371.28</v>
      </c>
      <c r="BO427" s="75">
        <f t="shared" si="71"/>
        <v>0.5</v>
      </c>
      <c r="BP427" s="75">
        <f t="shared" si="72"/>
        <v>0.5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390</v>
      </c>
      <c r="Y428" s="53">
        <f t="shared" si="68"/>
        <v>390</v>
      </c>
      <c r="Z428" s="39">
        <f>IFERROR(IF(Y428=0,"",ROUNDUP(Y428/H428,0)*0.02175),"")</f>
        <v>0.5655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402.22</v>
      </c>
      <c r="BN428" s="75">
        <f t="shared" si="70"/>
        <v>402.22</v>
      </c>
      <c r="BO428" s="75">
        <f t="shared" si="71"/>
        <v>0.54166666666666663</v>
      </c>
      <c r="BP428" s="75">
        <f t="shared" si="72"/>
        <v>0.54166666666666663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390</v>
      </c>
      <c r="Y429" s="53">
        <f t="shared" si="68"/>
        <v>390</v>
      </c>
      <c r="Z429" s="39">
        <f>IFERROR(IF(Y429=0,"",ROUNDUP(Y429/H429,0)*0.02175),"")</f>
        <v>0.5655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402.22</v>
      </c>
      <c r="BN429" s="75">
        <f t="shared" si="70"/>
        <v>402.22</v>
      </c>
      <c r="BO429" s="75">
        <f t="shared" si="71"/>
        <v>0.54166666666666663</v>
      </c>
      <c r="BP429" s="75">
        <f t="shared" si="72"/>
        <v>0.54166666666666663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76</v>
      </c>
      <c r="Y434" s="41">
        <f>IFERROR(Y426/H426,"0")+IFERROR(Y427/H427,"0")+IFERROR(Y428/H428,"0")+IFERROR(Y429/H429,"0")+IFERROR(Y430/H430,"0")+IFERROR(Y431/H431,"0")+IFERROR(Y432/H432,"0")+IFERROR(Y433/H433,"0")</f>
        <v>76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1.653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1140</v>
      </c>
      <c r="Y435" s="41">
        <f>IFERROR(SUM(Y426:Y433),"0")</f>
        <v>1140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270</v>
      </c>
      <c r="Y437" s="53">
        <f>IFERROR(IF(X437="",0,CEILING((X437/$H437),1)*$H437),"")</f>
        <v>270</v>
      </c>
      <c r="Z437" s="39">
        <f>IFERROR(IF(Y437=0,"",ROUNDUP(Y437/H437,0)*0.02175),"")</f>
        <v>0.39149999999999996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278.46000000000004</v>
      </c>
      <c r="BN437" s="75">
        <f>IFERROR(Y437*I437/H437,"0")</f>
        <v>278.46000000000004</v>
      </c>
      <c r="BO437" s="75">
        <f>IFERROR(1/J437*(X437/H437),"0")</f>
        <v>0.375</v>
      </c>
      <c r="BP437" s="75">
        <f>IFERROR(1/J437*(Y437/H437),"0")</f>
        <v>0.375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18</v>
      </c>
      <c r="Y440" s="41">
        <f>IFERROR(Y437/H437,"0")+IFERROR(Y438/H438,"0")+IFERROR(Y439/H439,"0")</f>
        <v>18</v>
      </c>
      <c r="Z440" s="41">
        <f>IFERROR(IF(Z437="",0,Z437),"0")+IFERROR(IF(Z438="",0,Z438),"0")+IFERROR(IF(Z439="",0,Z439),"0")</f>
        <v>0.39149999999999996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270</v>
      </c>
      <c r="Y441" s="41">
        <f>IFERROR(SUM(Y437:Y439),"0")</f>
        <v>270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1410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1410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1454.18</v>
      </c>
      <c r="Y555" s="41">
        <f>IFERROR(SUM(BN22:BN551),"0")</f>
        <v>1454.18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1504.18</v>
      </c>
      <c r="Y557" s="41">
        <f>GrossWeightTotalR+PalletQtyTotalR*25</f>
        <v>1504.18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94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2.0445000000000002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1410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560,00"/>
        <filter val="1 608,88"/>
        <filter val="1 683,88"/>
        <filter val="104,00"/>
        <filter val="3"/>
        <filter val="300,00"/>
        <filter val="34,00"/>
        <filter val="360,00"/>
        <filter val="390,00"/>
        <filter val="510,00"/>
        <filter val="7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