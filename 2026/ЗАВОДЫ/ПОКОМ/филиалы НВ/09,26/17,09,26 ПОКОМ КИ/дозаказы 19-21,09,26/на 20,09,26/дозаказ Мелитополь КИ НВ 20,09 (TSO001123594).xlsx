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7,09,26 ПОКОМ КИ\дозаказы 19-21,09,26\"/>
    </mc:Choice>
  </mc:AlternateContent>
  <xr:revisionPtr revIDLastSave="0" documentId="13_ncr:1_{C48720E5-539C-4D46-A0E5-D593782D86D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P88" i="2" l="1"/>
  <c r="BP262" i="2"/>
  <c r="BP312" i="2"/>
  <c r="BP323" i="2"/>
  <c r="Z372" i="2"/>
  <c r="Z455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BP101" i="2"/>
  <c r="Z457" i="2" l="1"/>
  <c r="Z355" i="2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<sst xmlns="http://schemas.openxmlformats.org/spreadsheetml/2006/main" count="4296" uniqueCount="915">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</sst>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57" sqref="AA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0.41666666666666669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900</v>
      </c>
      <c r="Y427" s="53">
        <f t="shared" si="68"/>
        <v>900</v>
      </c>
      <c r="Z427" s="39">
        <f>IFERROR(IF(Y427=0,"",ROUNDUP(Y427/H427,0)*0.02175),"")</f>
        <v>1.3049999999999999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928.2</v>
      </c>
      <c r="BN427" s="75">
        <f t="shared" si="70"/>
        <v>928.2</v>
      </c>
      <c r="BO427" s="75">
        <f t="shared" si="71"/>
        <v>1.25</v>
      </c>
      <c r="BP427" s="75">
        <f t="shared" si="72"/>
        <v>1.25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690</v>
      </c>
      <c r="Y428" s="53">
        <f t="shared" si="68"/>
        <v>690</v>
      </c>
      <c r="Z428" s="39">
        <f>IFERROR(IF(Y428=0,"",ROUNDUP(Y428/H428,0)*0.02175),"")</f>
        <v>1.0004999999999999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711.62000000000012</v>
      </c>
      <c r="BN428" s="75">
        <f t="shared" si="70"/>
        <v>711.62000000000012</v>
      </c>
      <c r="BO428" s="75">
        <f t="shared" si="71"/>
        <v>0.95833333333333326</v>
      </c>
      <c r="BP428" s="75">
        <f t="shared" si="72"/>
        <v>0.95833333333333326</v>
      </c>
    </row>
    <row r="429" spans="1:68" ht="27" hidden="1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0</v>
      </c>
      <c r="BN429" s="75">
        <f t="shared" si="70"/>
        <v>0</v>
      </c>
      <c r="BO429" s="75">
        <f t="shared" si="71"/>
        <v>0</v>
      </c>
      <c r="BP429" s="75">
        <f t="shared" si="72"/>
        <v>0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106</v>
      </c>
      <c r="Y434" s="41">
        <f>IFERROR(Y426/H426,"0")+IFERROR(Y427/H427,"0")+IFERROR(Y428/H428,"0")+IFERROR(Y429/H429,"0")+IFERROR(Y430/H430,"0")+IFERROR(Y431/H431,"0")+IFERROR(Y432/H432,"0")+IFERROR(Y433/H433,"0")</f>
        <v>106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2.3054999999999999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1590</v>
      </c>
      <c r="Y435" s="41">
        <f>IFERROR(SUM(Y426:Y433),"0")</f>
        <v>1590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hidden="1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1590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1590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1639.8200000000002</v>
      </c>
      <c r="Y555" s="41">
        <f>IFERROR(SUM(BN22:BN551),"0")</f>
        <v>1639.8200000000002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1714.8200000000002</v>
      </c>
      <c r="Y557" s="41">
        <f>GrossWeightTotalR+PalletQtyTotalR*25</f>
        <v>1714.8200000000002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106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106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2.3054999999999999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1590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90,00"/>
        <filter val="1 639,82"/>
        <filter val="1 714,82"/>
        <filter val="106,00"/>
        <filter val="3"/>
        <filter val="690,00"/>
        <filter val="90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2026-09-21T07:49:07Z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