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7,09,26 ПОКОМ КИ\дозаказы 19-21,09,26\"/>
    </mc:Choice>
  </mc:AlternateContent>
  <xr:revisionPtr revIDLastSave="0" documentId="13_ncr:1_{19A2F1CF-3F27-41A2-9FAB-88602025A2C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88" i="2" l="1"/>
  <c r="BP262" i="2"/>
  <c r="BP312" i="2"/>
  <c r="BP323" i="2"/>
  <c r="Z372" i="2"/>
  <c r="Z455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355" i="2" s="1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170" i="2" l="1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<sst xmlns="http://schemas.openxmlformats.org/spreadsheetml/2006/main" count="4296" uniqueCount="915">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</sst>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9" sqref="AA42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0.41666666666666669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840</v>
      </c>
      <c r="Y428" s="53">
        <f t="shared" si="68"/>
        <v>840</v>
      </c>
      <c r="Z428" s="39">
        <f>IFERROR(IF(Y428=0,"",ROUNDUP(Y428/H428,0)*0.02175),"")</f>
        <v>1.218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866.32</v>
      </c>
      <c r="BN428" s="75">
        <f t="shared" si="70"/>
        <v>866.32</v>
      </c>
      <c r="BO428" s="75">
        <f t="shared" si="71"/>
        <v>1.1666666666666665</v>
      </c>
      <c r="BP428" s="75">
        <f t="shared" si="72"/>
        <v>1.1666666666666665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900</v>
      </c>
      <c r="Y429" s="53">
        <f t="shared" si="68"/>
        <v>900</v>
      </c>
      <c r="Z429" s="39">
        <f>IFERROR(IF(Y429=0,"",ROUNDUP(Y429/H429,0)*0.02175),"")</f>
        <v>1.3049999999999999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928.2</v>
      </c>
      <c r="BN429" s="75">
        <f t="shared" si="70"/>
        <v>928.2</v>
      </c>
      <c r="BO429" s="75">
        <f t="shared" si="71"/>
        <v>1.25</v>
      </c>
      <c r="BP429" s="75">
        <f t="shared" si="72"/>
        <v>1.25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156</v>
      </c>
      <c r="Y434" s="41">
        <f>IFERROR(Y426/H426,"0")+IFERROR(Y427/H427,"0")+IFERROR(Y428/H428,"0")+IFERROR(Y429/H429,"0")+IFERROR(Y430/H430,"0")+IFERROR(Y431/H431,"0")+IFERROR(Y432/H432,"0")+IFERROR(Y433/H433,"0")</f>
        <v>156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3.3929999999999998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2340</v>
      </c>
      <c r="Y435" s="41">
        <f>IFERROR(SUM(Y426:Y433),"0")</f>
        <v>2340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2340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2340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2413.3199999999997</v>
      </c>
      <c r="Y555" s="41">
        <f>IFERROR(SUM(BN22:BN551),"0")</f>
        <v>2413.3199999999997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4</v>
      </c>
      <c r="Y556" s="42">
        <f>ROUNDUP(SUM(BP22:BP551),0)</f>
        <v>4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2513.3199999999997</v>
      </c>
      <c r="Y557" s="41">
        <f>GrossWeightTotalR+PalletQtyTotalR*25</f>
        <v>2513.3199999999997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156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156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3.3929999999999998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2340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56,00"/>
        <filter val="2 340,00"/>
        <filter val="2 413,32"/>
        <filter val="2 513,32"/>
        <filter val="4"/>
        <filter val="600,00"/>
        <filter val="840,00"/>
        <filter val="90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