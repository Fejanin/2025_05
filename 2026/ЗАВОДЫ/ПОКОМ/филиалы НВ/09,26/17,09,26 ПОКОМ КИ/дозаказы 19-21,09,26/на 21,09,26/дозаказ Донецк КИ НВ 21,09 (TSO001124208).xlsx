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7,09,26 ПОКОМ КИ\дозаказы 19-21,09,26\"/>
    </mc:Choice>
  </mc:AlternateContent>
  <xr:revisionPtr revIDLastSave="0" documentId="13_ncr:1_{B3EB59A9-3EC0-439C-A8FA-CB71F6C48A7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88" i="2" l="1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355" i="2" s="1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170" i="2" l="1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<sst xmlns="http://schemas.openxmlformats.org/spreadsheetml/2006/main" count="4296" uniqueCount="915">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</sst>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1095</v>
      </c>
      <c r="Y427" s="53">
        <f t="shared" si="68"/>
        <v>1095</v>
      </c>
      <c r="Z427" s="39">
        <f>IFERROR(IF(Y427=0,"",ROUNDUP(Y427/H427,0)*0.02175),"")</f>
        <v>1.58775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1129.3100000000002</v>
      </c>
      <c r="BN427" s="75">
        <f t="shared" si="70"/>
        <v>1129.3100000000002</v>
      </c>
      <c r="BO427" s="75">
        <f t="shared" si="71"/>
        <v>1.5208333333333333</v>
      </c>
      <c r="BP427" s="75">
        <f t="shared" si="72"/>
        <v>1.5208333333333333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300</v>
      </c>
      <c r="Y428" s="53">
        <f t="shared" si="68"/>
        <v>300</v>
      </c>
      <c r="Z428" s="39">
        <f>IFERROR(IF(Y428=0,"",ROUNDUP(Y428/H428,0)*0.02175),"")</f>
        <v>0.43499999999999994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309.39999999999998</v>
      </c>
      <c r="BN428" s="75">
        <f t="shared" si="70"/>
        <v>309.39999999999998</v>
      </c>
      <c r="BO428" s="75">
        <f t="shared" si="71"/>
        <v>0.41666666666666663</v>
      </c>
      <c r="BP428" s="75">
        <f t="shared" si="72"/>
        <v>0.41666666666666663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510</v>
      </c>
      <c r="Y429" s="53">
        <f t="shared" si="68"/>
        <v>510</v>
      </c>
      <c r="Z429" s="39">
        <f>IFERROR(IF(Y429=0,"",ROUNDUP(Y429/H429,0)*0.02175),"")</f>
        <v>0.73949999999999994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525.98</v>
      </c>
      <c r="BN429" s="75">
        <f t="shared" si="70"/>
        <v>525.98</v>
      </c>
      <c r="BO429" s="75">
        <f t="shared" si="71"/>
        <v>0.70833333333333326</v>
      </c>
      <c r="BP429" s="75">
        <f t="shared" si="72"/>
        <v>0.70833333333333326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127</v>
      </c>
      <c r="Y434" s="41">
        <f>IFERROR(Y426/H426,"0")+IFERROR(Y427/H427,"0")+IFERROR(Y428/H428,"0")+IFERROR(Y429/H429,"0")+IFERROR(Y430/H430,"0")+IFERROR(Y431/H431,"0")+IFERROR(Y432/H432,"0")+IFERROR(Y433/H433,"0")</f>
        <v>127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2.7622499999999999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1905</v>
      </c>
      <c r="Y435" s="41">
        <f>IFERROR(SUM(Y426:Y433),"0")</f>
        <v>1905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1905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1905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1964.69</v>
      </c>
      <c r="Y555" s="41">
        <f>IFERROR(SUM(BN22:BN551),"0")</f>
        <v>1964.69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2039.69</v>
      </c>
      <c r="Y557" s="41">
        <f>GrossWeightTotalR+PalletQtyTotalR*25</f>
        <v>2039.69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127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127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2.7622499999999999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1905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5,00"/>
        <filter val="1 905,00"/>
        <filter val="1 964,69"/>
        <filter val="127,00"/>
        <filter val="2 039,69"/>
        <filter val="3"/>
        <filter val="300,00"/>
        <filter val="51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2026-09-21T08:11:59Z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