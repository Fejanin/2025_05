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7,09,26 ПОКОМ КИ\дозаказы 19-21,09,26\"/>
    </mc:Choice>
  </mc:AlternateContent>
  <xr:revisionPtr revIDLastSave="0" documentId="13_ncr:1_{84D440F8-DC84-4EC6-AA8E-F1A3ADF264C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N137" i="2"/>
  <c r="BM137" i="2"/>
  <c r="Z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88" i="2" l="1"/>
  <c r="BP262" i="2"/>
  <c r="BP312" i="2"/>
  <c r="BP323" i="2"/>
  <c r="Z372" i="2"/>
  <c r="Z455" i="2"/>
  <c r="Z460" i="2"/>
  <c r="Z461" i="2" s="1"/>
  <c r="Z68" i="2"/>
  <c r="Z113" i="2"/>
  <c r="Z233" i="2"/>
  <c r="BP270" i="2"/>
  <c r="Z300" i="2"/>
  <c r="Z388" i="2"/>
  <c r="BN388" i="2"/>
  <c r="Z437" i="2"/>
  <c r="BP473" i="2"/>
  <c r="BN121" i="2"/>
  <c r="BN189" i="2"/>
  <c r="BP189" i="2"/>
  <c r="Y213" i="2"/>
  <c r="BN226" i="2"/>
  <c r="BP226" i="2"/>
  <c r="BP234" i="2"/>
  <c r="BN277" i="2"/>
  <c r="BP277" i="2"/>
  <c r="BN392" i="2"/>
  <c r="Z56" i="2"/>
  <c r="BN67" i="2"/>
  <c r="BP67" i="2"/>
  <c r="Z80" i="2"/>
  <c r="Z89" i="2"/>
  <c r="BN89" i="2"/>
  <c r="BP104" i="2"/>
  <c r="BN107" i="2"/>
  <c r="BP107" i="2"/>
  <c r="BN112" i="2"/>
  <c r="BP112" i="2"/>
  <c r="BN142" i="2"/>
  <c r="BN168" i="2"/>
  <c r="BP173" i="2"/>
  <c r="BN178" i="2"/>
  <c r="Z190" i="2"/>
  <c r="BN190" i="2"/>
  <c r="Z211" i="2"/>
  <c r="Z212" i="2" s="1"/>
  <c r="Z227" i="2"/>
  <c r="BN227" i="2"/>
  <c r="Z234" i="2"/>
  <c r="BN246" i="2"/>
  <c r="BP251" i="2"/>
  <c r="Y252" i="2"/>
  <c r="Y253" i="2"/>
  <c r="Z267" i="2"/>
  <c r="BN267" i="2"/>
  <c r="BP287" i="2"/>
  <c r="BP308" i="2"/>
  <c r="Z354" i="2"/>
  <c r="Z370" i="2"/>
  <c r="Z374" i="2"/>
  <c r="Z399" i="2"/>
  <c r="BN399" i="2"/>
  <c r="BN430" i="2"/>
  <c r="BP430" i="2"/>
  <c r="Z445" i="2"/>
  <c r="Y446" i="2"/>
  <c r="BP460" i="2"/>
  <c r="BP503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457" i="2" l="1"/>
  <c r="Z355" i="2"/>
  <c r="Z440" i="2"/>
  <c r="Z343" i="2"/>
  <c r="Z494" i="2"/>
  <c r="Z154" i="2"/>
  <c r="X557" i="2"/>
  <c r="Z81" i="2"/>
  <c r="Z191" i="2"/>
  <c r="Z258" i="2"/>
  <c r="Z62" i="2"/>
  <c r="Z376" i="2"/>
  <c r="Z32" i="2"/>
  <c r="Z334" i="2"/>
  <c r="Z11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<sst xmlns="http://schemas.openxmlformats.org/spreadsheetml/2006/main" count="4296" uniqueCount="915">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</sst>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/>
      <c r="I5" s="648"/>
      <c r="J5" s="648"/>
      <c r="K5" s="648"/>
      <c r="L5" s="648"/>
      <c r="M5" s="648"/>
      <c r="N5" s="69"/>
      <c r="P5" s="26" t="s">
        <v>4</v>
      </c>
      <c r="Q5" s="650">
        <v>46286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/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>
        <f>IFERROR(VLOOKUP(DeliveryAddress,Table,3,0),1)</f>
        <v>1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0.41666666666666669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40</v>
      </c>
      <c r="Y434" s="41">
        <f>IFERROR(Y426/H426,"0")+IFERROR(Y427/H427,"0")+IFERROR(Y428/H428,"0")+IFERROR(Y429/H429,"0")+IFERROR(Y430/H430,"0")+IFERROR(Y431/H431,"0")+IFERROR(Y432/H432,"0")+IFERROR(Y433/H433,"0")</f>
        <v>40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0.86999999999999988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600</v>
      </c>
      <c r="Y435" s="41">
        <f>IFERROR(SUM(Y426:Y433),"0")</f>
        <v>600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510</v>
      </c>
      <c r="Y437" s="53">
        <f>IFERROR(IF(X437="",0,CEILING((X437/$H437),1)*$H437),"")</f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525.98</v>
      </c>
      <c r="BN437" s="75">
        <f>IFERROR(Y437*I437/H437,"0")</f>
        <v>525.98</v>
      </c>
      <c r="BO437" s="75">
        <f>IFERROR(1/J437*(X437/H437),"0")</f>
        <v>0.70833333333333326</v>
      </c>
      <c r="BP437" s="75">
        <f>IFERROR(1/J437*(Y437/H437),"0")</f>
        <v>0.70833333333333326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34</v>
      </c>
      <c r="Y440" s="41">
        <f>IFERROR(Y437/H437,"0")+IFERROR(Y438/H438,"0")+IFERROR(Y439/H439,"0")</f>
        <v>34</v>
      </c>
      <c r="Z440" s="41">
        <f>IFERROR(IF(Z437="",0,Z437),"0")+IFERROR(IF(Z438="",0,Z438),"0")+IFERROR(IF(Z439="",0,Z439),"0")</f>
        <v>0.73949999999999994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510</v>
      </c>
      <c r="Y441" s="41">
        <f>IFERROR(SUM(Y437:Y439),"0")</f>
        <v>510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1110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1110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1144.78</v>
      </c>
      <c r="Y555" s="41">
        <f>IFERROR(SUM(BN22:BN551),"0")</f>
        <v>1144.78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1194.78</v>
      </c>
      <c r="Y557" s="41">
        <f>GrossWeightTotalR+PalletQtyTotalR*25</f>
        <v>1194.78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74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1.6094999999999997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1110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0,00"/>
        <filter val="300,00"/>
        <filter val="34,00"/>
        <filter val="510,00"/>
        <filter val="54,00"/>
        <filter val="810,00"/>
        <filter val="835,38"/>
        <filter val="885,38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