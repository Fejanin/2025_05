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7,09,26 ПОКОМ КИ\дозаказы 19-20,09,26\"/>
    </mc:Choice>
  </mc:AlternateContent>
  <xr:revisionPtr revIDLastSave="0" documentId="13_ncr:1_{98688BF7-0BB0-487E-97D0-A7D75AF2388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Z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67" i="2" l="1"/>
  <c r="BP67" i="2"/>
  <c r="Z68" i="2"/>
  <c r="BP107" i="2"/>
  <c r="Z190" i="2"/>
  <c r="BP262" i="2"/>
  <c r="Z399" i="2"/>
  <c r="BN399" i="2"/>
  <c r="Z460" i="2"/>
  <c r="Z461" i="2" s="1"/>
  <c r="Z300" i="2"/>
  <c r="BP189" i="2"/>
  <c r="Z234" i="2"/>
  <c r="BN227" i="2"/>
  <c r="Z354" i="2"/>
  <c r="Z370" i="2"/>
  <c r="BP460" i="2"/>
  <c r="BN392" i="2"/>
  <c r="BP227" i="2"/>
  <c r="BN178" i="2"/>
  <c r="BN112" i="2"/>
  <c r="Z127" i="2"/>
  <c r="Z128" i="2" s="1"/>
  <c r="BP393" i="2"/>
  <c r="BN127" i="2"/>
  <c r="BP312" i="2"/>
  <c r="BP323" i="2"/>
  <c r="Z372" i="2"/>
  <c r="BN277" i="2"/>
  <c r="BP503" i="2"/>
  <c r="Z89" i="2"/>
  <c r="BP104" i="2"/>
  <c r="Z267" i="2"/>
  <c r="BP287" i="2"/>
  <c r="BN89" i="2"/>
  <c r="BN267" i="2"/>
  <c r="BN189" i="2"/>
  <c r="Z137" i="2"/>
  <c r="Z388" i="2"/>
  <c r="Z437" i="2"/>
  <c r="Z56" i="2"/>
  <c r="BP112" i="2"/>
  <c r="BN430" i="2"/>
  <c r="BN137" i="2"/>
  <c r="BN226" i="2"/>
  <c r="BN388" i="2"/>
  <c r="Z455" i="2"/>
  <c r="BP473" i="2"/>
  <c r="BP173" i="2"/>
  <c r="BP251" i="2"/>
  <c r="Z374" i="2"/>
  <c r="BP430" i="2"/>
  <c r="Z445" i="2"/>
  <c r="Z113" i="2"/>
  <c r="BP226" i="2"/>
  <c r="Z233" i="2"/>
  <c r="BN190" i="2"/>
  <c r="Y252" i="2"/>
  <c r="BN107" i="2"/>
  <c r="Z211" i="2"/>
  <c r="Z212" i="2" s="1"/>
  <c r="Y253" i="2"/>
  <c r="BP308" i="2"/>
  <c r="Y446" i="2"/>
  <c r="Z40" i="2"/>
  <c r="BN121" i="2"/>
  <c r="Z286" i="2"/>
  <c r="BN168" i="2"/>
  <c r="BN246" i="2"/>
  <c r="BP88" i="2"/>
  <c r="Y213" i="2"/>
  <c r="Z224" i="2"/>
  <c r="BP234" i="2"/>
  <c r="BP270" i="2"/>
  <c r="BP277" i="2"/>
  <c r="Z80" i="2"/>
  <c r="BN142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BP101" i="2"/>
  <c r="Z440" i="2" l="1"/>
  <c r="Z389" i="2"/>
  <c r="Z355" i="2"/>
  <c r="Z154" i="2"/>
  <c r="Z376" i="2"/>
  <c r="Z32" i="2"/>
  <c r="Z334" i="2"/>
  <c r="Z494" i="2"/>
  <c r="Z81" i="2"/>
  <c r="Z457" i="2"/>
  <c r="Z170" i="2"/>
  <c r="Z343" i="2"/>
  <c r="Z117" i="2"/>
  <c r="Z62" i="2"/>
  <c r="X55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<sst xmlns="http://schemas.openxmlformats.org/spreadsheetml/2006/main" count="4296" uniqueCount="915">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</sst>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900</v>
      </c>
      <c r="Y428" s="53">
        <f t="shared" si="68"/>
        <v>900</v>
      </c>
      <c r="Z428" s="39">
        <f>IFERROR(IF(Y428=0,"",ROUNDUP(Y428/H428,0)*0.02175),"")</f>
        <v>1.3049999999999999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928.2</v>
      </c>
      <c r="BN428" s="75">
        <f t="shared" si="70"/>
        <v>928.2</v>
      </c>
      <c r="BO428" s="75">
        <f t="shared" si="71"/>
        <v>1.25</v>
      </c>
      <c r="BP428" s="75">
        <f t="shared" si="72"/>
        <v>1.25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900</v>
      </c>
      <c r="Y429" s="53">
        <f t="shared" si="68"/>
        <v>900</v>
      </c>
      <c r="Z429" s="39">
        <f>IFERROR(IF(Y429=0,"",ROUNDUP(Y429/H429,0)*0.02175),"")</f>
        <v>1.3049999999999999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928.2</v>
      </c>
      <c r="BN429" s="75">
        <f t="shared" si="70"/>
        <v>928.2</v>
      </c>
      <c r="BO429" s="75">
        <f t="shared" si="71"/>
        <v>1.25</v>
      </c>
      <c r="BP429" s="75">
        <f t="shared" si="72"/>
        <v>1.25</v>
      </c>
    </row>
    <row r="430" spans="1:68" ht="27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600</v>
      </c>
      <c r="Y430" s="53">
        <f t="shared" si="68"/>
        <v>600</v>
      </c>
      <c r="Z430" s="39">
        <f>IFERROR(IF(Y430=0,"",ROUNDUP(Y430/H430,0)*0.02175),"")</f>
        <v>0.86999999999999988</v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618.79999999999995</v>
      </c>
      <c r="BN430" s="75">
        <f t="shared" si="70"/>
        <v>618.79999999999995</v>
      </c>
      <c r="BO430" s="75">
        <f t="shared" si="71"/>
        <v>0.83333333333333326</v>
      </c>
      <c r="BP430" s="75">
        <f t="shared" si="72"/>
        <v>0.83333333333333326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160</v>
      </c>
      <c r="Y434" s="41">
        <f>IFERROR(Y426/H426,"0")+IFERROR(Y427/H427,"0")+IFERROR(Y428/H428,"0")+IFERROR(Y429/H429,"0")+IFERROR(Y430/H430,"0")+IFERROR(Y431/H431,"0")+IFERROR(Y432/H432,"0")+IFERROR(Y433/H433,"0")</f>
        <v>160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3.4799999999999995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2400</v>
      </c>
      <c r="Y435" s="41">
        <f>IFERROR(SUM(Y426:Y433),"0")</f>
        <v>2400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690</v>
      </c>
      <c r="Y511" s="53">
        <f>IFERROR(IF(X511="",0,CEILING((X511/$H511),1)*$H511),"")</f>
        <v>691.68000000000006</v>
      </c>
      <c r="Z511" s="39">
        <f>IFERROR(IF(Y511=0,"",ROUNDUP(Y511/H511,0)*0.01196),"")</f>
        <v>1.5667599999999999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735.73863636363626</v>
      </c>
      <c r="BN511" s="75">
        <f>IFERROR(Y511*I511/H511,"0")</f>
        <v>737.53</v>
      </c>
      <c r="BO511" s="75">
        <f>IFERROR(1/J511*(X511/H511),"0")</f>
        <v>1.2565559440559442</v>
      </c>
      <c r="BP511" s="75">
        <f>IFERROR(1/J511*(Y511/H511),"0")</f>
        <v>1.2596153846153846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130.68181818181819</v>
      </c>
      <c r="Y514" s="41">
        <f>IFERROR(Y511/H511,"0")+IFERROR(Y512/H512,"0")+IFERROR(Y513/H513,"0")</f>
        <v>131</v>
      </c>
      <c r="Z514" s="41">
        <f>IFERROR(IF(Z511="",0,Z511),"0")+IFERROR(IF(Z512="",0,Z512),"0")+IFERROR(IF(Z513="",0,Z513),"0")</f>
        <v>1.5667599999999999</v>
      </c>
      <c r="AA514" s="64"/>
      <c r="AB514" s="64"/>
      <c r="AC514" s="64"/>
    </row>
    <row r="515" spans="1:68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690</v>
      </c>
      <c r="Y515" s="41">
        <f>IFERROR(SUM(Y511:Y513),"0")</f>
        <v>691.68000000000006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3090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3091.6800000000003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3210.9386363636359</v>
      </c>
      <c r="Y555" s="41">
        <f>IFERROR(SUM(BN22:BN551),"0")</f>
        <v>3212.7299999999996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5</v>
      </c>
      <c r="Y556" s="42">
        <f>ROUNDUP(SUM(BP22:BP551),0)</f>
        <v>5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3335.9386363636359</v>
      </c>
      <c r="Y557" s="41">
        <f>GrossWeightTotalR+PalletQtyTotalR*25</f>
        <v>3337.7299999999996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290.68181818181819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291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5.046759999999999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691.68000000000006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0,68"/>
        <filter val="160,00"/>
        <filter val="2 400,00"/>
        <filter val="290,68"/>
        <filter val="3 090,00"/>
        <filter val="3 210,94"/>
        <filter val="3 335,94"/>
        <filter val="5"/>
        <filter val="600,00"/>
        <filter val="690,00"/>
        <filter val="90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2026-09-20T06:29:28Z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