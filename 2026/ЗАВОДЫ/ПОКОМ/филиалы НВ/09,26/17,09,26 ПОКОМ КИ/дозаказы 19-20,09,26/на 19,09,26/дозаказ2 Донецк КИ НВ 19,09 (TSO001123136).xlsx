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7,09,26 ПОКОМ КИ\дозаказы 19-20,09,26\"/>
    </mc:Choice>
  </mc:AlternateContent>
  <xr:revisionPtr revIDLastSave="0" documentId="13_ncr:1_{3C9A4C81-D461-404F-8CFA-CD39425E028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N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Z211" i="2"/>
  <c r="Z212" i="2" s="1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N190" i="2"/>
  <c r="BM190" i="2"/>
  <c r="Z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P107" i="2"/>
  <c r="BO107" i="2"/>
  <c r="BN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Z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227" i="2" l="1"/>
  <c r="Z460" i="2"/>
  <c r="Z461" i="2" s="1"/>
  <c r="BP104" i="2"/>
  <c r="BN227" i="2"/>
  <c r="BP460" i="2"/>
  <c r="BN112" i="2"/>
  <c r="Z354" i="2"/>
  <c r="Z370" i="2"/>
  <c r="BN399" i="2"/>
  <c r="BN67" i="2"/>
  <c r="BP308" i="2"/>
  <c r="BP67" i="2"/>
  <c r="Z286" i="2"/>
  <c r="BN168" i="2"/>
  <c r="BP393" i="2"/>
  <c r="BN121" i="2"/>
  <c r="Y415" i="2"/>
  <c r="Z372" i="2"/>
  <c r="BN189" i="2"/>
  <c r="BP503" i="2"/>
  <c r="Z233" i="2"/>
  <c r="BP287" i="2"/>
  <c r="BP189" i="2"/>
  <c r="Z89" i="2"/>
  <c r="Z267" i="2"/>
  <c r="BN89" i="2"/>
  <c r="BN267" i="2"/>
  <c r="Y452" i="2"/>
  <c r="Z137" i="2"/>
  <c r="Z388" i="2"/>
  <c r="Z437" i="2"/>
  <c r="Z56" i="2"/>
  <c r="BP112" i="2"/>
  <c r="BN430" i="2"/>
  <c r="Z68" i="2"/>
  <c r="Z127" i="2"/>
  <c r="Z128" i="2" s="1"/>
  <c r="BN137" i="2"/>
  <c r="BN226" i="2"/>
  <c r="Z300" i="2"/>
  <c r="BN388" i="2"/>
  <c r="Z455" i="2"/>
  <c r="BP473" i="2"/>
  <c r="BP173" i="2"/>
  <c r="BN178" i="2"/>
  <c r="BP251" i="2"/>
  <c r="Z374" i="2"/>
  <c r="BP430" i="2"/>
  <c r="Z445" i="2"/>
  <c r="Z113" i="2"/>
  <c r="BN127" i="2"/>
  <c r="BP226" i="2"/>
  <c r="BP262" i="2"/>
  <c r="Y446" i="2"/>
  <c r="Z40" i="2"/>
  <c r="Z234" i="2"/>
  <c r="Z399" i="2"/>
  <c r="BN277" i="2"/>
  <c r="BN392" i="2"/>
  <c r="BP88" i="2"/>
  <c r="Y213" i="2"/>
  <c r="Z224" i="2"/>
  <c r="BP234" i="2"/>
  <c r="BP270" i="2"/>
  <c r="BP277" i="2"/>
  <c r="BN142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69" i="2" s="1"/>
  <c r="Z72" i="2"/>
  <c r="Z78" i="2"/>
  <c r="Z81" i="2" s="1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Z334" i="2" s="1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Z32" i="2" s="1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Z376" i="2" s="1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Z62" i="2" s="1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343" i="2" l="1"/>
  <c r="Z154" i="2"/>
  <c r="X557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<sst xmlns="http://schemas.openxmlformats.org/spreadsheetml/2006/main" count="4296" uniqueCount="915">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</sst>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>
        <v>46286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0.41666666666666669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300</v>
      </c>
      <c r="Y428" s="53">
        <f t="shared" si="68"/>
        <v>300</v>
      </c>
      <c r="Z428" s="39">
        <f>IFERROR(IF(Y428=0,"",ROUNDUP(Y428/H428,0)*0.02175),"")</f>
        <v>0.43499999999999994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309.39999999999998</v>
      </c>
      <c r="BN428" s="75">
        <f t="shared" si="70"/>
        <v>309.39999999999998</v>
      </c>
      <c r="BO428" s="75">
        <f t="shared" si="71"/>
        <v>0.41666666666666663</v>
      </c>
      <c r="BP428" s="75">
        <f t="shared" si="72"/>
        <v>0.41666666666666663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600</v>
      </c>
      <c r="Y429" s="53">
        <f t="shared" si="68"/>
        <v>600</v>
      </c>
      <c r="Z429" s="39">
        <f>IFERROR(IF(Y429=0,"",ROUNDUP(Y429/H429,0)*0.02175),"")</f>
        <v>0.86999999999999988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618.79999999999995</v>
      </c>
      <c r="BN429" s="75">
        <f t="shared" si="70"/>
        <v>618.79999999999995</v>
      </c>
      <c r="BO429" s="75">
        <f t="shared" si="71"/>
        <v>0.83333333333333326</v>
      </c>
      <c r="BP429" s="75">
        <f t="shared" si="72"/>
        <v>0.83333333333333326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60</v>
      </c>
      <c r="Y434" s="41">
        <f>IFERROR(Y426/H426,"0")+IFERROR(Y427/H427,"0")+IFERROR(Y428/H428,"0")+IFERROR(Y429/H429,"0")+IFERROR(Y430/H430,"0")+IFERROR(Y431/H431,"0")+IFERROR(Y432/H432,"0")+IFERROR(Y433/H433,"0")</f>
        <v>60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1.3049999999999997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900</v>
      </c>
      <c r="Y435" s="41">
        <f>IFERROR(SUM(Y426:Y433),"0")</f>
        <v>900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900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900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928.19999999999993</v>
      </c>
      <c r="Y555" s="41">
        <f>IFERROR(SUM(BN22:BN551),"0")</f>
        <v>928.19999999999993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978.19999999999993</v>
      </c>
      <c r="Y557" s="41">
        <f>GrossWeightTotalR+PalletQtyTotalR*25</f>
        <v>978.19999999999993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60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1.3049999999999997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300,00"/>
        <filter val="60,00"/>
        <filter val="600,00"/>
        <filter val="900,00"/>
        <filter val="928,20"/>
        <filter val="978,2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2026-09-20T06:21:10Z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