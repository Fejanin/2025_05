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7,09,26 ПОКОМ КИ\дозаказы 19,09,26\"/>
    </mc:Choice>
  </mc:AlternateContent>
  <xr:revisionPtr revIDLastSave="0" documentId="13_ncr:1_{933321F9-7304-4BCF-A9A8-BFEDEAE8D7B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P503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P473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P460" i="2"/>
  <c r="BO460" i="2"/>
  <c r="BM460" i="2"/>
  <c r="Z460" i="2"/>
  <c r="Z461" i="2" s="1"/>
  <c r="Y460" i="2"/>
  <c r="BN460" i="2" s="1"/>
  <c r="P460" i="2"/>
  <c r="X458" i="2"/>
  <c r="X457" i="2"/>
  <c r="BO456" i="2"/>
  <c r="BM456" i="2"/>
  <c r="Y456" i="2"/>
  <c r="BN456" i="2" s="1"/>
  <c r="P456" i="2"/>
  <c r="BO455" i="2"/>
  <c r="BN455" i="2"/>
  <c r="BM455" i="2"/>
  <c r="Z455" i="2"/>
  <c r="Y455" i="2"/>
  <c r="P455" i="2"/>
  <c r="Y452" i="2"/>
  <c r="X452" i="2"/>
  <c r="X451" i="2"/>
  <c r="BO450" i="2"/>
  <c r="BM450" i="2"/>
  <c r="Y450" i="2"/>
  <c r="BN450" i="2" s="1"/>
  <c r="P450" i="2"/>
  <c r="BO449" i="2"/>
  <c r="BM449" i="2"/>
  <c r="Y449" i="2"/>
  <c r="P449" i="2"/>
  <c r="X447" i="2"/>
  <c r="Y446" i="2"/>
  <c r="X446" i="2"/>
  <c r="BO445" i="2"/>
  <c r="BM445" i="2"/>
  <c r="Z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Z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P430" i="2"/>
  <c r="BO430" i="2"/>
  <c r="BN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P399" i="2"/>
  <c r="BO399" i="2"/>
  <c r="BN399" i="2"/>
  <c r="BM399" i="2"/>
  <c r="Z399" i="2"/>
  <c r="Y399" i="2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N392" i="2"/>
  <c r="BM392" i="2"/>
  <c r="Y392" i="2"/>
  <c r="Z392" i="2" s="1"/>
  <c r="P392" i="2"/>
  <c r="X390" i="2"/>
  <c r="X389" i="2"/>
  <c r="BP388" i="2"/>
  <c r="BO388" i="2"/>
  <c r="BN388" i="2"/>
  <c r="BM388" i="2"/>
  <c r="Z388" i="2"/>
  <c r="Y388" i="2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Z374" i="2"/>
  <c r="Y374" i="2"/>
  <c r="BN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Z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Z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P308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Z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P287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P278" i="2"/>
  <c r="BO278" i="2"/>
  <c r="BM278" i="2"/>
  <c r="Y278" i="2"/>
  <c r="P278" i="2"/>
  <c r="BP277" i="2"/>
  <c r="BO277" i="2"/>
  <c r="BN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P270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P251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N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Z238" i="2"/>
  <c r="Y238" i="2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P234" i="2"/>
  <c r="BO234" i="2"/>
  <c r="BM234" i="2"/>
  <c r="Z234" i="2"/>
  <c r="Y234" i="2"/>
  <c r="BN234" i="2" s="1"/>
  <c r="P234" i="2"/>
  <c r="BO233" i="2"/>
  <c r="BM233" i="2"/>
  <c r="Z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P216" i="2"/>
  <c r="BO216" i="2"/>
  <c r="BM216" i="2"/>
  <c r="Y216" i="2"/>
  <c r="P216" i="2"/>
  <c r="BO215" i="2"/>
  <c r="BM215" i="2"/>
  <c r="Y215" i="2"/>
  <c r="BP215" i="2" s="1"/>
  <c r="P215" i="2"/>
  <c r="Y213" i="2"/>
  <c r="X213" i="2"/>
  <c r="X212" i="2"/>
  <c r="BO211" i="2"/>
  <c r="BM211" i="2"/>
  <c r="Z211" i="2"/>
  <c r="Z212" i="2" s="1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N190" i="2"/>
  <c r="BM190" i="2"/>
  <c r="Z190" i="2"/>
  <c r="Y190" i="2"/>
  <c r="BP190" i="2" s="1"/>
  <c r="P190" i="2"/>
  <c r="BP189" i="2"/>
  <c r="BO189" i="2"/>
  <c r="BN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N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P173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N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N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N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P112" i="2"/>
  <c r="BO112" i="2"/>
  <c r="BN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P107" i="2"/>
  <c r="BO107" i="2"/>
  <c r="BN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P104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N89" i="2"/>
  <c r="BM89" i="2"/>
  <c r="Z89" i="2"/>
  <c r="Y89" i="2"/>
  <c r="BP89" i="2" s="1"/>
  <c r="P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Z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Z68" i="2"/>
  <c r="Y68" i="2"/>
  <c r="BP68" i="2" s="1"/>
  <c r="P68" i="2"/>
  <c r="BP67" i="2"/>
  <c r="BO67" i="2"/>
  <c r="BN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Z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73" i="2" l="1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Z81" i="2" s="1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17" i="2" s="1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X557" i="2" s="1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Z154" i="2" s="1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Z334" i="2" s="1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Z32" i="2" s="1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Z343" i="2" s="1"/>
  <c r="BP369" i="2"/>
  <c r="BN369" i="2"/>
  <c r="Z369" i="2"/>
  <c r="Z376" i="2" s="1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Z62" i="2" s="1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289" i="2" l="1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<sst xmlns="http://schemas.openxmlformats.org/spreadsheetml/2006/main" count="4296" uniqueCount="915">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</sst>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40</v>
      </c>
      <c r="Y434" s="41">
        <f>IFERROR(Y426/H426,"0")+IFERROR(Y427/H427,"0")+IFERROR(Y428/H428,"0")+IFERROR(Y429/H429,"0")+IFERROR(Y430/H430,"0")+IFERROR(Y431/H431,"0")+IFERROR(Y432/H432,"0")+IFERROR(Y433/H433,"0")</f>
        <v>40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0.86999999999999988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600</v>
      </c>
      <c r="Y435" s="41">
        <f>IFERROR(SUM(Y426:Y433),"0")</f>
        <v>600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600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600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618.79999999999995</v>
      </c>
      <c r="Y555" s="41">
        <f>IFERROR(SUM(BN22:BN551),"0")</f>
        <v>618.79999999999995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1</v>
      </c>
      <c r="Y556" s="42">
        <f>ROUNDUP(SUM(BP22:BP551),0)</f>
        <v>1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643.79999999999995</v>
      </c>
      <c r="Y557" s="41">
        <f>GrossWeightTotalR+PalletQtyTotalR*25</f>
        <v>643.79999999999995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40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0.86999999999999988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