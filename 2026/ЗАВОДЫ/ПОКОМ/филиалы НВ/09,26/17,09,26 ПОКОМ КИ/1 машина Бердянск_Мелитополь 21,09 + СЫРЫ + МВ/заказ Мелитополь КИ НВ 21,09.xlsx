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6D58226-CDDA-480B-89B7-54D8B9089B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X344" i="1"/>
  <c r="X343" i="1"/>
  <c r="BO342" i="1"/>
  <c r="BM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BP338" i="1" s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BP331" i="1" s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X318" i="1"/>
  <c r="X317" i="1"/>
  <c r="BO316" i="1"/>
  <c r="BM316" i="1"/>
  <c r="Y316" i="1"/>
  <c r="Y318" i="1" s="1"/>
  <c r="P316" i="1"/>
  <c r="X314" i="1"/>
  <c r="X313" i="1"/>
  <c r="BO312" i="1"/>
  <c r="BM312" i="1"/>
  <c r="Y312" i="1"/>
  <c r="Y314" i="1" s="1"/>
  <c r="P312" i="1"/>
  <c r="X310" i="1"/>
  <c r="X309" i="1"/>
  <c r="BO308" i="1"/>
  <c r="BM308" i="1"/>
  <c r="Y308" i="1"/>
  <c r="Y310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BP298" i="1" s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9" i="1"/>
  <c r="Y258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X253" i="1"/>
  <c r="X252" i="1"/>
  <c r="BO251" i="1"/>
  <c r="BM251" i="1"/>
  <c r="Y251" i="1"/>
  <c r="P251" i="1"/>
  <c r="X249" i="1"/>
  <c r="X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X208" i="1"/>
  <c r="X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X171" i="1"/>
  <c r="Y170" i="1"/>
  <c r="X170" i="1"/>
  <c r="BP169" i="1"/>
  <c r="BO169" i="1"/>
  <c r="BN169" i="1"/>
  <c r="BM169" i="1"/>
  <c r="Z169" i="1"/>
  <c r="Y169" i="1"/>
  <c r="P169" i="1"/>
  <c r="BO168" i="1"/>
  <c r="BM168" i="1"/>
  <c r="Y168" i="1"/>
  <c r="P168" i="1"/>
  <c r="X166" i="1"/>
  <c r="X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BP9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X556" i="1" s="1"/>
  <c r="BM22" i="1"/>
  <c r="Y22" i="1"/>
  <c r="P22" i="1"/>
  <c r="H10" i="1"/>
  <c r="H9" i="1"/>
  <c r="A9" i="1"/>
  <c r="D7" i="1"/>
  <c r="Q6" i="1"/>
  <c r="P2" i="1"/>
  <c r="Y81" i="1" l="1"/>
  <c r="BP353" i="1"/>
  <c r="BN353" i="1"/>
  <c r="Z353" i="1"/>
  <c r="BP363" i="1"/>
  <c r="BN363" i="1"/>
  <c r="Z363" i="1"/>
  <c r="BP373" i="1"/>
  <c r="BN373" i="1"/>
  <c r="Z373" i="1"/>
  <c r="BP387" i="1"/>
  <c r="BN387" i="1"/>
  <c r="Z387" i="1"/>
  <c r="BP401" i="1"/>
  <c r="BN401" i="1"/>
  <c r="Z401" i="1"/>
  <c r="BP427" i="1"/>
  <c r="BN427" i="1"/>
  <c r="Z427" i="1"/>
  <c r="Y441" i="1"/>
  <c r="BP437" i="1"/>
  <c r="BN437" i="1"/>
  <c r="Z437" i="1"/>
  <c r="BP456" i="1"/>
  <c r="BN456" i="1"/>
  <c r="Z456" i="1"/>
  <c r="Y462" i="1"/>
  <c r="Y461" i="1"/>
  <c r="BP460" i="1"/>
  <c r="BN460" i="1"/>
  <c r="Z460" i="1"/>
  <c r="Z461" i="1" s="1"/>
  <c r="BP464" i="1"/>
  <c r="BN464" i="1"/>
  <c r="Z464" i="1"/>
  <c r="Z467" i="1" s="1"/>
  <c r="BP476" i="1"/>
  <c r="BN476" i="1"/>
  <c r="Z476" i="1"/>
  <c r="BP504" i="1"/>
  <c r="BN504" i="1"/>
  <c r="Z504" i="1"/>
  <c r="BP520" i="1"/>
  <c r="BN520" i="1"/>
  <c r="Z520" i="1"/>
  <c r="Z23" i="1"/>
  <c r="BN23" i="1"/>
  <c r="Z29" i="1"/>
  <c r="BN29" i="1"/>
  <c r="Z37" i="1"/>
  <c r="BN37" i="1"/>
  <c r="Z41" i="1"/>
  <c r="BN41" i="1"/>
  <c r="Z49" i="1"/>
  <c r="BN49" i="1"/>
  <c r="Z58" i="1"/>
  <c r="BN58" i="1"/>
  <c r="Z66" i="1"/>
  <c r="BN66" i="1"/>
  <c r="Z72" i="1"/>
  <c r="BN72" i="1"/>
  <c r="Z78" i="1"/>
  <c r="BN78" i="1"/>
  <c r="BP78" i="1"/>
  <c r="Z87" i="1"/>
  <c r="BN87" i="1"/>
  <c r="Z93" i="1"/>
  <c r="BN93" i="1"/>
  <c r="Z102" i="1"/>
  <c r="BN102" i="1"/>
  <c r="Z106" i="1"/>
  <c r="BN106" i="1"/>
  <c r="Z112" i="1"/>
  <c r="BN112" i="1"/>
  <c r="BP112" i="1"/>
  <c r="Z116" i="1"/>
  <c r="BN116" i="1"/>
  <c r="Y124" i="1"/>
  <c r="Z122" i="1"/>
  <c r="BN122" i="1"/>
  <c r="Z137" i="1"/>
  <c r="BN137" i="1"/>
  <c r="BP137" i="1"/>
  <c r="Z150" i="1"/>
  <c r="BN150" i="1"/>
  <c r="Z163" i="1"/>
  <c r="BN163" i="1"/>
  <c r="Z175" i="1"/>
  <c r="BN175" i="1"/>
  <c r="Z179" i="1"/>
  <c r="BN179" i="1"/>
  <c r="Z183" i="1"/>
  <c r="BN183" i="1"/>
  <c r="Z201" i="1"/>
  <c r="BN201" i="1"/>
  <c r="Z205" i="1"/>
  <c r="BN205" i="1"/>
  <c r="Z218" i="1"/>
  <c r="BN218" i="1"/>
  <c r="Z222" i="1"/>
  <c r="BN222" i="1"/>
  <c r="Z226" i="1"/>
  <c r="BN226" i="1"/>
  <c r="Z234" i="1"/>
  <c r="BN234" i="1"/>
  <c r="Z238" i="1"/>
  <c r="BN238" i="1"/>
  <c r="Z246" i="1"/>
  <c r="BN246" i="1"/>
  <c r="Z267" i="1"/>
  <c r="BN267" i="1"/>
  <c r="Z271" i="1"/>
  <c r="BN271" i="1"/>
  <c r="Z277" i="1"/>
  <c r="BN277" i="1"/>
  <c r="Z281" i="1"/>
  <c r="BN281" i="1"/>
  <c r="Z285" i="1"/>
  <c r="BN285" i="1"/>
  <c r="Z293" i="1"/>
  <c r="BN293" i="1"/>
  <c r="Z298" i="1"/>
  <c r="BN298" i="1"/>
  <c r="Z302" i="1"/>
  <c r="BN302" i="1"/>
  <c r="Z308" i="1"/>
  <c r="Z309" i="1" s="1"/>
  <c r="BN308" i="1"/>
  <c r="BP308" i="1"/>
  <c r="Y309" i="1"/>
  <c r="Z312" i="1"/>
  <c r="Z313" i="1" s="1"/>
  <c r="BN312" i="1"/>
  <c r="BP312" i="1"/>
  <c r="Y313" i="1"/>
  <c r="Z316" i="1"/>
  <c r="Z317" i="1" s="1"/>
  <c r="BN316" i="1"/>
  <c r="BP316" i="1"/>
  <c r="Y317" i="1"/>
  <c r="Z324" i="1"/>
  <c r="BN324" i="1"/>
  <c r="Z331" i="1"/>
  <c r="BN331" i="1"/>
  <c r="Z338" i="1"/>
  <c r="BN338" i="1"/>
  <c r="BP342" i="1"/>
  <c r="BN342" i="1"/>
  <c r="Z342" i="1"/>
  <c r="BP359" i="1"/>
  <c r="BN359" i="1"/>
  <c r="Z359" i="1"/>
  <c r="Y377" i="1"/>
  <c r="BP369" i="1"/>
  <c r="BN369" i="1"/>
  <c r="Z369" i="1"/>
  <c r="BP379" i="1"/>
  <c r="BN379" i="1"/>
  <c r="Z379" i="1"/>
  <c r="Z383" i="1" s="1"/>
  <c r="BP395" i="1"/>
  <c r="BN395" i="1"/>
  <c r="Z395" i="1"/>
  <c r="BP407" i="1"/>
  <c r="BN407" i="1"/>
  <c r="Z407" i="1"/>
  <c r="BP412" i="1"/>
  <c r="BN412" i="1"/>
  <c r="Z412" i="1"/>
  <c r="BP431" i="1"/>
  <c r="BN431" i="1"/>
  <c r="Z431" i="1"/>
  <c r="Y440" i="1"/>
  <c r="BP445" i="1"/>
  <c r="BN445" i="1"/>
  <c r="Z445" i="1"/>
  <c r="BP472" i="1"/>
  <c r="BN472" i="1"/>
  <c r="Z472" i="1"/>
  <c r="BP500" i="1"/>
  <c r="BN500" i="1"/>
  <c r="Z500" i="1"/>
  <c r="BP512" i="1"/>
  <c r="BN512" i="1"/>
  <c r="Z512" i="1"/>
  <c r="BP546" i="1"/>
  <c r="BN546" i="1"/>
  <c r="Z546" i="1"/>
  <c r="Y348" i="1"/>
  <c r="Y409" i="1"/>
  <c r="Y408" i="1"/>
  <c r="Y451" i="1"/>
  <c r="B564" i="1"/>
  <c r="Y25" i="1"/>
  <c r="BP22" i="1"/>
  <c r="BN22" i="1"/>
  <c r="Z22" i="1"/>
  <c r="Z24" i="1" s="1"/>
  <c r="BP86" i="1"/>
  <c r="BN86" i="1"/>
  <c r="Z86" i="1"/>
  <c r="Y90" i="1"/>
  <c r="BP94" i="1"/>
  <c r="BN94" i="1"/>
  <c r="Z94" i="1"/>
  <c r="Y98" i="1"/>
  <c r="BP103" i="1"/>
  <c r="BN103" i="1"/>
  <c r="Z103" i="1"/>
  <c r="BP107" i="1"/>
  <c r="BN107" i="1"/>
  <c r="Z107" i="1"/>
  <c r="BP123" i="1"/>
  <c r="BN123" i="1"/>
  <c r="Z123" i="1"/>
  <c r="Y125" i="1"/>
  <c r="Y128" i="1"/>
  <c r="BP127" i="1"/>
  <c r="BN127" i="1"/>
  <c r="Z127" i="1"/>
  <c r="Z128" i="1" s="1"/>
  <c r="Y129" i="1"/>
  <c r="H564" i="1"/>
  <c r="Y135" i="1"/>
  <c r="BP132" i="1"/>
  <c r="BN132" i="1"/>
  <c r="Z132" i="1"/>
  <c r="Z134" i="1" s="1"/>
  <c r="Y134" i="1"/>
  <c r="F10" i="1"/>
  <c r="J9" i="1"/>
  <c r="F9" i="1"/>
  <c r="A10" i="1"/>
  <c r="X555" i="1"/>
  <c r="X557" i="1" s="1"/>
  <c r="Y24" i="1"/>
  <c r="Z32" i="1"/>
  <c r="BP28" i="1"/>
  <c r="BN28" i="1"/>
  <c r="Z28" i="1"/>
  <c r="Y32" i="1"/>
  <c r="BP38" i="1"/>
  <c r="BN38" i="1"/>
  <c r="Z38" i="1"/>
  <c r="Y42" i="1"/>
  <c r="BP48" i="1"/>
  <c r="BN48" i="1"/>
  <c r="Z48" i="1"/>
  <c r="Z51" i="1" s="1"/>
  <c r="Y52" i="1"/>
  <c r="BP57" i="1"/>
  <c r="BN57" i="1"/>
  <c r="Z57" i="1"/>
  <c r="BP61" i="1"/>
  <c r="BN61" i="1"/>
  <c r="Z61" i="1"/>
  <c r="Y63" i="1"/>
  <c r="Y70" i="1"/>
  <c r="BP65" i="1"/>
  <c r="BN65" i="1"/>
  <c r="Z65" i="1"/>
  <c r="Y69" i="1"/>
  <c r="BP73" i="1"/>
  <c r="BN73" i="1"/>
  <c r="Z73" i="1"/>
  <c r="Z75" i="1" s="1"/>
  <c r="Y75" i="1"/>
  <c r="BP115" i="1"/>
  <c r="BN115" i="1"/>
  <c r="Z115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J564" i="1"/>
  <c r="Y165" i="1"/>
  <c r="BP162" i="1"/>
  <c r="BN162" i="1"/>
  <c r="Z162" i="1"/>
  <c r="Y166" i="1"/>
  <c r="BP174" i="1"/>
  <c r="BN174" i="1"/>
  <c r="Z174" i="1"/>
  <c r="Y186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K564" i="1"/>
  <c r="Y207" i="1"/>
  <c r="BP200" i="1"/>
  <c r="BN200" i="1"/>
  <c r="Z200" i="1"/>
  <c r="Y208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29" i="1"/>
  <c r="BN229" i="1"/>
  <c r="Z229" i="1"/>
  <c r="Y231" i="1"/>
  <c r="Y242" i="1"/>
  <c r="BP233" i="1"/>
  <c r="BN233" i="1"/>
  <c r="Z233" i="1"/>
  <c r="BP237" i="1"/>
  <c r="BN237" i="1"/>
  <c r="Z237" i="1"/>
  <c r="BP241" i="1"/>
  <c r="BN241" i="1"/>
  <c r="Z241" i="1"/>
  <c r="Y243" i="1"/>
  <c r="Y248" i="1"/>
  <c r="BP245" i="1"/>
  <c r="BN245" i="1"/>
  <c r="Z245" i="1"/>
  <c r="Y249" i="1"/>
  <c r="BP262" i="1"/>
  <c r="BN262" i="1"/>
  <c r="Z262" i="1"/>
  <c r="Z263" i="1" s="1"/>
  <c r="Y264" i="1"/>
  <c r="Y275" i="1"/>
  <c r="BP266" i="1"/>
  <c r="BN266" i="1"/>
  <c r="Z266" i="1"/>
  <c r="BP270" i="1"/>
  <c r="BN270" i="1"/>
  <c r="Z270" i="1"/>
  <c r="Y274" i="1"/>
  <c r="BP278" i="1"/>
  <c r="BN278" i="1"/>
  <c r="Z278" i="1"/>
  <c r="Y290" i="1"/>
  <c r="BP282" i="1"/>
  <c r="BN282" i="1"/>
  <c r="Z282" i="1"/>
  <c r="BP286" i="1"/>
  <c r="BN286" i="1"/>
  <c r="Z286" i="1"/>
  <c r="Z305" i="1"/>
  <c r="BP299" i="1"/>
  <c r="BN299" i="1"/>
  <c r="Z299" i="1"/>
  <c r="Y305" i="1"/>
  <c r="BP303" i="1"/>
  <c r="BN303" i="1"/>
  <c r="Z303" i="1"/>
  <c r="BP323" i="1"/>
  <c r="BN323" i="1"/>
  <c r="Z323" i="1"/>
  <c r="Y327" i="1"/>
  <c r="BP332" i="1"/>
  <c r="BN332" i="1"/>
  <c r="Z332" i="1"/>
  <c r="Z334" i="1" s="1"/>
  <c r="Y334" i="1"/>
  <c r="BP354" i="1"/>
  <c r="BN354" i="1"/>
  <c r="Z354" i="1"/>
  <c r="Y356" i="1"/>
  <c r="BP360" i="1"/>
  <c r="BN360" i="1"/>
  <c r="Z360" i="1"/>
  <c r="Y366" i="1"/>
  <c r="BP364" i="1"/>
  <c r="BN364" i="1"/>
  <c r="Z364" i="1"/>
  <c r="BP413" i="1"/>
  <c r="BN413" i="1"/>
  <c r="Z413" i="1"/>
  <c r="Z414" i="1" s="1"/>
  <c r="Y415" i="1"/>
  <c r="V564" i="1"/>
  <c r="Y421" i="1"/>
  <c r="BP418" i="1"/>
  <c r="BN418" i="1"/>
  <c r="Z418" i="1"/>
  <c r="Y422" i="1"/>
  <c r="BP428" i="1"/>
  <c r="BN428" i="1"/>
  <c r="Z428" i="1"/>
  <c r="BP432" i="1"/>
  <c r="BN432" i="1"/>
  <c r="Z432" i="1"/>
  <c r="BP465" i="1"/>
  <c r="BN465" i="1"/>
  <c r="Z465" i="1"/>
  <c r="Y467" i="1"/>
  <c r="X558" i="1"/>
  <c r="X554" i="1"/>
  <c r="Y33" i="1"/>
  <c r="BP30" i="1"/>
  <c r="BN30" i="1"/>
  <c r="Z30" i="1"/>
  <c r="BP40" i="1"/>
  <c r="BN40" i="1"/>
  <c r="Z40" i="1"/>
  <c r="BP50" i="1"/>
  <c r="BN50" i="1"/>
  <c r="Z50" i="1"/>
  <c r="E564" i="1"/>
  <c r="Y62" i="1"/>
  <c r="BP55" i="1"/>
  <c r="BN55" i="1"/>
  <c r="Z55" i="1"/>
  <c r="Z62" i="1" s="1"/>
  <c r="BP59" i="1"/>
  <c r="BN59" i="1"/>
  <c r="Z59" i="1"/>
  <c r="BP67" i="1"/>
  <c r="BN67" i="1"/>
  <c r="Z67" i="1"/>
  <c r="Y76" i="1"/>
  <c r="Z81" i="1"/>
  <c r="BP79" i="1"/>
  <c r="BN79" i="1"/>
  <c r="Z79" i="1"/>
  <c r="BP88" i="1"/>
  <c r="BN88" i="1"/>
  <c r="Z88" i="1"/>
  <c r="Z90" i="1" s="1"/>
  <c r="Y97" i="1"/>
  <c r="BP96" i="1"/>
  <c r="BN96" i="1"/>
  <c r="Z96" i="1"/>
  <c r="G564" i="1"/>
  <c r="Y110" i="1"/>
  <c r="BP101" i="1"/>
  <c r="BN101" i="1"/>
  <c r="Z101" i="1"/>
  <c r="BP105" i="1"/>
  <c r="BN105" i="1"/>
  <c r="Z105" i="1"/>
  <c r="Y109" i="1"/>
  <c r="Z117" i="1"/>
  <c r="BP113" i="1"/>
  <c r="BN113" i="1"/>
  <c r="Z113" i="1"/>
  <c r="Y117" i="1"/>
  <c r="BP121" i="1"/>
  <c r="BN121" i="1"/>
  <c r="Z121" i="1"/>
  <c r="BP138" i="1"/>
  <c r="BN138" i="1"/>
  <c r="Z138" i="1"/>
  <c r="Z139" i="1" s="1"/>
  <c r="Y140" i="1"/>
  <c r="Y145" i="1"/>
  <c r="BP142" i="1"/>
  <c r="BN142" i="1"/>
  <c r="Z142" i="1"/>
  <c r="Z144" i="1" s="1"/>
  <c r="BP151" i="1"/>
  <c r="BN151" i="1"/>
  <c r="Z151" i="1"/>
  <c r="BP164" i="1"/>
  <c r="BN164" i="1"/>
  <c r="Z164" i="1"/>
  <c r="Y171" i="1"/>
  <c r="BP168" i="1"/>
  <c r="BN168" i="1"/>
  <c r="Z168" i="1"/>
  <c r="Z170" i="1" s="1"/>
  <c r="Y185" i="1"/>
  <c r="BP176" i="1"/>
  <c r="BN176" i="1"/>
  <c r="Z176" i="1"/>
  <c r="BP180" i="1"/>
  <c r="BN180" i="1"/>
  <c r="Z180" i="1"/>
  <c r="BP184" i="1"/>
  <c r="BN184" i="1"/>
  <c r="Z184" i="1"/>
  <c r="Y191" i="1"/>
  <c r="BP188" i="1"/>
  <c r="BN188" i="1"/>
  <c r="Z188" i="1"/>
  <c r="BP202" i="1"/>
  <c r="BN202" i="1"/>
  <c r="Z202" i="1"/>
  <c r="BP206" i="1"/>
  <c r="BN206" i="1"/>
  <c r="Z206" i="1"/>
  <c r="L564" i="1"/>
  <c r="Y212" i="1"/>
  <c r="BP211" i="1"/>
  <c r="BN211" i="1"/>
  <c r="Z211" i="1"/>
  <c r="Z212" i="1" s="1"/>
  <c r="Y213" i="1"/>
  <c r="Y230" i="1"/>
  <c r="BP215" i="1"/>
  <c r="BN215" i="1"/>
  <c r="Z215" i="1"/>
  <c r="BP219" i="1"/>
  <c r="BN219" i="1"/>
  <c r="Z219" i="1"/>
  <c r="BP223" i="1"/>
  <c r="BN223" i="1"/>
  <c r="Z223" i="1"/>
  <c r="BP227" i="1"/>
  <c r="BN227" i="1"/>
  <c r="Z227" i="1"/>
  <c r="BP235" i="1"/>
  <c r="BN235" i="1"/>
  <c r="Z235" i="1"/>
  <c r="BP239" i="1"/>
  <c r="BN239" i="1"/>
  <c r="Z239" i="1"/>
  <c r="BP247" i="1"/>
  <c r="BN247" i="1"/>
  <c r="Z247" i="1"/>
  <c r="Y252" i="1"/>
  <c r="BP251" i="1"/>
  <c r="BN251" i="1"/>
  <c r="Z251" i="1"/>
  <c r="Z252" i="1" s="1"/>
  <c r="Y253" i="1"/>
  <c r="M564" i="1"/>
  <c r="Y259" i="1"/>
  <c r="BP256" i="1"/>
  <c r="BN256" i="1"/>
  <c r="Z256" i="1"/>
  <c r="Z258" i="1" s="1"/>
  <c r="Y263" i="1"/>
  <c r="BP268" i="1"/>
  <c r="BN268" i="1"/>
  <c r="Z268" i="1"/>
  <c r="BP272" i="1"/>
  <c r="BN272" i="1"/>
  <c r="Z272" i="1"/>
  <c r="Y289" i="1"/>
  <c r="BP280" i="1"/>
  <c r="BN280" i="1"/>
  <c r="Z280" i="1"/>
  <c r="BP284" i="1"/>
  <c r="BN284" i="1"/>
  <c r="Z284" i="1"/>
  <c r="BP288" i="1"/>
  <c r="BN288" i="1"/>
  <c r="Z288" i="1"/>
  <c r="Y295" i="1"/>
  <c r="BP292" i="1"/>
  <c r="BN292" i="1"/>
  <c r="Z292" i="1"/>
  <c r="Z294" i="1" s="1"/>
  <c r="BP301" i="1"/>
  <c r="BN301" i="1"/>
  <c r="Z301" i="1"/>
  <c r="BP341" i="1"/>
  <c r="BN341" i="1"/>
  <c r="Z341" i="1"/>
  <c r="BP372" i="1"/>
  <c r="BN372" i="1"/>
  <c r="Z372" i="1"/>
  <c r="Y376" i="1"/>
  <c r="BP380" i="1"/>
  <c r="BN380" i="1"/>
  <c r="Z380" i="1"/>
  <c r="Y384" i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Z402" i="1" s="1"/>
  <c r="Y402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C564" i="1"/>
  <c r="Y43" i="1"/>
  <c r="D564" i="1"/>
  <c r="Y51" i="1"/>
  <c r="F564" i="1"/>
  <c r="Y91" i="1"/>
  <c r="I564" i="1"/>
  <c r="Y154" i="1"/>
  <c r="O564" i="1"/>
  <c r="Y306" i="1"/>
  <c r="P564" i="1"/>
  <c r="Y328" i="1"/>
  <c r="BP321" i="1"/>
  <c r="BN321" i="1"/>
  <c r="Z321" i="1"/>
  <c r="Z327" i="1" s="1"/>
  <c r="BP325" i="1"/>
  <c r="BN325" i="1"/>
  <c r="Z325" i="1"/>
  <c r="Z343" i="1"/>
  <c r="BP339" i="1"/>
  <c r="BN339" i="1"/>
  <c r="Z339" i="1"/>
  <c r="Y343" i="1"/>
  <c r="BP347" i="1"/>
  <c r="BN347" i="1"/>
  <c r="Z347" i="1"/>
  <c r="Z348" i="1" s="1"/>
  <c r="Y349" i="1"/>
  <c r="S564" i="1"/>
  <c r="Y355" i="1"/>
  <c r="BP352" i="1"/>
  <c r="BN352" i="1"/>
  <c r="Z352" i="1"/>
  <c r="BP362" i="1"/>
  <c r="BN362" i="1"/>
  <c r="Z362" i="1"/>
  <c r="Z366" i="1" s="1"/>
  <c r="BP370" i="1"/>
  <c r="BN370" i="1"/>
  <c r="Z370" i="1"/>
  <c r="BP374" i="1"/>
  <c r="BN374" i="1"/>
  <c r="Z374" i="1"/>
  <c r="Y383" i="1"/>
  <c r="BP382" i="1"/>
  <c r="BN382" i="1"/>
  <c r="Z382" i="1"/>
  <c r="Y389" i="1"/>
  <c r="BP386" i="1"/>
  <c r="BN386" i="1"/>
  <c r="Z386" i="1"/>
  <c r="Z389" i="1" s="1"/>
  <c r="BP394" i="1"/>
  <c r="BN394" i="1"/>
  <c r="Z394" i="1"/>
  <c r="Y403" i="1"/>
  <c r="BP406" i="1"/>
  <c r="BN406" i="1"/>
  <c r="Z406" i="1"/>
  <c r="Z408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Q564" i="1"/>
  <c r="Y335" i="1"/>
  <c r="R564" i="1"/>
  <c r="Y344" i="1"/>
  <c r="T564" i="1"/>
  <c r="Y367" i="1"/>
  <c r="U564" i="1"/>
  <c r="Y414" i="1"/>
  <c r="Y564" i="1"/>
  <c r="Y478" i="1"/>
  <c r="Z564" i="1"/>
  <c r="Y489" i="1"/>
  <c r="Y494" i="1"/>
  <c r="BP491" i="1"/>
  <c r="BN491" i="1"/>
  <c r="Z491" i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Y525" i="1"/>
  <c r="BP521" i="1"/>
  <c r="BN521" i="1"/>
  <c r="Z521" i="1"/>
  <c r="Y531" i="1"/>
  <c r="Y535" i="1"/>
  <c r="Y539" i="1"/>
  <c r="Y543" i="1"/>
  <c r="Y547" i="1"/>
  <c r="AB564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Z289" i="1" l="1"/>
  <c r="Z376" i="1"/>
  <c r="Z185" i="1"/>
  <c r="Z154" i="1"/>
  <c r="Z42" i="1"/>
  <c r="Z97" i="1"/>
  <c r="Z524" i="1"/>
  <c r="Z508" i="1"/>
  <c r="Z396" i="1"/>
  <c r="Z421" i="1"/>
  <c r="Z274" i="1"/>
  <c r="Z242" i="1"/>
  <c r="Y555" i="1"/>
  <c r="Y554" i="1"/>
  <c r="Z494" i="1"/>
  <c r="Z434" i="1"/>
  <c r="Z355" i="1"/>
  <c r="Z514" i="1"/>
  <c r="Z230" i="1"/>
  <c r="Z191" i="1"/>
  <c r="Z124" i="1"/>
  <c r="Z109" i="1"/>
  <c r="Z248" i="1"/>
  <c r="Z207" i="1"/>
  <c r="Z165" i="1"/>
  <c r="Z69" i="1"/>
  <c r="Y558" i="1"/>
  <c r="Z559" i="1"/>
  <c r="Y556" i="1"/>
  <c r="Y557" i="1" l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<sst xmlns="http://schemas.openxmlformats.org/spreadsheetml/2006/main" count="2531" uniqueCount="914">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</sst>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21" t="s">
        <v>0</v>
      </c>
      <c r="E1" s="673"/>
      <c r="F1" s="673"/>
      <c r="G1" s="12" t="s">
        <v>1</v>
      </c>
      <c r="H1" s="721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9"/>
      <c r="R2" s="649"/>
      <c r="S2" s="649"/>
      <c r="T2" s="649"/>
      <c r="U2" s="649"/>
      <c r="V2" s="649"/>
      <c r="W2" s="649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9"/>
      <c r="Q3" s="649"/>
      <c r="R3" s="649"/>
      <c r="S3" s="649"/>
      <c r="T3" s="649"/>
      <c r="U3" s="649"/>
      <c r="V3" s="649"/>
      <c r="W3" s="649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82" t="s">
        <v>8</v>
      </c>
      <c r="B5" s="664"/>
      <c r="C5" s="665"/>
      <c r="D5" s="728"/>
      <c r="E5" s="729"/>
      <c r="F5" s="973" t="s">
        <v>9</v>
      </c>
      <c r="G5" s="665"/>
      <c r="H5" s="728"/>
      <c r="I5" s="906"/>
      <c r="J5" s="906"/>
      <c r="K5" s="906"/>
      <c r="L5" s="906"/>
      <c r="M5" s="729"/>
      <c r="N5" s="58"/>
      <c r="P5" s="24" t="s">
        <v>10</v>
      </c>
      <c r="Q5" s="983">
        <v>46286</v>
      </c>
      <c r="R5" s="780"/>
      <c r="T5" s="829" t="s">
        <v>11</v>
      </c>
      <c r="U5" s="735"/>
      <c r="V5" s="830" t="s">
        <v>12</v>
      </c>
      <c r="W5" s="780"/>
      <c r="AB5" s="51"/>
      <c r="AC5" s="51"/>
      <c r="AD5" s="51"/>
      <c r="AE5" s="51"/>
    </row>
    <row r="6" spans="1:32" s="636" customFormat="1" ht="24" customHeight="1" x14ac:dyDescent="0.2">
      <c r="A6" s="782" t="s">
        <v>13</v>
      </c>
      <c r="B6" s="664"/>
      <c r="C6" s="665"/>
      <c r="D6" s="908"/>
      <c r="E6" s="909"/>
      <c r="F6" s="909"/>
      <c r="G6" s="909"/>
      <c r="H6" s="909"/>
      <c r="I6" s="909"/>
      <c r="J6" s="909"/>
      <c r="K6" s="909"/>
      <c r="L6" s="909"/>
      <c r="M6" s="780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36" t="s">
        <v>15</v>
      </c>
      <c r="U6" s="735"/>
      <c r="V6" s="891" t="s">
        <v>16</v>
      </c>
      <c r="W6" s="691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698">
        <f>IFERROR(VLOOKUP(DeliveryAddress,Table,3,0),1)</f>
        <v>1</v>
      </c>
      <c r="E7" s="699"/>
      <c r="F7" s="699"/>
      <c r="G7" s="699"/>
      <c r="H7" s="699"/>
      <c r="I7" s="699"/>
      <c r="J7" s="699"/>
      <c r="K7" s="699"/>
      <c r="L7" s="699"/>
      <c r="M7" s="700"/>
      <c r="N7" s="60"/>
      <c r="P7" s="24"/>
      <c r="Q7" s="42"/>
      <c r="R7" s="42"/>
      <c r="T7" s="649"/>
      <c r="U7" s="735"/>
      <c r="V7" s="892"/>
      <c r="W7" s="893"/>
      <c r="AB7" s="51"/>
      <c r="AC7" s="51"/>
      <c r="AD7" s="51"/>
      <c r="AE7" s="51"/>
    </row>
    <row r="8" spans="1:32" s="636" customFormat="1" ht="25.5" customHeight="1" x14ac:dyDescent="0.2">
      <c r="A8" s="1001" t="s">
        <v>17</v>
      </c>
      <c r="B8" s="653"/>
      <c r="C8" s="654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87">
        <v>0.41666666666666669</v>
      </c>
      <c r="R8" s="700"/>
      <c r="T8" s="649"/>
      <c r="U8" s="735"/>
      <c r="V8" s="892"/>
      <c r="W8" s="893"/>
      <c r="AB8" s="51"/>
      <c r="AC8" s="51"/>
      <c r="AD8" s="51"/>
      <c r="AE8" s="51"/>
    </row>
    <row r="9" spans="1:32" s="636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800"/>
      <c r="E9" s="66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61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37"/>
      <c r="P9" s="26" t="s">
        <v>19</v>
      </c>
      <c r="Q9" s="775"/>
      <c r="R9" s="776"/>
      <c r="T9" s="649"/>
      <c r="U9" s="73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800"/>
      <c r="E10" s="66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882" t="str">
        <f>IFERROR(VLOOKUP($D$10,Proxy,2,FALSE),"")</f>
        <v/>
      </c>
      <c r="I10" s="649"/>
      <c r="J10" s="649"/>
      <c r="K10" s="649"/>
      <c r="L10" s="649"/>
      <c r="M10" s="649"/>
      <c r="N10" s="635"/>
      <c r="P10" s="26" t="s">
        <v>20</v>
      </c>
      <c r="Q10" s="837"/>
      <c r="R10" s="838"/>
      <c r="U10" s="24" t="s">
        <v>21</v>
      </c>
      <c r="V10" s="690" t="s">
        <v>22</v>
      </c>
      <c r="W10" s="691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9"/>
      <c r="R11" s="780"/>
      <c r="U11" s="24" t="s">
        <v>25</v>
      </c>
      <c r="V11" s="935" t="s">
        <v>26</v>
      </c>
      <c r="W11" s="77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3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87"/>
      <c r="R12" s="700"/>
      <c r="S12" s="23"/>
      <c r="U12" s="24"/>
      <c r="V12" s="673"/>
      <c r="W12" s="649"/>
      <c r="AB12" s="51"/>
      <c r="AC12" s="51"/>
      <c r="AD12" s="51"/>
      <c r="AE12" s="51"/>
    </row>
    <row r="13" spans="1:32" s="636" customFormat="1" ht="23.25" customHeight="1" x14ac:dyDescent="0.2">
      <c r="A13" s="823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35"/>
      <c r="R13" s="7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3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5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9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94" t="s">
        <v>36</v>
      </c>
      <c r="D17" s="685" t="s">
        <v>37</v>
      </c>
      <c r="E17" s="755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54"/>
      <c r="R17" s="754"/>
      <c r="S17" s="754"/>
      <c r="T17" s="755"/>
      <c r="U17" s="998" t="s">
        <v>49</v>
      </c>
      <c r="V17" s="665"/>
      <c r="W17" s="685" t="s">
        <v>50</v>
      </c>
      <c r="X17" s="685" t="s">
        <v>51</v>
      </c>
      <c r="Y17" s="999" t="s">
        <v>52</v>
      </c>
      <c r="Z17" s="904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56"/>
      <c r="E18" s="758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86"/>
      <c r="X18" s="686"/>
      <c r="Y18" s="1000"/>
      <c r="Z18" s="905"/>
      <c r="AA18" s="884"/>
      <c r="AB18" s="884"/>
      <c r="AC18" s="884"/>
      <c r="AD18" s="970"/>
      <c r="AE18" s="971"/>
      <c r="AF18" s="972"/>
      <c r="AG18" s="66"/>
      <c r="BD18" s="65"/>
    </row>
    <row r="19" spans="1:68" ht="27.75" hidden="1" customHeight="1" x14ac:dyDescent="0.2">
      <c r="A19" s="658" t="s">
        <v>61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48"/>
      <c r="AB19" s="48"/>
      <c r="AC19" s="48"/>
    </row>
    <row r="20" spans="1:68" ht="16.5" hidden="1" customHeight="1" x14ac:dyDescent="0.25">
      <c r="A20" s="660" t="s">
        <v>61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633"/>
      <c r="AB20" s="633"/>
      <c r="AC20" s="633"/>
    </row>
    <row r="21" spans="1:68" ht="14.25" hidden="1" customHeight="1" x14ac:dyDescent="0.25">
      <c r="A21" s="648" t="s">
        <v>62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6">
        <v>4680115886643</v>
      </c>
      <c r="E22" s="647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6">
        <v>4680115889071</v>
      </c>
      <c r="E23" s="647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4"/>
      <c r="R23" s="644"/>
      <c r="S23" s="644"/>
      <c r="T23" s="645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6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6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8" t="s">
        <v>74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6">
        <v>4680115885912</v>
      </c>
      <c r="E27" s="647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4"/>
      <c r="R27" s="644"/>
      <c r="S27" s="644"/>
      <c r="T27" s="645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6">
        <v>4607091388237</v>
      </c>
      <c r="E28" s="647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4"/>
      <c r="R28" s="644"/>
      <c r="S28" s="644"/>
      <c r="T28" s="645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6">
        <v>4680115887350</v>
      </c>
      <c r="E29" s="647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6">
        <v>4680115885905</v>
      </c>
      <c r="E30" s="647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6">
        <v>4680115887619</v>
      </c>
      <c r="E31" s="647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4"/>
      <c r="R31" s="644"/>
      <c r="S31" s="644"/>
      <c r="T31" s="645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6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6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658" t="s">
        <v>92</v>
      </c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48"/>
      <c r="AB34" s="48"/>
      <c r="AC34" s="48"/>
    </row>
    <row r="35" spans="1:68" ht="16.5" hidden="1" customHeight="1" x14ac:dyDescent="0.25">
      <c r="A35" s="660" t="s">
        <v>93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33"/>
      <c r="AB35" s="633"/>
      <c r="AC35" s="633"/>
    </row>
    <row r="36" spans="1:68" ht="14.25" hidden="1" customHeight="1" x14ac:dyDescent="0.25">
      <c r="A36" s="648" t="s">
        <v>74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6">
        <v>4680115889354</v>
      </c>
      <c r="E37" s="647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4"/>
      <c r="R37" s="644"/>
      <c r="S37" s="644"/>
      <c r="T37" s="645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6">
        <v>4680115888463</v>
      </c>
      <c r="E38" s="647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4"/>
      <c r="R38" s="644"/>
      <c r="S38" s="644"/>
      <c r="T38" s="645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6">
        <v>4680115889590</v>
      </c>
      <c r="E39" s="647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4"/>
      <c r="R39" s="644"/>
      <c r="S39" s="644"/>
      <c r="T39" s="645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6">
        <v>4680115888272</v>
      </c>
      <c r="E40" s="647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4"/>
      <c r="R40" s="644"/>
      <c r="S40" s="644"/>
      <c r="T40" s="645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6">
        <v>4680115888364</v>
      </c>
      <c r="E41" s="647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6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6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58" t="s">
        <v>109</v>
      </c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48"/>
      <c r="AB44" s="48"/>
      <c r="AC44" s="48"/>
    </row>
    <row r="45" spans="1:68" ht="16.5" hidden="1" customHeight="1" x14ac:dyDescent="0.25">
      <c r="A45" s="660" t="s">
        <v>110</v>
      </c>
      <c r="B45" s="649"/>
      <c r="C45" s="649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  <c r="AA45" s="633"/>
      <c r="AB45" s="633"/>
      <c r="AC45" s="633"/>
    </row>
    <row r="46" spans="1:68" ht="14.25" hidden="1" customHeight="1" x14ac:dyDescent="0.25">
      <c r="A46" s="648" t="s">
        <v>111</v>
      </c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6">
        <v>4607091385670</v>
      </c>
      <c r="E47" s="647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4"/>
      <c r="R47" s="644"/>
      <c r="S47" s="644"/>
      <c r="T47" s="645"/>
      <c r="U47" s="34"/>
      <c r="V47" s="34"/>
      <c r="W47" s="35" t="s">
        <v>67</v>
      </c>
      <c r="X47" s="639">
        <v>11</v>
      </c>
      <c r="Y47" s="640">
        <f>IFERROR(IF(X47="",0,CEILING((X47/$H47),1)*$H47),"")</f>
        <v>21.6</v>
      </c>
      <c r="Z47" s="36">
        <f>IFERROR(IF(Y47=0,"",ROUNDUP(Y47/H47,0)*0.01898),"")</f>
        <v>3.7960000000000001E-2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11.417592592592593</v>
      </c>
      <c r="BN47" s="64">
        <f>IFERROR(Y47*I47/H47,"0")</f>
        <v>22.42</v>
      </c>
      <c r="BO47" s="64">
        <f>IFERROR(1/J47*(X47/H47),"0")</f>
        <v>1.591435185185185E-2</v>
      </c>
      <c r="BP47" s="64">
        <f>IFERROR(1/J47*(Y47/H47),"0")</f>
        <v>3.125E-2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6">
        <v>4680115887725</v>
      </c>
      <c r="E48" s="647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4"/>
      <c r="R48" s="644"/>
      <c r="S48" s="644"/>
      <c r="T48" s="645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6">
        <v>4607091385687</v>
      </c>
      <c r="E49" s="647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4"/>
      <c r="R49" s="644"/>
      <c r="S49" s="644"/>
      <c r="T49" s="645"/>
      <c r="U49" s="34"/>
      <c r="V49" s="34"/>
      <c r="W49" s="35" t="s">
        <v>67</v>
      </c>
      <c r="X49" s="639">
        <v>10</v>
      </c>
      <c r="Y49" s="640">
        <f>IFERROR(IF(X49="",0,CEILING((X49/$H49),1)*$H49),"")</f>
        <v>12</v>
      </c>
      <c r="Z49" s="36">
        <f>IFERROR(IF(Y49=0,"",ROUNDUP(Y49/H49,0)*0.00902),"")</f>
        <v>2.7060000000000001E-2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10.475000000000001</v>
      </c>
      <c r="BN49" s="64">
        <f>IFERROR(Y49*I49/H49,"0")</f>
        <v>12.57</v>
      </c>
      <c r="BO49" s="64">
        <f>IFERROR(1/J49*(X49/H49),"0")</f>
        <v>1.893939393939394E-2</v>
      </c>
      <c r="BP49" s="64">
        <f>IFERROR(1/J49*(Y49/H49),"0")</f>
        <v>2.2727272727272728E-2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6">
        <v>4680115882539</v>
      </c>
      <c r="E50" s="647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4"/>
      <c r="R50" s="644"/>
      <c r="S50" s="644"/>
      <c r="T50" s="645"/>
      <c r="U50" s="34"/>
      <c r="V50" s="34"/>
      <c r="W50" s="35" t="s">
        <v>67</v>
      </c>
      <c r="X50" s="639">
        <v>0</v>
      </c>
      <c r="Y50" s="64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6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3.5185185185185182</v>
      </c>
      <c r="Y51" s="641">
        <f>IFERROR(Y47/H47,"0")+IFERROR(Y48/H48,"0")+IFERROR(Y49/H49,"0")+IFERROR(Y50/H50,"0")</f>
        <v>5</v>
      </c>
      <c r="Z51" s="641">
        <f>IFERROR(IF(Z47="",0,Z47),"0")+IFERROR(IF(Z48="",0,Z48),"0")+IFERROR(IF(Z49="",0,Z49),"0")+IFERROR(IF(Z50="",0,Z50),"0")</f>
        <v>6.5019999999999994E-2</v>
      </c>
      <c r="AA51" s="642"/>
      <c r="AB51" s="642"/>
      <c r="AC51" s="642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6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21</v>
      </c>
      <c r="Y52" s="641">
        <f>IFERROR(SUM(Y47:Y50),"0")</f>
        <v>33.6</v>
      </c>
      <c r="Z52" s="37"/>
      <c r="AA52" s="642"/>
      <c r="AB52" s="642"/>
      <c r="AC52" s="642"/>
    </row>
    <row r="53" spans="1:68" ht="16.5" hidden="1" customHeight="1" x14ac:dyDescent="0.25">
      <c r="A53" s="660" t="s">
        <v>126</v>
      </c>
      <c r="B53" s="649"/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33"/>
      <c r="AB53" s="633"/>
      <c r="AC53" s="633"/>
    </row>
    <row r="54" spans="1:68" ht="14.25" hidden="1" customHeight="1" x14ac:dyDescent="0.25">
      <c r="A54" s="648" t="s">
        <v>111</v>
      </c>
      <c r="B54" s="649"/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  <c r="AA54" s="634"/>
      <c r="AB54" s="634"/>
      <c r="AC54" s="634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6">
        <v>4680115885882</v>
      </c>
      <c r="E55" s="647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4"/>
      <c r="R55" s="644"/>
      <c r="S55" s="644"/>
      <c r="T55" s="645"/>
      <c r="U55" s="34"/>
      <c r="V55" s="34"/>
      <c r="W55" s="35" t="s">
        <v>67</v>
      </c>
      <c r="X55" s="639">
        <v>0</v>
      </c>
      <c r="Y55" s="640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6">
        <v>4680115881426</v>
      </c>
      <c r="E56" s="647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4"/>
      <c r="R56" s="644"/>
      <c r="S56" s="644"/>
      <c r="T56" s="645"/>
      <c r="U56" s="34"/>
      <c r="V56" s="34"/>
      <c r="W56" s="35" t="s">
        <v>67</v>
      </c>
      <c r="X56" s="639">
        <v>0</v>
      </c>
      <c r="Y56" s="640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6">
        <v>4680115880283</v>
      </c>
      <c r="E57" s="647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4"/>
      <c r="R57" s="644"/>
      <c r="S57" s="644"/>
      <c r="T57" s="645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6">
        <v>4680115881525</v>
      </c>
      <c r="E58" s="647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4"/>
      <c r="R58" s="644"/>
      <c r="S58" s="644"/>
      <c r="T58" s="645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6">
        <v>4680115881525</v>
      </c>
      <c r="E59" s="647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6">
        <v>4680115885899</v>
      </c>
      <c r="E60" s="647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6">
        <v>4680115881419</v>
      </c>
      <c r="E61" s="647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9">
        <v>114</v>
      </c>
      <c r="Y61" s="640">
        <f t="shared" si="0"/>
        <v>117</v>
      </c>
      <c r="Z61" s="36">
        <f>IFERROR(IF(Y61=0,"",ROUNDUP(Y61/H61,0)*0.00902),"")</f>
        <v>0.23452000000000001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118.81333333333335</v>
      </c>
      <c r="BN61" s="64">
        <f t="shared" si="2"/>
        <v>121.94</v>
      </c>
      <c r="BO61" s="64">
        <f t="shared" si="3"/>
        <v>0.19191919191919191</v>
      </c>
      <c r="BP61" s="64">
        <f t="shared" si="4"/>
        <v>0.19696969696969696</v>
      </c>
    </row>
    <row r="62" spans="1:68" x14ac:dyDescent="0.2">
      <c r="A62" s="655"/>
      <c r="B62" s="649"/>
      <c r="C62" s="649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9"/>
      <c r="O62" s="656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25.333333333333332</v>
      </c>
      <c r="Y62" s="641">
        <f>IFERROR(Y55/H55,"0")+IFERROR(Y56/H56,"0")+IFERROR(Y57/H57,"0")+IFERROR(Y58/H58,"0")+IFERROR(Y59/H59,"0")+IFERROR(Y60/H60,"0")+IFERROR(Y61/H61,"0")</f>
        <v>26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0.23452000000000001</v>
      </c>
      <c r="AA62" s="642"/>
      <c r="AB62" s="642"/>
      <c r="AC62" s="642"/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6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114</v>
      </c>
      <c r="Y63" s="641">
        <f>IFERROR(SUM(Y55:Y61),"0")</f>
        <v>117</v>
      </c>
      <c r="Z63" s="37"/>
      <c r="AA63" s="642"/>
      <c r="AB63" s="642"/>
      <c r="AC63" s="642"/>
    </row>
    <row r="64" spans="1:68" ht="14.25" hidden="1" customHeight="1" x14ac:dyDescent="0.25">
      <c r="A64" s="648" t="s">
        <v>146</v>
      </c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49"/>
      <c r="P64" s="649"/>
      <c r="Q64" s="649"/>
      <c r="R64" s="649"/>
      <c r="S64" s="649"/>
      <c r="T64" s="649"/>
      <c r="U64" s="649"/>
      <c r="V64" s="649"/>
      <c r="W64" s="649"/>
      <c r="X64" s="649"/>
      <c r="Y64" s="649"/>
      <c r="Z64" s="649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6">
        <v>4680115881440</v>
      </c>
      <c r="E65" s="647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9">
        <v>49</v>
      </c>
      <c r="Y65" s="640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50.860185185185188</v>
      </c>
      <c r="BN65" s="64">
        <f>IFERROR(Y65*I65/H65,"0")</f>
        <v>56.05</v>
      </c>
      <c r="BO65" s="64">
        <f>IFERROR(1/J65*(X65/H65),"0")</f>
        <v>7.0891203703703692E-2</v>
      </c>
      <c r="BP65" s="64">
        <f>IFERROR(1/J65*(Y65/H65),"0")</f>
        <v>7.8125E-2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6">
        <v>4680115885950</v>
      </c>
      <c r="E66" s="647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6">
        <v>4680115887688</v>
      </c>
      <c r="E67" s="647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4"/>
      <c r="R67" s="644"/>
      <c r="S67" s="644"/>
      <c r="T67" s="645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6">
        <v>4680115881433</v>
      </c>
      <c r="E68" s="647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4"/>
      <c r="R68" s="644"/>
      <c r="S68" s="644"/>
      <c r="T68" s="645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56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4.5370370370370363</v>
      </c>
      <c r="Y69" s="641">
        <f>IFERROR(Y65/H65,"0")+IFERROR(Y66/H66,"0")+IFERROR(Y67/H67,"0")+IFERROR(Y68/H68,"0")</f>
        <v>5</v>
      </c>
      <c r="Z69" s="641">
        <f>IFERROR(IF(Z65="",0,Z65),"0")+IFERROR(IF(Z66="",0,Z66),"0")+IFERROR(IF(Z67="",0,Z67),"0")+IFERROR(IF(Z68="",0,Z68),"0")</f>
        <v>9.4899999999999998E-2</v>
      </c>
      <c r="AA69" s="642"/>
      <c r="AB69" s="642"/>
      <c r="AC69" s="642"/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6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49</v>
      </c>
      <c r="Y70" s="641">
        <f>IFERROR(SUM(Y65:Y68),"0")</f>
        <v>54</v>
      </c>
      <c r="Z70" s="37"/>
      <c r="AA70" s="642"/>
      <c r="AB70" s="642"/>
      <c r="AC70" s="642"/>
    </row>
    <row r="71" spans="1:68" ht="14.25" hidden="1" customHeight="1" x14ac:dyDescent="0.25">
      <c r="A71" s="648" t="s">
        <v>74</v>
      </c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49"/>
      <c r="P71" s="649"/>
      <c r="Q71" s="649"/>
      <c r="R71" s="649"/>
      <c r="S71" s="649"/>
      <c r="T71" s="649"/>
      <c r="U71" s="649"/>
      <c r="V71" s="649"/>
      <c r="W71" s="649"/>
      <c r="X71" s="649"/>
      <c r="Y71" s="649"/>
      <c r="Z71" s="649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6">
        <v>4680115884311</v>
      </c>
      <c r="E72" s="647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6">
        <v>4680115884403</v>
      </c>
      <c r="E73" s="647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6">
        <v>4680115884403</v>
      </c>
      <c r="E74" s="647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4"/>
      <c r="R74" s="644"/>
      <c r="S74" s="644"/>
      <c r="T74" s="645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6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6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8" t="s">
        <v>164</v>
      </c>
      <c r="B77" s="649"/>
      <c r="C77" s="649"/>
      <c r="D77" s="649"/>
      <c r="E77" s="649"/>
      <c r="F77" s="649"/>
      <c r="G77" s="649"/>
      <c r="H77" s="649"/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  <c r="AA77" s="634"/>
      <c r="AB77" s="634"/>
      <c r="AC77" s="634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6">
        <v>4680115881532</v>
      </c>
      <c r="E78" s="647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9">
        <v>0</v>
      </c>
      <c r="Y78" s="64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6">
        <v>4680115881532</v>
      </c>
      <c r="E79" s="647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4"/>
      <c r="R79" s="644"/>
      <c r="S79" s="644"/>
      <c r="T79" s="645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6">
        <v>4680115881464</v>
      </c>
      <c r="E80" s="647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4"/>
      <c r="R80" s="644"/>
      <c r="S80" s="644"/>
      <c r="T80" s="645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6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0</v>
      </c>
      <c r="Y81" s="641">
        <f>IFERROR(Y78/H78,"0")+IFERROR(Y79/H79,"0")+IFERROR(Y80/H80,"0")</f>
        <v>0</v>
      </c>
      <c r="Z81" s="641">
        <f>IFERROR(IF(Z78="",0,Z78),"0")+IFERROR(IF(Z79="",0,Z79),"0")+IFERROR(IF(Z80="",0,Z80),"0")</f>
        <v>0</v>
      </c>
      <c r="AA81" s="642"/>
      <c r="AB81" s="642"/>
      <c r="AC81" s="642"/>
    </row>
    <row r="82" spans="1:68" hidden="1" x14ac:dyDescent="0.2">
      <c r="A82" s="649"/>
      <c r="B82" s="649"/>
      <c r="C82" s="649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9"/>
      <c r="O82" s="656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0</v>
      </c>
      <c r="Y82" s="641">
        <f>IFERROR(SUM(Y78:Y80),"0")</f>
        <v>0</v>
      </c>
      <c r="Z82" s="37"/>
      <c r="AA82" s="642"/>
      <c r="AB82" s="642"/>
      <c r="AC82" s="642"/>
    </row>
    <row r="83" spans="1:68" ht="16.5" hidden="1" customHeight="1" x14ac:dyDescent="0.25">
      <c r="A83" s="660" t="s">
        <v>172</v>
      </c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33"/>
      <c r="AB83" s="633"/>
      <c r="AC83" s="633"/>
    </row>
    <row r="84" spans="1:68" ht="14.25" hidden="1" customHeight="1" x14ac:dyDescent="0.25">
      <c r="A84" s="648" t="s">
        <v>111</v>
      </c>
      <c r="B84" s="649"/>
      <c r="C84" s="649"/>
      <c r="D84" s="649"/>
      <c r="E84" s="649"/>
      <c r="F84" s="649"/>
      <c r="G84" s="649"/>
      <c r="H84" s="649"/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  <c r="AA84" s="634"/>
      <c r="AB84" s="634"/>
      <c r="AC84" s="634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6">
        <v>4680115881327</v>
      </c>
      <c r="E85" s="647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4"/>
      <c r="R85" s="644"/>
      <c r="S85" s="644"/>
      <c r="T85" s="645"/>
      <c r="U85" s="34"/>
      <c r="V85" s="34"/>
      <c r="W85" s="35" t="s">
        <v>67</v>
      </c>
      <c r="X85" s="639">
        <v>149</v>
      </c>
      <c r="Y85" s="64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154.65648148148148</v>
      </c>
      <c r="BN85" s="64">
        <f>IFERROR(Y85*I85/H85,"0")</f>
        <v>156.94</v>
      </c>
      <c r="BO85" s="64">
        <f>IFERROR(1/J85*(X85/H85),"0")</f>
        <v>0.21556712962962962</v>
      </c>
      <c r="BP85" s="64">
        <f>IFERROR(1/J85*(Y85/H85),"0")</f>
        <v>0.21875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6">
        <v>4680115887732</v>
      </c>
      <c r="E86" s="647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4"/>
      <c r="R86" s="644"/>
      <c r="S86" s="644"/>
      <c r="T86" s="645"/>
      <c r="U86" s="34"/>
      <c r="V86" s="34"/>
      <c r="W86" s="35" t="s">
        <v>67</v>
      </c>
      <c r="X86" s="639">
        <v>0</v>
      </c>
      <c r="Y86" s="64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6">
        <v>4680115887732</v>
      </c>
      <c r="E87" s="647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4"/>
      <c r="R87" s="644"/>
      <c r="S87" s="644"/>
      <c r="T87" s="645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6">
        <v>4680115881518</v>
      </c>
      <c r="E88" s="647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4"/>
      <c r="R88" s="644"/>
      <c r="S88" s="644"/>
      <c r="T88" s="645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6">
        <v>4680115881303</v>
      </c>
      <c r="E89" s="647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4"/>
      <c r="R89" s="644"/>
      <c r="S89" s="644"/>
      <c r="T89" s="645"/>
      <c r="U89" s="34"/>
      <c r="V89" s="34"/>
      <c r="W89" s="35" t="s">
        <v>67</v>
      </c>
      <c r="X89" s="639">
        <v>112</v>
      </c>
      <c r="Y89" s="640">
        <f>IFERROR(IF(X89="",0,CEILING((X89/$H89),1)*$H89),"")</f>
        <v>112.5</v>
      </c>
      <c r="Z89" s="36">
        <f>IFERROR(IF(Y89=0,"",ROUNDUP(Y89/H89,0)*0.00902),"")</f>
        <v>0.22550000000000001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116.7288888888889</v>
      </c>
      <c r="BN89" s="64">
        <f>IFERROR(Y89*I89/H89,"0")</f>
        <v>117.25</v>
      </c>
      <c r="BO89" s="64">
        <f>IFERROR(1/J89*(X89/H89),"0")</f>
        <v>0.18855218855218855</v>
      </c>
      <c r="BP89" s="64">
        <f>IFERROR(1/J89*(Y89/H89),"0")</f>
        <v>0.18939393939393939</v>
      </c>
    </row>
    <row r="90" spans="1:68" x14ac:dyDescent="0.2">
      <c r="A90" s="655"/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56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38.685185185185183</v>
      </c>
      <c r="Y90" s="641">
        <f>IFERROR(Y85/H85,"0")+IFERROR(Y86/H86,"0")+IFERROR(Y87/H87,"0")+IFERROR(Y88/H88,"0")+IFERROR(Y89/H89,"0")</f>
        <v>39</v>
      </c>
      <c r="Z90" s="641">
        <f>IFERROR(IF(Z85="",0,Z85),"0")+IFERROR(IF(Z86="",0,Z86),"0")+IFERROR(IF(Z87="",0,Z87),"0")+IFERROR(IF(Z88="",0,Z88),"0")+IFERROR(IF(Z89="",0,Z89),"0")</f>
        <v>0.49121999999999999</v>
      </c>
      <c r="AA90" s="642"/>
      <c r="AB90" s="642"/>
      <c r="AC90" s="642"/>
    </row>
    <row r="91" spans="1:68" x14ac:dyDescent="0.2">
      <c r="A91" s="649"/>
      <c r="B91" s="649"/>
      <c r="C91" s="649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9"/>
      <c r="O91" s="656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261</v>
      </c>
      <c r="Y91" s="641">
        <f>IFERROR(SUM(Y85:Y89),"0")</f>
        <v>263.70000000000005</v>
      </c>
      <c r="Z91" s="37"/>
      <c r="AA91" s="642"/>
      <c r="AB91" s="642"/>
      <c r="AC91" s="642"/>
    </row>
    <row r="92" spans="1:68" ht="14.25" hidden="1" customHeight="1" x14ac:dyDescent="0.25">
      <c r="A92" s="648" t="s">
        <v>74</v>
      </c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  <c r="M92" s="649"/>
      <c r="N92" s="649"/>
      <c r="O92" s="649"/>
      <c r="P92" s="649"/>
      <c r="Q92" s="649"/>
      <c r="R92" s="649"/>
      <c r="S92" s="649"/>
      <c r="T92" s="649"/>
      <c r="U92" s="649"/>
      <c r="V92" s="649"/>
      <c r="W92" s="649"/>
      <c r="X92" s="649"/>
      <c r="Y92" s="649"/>
      <c r="Z92" s="649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6">
        <v>4607091386967</v>
      </c>
      <c r="E93" s="647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9">
        <v>910</v>
      </c>
      <c r="Y93" s="640">
        <f>IFERROR(IF(X93="",0,CEILING((X93/$H93),1)*$H93),"")</f>
        <v>915.3</v>
      </c>
      <c r="Z93" s="36">
        <f>IFERROR(IF(Y93=0,"",ROUNDUP(Y93/H93,0)*0.01898),"")</f>
        <v>2.1447400000000001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965.49876543209871</v>
      </c>
      <c r="BN93" s="64">
        <f>IFERROR(Y93*I93/H93,"0")</f>
        <v>971.12199999999996</v>
      </c>
      <c r="BO93" s="64">
        <f>IFERROR(1/J93*(X93/H93),"0")</f>
        <v>1.7554012345679013</v>
      </c>
      <c r="BP93" s="64">
        <f>IFERROR(1/J93*(Y93/H93),"0")</f>
        <v>1.765625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6">
        <v>4680115884953</v>
      </c>
      <c r="E94" s="647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4301052094</v>
      </c>
      <c r="D95" s="646">
        <v>4607091385731</v>
      </c>
      <c r="E95" s="647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4"/>
      <c r="R95" s="644"/>
      <c r="S95" s="644"/>
      <c r="T95" s="645"/>
      <c r="U95" s="34"/>
      <c r="V95" s="34"/>
      <c r="W95" s="35" t="s">
        <v>67</v>
      </c>
      <c r="X95" s="639">
        <v>0</v>
      </c>
      <c r="Y95" s="64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6">
        <v>4680115880894</v>
      </c>
      <c r="E96" s="647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4"/>
      <c r="R96" s="644"/>
      <c r="S96" s="644"/>
      <c r="T96" s="645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5"/>
      <c r="B97" s="649"/>
      <c r="C97" s="649"/>
      <c r="D97" s="649"/>
      <c r="E97" s="649"/>
      <c r="F97" s="649"/>
      <c r="G97" s="649"/>
      <c r="H97" s="649"/>
      <c r="I97" s="649"/>
      <c r="J97" s="649"/>
      <c r="K97" s="649"/>
      <c r="L97" s="649"/>
      <c r="M97" s="649"/>
      <c r="N97" s="649"/>
      <c r="O97" s="656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112.34567901234568</v>
      </c>
      <c r="Y97" s="641">
        <f>IFERROR(Y93/H93,"0")+IFERROR(Y94/H94,"0")+IFERROR(Y95/H95,"0")+IFERROR(Y96/H96,"0")</f>
        <v>113</v>
      </c>
      <c r="Z97" s="641">
        <f>IFERROR(IF(Z93="",0,Z93),"0")+IFERROR(IF(Z94="",0,Z94),"0")+IFERROR(IF(Z95="",0,Z95),"0")+IFERROR(IF(Z96="",0,Z96),"0")</f>
        <v>2.1447400000000001</v>
      </c>
      <c r="AA97" s="642"/>
      <c r="AB97" s="642"/>
      <c r="AC97" s="642"/>
    </row>
    <row r="98" spans="1:68" x14ac:dyDescent="0.2">
      <c r="A98" s="649"/>
      <c r="B98" s="649"/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56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910</v>
      </c>
      <c r="Y98" s="641">
        <f>IFERROR(SUM(Y93:Y96),"0")</f>
        <v>915.3</v>
      </c>
      <c r="Z98" s="37"/>
      <c r="AA98" s="642"/>
      <c r="AB98" s="642"/>
      <c r="AC98" s="642"/>
    </row>
    <row r="99" spans="1:68" ht="16.5" hidden="1" customHeight="1" x14ac:dyDescent="0.25">
      <c r="A99" s="660" t="s">
        <v>195</v>
      </c>
      <c r="B99" s="649"/>
      <c r="C99" s="649"/>
      <c r="D99" s="649"/>
      <c r="E99" s="649"/>
      <c r="F99" s="649"/>
      <c r="G99" s="649"/>
      <c r="H99" s="649"/>
      <c r="I99" s="649"/>
      <c r="J99" s="649"/>
      <c r="K99" s="649"/>
      <c r="L99" s="649"/>
      <c r="M99" s="649"/>
      <c r="N99" s="649"/>
      <c r="O99" s="649"/>
      <c r="P99" s="649"/>
      <c r="Q99" s="649"/>
      <c r="R99" s="649"/>
      <c r="S99" s="649"/>
      <c r="T99" s="649"/>
      <c r="U99" s="649"/>
      <c r="V99" s="649"/>
      <c r="W99" s="649"/>
      <c r="X99" s="649"/>
      <c r="Y99" s="649"/>
      <c r="Z99" s="649"/>
      <c r="AA99" s="633"/>
      <c r="AB99" s="633"/>
      <c r="AC99" s="633"/>
    </row>
    <row r="100" spans="1:68" ht="14.25" hidden="1" customHeight="1" x14ac:dyDescent="0.25">
      <c r="A100" s="648" t="s">
        <v>111</v>
      </c>
      <c r="B100" s="649"/>
      <c r="C100" s="649"/>
      <c r="D100" s="649"/>
      <c r="E100" s="649"/>
      <c r="F100" s="649"/>
      <c r="G100" s="649"/>
      <c r="H100" s="649"/>
      <c r="I100" s="649"/>
      <c r="J100" s="649"/>
      <c r="K100" s="649"/>
      <c r="L100" s="649"/>
      <c r="M100" s="649"/>
      <c r="N100" s="649"/>
      <c r="O100" s="649"/>
      <c r="P100" s="649"/>
      <c r="Q100" s="649"/>
      <c r="R100" s="649"/>
      <c r="S100" s="649"/>
      <c r="T100" s="649"/>
      <c r="U100" s="649"/>
      <c r="V100" s="649"/>
      <c r="W100" s="649"/>
      <c r="X100" s="649"/>
      <c r="Y100" s="649"/>
      <c r="Z100" s="649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6">
        <v>4680115882133</v>
      </c>
      <c r="E101" s="647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9">
        <v>63</v>
      </c>
      <c r="Y101" s="640">
        <f t="shared" ref="Y101:Y108" si="5"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65.391666666666666</v>
      </c>
      <c r="BN101" s="64">
        <f t="shared" ref="BN101:BN108" si="7">IFERROR(Y101*I101/H101,"0")</f>
        <v>67.260000000000005</v>
      </c>
      <c r="BO101" s="64">
        <f t="shared" ref="BO101:BO108" si="8">IFERROR(1/J101*(X101/H101),"0")</f>
        <v>9.1145833333333329E-2</v>
      </c>
      <c r="BP101" s="64">
        <f t="shared" ref="BP101:BP108" si="9">IFERROR(1/J101*(Y101/H101),"0")</f>
        <v>9.3750000000000014E-2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6">
        <v>4680115882133</v>
      </c>
      <c r="E102" s="647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4"/>
      <c r="R102" s="644"/>
      <c r="S102" s="644"/>
      <c r="T102" s="645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46">
        <v>4680115887718</v>
      </c>
      <c r="E103" s="647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4"/>
      <c r="R103" s="644"/>
      <c r="S103" s="644"/>
      <c r="T103" s="645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6">
        <v>4680115880269</v>
      </c>
      <c r="E104" s="647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4"/>
      <c r="R104" s="644"/>
      <c r="S104" s="644"/>
      <c r="T104" s="645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6">
        <v>4680115880429</v>
      </c>
      <c r="E105" s="647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4"/>
      <c r="R105" s="644"/>
      <c r="S105" s="644"/>
      <c r="T105" s="645"/>
      <c r="U105" s="34"/>
      <c r="V105" s="34"/>
      <c r="W105" s="35" t="s">
        <v>67</v>
      </c>
      <c r="X105" s="639">
        <v>58</v>
      </c>
      <c r="Y105" s="640">
        <f t="shared" si="5"/>
        <v>58.5</v>
      </c>
      <c r="Z105" s="36">
        <f>IFERROR(IF(Y105=0,"",ROUNDUP(Y105/H105,0)*0.00902),"")</f>
        <v>0.11726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60.448888888888895</v>
      </c>
      <c r="BN105" s="64">
        <f t="shared" si="7"/>
        <v>60.97</v>
      </c>
      <c r="BO105" s="64">
        <f t="shared" si="8"/>
        <v>9.7643097643097643E-2</v>
      </c>
      <c r="BP105" s="64">
        <f t="shared" si="9"/>
        <v>9.8484848484848481E-2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6">
        <v>4680115881457</v>
      </c>
      <c r="E106" s="647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4"/>
      <c r="R106" s="644"/>
      <c r="S106" s="644"/>
      <c r="T106" s="645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6">
        <v>4680115881457</v>
      </c>
      <c r="E107" s="647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6">
        <v>4680115889477</v>
      </c>
      <c r="E108" s="647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5"/>
      <c r="B109" s="649"/>
      <c r="C109" s="649"/>
      <c r="D109" s="649"/>
      <c r="E109" s="649"/>
      <c r="F109" s="649"/>
      <c r="G109" s="649"/>
      <c r="H109" s="649"/>
      <c r="I109" s="649"/>
      <c r="J109" s="649"/>
      <c r="K109" s="649"/>
      <c r="L109" s="649"/>
      <c r="M109" s="649"/>
      <c r="N109" s="649"/>
      <c r="O109" s="656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18.722222222222221</v>
      </c>
      <c r="Y109" s="641">
        <f>IFERROR(Y101/H101,"0")+IFERROR(Y102/H102,"0")+IFERROR(Y103/H103,"0")+IFERROR(Y104/H104,"0")+IFERROR(Y105/H105,"0")+IFERROR(Y106/H106,"0")+IFERROR(Y107/H107,"0")+IFERROR(Y108/H108,"0")</f>
        <v>19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0.23114000000000001</v>
      </c>
      <c r="AA109" s="642"/>
      <c r="AB109" s="642"/>
      <c r="AC109" s="642"/>
    </row>
    <row r="110" spans="1:68" x14ac:dyDescent="0.2">
      <c r="A110" s="649"/>
      <c r="B110" s="649"/>
      <c r="C110" s="649"/>
      <c r="D110" s="649"/>
      <c r="E110" s="649"/>
      <c r="F110" s="649"/>
      <c r="G110" s="649"/>
      <c r="H110" s="649"/>
      <c r="I110" s="649"/>
      <c r="J110" s="649"/>
      <c r="K110" s="649"/>
      <c r="L110" s="649"/>
      <c r="M110" s="649"/>
      <c r="N110" s="649"/>
      <c r="O110" s="656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121</v>
      </c>
      <c r="Y110" s="641">
        <f>IFERROR(SUM(Y101:Y108),"0")</f>
        <v>123.30000000000001</v>
      </c>
      <c r="Z110" s="37"/>
      <c r="AA110" s="642"/>
      <c r="AB110" s="642"/>
      <c r="AC110" s="642"/>
    </row>
    <row r="111" spans="1:68" ht="14.25" hidden="1" customHeight="1" x14ac:dyDescent="0.25">
      <c r="A111" s="648" t="s">
        <v>146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6">
        <v>4680115881488</v>
      </c>
      <c r="E112" s="647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9">
        <v>50</v>
      </c>
      <c r="Y112" s="640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51.898148148148145</v>
      </c>
      <c r="BN112" s="64">
        <f>IFERROR(Y112*I112/H112,"0")</f>
        <v>56.05</v>
      </c>
      <c r="BO112" s="64">
        <f>IFERROR(1/J112*(X112/H112),"0")</f>
        <v>7.2337962962962965E-2</v>
      </c>
      <c r="BP112" s="64">
        <f>IFERROR(1/J112*(Y112/H112),"0")</f>
        <v>7.8125E-2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46">
        <v>4680115887664</v>
      </c>
      <c r="E113" s="647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4"/>
      <c r="R113" s="644"/>
      <c r="S113" s="644"/>
      <c r="T113" s="645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6">
        <v>4680115887664</v>
      </c>
      <c r="E114" s="647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4"/>
      <c r="R114" s="644"/>
      <c r="S114" s="644"/>
      <c r="T114" s="645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6">
        <v>4680115882775</v>
      </c>
      <c r="E115" s="647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4"/>
      <c r="R115" s="644"/>
      <c r="S115" s="644"/>
      <c r="T115" s="645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46">
        <v>4680115880658</v>
      </c>
      <c r="E116" s="647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9">
        <v>46</v>
      </c>
      <c r="Y116" s="640">
        <f>IFERROR(IF(X116="",0,CEILING((X116/$H116),1)*$H116),"")</f>
        <v>48</v>
      </c>
      <c r="Z116" s="36">
        <f>IFERROR(IF(Y116=0,"",ROUNDUP(Y116/H116,0)*0.00651),"")</f>
        <v>0.13020000000000001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49.45</v>
      </c>
      <c r="BN116" s="64">
        <f>IFERROR(Y116*I116/H116,"0")</f>
        <v>51.6</v>
      </c>
      <c r="BO116" s="64">
        <f>IFERROR(1/J116*(X116/H116),"0")</f>
        <v>0.10531135531135533</v>
      </c>
      <c r="BP116" s="64">
        <f>IFERROR(1/J116*(Y116/H116),"0")</f>
        <v>0.1098901098901099</v>
      </c>
    </row>
    <row r="117" spans="1:68" x14ac:dyDescent="0.2">
      <c r="A117" s="655"/>
      <c r="B117" s="649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49"/>
      <c r="N117" s="649"/>
      <c r="O117" s="656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23.796296296296298</v>
      </c>
      <c r="Y117" s="641">
        <f>IFERROR(Y112/H112,"0")+IFERROR(Y113/H113,"0")+IFERROR(Y114/H114,"0")+IFERROR(Y115/H115,"0")+IFERROR(Y116/H116,"0")</f>
        <v>25</v>
      </c>
      <c r="Z117" s="641">
        <f>IFERROR(IF(Z112="",0,Z112),"0")+IFERROR(IF(Z113="",0,Z113),"0")+IFERROR(IF(Z114="",0,Z114),"0")+IFERROR(IF(Z115="",0,Z115),"0")+IFERROR(IF(Z116="",0,Z116),"0")</f>
        <v>0.22510000000000002</v>
      </c>
      <c r="AA117" s="642"/>
      <c r="AB117" s="642"/>
      <c r="AC117" s="642"/>
    </row>
    <row r="118" spans="1:68" x14ac:dyDescent="0.2">
      <c r="A118" s="649"/>
      <c r="B118" s="649"/>
      <c r="C118" s="649"/>
      <c r="D118" s="649"/>
      <c r="E118" s="649"/>
      <c r="F118" s="649"/>
      <c r="G118" s="649"/>
      <c r="H118" s="649"/>
      <c r="I118" s="649"/>
      <c r="J118" s="649"/>
      <c r="K118" s="649"/>
      <c r="L118" s="649"/>
      <c r="M118" s="649"/>
      <c r="N118" s="649"/>
      <c r="O118" s="656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96</v>
      </c>
      <c r="Y118" s="641">
        <f>IFERROR(SUM(Y112:Y116),"0")</f>
        <v>102</v>
      </c>
      <c r="Z118" s="37"/>
      <c r="AA118" s="642"/>
      <c r="AB118" s="642"/>
      <c r="AC118" s="642"/>
    </row>
    <row r="119" spans="1:68" ht="14.25" hidden="1" customHeight="1" x14ac:dyDescent="0.25">
      <c r="A119" s="648" t="s">
        <v>74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46">
        <v>4607091385168</v>
      </c>
      <c r="E120" s="647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9">
        <v>576</v>
      </c>
      <c r="Y120" s="640">
        <f>IFERROR(IF(X120="",0,CEILING((X120/$H120),1)*$H120),"")</f>
        <v>583.19999999999993</v>
      </c>
      <c r="Z120" s="36">
        <f>IFERROR(IF(Y120=0,"",ROUNDUP(Y120/H120,0)*0.01898),"")</f>
        <v>1.36656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610.70222222222219</v>
      </c>
      <c r="BN120" s="64">
        <f>IFERROR(Y120*I120/H120,"0")</f>
        <v>618.3359999999999</v>
      </c>
      <c r="BO120" s="64">
        <f>IFERROR(1/J120*(X120/H120),"0")</f>
        <v>1.1111111111111112</v>
      </c>
      <c r="BP120" s="64">
        <f>IFERROR(1/J120*(Y120/H120),"0")</f>
        <v>1.125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6">
        <v>4607091383256</v>
      </c>
      <c r="E121" s="647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4"/>
      <c r="R121" s="644"/>
      <c r="S121" s="644"/>
      <c r="T121" s="645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231</v>
      </c>
      <c r="B122" s="54" t="s">
        <v>232</v>
      </c>
      <c r="C122" s="31">
        <v>4301052086</v>
      </c>
      <c r="D122" s="646">
        <v>4607091385748</v>
      </c>
      <c r="E122" s="647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4"/>
      <c r="R122" s="644"/>
      <c r="S122" s="644"/>
      <c r="T122" s="645"/>
      <c r="U122" s="34"/>
      <c r="V122" s="34"/>
      <c r="W122" s="35" t="s">
        <v>67</v>
      </c>
      <c r="X122" s="639">
        <v>0</v>
      </c>
      <c r="Y122" s="64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6">
        <v>4680115884533</v>
      </c>
      <c r="E123" s="647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4"/>
      <c r="R123" s="644"/>
      <c r="S123" s="644"/>
      <c r="T123" s="645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5"/>
      <c r="B124" s="649"/>
      <c r="C124" s="649"/>
      <c r="D124" s="649"/>
      <c r="E124" s="649"/>
      <c r="F124" s="649"/>
      <c r="G124" s="649"/>
      <c r="H124" s="649"/>
      <c r="I124" s="649"/>
      <c r="J124" s="649"/>
      <c r="K124" s="649"/>
      <c r="L124" s="649"/>
      <c r="M124" s="649"/>
      <c r="N124" s="649"/>
      <c r="O124" s="656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71.111111111111114</v>
      </c>
      <c r="Y124" s="641">
        <f>IFERROR(Y120/H120,"0")+IFERROR(Y121/H121,"0")+IFERROR(Y122/H122,"0")+IFERROR(Y123/H123,"0")</f>
        <v>72</v>
      </c>
      <c r="Z124" s="641">
        <f>IFERROR(IF(Z120="",0,Z120),"0")+IFERROR(IF(Z121="",0,Z121),"0")+IFERROR(IF(Z122="",0,Z122),"0")+IFERROR(IF(Z123="",0,Z123),"0")</f>
        <v>1.36656</v>
      </c>
      <c r="AA124" s="642"/>
      <c r="AB124" s="642"/>
      <c r="AC124" s="642"/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6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576</v>
      </c>
      <c r="Y125" s="641">
        <f>IFERROR(SUM(Y120:Y123),"0")</f>
        <v>583.19999999999993</v>
      </c>
      <c r="Z125" s="37"/>
      <c r="AA125" s="642"/>
      <c r="AB125" s="642"/>
      <c r="AC125" s="642"/>
    </row>
    <row r="126" spans="1:68" ht="14.25" hidden="1" customHeight="1" x14ac:dyDescent="0.25">
      <c r="A126" s="648" t="s">
        <v>164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4"/>
      <c r="AB126" s="634"/>
      <c r="AC126" s="634"/>
    </row>
    <row r="127" spans="1:68" ht="16.5" hidden="1" customHeight="1" x14ac:dyDescent="0.25">
      <c r="A127" s="54" t="s">
        <v>236</v>
      </c>
      <c r="B127" s="54" t="s">
        <v>237</v>
      </c>
      <c r="C127" s="31">
        <v>4301060525</v>
      </c>
      <c r="D127" s="646">
        <v>4680115880238</v>
      </c>
      <c r="E127" s="647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9">
        <v>0</v>
      </c>
      <c r="Y127" s="64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55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6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0</v>
      </c>
      <c r="Y128" s="641">
        <f>IFERROR(Y127/H127,"0")</f>
        <v>0</v>
      </c>
      <c r="Z128" s="641">
        <f>IFERROR(IF(Z127="",0,Z127),"0")</f>
        <v>0</v>
      </c>
      <c r="AA128" s="642"/>
      <c r="AB128" s="642"/>
      <c r="AC128" s="642"/>
    </row>
    <row r="129" spans="1:68" hidden="1" x14ac:dyDescent="0.2">
      <c r="A129" s="649"/>
      <c r="B129" s="649"/>
      <c r="C129" s="649"/>
      <c r="D129" s="649"/>
      <c r="E129" s="649"/>
      <c r="F129" s="649"/>
      <c r="G129" s="649"/>
      <c r="H129" s="649"/>
      <c r="I129" s="649"/>
      <c r="J129" s="649"/>
      <c r="K129" s="649"/>
      <c r="L129" s="649"/>
      <c r="M129" s="649"/>
      <c r="N129" s="649"/>
      <c r="O129" s="656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0</v>
      </c>
      <c r="Y129" s="641">
        <f>IFERROR(SUM(Y127:Y127),"0")</f>
        <v>0</v>
      </c>
      <c r="Z129" s="37"/>
      <c r="AA129" s="642"/>
      <c r="AB129" s="642"/>
      <c r="AC129" s="642"/>
    </row>
    <row r="130" spans="1:68" ht="16.5" hidden="1" customHeight="1" x14ac:dyDescent="0.25">
      <c r="A130" s="660" t="s">
        <v>239</v>
      </c>
      <c r="B130" s="649"/>
      <c r="C130" s="649"/>
      <c r="D130" s="649"/>
      <c r="E130" s="649"/>
      <c r="F130" s="649"/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49"/>
      <c r="W130" s="649"/>
      <c r="X130" s="649"/>
      <c r="Y130" s="649"/>
      <c r="Z130" s="649"/>
      <c r="AA130" s="633"/>
      <c r="AB130" s="633"/>
      <c r="AC130" s="633"/>
    </row>
    <row r="131" spans="1:68" ht="14.25" hidden="1" customHeight="1" x14ac:dyDescent="0.25">
      <c r="A131" s="648" t="s">
        <v>111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6">
        <v>4680115882577</v>
      </c>
      <c r="E132" s="647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4"/>
      <c r="R132" s="644"/>
      <c r="S132" s="644"/>
      <c r="T132" s="645"/>
      <c r="U132" s="34"/>
      <c r="V132" s="34"/>
      <c r="W132" s="35" t="s">
        <v>67</v>
      </c>
      <c r="X132" s="639">
        <v>17</v>
      </c>
      <c r="Y132" s="640">
        <f>IFERROR(IF(X132="",0,CEILING((X132/$H132),1)*$H132),"")</f>
        <v>19.200000000000003</v>
      </c>
      <c r="Z132" s="36">
        <f>IFERROR(IF(Y132=0,"",ROUNDUP(Y132/H132,0)*0.00651),"")</f>
        <v>3.9059999999999997E-2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17.956250000000001</v>
      </c>
      <c r="BN132" s="64">
        <f>IFERROR(Y132*I132/H132,"0")</f>
        <v>20.279999999999998</v>
      </c>
      <c r="BO132" s="64">
        <f>IFERROR(1/J132*(X132/H132),"0")</f>
        <v>2.9189560439560443E-2</v>
      </c>
      <c r="BP132" s="64">
        <f>IFERROR(1/J132*(Y132/H132),"0")</f>
        <v>3.2967032967032975E-2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6">
        <v>4680115882577</v>
      </c>
      <c r="E133" s="647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4"/>
      <c r="R133" s="644"/>
      <c r="S133" s="644"/>
      <c r="T133" s="645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49"/>
      <c r="C134" s="649"/>
      <c r="D134" s="649"/>
      <c r="E134" s="649"/>
      <c r="F134" s="649"/>
      <c r="G134" s="649"/>
      <c r="H134" s="649"/>
      <c r="I134" s="649"/>
      <c r="J134" s="649"/>
      <c r="K134" s="649"/>
      <c r="L134" s="649"/>
      <c r="M134" s="649"/>
      <c r="N134" s="649"/>
      <c r="O134" s="656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5.3125</v>
      </c>
      <c r="Y134" s="641">
        <f>IFERROR(Y132/H132,"0")+IFERROR(Y133/H133,"0")</f>
        <v>6.0000000000000009</v>
      </c>
      <c r="Z134" s="641">
        <f>IFERROR(IF(Z132="",0,Z132),"0")+IFERROR(IF(Z133="",0,Z133),"0")</f>
        <v>3.9059999999999997E-2</v>
      </c>
      <c r="AA134" s="642"/>
      <c r="AB134" s="642"/>
      <c r="AC134" s="642"/>
    </row>
    <row r="135" spans="1:68" x14ac:dyDescent="0.2">
      <c r="A135" s="649"/>
      <c r="B135" s="649"/>
      <c r="C135" s="649"/>
      <c r="D135" s="649"/>
      <c r="E135" s="649"/>
      <c r="F135" s="649"/>
      <c r="G135" s="649"/>
      <c r="H135" s="649"/>
      <c r="I135" s="649"/>
      <c r="J135" s="649"/>
      <c r="K135" s="649"/>
      <c r="L135" s="649"/>
      <c r="M135" s="649"/>
      <c r="N135" s="649"/>
      <c r="O135" s="656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17</v>
      </c>
      <c r="Y135" s="641">
        <f>IFERROR(SUM(Y132:Y133),"0")</f>
        <v>19.200000000000003</v>
      </c>
      <c r="Z135" s="37"/>
      <c r="AA135" s="642"/>
      <c r="AB135" s="642"/>
      <c r="AC135" s="642"/>
    </row>
    <row r="136" spans="1:68" ht="14.25" hidden="1" customHeight="1" x14ac:dyDescent="0.25">
      <c r="A136" s="648" t="s">
        <v>62</v>
      </c>
      <c r="B136" s="649"/>
      <c r="C136" s="649"/>
      <c r="D136" s="649"/>
      <c r="E136" s="649"/>
      <c r="F136" s="649"/>
      <c r="G136" s="649"/>
      <c r="H136" s="649"/>
      <c r="I136" s="649"/>
      <c r="J136" s="649"/>
      <c r="K136" s="649"/>
      <c r="L136" s="649"/>
      <c r="M136" s="649"/>
      <c r="N136" s="649"/>
      <c r="O136" s="649"/>
      <c r="P136" s="649"/>
      <c r="Q136" s="649"/>
      <c r="R136" s="649"/>
      <c r="S136" s="649"/>
      <c r="T136" s="649"/>
      <c r="U136" s="649"/>
      <c r="V136" s="649"/>
      <c r="W136" s="649"/>
      <c r="X136" s="649"/>
      <c r="Y136" s="649"/>
      <c r="Z136" s="649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46">
        <v>4680115883444</v>
      </c>
      <c r="E137" s="647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4"/>
      <c r="R137" s="644"/>
      <c r="S137" s="644"/>
      <c r="T137" s="645"/>
      <c r="U137" s="34"/>
      <c r="V137" s="34"/>
      <c r="W137" s="35" t="s">
        <v>67</v>
      </c>
      <c r="X137" s="639">
        <v>18</v>
      </c>
      <c r="Y137" s="640">
        <f>IFERROR(IF(X137="",0,CEILING((X137/$H137),1)*$H137),"")</f>
        <v>19.599999999999998</v>
      </c>
      <c r="Z137" s="36">
        <f>IFERROR(IF(Y137=0,"",ROUNDUP(Y137/H137,0)*0.00651),"")</f>
        <v>4.5569999999999999E-2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19.722857142857144</v>
      </c>
      <c r="BN137" s="64">
        <f>IFERROR(Y137*I137/H137,"0")</f>
        <v>21.475999999999999</v>
      </c>
      <c r="BO137" s="64">
        <f>IFERROR(1/J137*(X137/H137),"0")</f>
        <v>3.5321821036106753E-2</v>
      </c>
      <c r="BP137" s="64">
        <f>IFERROR(1/J137*(Y137/H137),"0")</f>
        <v>3.8461538461538464E-2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6">
        <v>4680115883444</v>
      </c>
      <c r="E138" s="647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4"/>
      <c r="R138" s="644"/>
      <c r="S138" s="644"/>
      <c r="T138" s="645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5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6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6.4285714285714288</v>
      </c>
      <c r="Y139" s="641">
        <f>IFERROR(Y137/H137,"0")+IFERROR(Y138/H138,"0")</f>
        <v>7</v>
      </c>
      <c r="Z139" s="641">
        <f>IFERROR(IF(Z137="",0,Z137),"0")+IFERROR(IF(Z138="",0,Z138),"0")</f>
        <v>4.5569999999999999E-2</v>
      </c>
      <c r="AA139" s="642"/>
      <c r="AB139" s="642"/>
      <c r="AC139" s="642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6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18</v>
      </c>
      <c r="Y140" s="641">
        <f>IFERROR(SUM(Y137:Y138),"0")</f>
        <v>19.599999999999998</v>
      </c>
      <c r="Z140" s="37"/>
      <c r="AA140" s="642"/>
      <c r="AB140" s="642"/>
      <c r="AC140" s="642"/>
    </row>
    <row r="141" spans="1:68" ht="14.25" hidden="1" customHeight="1" x14ac:dyDescent="0.25">
      <c r="A141" s="648" t="s">
        <v>74</v>
      </c>
      <c r="B141" s="649"/>
      <c r="C141" s="649"/>
      <c r="D141" s="649"/>
      <c r="E141" s="649"/>
      <c r="F141" s="649"/>
      <c r="G141" s="649"/>
      <c r="H141" s="649"/>
      <c r="I141" s="649"/>
      <c r="J141" s="649"/>
      <c r="K141" s="649"/>
      <c r="L141" s="649"/>
      <c r="M141" s="649"/>
      <c r="N141" s="649"/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46">
        <v>4680115882584</v>
      </c>
      <c r="E142" s="647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4"/>
      <c r="R142" s="644"/>
      <c r="S142" s="644"/>
      <c r="T142" s="645"/>
      <c r="U142" s="34"/>
      <c r="V142" s="34"/>
      <c r="W142" s="35" t="s">
        <v>67</v>
      </c>
      <c r="X142" s="639">
        <v>66</v>
      </c>
      <c r="Y142" s="640">
        <f>IFERROR(IF(X142="",0,CEILING((X142/$H142),1)*$H142),"")</f>
        <v>66</v>
      </c>
      <c r="Z142" s="36">
        <f>IFERROR(IF(Y142=0,"",ROUNDUP(Y142/H142,0)*0.00651),"")</f>
        <v>0.16275000000000001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72.699999999999989</v>
      </c>
      <c r="BN142" s="64">
        <f>IFERROR(Y142*I142/H142,"0")</f>
        <v>72.699999999999989</v>
      </c>
      <c r="BO142" s="64">
        <f>IFERROR(1/J142*(X142/H142),"0")</f>
        <v>0.13736263736263737</v>
      </c>
      <c r="BP142" s="64">
        <f>IFERROR(1/J142*(Y142/H142),"0")</f>
        <v>0.13736263736263737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6">
        <v>4680115882584</v>
      </c>
      <c r="E143" s="647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4"/>
      <c r="R143" s="644"/>
      <c r="S143" s="644"/>
      <c r="T143" s="645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5"/>
      <c r="B144" s="649"/>
      <c r="C144" s="649"/>
      <c r="D144" s="649"/>
      <c r="E144" s="649"/>
      <c r="F144" s="649"/>
      <c r="G144" s="649"/>
      <c r="H144" s="649"/>
      <c r="I144" s="649"/>
      <c r="J144" s="649"/>
      <c r="K144" s="649"/>
      <c r="L144" s="649"/>
      <c r="M144" s="649"/>
      <c r="N144" s="649"/>
      <c r="O144" s="656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25</v>
      </c>
      <c r="Y144" s="641">
        <f>IFERROR(Y142/H142,"0")+IFERROR(Y143/H143,"0")</f>
        <v>25</v>
      </c>
      <c r="Z144" s="641">
        <f>IFERROR(IF(Z142="",0,Z142),"0")+IFERROR(IF(Z143="",0,Z143),"0")</f>
        <v>0.16275000000000001</v>
      </c>
      <c r="AA144" s="642"/>
      <c r="AB144" s="642"/>
      <c r="AC144" s="642"/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6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66</v>
      </c>
      <c r="Y145" s="641">
        <f>IFERROR(SUM(Y142:Y143),"0")</f>
        <v>66</v>
      </c>
      <c r="Z145" s="37"/>
      <c r="AA145" s="642"/>
      <c r="AB145" s="642"/>
      <c r="AC145" s="642"/>
    </row>
    <row r="146" spans="1:68" ht="16.5" hidden="1" customHeight="1" x14ac:dyDescent="0.25">
      <c r="A146" s="660" t="s">
        <v>252</v>
      </c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49"/>
      <c r="P146" s="649"/>
      <c r="Q146" s="649"/>
      <c r="R146" s="649"/>
      <c r="S146" s="649"/>
      <c r="T146" s="649"/>
      <c r="U146" s="649"/>
      <c r="V146" s="649"/>
      <c r="W146" s="649"/>
      <c r="X146" s="649"/>
      <c r="Y146" s="649"/>
      <c r="Z146" s="649"/>
      <c r="AA146" s="633"/>
      <c r="AB146" s="633"/>
      <c r="AC146" s="633"/>
    </row>
    <row r="147" spans="1:68" ht="14.25" hidden="1" customHeight="1" x14ac:dyDescent="0.25">
      <c r="A147" s="648" t="s">
        <v>74</v>
      </c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6">
        <v>4680115888203</v>
      </c>
      <c r="E148" s="647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4"/>
      <c r="R148" s="644"/>
      <c r="S148" s="644"/>
      <c r="T148" s="645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6">
        <v>4680115888180</v>
      </c>
      <c r="E149" s="647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4"/>
      <c r="R149" s="644"/>
      <c r="S149" s="644"/>
      <c r="T149" s="645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6">
        <v>4680115888180</v>
      </c>
      <c r="E150" s="647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4"/>
      <c r="R150" s="644"/>
      <c r="S150" s="644"/>
      <c r="T150" s="645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6">
        <v>4680115888197</v>
      </c>
      <c r="E151" s="647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4"/>
      <c r="R151" s="644"/>
      <c r="S151" s="644"/>
      <c r="T151" s="645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6">
        <v>4680115888210</v>
      </c>
      <c r="E152" s="647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6">
        <v>4680115888210</v>
      </c>
      <c r="E153" s="647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5"/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56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6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8" t="s">
        <v>267</v>
      </c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49"/>
      <c r="P156" s="649"/>
      <c r="Q156" s="649"/>
      <c r="R156" s="649"/>
      <c r="S156" s="649"/>
      <c r="T156" s="649"/>
      <c r="U156" s="649"/>
      <c r="V156" s="649"/>
      <c r="W156" s="649"/>
      <c r="X156" s="649"/>
      <c r="Y156" s="649"/>
      <c r="Z156" s="649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6">
        <v>4680115889132</v>
      </c>
      <c r="E157" s="647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4"/>
      <c r="R157" s="644"/>
      <c r="S157" s="644"/>
      <c r="T157" s="645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5"/>
      <c r="B158" s="649"/>
      <c r="C158" s="649"/>
      <c r="D158" s="649"/>
      <c r="E158" s="649"/>
      <c r="F158" s="649"/>
      <c r="G158" s="649"/>
      <c r="H158" s="649"/>
      <c r="I158" s="649"/>
      <c r="J158" s="649"/>
      <c r="K158" s="649"/>
      <c r="L158" s="649"/>
      <c r="M158" s="649"/>
      <c r="N158" s="649"/>
      <c r="O158" s="656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6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60" t="s">
        <v>109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3"/>
      <c r="AB160" s="633"/>
      <c r="AC160" s="633"/>
    </row>
    <row r="161" spans="1:68" ht="14.25" hidden="1" customHeight="1" x14ac:dyDescent="0.25">
      <c r="A161" s="648" t="s">
        <v>111</v>
      </c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49"/>
      <c r="P161" s="649"/>
      <c r="Q161" s="649"/>
      <c r="R161" s="649"/>
      <c r="S161" s="649"/>
      <c r="T161" s="649"/>
      <c r="U161" s="649"/>
      <c r="V161" s="649"/>
      <c r="W161" s="649"/>
      <c r="X161" s="649"/>
      <c r="Y161" s="649"/>
      <c r="Z161" s="649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6">
        <v>4680115887374</v>
      </c>
      <c r="E162" s="647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4"/>
      <c r="R162" s="644"/>
      <c r="S162" s="644"/>
      <c r="T162" s="645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6">
        <v>4607091384604</v>
      </c>
      <c r="E163" s="647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8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4"/>
      <c r="R163" s="644"/>
      <c r="S163" s="644"/>
      <c r="T163" s="645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6">
        <v>4680115888876</v>
      </c>
      <c r="E164" s="647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5"/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56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9"/>
      <c r="B166" s="649"/>
      <c r="C166" s="649"/>
      <c r="D166" s="649"/>
      <c r="E166" s="649"/>
      <c r="F166" s="649"/>
      <c r="G166" s="649"/>
      <c r="H166" s="649"/>
      <c r="I166" s="649"/>
      <c r="J166" s="649"/>
      <c r="K166" s="649"/>
      <c r="L166" s="649"/>
      <c r="M166" s="649"/>
      <c r="N166" s="649"/>
      <c r="O166" s="656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8" t="s">
        <v>146</v>
      </c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49"/>
      <c r="P167" s="649"/>
      <c r="Q167" s="649"/>
      <c r="R167" s="649"/>
      <c r="S167" s="649"/>
      <c r="T167" s="649"/>
      <c r="U167" s="649"/>
      <c r="V167" s="649"/>
      <c r="W167" s="649"/>
      <c r="X167" s="649"/>
      <c r="Y167" s="649"/>
      <c r="Z167" s="649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6">
        <v>4680115887695</v>
      </c>
      <c r="E168" s="647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4"/>
      <c r="R168" s="644"/>
      <c r="S168" s="644"/>
      <c r="T168" s="645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6">
        <v>4680115889491</v>
      </c>
      <c r="E169" s="647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8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4"/>
      <c r="R169" s="644"/>
      <c r="S169" s="644"/>
      <c r="T169" s="645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5"/>
      <c r="B170" s="649"/>
      <c r="C170" s="649"/>
      <c r="D170" s="649"/>
      <c r="E170" s="649"/>
      <c r="F170" s="649"/>
      <c r="G170" s="649"/>
      <c r="H170" s="649"/>
      <c r="I170" s="649"/>
      <c r="J170" s="649"/>
      <c r="K170" s="649"/>
      <c r="L170" s="649"/>
      <c r="M170" s="649"/>
      <c r="N170" s="649"/>
      <c r="O170" s="656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9"/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56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8" t="s">
        <v>62</v>
      </c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49"/>
      <c r="P172" s="649"/>
      <c r="Q172" s="649"/>
      <c r="R172" s="649"/>
      <c r="S172" s="649"/>
      <c r="T172" s="649"/>
      <c r="U172" s="649"/>
      <c r="V172" s="649"/>
      <c r="W172" s="649"/>
      <c r="X172" s="649"/>
      <c r="Y172" s="649"/>
      <c r="Z172" s="649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6">
        <v>4680115887428</v>
      </c>
      <c r="E173" s="647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4"/>
      <c r="R173" s="644"/>
      <c r="S173" s="644"/>
      <c r="T173" s="645"/>
      <c r="U173" s="34"/>
      <c r="V173" s="34"/>
      <c r="W173" s="35" t="s">
        <v>67</v>
      </c>
      <c r="X173" s="639">
        <v>50</v>
      </c>
      <c r="Y173" s="640">
        <f t="shared" ref="Y173:Y184" si="16">IFERROR(IF(X173="",0,CEILING((X173/$H173),1)*$H173),"")</f>
        <v>52.5</v>
      </c>
      <c r="Z173" s="36">
        <f>IFERROR(IF(Y173=0,"",ROUNDUP(Y173/H173,0)*0.00902),"")</f>
        <v>0.1353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52.714285714285715</v>
      </c>
      <c r="BN173" s="64">
        <f t="shared" ref="BN173:BN184" si="18">IFERROR(Y173*I173/H173,"0")</f>
        <v>55.35</v>
      </c>
      <c r="BO173" s="64">
        <f t="shared" ref="BO173:BO184" si="19">IFERROR(1/J173*(X173/H173),"0")</f>
        <v>0.10822510822510824</v>
      </c>
      <c r="BP173" s="64">
        <f t="shared" ref="BP173:BP184" si="20">IFERROR(1/J173*(Y173/H173),"0")</f>
        <v>0.11363636363636365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6">
        <v>4680115889170</v>
      </c>
      <c r="E174" s="647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9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4"/>
      <c r="R174" s="644"/>
      <c r="S174" s="644"/>
      <c r="T174" s="645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4301031498</v>
      </c>
      <c r="D175" s="646">
        <v>4680115887398</v>
      </c>
      <c r="E175" s="647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4"/>
      <c r="R175" s="644"/>
      <c r="S175" s="644"/>
      <c r="T175" s="645"/>
      <c r="U175" s="34"/>
      <c r="V175" s="34"/>
      <c r="W175" s="35" t="s">
        <v>67</v>
      </c>
      <c r="X175" s="639">
        <v>60</v>
      </c>
      <c r="Y175" s="640">
        <f t="shared" si="16"/>
        <v>63</v>
      </c>
      <c r="Z175" s="36">
        <f>IFERROR(IF(Y175=0,"",ROUNDUP(Y175/H175,0)*0.00902),"")</f>
        <v>0.16236</v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63.25714285714286</v>
      </c>
      <c r="BN175" s="64">
        <f t="shared" si="18"/>
        <v>66.42</v>
      </c>
      <c r="BO175" s="64">
        <f t="shared" si="19"/>
        <v>0.12987012987012986</v>
      </c>
      <c r="BP175" s="64">
        <f t="shared" si="20"/>
        <v>0.13636363636363635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6">
        <v>4680115887398</v>
      </c>
      <c r="E176" s="647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46">
        <v>4680115887336</v>
      </c>
      <c r="E177" s="647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46">
        <v>4680115887787</v>
      </c>
      <c r="E178" s="647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6">
        <v>4680115887787</v>
      </c>
      <c r="E179" s="647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46">
        <v>4680115887503</v>
      </c>
      <c r="E180" s="647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46">
        <v>4680115887763</v>
      </c>
      <c r="E181" s="647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6">
        <v>4680115887480</v>
      </c>
      <c r="E182" s="647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8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46">
        <v>4680115888067</v>
      </c>
      <c r="E183" s="647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46">
        <v>4680115887435</v>
      </c>
      <c r="E184" s="647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5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6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31.428571428571431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33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0.29766000000000004</v>
      </c>
      <c r="AA185" s="642"/>
      <c r="AB185" s="642"/>
      <c r="AC185" s="642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6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110</v>
      </c>
      <c r="Y186" s="641">
        <f>IFERROR(SUM(Y173:Y184),"0")</f>
        <v>115.5</v>
      </c>
      <c r="Z186" s="37"/>
      <c r="AA186" s="642"/>
      <c r="AB186" s="642"/>
      <c r="AC186" s="642"/>
    </row>
    <row r="187" spans="1:68" ht="14.25" hidden="1" customHeight="1" x14ac:dyDescent="0.25">
      <c r="A187" s="648" t="s">
        <v>74</v>
      </c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49"/>
      <c r="P187" s="649"/>
      <c r="Q187" s="649"/>
      <c r="R187" s="649"/>
      <c r="S187" s="649"/>
      <c r="T187" s="649"/>
      <c r="U187" s="649"/>
      <c r="V187" s="649"/>
      <c r="W187" s="649"/>
      <c r="X187" s="649"/>
      <c r="Y187" s="649"/>
      <c r="Z187" s="649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6">
        <v>4680115888395</v>
      </c>
      <c r="E188" s="647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4"/>
      <c r="R188" s="644"/>
      <c r="S188" s="644"/>
      <c r="T188" s="645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6">
        <v>4680115888371</v>
      </c>
      <c r="E189" s="647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4"/>
      <c r="R189" s="644"/>
      <c r="S189" s="644"/>
      <c r="T189" s="645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46">
        <v>4680115887459</v>
      </c>
      <c r="E190" s="647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5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6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6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8" t="s">
        <v>328</v>
      </c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49"/>
      <c r="P193" s="649"/>
      <c r="Q193" s="649"/>
      <c r="R193" s="649"/>
      <c r="S193" s="649"/>
      <c r="T193" s="649"/>
      <c r="U193" s="649"/>
      <c r="V193" s="649"/>
      <c r="W193" s="649"/>
      <c r="X193" s="649"/>
      <c r="Y193" s="649"/>
      <c r="Z193" s="649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6">
        <v>4680115889033</v>
      </c>
      <c r="E194" s="647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4"/>
      <c r="R194" s="644"/>
      <c r="S194" s="644"/>
      <c r="T194" s="645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5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6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9"/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56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58" t="s">
        <v>333</v>
      </c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48"/>
      <c r="AB197" s="48"/>
      <c r="AC197" s="48"/>
    </row>
    <row r="198" spans="1:68" ht="16.5" hidden="1" customHeight="1" x14ac:dyDescent="0.25">
      <c r="A198" s="660" t="s">
        <v>334</v>
      </c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49"/>
      <c r="P198" s="649"/>
      <c r="Q198" s="649"/>
      <c r="R198" s="649"/>
      <c r="S198" s="649"/>
      <c r="T198" s="649"/>
      <c r="U198" s="649"/>
      <c r="V198" s="649"/>
      <c r="W198" s="649"/>
      <c r="X198" s="649"/>
      <c r="Y198" s="649"/>
      <c r="Z198" s="649"/>
      <c r="AA198" s="633"/>
      <c r="AB198" s="633"/>
      <c r="AC198" s="633"/>
    </row>
    <row r="199" spans="1:68" ht="14.25" hidden="1" customHeight="1" x14ac:dyDescent="0.25">
      <c r="A199" s="648" t="s">
        <v>111</v>
      </c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6">
        <v>4607091383423</v>
      </c>
      <c r="E200" s="647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4"/>
      <c r="R200" s="644"/>
      <c r="S200" s="644"/>
      <c r="T200" s="645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6">
        <v>4680115888760</v>
      </c>
      <c r="E201" s="647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4"/>
      <c r="R201" s="644"/>
      <c r="S201" s="644"/>
      <c r="T201" s="645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6">
        <v>4680115888807</v>
      </c>
      <c r="E202" s="647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1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4"/>
      <c r="R202" s="644"/>
      <c r="S202" s="644"/>
      <c r="T202" s="645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6">
        <v>4680115888852</v>
      </c>
      <c r="E203" s="647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4"/>
      <c r="R203" s="644"/>
      <c r="S203" s="644"/>
      <c r="T203" s="645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6">
        <v>4680115886957</v>
      </c>
      <c r="E204" s="647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4"/>
      <c r="R204" s="644"/>
      <c r="S204" s="644"/>
      <c r="T204" s="645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6">
        <v>4680115885660</v>
      </c>
      <c r="E205" s="647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4"/>
      <c r="R205" s="644"/>
      <c r="S205" s="644"/>
      <c r="T205" s="645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6">
        <v>4680115886773</v>
      </c>
      <c r="E206" s="647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5"/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56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9"/>
      <c r="B208" s="649"/>
      <c r="C208" s="649"/>
      <c r="D208" s="649"/>
      <c r="E208" s="649"/>
      <c r="F208" s="649"/>
      <c r="G208" s="649"/>
      <c r="H208" s="649"/>
      <c r="I208" s="649"/>
      <c r="J208" s="649"/>
      <c r="K208" s="649"/>
      <c r="L208" s="649"/>
      <c r="M208" s="649"/>
      <c r="N208" s="649"/>
      <c r="O208" s="656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60" t="s">
        <v>355</v>
      </c>
      <c r="B209" s="649"/>
      <c r="C209" s="649"/>
      <c r="D209" s="649"/>
      <c r="E209" s="649"/>
      <c r="F209" s="649"/>
      <c r="G209" s="649"/>
      <c r="H209" s="649"/>
      <c r="I209" s="649"/>
      <c r="J209" s="649"/>
      <c r="K209" s="649"/>
      <c r="L209" s="649"/>
      <c r="M209" s="649"/>
      <c r="N209" s="649"/>
      <c r="O209" s="649"/>
      <c r="P209" s="649"/>
      <c r="Q209" s="649"/>
      <c r="R209" s="649"/>
      <c r="S209" s="649"/>
      <c r="T209" s="649"/>
      <c r="U209" s="649"/>
      <c r="V209" s="649"/>
      <c r="W209" s="649"/>
      <c r="X209" s="649"/>
      <c r="Y209" s="649"/>
      <c r="Z209" s="649"/>
      <c r="AA209" s="633"/>
      <c r="AB209" s="633"/>
      <c r="AC209" s="633"/>
    </row>
    <row r="210" spans="1:68" ht="14.25" hidden="1" customHeight="1" x14ac:dyDescent="0.25">
      <c r="A210" s="648" t="s">
        <v>146</v>
      </c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49"/>
      <c r="P210" s="649"/>
      <c r="Q210" s="649"/>
      <c r="R210" s="649"/>
      <c r="S210" s="649"/>
      <c r="T210" s="649"/>
      <c r="U210" s="649"/>
      <c r="V210" s="649"/>
      <c r="W210" s="649"/>
      <c r="X210" s="649"/>
      <c r="Y210" s="649"/>
      <c r="Z210" s="649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6">
        <v>4680115886223</v>
      </c>
      <c r="E211" s="647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5"/>
      <c r="B212" s="649"/>
      <c r="C212" s="649"/>
      <c r="D212" s="649"/>
      <c r="E212" s="649"/>
      <c r="F212" s="649"/>
      <c r="G212" s="649"/>
      <c r="H212" s="649"/>
      <c r="I212" s="649"/>
      <c r="J212" s="649"/>
      <c r="K212" s="649"/>
      <c r="L212" s="649"/>
      <c r="M212" s="649"/>
      <c r="N212" s="649"/>
      <c r="O212" s="656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6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8" t="s">
        <v>62</v>
      </c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49"/>
      <c r="P214" s="649"/>
      <c r="Q214" s="649"/>
      <c r="R214" s="649"/>
      <c r="S214" s="649"/>
      <c r="T214" s="649"/>
      <c r="U214" s="649"/>
      <c r="V214" s="649"/>
      <c r="W214" s="649"/>
      <c r="X214" s="649"/>
      <c r="Y214" s="649"/>
      <c r="Z214" s="649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6">
        <v>4680115880993</v>
      </c>
      <c r="E215" s="647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4"/>
      <c r="R215" s="644"/>
      <c r="S215" s="644"/>
      <c r="T215" s="645"/>
      <c r="U215" s="34"/>
      <c r="V215" s="34"/>
      <c r="W215" s="35" t="s">
        <v>67</v>
      </c>
      <c r="X215" s="639">
        <v>150</v>
      </c>
      <c r="Y215" s="640">
        <f t="shared" ref="Y215:Y229" si="27">IFERROR(IF(X215="",0,CEILING((X215/$H215),1)*$H215),"")</f>
        <v>151.20000000000002</v>
      </c>
      <c r="Z215" s="36">
        <f>IFERROR(IF(Y215=0,"",ROUNDUP(Y215/H215,0)*0.00902),"")</f>
        <v>0.32472000000000001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158.92857142857142</v>
      </c>
      <c r="BN215" s="64">
        <f t="shared" ref="BN215:BN229" si="29">IFERROR(Y215*I215/H215,"0")</f>
        <v>160.20000000000002</v>
      </c>
      <c r="BO215" s="64">
        <f t="shared" ref="BO215:BO229" si="30">IFERROR(1/J215*(X215/H215),"0")</f>
        <v>0.27056277056277056</v>
      </c>
      <c r="BP215" s="64">
        <f t="shared" ref="BP215:BP229" si="31">IFERROR(1/J215*(Y215/H215),"0")</f>
        <v>0.27272727272727271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6">
        <v>4680115881761</v>
      </c>
      <c r="E216" s="647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4"/>
      <c r="R216" s="644"/>
      <c r="S216" s="644"/>
      <c r="T216" s="645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4301031201</v>
      </c>
      <c r="D217" s="646">
        <v>4680115881563</v>
      </c>
      <c r="E217" s="647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4"/>
      <c r="R217" s="644"/>
      <c r="S217" s="644"/>
      <c r="T217" s="645"/>
      <c r="U217" s="34"/>
      <c r="V217" s="34"/>
      <c r="W217" s="35" t="s">
        <v>67</v>
      </c>
      <c r="X217" s="639">
        <v>0</v>
      </c>
      <c r="Y217" s="640">
        <f t="shared" si="27"/>
        <v>0</v>
      </c>
      <c r="Z217" s="36" t="str">
        <f>IFERROR(IF(Y217=0,"",ROUNDUP(Y217/H217,0)*0.00902),"")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0</v>
      </c>
      <c r="BN217" s="64">
        <f t="shared" si="29"/>
        <v>0</v>
      </c>
      <c r="BO217" s="64">
        <f t="shared" si="30"/>
        <v>0</v>
      </c>
      <c r="BP217" s="64">
        <f t="shared" si="31"/>
        <v>0</v>
      </c>
    </row>
    <row r="218" spans="1:68" ht="37.5" hidden="1" customHeight="1" x14ac:dyDescent="0.25">
      <c r="A218" s="54" t="s">
        <v>368</v>
      </c>
      <c r="B218" s="54" t="s">
        <v>369</v>
      </c>
      <c r="C218" s="31">
        <v>4301031447</v>
      </c>
      <c r="D218" s="646">
        <v>4680115887565</v>
      </c>
      <c r="E218" s="647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4"/>
      <c r="R218" s="644"/>
      <c r="S218" s="644"/>
      <c r="T218" s="645"/>
      <c r="U218" s="34"/>
      <c r="V218" s="34"/>
      <c r="W218" s="35" t="s">
        <v>67</v>
      </c>
      <c r="X218" s="639">
        <v>0</v>
      </c>
      <c r="Y218" s="640">
        <f t="shared" si="27"/>
        <v>0</v>
      </c>
      <c r="Z218" s="36" t="str">
        <f>IFERROR(IF(Y218=0,"",ROUNDUP(Y218/H218,0)*0.00556),"")</f>
        <v/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0</v>
      </c>
      <c r="BN218" s="64">
        <f t="shared" si="29"/>
        <v>0</v>
      </c>
      <c r="BO218" s="64">
        <f t="shared" si="30"/>
        <v>0</v>
      </c>
      <c r="BP218" s="64">
        <f t="shared" si="31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4301031199</v>
      </c>
      <c r="D219" s="646">
        <v>4680115880986</v>
      </c>
      <c r="E219" s="647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4"/>
      <c r="R219" s="644"/>
      <c r="S219" s="644"/>
      <c r="T219" s="645"/>
      <c r="U219" s="34"/>
      <c r="V219" s="34"/>
      <c r="W219" s="35" t="s">
        <v>67</v>
      </c>
      <c r="X219" s="639">
        <v>0</v>
      </c>
      <c r="Y219" s="640">
        <f t="shared" si="27"/>
        <v>0</v>
      </c>
      <c r="Z219" s="36" t="str">
        <f t="shared" ref="Z219:Z224" si="32">IFERROR(IF(Y219=0,"",ROUNDUP(Y219/H219,0)*0.00502),"")</f>
        <v/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0</v>
      </c>
      <c r="BN219" s="64">
        <f t="shared" si="29"/>
        <v>0</v>
      </c>
      <c r="BO219" s="64">
        <f t="shared" si="30"/>
        <v>0</v>
      </c>
      <c r="BP219" s="64">
        <f t="shared" si="31"/>
        <v>0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6">
        <v>4680115887213</v>
      </c>
      <c r="E220" s="647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4"/>
      <c r="R220" s="644"/>
      <c r="S220" s="644"/>
      <c r="T220" s="645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6">
        <v>4680115881785</v>
      </c>
      <c r="E221" s="647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6">
        <v>4680115888432</v>
      </c>
      <c r="E222" s="647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6">
        <v>4680115888104</v>
      </c>
      <c r="E223" s="647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6">
        <v>4680115886537</v>
      </c>
      <c r="E224" s="647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4"/>
      <c r="R224" s="644"/>
      <c r="S224" s="644"/>
      <c r="T224" s="645"/>
      <c r="U224" s="34"/>
      <c r="V224" s="34"/>
      <c r="W224" s="35" t="s">
        <v>67</v>
      </c>
      <c r="X224" s="639">
        <v>18</v>
      </c>
      <c r="Y224" s="640">
        <f t="shared" si="27"/>
        <v>18</v>
      </c>
      <c r="Z224" s="36">
        <f t="shared" si="32"/>
        <v>5.0200000000000002E-2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19.3</v>
      </c>
      <c r="BN224" s="64">
        <f t="shared" si="29"/>
        <v>19.3</v>
      </c>
      <c r="BO224" s="64">
        <f t="shared" si="30"/>
        <v>4.2735042735042736E-2</v>
      </c>
      <c r="BP224" s="64">
        <f t="shared" si="31"/>
        <v>4.2735042735042736E-2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46">
        <v>4680115887596</v>
      </c>
      <c r="E225" s="647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6">
        <v>4680115881679</v>
      </c>
      <c r="E226" s="647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9">
        <v>53</v>
      </c>
      <c r="Y226" s="640">
        <f t="shared" si="27"/>
        <v>54.6</v>
      </c>
      <c r="Z226" s="36">
        <f>IFERROR(IF(Y226=0,"",ROUNDUP(Y226/H226,0)*0.00502),"")</f>
        <v>0.13052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55.523809523809526</v>
      </c>
      <c r="BN226" s="64">
        <f t="shared" si="29"/>
        <v>57.20000000000001</v>
      </c>
      <c r="BO226" s="64">
        <f t="shared" si="30"/>
        <v>0.10785510785510787</v>
      </c>
      <c r="BP226" s="64">
        <f t="shared" si="31"/>
        <v>0.11111111111111112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6">
        <v>4680115880191</v>
      </c>
      <c r="E227" s="647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4"/>
      <c r="R227" s="644"/>
      <c r="S227" s="644"/>
      <c r="T227" s="645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6">
        <v>4680115880191</v>
      </c>
      <c r="E228" s="647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6">
        <v>4680115883963</v>
      </c>
      <c r="E229" s="647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5"/>
      <c r="B230" s="649"/>
      <c r="C230" s="649"/>
      <c r="D230" s="649"/>
      <c r="E230" s="649"/>
      <c r="F230" s="649"/>
      <c r="G230" s="649"/>
      <c r="H230" s="649"/>
      <c r="I230" s="649"/>
      <c r="J230" s="649"/>
      <c r="K230" s="649"/>
      <c r="L230" s="649"/>
      <c r="M230" s="649"/>
      <c r="N230" s="649"/>
      <c r="O230" s="656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70.952380952380949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72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0.50544</v>
      </c>
      <c r="AA230" s="642"/>
      <c r="AB230" s="642"/>
      <c r="AC230" s="642"/>
    </row>
    <row r="231" spans="1:68" x14ac:dyDescent="0.2">
      <c r="A231" s="649"/>
      <c r="B231" s="649"/>
      <c r="C231" s="649"/>
      <c r="D231" s="649"/>
      <c r="E231" s="649"/>
      <c r="F231" s="649"/>
      <c r="G231" s="649"/>
      <c r="H231" s="649"/>
      <c r="I231" s="649"/>
      <c r="J231" s="649"/>
      <c r="K231" s="649"/>
      <c r="L231" s="649"/>
      <c r="M231" s="649"/>
      <c r="N231" s="649"/>
      <c r="O231" s="656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221</v>
      </c>
      <c r="Y231" s="641">
        <f>IFERROR(SUM(Y215:Y229),"0")</f>
        <v>223.8</v>
      </c>
      <c r="Z231" s="37"/>
      <c r="AA231" s="642"/>
      <c r="AB231" s="642"/>
      <c r="AC231" s="642"/>
    </row>
    <row r="232" spans="1:68" ht="14.25" hidden="1" customHeight="1" x14ac:dyDescent="0.25">
      <c r="A232" s="648" t="s">
        <v>74</v>
      </c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49"/>
      <c r="P232" s="649"/>
      <c r="Q232" s="649"/>
      <c r="R232" s="649"/>
      <c r="S232" s="649"/>
      <c r="T232" s="649"/>
      <c r="U232" s="649"/>
      <c r="V232" s="649"/>
      <c r="W232" s="649"/>
      <c r="X232" s="649"/>
      <c r="Y232" s="649"/>
      <c r="Z232" s="649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6">
        <v>4680115888692</v>
      </c>
      <c r="E233" s="647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4"/>
      <c r="R233" s="644"/>
      <c r="S233" s="644"/>
      <c r="T233" s="645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6">
        <v>4680115888692</v>
      </c>
      <c r="E234" s="647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6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4"/>
      <c r="R234" s="644"/>
      <c r="S234" s="644"/>
      <c r="T234" s="645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6">
        <v>4680115888722</v>
      </c>
      <c r="E235" s="647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4"/>
      <c r="R235" s="644"/>
      <c r="S235" s="644"/>
      <c r="T235" s="645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6">
        <v>4680115888722</v>
      </c>
      <c r="E236" s="647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7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6">
        <v>4680115888951</v>
      </c>
      <c r="E237" s="647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1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6">
        <v>4680115888951</v>
      </c>
      <c r="E238" s="647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6">
        <v>4680115888975</v>
      </c>
      <c r="E239" s="647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6">
        <v>4680115888982</v>
      </c>
      <c r="E240" s="647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6">
        <v>4680115888982</v>
      </c>
      <c r="E241" s="647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4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4"/>
      <c r="R241" s="644"/>
      <c r="S241" s="644"/>
      <c r="T241" s="645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5"/>
      <c r="B242" s="649"/>
      <c r="C242" s="649"/>
      <c r="D242" s="649"/>
      <c r="E242" s="649"/>
      <c r="F242" s="649"/>
      <c r="G242" s="649"/>
      <c r="H242" s="649"/>
      <c r="I242" s="649"/>
      <c r="J242" s="649"/>
      <c r="K242" s="649"/>
      <c r="L242" s="649"/>
      <c r="M242" s="649"/>
      <c r="N242" s="649"/>
      <c r="O242" s="656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6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8" t="s">
        <v>267</v>
      </c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49"/>
      <c r="P244" s="649"/>
      <c r="Q244" s="649"/>
      <c r="R244" s="649"/>
      <c r="S244" s="649"/>
      <c r="T244" s="649"/>
      <c r="U244" s="649"/>
      <c r="V244" s="649"/>
      <c r="W244" s="649"/>
      <c r="X244" s="649"/>
      <c r="Y244" s="649"/>
      <c r="Z244" s="649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6">
        <v>4680115886780</v>
      </c>
      <c r="E245" s="647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4301032051</v>
      </c>
      <c r="D246" s="646">
        <v>4680115886742</v>
      </c>
      <c r="E246" s="647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9">
        <v>0</v>
      </c>
      <c r="Y246" s="6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6">
        <v>4680115886766</v>
      </c>
      <c r="E247" s="647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4"/>
      <c r="R247" s="644"/>
      <c r="S247" s="644"/>
      <c r="T247" s="645"/>
      <c r="U247" s="34"/>
      <c r="V247" s="34"/>
      <c r="W247" s="35" t="s">
        <v>67</v>
      </c>
      <c r="X247" s="639">
        <v>1</v>
      </c>
      <c r="Y247" s="640">
        <f>IFERROR(IF(X247="",0,CEILING((X247/$H247),1)*$H247),"")</f>
        <v>1.26</v>
      </c>
      <c r="Z247" s="36">
        <f>IFERROR(IF(Y247=0,"",ROUNDUP(Y247/H247,0)*0.0059),"")</f>
        <v>5.8999999999999999E-3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1.1507936507936507</v>
      </c>
      <c r="BN247" s="64">
        <f>IFERROR(Y247*I247/H247,"0")</f>
        <v>1.45</v>
      </c>
      <c r="BO247" s="64">
        <f>IFERROR(1/J247*(X247/H247),"0")</f>
        <v>3.6743092298647849E-3</v>
      </c>
      <c r="BP247" s="64">
        <f>IFERROR(1/J247*(Y247/H247),"0")</f>
        <v>4.6296296296296294E-3</v>
      </c>
    </row>
    <row r="248" spans="1:68" x14ac:dyDescent="0.2">
      <c r="A248" s="655"/>
      <c r="B248" s="649"/>
      <c r="C248" s="649"/>
      <c r="D248" s="649"/>
      <c r="E248" s="649"/>
      <c r="F248" s="649"/>
      <c r="G248" s="649"/>
      <c r="H248" s="649"/>
      <c r="I248" s="649"/>
      <c r="J248" s="649"/>
      <c r="K248" s="649"/>
      <c r="L248" s="649"/>
      <c r="M248" s="649"/>
      <c r="N248" s="649"/>
      <c r="O248" s="656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0.79365079365079361</v>
      </c>
      <c r="Y248" s="641">
        <f>IFERROR(Y245/H245,"0")+IFERROR(Y246/H246,"0")+IFERROR(Y247/H247,"0")</f>
        <v>1</v>
      </c>
      <c r="Z248" s="641">
        <f>IFERROR(IF(Z245="",0,Z245),"0")+IFERROR(IF(Z246="",0,Z246),"0")+IFERROR(IF(Z247="",0,Z247),"0")</f>
        <v>5.8999999999999999E-3</v>
      </c>
      <c r="AA248" s="642"/>
      <c r="AB248" s="642"/>
      <c r="AC248" s="642"/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6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1</v>
      </c>
      <c r="Y249" s="641">
        <f>IFERROR(SUM(Y245:Y247),"0")</f>
        <v>1.26</v>
      </c>
      <c r="Z249" s="37"/>
      <c r="AA249" s="642"/>
      <c r="AB249" s="642"/>
      <c r="AC249" s="642"/>
    </row>
    <row r="250" spans="1:68" ht="14.25" hidden="1" customHeight="1" x14ac:dyDescent="0.25">
      <c r="A250" s="648" t="s">
        <v>426</v>
      </c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49"/>
      <c r="P250" s="649"/>
      <c r="Q250" s="649"/>
      <c r="R250" s="649"/>
      <c r="S250" s="649"/>
      <c r="T250" s="649"/>
      <c r="U250" s="649"/>
      <c r="V250" s="649"/>
      <c r="W250" s="649"/>
      <c r="X250" s="649"/>
      <c r="Y250" s="649"/>
      <c r="Z250" s="649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46">
        <v>4680115886797</v>
      </c>
      <c r="E251" s="647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4"/>
      <c r="R251" s="644"/>
      <c r="S251" s="644"/>
      <c r="T251" s="645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5"/>
      <c r="B252" s="649"/>
      <c r="C252" s="649"/>
      <c r="D252" s="649"/>
      <c r="E252" s="649"/>
      <c r="F252" s="649"/>
      <c r="G252" s="649"/>
      <c r="H252" s="649"/>
      <c r="I252" s="649"/>
      <c r="J252" s="649"/>
      <c r="K252" s="649"/>
      <c r="L252" s="649"/>
      <c r="M252" s="649"/>
      <c r="N252" s="649"/>
      <c r="O252" s="656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6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60" t="s">
        <v>429</v>
      </c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49"/>
      <c r="P254" s="649"/>
      <c r="Q254" s="649"/>
      <c r="R254" s="649"/>
      <c r="S254" s="649"/>
      <c r="T254" s="649"/>
      <c r="U254" s="649"/>
      <c r="V254" s="649"/>
      <c r="W254" s="649"/>
      <c r="X254" s="649"/>
      <c r="Y254" s="649"/>
      <c r="Z254" s="649"/>
      <c r="AA254" s="633"/>
      <c r="AB254" s="633"/>
      <c r="AC254" s="633"/>
    </row>
    <row r="255" spans="1:68" ht="14.25" hidden="1" customHeight="1" x14ac:dyDescent="0.25">
      <c r="A255" s="648" t="s">
        <v>111</v>
      </c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49"/>
      <c r="Q255" s="649"/>
      <c r="R255" s="649"/>
      <c r="S255" s="649"/>
      <c r="T255" s="649"/>
      <c r="U255" s="649"/>
      <c r="V255" s="649"/>
      <c r="W255" s="649"/>
      <c r="X255" s="649"/>
      <c r="Y255" s="649"/>
      <c r="Z255" s="649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6">
        <v>4680115881402</v>
      </c>
      <c r="E256" s="647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4"/>
      <c r="R256" s="644"/>
      <c r="S256" s="644"/>
      <c r="T256" s="645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6">
        <v>4680115881396</v>
      </c>
      <c r="E257" s="647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4"/>
      <c r="R257" s="644"/>
      <c r="S257" s="644"/>
      <c r="T257" s="645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5"/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56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6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8" t="s">
        <v>146</v>
      </c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49"/>
      <c r="P260" s="649"/>
      <c r="Q260" s="649"/>
      <c r="R260" s="649"/>
      <c r="S260" s="649"/>
      <c r="T260" s="649"/>
      <c r="U260" s="649"/>
      <c r="V260" s="649"/>
      <c r="W260" s="649"/>
      <c r="X260" s="649"/>
      <c r="Y260" s="649"/>
      <c r="Z260" s="649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6">
        <v>4680115882935</v>
      </c>
      <c r="E261" s="647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4"/>
      <c r="R261" s="644"/>
      <c r="S261" s="644"/>
      <c r="T261" s="645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6">
        <v>4680115880764</v>
      </c>
      <c r="E262" s="647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9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4"/>
      <c r="R262" s="644"/>
      <c r="S262" s="644"/>
      <c r="T262" s="645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5"/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56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6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8" t="s">
        <v>62</v>
      </c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49"/>
      <c r="P265" s="649"/>
      <c r="Q265" s="649"/>
      <c r="R265" s="649"/>
      <c r="S265" s="649"/>
      <c r="T265" s="649"/>
      <c r="U265" s="649"/>
      <c r="V265" s="649"/>
      <c r="W265" s="649"/>
      <c r="X265" s="649"/>
      <c r="Y265" s="649"/>
      <c r="Z265" s="649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6">
        <v>4680115882683</v>
      </c>
      <c r="E266" s="647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9">
        <v>100</v>
      </c>
      <c r="Y266" s="640">
        <f t="shared" ref="Y266:Y273" si="38">IFERROR(IF(X266="",0,CEILING((X266/$H266),1)*$H266),"")</f>
        <v>102.60000000000001</v>
      </c>
      <c r="Z266" s="36">
        <f>IFERROR(IF(Y266=0,"",ROUNDUP(Y266/H266,0)*0.00902),"")</f>
        <v>0.17138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103.5185185185185</v>
      </c>
      <c r="BN266" s="64">
        <f t="shared" ref="BN266:BN273" si="40">IFERROR(Y266*I266/H266,"0")</f>
        <v>106.21</v>
      </c>
      <c r="BO266" s="64">
        <f t="shared" ref="BO266:BO273" si="41">IFERROR(1/J266*(X266/H266),"0")</f>
        <v>0.14029180695847362</v>
      </c>
      <c r="BP266" s="64">
        <f t="shared" ref="BP266:BP273" si="42">IFERROR(1/J266*(Y266/H266),"0")</f>
        <v>0.14393939393939395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6">
        <v>4680115882690</v>
      </c>
      <c r="E267" s="647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9">
        <v>50</v>
      </c>
      <c r="Y267" s="640">
        <f t="shared" si="38"/>
        <v>54</v>
      </c>
      <c r="Z267" s="36">
        <f>IFERROR(IF(Y267=0,"",ROUNDUP(Y267/H267,0)*0.00902),"")</f>
        <v>9.0200000000000002E-2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51.759259259259252</v>
      </c>
      <c r="BN267" s="64">
        <f t="shared" si="40"/>
        <v>55.9</v>
      </c>
      <c r="BO267" s="64">
        <f t="shared" si="41"/>
        <v>7.0145903479236812E-2</v>
      </c>
      <c r="BP267" s="64">
        <f t="shared" si="42"/>
        <v>7.575757575757576E-2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6">
        <v>4680115882669</v>
      </c>
      <c r="E268" s="647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9">
        <v>50</v>
      </c>
      <c r="Y268" s="640">
        <f t="shared" si="38"/>
        <v>54</v>
      </c>
      <c r="Z268" s="36">
        <f>IFERROR(IF(Y268=0,"",ROUNDUP(Y268/H268,0)*0.00902),"")</f>
        <v>9.0200000000000002E-2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51.759259259259252</v>
      </c>
      <c r="BN268" s="64">
        <f t="shared" si="40"/>
        <v>55.9</v>
      </c>
      <c r="BO268" s="64">
        <f t="shared" si="41"/>
        <v>7.0145903479236812E-2</v>
      </c>
      <c r="BP268" s="64">
        <f t="shared" si="42"/>
        <v>7.575757575757576E-2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6">
        <v>4680115882676</v>
      </c>
      <c r="E269" s="647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4301031223</v>
      </c>
      <c r="D270" s="646">
        <v>4680115884014</v>
      </c>
      <c r="E270" s="647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9">
        <v>0</v>
      </c>
      <c r="Y270" s="640">
        <f t="shared" si="38"/>
        <v>0</v>
      </c>
      <c r="Z270" s="36" t="str">
        <f>IFERROR(IF(Y270=0,"",ROUNDUP(Y270/H270,0)*0.00502),"")</f>
        <v/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0</v>
      </c>
      <c r="BN270" s="64">
        <f t="shared" si="40"/>
        <v>0</v>
      </c>
      <c r="BO270" s="64">
        <f t="shared" si="41"/>
        <v>0</v>
      </c>
      <c r="BP270" s="64">
        <f t="shared" si="42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6">
        <v>4680115884007</v>
      </c>
      <c r="E271" s="647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9">
        <v>9</v>
      </c>
      <c r="Y271" s="640">
        <f t="shared" si="38"/>
        <v>9</v>
      </c>
      <c r="Z271" s="36">
        <f>IFERROR(IF(Y271=0,"",ROUNDUP(Y271/H271,0)*0.00502),"")</f>
        <v>2.5100000000000001E-2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9.4999999999999982</v>
      </c>
      <c r="BN271" s="64">
        <f t="shared" si="40"/>
        <v>9.4999999999999982</v>
      </c>
      <c r="BO271" s="64">
        <f t="shared" si="41"/>
        <v>2.1367521367521368E-2</v>
      </c>
      <c r="BP271" s="64">
        <f t="shared" si="42"/>
        <v>2.1367521367521368E-2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6">
        <v>4680115884038</v>
      </c>
      <c r="E272" s="647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6">
        <v>4680115884021</v>
      </c>
      <c r="E273" s="647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4"/>
      <c r="R273" s="644"/>
      <c r="S273" s="644"/>
      <c r="T273" s="645"/>
      <c r="U273" s="34"/>
      <c r="V273" s="34"/>
      <c r="W273" s="35" t="s">
        <v>67</v>
      </c>
      <c r="X273" s="639">
        <v>15</v>
      </c>
      <c r="Y273" s="640">
        <f t="shared" si="38"/>
        <v>16.2</v>
      </c>
      <c r="Z273" s="36">
        <f>IFERROR(IF(Y273=0,"",ROUNDUP(Y273/H273,0)*0.00502),"")</f>
        <v>4.5179999999999998E-2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15.833333333333332</v>
      </c>
      <c r="BN273" s="64">
        <f t="shared" si="40"/>
        <v>17.099999999999998</v>
      </c>
      <c r="BO273" s="64">
        <f t="shared" si="41"/>
        <v>3.561253561253562E-2</v>
      </c>
      <c r="BP273" s="64">
        <f t="shared" si="42"/>
        <v>3.8461538461538464E-2</v>
      </c>
    </row>
    <row r="274" spans="1:68" x14ac:dyDescent="0.2">
      <c r="A274" s="655"/>
      <c r="B274" s="649"/>
      <c r="C274" s="649"/>
      <c r="D274" s="649"/>
      <c r="E274" s="649"/>
      <c r="F274" s="649"/>
      <c r="G274" s="649"/>
      <c r="H274" s="649"/>
      <c r="I274" s="649"/>
      <c r="J274" s="649"/>
      <c r="K274" s="649"/>
      <c r="L274" s="649"/>
      <c r="M274" s="649"/>
      <c r="N274" s="649"/>
      <c r="O274" s="656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59.629629629629633</v>
      </c>
      <c r="Y274" s="641">
        <f>IFERROR(Y266/H266,"0")+IFERROR(Y267/H267,"0")+IFERROR(Y268/H268,"0")+IFERROR(Y269/H269,"0")+IFERROR(Y270/H270,"0")+IFERROR(Y271/H271,"0")+IFERROR(Y272/H272,"0")+IFERROR(Y273/H273,"0")</f>
        <v>63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0.51226000000000005</v>
      </c>
      <c r="AA274" s="642"/>
      <c r="AB274" s="642"/>
      <c r="AC274" s="642"/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6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274</v>
      </c>
      <c r="Y275" s="641">
        <f>IFERROR(SUM(Y266:Y273),"0")</f>
        <v>289.8</v>
      </c>
      <c r="Z275" s="37"/>
      <c r="AA275" s="642"/>
      <c r="AB275" s="642"/>
      <c r="AC275" s="642"/>
    </row>
    <row r="276" spans="1:68" ht="14.25" hidden="1" customHeight="1" x14ac:dyDescent="0.25">
      <c r="A276" s="648" t="s">
        <v>74</v>
      </c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49"/>
      <c r="P276" s="649"/>
      <c r="Q276" s="649"/>
      <c r="R276" s="649"/>
      <c r="S276" s="649"/>
      <c r="T276" s="649"/>
      <c r="U276" s="649"/>
      <c r="V276" s="649"/>
      <c r="W276" s="649"/>
      <c r="X276" s="649"/>
      <c r="Y276" s="649"/>
      <c r="Z276" s="649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6">
        <v>4680115881594</v>
      </c>
      <c r="E277" s="647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4301051411</v>
      </c>
      <c r="D278" s="646">
        <v>4680115881617</v>
      </c>
      <c r="E278" s="647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9">
        <v>0</v>
      </c>
      <c r="Y278" s="640">
        <f t="shared" si="43"/>
        <v>0</v>
      </c>
      <c r="Z278" s="36" t="str">
        <f>IFERROR(IF(Y278=0,"",ROUNDUP(Y278/H278,0)*0.01898),"")</f>
        <v/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46">
        <v>4680115880573</v>
      </c>
      <c r="E279" s="647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9">
        <v>5</v>
      </c>
      <c r="Y279" s="640">
        <f t="shared" si="43"/>
        <v>8.6999999999999993</v>
      </c>
      <c r="Z279" s="36">
        <f>IFERROR(IF(Y279=0,"",ROUNDUP(Y279/H279,0)*0.01898),"")</f>
        <v>1.898E-2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5.2839080459770127</v>
      </c>
      <c r="BN279" s="64">
        <f t="shared" si="45"/>
        <v>9.1940000000000008</v>
      </c>
      <c r="BO279" s="64">
        <f t="shared" si="46"/>
        <v>8.9798850574712655E-3</v>
      </c>
      <c r="BP279" s="64">
        <f t="shared" si="47"/>
        <v>1.5625E-2</v>
      </c>
    </row>
    <row r="280" spans="1:68" ht="27" customHeight="1" x14ac:dyDescent="0.25">
      <c r="A280" s="54" t="s">
        <v>469</v>
      </c>
      <c r="B280" s="54" t="s">
        <v>470</v>
      </c>
      <c r="C280" s="31">
        <v>4301051407</v>
      </c>
      <c r="D280" s="646">
        <v>4680115882195</v>
      </c>
      <c r="E280" s="647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9">
        <v>120</v>
      </c>
      <c r="Y280" s="640">
        <f t="shared" si="43"/>
        <v>120</v>
      </c>
      <c r="Z280" s="36">
        <f>IFERROR(IF(Y280=0,"",ROUNDUP(Y280/H280,0)*0.00651),"")</f>
        <v>0.32550000000000001</v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133.5</v>
      </c>
      <c r="BN280" s="64">
        <f t="shared" si="45"/>
        <v>133.5</v>
      </c>
      <c r="BO280" s="64">
        <f t="shared" si="46"/>
        <v>0.27472527472527475</v>
      </c>
      <c r="BP280" s="64">
        <f t="shared" si="47"/>
        <v>0.27472527472527475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6">
        <v>4680115882607</v>
      </c>
      <c r="E281" s="647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6">
        <v>4680115882607</v>
      </c>
      <c r="E282" s="647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6">
        <v>4680115880092</v>
      </c>
      <c r="E283" s="647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9">
        <v>120</v>
      </c>
      <c r="Y283" s="640">
        <f t="shared" si="43"/>
        <v>120</v>
      </c>
      <c r="Z283" s="36">
        <f>IFERROR(IF(Y283=0,"",ROUNDUP(Y283/H283,0)*0.00651),"")</f>
        <v>0.32550000000000001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132.60000000000002</v>
      </c>
      <c r="BN283" s="64">
        <f t="shared" si="45"/>
        <v>132.60000000000002</v>
      </c>
      <c r="BO283" s="64">
        <f t="shared" si="46"/>
        <v>0.27472527472527475</v>
      </c>
      <c r="BP283" s="64">
        <f t="shared" si="47"/>
        <v>0.27472527472527475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6">
        <v>4680115889064</v>
      </c>
      <c r="E284" s="647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4301051668</v>
      </c>
      <c r="D285" s="646">
        <v>4680115880221</v>
      </c>
      <c r="E285" s="647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4"/>
      <c r="R285" s="644"/>
      <c r="S285" s="644"/>
      <c r="T285" s="645"/>
      <c r="U285" s="34"/>
      <c r="V285" s="34"/>
      <c r="W285" s="35" t="s">
        <v>67</v>
      </c>
      <c r="X285" s="639">
        <v>0</v>
      </c>
      <c r="Y285" s="640">
        <f t="shared" si="43"/>
        <v>0</v>
      </c>
      <c r="Z285" s="36" t="str">
        <f>IFERROR(IF(Y285=0,"",ROUNDUP(Y285/H285,0)*0.00651),"")</f>
        <v/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46">
        <v>4680115880504</v>
      </c>
      <c r="E286" s="647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4"/>
      <c r="R286" s="644"/>
      <c r="S286" s="644"/>
      <c r="T286" s="645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6">
        <v>4680115882164</v>
      </c>
      <c r="E287" s="647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6">
        <v>4680115888340</v>
      </c>
      <c r="E288" s="647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4"/>
      <c r="R288" s="644"/>
      <c r="S288" s="644"/>
      <c r="T288" s="645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5"/>
      <c r="B289" s="649"/>
      <c r="C289" s="649"/>
      <c r="D289" s="649"/>
      <c r="E289" s="649"/>
      <c r="F289" s="649"/>
      <c r="G289" s="649"/>
      <c r="H289" s="649"/>
      <c r="I289" s="649"/>
      <c r="J289" s="649"/>
      <c r="K289" s="649"/>
      <c r="L289" s="649"/>
      <c r="M289" s="649"/>
      <c r="N289" s="649"/>
      <c r="O289" s="656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100.57471264367817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101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0.66998000000000002</v>
      </c>
      <c r="AA289" s="642"/>
      <c r="AB289" s="642"/>
      <c r="AC289" s="642"/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6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245</v>
      </c>
      <c r="Y290" s="641">
        <f>IFERROR(SUM(Y277:Y288),"0")</f>
        <v>248.7</v>
      </c>
      <c r="Z290" s="37"/>
      <c r="AA290" s="642"/>
      <c r="AB290" s="642"/>
      <c r="AC290" s="642"/>
    </row>
    <row r="291" spans="1:68" ht="14.25" hidden="1" customHeight="1" x14ac:dyDescent="0.25">
      <c r="A291" s="648" t="s">
        <v>164</v>
      </c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49"/>
      <c r="P291" s="649"/>
      <c r="Q291" s="649"/>
      <c r="R291" s="649"/>
      <c r="S291" s="649"/>
      <c r="T291" s="649"/>
      <c r="U291" s="649"/>
      <c r="V291" s="649"/>
      <c r="W291" s="649"/>
      <c r="X291" s="649"/>
      <c r="Y291" s="649"/>
      <c r="Z291" s="649"/>
      <c r="AA291" s="634"/>
      <c r="AB291" s="634"/>
      <c r="AC291" s="634"/>
    </row>
    <row r="292" spans="1:68" ht="27" customHeight="1" x14ac:dyDescent="0.25">
      <c r="A292" s="54" t="s">
        <v>491</v>
      </c>
      <c r="B292" s="54" t="s">
        <v>492</v>
      </c>
      <c r="C292" s="31">
        <v>4301060463</v>
      </c>
      <c r="D292" s="646">
        <v>4680115880818</v>
      </c>
      <c r="E292" s="647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9">
        <v>8</v>
      </c>
      <c r="Y292" s="640">
        <f>IFERROR(IF(X292="",0,CEILING((X292/$H292),1)*$H292),"")</f>
        <v>9.6</v>
      </c>
      <c r="Z292" s="36">
        <f>IFERROR(IF(Y292=0,"",ROUNDUP(Y292/H292,0)*0.00651),"")</f>
        <v>2.6040000000000001E-2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8.8400000000000016</v>
      </c>
      <c r="BN292" s="64">
        <f>IFERROR(Y292*I292/H292,"0")</f>
        <v>10.608000000000001</v>
      </c>
      <c r="BO292" s="64">
        <f>IFERROR(1/J292*(X292/H292),"0")</f>
        <v>1.8315018315018316E-2</v>
      </c>
      <c r="BP292" s="64">
        <f>IFERROR(1/J292*(Y292/H292),"0")</f>
        <v>2.197802197802198E-2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46">
        <v>4680115880801</v>
      </c>
      <c r="E293" s="647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4"/>
      <c r="R293" s="644"/>
      <c r="S293" s="644"/>
      <c r="T293" s="645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655"/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56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3.3333333333333335</v>
      </c>
      <c r="Y294" s="641">
        <f>IFERROR(Y292/H292,"0")+IFERROR(Y293/H293,"0")</f>
        <v>4</v>
      </c>
      <c r="Z294" s="641">
        <f>IFERROR(IF(Z292="",0,Z292),"0")+IFERROR(IF(Z293="",0,Z293),"0")</f>
        <v>2.6040000000000001E-2</v>
      </c>
      <c r="AA294" s="642"/>
      <c r="AB294" s="642"/>
      <c r="AC294" s="642"/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6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8</v>
      </c>
      <c r="Y295" s="641">
        <f>IFERROR(SUM(Y292:Y293),"0")</f>
        <v>9.6</v>
      </c>
      <c r="Z295" s="37"/>
      <c r="AA295" s="642"/>
      <c r="AB295" s="642"/>
      <c r="AC295" s="642"/>
    </row>
    <row r="296" spans="1:68" ht="16.5" hidden="1" customHeight="1" x14ac:dyDescent="0.25">
      <c r="A296" s="660" t="s">
        <v>497</v>
      </c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49"/>
      <c r="P296" s="649"/>
      <c r="Q296" s="649"/>
      <c r="R296" s="649"/>
      <c r="S296" s="649"/>
      <c r="T296" s="649"/>
      <c r="U296" s="649"/>
      <c r="V296" s="649"/>
      <c r="W296" s="649"/>
      <c r="X296" s="649"/>
      <c r="Y296" s="649"/>
      <c r="Z296" s="649"/>
      <c r="AA296" s="633"/>
      <c r="AB296" s="633"/>
      <c r="AC296" s="633"/>
    </row>
    <row r="297" spans="1:68" ht="14.25" hidden="1" customHeight="1" x14ac:dyDescent="0.25">
      <c r="A297" s="648" t="s">
        <v>111</v>
      </c>
      <c r="B297" s="649"/>
      <c r="C297" s="649"/>
      <c r="D297" s="649"/>
      <c r="E297" s="649"/>
      <c r="F297" s="649"/>
      <c r="G297" s="649"/>
      <c r="H297" s="649"/>
      <c r="I297" s="649"/>
      <c r="J297" s="649"/>
      <c r="K297" s="649"/>
      <c r="L297" s="649"/>
      <c r="M297" s="649"/>
      <c r="N297" s="649"/>
      <c r="O297" s="649"/>
      <c r="P297" s="649"/>
      <c r="Q297" s="649"/>
      <c r="R297" s="649"/>
      <c r="S297" s="649"/>
      <c r="T297" s="649"/>
      <c r="U297" s="649"/>
      <c r="V297" s="649"/>
      <c r="W297" s="649"/>
      <c r="X297" s="649"/>
      <c r="Y297" s="649"/>
      <c r="Z297" s="649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46">
        <v>4680115884137</v>
      </c>
      <c r="E298" s="647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46">
        <v>4680115884236</v>
      </c>
      <c r="E299" s="647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6">
        <v>4680115884175</v>
      </c>
      <c r="E300" s="647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6">
        <v>4680115884144</v>
      </c>
      <c r="E301" s="647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6">
        <v>4680115886551</v>
      </c>
      <c r="E302" s="647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6">
        <v>4680115887282</v>
      </c>
      <c r="E303" s="647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6">
        <v>4680115884205</v>
      </c>
      <c r="E304" s="647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4"/>
      <c r="R304" s="644"/>
      <c r="S304" s="644"/>
      <c r="T304" s="645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5"/>
      <c r="B305" s="649"/>
      <c r="C305" s="649"/>
      <c r="D305" s="649"/>
      <c r="E305" s="649"/>
      <c r="F305" s="649"/>
      <c r="G305" s="649"/>
      <c r="H305" s="649"/>
      <c r="I305" s="649"/>
      <c r="J305" s="649"/>
      <c r="K305" s="649"/>
      <c r="L305" s="649"/>
      <c r="M305" s="649"/>
      <c r="N305" s="649"/>
      <c r="O305" s="656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6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8" t="s">
        <v>146</v>
      </c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49"/>
      <c r="P307" s="649"/>
      <c r="Q307" s="649"/>
      <c r="R307" s="649"/>
      <c r="S307" s="649"/>
      <c r="T307" s="649"/>
      <c r="U307" s="649"/>
      <c r="V307" s="649"/>
      <c r="W307" s="649"/>
      <c r="X307" s="649"/>
      <c r="Y307" s="649"/>
      <c r="Z307" s="649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6">
        <v>4680115885981</v>
      </c>
      <c r="E308" s="647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4"/>
      <c r="R308" s="644"/>
      <c r="S308" s="644"/>
      <c r="T308" s="645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5"/>
      <c r="B309" s="649"/>
      <c r="C309" s="649"/>
      <c r="D309" s="649"/>
      <c r="E309" s="649"/>
      <c r="F309" s="649"/>
      <c r="G309" s="649"/>
      <c r="H309" s="649"/>
      <c r="I309" s="649"/>
      <c r="J309" s="649"/>
      <c r="K309" s="649"/>
      <c r="L309" s="649"/>
      <c r="M309" s="649"/>
      <c r="N309" s="649"/>
      <c r="O309" s="656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6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8" t="s">
        <v>519</v>
      </c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49"/>
      <c r="P311" s="649"/>
      <c r="Q311" s="649"/>
      <c r="R311" s="649"/>
      <c r="S311" s="649"/>
      <c r="T311" s="649"/>
      <c r="U311" s="649"/>
      <c r="V311" s="649"/>
      <c r="W311" s="649"/>
      <c r="X311" s="649"/>
      <c r="Y311" s="649"/>
      <c r="Z311" s="649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46">
        <v>4680115886803</v>
      </c>
      <c r="E312" s="647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4"/>
      <c r="R312" s="644"/>
      <c r="S312" s="644"/>
      <c r="T312" s="645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5"/>
      <c r="B313" s="649"/>
      <c r="C313" s="649"/>
      <c r="D313" s="649"/>
      <c r="E313" s="649"/>
      <c r="F313" s="649"/>
      <c r="G313" s="649"/>
      <c r="H313" s="649"/>
      <c r="I313" s="649"/>
      <c r="J313" s="649"/>
      <c r="K313" s="649"/>
      <c r="L313" s="649"/>
      <c r="M313" s="649"/>
      <c r="N313" s="649"/>
      <c r="O313" s="656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6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8" t="s">
        <v>328</v>
      </c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49"/>
      <c r="P315" s="649"/>
      <c r="Q315" s="649"/>
      <c r="R315" s="649"/>
      <c r="S315" s="649"/>
      <c r="T315" s="649"/>
      <c r="U315" s="649"/>
      <c r="V315" s="649"/>
      <c r="W315" s="649"/>
      <c r="X315" s="649"/>
      <c r="Y315" s="649"/>
      <c r="Z315" s="649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6">
        <v>4680115886681</v>
      </c>
      <c r="E316" s="647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5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6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6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60" t="s">
        <v>526</v>
      </c>
      <c r="B319" s="649"/>
      <c r="C319" s="649"/>
      <c r="D319" s="649"/>
      <c r="E319" s="649"/>
      <c r="F319" s="649"/>
      <c r="G319" s="649"/>
      <c r="H319" s="649"/>
      <c r="I319" s="649"/>
      <c r="J319" s="649"/>
      <c r="K319" s="649"/>
      <c r="L319" s="649"/>
      <c r="M319" s="649"/>
      <c r="N319" s="649"/>
      <c r="O319" s="649"/>
      <c r="P319" s="649"/>
      <c r="Q319" s="649"/>
      <c r="R319" s="649"/>
      <c r="S319" s="649"/>
      <c r="T319" s="649"/>
      <c r="U319" s="649"/>
      <c r="V319" s="649"/>
      <c r="W319" s="649"/>
      <c r="X319" s="649"/>
      <c r="Y319" s="649"/>
      <c r="Z319" s="649"/>
      <c r="AA319" s="633"/>
      <c r="AB319" s="633"/>
      <c r="AC319" s="633"/>
    </row>
    <row r="320" spans="1:68" ht="14.25" hidden="1" customHeight="1" x14ac:dyDescent="0.25">
      <c r="A320" s="648" t="s">
        <v>111</v>
      </c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49"/>
      <c r="P320" s="649"/>
      <c r="Q320" s="649"/>
      <c r="R320" s="649"/>
      <c r="S320" s="649"/>
      <c r="T320" s="649"/>
      <c r="U320" s="649"/>
      <c r="V320" s="649"/>
      <c r="W320" s="649"/>
      <c r="X320" s="649"/>
      <c r="Y320" s="649"/>
      <c r="Z320" s="649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6">
        <v>4680115889637</v>
      </c>
      <c r="E321" s="647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2" t="s">
        <v>529</v>
      </c>
      <c r="Q321" s="644"/>
      <c r="R321" s="644"/>
      <c r="S321" s="644"/>
      <c r="T321" s="645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6">
        <v>4680115885837</v>
      </c>
      <c r="E322" s="647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4"/>
      <c r="R322" s="644"/>
      <c r="S322" s="644"/>
      <c r="T322" s="645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6">
        <v>4680115887237</v>
      </c>
      <c r="E323" s="647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6">
        <v>4680115885806</v>
      </c>
      <c r="E324" s="647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6">
        <v>4680115885844</v>
      </c>
      <c r="E325" s="647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6">
        <v>4680115885820</v>
      </c>
      <c r="E326" s="647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5"/>
      <c r="B327" s="649"/>
      <c r="C327" s="649"/>
      <c r="D327" s="649"/>
      <c r="E327" s="649"/>
      <c r="F327" s="649"/>
      <c r="G327" s="649"/>
      <c r="H327" s="649"/>
      <c r="I327" s="649"/>
      <c r="J327" s="649"/>
      <c r="K327" s="649"/>
      <c r="L327" s="649"/>
      <c r="M327" s="649"/>
      <c r="N327" s="649"/>
      <c r="O327" s="656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6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60" t="s">
        <v>547</v>
      </c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49"/>
      <c r="P329" s="649"/>
      <c r="Q329" s="649"/>
      <c r="R329" s="649"/>
      <c r="S329" s="649"/>
      <c r="T329" s="649"/>
      <c r="U329" s="649"/>
      <c r="V329" s="649"/>
      <c r="W329" s="649"/>
      <c r="X329" s="649"/>
      <c r="Y329" s="649"/>
      <c r="Z329" s="649"/>
      <c r="AA329" s="633"/>
      <c r="AB329" s="633"/>
      <c r="AC329" s="633"/>
    </row>
    <row r="330" spans="1:68" ht="14.25" hidden="1" customHeight="1" x14ac:dyDescent="0.25">
      <c r="A330" s="648" t="s">
        <v>74</v>
      </c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49"/>
      <c r="P330" s="649"/>
      <c r="Q330" s="649"/>
      <c r="R330" s="649"/>
      <c r="S330" s="649"/>
      <c r="T330" s="649"/>
      <c r="U330" s="649"/>
      <c r="V330" s="649"/>
      <c r="W330" s="649"/>
      <c r="X330" s="649"/>
      <c r="Y330" s="649"/>
      <c r="Z330" s="649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6">
        <v>4680115886186</v>
      </c>
      <c r="E331" s="647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4"/>
      <c r="R331" s="644"/>
      <c r="S331" s="644"/>
      <c r="T331" s="645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46">
        <v>4680115881228</v>
      </c>
      <c r="E332" s="647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4"/>
      <c r="R332" s="644"/>
      <c r="S332" s="644"/>
      <c r="T332" s="645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6">
        <v>4680115881211</v>
      </c>
      <c r="E333" s="647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4"/>
      <c r="R333" s="644"/>
      <c r="S333" s="644"/>
      <c r="T333" s="645"/>
      <c r="U333" s="34"/>
      <c r="V333" s="34"/>
      <c r="W333" s="35" t="s">
        <v>67</v>
      </c>
      <c r="X333" s="639">
        <v>30</v>
      </c>
      <c r="Y333" s="640">
        <f>IFERROR(IF(X333="",0,CEILING((X333/$H333),1)*$H333),"")</f>
        <v>31.2</v>
      </c>
      <c r="Z333" s="36">
        <f>IFERROR(IF(Y333=0,"",ROUNDUP(Y333/H333,0)*0.00651),"")</f>
        <v>8.4629999999999997E-2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32.250000000000007</v>
      </c>
      <c r="BN333" s="64">
        <f>IFERROR(Y333*I333/H333,"0")</f>
        <v>33.54</v>
      </c>
      <c r="BO333" s="64">
        <f>IFERROR(1/J333*(X333/H333),"0")</f>
        <v>6.8681318681318687E-2</v>
      </c>
      <c r="BP333" s="64">
        <f>IFERROR(1/J333*(Y333/H333),"0")</f>
        <v>7.1428571428571438E-2</v>
      </c>
    </row>
    <row r="334" spans="1:68" x14ac:dyDescent="0.2">
      <c r="A334" s="655"/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56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12.5</v>
      </c>
      <c r="Y334" s="641">
        <f>IFERROR(Y331/H331,"0")+IFERROR(Y332/H332,"0")+IFERROR(Y333/H333,"0")</f>
        <v>13</v>
      </c>
      <c r="Z334" s="641">
        <f>IFERROR(IF(Z331="",0,Z331),"0")+IFERROR(IF(Z332="",0,Z332),"0")+IFERROR(IF(Z333="",0,Z333),"0")</f>
        <v>8.4629999999999997E-2</v>
      </c>
      <c r="AA334" s="642"/>
      <c r="AB334" s="642"/>
      <c r="AC334" s="642"/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6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30</v>
      </c>
      <c r="Y335" s="641">
        <f>IFERROR(SUM(Y331:Y333),"0")</f>
        <v>31.2</v>
      </c>
      <c r="Z335" s="37"/>
      <c r="AA335" s="642"/>
      <c r="AB335" s="642"/>
      <c r="AC335" s="642"/>
    </row>
    <row r="336" spans="1:68" ht="16.5" hidden="1" customHeight="1" x14ac:dyDescent="0.25">
      <c r="A336" s="660" t="s">
        <v>556</v>
      </c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49"/>
      <c r="P336" s="649"/>
      <c r="Q336" s="649"/>
      <c r="R336" s="649"/>
      <c r="S336" s="649"/>
      <c r="T336" s="649"/>
      <c r="U336" s="649"/>
      <c r="V336" s="649"/>
      <c r="W336" s="649"/>
      <c r="X336" s="649"/>
      <c r="Y336" s="649"/>
      <c r="Z336" s="649"/>
      <c r="AA336" s="633"/>
      <c r="AB336" s="633"/>
      <c r="AC336" s="633"/>
    </row>
    <row r="337" spans="1:68" ht="14.25" hidden="1" customHeight="1" x14ac:dyDescent="0.25">
      <c r="A337" s="648" t="s">
        <v>62</v>
      </c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49"/>
      <c r="P337" s="649"/>
      <c r="Q337" s="649"/>
      <c r="R337" s="649"/>
      <c r="S337" s="649"/>
      <c r="T337" s="649"/>
      <c r="U337" s="649"/>
      <c r="V337" s="649"/>
      <c r="W337" s="649"/>
      <c r="X337" s="649"/>
      <c r="Y337" s="649"/>
      <c r="Z337" s="649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6">
        <v>4680115888319</v>
      </c>
      <c r="E338" s="647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4"/>
      <c r="R338" s="644"/>
      <c r="S338" s="644"/>
      <c r="T338" s="645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6">
        <v>4680115884700</v>
      </c>
      <c r="E339" s="647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4"/>
      <c r="R339" s="644"/>
      <c r="S339" s="644"/>
      <c r="T339" s="645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6">
        <v>4680115880344</v>
      </c>
      <c r="E340" s="647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4"/>
      <c r="R340" s="644"/>
      <c r="S340" s="644"/>
      <c r="T340" s="645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6">
        <v>4680115886919</v>
      </c>
      <c r="E341" s="647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6">
        <v>4680115883970</v>
      </c>
      <c r="E342" s="647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5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6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6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8" t="s">
        <v>74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6">
        <v>4680115884618</v>
      </c>
      <c r="E346" s="647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4"/>
      <c r="R346" s="644"/>
      <c r="S346" s="644"/>
      <c r="T346" s="645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6">
        <v>4680115887114</v>
      </c>
      <c r="E347" s="647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4"/>
      <c r="R347" s="644"/>
      <c r="S347" s="644"/>
      <c r="T347" s="645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5"/>
      <c r="B348" s="649"/>
      <c r="C348" s="649"/>
      <c r="D348" s="649"/>
      <c r="E348" s="649"/>
      <c r="F348" s="649"/>
      <c r="G348" s="649"/>
      <c r="H348" s="649"/>
      <c r="I348" s="649"/>
      <c r="J348" s="649"/>
      <c r="K348" s="649"/>
      <c r="L348" s="649"/>
      <c r="M348" s="649"/>
      <c r="N348" s="649"/>
      <c r="O348" s="656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6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60" t="s">
        <v>577</v>
      </c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49"/>
      <c r="P350" s="649"/>
      <c r="Q350" s="649"/>
      <c r="R350" s="649"/>
      <c r="S350" s="649"/>
      <c r="T350" s="649"/>
      <c r="U350" s="649"/>
      <c r="V350" s="649"/>
      <c r="W350" s="649"/>
      <c r="X350" s="649"/>
      <c r="Y350" s="649"/>
      <c r="Z350" s="649"/>
      <c r="AA350" s="633"/>
      <c r="AB350" s="633"/>
      <c r="AC350" s="633"/>
    </row>
    <row r="351" spans="1:68" ht="14.25" hidden="1" customHeight="1" x14ac:dyDescent="0.25">
      <c r="A351" s="648" t="s">
        <v>111</v>
      </c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49"/>
      <c r="P351" s="649"/>
      <c r="Q351" s="649"/>
      <c r="R351" s="649"/>
      <c r="S351" s="649"/>
      <c r="T351" s="649"/>
      <c r="U351" s="649"/>
      <c r="V351" s="649"/>
      <c r="W351" s="649"/>
      <c r="X351" s="649"/>
      <c r="Y351" s="649"/>
      <c r="Z351" s="649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46">
        <v>4680115887947</v>
      </c>
      <c r="E352" s="647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4"/>
      <c r="R352" s="644"/>
      <c r="S352" s="644"/>
      <c r="T352" s="645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6">
        <v>4680115887978</v>
      </c>
      <c r="E353" s="647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4"/>
      <c r="R353" s="644"/>
      <c r="S353" s="644"/>
      <c r="T353" s="645"/>
      <c r="U353" s="34"/>
      <c r="V353" s="34"/>
      <c r="W353" s="35" t="s">
        <v>67</v>
      </c>
      <c r="X353" s="639">
        <v>90</v>
      </c>
      <c r="Y353" s="640">
        <f>IFERROR(IF(X353="",0,CEILING((X353/$H353),1)*$H353),"")</f>
        <v>93.6</v>
      </c>
      <c r="Z353" s="36">
        <f>IFERROR(IF(Y353=0,"",ROUNDUP(Y353/H353,0)*0.01898),"")</f>
        <v>0.22776000000000002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94.730769230769241</v>
      </c>
      <c r="BN353" s="64">
        <f>IFERROR(Y353*I353/H353,"0")</f>
        <v>98.52000000000001</v>
      </c>
      <c r="BO353" s="64">
        <f>IFERROR(1/J353*(X353/H353),"0")</f>
        <v>0.18028846153846154</v>
      </c>
      <c r="BP353" s="64">
        <f>IFERROR(1/J353*(Y353/H353),"0")</f>
        <v>0.1875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46">
        <v>4680115887992</v>
      </c>
      <c r="E354" s="647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4"/>
      <c r="R354" s="644"/>
      <c r="S354" s="644"/>
      <c r="T354" s="645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6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11.538461538461538</v>
      </c>
      <c r="Y355" s="641">
        <f>IFERROR(Y352/H352,"0")+IFERROR(Y353/H353,"0")+IFERROR(Y354/H354,"0")</f>
        <v>12</v>
      </c>
      <c r="Z355" s="641">
        <f>IFERROR(IF(Z352="",0,Z352),"0")+IFERROR(IF(Z353="",0,Z353),"0")+IFERROR(IF(Z354="",0,Z354),"0")</f>
        <v>0.22776000000000002</v>
      </c>
      <c r="AA355" s="642"/>
      <c r="AB355" s="642"/>
      <c r="AC355" s="642"/>
    </row>
    <row r="356" spans="1:68" x14ac:dyDescent="0.2">
      <c r="A356" s="649"/>
      <c r="B356" s="649"/>
      <c r="C356" s="649"/>
      <c r="D356" s="649"/>
      <c r="E356" s="649"/>
      <c r="F356" s="649"/>
      <c r="G356" s="649"/>
      <c r="H356" s="649"/>
      <c r="I356" s="649"/>
      <c r="J356" s="649"/>
      <c r="K356" s="649"/>
      <c r="L356" s="649"/>
      <c r="M356" s="649"/>
      <c r="N356" s="649"/>
      <c r="O356" s="656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90</v>
      </c>
      <c r="Y356" s="641">
        <f>IFERROR(SUM(Y352:Y354),"0")</f>
        <v>93.6</v>
      </c>
      <c r="Z356" s="37"/>
      <c r="AA356" s="642"/>
      <c r="AB356" s="642"/>
      <c r="AC356" s="642"/>
    </row>
    <row r="357" spans="1:68" ht="16.5" hidden="1" customHeight="1" x14ac:dyDescent="0.25">
      <c r="A357" s="660" t="s">
        <v>586</v>
      </c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49"/>
      <c r="P357" s="649"/>
      <c r="Q357" s="649"/>
      <c r="R357" s="649"/>
      <c r="S357" s="649"/>
      <c r="T357" s="649"/>
      <c r="U357" s="649"/>
      <c r="V357" s="649"/>
      <c r="W357" s="649"/>
      <c r="X357" s="649"/>
      <c r="Y357" s="649"/>
      <c r="Z357" s="649"/>
      <c r="AA357" s="633"/>
      <c r="AB357" s="633"/>
      <c r="AC357" s="633"/>
    </row>
    <row r="358" spans="1:68" ht="14.25" hidden="1" customHeight="1" x14ac:dyDescent="0.25">
      <c r="A358" s="648" t="s">
        <v>111</v>
      </c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49"/>
      <c r="P358" s="649"/>
      <c r="Q358" s="649"/>
      <c r="R358" s="649"/>
      <c r="S358" s="649"/>
      <c r="T358" s="649"/>
      <c r="U358" s="649"/>
      <c r="V358" s="649"/>
      <c r="W358" s="649"/>
      <c r="X358" s="649"/>
      <c r="Y358" s="649"/>
      <c r="Z358" s="649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6">
        <v>4680115889880</v>
      </c>
      <c r="E359" s="647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9" t="s">
        <v>589</v>
      </c>
      <c r="Q359" s="644"/>
      <c r="R359" s="644"/>
      <c r="S359" s="644"/>
      <c r="T359" s="645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6">
        <v>4680115889293</v>
      </c>
      <c r="E360" s="647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100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4"/>
      <c r="R360" s="644"/>
      <c r="S360" s="644"/>
      <c r="T360" s="645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6">
        <v>4680115887190</v>
      </c>
      <c r="E361" s="647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4"/>
      <c r="R361" s="644"/>
      <c r="S361" s="644"/>
      <c r="T361" s="645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46">
        <v>4680115887138</v>
      </c>
      <c r="E362" s="647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4"/>
      <c r="R362" s="644"/>
      <c r="S362" s="644"/>
      <c r="T362" s="645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46">
        <v>4680115885554</v>
      </c>
      <c r="E363" s="647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4"/>
      <c r="R363" s="644"/>
      <c r="S363" s="644"/>
      <c r="T363" s="645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6">
        <v>4680115887220</v>
      </c>
      <c r="E364" s="647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6">
        <v>4680115885608</v>
      </c>
      <c r="E365" s="647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10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5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6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6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8" t="s">
        <v>62</v>
      </c>
      <c r="B368" s="649"/>
      <c r="C368" s="649"/>
      <c r="D368" s="649"/>
      <c r="E368" s="649"/>
      <c r="F368" s="649"/>
      <c r="G368" s="649"/>
      <c r="H368" s="649"/>
      <c r="I368" s="649"/>
      <c r="J368" s="649"/>
      <c r="K368" s="649"/>
      <c r="L368" s="649"/>
      <c r="M368" s="649"/>
      <c r="N368" s="649"/>
      <c r="O368" s="649"/>
      <c r="P368" s="649"/>
      <c r="Q368" s="649"/>
      <c r="R368" s="649"/>
      <c r="S368" s="649"/>
      <c r="T368" s="649"/>
      <c r="U368" s="649"/>
      <c r="V368" s="649"/>
      <c r="W368" s="649"/>
      <c r="X368" s="649"/>
      <c r="Y368" s="649"/>
      <c r="Z368" s="649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6">
        <v>4607091387193</v>
      </c>
      <c r="E369" s="647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4"/>
      <c r="R369" s="644"/>
      <c r="S369" s="644"/>
      <c r="T369" s="645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6">
        <v>4607091387230</v>
      </c>
      <c r="E370" s="647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4"/>
      <c r="R370" s="644"/>
      <c r="S370" s="644"/>
      <c r="T370" s="645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6">
        <v>4607091387292</v>
      </c>
      <c r="E371" s="647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4"/>
      <c r="R371" s="644"/>
      <c r="S371" s="644"/>
      <c r="T371" s="645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6">
        <v>4607091387285</v>
      </c>
      <c r="E372" s="647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4"/>
      <c r="R372" s="644"/>
      <c r="S372" s="644"/>
      <c r="T372" s="645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6">
        <v>4607091389845</v>
      </c>
      <c r="E373" s="647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4"/>
      <c r="R373" s="644"/>
      <c r="S373" s="644"/>
      <c r="T373" s="645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6">
        <v>4680115887442</v>
      </c>
      <c r="E374" s="647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customHeight="1" x14ac:dyDescent="0.25">
      <c r="A375" s="54" t="s">
        <v>623</v>
      </c>
      <c r="B375" s="54" t="s">
        <v>624</v>
      </c>
      <c r="C375" s="31">
        <v>4301031066</v>
      </c>
      <c r="D375" s="646">
        <v>4607091383836</v>
      </c>
      <c r="E375" s="647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4"/>
      <c r="R375" s="644"/>
      <c r="S375" s="644"/>
      <c r="T375" s="645"/>
      <c r="U375" s="34"/>
      <c r="V375" s="34"/>
      <c r="W375" s="35" t="s">
        <v>67</v>
      </c>
      <c r="X375" s="639">
        <v>32</v>
      </c>
      <c r="Y375" s="640">
        <f t="shared" si="63"/>
        <v>32.4</v>
      </c>
      <c r="Z375" s="36">
        <f>IFERROR(IF(Y375=0,"",ROUNDUP(Y375/H375,0)*0.00651),"")</f>
        <v>0.11718000000000001</v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36.053333333333335</v>
      </c>
      <c r="BN375" s="64">
        <f t="shared" si="65"/>
        <v>36.503999999999998</v>
      </c>
      <c r="BO375" s="64">
        <f t="shared" si="66"/>
        <v>9.7680097680097694E-2</v>
      </c>
      <c r="BP375" s="64">
        <f t="shared" si="67"/>
        <v>9.8901098901098911E-2</v>
      </c>
    </row>
    <row r="376" spans="1:68" x14ac:dyDescent="0.2">
      <c r="A376" s="655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6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17.777777777777779</v>
      </c>
      <c r="Y376" s="641">
        <f>IFERROR(Y369/H369,"0")+IFERROR(Y370/H370,"0")+IFERROR(Y371/H371,"0")+IFERROR(Y372/H372,"0")+IFERROR(Y373/H373,"0")+IFERROR(Y374/H374,"0")+IFERROR(Y375/H375,"0")</f>
        <v>18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0.11718000000000001</v>
      </c>
      <c r="AA376" s="642"/>
      <c r="AB376" s="642"/>
      <c r="AC376" s="642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6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32</v>
      </c>
      <c r="Y377" s="641">
        <f>IFERROR(SUM(Y369:Y375),"0")</f>
        <v>32.4</v>
      </c>
      <c r="Z377" s="37"/>
      <c r="AA377" s="642"/>
      <c r="AB377" s="642"/>
      <c r="AC377" s="642"/>
    </row>
    <row r="378" spans="1:68" ht="14.25" hidden="1" customHeight="1" x14ac:dyDescent="0.25">
      <c r="A378" s="648" t="s">
        <v>74</v>
      </c>
      <c r="B378" s="649"/>
      <c r="C378" s="649"/>
      <c r="D378" s="649"/>
      <c r="E378" s="649"/>
      <c r="F378" s="649"/>
      <c r="G378" s="649"/>
      <c r="H378" s="649"/>
      <c r="I378" s="649"/>
      <c r="J378" s="649"/>
      <c r="K378" s="649"/>
      <c r="L378" s="649"/>
      <c r="M378" s="649"/>
      <c r="N378" s="649"/>
      <c r="O378" s="649"/>
      <c r="P378" s="649"/>
      <c r="Q378" s="649"/>
      <c r="R378" s="649"/>
      <c r="S378" s="649"/>
      <c r="T378" s="649"/>
      <c r="U378" s="649"/>
      <c r="V378" s="649"/>
      <c r="W378" s="649"/>
      <c r="X378" s="649"/>
      <c r="Y378" s="649"/>
      <c r="Z378" s="649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6">
        <v>4607091387766</v>
      </c>
      <c r="E379" s="647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4"/>
      <c r="R379" s="644"/>
      <c r="S379" s="644"/>
      <c r="T379" s="645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6">
        <v>4607091387957</v>
      </c>
      <c r="E380" s="647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4"/>
      <c r="R380" s="644"/>
      <c r="S380" s="644"/>
      <c r="T380" s="645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6">
        <v>4607091387964</v>
      </c>
      <c r="E381" s="647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6">
        <v>4680115884588</v>
      </c>
      <c r="E382" s="647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4"/>
      <c r="R382" s="644"/>
      <c r="S382" s="644"/>
      <c r="T382" s="645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5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6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6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8" t="s">
        <v>164</v>
      </c>
      <c r="B385" s="649"/>
      <c r="C385" s="649"/>
      <c r="D385" s="649"/>
      <c r="E385" s="649"/>
      <c r="F385" s="649"/>
      <c r="G385" s="649"/>
      <c r="H385" s="649"/>
      <c r="I385" s="649"/>
      <c r="J385" s="649"/>
      <c r="K385" s="649"/>
      <c r="L385" s="649"/>
      <c r="M385" s="649"/>
      <c r="N385" s="649"/>
      <c r="O385" s="649"/>
      <c r="P385" s="649"/>
      <c r="Q385" s="649"/>
      <c r="R385" s="649"/>
      <c r="S385" s="649"/>
      <c r="T385" s="649"/>
      <c r="U385" s="649"/>
      <c r="V385" s="649"/>
      <c r="W385" s="649"/>
      <c r="X385" s="649"/>
      <c r="Y385" s="649"/>
      <c r="Z385" s="649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46">
        <v>4607091380880</v>
      </c>
      <c r="E386" s="647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9">
        <v>221</v>
      </c>
      <c r="Y386" s="640">
        <f>IFERROR(IF(X386="",0,CEILING((X386/$H386),1)*$H386),"")</f>
        <v>226.8</v>
      </c>
      <c r="Z386" s="36">
        <f>IFERROR(IF(Y386=0,"",ROUNDUP(Y386/H386,0)*0.01898),"")</f>
        <v>0.51246000000000003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233.99690476190477</v>
      </c>
      <c r="BN386" s="64">
        <f>IFERROR(Y386*I386/H386,"0")</f>
        <v>240.13800000000001</v>
      </c>
      <c r="BO386" s="64">
        <f>IFERROR(1/J386*(X386/H386),"0")</f>
        <v>0.41108630952380948</v>
      </c>
      <c r="BP386" s="64">
        <f>IFERROR(1/J386*(Y386/H386),"0")</f>
        <v>0.421875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6">
        <v>4607091384482</v>
      </c>
      <c r="E387" s="647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4"/>
      <c r="R387" s="644"/>
      <c r="S387" s="644"/>
      <c r="T387" s="645"/>
      <c r="U387" s="34"/>
      <c r="V387" s="34"/>
      <c r="W387" s="35" t="s">
        <v>67</v>
      </c>
      <c r="X387" s="639">
        <v>175</v>
      </c>
      <c r="Y387" s="640">
        <f>IFERROR(IF(X387="",0,CEILING((X387/$H387),1)*$H387),"")</f>
        <v>179.4</v>
      </c>
      <c r="Z387" s="36">
        <f>IFERROR(IF(Y387=0,"",ROUNDUP(Y387/H387,0)*0.01898),"")</f>
        <v>0.43653999999999998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186.08333333333334</v>
      </c>
      <c r="BN387" s="64">
        <f>IFERROR(Y387*I387/H387,"0")</f>
        <v>190.762</v>
      </c>
      <c r="BO387" s="64">
        <f>IFERROR(1/J387*(X387/H387),"0")</f>
        <v>0.35056089743589747</v>
      </c>
      <c r="BP387" s="64">
        <f>IFERROR(1/J387*(Y387/H387),"0")</f>
        <v>0.359375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46">
        <v>4607091380897</v>
      </c>
      <c r="E388" s="647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4"/>
      <c r="R388" s="644"/>
      <c r="S388" s="644"/>
      <c r="T388" s="645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5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6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48.745421245421241</v>
      </c>
      <c r="Y389" s="641">
        <f>IFERROR(Y386/H386,"0")+IFERROR(Y387/H387,"0")+IFERROR(Y388/H388,"0")</f>
        <v>50</v>
      </c>
      <c r="Z389" s="641">
        <f>IFERROR(IF(Z386="",0,Z386),"0")+IFERROR(IF(Z387="",0,Z387),"0")+IFERROR(IF(Z388="",0,Z388),"0")</f>
        <v>0.94900000000000007</v>
      </c>
      <c r="AA389" s="642"/>
      <c r="AB389" s="642"/>
      <c r="AC389" s="642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6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396</v>
      </c>
      <c r="Y390" s="641">
        <f>IFERROR(SUM(Y386:Y388),"0")</f>
        <v>406.20000000000005</v>
      </c>
      <c r="Z390" s="37"/>
      <c r="AA390" s="642"/>
      <c r="AB390" s="642"/>
      <c r="AC390" s="642"/>
    </row>
    <row r="391" spans="1:68" ht="14.25" hidden="1" customHeight="1" x14ac:dyDescent="0.25">
      <c r="A391" s="648" t="s">
        <v>267</v>
      </c>
      <c r="B391" s="649"/>
      <c r="C391" s="649"/>
      <c r="D391" s="649"/>
      <c r="E391" s="649"/>
      <c r="F391" s="649"/>
      <c r="G391" s="649"/>
      <c r="H391" s="649"/>
      <c r="I391" s="649"/>
      <c r="J391" s="649"/>
      <c r="K391" s="649"/>
      <c r="L391" s="649"/>
      <c r="M391" s="649"/>
      <c r="N391" s="649"/>
      <c r="O391" s="649"/>
      <c r="P391" s="649"/>
      <c r="Q391" s="649"/>
      <c r="R391" s="649"/>
      <c r="S391" s="649"/>
      <c r="T391" s="649"/>
      <c r="U391" s="649"/>
      <c r="V391" s="649"/>
      <c r="W391" s="649"/>
      <c r="X391" s="649"/>
      <c r="Y391" s="649"/>
      <c r="Z391" s="649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6">
        <v>4607091388381</v>
      </c>
      <c r="E392" s="647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46">
        <v>4607091388374</v>
      </c>
      <c r="E393" s="647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651</v>
      </c>
      <c r="B394" s="54" t="s">
        <v>652</v>
      </c>
      <c r="C394" s="31">
        <v>4301032015</v>
      </c>
      <c r="D394" s="646">
        <v>4607091383102</v>
      </c>
      <c r="E394" s="647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4"/>
      <c r="R394" s="644"/>
      <c r="S394" s="644"/>
      <c r="T394" s="645"/>
      <c r="U394" s="34"/>
      <c r="V394" s="34"/>
      <c r="W394" s="35" t="s">
        <v>67</v>
      </c>
      <c r="X394" s="639">
        <v>0</v>
      </c>
      <c r="Y394" s="640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653</v>
      </c>
      <c r="B395" s="54" t="s">
        <v>654</v>
      </c>
      <c r="C395" s="31">
        <v>4301030233</v>
      </c>
      <c r="D395" s="646">
        <v>4607091388404</v>
      </c>
      <c r="E395" s="647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4"/>
      <c r="R395" s="644"/>
      <c r="S395" s="644"/>
      <c r="T395" s="645"/>
      <c r="U395" s="34"/>
      <c r="V395" s="34"/>
      <c r="W395" s="35" t="s">
        <v>67</v>
      </c>
      <c r="X395" s="639">
        <v>0</v>
      </c>
      <c r="Y395" s="640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5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6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0</v>
      </c>
      <c r="Y396" s="641">
        <f>IFERROR(Y392/H392,"0")+IFERROR(Y393/H393,"0")+IFERROR(Y394/H394,"0")+IFERROR(Y395/H395,"0")</f>
        <v>0</v>
      </c>
      <c r="Z396" s="641">
        <f>IFERROR(IF(Z392="",0,Z392),"0")+IFERROR(IF(Z393="",0,Z393),"0")+IFERROR(IF(Z394="",0,Z394),"0")+IFERROR(IF(Z395="",0,Z395),"0")</f>
        <v>0</v>
      </c>
      <c r="AA396" s="642"/>
      <c r="AB396" s="642"/>
      <c r="AC396" s="642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6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0</v>
      </c>
      <c r="Y397" s="641">
        <f>IFERROR(SUM(Y392:Y395),"0")</f>
        <v>0</v>
      </c>
      <c r="Z397" s="37"/>
      <c r="AA397" s="642"/>
      <c r="AB397" s="642"/>
      <c r="AC397" s="642"/>
    </row>
    <row r="398" spans="1:68" ht="14.25" hidden="1" customHeight="1" x14ac:dyDescent="0.25">
      <c r="A398" s="648" t="s">
        <v>655</v>
      </c>
      <c r="B398" s="649"/>
      <c r="C398" s="649"/>
      <c r="D398" s="649"/>
      <c r="E398" s="649"/>
      <c r="F398" s="649"/>
      <c r="G398" s="649"/>
      <c r="H398" s="649"/>
      <c r="I398" s="649"/>
      <c r="J398" s="649"/>
      <c r="K398" s="649"/>
      <c r="L398" s="649"/>
      <c r="M398" s="649"/>
      <c r="N398" s="649"/>
      <c r="O398" s="649"/>
      <c r="P398" s="649"/>
      <c r="Q398" s="649"/>
      <c r="R398" s="649"/>
      <c r="S398" s="649"/>
      <c r="T398" s="649"/>
      <c r="U398" s="649"/>
      <c r="V398" s="649"/>
      <c r="W398" s="649"/>
      <c r="X398" s="649"/>
      <c r="Y398" s="649"/>
      <c r="Z398" s="649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46">
        <v>4680115881808</v>
      </c>
      <c r="E399" s="647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46">
        <v>4680115881822</v>
      </c>
      <c r="E400" s="647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662</v>
      </c>
      <c r="B401" s="54" t="s">
        <v>663</v>
      </c>
      <c r="C401" s="31">
        <v>4301180001</v>
      </c>
      <c r="D401" s="646">
        <v>4680115880016</v>
      </c>
      <c r="E401" s="647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4"/>
      <c r="R401" s="644"/>
      <c r="S401" s="644"/>
      <c r="T401" s="645"/>
      <c r="U401" s="34"/>
      <c r="V401" s="34"/>
      <c r="W401" s="35" t="s">
        <v>67</v>
      </c>
      <c r="X401" s="639">
        <v>6</v>
      </c>
      <c r="Y401" s="640">
        <f>IFERROR(IF(X401="",0,CEILING((X401/$H401),1)*$H401),"")</f>
        <v>6</v>
      </c>
      <c r="Z401" s="36">
        <f>IFERROR(IF(Y401=0,"",ROUNDUP(Y401/H401,0)*0.00474),"")</f>
        <v>1.422E-2</v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6.7200000000000006</v>
      </c>
      <c r="BN401" s="64">
        <f>IFERROR(Y401*I401/H401,"0")</f>
        <v>6.7200000000000006</v>
      </c>
      <c r="BO401" s="64">
        <f>IFERROR(1/J401*(X401/H401),"0")</f>
        <v>1.2605042016806723E-2</v>
      </c>
      <c r="BP401" s="64">
        <f>IFERROR(1/J401*(Y401/H401),"0")</f>
        <v>1.2605042016806723E-2</v>
      </c>
    </row>
    <row r="402" spans="1:68" x14ac:dyDescent="0.2">
      <c r="A402" s="655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6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3</v>
      </c>
      <c r="Y402" s="641">
        <f>IFERROR(Y399/H399,"0")+IFERROR(Y400/H400,"0")+IFERROR(Y401/H401,"0")</f>
        <v>3</v>
      </c>
      <c r="Z402" s="641">
        <f>IFERROR(IF(Z399="",0,Z399),"0")+IFERROR(IF(Z400="",0,Z400),"0")+IFERROR(IF(Z401="",0,Z401),"0")</f>
        <v>1.422E-2</v>
      </c>
      <c r="AA402" s="642"/>
      <c r="AB402" s="642"/>
      <c r="AC402" s="642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6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6</v>
      </c>
      <c r="Y403" s="641">
        <f>IFERROR(SUM(Y399:Y401),"0")</f>
        <v>6</v>
      </c>
      <c r="Z403" s="37"/>
      <c r="AA403" s="642"/>
      <c r="AB403" s="642"/>
      <c r="AC403" s="642"/>
    </row>
    <row r="404" spans="1:68" ht="14.25" hidden="1" customHeight="1" x14ac:dyDescent="0.25">
      <c r="A404" s="648" t="s">
        <v>664</v>
      </c>
      <c r="B404" s="649"/>
      <c r="C404" s="649"/>
      <c r="D404" s="649"/>
      <c r="E404" s="649"/>
      <c r="F404" s="649"/>
      <c r="G404" s="649"/>
      <c r="H404" s="649"/>
      <c r="I404" s="649"/>
      <c r="J404" s="649"/>
      <c r="K404" s="649"/>
      <c r="L404" s="649"/>
      <c r="M404" s="649"/>
      <c r="N404" s="649"/>
      <c r="O404" s="649"/>
      <c r="P404" s="649"/>
      <c r="Q404" s="649"/>
      <c r="R404" s="649"/>
      <c r="S404" s="649"/>
      <c r="T404" s="649"/>
      <c r="U404" s="649"/>
      <c r="V404" s="649"/>
      <c r="W404" s="649"/>
      <c r="X404" s="649"/>
      <c r="Y404" s="649"/>
      <c r="Z404" s="649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6">
        <v>4680115888678</v>
      </c>
      <c r="E405" s="647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4"/>
      <c r="R405" s="644"/>
      <c r="S405" s="644"/>
      <c r="T405" s="645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6">
        <v>4680115888654</v>
      </c>
      <c r="E406" s="647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4"/>
      <c r="R406" s="644"/>
      <c r="S406" s="644"/>
      <c r="T406" s="645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6">
        <v>4680115888753</v>
      </c>
      <c r="E407" s="647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4"/>
      <c r="R407" s="644"/>
      <c r="S407" s="644"/>
      <c r="T407" s="645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5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6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6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60" t="s">
        <v>673</v>
      </c>
      <c r="B410" s="649"/>
      <c r="C410" s="649"/>
      <c r="D410" s="649"/>
      <c r="E410" s="649"/>
      <c r="F410" s="649"/>
      <c r="G410" s="649"/>
      <c r="H410" s="649"/>
      <c r="I410" s="649"/>
      <c r="J410" s="649"/>
      <c r="K410" s="649"/>
      <c r="L410" s="649"/>
      <c r="M410" s="649"/>
      <c r="N410" s="649"/>
      <c r="O410" s="649"/>
      <c r="P410" s="649"/>
      <c r="Q410" s="649"/>
      <c r="R410" s="649"/>
      <c r="S410" s="649"/>
      <c r="T410" s="649"/>
      <c r="U410" s="649"/>
      <c r="V410" s="649"/>
      <c r="W410" s="649"/>
      <c r="X410" s="649"/>
      <c r="Y410" s="649"/>
      <c r="Z410" s="649"/>
      <c r="AA410" s="633"/>
      <c r="AB410" s="633"/>
      <c r="AC410" s="633"/>
    </row>
    <row r="411" spans="1:68" ht="14.25" hidden="1" customHeight="1" x14ac:dyDescent="0.25">
      <c r="A411" s="648" t="s">
        <v>74</v>
      </c>
      <c r="B411" s="649"/>
      <c r="C411" s="649"/>
      <c r="D411" s="649"/>
      <c r="E411" s="649"/>
      <c r="F411" s="649"/>
      <c r="G411" s="649"/>
      <c r="H411" s="649"/>
      <c r="I411" s="649"/>
      <c r="J411" s="649"/>
      <c r="K411" s="649"/>
      <c r="L411" s="649"/>
      <c r="M411" s="649"/>
      <c r="N411" s="649"/>
      <c r="O411" s="649"/>
      <c r="P411" s="649"/>
      <c r="Q411" s="649"/>
      <c r="R411" s="649"/>
      <c r="S411" s="649"/>
      <c r="T411" s="649"/>
      <c r="U411" s="649"/>
      <c r="V411" s="649"/>
      <c r="W411" s="649"/>
      <c r="X411" s="649"/>
      <c r="Y411" s="649"/>
      <c r="Z411" s="649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6">
        <v>4680115889415</v>
      </c>
      <c r="E412" s="647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6">
        <v>4680115889422</v>
      </c>
      <c r="E413" s="647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4"/>
      <c r="R413" s="644"/>
      <c r="S413" s="644"/>
      <c r="T413" s="645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5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6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6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60" t="s">
        <v>680</v>
      </c>
      <c r="B416" s="649"/>
      <c r="C416" s="649"/>
      <c r="D416" s="649"/>
      <c r="E416" s="649"/>
      <c r="F416" s="649"/>
      <c r="G416" s="649"/>
      <c r="H416" s="649"/>
      <c r="I416" s="649"/>
      <c r="J416" s="649"/>
      <c r="K416" s="649"/>
      <c r="L416" s="649"/>
      <c r="M416" s="649"/>
      <c r="N416" s="649"/>
      <c r="O416" s="649"/>
      <c r="P416" s="649"/>
      <c r="Q416" s="649"/>
      <c r="R416" s="649"/>
      <c r="S416" s="649"/>
      <c r="T416" s="649"/>
      <c r="U416" s="649"/>
      <c r="V416" s="649"/>
      <c r="W416" s="649"/>
      <c r="X416" s="649"/>
      <c r="Y416" s="649"/>
      <c r="Z416" s="649"/>
      <c r="AA416" s="633"/>
      <c r="AB416" s="633"/>
      <c r="AC416" s="633"/>
    </row>
    <row r="417" spans="1:68" ht="14.25" hidden="1" customHeight="1" x14ac:dyDescent="0.25">
      <c r="A417" s="648" t="s">
        <v>74</v>
      </c>
      <c r="B417" s="649"/>
      <c r="C417" s="649"/>
      <c r="D417" s="649"/>
      <c r="E417" s="649"/>
      <c r="F417" s="649"/>
      <c r="G417" s="649"/>
      <c r="H417" s="649"/>
      <c r="I417" s="649"/>
      <c r="J417" s="649"/>
      <c r="K417" s="649"/>
      <c r="L417" s="649"/>
      <c r="M417" s="649"/>
      <c r="N417" s="649"/>
      <c r="O417" s="649"/>
      <c r="P417" s="649"/>
      <c r="Q417" s="649"/>
      <c r="R417" s="649"/>
      <c r="S417" s="649"/>
      <c r="T417" s="649"/>
      <c r="U417" s="649"/>
      <c r="V417" s="649"/>
      <c r="W417" s="649"/>
      <c r="X417" s="649"/>
      <c r="Y417" s="649"/>
      <c r="Z417" s="649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6">
        <v>4607091387919</v>
      </c>
      <c r="E418" s="647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4"/>
      <c r="R418" s="644"/>
      <c r="S418" s="644"/>
      <c r="T418" s="645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46">
        <v>4680115883604</v>
      </c>
      <c r="E419" s="647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9">
        <v>4</v>
      </c>
      <c r="Y419" s="640">
        <f>IFERROR(IF(X419="",0,CEILING((X419/$H419),1)*$H419),"")</f>
        <v>4.2</v>
      </c>
      <c r="Z419" s="36">
        <f>IFERROR(IF(Y419=0,"",ROUNDUP(Y419/H419,0)*0.00651),"")</f>
        <v>1.302E-2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4.4799999999999995</v>
      </c>
      <c r="BN419" s="64">
        <f>IFERROR(Y419*I419/H419,"0")</f>
        <v>4.7039999999999997</v>
      </c>
      <c r="BO419" s="64">
        <f>IFERROR(1/J419*(X419/H419),"0")</f>
        <v>1.0465724751439037E-2</v>
      </c>
      <c r="BP419" s="64">
        <f>IFERROR(1/J419*(Y419/H419),"0")</f>
        <v>1.098901098901099E-2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6">
        <v>4680115883567</v>
      </c>
      <c r="E420" s="647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4"/>
      <c r="R420" s="644"/>
      <c r="S420" s="644"/>
      <c r="T420" s="645"/>
      <c r="U420" s="34"/>
      <c r="V420" s="34"/>
      <c r="W420" s="35" t="s">
        <v>67</v>
      </c>
      <c r="X420" s="639">
        <v>4</v>
      </c>
      <c r="Y420" s="640">
        <f>IFERROR(IF(X420="",0,CEILING((X420/$H420),1)*$H420),"")</f>
        <v>4.2</v>
      </c>
      <c r="Z420" s="36">
        <f>IFERROR(IF(Y420=0,"",ROUNDUP(Y420/H420,0)*0.00651),"")</f>
        <v>1.302E-2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4.4571428571428564</v>
      </c>
      <c r="BN420" s="64">
        <f>IFERROR(Y420*I420/H420,"0")</f>
        <v>4.68</v>
      </c>
      <c r="BO420" s="64">
        <f>IFERROR(1/J420*(X420/H420),"0")</f>
        <v>1.0465724751439037E-2</v>
      </c>
      <c r="BP420" s="64">
        <f>IFERROR(1/J420*(Y420/H420),"0")</f>
        <v>1.098901098901099E-2</v>
      </c>
    </row>
    <row r="421" spans="1:68" x14ac:dyDescent="0.2">
      <c r="A421" s="655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6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3.8095238095238093</v>
      </c>
      <c r="Y421" s="641">
        <f>IFERROR(Y418/H418,"0")+IFERROR(Y419/H419,"0")+IFERROR(Y420/H420,"0")</f>
        <v>4</v>
      </c>
      <c r="Z421" s="641">
        <f>IFERROR(IF(Z418="",0,Z418),"0")+IFERROR(IF(Z419="",0,Z419),"0")+IFERROR(IF(Z420="",0,Z420),"0")</f>
        <v>2.6040000000000001E-2</v>
      </c>
      <c r="AA421" s="642"/>
      <c r="AB421" s="642"/>
      <c r="AC421" s="642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6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8</v>
      </c>
      <c r="Y422" s="641">
        <f>IFERROR(SUM(Y418:Y420),"0")</f>
        <v>8.4</v>
      </c>
      <c r="Z422" s="37"/>
      <c r="AA422" s="642"/>
      <c r="AB422" s="642"/>
      <c r="AC422" s="642"/>
    </row>
    <row r="423" spans="1:68" ht="27.75" hidden="1" customHeight="1" x14ac:dyDescent="0.2">
      <c r="A423" s="658" t="s">
        <v>690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48"/>
      <c r="AB423" s="48"/>
      <c r="AC423" s="48"/>
    </row>
    <row r="424" spans="1:68" ht="16.5" hidden="1" customHeight="1" x14ac:dyDescent="0.25">
      <c r="A424" s="660" t="s">
        <v>691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633"/>
      <c r="AB424" s="633"/>
      <c r="AC424" s="633"/>
    </row>
    <row r="425" spans="1:68" ht="14.25" hidden="1" customHeight="1" x14ac:dyDescent="0.25">
      <c r="A425" s="648" t="s">
        <v>111</v>
      </c>
      <c r="B425" s="649"/>
      <c r="C425" s="649"/>
      <c r="D425" s="649"/>
      <c r="E425" s="649"/>
      <c r="F425" s="649"/>
      <c r="G425" s="649"/>
      <c r="H425" s="649"/>
      <c r="I425" s="649"/>
      <c r="J425" s="649"/>
      <c r="K425" s="649"/>
      <c r="L425" s="649"/>
      <c r="M425" s="649"/>
      <c r="N425" s="649"/>
      <c r="O425" s="649"/>
      <c r="P425" s="649"/>
      <c r="Q425" s="649"/>
      <c r="R425" s="649"/>
      <c r="S425" s="649"/>
      <c r="T425" s="649"/>
      <c r="U425" s="649"/>
      <c r="V425" s="649"/>
      <c r="W425" s="649"/>
      <c r="X425" s="649"/>
      <c r="Y425" s="649"/>
      <c r="Z425" s="649"/>
      <c r="AA425" s="634"/>
      <c r="AB425" s="634"/>
      <c r="AC425" s="634"/>
    </row>
    <row r="426" spans="1:68" ht="27" customHeight="1" x14ac:dyDescent="0.25">
      <c r="A426" s="54" t="s">
        <v>692</v>
      </c>
      <c r="B426" s="54" t="s">
        <v>693</v>
      </c>
      <c r="C426" s="31">
        <v>4301012332</v>
      </c>
      <c r="D426" s="646">
        <v>4680115888401</v>
      </c>
      <c r="E426" s="647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4"/>
      <c r="R426" s="644"/>
      <c r="S426" s="644"/>
      <c r="T426" s="645"/>
      <c r="U426" s="34"/>
      <c r="V426" s="34"/>
      <c r="W426" s="35" t="s">
        <v>67</v>
      </c>
      <c r="X426" s="639">
        <v>96</v>
      </c>
      <c r="Y426" s="640">
        <f t="shared" ref="Y426:Y433" si="68">IFERROR(IF(X426="",0,CEILING((X426/$H426),1)*$H426),"")</f>
        <v>105</v>
      </c>
      <c r="Z426" s="36">
        <f>IFERROR(IF(Y426=0,"",ROUNDUP(Y426/H426,0)*0.02175),"")</f>
        <v>0.15225</v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99.00800000000001</v>
      </c>
      <c r="BN426" s="64">
        <f t="shared" ref="BN426:BN433" si="70">IFERROR(Y426*I426/H426,"0")</f>
        <v>108.29</v>
      </c>
      <c r="BO426" s="64">
        <f t="shared" ref="BO426:BO433" si="71">IFERROR(1/J426*(X426/H426),"0")</f>
        <v>0.13333333333333333</v>
      </c>
      <c r="BP426" s="64">
        <f t="shared" ref="BP426:BP433" si="72">IFERROR(1/J426*(Y426/H426),"0")</f>
        <v>0.14583333333333331</v>
      </c>
    </row>
    <row r="427" spans="1:68" ht="37.5" hidden="1" customHeight="1" x14ac:dyDescent="0.25">
      <c r="A427" s="54" t="s">
        <v>695</v>
      </c>
      <c r="B427" s="54" t="s">
        <v>696</v>
      </c>
      <c r="C427" s="31">
        <v>4301011869</v>
      </c>
      <c r="D427" s="646">
        <v>4680115884847</v>
      </c>
      <c r="E427" s="647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4"/>
      <c r="R427" s="644"/>
      <c r="S427" s="644"/>
      <c r="T427" s="645"/>
      <c r="U427" s="34"/>
      <c r="V427" s="34"/>
      <c r="W427" s="35" t="s">
        <v>67</v>
      </c>
      <c r="X427" s="639">
        <v>0</v>
      </c>
      <c r="Y427" s="640">
        <f t="shared" si="68"/>
        <v>0</v>
      </c>
      <c r="Z427" s="36" t="str">
        <f>IFERROR(IF(Y427=0,"",ROUNDUP(Y427/H427,0)*0.02175),"")</f>
        <v/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0</v>
      </c>
      <c r="BN427" s="64">
        <f t="shared" si="70"/>
        <v>0</v>
      </c>
      <c r="BO427" s="64">
        <f t="shared" si="71"/>
        <v>0</v>
      </c>
      <c r="BP427" s="64">
        <f t="shared" si="72"/>
        <v>0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6">
        <v>4680115884854</v>
      </c>
      <c r="E428" s="647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4"/>
      <c r="R428" s="644"/>
      <c r="S428" s="644"/>
      <c r="T428" s="645"/>
      <c r="U428" s="34"/>
      <c r="V428" s="34"/>
      <c r="W428" s="35" t="s">
        <v>67</v>
      </c>
      <c r="X428" s="639">
        <v>506</v>
      </c>
      <c r="Y428" s="640">
        <f t="shared" si="68"/>
        <v>510</v>
      </c>
      <c r="Z428" s="36">
        <f>IFERROR(IF(Y428=0,"",ROUNDUP(Y428/H428,0)*0.02175),"")</f>
        <v>0.73949999999999994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521.85466666666673</v>
      </c>
      <c r="BN428" s="64">
        <f t="shared" si="70"/>
        <v>525.98</v>
      </c>
      <c r="BO428" s="64">
        <f t="shared" si="71"/>
        <v>0.70277777777777772</v>
      </c>
      <c r="BP428" s="64">
        <f t="shared" si="72"/>
        <v>0.70833333333333326</v>
      </c>
    </row>
    <row r="429" spans="1:68" ht="27" hidden="1" customHeight="1" x14ac:dyDescent="0.25">
      <c r="A429" s="54" t="s">
        <v>701</v>
      </c>
      <c r="B429" s="54" t="s">
        <v>702</v>
      </c>
      <c r="C429" s="31">
        <v>4301011867</v>
      </c>
      <c r="D429" s="646">
        <v>4680115884830</v>
      </c>
      <c r="E429" s="647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4"/>
      <c r="R429" s="644"/>
      <c r="S429" s="644"/>
      <c r="T429" s="645"/>
      <c r="U429" s="34"/>
      <c r="V429" s="34"/>
      <c r="W429" s="35" t="s">
        <v>67</v>
      </c>
      <c r="X429" s="639">
        <v>0</v>
      </c>
      <c r="Y429" s="640">
        <f t="shared" si="68"/>
        <v>0</v>
      </c>
      <c r="Z429" s="36" t="str">
        <f>IFERROR(IF(Y429=0,"",ROUNDUP(Y429/H429,0)*0.02175),"")</f>
        <v/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0</v>
      </c>
      <c r="BN429" s="64">
        <f t="shared" si="70"/>
        <v>0</v>
      </c>
      <c r="BO429" s="64">
        <f t="shared" si="71"/>
        <v>0</v>
      </c>
      <c r="BP429" s="64">
        <f t="shared" si="72"/>
        <v>0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46">
        <v>4680115889231</v>
      </c>
      <c r="E430" s="647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4"/>
      <c r="R430" s="644"/>
      <c r="S430" s="644"/>
      <c r="T430" s="645"/>
      <c r="U430" s="34"/>
      <c r="V430" s="34"/>
      <c r="W430" s="35" t="s">
        <v>67</v>
      </c>
      <c r="X430" s="639">
        <v>100</v>
      </c>
      <c r="Y430" s="640">
        <f t="shared" si="68"/>
        <v>105</v>
      </c>
      <c r="Z430" s="36">
        <f>IFERROR(IF(Y430=0,"",ROUNDUP(Y430/H430,0)*0.02175),"")</f>
        <v>0.15225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103.13333333333334</v>
      </c>
      <c r="BN430" s="64">
        <f t="shared" si="70"/>
        <v>108.29</v>
      </c>
      <c r="BO430" s="64">
        <f t="shared" si="71"/>
        <v>0.1388888888888889</v>
      </c>
      <c r="BP430" s="64">
        <f t="shared" si="72"/>
        <v>0.14583333333333331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6">
        <v>4680115882638</v>
      </c>
      <c r="E431" s="647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4"/>
      <c r="R431" s="644"/>
      <c r="S431" s="644"/>
      <c r="T431" s="645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6">
        <v>4680115884922</v>
      </c>
      <c r="E432" s="647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4"/>
      <c r="R432" s="644"/>
      <c r="S432" s="644"/>
      <c r="T432" s="645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6">
        <v>4680115884861</v>
      </c>
      <c r="E433" s="647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4"/>
      <c r="R433" s="644"/>
      <c r="S433" s="644"/>
      <c r="T433" s="645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5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6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46.8</v>
      </c>
      <c r="Y434" s="641">
        <f>IFERROR(Y426/H426,"0")+IFERROR(Y427/H427,"0")+IFERROR(Y428/H428,"0")+IFERROR(Y429/H429,"0")+IFERROR(Y430/H430,"0")+IFERROR(Y431/H431,"0")+IFERROR(Y432/H432,"0")+IFERROR(Y433/H433,"0")</f>
        <v>48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1.044</v>
      </c>
      <c r="AA434" s="642"/>
      <c r="AB434" s="642"/>
      <c r="AC434" s="642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6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702</v>
      </c>
      <c r="Y435" s="641">
        <f>IFERROR(SUM(Y426:Y433),"0")</f>
        <v>720</v>
      </c>
      <c r="Z435" s="37"/>
      <c r="AA435" s="642"/>
      <c r="AB435" s="642"/>
      <c r="AC435" s="642"/>
    </row>
    <row r="436" spans="1:68" ht="14.25" hidden="1" customHeight="1" x14ac:dyDescent="0.25">
      <c r="A436" s="648" t="s">
        <v>146</v>
      </c>
      <c r="B436" s="649"/>
      <c r="C436" s="649"/>
      <c r="D436" s="649"/>
      <c r="E436" s="649"/>
      <c r="F436" s="649"/>
      <c r="G436" s="649"/>
      <c r="H436" s="649"/>
      <c r="I436" s="649"/>
      <c r="J436" s="649"/>
      <c r="K436" s="649"/>
      <c r="L436" s="649"/>
      <c r="M436" s="649"/>
      <c r="N436" s="649"/>
      <c r="O436" s="649"/>
      <c r="P436" s="649"/>
      <c r="Q436" s="649"/>
      <c r="R436" s="649"/>
      <c r="S436" s="649"/>
      <c r="T436" s="649"/>
      <c r="U436" s="649"/>
      <c r="V436" s="649"/>
      <c r="W436" s="649"/>
      <c r="X436" s="649"/>
      <c r="Y436" s="649"/>
      <c r="Z436" s="649"/>
      <c r="AA436" s="634"/>
      <c r="AB436" s="634"/>
      <c r="AC436" s="634"/>
    </row>
    <row r="437" spans="1:68" ht="27" hidden="1" customHeight="1" x14ac:dyDescent="0.25">
      <c r="A437" s="54" t="s">
        <v>716</v>
      </c>
      <c r="B437" s="54" t="s">
        <v>717</v>
      </c>
      <c r="C437" s="31">
        <v>4301020178</v>
      </c>
      <c r="D437" s="646">
        <v>4607091383980</v>
      </c>
      <c r="E437" s="647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4"/>
      <c r="R437" s="644"/>
      <c r="S437" s="644"/>
      <c r="T437" s="645"/>
      <c r="U437" s="34"/>
      <c r="V437" s="34"/>
      <c r="W437" s="35" t="s">
        <v>67</v>
      </c>
      <c r="X437" s="639">
        <v>0</v>
      </c>
      <c r="Y437" s="640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719</v>
      </c>
      <c r="B438" s="54" t="s">
        <v>720</v>
      </c>
      <c r="C438" s="31">
        <v>4301020355</v>
      </c>
      <c r="D438" s="646">
        <v>4680115888425</v>
      </c>
      <c r="E438" s="647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4"/>
      <c r="R438" s="644"/>
      <c r="S438" s="644"/>
      <c r="T438" s="645"/>
      <c r="U438" s="34"/>
      <c r="V438" s="34"/>
      <c r="W438" s="35" t="s">
        <v>67</v>
      </c>
      <c r="X438" s="639">
        <v>75</v>
      </c>
      <c r="Y438" s="640">
        <f>IFERROR(IF(X438="",0,CEILING((X438/$H438),1)*$H438),"")</f>
        <v>75</v>
      </c>
      <c r="Z438" s="36">
        <f>IFERROR(IF(Y438=0,"",ROUNDUP(Y438/H438,0)*0.02175),"")</f>
        <v>0.10874999999999999</v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77.349999999999994</v>
      </c>
      <c r="BN438" s="64">
        <f>IFERROR(Y438*I438/H438,"0")</f>
        <v>77.349999999999994</v>
      </c>
      <c r="BO438" s="64">
        <f>IFERROR(1/J438*(X438/H438),"0")</f>
        <v>0.10416666666666666</v>
      </c>
      <c r="BP438" s="64">
        <f>IFERROR(1/J438*(Y438/H438),"0")</f>
        <v>0.10416666666666666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6">
        <v>4607091384178</v>
      </c>
      <c r="E439" s="647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4"/>
      <c r="R439" s="644"/>
      <c r="S439" s="644"/>
      <c r="T439" s="645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5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6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5</v>
      </c>
      <c r="Y440" s="641">
        <f>IFERROR(Y437/H437,"0")+IFERROR(Y438/H438,"0")+IFERROR(Y439/H439,"0")</f>
        <v>5</v>
      </c>
      <c r="Z440" s="641">
        <f>IFERROR(IF(Z437="",0,Z437),"0")+IFERROR(IF(Z438="",0,Z438),"0")+IFERROR(IF(Z439="",0,Z439),"0")</f>
        <v>0.10874999999999999</v>
      </c>
      <c r="AA440" s="642"/>
      <c r="AB440" s="642"/>
      <c r="AC440" s="642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6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75</v>
      </c>
      <c r="Y441" s="641">
        <f>IFERROR(SUM(Y437:Y439),"0")</f>
        <v>75</v>
      </c>
      <c r="Z441" s="37"/>
      <c r="AA441" s="642"/>
      <c r="AB441" s="642"/>
      <c r="AC441" s="642"/>
    </row>
    <row r="442" spans="1:68" ht="14.25" hidden="1" customHeight="1" x14ac:dyDescent="0.25">
      <c r="A442" s="648" t="s">
        <v>74</v>
      </c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49"/>
      <c r="O442" s="649"/>
      <c r="P442" s="649"/>
      <c r="Q442" s="649"/>
      <c r="R442" s="649"/>
      <c r="S442" s="649"/>
      <c r="T442" s="649"/>
      <c r="U442" s="649"/>
      <c r="V442" s="649"/>
      <c r="W442" s="649"/>
      <c r="X442" s="649"/>
      <c r="Y442" s="649"/>
      <c r="Z442" s="649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6">
        <v>4607091383928</v>
      </c>
      <c r="E443" s="647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6">
        <v>4607091384260</v>
      </c>
      <c r="E444" s="647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6">
        <v>4680115889538</v>
      </c>
      <c r="E445" s="647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5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6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6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8" t="s">
        <v>164</v>
      </c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6">
        <v>4680115889545</v>
      </c>
      <c r="E449" s="647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4"/>
      <c r="R449" s="644"/>
      <c r="S449" s="644"/>
      <c r="T449" s="645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46">
        <v>4607091384673</v>
      </c>
      <c r="E450" s="647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4"/>
      <c r="R450" s="644"/>
      <c r="S450" s="644"/>
      <c r="T450" s="645"/>
      <c r="U450" s="34"/>
      <c r="V450" s="34"/>
      <c r="W450" s="35" t="s">
        <v>67</v>
      </c>
      <c r="X450" s="639">
        <v>50</v>
      </c>
      <c r="Y450" s="640">
        <f>IFERROR(IF(X450="",0,CEILING((X450/$H450),1)*$H450),"")</f>
        <v>54</v>
      </c>
      <c r="Z450" s="36">
        <f>IFERROR(IF(Y450=0,"",ROUNDUP(Y450/H450,0)*0.01898),"")</f>
        <v>0.11388000000000001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52.74444444444444</v>
      </c>
      <c r="BN450" s="64">
        <f>IFERROR(Y450*I450/H450,"0")</f>
        <v>56.963999999999992</v>
      </c>
      <c r="BO450" s="64">
        <f>IFERROR(1/J450*(X450/H450),"0")</f>
        <v>8.6805555555555552E-2</v>
      </c>
      <c r="BP450" s="64">
        <f>IFERROR(1/J450*(Y450/H450),"0")</f>
        <v>9.375E-2</v>
      </c>
    </row>
    <row r="451" spans="1:68" x14ac:dyDescent="0.2">
      <c r="A451" s="655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6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5.5555555555555554</v>
      </c>
      <c r="Y451" s="641">
        <f>IFERROR(Y449/H449,"0")+IFERROR(Y450/H450,"0")</f>
        <v>6</v>
      </c>
      <c r="Z451" s="641">
        <f>IFERROR(IF(Z449="",0,Z449),"0")+IFERROR(IF(Z450="",0,Z450),"0")</f>
        <v>0.11388000000000001</v>
      </c>
      <c r="AA451" s="642"/>
      <c r="AB451" s="642"/>
      <c r="AC451" s="642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6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50</v>
      </c>
      <c r="Y452" s="641">
        <f>IFERROR(SUM(Y449:Y450),"0")</f>
        <v>54</v>
      </c>
      <c r="Z452" s="37"/>
      <c r="AA452" s="642"/>
      <c r="AB452" s="642"/>
      <c r="AC452" s="642"/>
    </row>
    <row r="453" spans="1:68" ht="16.5" hidden="1" customHeight="1" x14ac:dyDescent="0.25">
      <c r="A453" s="660" t="s">
        <v>740</v>
      </c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49"/>
      <c r="P453" s="649"/>
      <c r="Q453" s="649"/>
      <c r="R453" s="649"/>
      <c r="S453" s="649"/>
      <c r="T453" s="649"/>
      <c r="U453" s="649"/>
      <c r="V453" s="649"/>
      <c r="W453" s="649"/>
      <c r="X453" s="649"/>
      <c r="Y453" s="649"/>
      <c r="Z453" s="649"/>
      <c r="AA453" s="633"/>
      <c r="AB453" s="633"/>
      <c r="AC453" s="633"/>
    </row>
    <row r="454" spans="1:68" ht="14.25" hidden="1" customHeight="1" x14ac:dyDescent="0.25">
      <c r="A454" s="648" t="s">
        <v>111</v>
      </c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49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6">
        <v>4680115884885</v>
      </c>
      <c r="E455" s="647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4"/>
      <c r="R455" s="644"/>
      <c r="S455" s="644"/>
      <c r="T455" s="645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6">
        <v>4680115884908</v>
      </c>
      <c r="E456" s="647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5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6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6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8" t="s">
        <v>62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6">
        <v>4607091384802</v>
      </c>
      <c r="E460" s="647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4"/>
      <c r="R460" s="644"/>
      <c r="S460" s="644"/>
      <c r="T460" s="645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5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6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6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8" t="s">
        <v>74</v>
      </c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49"/>
      <c r="P463" s="649"/>
      <c r="Q463" s="649"/>
      <c r="R463" s="649"/>
      <c r="S463" s="649"/>
      <c r="T463" s="649"/>
      <c r="U463" s="649"/>
      <c r="V463" s="649"/>
      <c r="W463" s="649"/>
      <c r="X463" s="649"/>
      <c r="Y463" s="649"/>
      <c r="Z463" s="649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6">
        <v>4607091384246</v>
      </c>
      <c r="E464" s="647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4"/>
      <c r="R464" s="644"/>
      <c r="S464" s="644"/>
      <c r="T464" s="645"/>
      <c r="U464" s="34"/>
      <c r="V464" s="34"/>
      <c r="W464" s="35" t="s">
        <v>67</v>
      </c>
      <c r="X464" s="639">
        <v>400</v>
      </c>
      <c r="Y464" s="640">
        <f>IFERROR(IF(X464="",0,CEILING((X464/$H464),1)*$H464),"")</f>
        <v>405</v>
      </c>
      <c r="Z464" s="36">
        <f>IFERROR(IF(Y464=0,"",ROUNDUP(Y464/H464,0)*0.01898),"")</f>
        <v>0.85409999999999997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421.95555555555552</v>
      </c>
      <c r="BN464" s="64">
        <f>IFERROR(Y464*I464/H464,"0")</f>
        <v>427.22999999999996</v>
      </c>
      <c r="BO464" s="64">
        <f>IFERROR(1/J464*(X464/H464),"0")</f>
        <v>0.69444444444444442</v>
      </c>
      <c r="BP464" s="64">
        <f>IFERROR(1/J464*(Y464/H464),"0")</f>
        <v>0.703125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6">
        <v>4607091384253</v>
      </c>
      <c r="E465" s="647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4"/>
      <c r="R465" s="644"/>
      <c r="S465" s="644"/>
      <c r="T465" s="645"/>
      <c r="U465" s="34"/>
      <c r="V465" s="34"/>
      <c r="W465" s="35" t="s">
        <v>67</v>
      </c>
      <c r="X465" s="639">
        <v>8</v>
      </c>
      <c r="Y465" s="640">
        <f>IFERROR(IF(X465="",0,CEILING((X465/$H465),1)*$H465),"")</f>
        <v>9.6</v>
      </c>
      <c r="Z465" s="36">
        <f>IFERROR(IF(Y465=0,"",ROUNDUP(Y465/H465,0)*0.00651),"")</f>
        <v>2.6040000000000001E-2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8.8800000000000008</v>
      </c>
      <c r="BN465" s="64">
        <f>IFERROR(Y465*I465/H465,"0")</f>
        <v>10.656000000000001</v>
      </c>
      <c r="BO465" s="64">
        <f>IFERROR(1/J465*(X465/H465),"0")</f>
        <v>1.8315018315018316E-2</v>
      </c>
      <c r="BP465" s="64">
        <f>IFERROR(1/J465*(Y465/H465),"0")</f>
        <v>2.197802197802198E-2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6">
        <v>4607091384253</v>
      </c>
      <c r="E466" s="647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4"/>
      <c r="R466" s="644"/>
      <c r="S466" s="644"/>
      <c r="T466" s="645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5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6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47.777777777777779</v>
      </c>
      <c r="Y467" s="641">
        <f>IFERROR(Y464/H464,"0")+IFERROR(Y465/H465,"0")+IFERROR(Y466/H466,"0")</f>
        <v>49</v>
      </c>
      <c r="Z467" s="641">
        <f>IFERROR(IF(Z464="",0,Z464),"0")+IFERROR(IF(Z465="",0,Z465),"0")+IFERROR(IF(Z466="",0,Z466),"0")</f>
        <v>0.88013999999999992</v>
      </c>
      <c r="AA467" s="642"/>
      <c r="AB467" s="642"/>
      <c r="AC467" s="642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6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408</v>
      </c>
      <c r="Y468" s="641">
        <f>IFERROR(SUM(Y464:Y466),"0")</f>
        <v>414.6</v>
      </c>
      <c r="Z468" s="37"/>
      <c r="AA468" s="642"/>
      <c r="AB468" s="642"/>
      <c r="AC468" s="642"/>
    </row>
    <row r="469" spans="1:68" ht="27.75" hidden="1" customHeight="1" x14ac:dyDescent="0.2">
      <c r="A469" s="658" t="s">
        <v>756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48"/>
      <c r="AB469" s="48"/>
      <c r="AC469" s="48"/>
    </row>
    <row r="470" spans="1:68" ht="16.5" hidden="1" customHeight="1" x14ac:dyDescent="0.25">
      <c r="A470" s="660" t="s">
        <v>757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633"/>
      <c r="AB470" s="633"/>
      <c r="AC470" s="633"/>
    </row>
    <row r="471" spans="1:68" ht="14.25" hidden="1" customHeight="1" x14ac:dyDescent="0.25">
      <c r="A471" s="648" t="s">
        <v>62</v>
      </c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49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  <c r="AA471" s="634"/>
      <c r="AB471" s="634"/>
      <c r="AC471" s="634"/>
    </row>
    <row r="472" spans="1:68" ht="27" customHeight="1" x14ac:dyDescent="0.25">
      <c r="A472" s="54" t="s">
        <v>758</v>
      </c>
      <c r="B472" s="54" t="s">
        <v>759</v>
      </c>
      <c r="C472" s="31">
        <v>4301031405</v>
      </c>
      <c r="D472" s="646">
        <v>4680115886100</v>
      </c>
      <c r="E472" s="647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4"/>
      <c r="R472" s="644"/>
      <c r="S472" s="644"/>
      <c r="T472" s="645"/>
      <c r="U472" s="34"/>
      <c r="V472" s="34"/>
      <c r="W472" s="35" t="s">
        <v>67</v>
      </c>
      <c r="X472" s="639">
        <v>59</v>
      </c>
      <c r="Y472" s="640">
        <f t="shared" ref="Y472:Y477" si="73">IFERROR(IF(X472="",0,CEILING((X472/$H472),1)*$H472),"")</f>
        <v>59.400000000000006</v>
      </c>
      <c r="Z472" s="36">
        <f>IFERROR(IF(Y472=0,"",ROUNDUP(Y472/H472,0)*0.00902),"")</f>
        <v>9.9220000000000003E-2</v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61.075925925925922</v>
      </c>
      <c r="BN472" s="64">
        <f t="shared" ref="BN472:BN477" si="75">IFERROR(Y472*I472/H472,"0")</f>
        <v>61.49</v>
      </c>
      <c r="BO472" s="64">
        <f t="shared" ref="BO472:BO477" si="76">IFERROR(1/J472*(X472/H472),"0")</f>
        <v>8.2772166105499437E-2</v>
      </c>
      <c r="BP472" s="64">
        <f t="shared" ref="BP472:BP477" si="77">IFERROR(1/J472*(Y472/H472),"0")</f>
        <v>8.3333333333333343E-2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6">
        <v>4680115886124</v>
      </c>
      <c r="E473" s="647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4"/>
      <c r="R473" s="644"/>
      <c r="S473" s="644"/>
      <c r="T473" s="645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6">
        <v>4607091384338</v>
      </c>
      <c r="E474" s="647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4"/>
      <c r="R474" s="644"/>
      <c r="S474" s="644"/>
      <c r="T474" s="645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6">
        <v>4680115883161</v>
      </c>
      <c r="E475" s="647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4"/>
      <c r="R475" s="644"/>
      <c r="S475" s="644"/>
      <c r="T475" s="645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6">
        <v>4607091389531</v>
      </c>
      <c r="E476" s="647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4"/>
      <c r="R476" s="644"/>
      <c r="S476" s="644"/>
      <c r="T476" s="645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6">
        <v>4607091384345</v>
      </c>
      <c r="E477" s="647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4"/>
      <c r="R477" s="644"/>
      <c r="S477" s="644"/>
      <c r="T477" s="645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x14ac:dyDescent="0.2">
      <c r="A478" s="655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6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10.925925925925926</v>
      </c>
      <c r="Y478" s="641">
        <f>IFERROR(Y472/H472,"0")+IFERROR(Y473/H473,"0")+IFERROR(Y474/H474,"0")+IFERROR(Y475/H475,"0")+IFERROR(Y476/H476,"0")+IFERROR(Y477/H477,"0")</f>
        <v>11</v>
      </c>
      <c r="Z478" s="641">
        <f>IFERROR(IF(Z472="",0,Z472),"0")+IFERROR(IF(Z473="",0,Z473),"0")+IFERROR(IF(Z474="",0,Z474),"0")+IFERROR(IF(Z475="",0,Z475),"0")+IFERROR(IF(Z476="",0,Z476),"0")+IFERROR(IF(Z477="",0,Z477),"0")</f>
        <v>9.9220000000000003E-2</v>
      </c>
      <c r="AA478" s="642"/>
      <c r="AB478" s="642"/>
      <c r="AC478" s="642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6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59</v>
      </c>
      <c r="Y479" s="641">
        <f>IFERROR(SUM(Y472:Y477),"0")</f>
        <v>59.400000000000006</v>
      </c>
      <c r="Z479" s="37"/>
      <c r="AA479" s="642"/>
      <c r="AB479" s="642"/>
      <c r="AC479" s="642"/>
    </row>
    <row r="480" spans="1:68" ht="14.25" hidden="1" customHeight="1" x14ac:dyDescent="0.25">
      <c r="A480" s="648" t="s">
        <v>74</v>
      </c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49"/>
      <c r="P480" s="649"/>
      <c r="Q480" s="649"/>
      <c r="R480" s="649"/>
      <c r="S480" s="649"/>
      <c r="T480" s="649"/>
      <c r="U480" s="649"/>
      <c r="V480" s="649"/>
      <c r="W480" s="649"/>
      <c r="X480" s="649"/>
      <c r="Y480" s="649"/>
      <c r="Z480" s="649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6">
        <v>4607091384352</v>
      </c>
      <c r="E481" s="647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4"/>
      <c r="R481" s="644"/>
      <c r="S481" s="644"/>
      <c r="T481" s="645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6">
        <v>4607091389654</v>
      </c>
      <c r="E482" s="647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4"/>
      <c r="R482" s="644"/>
      <c r="S482" s="644"/>
      <c r="T482" s="645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5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6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6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60" t="s">
        <v>780</v>
      </c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49"/>
      <c r="O485" s="649"/>
      <c r="P485" s="649"/>
      <c r="Q485" s="649"/>
      <c r="R485" s="649"/>
      <c r="S485" s="649"/>
      <c r="T485" s="649"/>
      <c r="U485" s="649"/>
      <c r="V485" s="649"/>
      <c r="W485" s="649"/>
      <c r="X485" s="649"/>
      <c r="Y485" s="649"/>
      <c r="Z485" s="649"/>
      <c r="AA485" s="633"/>
      <c r="AB485" s="633"/>
      <c r="AC485" s="633"/>
    </row>
    <row r="486" spans="1:68" ht="14.25" hidden="1" customHeight="1" x14ac:dyDescent="0.25">
      <c r="A486" s="648" t="s">
        <v>146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6">
        <v>4680115885240</v>
      </c>
      <c r="E487" s="647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4"/>
      <c r="R487" s="644"/>
      <c r="S487" s="644"/>
      <c r="T487" s="645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5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6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6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8" t="s">
        <v>62</v>
      </c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49"/>
      <c r="P490" s="649"/>
      <c r="Q490" s="649"/>
      <c r="R490" s="649"/>
      <c r="S490" s="649"/>
      <c r="T490" s="649"/>
      <c r="U490" s="649"/>
      <c r="V490" s="649"/>
      <c r="W490" s="649"/>
      <c r="X490" s="649"/>
      <c r="Y490" s="649"/>
      <c r="Z490" s="649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6">
        <v>4680115886094</v>
      </c>
      <c r="E491" s="647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4"/>
      <c r="R491" s="644"/>
      <c r="S491" s="644"/>
      <c r="T491" s="645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6">
        <v>4680115880771</v>
      </c>
      <c r="E492" s="647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4"/>
      <c r="R492" s="644"/>
      <c r="S492" s="644"/>
      <c r="T492" s="645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6">
        <v>4607091389500</v>
      </c>
      <c r="E493" s="647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4"/>
      <c r="R493" s="644"/>
      <c r="S493" s="644"/>
      <c r="T493" s="645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5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6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6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58" t="s">
        <v>792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48"/>
      <c r="AB496" s="48"/>
      <c r="AC496" s="48"/>
    </row>
    <row r="497" spans="1:68" ht="16.5" hidden="1" customHeight="1" x14ac:dyDescent="0.25">
      <c r="A497" s="660" t="s">
        <v>792</v>
      </c>
      <c r="B497" s="649"/>
      <c r="C497" s="649"/>
      <c r="D497" s="649"/>
      <c r="E497" s="649"/>
      <c r="F497" s="649"/>
      <c r="G497" s="649"/>
      <c r="H497" s="649"/>
      <c r="I497" s="649"/>
      <c r="J497" s="649"/>
      <c r="K497" s="649"/>
      <c r="L497" s="649"/>
      <c r="M497" s="649"/>
      <c r="N497" s="649"/>
      <c r="O497" s="649"/>
      <c r="P497" s="649"/>
      <c r="Q497" s="649"/>
      <c r="R497" s="649"/>
      <c r="S497" s="649"/>
      <c r="T497" s="649"/>
      <c r="U497" s="649"/>
      <c r="V497" s="649"/>
      <c r="W497" s="649"/>
      <c r="X497" s="649"/>
      <c r="Y497" s="649"/>
      <c r="Z497" s="649"/>
      <c r="AA497" s="633"/>
      <c r="AB497" s="633"/>
      <c r="AC497" s="633"/>
    </row>
    <row r="498" spans="1:68" ht="14.25" hidden="1" customHeight="1" x14ac:dyDescent="0.25">
      <c r="A498" s="648" t="s">
        <v>111</v>
      </c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49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46">
        <v>4607091389067</v>
      </c>
      <c r="E499" s="647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4"/>
      <c r="R499" s="644"/>
      <c r="S499" s="644"/>
      <c r="T499" s="645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6">
        <v>4680115889576</v>
      </c>
      <c r="E500" s="647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4"/>
      <c r="R500" s="644"/>
      <c r="S500" s="644"/>
      <c r="T500" s="645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6">
        <v>4680115885271</v>
      </c>
      <c r="E501" s="647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4"/>
      <c r="R501" s="644"/>
      <c r="S501" s="644"/>
      <c r="T501" s="645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hidden="1" customHeight="1" x14ac:dyDescent="0.25">
      <c r="A502" s="54" t="s">
        <v>801</v>
      </c>
      <c r="B502" s="54" t="s">
        <v>802</v>
      </c>
      <c r="C502" s="31">
        <v>4301011369</v>
      </c>
      <c r="D502" s="646">
        <v>4680115885226</v>
      </c>
      <c r="E502" s="647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4"/>
      <c r="R502" s="644"/>
      <c r="S502" s="644"/>
      <c r="T502" s="645"/>
      <c r="U502" s="34"/>
      <c r="V502" s="34"/>
      <c r="W502" s="35" t="s">
        <v>67</v>
      </c>
      <c r="X502" s="639">
        <v>0</v>
      </c>
      <c r="Y502" s="640">
        <f t="shared" si="78"/>
        <v>0</v>
      </c>
      <c r="Z502" s="36" t="str">
        <f t="shared" si="79"/>
        <v/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0</v>
      </c>
      <c r="BN502" s="64">
        <f t="shared" si="81"/>
        <v>0</v>
      </c>
      <c r="BO502" s="64">
        <f t="shared" si="82"/>
        <v>0</v>
      </c>
      <c r="BP502" s="64">
        <f t="shared" si="83"/>
        <v>0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6">
        <v>4680115884502</v>
      </c>
      <c r="E503" s="647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4"/>
      <c r="R503" s="644"/>
      <c r="S503" s="644"/>
      <c r="T503" s="645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6">
        <v>4607091389104</v>
      </c>
      <c r="E504" s="647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4"/>
      <c r="R504" s="644"/>
      <c r="S504" s="644"/>
      <c r="T504" s="645"/>
      <c r="U504" s="34"/>
      <c r="V504" s="34"/>
      <c r="W504" s="35" t="s">
        <v>67</v>
      </c>
      <c r="X504" s="639">
        <v>260</v>
      </c>
      <c r="Y504" s="640">
        <f t="shared" si="78"/>
        <v>264</v>
      </c>
      <c r="Z504" s="36">
        <f t="shared" si="79"/>
        <v>0.59799999999999998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277.23484848484844</v>
      </c>
      <c r="BN504" s="64">
        <f t="shared" si="81"/>
        <v>281.5</v>
      </c>
      <c r="BO504" s="64">
        <f t="shared" si="82"/>
        <v>0.47348484848484851</v>
      </c>
      <c r="BP504" s="64">
        <f t="shared" si="83"/>
        <v>0.48076923076923078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6">
        <v>4680115886391</v>
      </c>
      <c r="E505" s="647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4"/>
      <c r="R505" s="644"/>
      <c r="S505" s="644"/>
      <c r="T505" s="645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46">
        <v>4680115880603</v>
      </c>
      <c r="E506" s="647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4"/>
      <c r="R506" s="644"/>
      <c r="S506" s="644"/>
      <c r="T506" s="645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814</v>
      </c>
      <c r="B507" s="54" t="s">
        <v>815</v>
      </c>
      <c r="C507" s="31">
        <v>4301012034</v>
      </c>
      <c r="D507" s="646">
        <v>4607091389982</v>
      </c>
      <c r="E507" s="647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4"/>
      <c r="R507" s="644"/>
      <c r="S507" s="644"/>
      <c r="T507" s="645"/>
      <c r="U507" s="34"/>
      <c r="V507" s="34"/>
      <c r="W507" s="35" t="s">
        <v>67</v>
      </c>
      <c r="X507" s="639">
        <v>0</v>
      </c>
      <c r="Y507" s="640">
        <f t="shared" si="78"/>
        <v>0</v>
      </c>
      <c r="Z507" s="36" t="str">
        <f>IFERROR(IF(Y507=0,"",ROUNDUP(Y507/H507,0)*0.00902),"")</f>
        <v/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x14ac:dyDescent="0.2">
      <c r="A508" s="655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6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49.242424242424242</v>
      </c>
      <c r="Y508" s="641">
        <f>IFERROR(Y499/H499,"0")+IFERROR(Y500/H500,"0")+IFERROR(Y501/H501,"0")+IFERROR(Y502/H502,"0")+IFERROR(Y503/H503,"0")+IFERROR(Y504/H504,"0")+IFERROR(Y505/H505,"0")+IFERROR(Y506/H506,"0")+IFERROR(Y507/H507,"0")</f>
        <v>50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0.59799999999999998</v>
      </c>
      <c r="AA508" s="642"/>
      <c r="AB508" s="642"/>
      <c r="AC508" s="642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6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260</v>
      </c>
      <c r="Y509" s="641">
        <f>IFERROR(SUM(Y499:Y507),"0")</f>
        <v>264</v>
      </c>
      <c r="Z509" s="37"/>
      <c r="AA509" s="642"/>
      <c r="AB509" s="642"/>
      <c r="AC509" s="642"/>
    </row>
    <row r="510" spans="1:68" ht="14.25" hidden="1" customHeight="1" x14ac:dyDescent="0.25">
      <c r="A510" s="648" t="s">
        <v>146</v>
      </c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49"/>
      <c r="O510" s="649"/>
      <c r="P510" s="649"/>
      <c r="Q510" s="649"/>
      <c r="R510" s="649"/>
      <c r="S510" s="649"/>
      <c r="T510" s="649"/>
      <c r="U510" s="649"/>
      <c r="V510" s="649"/>
      <c r="W510" s="649"/>
      <c r="X510" s="649"/>
      <c r="Y510" s="649"/>
      <c r="Z510" s="649"/>
      <c r="AA510" s="634"/>
      <c r="AB510" s="634"/>
      <c r="AC510" s="634"/>
    </row>
    <row r="511" spans="1:68" ht="16.5" hidden="1" customHeight="1" x14ac:dyDescent="0.25">
      <c r="A511" s="54" t="s">
        <v>816</v>
      </c>
      <c r="B511" s="54" t="s">
        <v>817</v>
      </c>
      <c r="C511" s="31">
        <v>4301020334</v>
      </c>
      <c r="D511" s="646">
        <v>4607091388930</v>
      </c>
      <c r="E511" s="647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9">
        <v>0</v>
      </c>
      <c r="Y511" s="640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6">
        <v>4680115886407</v>
      </c>
      <c r="E512" s="647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821</v>
      </c>
      <c r="B513" s="54" t="s">
        <v>822</v>
      </c>
      <c r="C513" s="31">
        <v>4301020385</v>
      </c>
      <c r="D513" s="646">
        <v>4680115880054</v>
      </c>
      <c r="E513" s="647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9">
        <v>0</v>
      </c>
      <c r="Y513" s="64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55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6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0</v>
      </c>
      <c r="Y514" s="641">
        <f>IFERROR(Y511/H511,"0")+IFERROR(Y512/H512,"0")+IFERROR(Y513/H513,"0")</f>
        <v>0</v>
      </c>
      <c r="Z514" s="641">
        <f>IFERROR(IF(Z511="",0,Z511),"0")+IFERROR(IF(Z512="",0,Z512),"0")+IFERROR(IF(Z513="",0,Z513),"0")</f>
        <v>0</v>
      </c>
      <c r="AA514" s="642"/>
      <c r="AB514" s="642"/>
      <c r="AC514" s="642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6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0</v>
      </c>
      <c r="Y515" s="641">
        <f>IFERROR(SUM(Y511:Y513),"0")</f>
        <v>0</v>
      </c>
      <c r="Z515" s="37"/>
      <c r="AA515" s="642"/>
      <c r="AB515" s="642"/>
      <c r="AC515" s="642"/>
    </row>
    <row r="516" spans="1:68" ht="14.25" hidden="1" customHeight="1" x14ac:dyDescent="0.25">
      <c r="A516" s="648" t="s">
        <v>62</v>
      </c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  <c r="AA516" s="634"/>
      <c r="AB516" s="634"/>
      <c r="AC516" s="634"/>
    </row>
    <row r="517" spans="1:68" ht="27" customHeight="1" x14ac:dyDescent="0.25">
      <c r="A517" s="54" t="s">
        <v>823</v>
      </c>
      <c r="B517" s="54" t="s">
        <v>824</v>
      </c>
      <c r="C517" s="31">
        <v>4301031349</v>
      </c>
      <c r="D517" s="646">
        <v>4680115883116</v>
      </c>
      <c r="E517" s="647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9">
        <v>161</v>
      </c>
      <c r="Y517" s="640">
        <f t="shared" ref="Y517:Y523" si="84">IFERROR(IF(X517="",0,CEILING((X517/$H517),1)*$H517),"")</f>
        <v>163.68</v>
      </c>
      <c r="Z517" s="36">
        <f>IFERROR(IF(Y517=0,"",ROUNDUP(Y517/H517,0)*0.01196),"")</f>
        <v>0.37075999999999998</v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171.67234848484847</v>
      </c>
      <c r="BN517" s="64">
        <f t="shared" ref="BN517:BN523" si="86">IFERROR(Y517*I517/H517,"0")</f>
        <v>174.53</v>
      </c>
      <c r="BO517" s="64">
        <f t="shared" ref="BO517:BO523" si="87">IFERROR(1/J517*(X517/H517),"0")</f>
        <v>0.29319638694638694</v>
      </c>
      <c r="BP517" s="64">
        <f t="shared" ref="BP517:BP523" si="88">IFERROR(1/J517*(Y517/H517),"0")</f>
        <v>0.29807692307692307</v>
      </c>
    </row>
    <row r="518" spans="1:68" ht="27" hidden="1" customHeight="1" x14ac:dyDescent="0.25">
      <c r="A518" s="54" t="s">
        <v>826</v>
      </c>
      <c r="B518" s="54" t="s">
        <v>827</v>
      </c>
      <c r="C518" s="31">
        <v>4301031350</v>
      </c>
      <c r="D518" s="646">
        <v>4680115883093</v>
      </c>
      <c r="E518" s="647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9">
        <v>0</v>
      </c>
      <c r="Y518" s="640">
        <f t="shared" si="84"/>
        <v>0</v>
      </c>
      <c r="Z518" s="36" t="str">
        <f>IFERROR(IF(Y518=0,"",ROUNDUP(Y518/H518,0)*0.01196),"")</f>
        <v/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0</v>
      </c>
      <c r="BN518" s="64">
        <f t="shared" si="86"/>
        <v>0</v>
      </c>
      <c r="BO518" s="64">
        <f t="shared" si="87"/>
        <v>0</v>
      </c>
      <c r="BP518" s="64">
        <f t="shared" si="88"/>
        <v>0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6">
        <v>4680115883109</v>
      </c>
      <c r="E519" s="647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4"/>
      <c r="R519" s="644"/>
      <c r="S519" s="644"/>
      <c r="T519" s="645"/>
      <c r="U519" s="34"/>
      <c r="V519" s="34"/>
      <c r="W519" s="35" t="s">
        <v>67</v>
      </c>
      <c r="X519" s="639">
        <v>140</v>
      </c>
      <c r="Y519" s="640">
        <f t="shared" si="84"/>
        <v>142.56</v>
      </c>
      <c r="Z519" s="36">
        <f>IFERROR(IF(Y519=0,"",ROUNDUP(Y519/H519,0)*0.01196),"")</f>
        <v>0.32291999999999998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149.280303030303</v>
      </c>
      <c r="BN519" s="64">
        <f t="shared" si="86"/>
        <v>152.01</v>
      </c>
      <c r="BO519" s="64">
        <f t="shared" si="87"/>
        <v>0.25495337995337997</v>
      </c>
      <c r="BP519" s="64">
        <f t="shared" si="88"/>
        <v>0.25961538461538464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6">
        <v>4680115882072</v>
      </c>
      <c r="E520" s="647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4"/>
      <c r="R520" s="644"/>
      <c r="S520" s="644"/>
      <c r="T520" s="645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6">
        <v>4680115882102</v>
      </c>
      <c r="E521" s="647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4"/>
      <c r="R521" s="644"/>
      <c r="S521" s="644"/>
      <c r="T521" s="645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6">
        <v>4680115882102</v>
      </c>
      <c r="E522" s="647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4"/>
      <c r="R522" s="644"/>
      <c r="S522" s="644"/>
      <c r="T522" s="645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6">
        <v>4680115882096</v>
      </c>
      <c r="E523" s="647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5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6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57.007575757575758</v>
      </c>
      <c r="Y524" s="641">
        <f>IFERROR(Y517/H517,"0")+IFERROR(Y518/H518,"0")+IFERROR(Y519/H519,"0")+IFERROR(Y520/H520,"0")+IFERROR(Y521/H521,"0")+IFERROR(Y522/H522,"0")+IFERROR(Y523/H523,"0")</f>
        <v>58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0.69367999999999996</v>
      </c>
      <c r="AA524" s="642"/>
      <c r="AB524" s="642"/>
      <c r="AC524" s="642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6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301</v>
      </c>
      <c r="Y525" s="641">
        <f>IFERROR(SUM(Y517:Y523),"0")</f>
        <v>306.24</v>
      </c>
      <c r="Z525" s="37"/>
      <c r="AA525" s="642"/>
      <c r="AB525" s="642"/>
      <c r="AC525" s="642"/>
    </row>
    <row r="526" spans="1:68" ht="27.75" hidden="1" customHeight="1" x14ac:dyDescent="0.2">
      <c r="A526" s="658" t="s">
        <v>839</v>
      </c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48"/>
      <c r="AB526" s="48"/>
      <c r="AC526" s="48"/>
    </row>
    <row r="527" spans="1:68" ht="16.5" hidden="1" customHeight="1" x14ac:dyDescent="0.25">
      <c r="A527" s="660" t="s">
        <v>839</v>
      </c>
      <c r="B527" s="649"/>
      <c r="C527" s="649"/>
      <c r="D527" s="649"/>
      <c r="E527" s="649"/>
      <c r="F527" s="649"/>
      <c r="G527" s="649"/>
      <c r="H527" s="649"/>
      <c r="I527" s="649"/>
      <c r="J527" s="649"/>
      <c r="K527" s="649"/>
      <c r="L527" s="649"/>
      <c r="M527" s="649"/>
      <c r="N527" s="649"/>
      <c r="O527" s="649"/>
      <c r="P527" s="649"/>
      <c r="Q527" s="649"/>
      <c r="R527" s="649"/>
      <c r="S527" s="649"/>
      <c r="T527" s="649"/>
      <c r="U527" s="649"/>
      <c r="V527" s="649"/>
      <c r="W527" s="649"/>
      <c r="X527" s="649"/>
      <c r="Y527" s="649"/>
      <c r="Z527" s="649"/>
      <c r="AA527" s="633"/>
      <c r="AB527" s="633"/>
      <c r="AC527" s="633"/>
    </row>
    <row r="528" spans="1:68" ht="14.25" hidden="1" customHeight="1" x14ac:dyDescent="0.25">
      <c r="A528" s="648" t="s">
        <v>111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6">
        <v>4640242180564</v>
      </c>
      <c r="E529" s="647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4"/>
      <c r="R529" s="644"/>
      <c r="S529" s="644"/>
      <c r="T529" s="645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5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6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6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8" t="s">
        <v>146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6">
        <v>4640242180519</v>
      </c>
      <c r="E533" s="647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4"/>
      <c r="R533" s="644"/>
      <c r="S533" s="644"/>
      <c r="T533" s="645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5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6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6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8" t="s">
        <v>62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6">
        <v>4640242180595</v>
      </c>
      <c r="E537" s="647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4"/>
      <c r="R537" s="644"/>
      <c r="S537" s="644"/>
      <c r="T537" s="645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5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6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6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8" t="s">
        <v>74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46">
        <v>4640242180533</v>
      </c>
      <c r="E541" s="647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4"/>
      <c r="R541" s="644"/>
      <c r="S541" s="644"/>
      <c r="T541" s="645"/>
      <c r="U541" s="34"/>
      <c r="V541" s="34"/>
      <c r="W541" s="35" t="s">
        <v>67</v>
      </c>
      <c r="X541" s="639">
        <v>30</v>
      </c>
      <c r="Y541" s="640">
        <f>IFERROR(IF(X541="",0,CEILING((X541/$H541),1)*$H541),"")</f>
        <v>36</v>
      </c>
      <c r="Z541" s="36">
        <f>IFERROR(IF(Y541=0,"",ROUNDUP(Y541/H541,0)*0.01898),"")</f>
        <v>7.5920000000000001E-2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31.646666666666665</v>
      </c>
      <c r="BN541" s="64">
        <f>IFERROR(Y541*I541/H541,"0")</f>
        <v>37.975999999999999</v>
      </c>
      <c r="BO541" s="64">
        <f>IFERROR(1/J541*(X541/H541),"0")</f>
        <v>5.2083333333333336E-2</v>
      </c>
      <c r="BP541" s="64">
        <f>IFERROR(1/J541*(Y541/H541),"0")</f>
        <v>6.25E-2</v>
      </c>
    </row>
    <row r="542" spans="1:68" x14ac:dyDescent="0.2">
      <c r="A542" s="655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6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3.3333333333333335</v>
      </c>
      <c r="Y542" s="641">
        <f>IFERROR(Y541/H541,"0")</f>
        <v>4</v>
      </c>
      <c r="Z542" s="641">
        <f>IFERROR(IF(Z541="",0,Z541),"0")</f>
        <v>7.5920000000000001E-2</v>
      </c>
      <c r="AA542" s="642"/>
      <c r="AB542" s="642"/>
      <c r="AC542" s="642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6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30</v>
      </c>
      <c r="Y543" s="641">
        <f>IFERROR(SUM(Y541:Y541),"0")</f>
        <v>36</v>
      </c>
      <c r="Z543" s="37"/>
      <c r="AA543" s="642"/>
      <c r="AB543" s="642"/>
      <c r="AC543" s="642"/>
    </row>
    <row r="544" spans="1:68" ht="14.25" hidden="1" customHeight="1" x14ac:dyDescent="0.25">
      <c r="A544" s="648" t="s">
        <v>164</v>
      </c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49"/>
      <c r="P544" s="649"/>
      <c r="Q544" s="649"/>
      <c r="R544" s="649"/>
      <c r="S544" s="649"/>
      <c r="T544" s="649"/>
      <c r="U544" s="649"/>
      <c r="V544" s="649"/>
      <c r="W544" s="649"/>
      <c r="X544" s="649"/>
      <c r="Y544" s="649"/>
      <c r="Z544" s="649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6">
        <v>4640242180120</v>
      </c>
      <c r="E545" s="647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4"/>
      <c r="R545" s="644"/>
      <c r="S545" s="644"/>
      <c r="T545" s="645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6">
        <v>4640242180137</v>
      </c>
      <c r="E546" s="647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4"/>
      <c r="R546" s="644"/>
      <c r="S546" s="644"/>
      <c r="T546" s="645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5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6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6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60" t="s">
        <v>858</v>
      </c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49"/>
      <c r="P549" s="649"/>
      <c r="Q549" s="649"/>
      <c r="R549" s="649"/>
      <c r="S549" s="649"/>
      <c r="T549" s="649"/>
      <c r="U549" s="649"/>
      <c r="V549" s="649"/>
      <c r="W549" s="649"/>
      <c r="X549" s="649"/>
      <c r="Y549" s="649"/>
      <c r="Z549" s="649"/>
      <c r="AA549" s="633"/>
      <c r="AB549" s="633"/>
      <c r="AC549" s="633"/>
    </row>
    <row r="550" spans="1:68" ht="14.25" hidden="1" customHeight="1" x14ac:dyDescent="0.25">
      <c r="A550" s="648" t="s">
        <v>146</v>
      </c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49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6">
        <v>4680115889798</v>
      </c>
      <c r="E551" s="647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4"/>
      <c r="R551" s="644"/>
      <c r="S551" s="644"/>
      <c r="T551" s="645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5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6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6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34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735"/>
      <c r="P554" s="663" t="s">
        <v>862</v>
      </c>
      <c r="Q554" s="664"/>
      <c r="R554" s="664"/>
      <c r="S554" s="664"/>
      <c r="T554" s="664"/>
      <c r="U554" s="664"/>
      <c r="V554" s="665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5555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5692.6</v>
      </c>
      <c r="Z554" s="37"/>
      <c r="AA554" s="642"/>
      <c r="AB554" s="642"/>
      <c r="AC554" s="642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735"/>
      <c r="P555" s="663" t="s">
        <v>863</v>
      </c>
      <c r="Q555" s="664"/>
      <c r="R555" s="664"/>
      <c r="S555" s="664"/>
      <c r="T555" s="664"/>
      <c r="U555" s="664"/>
      <c r="V555" s="665"/>
      <c r="W555" s="37" t="s">
        <v>67</v>
      </c>
      <c r="X555" s="641">
        <f>IFERROR(SUM(BM22:BM551),"0")</f>
        <v>5866.5559969416481</v>
      </c>
      <c r="Y555" s="641">
        <f>IFERROR(SUM(BN22:BN551),"0")</f>
        <v>6011.1299999999992</v>
      </c>
      <c r="Z555" s="37"/>
      <c r="AA555" s="642"/>
      <c r="AB555" s="642"/>
      <c r="AC555" s="642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735"/>
      <c r="P556" s="663" t="s">
        <v>864</v>
      </c>
      <c r="Q556" s="664"/>
      <c r="R556" s="664"/>
      <c r="S556" s="664"/>
      <c r="T556" s="664"/>
      <c r="U556" s="664"/>
      <c r="V556" s="665"/>
      <c r="W556" s="37" t="s">
        <v>865</v>
      </c>
      <c r="X556" s="38">
        <f>ROUNDUP(SUM(BO22:BO551),0)</f>
        <v>10</v>
      </c>
      <c r="Y556" s="38">
        <f>ROUNDUP(SUM(BP22:BP551),0)</f>
        <v>11</v>
      </c>
      <c r="Z556" s="37"/>
      <c r="AA556" s="642"/>
      <c r="AB556" s="642"/>
      <c r="AC556" s="642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735"/>
      <c r="P557" s="663" t="s">
        <v>866</v>
      </c>
      <c r="Q557" s="664"/>
      <c r="R557" s="664"/>
      <c r="S557" s="664"/>
      <c r="T557" s="664"/>
      <c r="U557" s="664"/>
      <c r="V557" s="665"/>
      <c r="W557" s="37" t="s">
        <v>67</v>
      </c>
      <c r="X557" s="641">
        <f>GrossWeightTotal+PalletQtyTotal*25</f>
        <v>6116.5559969416481</v>
      </c>
      <c r="Y557" s="641">
        <f>GrossWeightTotalR+PalletQtyTotalR*25</f>
        <v>6286.1299999999992</v>
      </c>
      <c r="Z557" s="37"/>
      <c r="AA557" s="642"/>
      <c r="AB557" s="642"/>
      <c r="AC557" s="642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735"/>
      <c r="P558" s="663" t="s">
        <v>867</v>
      </c>
      <c r="Q558" s="664"/>
      <c r="R558" s="664"/>
      <c r="S558" s="664"/>
      <c r="T558" s="664"/>
      <c r="U558" s="664"/>
      <c r="V558" s="665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924.51650988964229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947</v>
      </c>
      <c r="Z558" s="37"/>
      <c r="AA558" s="642"/>
      <c r="AB558" s="642"/>
      <c r="AC558" s="642"/>
    </row>
    <row r="559" spans="1:68" ht="15.6" hidden="1" customHeight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735"/>
      <c r="P559" s="663" t="s">
        <v>868</v>
      </c>
      <c r="Q559" s="664"/>
      <c r="R559" s="664"/>
      <c r="S559" s="664"/>
      <c r="T559" s="664"/>
      <c r="U559" s="664"/>
      <c r="V559" s="665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12.150280000000002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7" t="s">
        <v>109</v>
      </c>
      <c r="E561" s="774"/>
      <c r="F561" s="774"/>
      <c r="G561" s="774"/>
      <c r="H561" s="774"/>
      <c r="I561" s="774"/>
      <c r="J561" s="738"/>
      <c r="K561" s="687" t="s">
        <v>333</v>
      </c>
      <c r="L561" s="774"/>
      <c r="M561" s="774"/>
      <c r="N561" s="774"/>
      <c r="O561" s="774"/>
      <c r="P561" s="774"/>
      <c r="Q561" s="774"/>
      <c r="R561" s="774"/>
      <c r="S561" s="774"/>
      <c r="T561" s="774"/>
      <c r="U561" s="774"/>
      <c r="V561" s="738"/>
      <c r="W561" s="687" t="s">
        <v>690</v>
      </c>
      <c r="X561" s="738"/>
      <c r="Y561" s="687" t="s">
        <v>756</v>
      </c>
      <c r="Z561" s="738"/>
      <c r="AA561" s="631" t="s">
        <v>792</v>
      </c>
      <c r="AB561" s="687" t="s">
        <v>839</v>
      </c>
      <c r="AC561" s="738"/>
      <c r="AF561" s="632"/>
    </row>
    <row r="562" spans="1:32" ht="14.25" customHeight="1" thickTop="1" x14ac:dyDescent="0.2">
      <c r="A562" s="714" t="s">
        <v>871</v>
      </c>
      <c r="B562" s="687" t="s">
        <v>61</v>
      </c>
      <c r="C562" s="687" t="s">
        <v>93</v>
      </c>
      <c r="D562" s="687" t="s">
        <v>110</v>
      </c>
      <c r="E562" s="687" t="s">
        <v>126</v>
      </c>
      <c r="F562" s="687" t="s">
        <v>172</v>
      </c>
      <c r="G562" s="687" t="s">
        <v>195</v>
      </c>
      <c r="H562" s="687" t="s">
        <v>239</v>
      </c>
      <c r="I562" s="687" t="s">
        <v>252</v>
      </c>
      <c r="J562" s="687" t="s">
        <v>109</v>
      </c>
      <c r="K562" s="687" t="s">
        <v>334</v>
      </c>
      <c r="L562" s="687" t="s">
        <v>355</v>
      </c>
      <c r="M562" s="687" t="s">
        <v>429</v>
      </c>
      <c r="N562" s="632"/>
      <c r="O562" s="687" t="s">
        <v>497</v>
      </c>
      <c r="P562" s="687" t="s">
        <v>526</v>
      </c>
      <c r="Q562" s="687" t="s">
        <v>547</v>
      </c>
      <c r="R562" s="687" t="s">
        <v>556</v>
      </c>
      <c r="S562" s="687" t="s">
        <v>577</v>
      </c>
      <c r="T562" s="687" t="s">
        <v>586</v>
      </c>
      <c r="U562" s="687" t="s">
        <v>673</v>
      </c>
      <c r="V562" s="687" t="s">
        <v>680</v>
      </c>
      <c r="W562" s="687" t="s">
        <v>691</v>
      </c>
      <c r="X562" s="687" t="s">
        <v>740</v>
      </c>
      <c r="Y562" s="687" t="s">
        <v>757</v>
      </c>
      <c r="Z562" s="687" t="s">
        <v>780</v>
      </c>
      <c r="AA562" s="687" t="s">
        <v>792</v>
      </c>
      <c r="AB562" s="687" t="s">
        <v>839</v>
      </c>
      <c r="AC562" s="687" t="s">
        <v>858</v>
      </c>
      <c r="AF562" s="632"/>
    </row>
    <row r="563" spans="1:32" ht="13.9" customHeight="1" thickBot="1" x14ac:dyDescent="0.25">
      <c r="A563" s="715"/>
      <c r="B563" s="688"/>
      <c r="C563" s="688"/>
      <c r="D563" s="688"/>
      <c r="E563" s="688"/>
      <c r="F563" s="688"/>
      <c r="G563" s="688"/>
      <c r="H563" s="688"/>
      <c r="I563" s="688"/>
      <c r="J563" s="688"/>
      <c r="K563" s="688"/>
      <c r="L563" s="688"/>
      <c r="M563" s="688"/>
      <c r="N563" s="632"/>
      <c r="O563" s="688"/>
      <c r="P563" s="688"/>
      <c r="Q563" s="688"/>
      <c r="R563" s="688"/>
      <c r="S563" s="688"/>
      <c r="T563" s="688"/>
      <c r="U563" s="688"/>
      <c r="V563" s="688"/>
      <c r="W563" s="688"/>
      <c r="X563" s="688"/>
      <c r="Y563" s="688"/>
      <c r="Z563" s="688"/>
      <c r="AA563" s="688"/>
      <c r="AB563" s="688"/>
      <c r="AC563" s="688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33.6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171</v>
      </c>
      <c r="F564" s="46">
        <f>IFERROR(Y85*1,"0")+IFERROR(Y86*1,"0")+IFERROR(Y87*1,"0")+IFERROR(Y88*1,"0")+IFERROR(Y89*1,"0")+IFERROR(Y93*1,"0")+IFERROR(Y94*1,"0")+IFERROR(Y95*1,"0")+IFERROR(Y96*1,"0")</f>
        <v>1179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808.5</v>
      </c>
      <c r="H564" s="46">
        <f>IFERROR(Y132*1,"0")+IFERROR(Y133*1,"0")+IFERROR(Y137*1,"0")+IFERROR(Y138*1,"0")+IFERROR(Y142*1,"0")+IFERROR(Y143*1,"0")</f>
        <v>104.8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115.5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225.06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548.1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31.2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93.6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444.6</v>
      </c>
      <c r="U564" s="46">
        <f>IFERROR(Y412*1,"0")+IFERROR(Y413*1,"0")</f>
        <v>0</v>
      </c>
      <c r="V564" s="46">
        <f>IFERROR(Y418*1,"0")+IFERROR(Y419*1,"0")+IFERROR(Y420*1,"0")</f>
        <v>8.4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849</v>
      </c>
      <c r="X564" s="46">
        <f>IFERROR(Y455*1,"0")+IFERROR(Y456*1,"0")+IFERROR(Y460*1,"0")+IFERROR(Y464*1,"0")+IFERROR(Y465*1,"0")+IFERROR(Y466*1,"0")</f>
        <v>414.6</v>
      </c>
      <c r="Y564" s="46">
        <f>IFERROR(Y472*1,"0")+IFERROR(Y473*1,"0")+IFERROR(Y474*1,"0")+IFERROR(Y475*1,"0")+IFERROR(Y476*1,"0")+IFERROR(Y477*1,"0")+IFERROR(Y481*1,"0")+IFERROR(Y482*1,"0")</f>
        <v>59.400000000000006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570.24</v>
      </c>
      <c r="AB564" s="46">
        <f>IFERROR(Y529*1,"0")+IFERROR(Y533*1,"0")+IFERROR(Y537*1,"0")+IFERROR(Y541*1,"0")+IFERROR(Y545*1,"0")+IFERROR(Y546*1,"0")</f>
        <v>36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,00"/>
        <filter val="10"/>
        <filter val="10,00"/>
        <filter val="10,93"/>
        <filter val="100,00"/>
        <filter val="100,57"/>
        <filter val="11,00"/>
        <filter val="11,54"/>
        <filter val="110,00"/>
        <filter val="112,00"/>
        <filter val="112,35"/>
        <filter val="114,00"/>
        <filter val="12,50"/>
        <filter val="120,00"/>
        <filter val="121,00"/>
        <filter val="140,00"/>
        <filter val="149,00"/>
        <filter val="15,00"/>
        <filter val="150,00"/>
        <filter val="161,00"/>
        <filter val="17,00"/>
        <filter val="17,78"/>
        <filter val="175,00"/>
        <filter val="18,00"/>
        <filter val="18,72"/>
        <filter val="21,00"/>
        <filter val="221,00"/>
        <filter val="23,80"/>
        <filter val="245,00"/>
        <filter val="25,00"/>
        <filter val="25,33"/>
        <filter val="260,00"/>
        <filter val="261,00"/>
        <filter val="274,00"/>
        <filter val="3,00"/>
        <filter val="3,33"/>
        <filter val="3,52"/>
        <filter val="3,81"/>
        <filter val="30,00"/>
        <filter val="301,00"/>
        <filter val="31,43"/>
        <filter val="32,00"/>
        <filter val="38,69"/>
        <filter val="396,00"/>
        <filter val="4,00"/>
        <filter val="4,54"/>
        <filter val="400,00"/>
        <filter val="408,00"/>
        <filter val="46,00"/>
        <filter val="46,80"/>
        <filter val="47,78"/>
        <filter val="48,75"/>
        <filter val="49,00"/>
        <filter val="49,24"/>
        <filter val="5 555,00"/>
        <filter val="5 866,56"/>
        <filter val="5,00"/>
        <filter val="5,31"/>
        <filter val="5,56"/>
        <filter val="50,00"/>
        <filter val="506,00"/>
        <filter val="53,00"/>
        <filter val="57,01"/>
        <filter val="576,00"/>
        <filter val="58,00"/>
        <filter val="59,00"/>
        <filter val="59,63"/>
        <filter val="6 116,56"/>
        <filter val="6,00"/>
        <filter val="6,43"/>
        <filter val="60,00"/>
        <filter val="63,00"/>
        <filter val="66,00"/>
        <filter val="70,95"/>
        <filter val="702,00"/>
        <filter val="71,11"/>
        <filter val="75,00"/>
        <filter val="8,00"/>
        <filter val="9,00"/>
        <filter val="90,00"/>
        <filter val="910,00"/>
        <filter val="924,52"/>
        <filter val="96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P149:T149"/>
    <mergeCell ref="P174:T174"/>
    <mergeCell ref="D266:E266"/>
    <mergeCell ref="U17:V17"/>
    <mergeCell ref="Y17:Y18"/>
    <mergeCell ref="D331:E331"/>
    <mergeCell ref="D57:E5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Q6:R6"/>
    <mergeCell ref="P200:T200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A408:O409"/>
    <mergeCell ref="A552:O553"/>
    <mergeCell ref="P305:V305"/>
    <mergeCell ref="P228:T22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D105:E105"/>
    <mergeCell ref="P433:T433"/>
    <mergeCell ref="P524:V524"/>
    <mergeCell ref="A549:Z549"/>
    <mergeCell ref="D341:E341"/>
    <mergeCell ref="A536:Z536"/>
    <mergeCell ref="N17:N18"/>
    <mergeCell ref="D49:E49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D405:E405"/>
    <mergeCell ref="A24:O25"/>
    <mergeCell ref="P65:T65"/>
    <mergeCell ref="A383:O384"/>
    <mergeCell ref="AD17:AF18"/>
    <mergeCell ref="D101:E101"/>
    <mergeCell ref="Z562:Z563"/>
    <mergeCell ref="P403:V403"/>
    <mergeCell ref="AB562:AB563"/>
    <mergeCell ref="P117:V117"/>
    <mergeCell ref="F5:G5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V11:W11"/>
    <mergeCell ref="D392:E392"/>
    <mergeCell ref="P57:T57"/>
    <mergeCell ref="D475:E475"/>
    <mergeCell ref="P342:T342"/>
    <mergeCell ref="D152:E152"/>
    <mergeCell ref="D323:E323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Q13:R13"/>
    <mergeCell ref="P97:V97"/>
    <mergeCell ref="P134:V134"/>
    <mergeCell ref="P201:T201"/>
    <mergeCell ref="A391:Z391"/>
    <mergeCell ref="P176:T176"/>
    <mergeCell ref="P114:T114"/>
    <mergeCell ref="P247:T247"/>
    <mergeCell ref="P241:T241"/>
    <mergeCell ref="P41:T41"/>
    <mergeCell ref="D22:E22"/>
    <mergeCell ref="A62:O63"/>
    <mergeCell ref="D149:E149"/>
    <mergeCell ref="P49:T49"/>
    <mergeCell ref="P63:V63"/>
    <mergeCell ref="M17:M18"/>
    <mergeCell ref="O17:O18"/>
    <mergeCell ref="P258:V258"/>
    <mergeCell ref="P52:V52"/>
    <mergeCell ref="A297:Z297"/>
    <mergeCell ref="P102:T102"/>
    <mergeCell ref="P121:T121"/>
    <mergeCell ref="D29:E29"/>
    <mergeCell ref="D23:E2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A64:Z64"/>
    <mergeCell ref="H5:M5"/>
    <mergeCell ref="R562:R563"/>
    <mergeCell ref="P158:V158"/>
    <mergeCell ref="A214:Z214"/>
    <mergeCell ref="P225:T225"/>
    <mergeCell ref="D439:E439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Q562:Q563"/>
    <mergeCell ref="P512:T512"/>
    <mergeCell ref="P487:T487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A160:Z160"/>
    <mergeCell ref="P468:V468"/>
    <mergeCell ref="A141:Z141"/>
    <mergeCell ref="A144:O145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96:T96"/>
    <mergeCell ref="H17:H18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J9:M9"/>
    <mergeCell ref="D112:E112"/>
    <mergeCell ref="D283:E283"/>
    <mergeCell ref="A90:O91"/>
    <mergeCell ref="P389:V389"/>
    <mergeCell ref="D519:E519"/>
    <mergeCell ref="D56:E56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13:M13"/>
    <mergeCell ref="A496:Z496"/>
    <mergeCell ref="T562:T563"/>
    <mergeCell ref="A230:O231"/>
    <mergeCell ref="A119:Z119"/>
    <mergeCell ref="A417:Z417"/>
    <mergeCell ref="D61:E61"/>
    <mergeCell ref="P115:T115"/>
    <mergeCell ref="P231:V23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132:E132"/>
    <mergeCell ref="P89:T89"/>
    <mergeCell ref="P211:T211"/>
    <mergeCell ref="D399:E399"/>
    <mergeCell ref="D59:E59"/>
    <mergeCell ref="P545:T545"/>
    <mergeCell ref="D178:E178"/>
    <mergeCell ref="P88:T88"/>
    <mergeCell ref="P461:V461"/>
    <mergeCell ref="P153:T153"/>
    <mergeCell ref="P324:T324"/>
    <mergeCell ref="P511:T511"/>
    <mergeCell ref="A92:Z92"/>
    <mergeCell ref="P534:V534"/>
    <mergeCell ref="P525:V525"/>
    <mergeCell ref="A350:Z350"/>
    <mergeCell ref="P313:V313"/>
    <mergeCell ref="P380:T380"/>
    <mergeCell ref="P533:T533"/>
    <mergeCell ref="P328:V328"/>
    <mergeCell ref="P213:V213"/>
    <mergeCell ref="A209:Z209"/>
    <mergeCell ref="I562:I563"/>
    <mergeCell ref="K562:K563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P554:V554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A514:O515"/>
    <mergeCell ref="D182:E182"/>
    <mergeCell ref="A14:M14"/>
    <mergeCell ref="A111:Z111"/>
    <mergeCell ref="D27:E27"/>
    <mergeCell ref="P408:V408"/>
    <mergeCell ref="D325:E325"/>
    <mergeCell ref="P15:T16"/>
    <mergeCell ref="A398:Z398"/>
    <mergeCell ref="P450:T450"/>
    <mergeCell ref="D456:E456"/>
    <mergeCell ref="D116:E116"/>
    <mergeCell ref="D352:E352"/>
    <mergeCell ref="P419:T419"/>
    <mergeCell ref="P219:T219"/>
    <mergeCell ref="P23:T23"/>
    <mergeCell ref="D162:E162"/>
    <mergeCell ref="A69:O70"/>
    <mergeCell ref="P272:T272"/>
    <mergeCell ref="P308:T308"/>
    <mergeCell ref="D106:E106"/>
    <mergeCell ref="P427:T427"/>
    <mergeCell ref="P283:T283"/>
    <mergeCell ref="D93:E93"/>
    <mergeCell ref="P277:T277"/>
    <mergeCell ref="D220:E220"/>
    <mergeCell ref="P122:T122"/>
    <mergeCell ref="P435:V435"/>
    <mergeCell ref="D9:E9"/>
    <mergeCell ref="P137:T137"/>
    <mergeCell ref="D180:E180"/>
    <mergeCell ref="F9:G9"/>
    <mergeCell ref="A248:O249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A6:C6"/>
    <mergeCell ref="D113:E113"/>
    <mergeCell ref="P180:T180"/>
    <mergeCell ref="P415:V415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Q12:R1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I17:I18"/>
    <mergeCell ref="A467:O468"/>
    <mergeCell ref="P481:T481"/>
    <mergeCell ref="P189:T189"/>
    <mergeCell ref="P456:T456"/>
    <mergeCell ref="P287:T287"/>
    <mergeCell ref="P281:T28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P17:T18"/>
    <mergeCell ref="A414:O415"/>
    <mergeCell ref="A471:Z471"/>
    <mergeCell ref="P113:T11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A26:Z26"/>
    <mergeCell ref="P103:T103"/>
    <mergeCell ref="P474:T474"/>
    <mergeCell ref="P268:T268"/>
    <mergeCell ref="P401:T401"/>
    <mergeCell ref="P168:T168"/>
    <mergeCell ref="D211:E21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38:O539"/>
    <mergeCell ref="P33:V33"/>
    <mergeCell ref="P264:V264"/>
    <mergeCell ref="P335:V335"/>
    <mergeCell ref="A396:O397"/>
    <mergeCell ref="A45:Z45"/>
    <mergeCell ref="P462:V462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P163:T163"/>
    <mergeCell ref="D280:E280"/>
    <mergeCell ref="D551:E551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D8:M8"/>
    <mergeCell ref="D300:E300"/>
    <mergeCell ref="P237:T237"/>
    <mergeCell ref="P31:T31"/>
    <mergeCell ref="P473:T473"/>
    <mergeCell ref="A291:Z291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D7:M7"/>
    <mergeCell ref="P548:V548"/>
    <mergeCell ref="P91:V91"/>
    <mergeCell ref="D365:E365"/>
    <mergeCell ref="P236:T236"/>
    <mergeCell ref="D79:E79"/>
    <mergeCell ref="P327:V327"/>
    <mergeCell ref="P394:T394"/>
    <mergeCell ref="A451:O452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A34:Z34"/>
    <mergeCell ref="A83:Z83"/>
    <mergeCell ref="A276:Z276"/>
    <mergeCell ref="P451:V45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